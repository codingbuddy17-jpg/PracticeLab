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ader Dashboard" sheetId="2" state="visible" r:id="rId2"/>
    <sheet xmlns:r="http://schemas.openxmlformats.org/officeDocument/2006/relationships" name="Chart Database" sheetId="3" state="visible" r:id="rId3"/>
    <sheet xmlns:r="http://schemas.openxmlformats.org/officeDocument/2006/relationships" name="Category Dictionary" sheetId="4" state="visible" r:id="rId4"/>
    <sheet xmlns:r="http://schemas.openxmlformats.org/officeDocument/2006/relationships" name="Assignment Builder" sheetId="5" state="visible" r:id="rId5"/>
    <sheet xmlns:r="http://schemas.openxmlformats.org/officeDocument/2006/relationships" name="Specialty Overview" sheetId="6" state="visible" r:id="rId6"/>
    <sheet xmlns:r="http://schemas.openxmlformats.org/officeDocument/2006/relationships" name="Monthly Trend" sheetId="7" state="visible" r:id="rId7"/>
    <sheet xmlns:r="http://schemas.openxmlformats.org/officeDocument/2006/relationships" name="Recent Activity" sheetId="8" state="visible" r:id="rId8"/>
    <sheet xmlns:r="http://schemas.openxmlformats.org/officeDocument/2006/relationships" name="Field Conventions" sheetId="9" state="visible" r:id="rId9"/>
    <sheet xmlns:r="http://schemas.openxmlformats.org/officeDocument/2006/relationships" name="Lists" sheetId="10" state="visible" r:id="rId10"/>
  </sheets>
  <definedNames>
    <definedName name="_xlnm._FilterDatabase" localSheetId="2" hidden="1">'Chart Database'!$A$5:$T$4005</definedName>
    <definedName name="_xlnm._FilterDatabase" localSheetId="3" hidden="1">'Category Dictionary'!$A$4:$L$135</definedName>
  </definedNames>
  <calcPr calcId="124519" fullCalcOnLoad="1"/>
</workbook>
</file>

<file path=xl/styles.xml><?xml version="1.0" encoding="utf-8"?>
<styleSheet xmlns="http://schemas.openxmlformats.org/spreadsheetml/2006/main">
  <numFmts count="3">
    <numFmt numFmtId="164" formatCode="dd-mmm-yy"/>
    <numFmt numFmtId="165" formatCode="0.0%"/>
    <numFmt numFmtId="166" formatCode="yyyy-mm-dd"/>
  </numFmts>
  <fonts count="20">
    <font>
      <name val="Calibri"/>
      <family val="2"/>
      <color theme="1"/>
      <sz val="11"/>
      <scheme val="minor"/>
    </font>
    <font>
      <name val="Calibri"/>
      <b val="1"/>
      <color rgb="001F3864"/>
      <sz val="16"/>
    </font>
    <font>
      <name val="Calibri"/>
      <i val="1"/>
      <color rgb="00595959"/>
      <sz val="10"/>
    </font>
    <font>
      <name val="Calibri"/>
      <b val="1"/>
      <color rgb="00FFFFFF"/>
      <sz val="11"/>
    </font>
    <font>
      <name val="Calibri"/>
      <b val="1"/>
      <color rgb="00212121"/>
      <sz val="10"/>
    </font>
    <font>
      <name val="Calibri"/>
      <color rgb="00595959"/>
      <sz val="9"/>
    </font>
    <font>
      <name val="Calibri"/>
      <b val="1"/>
      <color rgb="001F3864"/>
      <sz val="10"/>
    </font>
    <font>
      <name val="Calibri"/>
      <b val="1"/>
      <color rgb="001F3864"/>
      <sz val="15"/>
    </font>
    <font>
      <name val="Calibri"/>
      <color rgb="00212121"/>
      <sz val="10"/>
    </font>
    <font>
      <name val="Calibri"/>
      <b val="1"/>
      <color rgb="00FFFFFF"/>
      <sz val="10"/>
    </font>
    <font>
      <b val="1"/>
      <color rgb="00A4262C"/>
      <sz val="9"/>
    </font>
    <font>
      <name val="Consolas"/>
      <b val="1"/>
      <color rgb="001F3864"/>
      <sz val="10"/>
    </font>
    <font>
      <b val="1"/>
      <color rgb="00212121"/>
      <sz val="9"/>
    </font>
    <font>
      <b val="1"/>
      <color rgb="00595959"/>
      <sz val="9"/>
    </font>
    <font>
      <name val="Calibri"/>
      <b val="1"/>
      <color rgb="001B6B3A"/>
      <sz val="8"/>
    </font>
    <font>
      <name val="Calibri"/>
      <b val="1"/>
      <color rgb="00595959"/>
      <sz val="8"/>
    </font>
    <font>
      <name val="Calibri"/>
      <b val="1"/>
      <color rgb="009C6500"/>
      <sz val="8"/>
    </font>
    <font>
      <name val="Calibri"/>
      <i val="1"/>
      <color rgb="00595959"/>
      <sz val="9"/>
    </font>
    <font>
      <name val="Consolas"/>
      <color rgb="00212121"/>
      <sz val="10"/>
    </font>
    <font>
      <name val="Calibri"/>
      <b val="1"/>
      <color rgb="001F3864"/>
      <sz val="11"/>
    </font>
  </fonts>
  <fills count="14">
    <fill>
      <patternFill/>
    </fill>
    <fill>
      <patternFill patternType="gray125"/>
    </fill>
    <fill>
      <patternFill patternType="solid">
        <fgColor rgb="002E75B6"/>
      </patternFill>
    </fill>
    <fill>
      <patternFill patternType="solid">
        <fgColor rgb="002F5597"/>
      </patternFill>
    </fill>
    <fill>
      <patternFill patternType="solid">
        <fgColor rgb="00DCE6F1"/>
      </patternFill>
    </fill>
    <fill>
      <patternFill patternType="solid">
        <fgColor rgb="00FFF8E1"/>
      </patternFill>
    </fill>
    <fill>
      <patternFill patternType="solid">
        <fgColor rgb="00F4F8FC"/>
      </patternFill>
    </fill>
    <fill>
      <patternFill patternType="solid">
        <fgColor rgb="00FFF4E5"/>
      </patternFill>
    </fill>
    <fill>
      <patternFill patternType="solid">
        <fgColor rgb="001F3864"/>
      </patternFill>
    </fill>
    <fill>
      <patternFill patternType="solid">
        <fgColor rgb="00E7F0FA"/>
      </patternFill>
    </fill>
    <fill>
      <patternFill patternType="solid">
        <fgColor rgb="00FFF4D6"/>
      </patternFill>
    </fill>
    <fill>
      <patternFill patternType="solid">
        <fgColor rgb="00FCE8E6"/>
      </patternFill>
    </fill>
    <fill>
      <patternFill patternType="solid">
        <fgColor rgb="00E6F4EA"/>
      </patternFill>
    </fill>
    <fill>
      <patternFill patternType="solid">
        <fgColor rgb="00EEF3F9"/>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1F3864"/>
      </left>
      <right style="thin">
        <color rgb="001F3864"/>
      </right>
      <top style="thin">
        <color rgb="001F3864"/>
      </top>
      <bottom style="medium">
        <color rgb="002E75B6"/>
      </bottom>
    </border>
  </borders>
  <cellStyleXfs count="1">
    <xf numFmtId="0" fontId="0" fillId="0" borderId="0"/>
  </cellStyleXfs>
  <cellXfs count="60">
    <xf numFmtId="0" fontId="0" fillId="0" borderId="0" pivotButton="0" quotePrefix="0" xfId="0"/>
    <xf numFmtId="0" fontId="1" fillId="0" borderId="0" applyAlignment="1" pivotButton="0" quotePrefix="0" xfId="0">
      <alignment vertical="center"/>
    </xf>
    <xf numFmtId="0" fontId="2" fillId="0" borderId="0" pivotButton="0" quotePrefix="0" xfId="0"/>
    <xf numFmtId="0" fontId="0" fillId="2" borderId="0" pivotButton="0" quotePrefix="0" xfId="0"/>
    <xf numFmtId="0" fontId="19" fillId="0" borderId="0" pivotButton="0" quotePrefix="0" xfId="0"/>
    <xf numFmtId="0" fontId="8" fillId="0" borderId="0" applyAlignment="1" pivotButton="0" quotePrefix="0" xfId="0">
      <alignment vertical="top" wrapText="1"/>
    </xf>
    <xf numFmtId="0" fontId="4" fillId="13" borderId="0" applyAlignment="1" pivotButton="0" quotePrefix="0" xfId="0">
      <alignment vertical="top" wrapText="1"/>
    </xf>
    <xf numFmtId="0" fontId="3" fillId="3" borderId="0" applyAlignment="1" pivotButton="0" quotePrefix="0" xfId="0">
      <alignment vertical="center"/>
    </xf>
    <xf numFmtId="0" fontId="6" fillId="6" borderId="1" applyAlignment="1" pivotButton="0" quotePrefix="0" xfId="0">
      <alignment vertical="center" indent="1"/>
    </xf>
    <xf numFmtId="3" fontId="7" fillId="6" borderId="1" applyAlignment="1" pivotButton="0" quotePrefix="0" xfId="0">
      <alignment horizontal="center" vertical="center"/>
    </xf>
    <xf numFmtId="0" fontId="5" fillId="6" borderId="0" applyAlignment="1" pivotButton="0" quotePrefix="0" xfId="0">
      <alignment vertical="top" wrapText="1"/>
    </xf>
    <xf numFmtId="0" fontId="0" fillId="0" borderId="1" pivotButton="0" quotePrefix="0" xfId="0"/>
    <xf numFmtId="165" fontId="7" fillId="6" borderId="1" applyAlignment="1" pivotButton="0" quotePrefix="0" xfId="0">
      <alignment horizontal="center" vertical="center"/>
    </xf>
    <xf numFmtId="0" fontId="9" fillId="8" borderId="2" applyAlignment="1" pivotButton="0" quotePrefix="0" xfId="0">
      <alignment horizontal="center" vertical="center" wrapText="1"/>
    </xf>
    <xf numFmtId="0" fontId="4" fillId="0" borderId="1" applyAlignment="1" pivotButton="0" quotePrefix="0" xfId="0">
      <alignment vertical="top"/>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5" fillId="0" borderId="1" applyAlignment="1" pivotButton="0" quotePrefix="0" xfId="0">
      <alignment vertical="top" wrapText="1"/>
    </xf>
    <xf numFmtId="0" fontId="5" fillId="7" borderId="0" applyAlignment="1" pivotButton="0" quotePrefix="0" xfId="0">
      <alignment vertical="top" wrapText="1"/>
    </xf>
    <xf numFmtId="0" fontId="5" fillId="11" borderId="0" applyAlignment="1" pivotButton="0" quotePrefix="0" xfId="0">
      <alignment vertical="top" wrapText="1"/>
    </xf>
    <xf numFmtId="0" fontId="14" fillId="12" borderId="1" applyAlignment="1" pivotButton="0" quotePrefix="0" xfId="0">
      <alignment horizontal="center" vertical="center"/>
    </xf>
    <xf numFmtId="0" fontId="15" fillId="13" borderId="1" applyAlignment="1" pivotButton="0" quotePrefix="0" xfId="0">
      <alignment horizontal="center" vertical="center"/>
    </xf>
    <xf numFmtId="0" fontId="16" fillId="10" borderId="1" applyAlignment="1" pivotButton="0" quotePrefix="0" xfId="0">
      <alignment horizontal="center" vertical="center"/>
    </xf>
    <xf numFmtId="0" fontId="8" fillId="0" borderId="1" applyAlignment="1" pivotButton="0" quotePrefix="0" xfId="0">
      <alignment vertical="top"/>
    </xf>
    <xf numFmtId="0" fontId="18" fillId="0" borderId="1" applyAlignment="1" pivotButton="0" quotePrefix="0" xfId="0">
      <alignment vertical="top"/>
    </xf>
    <xf numFmtId="164" fontId="8" fillId="0" borderId="1" applyAlignment="1" pivotButton="0" quotePrefix="0" xfId="0">
      <alignment horizontal="center" vertical="center"/>
    </xf>
    <xf numFmtId="0" fontId="17" fillId="13" borderId="1" applyAlignment="1" pivotButton="0" quotePrefix="0" xfId="0">
      <alignment horizontal="center" vertical="center"/>
    </xf>
    <xf numFmtId="0" fontId="17" fillId="13" borderId="1" applyAlignment="1" pivotButton="0" quotePrefix="0" xfId="0">
      <alignment vertical="top"/>
    </xf>
    <xf numFmtId="17" fontId="17" fillId="13" borderId="1" applyAlignment="1" pivotButton="0" quotePrefix="0" xfId="0">
      <alignment horizontal="center" vertical="center"/>
    </xf>
    <xf numFmtId="0" fontId="4" fillId="0" borderId="1" applyAlignment="1" pivotButton="0" quotePrefix="0" xfId="0">
      <alignment horizontal="center" vertical="center"/>
    </xf>
    <xf numFmtId="0" fontId="10" fillId="0" borderId="1" applyAlignment="1" pivotButton="0" quotePrefix="0" xfId="0">
      <alignment horizontal="center" vertical="center"/>
    </xf>
    <xf numFmtId="0" fontId="11" fillId="9" borderId="1" applyAlignment="1" pivotButton="0" quotePrefix="0" xfId="0">
      <alignment vertical="top"/>
    </xf>
    <xf numFmtId="9" fontId="8" fillId="0" borderId="1" applyAlignment="1" pivotButton="0" quotePrefix="0" xfId="0">
      <alignment horizontal="center" vertical="center"/>
    </xf>
    <xf numFmtId="0" fontId="5"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xf>
    <xf numFmtId="0" fontId="4" fillId="5" borderId="1" applyAlignment="1" pivotButton="0" quotePrefix="0" xfId="0">
      <alignment vertical="top"/>
    </xf>
    <xf numFmtId="0" fontId="8" fillId="5" borderId="1" applyAlignment="1" pivotButton="0" quotePrefix="0" xfId="0">
      <alignment horizontal="center" vertical="center"/>
    </xf>
    <xf numFmtId="0" fontId="11" fillId="5" borderId="1" applyAlignment="1" pivotButton="0" quotePrefix="0" xfId="0">
      <alignment vertical="top"/>
    </xf>
    <xf numFmtId="0" fontId="4" fillId="5" borderId="1" applyAlignment="1" pivotButton="0" quotePrefix="0" xfId="0">
      <alignment horizontal="center" vertical="center"/>
    </xf>
    <xf numFmtId="0" fontId="9" fillId="8" borderId="1" applyAlignment="1" pivotButton="0" quotePrefix="0" xfId="0">
      <alignment vertical="top"/>
    </xf>
    <xf numFmtId="0" fontId="0" fillId="8" borderId="1" pivotButton="0" quotePrefix="0" xfId="0"/>
    <xf numFmtId="0" fontId="9" fillId="8" borderId="1" applyAlignment="1" pivotButton="0" quotePrefix="0" xfId="0">
      <alignment horizontal="center" vertical="center"/>
    </xf>
    <xf numFmtId="9" fontId="9" fillId="8" borderId="1" applyAlignment="1" pivotButton="0" quotePrefix="0" xfId="0">
      <alignment horizontal="center" vertical="center"/>
    </xf>
    <xf numFmtId="0" fontId="5" fillId="10" borderId="0" applyAlignment="1" pivotButton="0" quotePrefix="0" xfId="0">
      <alignment vertical="top" wrapText="1"/>
    </xf>
    <xf numFmtId="0" fontId="5" fillId="9" borderId="0" applyAlignment="1" pivotButton="0" quotePrefix="0" xfId="0">
      <alignment vertical="top" wrapText="1"/>
    </xf>
    <xf numFmtId="0" fontId="4" fillId="4" borderId="1" applyAlignment="1" pivotButton="0" quotePrefix="0" xfId="0">
      <alignment vertical="top"/>
    </xf>
    <xf numFmtId="0" fontId="5" fillId="0" borderId="0" applyAlignment="1" pivotButton="0" quotePrefix="0" xfId="0">
      <alignment vertical="top" wrapText="1"/>
    </xf>
    <xf numFmtId="164" fontId="4" fillId="5" borderId="1" applyAlignment="1" pivotButton="0" quotePrefix="0" xfId="0">
      <alignment horizontal="center" vertical="center"/>
    </xf>
    <xf numFmtId="0" fontId="0" fillId="6" borderId="0" pivotButton="0" quotePrefix="0" xfId="0"/>
    <xf numFmtId="0" fontId="18" fillId="0" borderId="1" applyAlignment="1" pivotButton="0" quotePrefix="0" xfId="0">
      <alignment horizontal="center" vertical="center"/>
    </xf>
    <xf numFmtId="165" fontId="9" fillId="8" borderId="1" applyAlignment="1" pivotButton="0" quotePrefix="0" xfId="0">
      <alignment horizontal="center" vertical="center"/>
    </xf>
    <xf numFmtId="17" fontId="4" fillId="5" borderId="1" applyAlignment="1" pivotButton="0" quotePrefix="0" xfId="0">
      <alignment horizontal="center" vertical="center"/>
    </xf>
    <xf numFmtId="17" fontId="4" fillId="0" borderId="1" applyAlignment="1" pivotButton="0" quotePrefix="0" xfId="0">
      <alignment horizontal="center" vertical="center"/>
    </xf>
    <xf numFmtId="0" fontId="4" fillId="4" borderId="1" applyAlignment="1" pivotButton="0" quotePrefix="0" xfId="0">
      <alignment horizontal="center" vertical="center"/>
    </xf>
    <xf numFmtId="0" fontId="5" fillId="0" borderId="0" applyAlignment="1" pivotButton="0" quotePrefix="0" xfId="0">
      <alignment vertical="top"/>
    </xf>
    <xf numFmtId="0" fontId="9" fillId="8" borderId="1" pivotButton="0" quotePrefix="0" xfId="0"/>
    <xf numFmtId="0" fontId="4" fillId="9" borderId="0" applyAlignment="1" pivotButton="0" quotePrefix="0" xfId="0">
      <alignment vertical="top" wrapText="1"/>
    </xf>
    <xf numFmtId="0" fontId="9" fillId="8" borderId="1" applyAlignment="1" pivotButton="0" quotePrefix="0" xfId="0">
      <alignment horizontal="center" vertical="center" wrapText="1"/>
    </xf>
    <xf numFmtId="0" fontId="8" fillId="0" borderId="1" pivotButton="0" quotePrefix="0" xfId="0"/>
  </cellXfs>
  <cellStyles count="1">
    <cellStyle name="Normal" xfId="0" builtinId="0" hidden="0"/>
  </cellStyles>
  <dxfs count="12">
    <dxf>
      <font>
        <name val="Calibri"/>
        <b val="1"/>
        <color rgb="00A4262C"/>
        <sz val="15"/>
      </font>
      <fill>
        <patternFill patternType="solid">
          <fgColor rgb="00FCE8E6"/>
        </patternFill>
      </fill>
    </dxf>
    <dxf>
      <font>
        <name val="Calibri"/>
        <b val="1"/>
        <color rgb="001B6B3A"/>
        <sz val="15"/>
      </font>
      <fill>
        <patternFill patternType="solid">
          <fgColor rgb="00E6F4EA"/>
        </patternFill>
      </fill>
    </dxf>
    <dxf>
      <font>
        <name val="Calibri"/>
        <b val="1"/>
        <color rgb="009C6500"/>
        <sz val="15"/>
      </font>
      <fill>
        <patternFill patternType="solid">
          <fgColor rgb="00FFF4D6"/>
        </patternFill>
      </fill>
    </dxf>
    <dxf>
      <font>
        <b val="1"/>
        <color rgb="00A4262C"/>
        <sz val="10"/>
      </font>
      <fill>
        <patternFill patternType="solid">
          <fgColor rgb="00FCE8E6"/>
        </patternFill>
      </fill>
    </dxf>
    <dxf>
      <fill>
        <patternFill patternType="solid">
          <fgColor rgb="00F7FAFD"/>
        </patternFill>
      </fill>
    </dxf>
    <dxf>
      <font>
        <b val="1"/>
        <color rgb="001B6B3A"/>
        <sz val="9"/>
      </font>
      <fill>
        <patternFill patternType="solid">
          <fgColor rgb="00E6F4EA"/>
        </patternFill>
      </fill>
    </dxf>
    <dxf>
      <font>
        <color rgb="00595959"/>
        <sz val="10"/>
      </font>
      <fill>
        <patternFill patternType="solid">
          <fgColor rgb="00EEF3F9"/>
        </patternFill>
      </fill>
    </dxf>
    <dxf>
      <font>
        <b val="1"/>
        <color rgb="001F5C99"/>
        <sz val="9"/>
      </font>
      <fill>
        <patternFill patternType="solid">
          <fgColor rgb="00E7F0FA"/>
        </patternFill>
      </fill>
    </dxf>
    <dxf>
      <font>
        <b val="1"/>
        <color rgb="00A4262C"/>
        <sz val="9"/>
      </font>
      <fill>
        <patternFill patternType="solid">
          <fgColor rgb="00FCE8E6"/>
        </patternFill>
      </fill>
    </dxf>
    <dxf>
      <fill>
        <patternFill patternType="solid">
          <fgColor rgb="00FFF4D6"/>
        </patternFill>
      </fill>
    </dxf>
    <dxf>
      <font>
        <b val="1"/>
        <color rgb="001B6B3A"/>
        <sz val="10"/>
      </font>
      <fill>
        <patternFill patternType="solid">
          <fgColor rgb="00E6F4EA"/>
        </patternFill>
      </fill>
    </dxf>
    <dxf>
      <font>
        <b val="1"/>
        <color rgb="009C6500"/>
        <sz val="10"/>
      </font>
      <fill>
        <patternFill patternType="solid">
          <f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95959"/>
    <outlinePr summaryBelow="1" summaryRight="1"/>
    <pageSetUpPr/>
  </sheetPr>
  <dimension ref="A1:C39"/>
  <sheetViews>
    <sheetView showGridLines="0" zoomScale="90" workbookViewId="0">
      <selection activeCell="A1" sqref="A1"/>
    </sheetView>
  </sheetViews>
  <sheetFormatPr baseColWidth="8" defaultRowHeight="15"/>
  <cols>
    <col width="3" customWidth="1" min="1" max="1"/>
    <col width="28" customWidth="1" min="2" max="2"/>
    <col width="94" customWidth="1" min="3" max="3"/>
  </cols>
  <sheetData>
    <row r="1" ht="26" customHeight="1">
      <c r="A1" s="1" t="inlineStr">
        <is>
          <t>PracticeLab Chart Pool Tracker</t>
        </is>
      </c>
    </row>
    <row r="2">
      <c r="A2" s="2" t="inlineStr">
        <is>
          <t>What is in the pool, by topic and specialty, uploaded when, and who should practise on it · built 21 October 2026</t>
        </is>
      </c>
    </row>
    <row r="3" ht="3" customHeight="1">
      <c r="A3" s="3" t="n"/>
      <c r="B3" s="3" t="n"/>
      <c r="C3" s="3" t="n"/>
    </row>
    <row r="5">
      <c r="B5" s="4" t="inlineStr">
        <is>
          <t>What this is</t>
        </is>
      </c>
    </row>
    <row r="6" ht="26" customHeight="1">
      <c r="B6" s="5" t="inlineStr">
        <is>
          <t>The training team's working view of the live chart pool. It answers four questions: what do we have, where are the holes, is the build keeping up, and which charts should this cohort get.</t>
        </is>
      </c>
    </row>
    <row r="7" ht="39" customHeight="1">
      <c r="B7" s="5" t="inlineStr">
        <is>
          <t>It is maintained by hand for now. One row per chart on the Chart Database sheet, whose first nine columns are the live charts table in table order — so when the application can export, that export pastes straight in with no reshaping. That is the whole reason the column order looks the way it does.</t>
        </is>
      </c>
    </row>
    <row r="9">
      <c r="B9" s="4" t="inlineStr">
        <is>
          <t>The sheets, in the order you need them</t>
        </is>
      </c>
    </row>
    <row r="10" ht="26" customHeight="1">
      <c r="B10" s="6" t="inlineStr">
        <is>
          <t>Leader Dashboard</t>
        </is>
      </c>
      <c r="C10" s="5" t="inlineStr">
        <is>
          <t>Twelve figures, the specialty table, and a list of where to look next. Read-only, all formulas. Start here.</t>
        </is>
      </c>
    </row>
    <row r="11" ht="13" customHeight="1">
      <c r="B11" s="6" t="inlineStr">
        <is>
          <t>Chart Database</t>
        </is>
      </c>
      <c r="C11" s="5" t="inlineStr">
        <is>
          <t>Where the work is recorded. One row per chart. The only sheet most people type into.</t>
        </is>
      </c>
    </row>
    <row r="12" ht="26" customHeight="1">
      <c r="B12" s="6" t="inlineStr">
        <is>
          <t>Category Dictionary</t>
        </is>
      </c>
      <c r="C12" s="5" t="inlineStr">
        <is>
          <t>The 111 topics and — the point of the sheet — the SHORT NAME to type in the application. Live counts and gaps beside each.</t>
        </is>
      </c>
    </row>
    <row r="13" ht="13" customHeight="1">
      <c r="B13" s="6" t="inlineStr">
        <is>
          <t>Assignment Builder</t>
        </is>
      </c>
      <c r="C13" s="5" t="inlineStr">
        <is>
          <t>Set filters, read the count, filter the database. This is the selective-practice tool.</t>
        </is>
      </c>
    </row>
    <row r="14" ht="13" customHeight="1">
      <c r="B14" s="6" t="inlineStr">
        <is>
          <t>Specialty Overview</t>
        </is>
      </c>
      <c r="C14" s="5" t="inlineStr">
        <is>
          <t>A headcount of charts per specialty, with the difficulty split.</t>
        </is>
      </c>
    </row>
    <row r="15" ht="13" customHeight="1">
      <c r="B15" s="6" t="inlineStr">
        <is>
          <t>Monthly Trend</t>
        </is>
      </c>
      <c r="C15" s="5" t="inlineStr">
        <is>
          <t>Uploads by month and specialty, 24 months from an editable start.</t>
        </is>
      </c>
    </row>
    <row r="16" ht="13" customHeight="1">
      <c r="B16" s="6" t="inlineStr">
        <is>
          <t>Recent Activity</t>
        </is>
      </c>
      <c r="C16" s="5" t="inlineStr">
        <is>
          <t>7, 30 and 90 day windows, plus uploads by trainer.</t>
        </is>
      </c>
    </row>
    <row r="17" ht="13" customHeight="1">
      <c r="B17" s="6" t="inlineStr">
        <is>
          <t>Field Conventions</t>
        </is>
      </c>
      <c r="C17" s="5" t="inlineStr">
        <is>
          <t>What goes in category and alias, and why. Read before briefing a trainer.</t>
        </is>
      </c>
    </row>
    <row r="18" ht="13" customHeight="1">
      <c r="B18" s="6" t="inlineStr">
        <is>
          <t>Lists</t>
        </is>
      </c>
      <c r="C18" s="5" t="inlineStr">
        <is>
          <t>The source of every dropdown. Add a value here, never straight into a cell.</t>
        </is>
      </c>
    </row>
    <row r="20">
      <c r="B20" s="4" t="inlineStr">
        <is>
          <t>The one thing to understand about counting</t>
        </is>
      </c>
    </row>
    <row r="21" ht="26" customHeight="1">
      <c r="B21" s="5" t="inlineStr">
        <is>
          <t>A chart may carry several topics in one comma-separated category string, because that is how the application works. Two sheets therefore count two different things, and both are right:</t>
        </is>
      </c>
    </row>
    <row r="22" ht="13" customHeight="1">
      <c r="B22" s="6" t="inlineStr">
        <is>
          <t>Specialty Overview counts CHARTS</t>
        </is>
      </c>
      <c r="C22" s="5" t="inlineStr">
        <is>
          <t>A chart filed as `Sepsis, AKI` counts once. Use it for a headcount and for % of target.</t>
        </is>
      </c>
    </row>
    <row r="23" ht="26" customHeight="1">
      <c r="B23" s="6" t="inlineStr">
        <is>
          <t>Category Dictionary counts TOPIC COVERAGE</t>
        </is>
      </c>
      <c r="C23" s="5" t="inlineStr">
        <is>
          <t>The same chart counts under Sepsis AND under AKI, because it teaches both. Its total is therefore larger than the number of charts. Use it for gaps.</t>
        </is>
      </c>
    </row>
    <row r="24" ht="39" customHeight="1">
      <c r="B24" s="5" t="inlineStr">
        <is>
          <t>Matching uses the same substring test the application uses, which is why the short names are guaranteed never to contain one another. `Respiratory` inside `Respiratory surgical` would have made one topic's count silently include another's; that is why the names read `Respiratory medical` and `Thoracic surgical`.</t>
        </is>
      </c>
    </row>
    <row r="26">
      <c r="B26" s="4" t="inlineStr">
        <is>
          <t>Keeping it honest</t>
        </is>
      </c>
    </row>
    <row r="27" ht="26" customHeight="1">
      <c r="B27" s="6" t="inlineStr">
        <is>
          <t>After every batch</t>
        </is>
      </c>
      <c r="C27" s="5" t="inlineStr">
        <is>
          <t>Add 1 to Times assigned and set Last assigned on the rows you used. Nothing else keeps the never-assigned reserve meaningful.</t>
        </is>
      </c>
    </row>
    <row r="28" ht="26" customHeight="1">
      <c r="B28" s="6" t="inlineStr">
        <is>
          <t>Answer key</t>
        </is>
      </c>
      <c r="C28" s="5" t="inlineStr">
        <is>
          <t>Set it Yes once a key exists. An Active chart marked No can reach a batch and then fail to score, which is the one error this file is best placed to catch.</t>
        </is>
      </c>
    </row>
    <row r="29" ht="26" customHeight="1">
      <c r="B29" s="6" t="inlineStr">
        <is>
          <t>Retiring</t>
        </is>
      </c>
      <c r="C29" s="5" t="inlineStr">
        <is>
          <t>Set status to Retired. Keep the row — deleting it loses the history of what left the pool and when.</t>
        </is>
      </c>
    </row>
    <row r="30" ht="26" customHeight="1">
      <c r="B30" s="6" t="inlineStr">
        <is>
          <t>Capacity</t>
        </is>
      </c>
      <c r="C30" s="5" t="inlineStr">
        <is>
          <t>Formulas cover database rows 6 to 4005, about a third again over the 2,942-chart target. Paste past row 4005 and the dashboard quietly stops counting the overflow.</t>
        </is>
      </c>
    </row>
    <row r="32">
      <c r="B32" s="4" t="inlineStr">
        <is>
          <t>Its relationship to the other two workbooks</t>
        </is>
      </c>
    </row>
    <row r="33" ht="26" customHeight="1">
      <c r="B33" s="6" t="inlineStr">
        <is>
          <t>Chart Composition Taxonomy</t>
        </is>
      </c>
      <c r="C33" s="5" t="inlineStr">
        <is>
          <t>The standard: what the pool SHOULD contain, topic by topic, with weights and targets. This file's targets come from there.</t>
        </is>
      </c>
    </row>
    <row r="34" ht="26" customHeight="1">
      <c r="B34" s="6" t="inlineStr">
        <is>
          <t>Chart Inventory Tracker</t>
        </is>
      </c>
      <c r="C34" s="5" t="inlineStr">
        <is>
          <t>The build programme: expected dates, FTE, slippage, issues. Deliberately a separate file, because it answers to a different audience on a different cadence.</t>
        </is>
      </c>
    </row>
    <row r="35" ht="26" customHeight="1">
      <c r="B35" s="6" t="inlineStr">
        <is>
          <t>This file</t>
        </is>
      </c>
      <c r="C35" s="5" t="inlineStr">
        <is>
          <t>The live pool and day-to-day assignment, for the whole training team. All three import one topic module, so the taxonomy cannot differ between them.</t>
        </is>
      </c>
    </row>
    <row r="37">
      <c r="B37" s="4" t="inlineStr">
        <is>
          <t>What it cannot do</t>
        </is>
      </c>
    </row>
    <row r="38" ht="39" customHeight="1">
      <c r="B38" s="5" t="inlineStr">
        <is>
          <t>There are no native PivotTables — the tool that writes this file cannot create them. The summary views are formulas instead, which need no refresh and survive being emailed. For ad-hoc pivoting, select the Chart Database and insert a PivotTable; it is a flat table with a header row, which is all a pivot needs.</t>
        </is>
      </c>
    </row>
    <row r="39" ht="39" customHeight="1">
      <c r="B39" s="5" t="inlineStr">
        <is>
          <t>It is not connected to the application. Nothing here reads or writes PracticeLab, and nothing in PracticeLab knows this file exists. The moment the application can export the charts table, the Chart Database sheet is where that export lands.</t>
        </is>
      </c>
    </row>
  </sheetData>
  <mergeCells count="14">
    <mergeCell ref="B39:C39"/>
    <mergeCell ref="B6:C6"/>
    <mergeCell ref="B21:C21"/>
    <mergeCell ref="B24:C24"/>
    <mergeCell ref="B38:C38"/>
    <mergeCell ref="B7:C7"/>
    <mergeCell ref="A1:C1"/>
    <mergeCell ref="B5:C5"/>
    <mergeCell ref="B20:C20"/>
    <mergeCell ref="B37:C37"/>
    <mergeCell ref="B32:C32"/>
    <mergeCell ref="B26:C26"/>
    <mergeCell ref="B9:C9"/>
    <mergeCell ref="A2:C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I39"/>
  <sheetViews>
    <sheetView showGridLines="0" zoomScale="90" workbookViewId="0">
      <selection activeCell="A1" sqref="A1"/>
    </sheetView>
  </sheetViews>
  <sheetFormatPr baseColWidth="8" defaultRowHeight="15"/>
  <cols>
    <col width="30" customWidth="1" min="1" max="1"/>
    <col width="13" customWidth="1" min="2" max="2"/>
    <col width="13" customWidth="1" min="3" max="3"/>
    <col width="4" customWidth="1" min="4" max="4"/>
    <col width="13" customWidth="1" min="5" max="5"/>
    <col width="13" customWidth="1" min="6" max="6"/>
    <col width="13" customWidth="1" min="7" max="7"/>
    <col width="4" customWidth="1" min="8" max="8"/>
    <col width="46" customWidth="1" min="9" max="9"/>
  </cols>
  <sheetData>
    <row r="1" ht="26" customHeight="1">
      <c r="A1" s="1" t="inlineStr">
        <is>
          <t>Chart pool — leader dashboard</t>
        </is>
      </c>
    </row>
    <row r="2">
      <c r="A2" s="2" t="inlineStr">
        <is>
          <t>Everything is a formula over the Chart Database. Nothing on this sheet is typed. Built 21 October 2026.</t>
        </is>
      </c>
    </row>
    <row r="3" ht="3" customHeight="1">
      <c r="A3" s="3" t="n"/>
      <c r="B3" s="3" t="n"/>
      <c r="C3" s="3" t="n"/>
      <c r="D3" s="3" t="n"/>
      <c r="E3" s="3" t="n"/>
      <c r="F3" s="3" t="n"/>
      <c r="G3" s="3" t="n"/>
      <c r="H3" s="3" t="n"/>
      <c r="I3" s="3" t="n"/>
    </row>
    <row r="4" ht="20" customHeight="1">
      <c r="A4" s="7" t="inlineStr">
        <is>
          <t xml:space="preserve">  THE POOL</t>
        </is>
      </c>
    </row>
    <row r="5" ht="20" customHeight="1">
      <c r="A5" s="8" t="inlineStr">
        <is>
          <t>Charts in the pool</t>
        </is>
      </c>
      <c r="B5" s="9">
        <f>COUNTIF('Chart Database'!$F$6:$F$4005,"Active")</f>
        <v/>
      </c>
      <c r="C5" s="10" t="inlineStr">
        <is>
          <t>Active charts available to a batch right now.</t>
        </is>
      </c>
      <c r="I5" s="11" t="n"/>
    </row>
    <row r="6" ht="20" customHeight="1">
      <c r="A6" s="8" t="inlineStr">
        <is>
          <t>Target pool</t>
        </is>
      </c>
      <c r="B6" s="9">
        <f>'Specialty Overview'!$C$12</f>
        <v/>
      </c>
      <c r="C6" s="10" t="inlineStr">
        <is>
          <t>The sum of the seven specialty targets from the composition taxonomy.</t>
        </is>
      </c>
      <c r="I6" s="11" t="n"/>
    </row>
    <row r="7" ht="20" customHeight="1">
      <c r="A7" s="8" t="inlineStr">
        <is>
          <t>Pool complete</t>
        </is>
      </c>
      <c r="B7" s="12">
        <f>IF(B6=0,"NA",B5/B6)</f>
        <v/>
      </c>
      <c r="C7" s="10" t="inlineStr">
        <is>
          <t>Active against target. Reads NA before a target exists.</t>
        </is>
      </c>
      <c r="I7" s="11" t="n"/>
    </row>
    <row r="8" ht="20" customHeight="1">
      <c r="A8" s="8" t="inlineStr">
        <is>
          <t>Retired</t>
        </is>
      </c>
      <c r="B8" s="9">
        <f>COUNTIF('Chart Database'!$F$6:$F$4005,"Retired")</f>
        <v/>
      </c>
      <c r="C8" s="10" t="inlineStr">
        <is>
          <t>Kept as rows, not deleted, so the history of what left the pool survives.</t>
        </is>
      </c>
      <c r="I8" s="11" t="n"/>
    </row>
    <row r="9" ht="20" customHeight="1">
      <c r="A9" s="8" t="inlineStr">
        <is>
          <t>Cannot be graded</t>
        </is>
      </c>
      <c r="B9" s="9">
        <f>COUNTIFS('Chart Database'!$O$6:$O$4005,"No",'Chart Database'!$F$6:$F$4005,"Active")</f>
        <v/>
      </c>
      <c r="C9" s="10" t="inlineStr">
        <is>
          <t>Active charts with no answer key. These can reach a batch and then cannot be scored.</t>
        </is>
      </c>
      <c r="I9" s="11" t="n"/>
    </row>
    <row r="10" ht="20" customHeight="1">
      <c r="A10" s="8" t="inlineStr">
        <is>
          <t>Multi-topic charts</t>
        </is>
      </c>
      <c r="B10" s="9">
        <f>COUNTIFS('Chart Database'!$J$6:$J$4005,"&gt;=2",'Chart Database'!$F$6:$F$4005,"Active")</f>
        <v/>
      </c>
      <c r="C10" s="10" t="inlineStr">
        <is>
          <t>Carrying more than one category, so they cover more ground per chart.</t>
        </is>
      </c>
      <c r="I10" s="11" t="n"/>
    </row>
    <row r="11" ht="20" customHeight="1">
      <c r="A11" s="8" t="inlineStr">
        <is>
          <t>Never assigned</t>
        </is>
      </c>
      <c r="B11" s="9">
        <f>COUNTIFS('Chart Database'!$Q$6:$Q$4005,0,'Chart Database'!$F$6:$F$4005,"Active")</f>
        <v/>
      </c>
      <c r="C11" s="10" t="inlineStr">
        <is>
          <t>Unseen by anyone — the reserve for assessments and reassessments.</t>
        </is>
      </c>
      <c r="I11" s="11" t="n"/>
    </row>
    <row r="12" ht="24" customHeight="1">
      <c r="A12" s="8" t="inlineStr">
        <is>
          <t>Charts with an off-list category</t>
        </is>
      </c>
      <c r="B12" s="9">
        <f>SUMPRODUCT(--('Chart Database'!$A$6:$A$4005&lt;&gt;""),--(N('Chart Database'!$K$6:$K$4005)&lt;N('Chart Database'!$J$6:$J$4005)))</f>
        <v/>
      </c>
      <c r="C12" s="10" t="inlineStr">
        <is>
          <t>Charts carrying a category name that is in no dictionary row. They count as charts but toward no topic's coverage, so they are invisible until registered.</t>
        </is>
      </c>
      <c r="I12" s="11" t="n"/>
    </row>
    <row r="13" ht="24" customHeight="1">
      <c r="A13" s="8" t="inlineStr">
        <is>
          <t>Name clashes in the dictionary</t>
        </is>
      </c>
      <c r="B13" s="9">
        <f>COUNTIF('Category Dictionary'!$K$5:$K$135,"CLASH*")</f>
        <v/>
      </c>
      <c r="C13" s="10" t="inlineStr">
        <is>
          <t>A short name that contains or sits inside another in the same specialty. Both of their counts are wrong until it is renamed.</t>
        </is>
      </c>
      <c r="I13" s="11" t="n"/>
    </row>
    <row r="14" ht="20" customHeight="1">
      <c r="A14" s="8" t="inlineStr">
        <is>
          <t>Topics with nothing at all</t>
        </is>
      </c>
      <c r="B14" s="9">
        <f>COUNTIFS('Category Dictionary'!$H$5:$H$135,0,'Category Dictionary'!$D$5:$D$135,"&lt;&gt;")</f>
        <v/>
      </c>
      <c r="C14" s="10" t="inlineStr">
        <is>
          <t>Of 111 topics, how many have no chart. The sourcing list, in one number.</t>
        </is>
      </c>
      <c r="I14" s="11" t="n"/>
    </row>
    <row r="15" ht="20" customHeight="1">
      <c r="A15" s="8" t="inlineStr">
        <is>
          <t>Topics below target</t>
        </is>
      </c>
      <c r="B15" s="9">
        <f>COUNTIFS('Category Dictionary'!$J$5:$J$135,"&gt;0",'Category Dictionary'!$D$5:$D$135,"&lt;&gt;")</f>
        <v/>
      </c>
      <c r="C15" s="10" t="inlineStr">
        <is>
          <t>Topics with a gap of one chart or more.</t>
        </is>
      </c>
      <c r="I15" s="11" t="n"/>
    </row>
    <row r="16" ht="20" customHeight="1">
      <c r="A16" s="8" t="inlineStr">
        <is>
          <t>Uploaded this month</t>
        </is>
      </c>
      <c r="B16" s="9">
        <f>COUNTIFS('Chart Database'!$H$6:$H$4005,"&gt;="&amp;DATE(YEAR(TODAY()),MONTH(TODAY()),1),'Chart Database'!$H$6:$H$4005,"&lt;="&amp;TODAY())</f>
        <v/>
      </c>
      <c r="C16" s="10" t="inlineStr">
        <is>
          <t>The build rate, measured rather than assumed.</t>
        </is>
      </c>
      <c r="I16" s="11" t="n"/>
    </row>
    <row r="17" ht="20" customHeight="1">
      <c r="A17" s="8" t="inlineStr">
        <is>
          <t>Uploaded last 90 days</t>
        </is>
      </c>
      <c r="B17" s="9">
        <f>COUNTIFS('Chart Database'!$H$6:$H$4005,"&gt;="&amp;TODAY()-90,'Chart Database'!$H$6:$H$4005,"&lt;="&amp;TODAY())</f>
        <v/>
      </c>
      <c r="C17" s="10" t="inlineStr">
        <is>
          <t>A steadier read than one month, which one trainer's backlog can distort.</t>
        </is>
      </c>
      <c r="I17" s="11" t="n"/>
    </row>
    <row r="18" ht="20" customHeight="1">
      <c r="A18" s="8" t="inlineStr">
        <is>
          <t>Oldest active chart, days</t>
        </is>
      </c>
      <c r="B18" s="9">
        <f>SUMPRODUCT(MAX(('Chart Database'!$F$6:$F$4005="Active")*('Chart Database'!$H$6:$H$4005&lt;&gt;"")*(TODAY()-'Chart Database'!$H$6:$H$4005)))</f>
        <v/>
      </c>
      <c r="C18" s="10" t="inlineStr">
        <is>
          <t>Days since the oldest chart was uploaded. Past about 540 it predates a code-set year.</t>
        </is>
      </c>
      <c r="I18" s="11" t="n"/>
    </row>
    <row r="20" ht="20" customHeight="1">
      <c r="A20" s="7" t="inlineStr">
        <is>
          <t xml:space="preserve">  BY SPECIALTY</t>
        </is>
      </c>
    </row>
    <row r="21" ht="30" customHeight="1">
      <c r="A21" s="13" t="inlineStr">
        <is>
          <t>Specialty</t>
        </is>
      </c>
      <c r="B21" s="13" t="inlineStr">
        <is>
          <t>Target</t>
        </is>
      </c>
      <c r="C21" s="13" t="inlineStr">
        <is>
          <t>Active</t>
        </is>
      </c>
      <c r="D21" s="13" t="inlineStr">
        <is>
          <t>% of target</t>
        </is>
      </c>
      <c r="E21" s="13" t="inlineStr">
        <is>
          <t>Beginner</t>
        </is>
      </c>
      <c r="F21" s="13" t="inlineStr">
        <is>
          <t>Intermediate</t>
        </is>
      </c>
      <c r="G21" s="13" t="inlineStr">
        <is>
          <t>Advanced</t>
        </is>
      </c>
      <c r="H21" s="13" t="inlineStr">
        <is>
          <t>No key</t>
        </is>
      </c>
      <c r="I21" s="13" t="inlineStr">
        <is>
          <t>Status</t>
        </is>
      </c>
    </row>
    <row r="22" ht="22" customHeight="1">
      <c r="A22" s="14" t="inlineStr">
        <is>
          <t>IP-DRG</t>
        </is>
      </c>
      <c r="B22" s="15">
        <f>'Specialty Overview'!$C$5</f>
        <v/>
      </c>
      <c r="C22" s="15">
        <f>'Specialty Overview'!$D$5</f>
        <v/>
      </c>
      <c r="D22" s="16">
        <f>'Specialty Overview'!$G$5</f>
        <v/>
      </c>
      <c r="E22" s="15">
        <f>'Specialty Overview'!$H$5</f>
        <v/>
      </c>
      <c r="F22" s="15">
        <f>'Specialty Overview'!$I$5</f>
        <v/>
      </c>
      <c r="G22" s="15">
        <f>'Specialty Overview'!$J$5</f>
        <v/>
      </c>
      <c r="H22" s="15">
        <f>'Specialty Overview'!$K$5</f>
        <v/>
      </c>
      <c r="I22" s="17">
        <f>'Specialty Overview'!$N$5</f>
        <v/>
      </c>
    </row>
    <row r="23" ht="22" customHeight="1">
      <c r="A23" s="14" t="inlineStr">
        <is>
          <t>ED Facility</t>
        </is>
      </c>
      <c r="B23" s="15">
        <f>'Specialty Overview'!$C$6</f>
        <v/>
      </c>
      <c r="C23" s="15">
        <f>'Specialty Overview'!$D$6</f>
        <v/>
      </c>
      <c r="D23" s="16">
        <f>'Specialty Overview'!$G$6</f>
        <v/>
      </c>
      <c r="E23" s="15">
        <f>'Specialty Overview'!$H$6</f>
        <v/>
      </c>
      <c r="F23" s="15">
        <f>'Specialty Overview'!$I$6</f>
        <v/>
      </c>
      <c r="G23" s="15">
        <f>'Specialty Overview'!$J$6</f>
        <v/>
      </c>
      <c r="H23" s="15">
        <f>'Specialty Overview'!$K$6</f>
        <v/>
      </c>
      <c r="I23" s="17">
        <f>'Specialty Overview'!$N$6</f>
        <v/>
      </c>
    </row>
    <row r="24" ht="22" customHeight="1">
      <c r="A24" s="14" t="inlineStr">
        <is>
          <t>ED Profee</t>
        </is>
      </c>
      <c r="B24" s="15">
        <f>'Specialty Overview'!$C$7</f>
        <v/>
      </c>
      <c r="C24" s="15">
        <f>'Specialty Overview'!$D$7</f>
        <v/>
      </c>
      <c r="D24" s="16">
        <f>'Specialty Overview'!$G$7</f>
        <v/>
      </c>
      <c r="E24" s="15">
        <f>'Specialty Overview'!$H$7</f>
        <v/>
      </c>
      <c r="F24" s="15">
        <f>'Specialty Overview'!$I$7</f>
        <v/>
      </c>
      <c r="G24" s="15">
        <f>'Specialty Overview'!$J$7</f>
        <v/>
      </c>
      <c r="H24" s="15">
        <f>'Specialty Overview'!$K$7</f>
        <v/>
      </c>
      <c r="I24" s="17">
        <f>'Specialty Overview'!$N$7</f>
        <v/>
      </c>
    </row>
    <row r="25" ht="22" customHeight="1">
      <c r="A25" s="14" t="inlineStr">
        <is>
          <t>E/M</t>
        </is>
      </c>
      <c r="B25" s="15">
        <f>'Specialty Overview'!$C$8</f>
        <v/>
      </c>
      <c r="C25" s="15">
        <f>'Specialty Overview'!$D$8</f>
        <v/>
      </c>
      <c r="D25" s="16">
        <f>'Specialty Overview'!$G$8</f>
        <v/>
      </c>
      <c r="E25" s="15">
        <f>'Specialty Overview'!$H$8</f>
        <v/>
      </c>
      <c r="F25" s="15">
        <f>'Specialty Overview'!$I$8</f>
        <v/>
      </c>
      <c r="G25" s="15">
        <f>'Specialty Overview'!$J$8</f>
        <v/>
      </c>
      <c r="H25" s="15">
        <f>'Specialty Overview'!$K$8</f>
        <v/>
      </c>
      <c r="I25" s="17">
        <f>'Specialty Overview'!$N$8</f>
        <v/>
      </c>
    </row>
    <row r="26" ht="22" customHeight="1">
      <c r="A26" s="14" t="inlineStr">
        <is>
          <t>SDS</t>
        </is>
      </c>
      <c r="B26" s="15">
        <f>'Specialty Overview'!$C$9</f>
        <v/>
      </c>
      <c r="C26" s="15">
        <f>'Specialty Overview'!$D$9</f>
        <v/>
      </c>
      <c r="D26" s="16">
        <f>'Specialty Overview'!$G$9</f>
        <v/>
      </c>
      <c r="E26" s="15">
        <f>'Specialty Overview'!$H$9</f>
        <v/>
      </c>
      <c r="F26" s="15">
        <f>'Specialty Overview'!$I$9</f>
        <v/>
      </c>
      <c r="G26" s="15">
        <f>'Specialty Overview'!$J$9</f>
        <v/>
      </c>
      <c r="H26" s="15">
        <f>'Specialty Overview'!$K$9</f>
        <v/>
      </c>
      <c r="I26" s="17">
        <f>'Specialty Overview'!$N$9</f>
        <v/>
      </c>
    </row>
    <row r="27" ht="22" customHeight="1">
      <c r="A27" s="14" t="inlineStr">
        <is>
          <t>Surgery</t>
        </is>
      </c>
      <c r="B27" s="15">
        <f>'Specialty Overview'!$C$10</f>
        <v/>
      </c>
      <c r="C27" s="15">
        <f>'Specialty Overview'!$D$10</f>
        <v/>
      </c>
      <c r="D27" s="16">
        <f>'Specialty Overview'!$G$10</f>
        <v/>
      </c>
      <c r="E27" s="15">
        <f>'Specialty Overview'!$H$10</f>
        <v/>
      </c>
      <c r="F27" s="15">
        <f>'Specialty Overview'!$I$10</f>
        <v/>
      </c>
      <c r="G27" s="15">
        <f>'Specialty Overview'!$J$10</f>
        <v/>
      </c>
      <c r="H27" s="15">
        <f>'Specialty Overview'!$K$10</f>
        <v/>
      </c>
      <c r="I27" s="17">
        <f>'Specialty Overview'!$N$10</f>
        <v/>
      </c>
    </row>
    <row r="28" ht="22" customHeight="1">
      <c r="A28" s="14" t="inlineStr">
        <is>
          <t>ED Single Path</t>
        </is>
      </c>
      <c r="B28" s="15">
        <f>'Specialty Overview'!$C$11</f>
        <v/>
      </c>
      <c r="C28" s="15">
        <f>'Specialty Overview'!$D$11</f>
        <v/>
      </c>
      <c r="D28" s="16">
        <f>'Specialty Overview'!$G$11</f>
        <v/>
      </c>
      <c r="E28" s="15">
        <f>'Specialty Overview'!$H$11</f>
        <v/>
      </c>
      <c r="F28" s="15">
        <f>'Specialty Overview'!$I$11</f>
        <v/>
      </c>
      <c r="G28" s="15">
        <f>'Specialty Overview'!$J$11</f>
        <v/>
      </c>
      <c r="H28" s="15">
        <f>'Specialty Overview'!$K$11</f>
        <v/>
      </c>
      <c r="I28" s="17">
        <f>'Specialty Overview'!$N$11</f>
        <v/>
      </c>
    </row>
    <row r="30" ht="20" customHeight="1">
      <c r="A30" s="7" t="inlineStr">
        <is>
          <t xml:space="preserve">  WHERE TO LOOK NEXT</t>
        </is>
      </c>
    </row>
    <row r="31" ht="17" customHeight="1">
      <c r="A31" s="5" t="inlineStr">
        <is>
          <t>Topics with nothing at all  →  Category Dictionary, filter the In pool column to 0. That is the sourcing list.</t>
        </is>
      </c>
    </row>
    <row r="32" ht="17" customHeight="1">
      <c r="A32" s="5" t="inlineStr">
        <is>
          <t>Charts that cannot be graded  →  Chart Database, filter Answer key to No. Each one can reach a batch and then fail to score.</t>
        </is>
      </c>
    </row>
    <row r="33" ht="17" customHeight="1">
      <c r="A33" s="5" t="inlineStr">
        <is>
          <t>Who should practise what  →  Assignment Builder. Set the filters, then filter the database by Matches filter.</t>
        </is>
      </c>
    </row>
    <row r="34" ht="17" customHeight="1">
      <c r="A34" s="5" t="inlineStr">
        <is>
          <t>Is the build keeping up  →  Monthly Trend. The data bar in the Total column is the rate.</t>
        </is>
      </c>
    </row>
    <row r="35" ht="17" customHeight="1">
      <c r="A35" s="5" t="inlineStr">
        <is>
          <t>What changed lately  →  Recent Activity, by 7, 30 and 90 day windows and by trainer.</t>
        </is>
      </c>
    </row>
    <row r="36" ht="17" customHeight="1">
      <c r="A36" s="5" t="inlineStr">
        <is>
          <t>What a trainer should type  →  Category Dictionary, the SHORT NAME column. That is the whole vocabulary.</t>
        </is>
      </c>
    </row>
    <row r="38" ht="26" customHeight="1">
      <c r="A38" s="18" t="inlineStr">
        <is>
          <t>Pool complete divides ACTIVE charts by the taxonomy target. It is a headcount: a chart carrying three topics still counts once here, and three times on the Category Dictionary, which is why that sheet's total is larger.</t>
        </is>
      </c>
    </row>
    <row r="39" ht="26" customHeight="1">
      <c r="A39" s="19" t="inlineStr">
        <is>
          <t>Every figure on this sheet reads Chart Database rows 6 to 4005. Paste beyond row 4005 and the dashboard silently stops counting the overflow, so extend the formulas rather than typing past the end.</t>
        </is>
      </c>
    </row>
  </sheetData>
  <mergeCells count="27">
    <mergeCell ref="C17:I17"/>
    <mergeCell ref="C8:I8"/>
    <mergeCell ref="C7:I7"/>
    <mergeCell ref="C13:I13"/>
    <mergeCell ref="A2:I2"/>
    <mergeCell ref="C18:I18"/>
    <mergeCell ref="A33:I33"/>
    <mergeCell ref="A32:I32"/>
    <mergeCell ref="C6:I6"/>
    <mergeCell ref="C15:I15"/>
    <mergeCell ref="A35:I35"/>
    <mergeCell ref="A4:I4"/>
    <mergeCell ref="A20:I20"/>
    <mergeCell ref="C5:I5"/>
    <mergeCell ref="A38:I38"/>
    <mergeCell ref="C14:I14"/>
    <mergeCell ref="A31:I31"/>
    <mergeCell ref="C10:I10"/>
    <mergeCell ref="C16:I16"/>
    <mergeCell ref="A39:I39"/>
    <mergeCell ref="A34:I34"/>
    <mergeCell ref="A30:I30"/>
    <mergeCell ref="C9:I9"/>
    <mergeCell ref="A36:I36"/>
    <mergeCell ref="A1:I1"/>
    <mergeCell ref="C12:I12"/>
    <mergeCell ref="C11:I11"/>
  </mergeCells>
  <conditionalFormatting sqref="B9">
    <cfRule type="cellIs" priority="1" operator="greaterThan" dxfId="0">
      <formula>0</formula>
    </cfRule>
  </conditionalFormatting>
  <conditionalFormatting sqref="B10">
    <cfRule type="cellIs" priority="2" operator="greaterThan" dxfId="1">
      <formula>0</formula>
    </cfRule>
  </conditionalFormatting>
  <conditionalFormatting sqref="B11">
    <cfRule type="cellIs" priority="3" operator="greaterThan" dxfId="1">
      <formula>0</formula>
    </cfRule>
  </conditionalFormatting>
  <conditionalFormatting sqref="B12">
    <cfRule type="cellIs" priority="4" operator="greaterThan" dxfId="0">
      <formula>0</formula>
    </cfRule>
  </conditionalFormatting>
  <conditionalFormatting sqref="B13">
    <cfRule type="cellIs" priority="5" operator="greaterThan" dxfId="0">
      <formula>0</formula>
    </cfRule>
  </conditionalFormatting>
  <conditionalFormatting sqref="B14">
    <cfRule type="cellIs" priority="6" operator="greaterThan" dxfId="0">
      <formula>0</formula>
    </cfRule>
  </conditionalFormatting>
  <conditionalFormatting sqref="B15">
    <cfRule type="cellIs" priority="7" operator="greaterThan" dxfId="2">
      <formula>0</formula>
    </cfRule>
  </conditionalFormatting>
  <conditionalFormatting sqref="B16">
    <cfRule type="cellIs" priority="8" operator="greaterThan" dxfId="1">
      <formula>0</formula>
    </cfRule>
  </conditionalFormatting>
  <conditionalFormatting sqref="B18">
    <cfRule type="cellIs" priority="9" operator="greaterThan" dxfId="2">
      <formula>0</formula>
    </cfRule>
  </conditionalFormatting>
  <conditionalFormatting sqref="B7">
    <cfRule type="cellIs" priority="10" operator="greaterThanOrEqual" dxfId="1">
      <formula>0.8</formula>
    </cfRule>
  </conditionalFormatting>
  <conditionalFormatting sqref="D22:D28">
    <cfRule type="dataBar" priority="11">
      <dataBar showValue="1">
        <cfvo type="num" val="0"/>
        <cfvo type="num" val="1"/>
        <color rgb="002E75B6"/>
      </dataBar>
    </cfRule>
  </conditionalFormatting>
  <conditionalFormatting sqref="H22:H28">
    <cfRule type="cellIs" priority="12" operator="greaterThan" dxfId="3">
      <formula>0</formula>
    </cfRule>
  </conditionalFormatting>
  <pageMargins left="0.75" right="0.75" top="1" bottom="1" header="0.5" footer="0.5"/>
</worksheet>
</file>

<file path=xl/worksheets/sheet3.xml><?xml version="1.0" encoding="utf-8"?>
<worksheet xmlns="http://schemas.openxmlformats.org/spreadsheetml/2006/main">
  <sheetPr>
    <tabColor rgb="001B6B3A"/>
    <outlinePr summaryBelow="1" summaryRight="1"/>
    <pageSetUpPr/>
  </sheetPr>
  <dimension ref="A1:T4005"/>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34" customWidth="1" min="3" max="3"/>
    <col width="12" customWidth="1" min="4" max="4"/>
    <col width="30" customWidth="1" min="5" max="5"/>
    <col width="10" customWidth="1" min="6" max="6"/>
    <col width="15" customWidth="1" min="7" max="7"/>
    <col width="11" customWidth="1" min="8" max="8"/>
    <col width="9" customWidth="1" min="9" max="9"/>
    <col width="11" customWidth="1" min="10" max="10"/>
    <col width="11" customWidth="1" min="11" max="11"/>
    <col width="20" customWidth="1" min="12" max="12"/>
    <col width="11" customWidth="1" min="13" max="13"/>
    <col width="10" customWidth="1" min="14" max="14"/>
    <col width="10" customWidth="1" min="15" max="15"/>
    <col width="9" customWidth="1" min="16" max="16"/>
    <col width="9" customWidth="1" min="17" max="17"/>
    <col width="11" customWidth="1" min="18" max="18"/>
    <col width="12" customWidth="1" min="19" max="19"/>
    <col width="30" customWidth="1" min="20" max="20"/>
  </cols>
  <sheetData>
    <row r="1" ht="26" customHeight="1">
      <c r="A1" s="1" t="inlineStr">
        <is>
          <t>Chart Database</t>
        </is>
      </c>
    </row>
    <row r="2">
      <c r="A2" s="2" t="inlineStr">
        <is>
          <t>One row per chart. The first nine columns are the live charts table, in order — paste an export straight in. Grey columns fill themselves.</t>
        </is>
      </c>
    </row>
    <row r="3" ht="3" customHeight="1">
      <c r="A3" s="3" t="n"/>
      <c r="B3" s="3" t="n"/>
      <c r="C3" s="3" t="n"/>
      <c r="D3" s="3" t="n"/>
      <c r="E3" s="3" t="n"/>
      <c r="F3" s="3" t="n"/>
      <c r="G3" s="3" t="n"/>
      <c r="H3" s="3" t="n"/>
      <c r="I3" s="3" t="n"/>
      <c r="J3" s="3" t="n"/>
      <c r="K3" s="3" t="n"/>
      <c r="L3" s="3" t="n"/>
      <c r="M3" s="3" t="n"/>
      <c r="N3" s="3" t="n"/>
      <c r="O3" s="3" t="n"/>
      <c r="P3" s="3" t="n"/>
      <c r="Q3" s="3" t="n"/>
      <c r="R3" s="3" t="n"/>
      <c r="S3" s="3" t="n"/>
      <c r="T3" s="3" t="n"/>
    </row>
    <row r="4" ht="13" customHeight="1">
      <c r="A4" s="20" t="inlineStr">
        <is>
          <t>FROM THE APP</t>
        </is>
      </c>
      <c r="B4" s="20" t="inlineStr">
        <is>
          <t>FROM THE APP</t>
        </is>
      </c>
      <c r="C4" s="20" t="inlineStr">
        <is>
          <t>FROM THE APP</t>
        </is>
      </c>
      <c r="D4" s="20" t="inlineStr">
        <is>
          <t>FROM THE APP</t>
        </is>
      </c>
      <c r="E4" s="20" t="inlineStr">
        <is>
          <t>FROM THE APP</t>
        </is>
      </c>
      <c r="F4" s="20" t="inlineStr">
        <is>
          <t>FROM THE APP</t>
        </is>
      </c>
      <c r="G4" s="20" t="inlineStr">
        <is>
          <t>FROM THE APP</t>
        </is>
      </c>
      <c r="H4" s="20" t="inlineStr">
        <is>
          <t>FROM THE APP</t>
        </is>
      </c>
      <c r="I4" s="20" t="inlineStr">
        <is>
          <t>FROM THE APP</t>
        </is>
      </c>
      <c r="J4" s="21" t="inlineStr">
        <is>
          <t>AUTO</t>
        </is>
      </c>
      <c r="K4" s="21" t="inlineStr">
        <is>
          <t>AUTO</t>
        </is>
      </c>
      <c r="L4" s="21" t="inlineStr">
        <is>
          <t>AUTO</t>
        </is>
      </c>
      <c r="M4" s="21" t="inlineStr">
        <is>
          <t>AUTO</t>
        </is>
      </c>
      <c r="N4" s="21" t="inlineStr">
        <is>
          <t>AUTO</t>
        </is>
      </c>
      <c r="O4" s="22" t="inlineStr">
        <is>
          <t>WE MAINTAIN</t>
        </is>
      </c>
      <c r="P4" s="22" t="inlineStr">
        <is>
          <t>WE MAINTAIN</t>
        </is>
      </c>
      <c r="Q4" s="22" t="inlineStr">
        <is>
          <t>WE MAINTAIN</t>
        </is>
      </c>
      <c r="R4" s="22" t="inlineStr">
        <is>
          <t>WE MAINTAIN</t>
        </is>
      </c>
      <c r="S4" s="21" t="inlineStr">
        <is>
          <t>AUTO</t>
        </is>
      </c>
      <c r="T4" s="22" t="inlineStr">
        <is>
          <t>WE MAINTAIN</t>
        </is>
      </c>
    </row>
    <row r="5" ht="40" customHeight="1">
      <c r="A5" s="13" t="inlineStr">
        <is>
          <t>chart_number</t>
        </is>
      </c>
      <c r="B5" s="13" t="inlineStr">
        <is>
          <t>specialty</t>
        </is>
      </c>
      <c r="C5" s="13" t="inlineStr">
        <is>
          <t>category</t>
        </is>
      </c>
      <c r="D5" s="13" t="inlineStr">
        <is>
          <t>difficulty</t>
        </is>
      </c>
      <c r="E5" s="13" t="inlineStr">
        <is>
          <t>alias</t>
        </is>
      </c>
      <c r="F5" s="13" t="inlineStr">
        <is>
          <t>status</t>
        </is>
      </c>
      <c r="G5" s="13" t="inlineStr">
        <is>
          <t>uploaded_by</t>
        </is>
      </c>
      <c r="H5" s="13" t="inlineStr">
        <is>
          <t>created_at</t>
        </is>
      </c>
      <c r="I5" s="13" t="inlineStr">
        <is>
          <t>view_count</t>
        </is>
      </c>
      <c r="J5" s="13" t="inlineStr">
        <is>
          <t>Topics on chart
(auto)</t>
        </is>
      </c>
      <c r="K5" s="13" t="inlineStr">
        <is>
          <t>Recognised
(auto)</t>
        </is>
      </c>
      <c r="L5" s="13" t="inlineStr">
        <is>
          <t>Primary topic
(auto)</t>
        </is>
      </c>
      <c r="M5" s="13" t="inlineStr">
        <is>
          <t>Upload month
(auto)</t>
        </is>
      </c>
      <c r="N5" s="13" t="inlineStr">
        <is>
          <t>Days in pool
(auto)</t>
        </is>
      </c>
      <c r="O5" s="13" t="inlineStr">
        <is>
          <t>Answer key</t>
        </is>
      </c>
      <c r="P5" s="13" t="inlineStr">
        <is>
          <t>Error set
versions</t>
        </is>
      </c>
      <c r="Q5" s="13" t="inlineStr">
        <is>
          <t>Times
assigned</t>
        </is>
      </c>
      <c r="R5" s="13" t="inlineStr">
        <is>
          <t>Last assigned</t>
        </is>
      </c>
      <c r="S5" s="13" t="inlineStr">
        <is>
          <t>Matches filter
(auto)</t>
        </is>
      </c>
      <c r="T5" s="13" t="inlineStr">
        <is>
          <t>Notes</t>
        </is>
      </c>
    </row>
    <row r="6">
      <c r="A6" s="23" t="n"/>
      <c r="B6" s="23" t="n"/>
      <c r="C6" s="24" t="n"/>
      <c r="D6" s="15" t="n"/>
      <c r="E6" s="23" t="n"/>
      <c r="F6" s="15" t="n"/>
      <c r="G6" s="23" t="n"/>
      <c r="H6" s="25" t="n"/>
      <c r="I6" s="15" t="n"/>
      <c r="J6" s="26">
        <f>IF($A6="","",LEN($C6)-LEN(SUBSTITUTE($C6,",",""))+1)</f>
        <v/>
      </c>
      <c r="K6" s="26">
        <f>IF($A6="","",SUMPRODUCT(--ISNUMBER(SEARCH('Category Dictionary'!$D$5:$D$135&amp;"",$C6)),--('Category Dictionary'!$D$5:$D$135&lt;&gt;"")))</f>
        <v/>
      </c>
      <c r="L6" s="27">
        <f>IF($A6="","",TRIM(IF(ISERROR(FIND(",",$C6)),$C6,LEFT($C6,FIND(",",$C6)-1))))</f>
        <v/>
      </c>
      <c r="M6" s="28">
        <f>IF($H6="","",DATE(YEAR($H6),MONTH($H6),1))</f>
        <v/>
      </c>
      <c r="N6" s="26">
        <f>IF($H6="","",TODAY()-$H6)</f>
        <v/>
      </c>
      <c r="O6" s="15" t="n"/>
      <c r="P6" s="15" t="n"/>
      <c r="Q6" s="15" t="n"/>
      <c r="R6" s="25" t="n"/>
      <c r="S6" s="26">
        <f>IF($A6="","",AND(OR('Assignment Builder'!$B$5="",$B6='Assignment Builder'!$B$5),OR('Assignment Builder'!$B$6="",ISNUMBER(SEARCH('Assignment Builder'!$B$6,$C6))),OR('Assignment Builder'!$B$7="",'Assignment Builder'!$B$7=IFERROR(INDEX('Category Dictionary'!$C$5:$C$135,MATCH($L6,'Category Dictionary'!$D$5:$D$135,0)),"")),OR('Assignment Builder'!$B$8="",$D6='Assignment Builder'!$B$8),OR('Assignment Builder'!$B$9="",$F6='Assignment Builder'!$B$9),OR('Assignment Builder'!$B$10="",$O6='Assignment Builder'!$B$10),OR('Assignment Builder'!$B$11="",$H6&gt;='Assignment Builder'!$B$11),OR('Assignment Builder'!$B$12="",N($Q6)&lt;='Assignment Builder'!$B$12)))</f>
        <v/>
      </c>
      <c r="T6" s="23" t="n"/>
    </row>
    <row r="7">
      <c r="A7" s="23" t="n"/>
      <c r="B7" s="23" t="n"/>
      <c r="C7" s="24" t="n"/>
      <c r="D7" s="15" t="n"/>
      <c r="E7" s="23" t="n"/>
      <c r="F7" s="15" t="n"/>
      <c r="G7" s="23" t="n"/>
      <c r="H7" s="25" t="n"/>
      <c r="I7" s="15" t="n"/>
      <c r="J7" s="26">
        <f>IF($A7="","",LEN($C7)-LEN(SUBSTITUTE($C7,",",""))+1)</f>
        <v/>
      </c>
      <c r="K7" s="26">
        <f>IF($A7="","",SUMPRODUCT(--ISNUMBER(SEARCH('Category Dictionary'!$D$5:$D$135&amp;"",$C7)),--('Category Dictionary'!$D$5:$D$135&lt;&gt;"")))</f>
        <v/>
      </c>
      <c r="L7" s="27">
        <f>IF($A7="","",TRIM(IF(ISERROR(FIND(",",$C7)),$C7,LEFT($C7,FIND(",",$C7)-1))))</f>
        <v/>
      </c>
      <c r="M7" s="28">
        <f>IF($H7="","",DATE(YEAR($H7),MONTH($H7),1))</f>
        <v/>
      </c>
      <c r="N7" s="26">
        <f>IF($H7="","",TODAY()-$H7)</f>
        <v/>
      </c>
      <c r="O7" s="15" t="n"/>
      <c r="P7" s="15" t="n"/>
      <c r="Q7" s="15" t="n"/>
      <c r="R7" s="25" t="n"/>
      <c r="S7" s="26">
        <f>IF($A7="","",AND(OR('Assignment Builder'!$B$5="",$B7='Assignment Builder'!$B$5),OR('Assignment Builder'!$B$6="",ISNUMBER(SEARCH('Assignment Builder'!$B$6,$C7))),OR('Assignment Builder'!$B$7="",'Assignment Builder'!$B$7=IFERROR(INDEX('Category Dictionary'!$C$5:$C$135,MATCH($L7,'Category Dictionary'!$D$5:$D$135,0)),"")),OR('Assignment Builder'!$B$8="",$D7='Assignment Builder'!$B$8),OR('Assignment Builder'!$B$9="",$F7='Assignment Builder'!$B$9),OR('Assignment Builder'!$B$10="",$O7='Assignment Builder'!$B$10),OR('Assignment Builder'!$B$11="",$H7&gt;='Assignment Builder'!$B$11),OR('Assignment Builder'!$B$12="",N($Q7)&lt;='Assignment Builder'!$B$12)))</f>
        <v/>
      </c>
      <c r="T7" s="23" t="n"/>
    </row>
    <row r="8">
      <c r="A8" s="23" t="n"/>
      <c r="B8" s="23" t="n"/>
      <c r="C8" s="24" t="n"/>
      <c r="D8" s="15" t="n"/>
      <c r="E8" s="23" t="n"/>
      <c r="F8" s="15" t="n"/>
      <c r="G8" s="23" t="n"/>
      <c r="H8" s="25" t="n"/>
      <c r="I8" s="15" t="n"/>
      <c r="J8" s="26">
        <f>IF($A8="","",LEN($C8)-LEN(SUBSTITUTE($C8,",",""))+1)</f>
        <v/>
      </c>
      <c r="K8" s="26">
        <f>IF($A8="","",SUMPRODUCT(--ISNUMBER(SEARCH('Category Dictionary'!$D$5:$D$135&amp;"",$C8)),--('Category Dictionary'!$D$5:$D$135&lt;&gt;"")))</f>
        <v/>
      </c>
      <c r="L8" s="27">
        <f>IF($A8="","",TRIM(IF(ISERROR(FIND(",",$C8)),$C8,LEFT($C8,FIND(",",$C8)-1))))</f>
        <v/>
      </c>
      <c r="M8" s="28">
        <f>IF($H8="","",DATE(YEAR($H8),MONTH($H8),1))</f>
        <v/>
      </c>
      <c r="N8" s="26">
        <f>IF($H8="","",TODAY()-$H8)</f>
        <v/>
      </c>
      <c r="O8" s="15" t="n"/>
      <c r="P8" s="15" t="n"/>
      <c r="Q8" s="15" t="n"/>
      <c r="R8" s="25" t="n"/>
      <c r="S8" s="26">
        <f>IF($A8="","",AND(OR('Assignment Builder'!$B$5="",$B8='Assignment Builder'!$B$5),OR('Assignment Builder'!$B$6="",ISNUMBER(SEARCH('Assignment Builder'!$B$6,$C8))),OR('Assignment Builder'!$B$7="",'Assignment Builder'!$B$7=IFERROR(INDEX('Category Dictionary'!$C$5:$C$135,MATCH($L8,'Category Dictionary'!$D$5:$D$135,0)),"")),OR('Assignment Builder'!$B$8="",$D8='Assignment Builder'!$B$8),OR('Assignment Builder'!$B$9="",$F8='Assignment Builder'!$B$9),OR('Assignment Builder'!$B$10="",$O8='Assignment Builder'!$B$10),OR('Assignment Builder'!$B$11="",$H8&gt;='Assignment Builder'!$B$11),OR('Assignment Builder'!$B$12="",N($Q8)&lt;='Assignment Builder'!$B$12)))</f>
        <v/>
      </c>
      <c r="T8" s="23" t="n"/>
    </row>
    <row r="9">
      <c r="A9" s="23" t="n"/>
      <c r="B9" s="23" t="n"/>
      <c r="C9" s="24" t="n"/>
      <c r="D9" s="15" t="n"/>
      <c r="E9" s="23" t="n"/>
      <c r="F9" s="15" t="n"/>
      <c r="G9" s="23" t="n"/>
      <c r="H9" s="25" t="n"/>
      <c r="I9" s="15" t="n"/>
      <c r="J9" s="26">
        <f>IF($A9="","",LEN($C9)-LEN(SUBSTITUTE($C9,",",""))+1)</f>
        <v/>
      </c>
      <c r="K9" s="26">
        <f>IF($A9="","",SUMPRODUCT(--ISNUMBER(SEARCH('Category Dictionary'!$D$5:$D$135&amp;"",$C9)),--('Category Dictionary'!$D$5:$D$135&lt;&gt;"")))</f>
        <v/>
      </c>
      <c r="L9" s="27">
        <f>IF($A9="","",TRIM(IF(ISERROR(FIND(",",$C9)),$C9,LEFT($C9,FIND(",",$C9)-1))))</f>
        <v/>
      </c>
      <c r="M9" s="28">
        <f>IF($H9="","",DATE(YEAR($H9),MONTH($H9),1))</f>
        <v/>
      </c>
      <c r="N9" s="26">
        <f>IF($H9="","",TODAY()-$H9)</f>
        <v/>
      </c>
      <c r="O9" s="15" t="n"/>
      <c r="P9" s="15" t="n"/>
      <c r="Q9" s="15" t="n"/>
      <c r="R9" s="25" t="n"/>
      <c r="S9" s="26">
        <f>IF($A9="","",AND(OR('Assignment Builder'!$B$5="",$B9='Assignment Builder'!$B$5),OR('Assignment Builder'!$B$6="",ISNUMBER(SEARCH('Assignment Builder'!$B$6,$C9))),OR('Assignment Builder'!$B$7="",'Assignment Builder'!$B$7=IFERROR(INDEX('Category Dictionary'!$C$5:$C$135,MATCH($L9,'Category Dictionary'!$D$5:$D$135,0)),"")),OR('Assignment Builder'!$B$8="",$D9='Assignment Builder'!$B$8),OR('Assignment Builder'!$B$9="",$F9='Assignment Builder'!$B$9),OR('Assignment Builder'!$B$10="",$O9='Assignment Builder'!$B$10),OR('Assignment Builder'!$B$11="",$H9&gt;='Assignment Builder'!$B$11),OR('Assignment Builder'!$B$12="",N($Q9)&lt;='Assignment Builder'!$B$12)))</f>
        <v/>
      </c>
      <c r="T9" s="23" t="n"/>
    </row>
    <row r="10">
      <c r="A10" s="23" t="n"/>
      <c r="B10" s="23" t="n"/>
      <c r="C10" s="24" t="n"/>
      <c r="D10" s="15" t="n"/>
      <c r="E10" s="23" t="n"/>
      <c r="F10" s="15" t="n"/>
      <c r="G10" s="23" t="n"/>
      <c r="H10" s="25" t="n"/>
      <c r="I10" s="15" t="n"/>
      <c r="J10" s="26">
        <f>IF($A10="","",LEN($C10)-LEN(SUBSTITUTE($C10,",",""))+1)</f>
        <v/>
      </c>
      <c r="K10" s="26">
        <f>IF($A10="","",SUMPRODUCT(--ISNUMBER(SEARCH('Category Dictionary'!$D$5:$D$135&amp;"",$C10)),--('Category Dictionary'!$D$5:$D$135&lt;&gt;"")))</f>
        <v/>
      </c>
      <c r="L10" s="27">
        <f>IF($A10="","",TRIM(IF(ISERROR(FIND(",",$C10)),$C10,LEFT($C10,FIND(",",$C10)-1))))</f>
        <v/>
      </c>
      <c r="M10" s="28">
        <f>IF($H10="","",DATE(YEAR($H10),MONTH($H10),1))</f>
        <v/>
      </c>
      <c r="N10" s="26">
        <f>IF($H10="","",TODAY()-$H10)</f>
        <v/>
      </c>
      <c r="O10" s="15" t="n"/>
      <c r="P10" s="15" t="n"/>
      <c r="Q10" s="15" t="n"/>
      <c r="R10" s="25" t="n"/>
      <c r="S10" s="26">
        <f>IF($A10="","",AND(OR('Assignment Builder'!$B$5="",$B10='Assignment Builder'!$B$5),OR('Assignment Builder'!$B$6="",ISNUMBER(SEARCH('Assignment Builder'!$B$6,$C10))),OR('Assignment Builder'!$B$7="",'Assignment Builder'!$B$7=IFERROR(INDEX('Category Dictionary'!$C$5:$C$135,MATCH($L10,'Category Dictionary'!$D$5:$D$135,0)),"")),OR('Assignment Builder'!$B$8="",$D10='Assignment Builder'!$B$8),OR('Assignment Builder'!$B$9="",$F10='Assignment Builder'!$B$9),OR('Assignment Builder'!$B$10="",$O10='Assignment Builder'!$B$10),OR('Assignment Builder'!$B$11="",$H10&gt;='Assignment Builder'!$B$11),OR('Assignment Builder'!$B$12="",N($Q10)&lt;='Assignment Builder'!$B$12)))</f>
        <v/>
      </c>
      <c r="T10" s="23" t="n"/>
    </row>
    <row r="11">
      <c r="A11" s="23" t="n"/>
      <c r="B11" s="23" t="n"/>
      <c r="C11" s="24" t="n"/>
      <c r="D11" s="15" t="n"/>
      <c r="E11" s="23" t="n"/>
      <c r="F11" s="15" t="n"/>
      <c r="G11" s="23" t="n"/>
      <c r="H11" s="25" t="n"/>
      <c r="I11" s="15" t="n"/>
      <c r="J11" s="26">
        <f>IF($A11="","",LEN($C11)-LEN(SUBSTITUTE($C11,",",""))+1)</f>
        <v/>
      </c>
      <c r="K11" s="26">
        <f>IF($A11="","",SUMPRODUCT(--ISNUMBER(SEARCH('Category Dictionary'!$D$5:$D$135&amp;"",$C11)),--('Category Dictionary'!$D$5:$D$135&lt;&gt;"")))</f>
        <v/>
      </c>
      <c r="L11" s="27">
        <f>IF($A11="","",TRIM(IF(ISERROR(FIND(",",$C11)),$C11,LEFT($C11,FIND(",",$C11)-1))))</f>
        <v/>
      </c>
      <c r="M11" s="28">
        <f>IF($H11="","",DATE(YEAR($H11),MONTH($H11),1))</f>
        <v/>
      </c>
      <c r="N11" s="26">
        <f>IF($H11="","",TODAY()-$H11)</f>
        <v/>
      </c>
      <c r="O11" s="15" t="n"/>
      <c r="P11" s="15" t="n"/>
      <c r="Q11" s="15" t="n"/>
      <c r="R11" s="25" t="n"/>
      <c r="S11" s="26">
        <f>IF($A11="","",AND(OR('Assignment Builder'!$B$5="",$B11='Assignment Builder'!$B$5),OR('Assignment Builder'!$B$6="",ISNUMBER(SEARCH('Assignment Builder'!$B$6,$C11))),OR('Assignment Builder'!$B$7="",'Assignment Builder'!$B$7=IFERROR(INDEX('Category Dictionary'!$C$5:$C$135,MATCH($L11,'Category Dictionary'!$D$5:$D$135,0)),"")),OR('Assignment Builder'!$B$8="",$D11='Assignment Builder'!$B$8),OR('Assignment Builder'!$B$9="",$F11='Assignment Builder'!$B$9),OR('Assignment Builder'!$B$10="",$O11='Assignment Builder'!$B$10),OR('Assignment Builder'!$B$11="",$H11&gt;='Assignment Builder'!$B$11),OR('Assignment Builder'!$B$12="",N($Q11)&lt;='Assignment Builder'!$B$12)))</f>
        <v/>
      </c>
      <c r="T11" s="23" t="n"/>
    </row>
    <row r="12">
      <c r="A12" s="23" t="n"/>
      <c r="B12" s="23" t="n"/>
      <c r="C12" s="24" t="n"/>
      <c r="D12" s="15" t="n"/>
      <c r="E12" s="23" t="n"/>
      <c r="F12" s="15" t="n"/>
      <c r="G12" s="23" t="n"/>
      <c r="H12" s="25" t="n"/>
      <c r="I12" s="15" t="n"/>
      <c r="J12" s="26">
        <f>IF($A12="","",LEN($C12)-LEN(SUBSTITUTE($C12,",",""))+1)</f>
        <v/>
      </c>
      <c r="K12" s="26">
        <f>IF($A12="","",SUMPRODUCT(--ISNUMBER(SEARCH('Category Dictionary'!$D$5:$D$135&amp;"",$C12)),--('Category Dictionary'!$D$5:$D$135&lt;&gt;"")))</f>
        <v/>
      </c>
      <c r="L12" s="27">
        <f>IF($A12="","",TRIM(IF(ISERROR(FIND(",",$C12)),$C12,LEFT($C12,FIND(",",$C12)-1))))</f>
        <v/>
      </c>
      <c r="M12" s="28">
        <f>IF($H12="","",DATE(YEAR($H12),MONTH($H12),1))</f>
        <v/>
      </c>
      <c r="N12" s="26">
        <f>IF($H12="","",TODAY()-$H12)</f>
        <v/>
      </c>
      <c r="O12" s="15" t="n"/>
      <c r="P12" s="15" t="n"/>
      <c r="Q12" s="15" t="n"/>
      <c r="R12" s="25" t="n"/>
      <c r="S12" s="26">
        <f>IF($A12="","",AND(OR('Assignment Builder'!$B$5="",$B12='Assignment Builder'!$B$5),OR('Assignment Builder'!$B$6="",ISNUMBER(SEARCH('Assignment Builder'!$B$6,$C12))),OR('Assignment Builder'!$B$7="",'Assignment Builder'!$B$7=IFERROR(INDEX('Category Dictionary'!$C$5:$C$135,MATCH($L12,'Category Dictionary'!$D$5:$D$135,0)),"")),OR('Assignment Builder'!$B$8="",$D12='Assignment Builder'!$B$8),OR('Assignment Builder'!$B$9="",$F12='Assignment Builder'!$B$9),OR('Assignment Builder'!$B$10="",$O12='Assignment Builder'!$B$10),OR('Assignment Builder'!$B$11="",$H12&gt;='Assignment Builder'!$B$11),OR('Assignment Builder'!$B$12="",N($Q12)&lt;='Assignment Builder'!$B$12)))</f>
        <v/>
      </c>
      <c r="T12" s="23" t="n"/>
    </row>
    <row r="13">
      <c r="A13" s="23" t="n"/>
      <c r="B13" s="23" t="n"/>
      <c r="C13" s="24" t="n"/>
      <c r="D13" s="15" t="n"/>
      <c r="E13" s="23" t="n"/>
      <c r="F13" s="15" t="n"/>
      <c r="G13" s="23" t="n"/>
      <c r="H13" s="25" t="n"/>
      <c r="I13" s="15" t="n"/>
      <c r="J13" s="26">
        <f>IF($A13="","",LEN($C13)-LEN(SUBSTITUTE($C13,",",""))+1)</f>
        <v/>
      </c>
      <c r="K13" s="26">
        <f>IF($A13="","",SUMPRODUCT(--ISNUMBER(SEARCH('Category Dictionary'!$D$5:$D$135&amp;"",$C13)),--('Category Dictionary'!$D$5:$D$135&lt;&gt;"")))</f>
        <v/>
      </c>
      <c r="L13" s="27">
        <f>IF($A13="","",TRIM(IF(ISERROR(FIND(",",$C13)),$C13,LEFT($C13,FIND(",",$C13)-1))))</f>
        <v/>
      </c>
      <c r="M13" s="28">
        <f>IF($H13="","",DATE(YEAR($H13),MONTH($H13),1))</f>
        <v/>
      </c>
      <c r="N13" s="26">
        <f>IF($H13="","",TODAY()-$H13)</f>
        <v/>
      </c>
      <c r="O13" s="15" t="n"/>
      <c r="P13" s="15" t="n"/>
      <c r="Q13" s="15" t="n"/>
      <c r="R13" s="25" t="n"/>
      <c r="S13" s="26">
        <f>IF($A13="","",AND(OR('Assignment Builder'!$B$5="",$B13='Assignment Builder'!$B$5),OR('Assignment Builder'!$B$6="",ISNUMBER(SEARCH('Assignment Builder'!$B$6,$C13))),OR('Assignment Builder'!$B$7="",'Assignment Builder'!$B$7=IFERROR(INDEX('Category Dictionary'!$C$5:$C$135,MATCH($L13,'Category Dictionary'!$D$5:$D$135,0)),"")),OR('Assignment Builder'!$B$8="",$D13='Assignment Builder'!$B$8),OR('Assignment Builder'!$B$9="",$F13='Assignment Builder'!$B$9),OR('Assignment Builder'!$B$10="",$O13='Assignment Builder'!$B$10),OR('Assignment Builder'!$B$11="",$H13&gt;='Assignment Builder'!$B$11),OR('Assignment Builder'!$B$12="",N($Q13)&lt;='Assignment Builder'!$B$12)))</f>
        <v/>
      </c>
      <c r="T13" s="23" t="n"/>
    </row>
    <row r="14">
      <c r="A14" s="23" t="n"/>
      <c r="B14" s="23" t="n"/>
      <c r="C14" s="24" t="n"/>
      <c r="D14" s="15" t="n"/>
      <c r="E14" s="23" t="n"/>
      <c r="F14" s="15" t="n"/>
      <c r="G14" s="23" t="n"/>
      <c r="H14" s="25" t="n"/>
      <c r="I14" s="15" t="n"/>
      <c r="J14" s="26">
        <f>IF($A14="","",LEN($C14)-LEN(SUBSTITUTE($C14,",",""))+1)</f>
        <v/>
      </c>
      <c r="K14" s="26">
        <f>IF($A14="","",SUMPRODUCT(--ISNUMBER(SEARCH('Category Dictionary'!$D$5:$D$135&amp;"",$C14)),--('Category Dictionary'!$D$5:$D$135&lt;&gt;"")))</f>
        <v/>
      </c>
      <c r="L14" s="27">
        <f>IF($A14="","",TRIM(IF(ISERROR(FIND(",",$C14)),$C14,LEFT($C14,FIND(",",$C14)-1))))</f>
        <v/>
      </c>
      <c r="M14" s="28">
        <f>IF($H14="","",DATE(YEAR($H14),MONTH($H14),1))</f>
        <v/>
      </c>
      <c r="N14" s="26">
        <f>IF($H14="","",TODAY()-$H14)</f>
        <v/>
      </c>
      <c r="O14" s="15" t="n"/>
      <c r="P14" s="15" t="n"/>
      <c r="Q14" s="15" t="n"/>
      <c r="R14" s="25" t="n"/>
      <c r="S14" s="26">
        <f>IF($A14="","",AND(OR('Assignment Builder'!$B$5="",$B14='Assignment Builder'!$B$5),OR('Assignment Builder'!$B$6="",ISNUMBER(SEARCH('Assignment Builder'!$B$6,$C14))),OR('Assignment Builder'!$B$7="",'Assignment Builder'!$B$7=IFERROR(INDEX('Category Dictionary'!$C$5:$C$135,MATCH($L14,'Category Dictionary'!$D$5:$D$135,0)),"")),OR('Assignment Builder'!$B$8="",$D14='Assignment Builder'!$B$8),OR('Assignment Builder'!$B$9="",$F14='Assignment Builder'!$B$9),OR('Assignment Builder'!$B$10="",$O14='Assignment Builder'!$B$10),OR('Assignment Builder'!$B$11="",$H14&gt;='Assignment Builder'!$B$11),OR('Assignment Builder'!$B$12="",N($Q14)&lt;='Assignment Builder'!$B$12)))</f>
        <v/>
      </c>
      <c r="T14" s="23" t="n"/>
    </row>
    <row r="15">
      <c r="A15" s="23" t="n"/>
      <c r="B15" s="23" t="n"/>
      <c r="C15" s="24" t="n"/>
      <c r="D15" s="15" t="n"/>
      <c r="E15" s="23" t="n"/>
      <c r="F15" s="15" t="n"/>
      <c r="G15" s="23" t="n"/>
      <c r="H15" s="25" t="n"/>
      <c r="I15" s="15" t="n"/>
      <c r="J15" s="26">
        <f>IF($A15="","",LEN($C15)-LEN(SUBSTITUTE($C15,",",""))+1)</f>
        <v/>
      </c>
      <c r="K15" s="26">
        <f>IF($A15="","",SUMPRODUCT(--ISNUMBER(SEARCH('Category Dictionary'!$D$5:$D$135&amp;"",$C15)),--('Category Dictionary'!$D$5:$D$135&lt;&gt;"")))</f>
        <v/>
      </c>
      <c r="L15" s="27">
        <f>IF($A15="","",TRIM(IF(ISERROR(FIND(",",$C15)),$C15,LEFT($C15,FIND(",",$C15)-1))))</f>
        <v/>
      </c>
      <c r="M15" s="28">
        <f>IF($H15="","",DATE(YEAR($H15),MONTH($H15),1))</f>
        <v/>
      </c>
      <c r="N15" s="26">
        <f>IF($H15="","",TODAY()-$H15)</f>
        <v/>
      </c>
      <c r="O15" s="15" t="n"/>
      <c r="P15" s="15" t="n"/>
      <c r="Q15" s="15" t="n"/>
      <c r="R15" s="25" t="n"/>
      <c r="S15" s="26">
        <f>IF($A15="","",AND(OR('Assignment Builder'!$B$5="",$B15='Assignment Builder'!$B$5),OR('Assignment Builder'!$B$6="",ISNUMBER(SEARCH('Assignment Builder'!$B$6,$C15))),OR('Assignment Builder'!$B$7="",'Assignment Builder'!$B$7=IFERROR(INDEX('Category Dictionary'!$C$5:$C$135,MATCH($L15,'Category Dictionary'!$D$5:$D$135,0)),"")),OR('Assignment Builder'!$B$8="",$D15='Assignment Builder'!$B$8),OR('Assignment Builder'!$B$9="",$F15='Assignment Builder'!$B$9),OR('Assignment Builder'!$B$10="",$O15='Assignment Builder'!$B$10),OR('Assignment Builder'!$B$11="",$H15&gt;='Assignment Builder'!$B$11),OR('Assignment Builder'!$B$12="",N($Q15)&lt;='Assignment Builder'!$B$12)))</f>
        <v/>
      </c>
      <c r="T15" s="23" t="n"/>
    </row>
    <row r="16">
      <c r="A16" s="23" t="n"/>
      <c r="B16" s="23" t="n"/>
      <c r="C16" s="24" t="n"/>
      <c r="D16" s="15" t="n"/>
      <c r="E16" s="23" t="n"/>
      <c r="F16" s="15" t="n"/>
      <c r="G16" s="23" t="n"/>
      <c r="H16" s="25" t="n"/>
      <c r="I16" s="15" t="n"/>
      <c r="J16" s="26">
        <f>IF($A16="","",LEN($C16)-LEN(SUBSTITUTE($C16,",",""))+1)</f>
        <v/>
      </c>
      <c r="K16" s="26">
        <f>IF($A16="","",SUMPRODUCT(--ISNUMBER(SEARCH('Category Dictionary'!$D$5:$D$135&amp;"",$C16)),--('Category Dictionary'!$D$5:$D$135&lt;&gt;"")))</f>
        <v/>
      </c>
      <c r="L16" s="27">
        <f>IF($A16="","",TRIM(IF(ISERROR(FIND(",",$C16)),$C16,LEFT($C16,FIND(",",$C16)-1))))</f>
        <v/>
      </c>
      <c r="M16" s="28">
        <f>IF($H16="","",DATE(YEAR($H16),MONTH($H16),1))</f>
        <v/>
      </c>
      <c r="N16" s="26">
        <f>IF($H16="","",TODAY()-$H16)</f>
        <v/>
      </c>
      <c r="O16" s="15" t="n"/>
      <c r="P16" s="15" t="n"/>
      <c r="Q16" s="15" t="n"/>
      <c r="R16" s="25" t="n"/>
      <c r="S16" s="26">
        <f>IF($A16="","",AND(OR('Assignment Builder'!$B$5="",$B16='Assignment Builder'!$B$5),OR('Assignment Builder'!$B$6="",ISNUMBER(SEARCH('Assignment Builder'!$B$6,$C16))),OR('Assignment Builder'!$B$7="",'Assignment Builder'!$B$7=IFERROR(INDEX('Category Dictionary'!$C$5:$C$135,MATCH($L16,'Category Dictionary'!$D$5:$D$135,0)),"")),OR('Assignment Builder'!$B$8="",$D16='Assignment Builder'!$B$8),OR('Assignment Builder'!$B$9="",$F16='Assignment Builder'!$B$9),OR('Assignment Builder'!$B$10="",$O16='Assignment Builder'!$B$10),OR('Assignment Builder'!$B$11="",$H16&gt;='Assignment Builder'!$B$11),OR('Assignment Builder'!$B$12="",N($Q16)&lt;='Assignment Builder'!$B$12)))</f>
        <v/>
      </c>
      <c r="T16" s="23" t="n"/>
    </row>
    <row r="17">
      <c r="A17" s="23" t="n"/>
      <c r="B17" s="23" t="n"/>
      <c r="C17" s="24" t="n"/>
      <c r="D17" s="15" t="n"/>
      <c r="E17" s="23" t="n"/>
      <c r="F17" s="15" t="n"/>
      <c r="G17" s="23" t="n"/>
      <c r="H17" s="25" t="n"/>
      <c r="I17" s="15" t="n"/>
      <c r="J17" s="26">
        <f>IF($A17="","",LEN($C17)-LEN(SUBSTITUTE($C17,",",""))+1)</f>
        <v/>
      </c>
      <c r="K17" s="26">
        <f>IF($A17="","",SUMPRODUCT(--ISNUMBER(SEARCH('Category Dictionary'!$D$5:$D$135&amp;"",$C17)),--('Category Dictionary'!$D$5:$D$135&lt;&gt;"")))</f>
        <v/>
      </c>
      <c r="L17" s="27">
        <f>IF($A17="","",TRIM(IF(ISERROR(FIND(",",$C17)),$C17,LEFT($C17,FIND(",",$C17)-1))))</f>
        <v/>
      </c>
      <c r="M17" s="28">
        <f>IF($H17="","",DATE(YEAR($H17),MONTH($H17),1))</f>
        <v/>
      </c>
      <c r="N17" s="26">
        <f>IF($H17="","",TODAY()-$H17)</f>
        <v/>
      </c>
      <c r="O17" s="15" t="n"/>
      <c r="P17" s="15" t="n"/>
      <c r="Q17" s="15" t="n"/>
      <c r="R17" s="25" t="n"/>
      <c r="S17" s="26">
        <f>IF($A17="","",AND(OR('Assignment Builder'!$B$5="",$B17='Assignment Builder'!$B$5),OR('Assignment Builder'!$B$6="",ISNUMBER(SEARCH('Assignment Builder'!$B$6,$C17))),OR('Assignment Builder'!$B$7="",'Assignment Builder'!$B$7=IFERROR(INDEX('Category Dictionary'!$C$5:$C$135,MATCH($L17,'Category Dictionary'!$D$5:$D$135,0)),"")),OR('Assignment Builder'!$B$8="",$D17='Assignment Builder'!$B$8),OR('Assignment Builder'!$B$9="",$F17='Assignment Builder'!$B$9),OR('Assignment Builder'!$B$10="",$O17='Assignment Builder'!$B$10),OR('Assignment Builder'!$B$11="",$H17&gt;='Assignment Builder'!$B$11),OR('Assignment Builder'!$B$12="",N($Q17)&lt;='Assignment Builder'!$B$12)))</f>
        <v/>
      </c>
      <c r="T17" s="23" t="n"/>
    </row>
    <row r="18">
      <c r="A18" s="23" t="n"/>
      <c r="B18" s="23" t="n"/>
      <c r="C18" s="24" t="n"/>
      <c r="D18" s="15" t="n"/>
      <c r="E18" s="23" t="n"/>
      <c r="F18" s="15" t="n"/>
      <c r="G18" s="23" t="n"/>
      <c r="H18" s="25" t="n"/>
      <c r="I18" s="15" t="n"/>
      <c r="J18" s="26">
        <f>IF($A18="","",LEN($C18)-LEN(SUBSTITUTE($C18,",",""))+1)</f>
        <v/>
      </c>
      <c r="K18" s="26">
        <f>IF($A18="","",SUMPRODUCT(--ISNUMBER(SEARCH('Category Dictionary'!$D$5:$D$135&amp;"",$C18)),--('Category Dictionary'!$D$5:$D$135&lt;&gt;"")))</f>
        <v/>
      </c>
      <c r="L18" s="27">
        <f>IF($A18="","",TRIM(IF(ISERROR(FIND(",",$C18)),$C18,LEFT($C18,FIND(",",$C18)-1))))</f>
        <v/>
      </c>
      <c r="M18" s="28">
        <f>IF($H18="","",DATE(YEAR($H18),MONTH($H18),1))</f>
        <v/>
      </c>
      <c r="N18" s="26">
        <f>IF($H18="","",TODAY()-$H18)</f>
        <v/>
      </c>
      <c r="O18" s="15" t="n"/>
      <c r="P18" s="15" t="n"/>
      <c r="Q18" s="15" t="n"/>
      <c r="R18" s="25" t="n"/>
      <c r="S18" s="26">
        <f>IF($A18="","",AND(OR('Assignment Builder'!$B$5="",$B18='Assignment Builder'!$B$5),OR('Assignment Builder'!$B$6="",ISNUMBER(SEARCH('Assignment Builder'!$B$6,$C18))),OR('Assignment Builder'!$B$7="",'Assignment Builder'!$B$7=IFERROR(INDEX('Category Dictionary'!$C$5:$C$135,MATCH($L18,'Category Dictionary'!$D$5:$D$135,0)),"")),OR('Assignment Builder'!$B$8="",$D18='Assignment Builder'!$B$8),OR('Assignment Builder'!$B$9="",$F18='Assignment Builder'!$B$9),OR('Assignment Builder'!$B$10="",$O18='Assignment Builder'!$B$10),OR('Assignment Builder'!$B$11="",$H18&gt;='Assignment Builder'!$B$11),OR('Assignment Builder'!$B$12="",N($Q18)&lt;='Assignment Builder'!$B$12)))</f>
        <v/>
      </c>
      <c r="T18" s="23" t="n"/>
    </row>
    <row r="19">
      <c r="A19" s="23" t="n"/>
      <c r="B19" s="23" t="n"/>
      <c r="C19" s="24" t="n"/>
      <c r="D19" s="15" t="n"/>
      <c r="E19" s="23" t="n"/>
      <c r="F19" s="15" t="n"/>
      <c r="G19" s="23" t="n"/>
      <c r="H19" s="25" t="n"/>
      <c r="I19" s="15" t="n"/>
      <c r="J19" s="26">
        <f>IF($A19="","",LEN($C19)-LEN(SUBSTITUTE($C19,",",""))+1)</f>
        <v/>
      </c>
      <c r="K19" s="26">
        <f>IF($A19="","",SUMPRODUCT(--ISNUMBER(SEARCH('Category Dictionary'!$D$5:$D$135&amp;"",$C19)),--('Category Dictionary'!$D$5:$D$135&lt;&gt;"")))</f>
        <v/>
      </c>
      <c r="L19" s="27">
        <f>IF($A19="","",TRIM(IF(ISERROR(FIND(",",$C19)),$C19,LEFT($C19,FIND(",",$C19)-1))))</f>
        <v/>
      </c>
      <c r="M19" s="28">
        <f>IF($H19="","",DATE(YEAR($H19),MONTH($H19),1))</f>
        <v/>
      </c>
      <c r="N19" s="26">
        <f>IF($H19="","",TODAY()-$H19)</f>
        <v/>
      </c>
      <c r="O19" s="15" t="n"/>
      <c r="P19" s="15" t="n"/>
      <c r="Q19" s="15" t="n"/>
      <c r="R19" s="25" t="n"/>
      <c r="S19" s="26">
        <f>IF($A19="","",AND(OR('Assignment Builder'!$B$5="",$B19='Assignment Builder'!$B$5),OR('Assignment Builder'!$B$6="",ISNUMBER(SEARCH('Assignment Builder'!$B$6,$C19))),OR('Assignment Builder'!$B$7="",'Assignment Builder'!$B$7=IFERROR(INDEX('Category Dictionary'!$C$5:$C$135,MATCH($L19,'Category Dictionary'!$D$5:$D$135,0)),"")),OR('Assignment Builder'!$B$8="",$D19='Assignment Builder'!$B$8),OR('Assignment Builder'!$B$9="",$F19='Assignment Builder'!$B$9),OR('Assignment Builder'!$B$10="",$O19='Assignment Builder'!$B$10),OR('Assignment Builder'!$B$11="",$H19&gt;='Assignment Builder'!$B$11),OR('Assignment Builder'!$B$12="",N($Q19)&lt;='Assignment Builder'!$B$12)))</f>
        <v/>
      </c>
      <c r="T19" s="23" t="n"/>
    </row>
    <row r="20">
      <c r="A20" s="23" t="n"/>
      <c r="B20" s="23" t="n"/>
      <c r="C20" s="24" t="n"/>
      <c r="D20" s="15" t="n"/>
      <c r="E20" s="23" t="n"/>
      <c r="F20" s="15" t="n"/>
      <c r="G20" s="23" t="n"/>
      <c r="H20" s="25" t="n"/>
      <c r="I20" s="15" t="n"/>
      <c r="J20" s="26">
        <f>IF($A20="","",LEN($C20)-LEN(SUBSTITUTE($C20,",",""))+1)</f>
        <v/>
      </c>
      <c r="K20" s="26">
        <f>IF($A20="","",SUMPRODUCT(--ISNUMBER(SEARCH('Category Dictionary'!$D$5:$D$135&amp;"",$C20)),--('Category Dictionary'!$D$5:$D$135&lt;&gt;"")))</f>
        <v/>
      </c>
      <c r="L20" s="27">
        <f>IF($A20="","",TRIM(IF(ISERROR(FIND(",",$C20)),$C20,LEFT($C20,FIND(",",$C20)-1))))</f>
        <v/>
      </c>
      <c r="M20" s="28">
        <f>IF($H20="","",DATE(YEAR($H20),MONTH($H20),1))</f>
        <v/>
      </c>
      <c r="N20" s="26">
        <f>IF($H20="","",TODAY()-$H20)</f>
        <v/>
      </c>
      <c r="O20" s="15" t="n"/>
      <c r="P20" s="15" t="n"/>
      <c r="Q20" s="15" t="n"/>
      <c r="R20" s="25" t="n"/>
      <c r="S20" s="26">
        <f>IF($A20="","",AND(OR('Assignment Builder'!$B$5="",$B20='Assignment Builder'!$B$5),OR('Assignment Builder'!$B$6="",ISNUMBER(SEARCH('Assignment Builder'!$B$6,$C20))),OR('Assignment Builder'!$B$7="",'Assignment Builder'!$B$7=IFERROR(INDEX('Category Dictionary'!$C$5:$C$135,MATCH($L20,'Category Dictionary'!$D$5:$D$135,0)),"")),OR('Assignment Builder'!$B$8="",$D20='Assignment Builder'!$B$8),OR('Assignment Builder'!$B$9="",$F20='Assignment Builder'!$B$9),OR('Assignment Builder'!$B$10="",$O20='Assignment Builder'!$B$10),OR('Assignment Builder'!$B$11="",$H20&gt;='Assignment Builder'!$B$11),OR('Assignment Builder'!$B$12="",N($Q20)&lt;='Assignment Builder'!$B$12)))</f>
        <v/>
      </c>
      <c r="T20" s="23" t="n"/>
    </row>
    <row r="21">
      <c r="A21" s="23" t="n"/>
      <c r="B21" s="23" t="n"/>
      <c r="C21" s="24" t="n"/>
      <c r="D21" s="15" t="n"/>
      <c r="E21" s="23" t="n"/>
      <c r="F21" s="15" t="n"/>
      <c r="G21" s="23" t="n"/>
      <c r="H21" s="25" t="n"/>
      <c r="I21" s="15" t="n"/>
      <c r="J21" s="26">
        <f>IF($A21="","",LEN($C21)-LEN(SUBSTITUTE($C21,",",""))+1)</f>
        <v/>
      </c>
      <c r="K21" s="26">
        <f>IF($A21="","",SUMPRODUCT(--ISNUMBER(SEARCH('Category Dictionary'!$D$5:$D$135&amp;"",$C21)),--('Category Dictionary'!$D$5:$D$135&lt;&gt;"")))</f>
        <v/>
      </c>
      <c r="L21" s="27">
        <f>IF($A21="","",TRIM(IF(ISERROR(FIND(",",$C21)),$C21,LEFT($C21,FIND(",",$C21)-1))))</f>
        <v/>
      </c>
      <c r="M21" s="28">
        <f>IF($H21="","",DATE(YEAR($H21),MONTH($H21),1))</f>
        <v/>
      </c>
      <c r="N21" s="26">
        <f>IF($H21="","",TODAY()-$H21)</f>
        <v/>
      </c>
      <c r="O21" s="15" t="n"/>
      <c r="P21" s="15" t="n"/>
      <c r="Q21" s="15" t="n"/>
      <c r="R21" s="25" t="n"/>
      <c r="S21" s="26">
        <f>IF($A21="","",AND(OR('Assignment Builder'!$B$5="",$B21='Assignment Builder'!$B$5),OR('Assignment Builder'!$B$6="",ISNUMBER(SEARCH('Assignment Builder'!$B$6,$C21))),OR('Assignment Builder'!$B$7="",'Assignment Builder'!$B$7=IFERROR(INDEX('Category Dictionary'!$C$5:$C$135,MATCH($L21,'Category Dictionary'!$D$5:$D$135,0)),"")),OR('Assignment Builder'!$B$8="",$D21='Assignment Builder'!$B$8),OR('Assignment Builder'!$B$9="",$F21='Assignment Builder'!$B$9),OR('Assignment Builder'!$B$10="",$O21='Assignment Builder'!$B$10),OR('Assignment Builder'!$B$11="",$H21&gt;='Assignment Builder'!$B$11),OR('Assignment Builder'!$B$12="",N($Q21)&lt;='Assignment Builder'!$B$12)))</f>
        <v/>
      </c>
      <c r="T21" s="23" t="n"/>
    </row>
    <row r="22">
      <c r="A22" s="23" t="n"/>
      <c r="B22" s="23" t="n"/>
      <c r="C22" s="24" t="n"/>
      <c r="D22" s="15" t="n"/>
      <c r="E22" s="23" t="n"/>
      <c r="F22" s="15" t="n"/>
      <c r="G22" s="23" t="n"/>
      <c r="H22" s="25" t="n"/>
      <c r="I22" s="15" t="n"/>
      <c r="J22" s="26">
        <f>IF($A22="","",LEN($C22)-LEN(SUBSTITUTE($C22,",",""))+1)</f>
        <v/>
      </c>
      <c r="K22" s="26">
        <f>IF($A22="","",SUMPRODUCT(--ISNUMBER(SEARCH('Category Dictionary'!$D$5:$D$135&amp;"",$C22)),--('Category Dictionary'!$D$5:$D$135&lt;&gt;"")))</f>
        <v/>
      </c>
      <c r="L22" s="27">
        <f>IF($A22="","",TRIM(IF(ISERROR(FIND(",",$C22)),$C22,LEFT($C22,FIND(",",$C22)-1))))</f>
        <v/>
      </c>
      <c r="M22" s="28">
        <f>IF($H22="","",DATE(YEAR($H22),MONTH($H22),1))</f>
        <v/>
      </c>
      <c r="N22" s="26">
        <f>IF($H22="","",TODAY()-$H22)</f>
        <v/>
      </c>
      <c r="O22" s="15" t="n"/>
      <c r="P22" s="15" t="n"/>
      <c r="Q22" s="15" t="n"/>
      <c r="R22" s="25" t="n"/>
      <c r="S22" s="26">
        <f>IF($A22="","",AND(OR('Assignment Builder'!$B$5="",$B22='Assignment Builder'!$B$5),OR('Assignment Builder'!$B$6="",ISNUMBER(SEARCH('Assignment Builder'!$B$6,$C22))),OR('Assignment Builder'!$B$7="",'Assignment Builder'!$B$7=IFERROR(INDEX('Category Dictionary'!$C$5:$C$135,MATCH($L22,'Category Dictionary'!$D$5:$D$135,0)),"")),OR('Assignment Builder'!$B$8="",$D22='Assignment Builder'!$B$8),OR('Assignment Builder'!$B$9="",$F22='Assignment Builder'!$B$9),OR('Assignment Builder'!$B$10="",$O22='Assignment Builder'!$B$10),OR('Assignment Builder'!$B$11="",$H22&gt;='Assignment Builder'!$B$11),OR('Assignment Builder'!$B$12="",N($Q22)&lt;='Assignment Builder'!$B$12)))</f>
        <v/>
      </c>
      <c r="T22" s="23" t="n"/>
    </row>
    <row r="23">
      <c r="A23" s="23" t="n"/>
      <c r="B23" s="23" t="n"/>
      <c r="C23" s="24" t="n"/>
      <c r="D23" s="15" t="n"/>
      <c r="E23" s="23" t="n"/>
      <c r="F23" s="15" t="n"/>
      <c r="G23" s="23" t="n"/>
      <c r="H23" s="25" t="n"/>
      <c r="I23" s="15" t="n"/>
      <c r="J23" s="26">
        <f>IF($A23="","",LEN($C23)-LEN(SUBSTITUTE($C23,",",""))+1)</f>
        <v/>
      </c>
      <c r="K23" s="26">
        <f>IF($A23="","",SUMPRODUCT(--ISNUMBER(SEARCH('Category Dictionary'!$D$5:$D$135&amp;"",$C23)),--('Category Dictionary'!$D$5:$D$135&lt;&gt;"")))</f>
        <v/>
      </c>
      <c r="L23" s="27">
        <f>IF($A23="","",TRIM(IF(ISERROR(FIND(",",$C23)),$C23,LEFT($C23,FIND(",",$C23)-1))))</f>
        <v/>
      </c>
      <c r="M23" s="28">
        <f>IF($H23="","",DATE(YEAR($H23),MONTH($H23),1))</f>
        <v/>
      </c>
      <c r="N23" s="26">
        <f>IF($H23="","",TODAY()-$H23)</f>
        <v/>
      </c>
      <c r="O23" s="15" t="n"/>
      <c r="P23" s="15" t="n"/>
      <c r="Q23" s="15" t="n"/>
      <c r="R23" s="25" t="n"/>
      <c r="S23" s="26">
        <f>IF($A23="","",AND(OR('Assignment Builder'!$B$5="",$B23='Assignment Builder'!$B$5),OR('Assignment Builder'!$B$6="",ISNUMBER(SEARCH('Assignment Builder'!$B$6,$C23))),OR('Assignment Builder'!$B$7="",'Assignment Builder'!$B$7=IFERROR(INDEX('Category Dictionary'!$C$5:$C$135,MATCH($L23,'Category Dictionary'!$D$5:$D$135,0)),"")),OR('Assignment Builder'!$B$8="",$D23='Assignment Builder'!$B$8),OR('Assignment Builder'!$B$9="",$F23='Assignment Builder'!$B$9),OR('Assignment Builder'!$B$10="",$O23='Assignment Builder'!$B$10),OR('Assignment Builder'!$B$11="",$H23&gt;='Assignment Builder'!$B$11),OR('Assignment Builder'!$B$12="",N($Q23)&lt;='Assignment Builder'!$B$12)))</f>
        <v/>
      </c>
      <c r="T23" s="23" t="n"/>
    </row>
    <row r="24">
      <c r="A24" s="23" t="n"/>
      <c r="B24" s="23" t="n"/>
      <c r="C24" s="24" t="n"/>
      <c r="D24" s="15" t="n"/>
      <c r="E24" s="23" t="n"/>
      <c r="F24" s="15" t="n"/>
      <c r="G24" s="23" t="n"/>
      <c r="H24" s="25" t="n"/>
      <c r="I24" s="15" t="n"/>
      <c r="J24" s="26">
        <f>IF($A24="","",LEN($C24)-LEN(SUBSTITUTE($C24,",",""))+1)</f>
        <v/>
      </c>
      <c r="K24" s="26">
        <f>IF($A24="","",SUMPRODUCT(--ISNUMBER(SEARCH('Category Dictionary'!$D$5:$D$135&amp;"",$C24)),--('Category Dictionary'!$D$5:$D$135&lt;&gt;"")))</f>
        <v/>
      </c>
      <c r="L24" s="27">
        <f>IF($A24="","",TRIM(IF(ISERROR(FIND(",",$C24)),$C24,LEFT($C24,FIND(",",$C24)-1))))</f>
        <v/>
      </c>
      <c r="M24" s="28">
        <f>IF($H24="","",DATE(YEAR($H24),MONTH($H24),1))</f>
        <v/>
      </c>
      <c r="N24" s="26">
        <f>IF($H24="","",TODAY()-$H24)</f>
        <v/>
      </c>
      <c r="O24" s="15" t="n"/>
      <c r="P24" s="15" t="n"/>
      <c r="Q24" s="15" t="n"/>
      <c r="R24" s="25" t="n"/>
      <c r="S24" s="26">
        <f>IF($A24="","",AND(OR('Assignment Builder'!$B$5="",$B24='Assignment Builder'!$B$5),OR('Assignment Builder'!$B$6="",ISNUMBER(SEARCH('Assignment Builder'!$B$6,$C24))),OR('Assignment Builder'!$B$7="",'Assignment Builder'!$B$7=IFERROR(INDEX('Category Dictionary'!$C$5:$C$135,MATCH($L24,'Category Dictionary'!$D$5:$D$135,0)),"")),OR('Assignment Builder'!$B$8="",$D24='Assignment Builder'!$B$8),OR('Assignment Builder'!$B$9="",$F24='Assignment Builder'!$B$9),OR('Assignment Builder'!$B$10="",$O24='Assignment Builder'!$B$10),OR('Assignment Builder'!$B$11="",$H24&gt;='Assignment Builder'!$B$11),OR('Assignment Builder'!$B$12="",N($Q24)&lt;='Assignment Builder'!$B$12)))</f>
        <v/>
      </c>
      <c r="T24" s="23" t="n"/>
    </row>
    <row r="25">
      <c r="A25" s="23" t="n"/>
      <c r="B25" s="23" t="n"/>
      <c r="C25" s="24" t="n"/>
      <c r="D25" s="15" t="n"/>
      <c r="E25" s="23" t="n"/>
      <c r="F25" s="15" t="n"/>
      <c r="G25" s="23" t="n"/>
      <c r="H25" s="25" t="n"/>
      <c r="I25" s="15" t="n"/>
      <c r="J25" s="26">
        <f>IF($A25="","",LEN($C25)-LEN(SUBSTITUTE($C25,",",""))+1)</f>
        <v/>
      </c>
      <c r="K25" s="26">
        <f>IF($A25="","",SUMPRODUCT(--ISNUMBER(SEARCH('Category Dictionary'!$D$5:$D$135&amp;"",$C25)),--('Category Dictionary'!$D$5:$D$135&lt;&gt;"")))</f>
        <v/>
      </c>
      <c r="L25" s="27">
        <f>IF($A25="","",TRIM(IF(ISERROR(FIND(",",$C25)),$C25,LEFT($C25,FIND(",",$C25)-1))))</f>
        <v/>
      </c>
      <c r="M25" s="28">
        <f>IF($H25="","",DATE(YEAR($H25),MONTH($H25),1))</f>
        <v/>
      </c>
      <c r="N25" s="26">
        <f>IF($H25="","",TODAY()-$H25)</f>
        <v/>
      </c>
      <c r="O25" s="15" t="n"/>
      <c r="P25" s="15" t="n"/>
      <c r="Q25" s="15" t="n"/>
      <c r="R25" s="25" t="n"/>
      <c r="S25" s="26">
        <f>IF($A25="","",AND(OR('Assignment Builder'!$B$5="",$B25='Assignment Builder'!$B$5),OR('Assignment Builder'!$B$6="",ISNUMBER(SEARCH('Assignment Builder'!$B$6,$C25))),OR('Assignment Builder'!$B$7="",'Assignment Builder'!$B$7=IFERROR(INDEX('Category Dictionary'!$C$5:$C$135,MATCH($L25,'Category Dictionary'!$D$5:$D$135,0)),"")),OR('Assignment Builder'!$B$8="",$D25='Assignment Builder'!$B$8),OR('Assignment Builder'!$B$9="",$F25='Assignment Builder'!$B$9),OR('Assignment Builder'!$B$10="",$O25='Assignment Builder'!$B$10),OR('Assignment Builder'!$B$11="",$H25&gt;='Assignment Builder'!$B$11),OR('Assignment Builder'!$B$12="",N($Q25)&lt;='Assignment Builder'!$B$12)))</f>
        <v/>
      </c>
      <c r="T25" s="23" t="n"/>
    </row>
    <row r="26">
      <c r="A26" s="23" t="n"/>
      <c r="B26" s="23" t="n"/>
      <c r="C26" s="24" t="n"/>
      <c r="D26" s="15" t="n"/>
      <c r="E26" s="23" t="n"/>
      <c r="F26" s="15" t="n"/>
      <c r="G26" s="23" t="n"/>
      <c r="H26" s="25" t="n"/>
      <c r="I26" s="15" t="n"/>
      <c r="J26" s="26">
        <f>IF($A26="","",LEN($C26)-LEN(SUBSTITUTE($C26,",",""))+1)</f>
        <v/>
      </c>
      <c r="K26" s="26">
        <f>IF($A26="","",SUMPRODUCT(--ISNUMBER(SEARCH('Category Dictionary'!$D$5:$D$135&amp;"",$C26)),--('Category Dictionary'!$D$5:$D$135&lt;&gt;"")))</f>
        <v/>
      </c>
      <c r="L26" s="27">
        <f>IF($A26="","",TRIM(IF(ISERROR(FIND(",",$C26)),$C26,LEFT($C26,FIND(",",$C26)-1))))</f>
        <v/>
      </c>
      <c r="M26" s="28">
        <f>IF($H26="","",DATE(YEAR($H26),MONTH($H26),1))</f>
        <v/>
      </c>
      <c r="N26" s="26">
        <f>IF($H26="","",TODAY()-$H26)</f>
        <v/>
      </c>
      <c r="O26" s="15" t="n"/>
      <c r="P26" s="15" t="n"/>
      <c r="Q26" s="15" t="n"/>
      <c r="R26" s="25" t="n"/>
      <c r="S26" s="26">
        <f>IF($A26="","",AND(OR('Assignment Builder'!$B$5="",$B26='Assignment Builder'!$B$5),OR('Assignment Builder'!$B$6="",ISNUMBER(SEARCH('Assignment Builder'!$B$6,$C26))),OR('Assignment Builder'!$B$7="",'Assignment Builder'!$B$7=IFERROR(INDEX('Category Dictionary'!$C$5:$C$135,MATCH($L26,'Category Dictionary'!$D$5:$D$135,0)),"")),OR('Assignment Builder'!$B$8="",$D26='Assignment Builder'!$B$8),OR('Assignment Builder'!$B$9="",$F26='Assignment Builder'!$B$9),OR('Assignment Builder'!$B$10="",$O26='Assignment Builder'!$B$10),OR('Assignment Builder'!$B$11="",$H26&gt;='Assignment Builder'!$B$11),OR('Assignment Builder'!$B$12="",N($Q26)&lt;='Assignment Builder'!$B$12)))</f>
        <v/>
      </c>
      <c r="T26" s="23" t="n"/>
    </row>
    <row r="27">
      <c r="A27" s="23" t="n"/>
      <c r="B27" s="23" t="n"/>
      <c r="C27" s="24" t="n"/>
      <c r="D27" s="15" t="n"/>
      <c r="E27" s="23" t="n"/>
      <c r="F27" s="15" t="n"/>
      <c r="G27" s="23" t="n"/>
      <c r="H27" s="25" t="n"/>
      <c r="I27" s="15" t="n"/>
      <c r="J27" s="26">
        <f>IF($A27="","",LEN($C27)-LEN(SUBSTITUTE($C27,",",""))+1)</f>
        <v/>
      </c>
      <c r="K27" s="26">
        <f>IF($A27="","",SUMPRODUCT(--ISNUMBER(SEARCH('Category Dictionary'!$D$5:$D$135&amp;"",$C27)),--('Category Dictionary'!$D$5:$D$135&lt;&gt;"")))</f>
        <v/>
      </c>
      <c r="L27" s="27">
        <f>IF($A27="","",TRIM(IF(ISERROR(FIND(",",$C27)),$C27,LEFT($C27,FIND(",",$C27)-1))))</f>
        <v/>
      </c>
      <c r="M27" s="28">
        <f>IF($H27="","",DATE(YEAR($H27),MONTH($H27),1))</f>
        <v/>
      </c>
      <c r="N27" s="26">
        <f>IF($H27="","",TODAY()-$H27)</f>
        <v/>
      </c>
      <c r="O27" s="15" t="n"/>
      <c r="P27" s="15" t="n"/>
      <c r="Q27" s="15" t="n"/>
      <c r="R27" s="25" t="n"/>
      <c r="S27" s="26">
        <f>IF($A27="","",AND(OR('Assignment Builder'!$B$5="",$B27='Assignment Builder'!$B$5),OR('Assignment Builder'!$B$6="",ISNUMBER(SEARCH('Assignment Builder'!$B$6,$C27))),OR('Assignment Builder'!$B$7="",'Assignment Builder'!$B$7=IFERROR(INDEX('Category Dictionary'!$C$5:$C$135,MATCH($L27,'Category Dictionary'!$D$5:$D$135,0)),"")),OR('Assignment Builder'!$B$8="",$D27='Assignment Builder'!$B$8),OR('Assignment Builder'!$B$9="",$F27='Assignment Builder'!$B$9),OR('Assignment Builder'!$B$10="",$O27='Assignment Builder'!$B$10),OR('Assignment Builder'!$B$11="",$H27&gt;='Assignment Builder'!$B$11),OR('Assignment Builder'!$B$12="",N($Q27)&lt;='Assignment Builder'!$B$12)))</f>
        <v/>
      </c>
      <c r="T27" s="23" t="n"/>
    </row>
    <row r="28">
      <c r="A28" s="23" t="n"/>
      <c r="B28" s="23" t="n"/>
      <c r="C28" s="24" t="n"/>
      <c r="D28" s="15" t="n"/>
      <c r="E28" s="23" t="n"/>
      <c r="F28" s="15" t="n"/>
      <c r="G28" s="23" t="n"/>
      <c r="H28" s="25" t="n"/>
      <c r="I28" s="15" t="n"/>
      <c r="J28" s="26">
        <f>IF($A28="","",LEN($C28)-LEN(SUBSTITUTE($C28,",",""))+1)</f>
        <v/>
      </c>
      <c r="K28" s="26">
        <f>IF($A28="","",SUMPRODUCT(--ISNUMBER(SEARCH('Category Dictionary'!$D$5:$D$135&amp;"",$C28)),--('Category Dictionary'!$D$5:$D$135&lt;&gt;"")))</f>
        <v/>
      </c>
      <c r="L28" s="27">
        <f>IF($A28="","",TRIM(IF(ISERROR(FIND(",",$C28)),$C28,LEFT($C28,FIND(",",$C28)-1))))</f>
        <v/>
      </c>
      <c r="M28" s="28">
        <f>IF($H28="","",DATE(YEAR($H28),MONTH($H28),1))</f>
        <v/>
      </c>
      <c r="N28" s="26">
        <f>IF($H28="","",TODAY()-$H28)</f>
        <v/>
      </c>
      <c r="O28" s="15" t="n"/>
      <c r="P28" s="15" t="n"/>
      <c r="Q28" s="15" t="n"/>
      <c r="R28" s="25" t="n"/>
      <c r="S28" s="26">
        <f>IF($A28="","",AND(OR('Assignment Builder'!$B$5="",$B28='Assignment Builder'!$B$5),OR('Assignment Builder'!$B$6="",ISNUMBER(SEARCH('Assignment Builder'!$B$6,$C28))),OR('Assignment Builder'!$B$7="",'Assignment Builder'!$B$7=IFERROR(INDEX('Category Dictionary'!$C$5:$C$135,MATCH($L28,'Category Dictionary'!$D$5:$D$135,0)),"")),OR('Assignment Builder'!$B$8="",$D28='Assignment Builder'!$B$8),OR('Assignment Builder'!$B$9="",$F28='Assignment Builder'!$B$9),OR('Assignment Builder'!$B$10="",$O28='Assignment Builder'!$B$10),OR('Assignment Builder'!$B$11="",$H28&gt;='Assignment Builder'!$B$11),OR('Assignment Builder'!$B$12="",N($Q28)&lt;='Assignment Builder'!$B$12)))</f>
        <v/>
      </c>
      <c r="T28" s="23" t="n"/>
    </row>
    <row r="29">
      <c r="A29" s="23" t="n"/>
      <c r="B29" s="23" t="n"/>
      <c r="C29" s="24" t="n"/>
      <c r="D29" s="15" t="n"/>
      <c r="E29" s="23" t="n"/>
      <c r="F29" s="15" t="n"/>
      <c r="G29" s="23" t="n"/>
      <c r="H29" s="25" t="n"/>
      <c r="I29" s="15" t="n"/>
      <c r="J29" s="26">
        <f>IF($A29="","",LEN($C29)-LEN(SUBSTITUTE($C29,",",""))+1)</f>
        <v/>
      </c>
      <c r="K29" s="26">
        <f>IF($A29="","",SUMPRODUCT(--ISNUMBER(SEARCH('Category Dictionary'!$D$5:$D$135&amp;"",$C29)),--('Category Dictionary'!$D$5:$D$135&lt;&gt;"")))</f>
        <v/>
      </c>
      <c r="L29" s="27">
        <f>IF($A29="","",TRIM(IF(ISERROR(FIND(",",$C29)),$C29,LEFT($C29,FIND(",",$C29)-1))))</f>
        <v/>
      </c>
      <c r="M29" s="28">
        <f>IF($H29="","",DATE(YEAR($H29),MONTH($H29),1))</f>
        <v/>
      </c>
      <c r="N29" s="26">
        <f>IF($H29="","",TODAY()-$H29)</f>
        <v/>
      </c>
      <c r="O29" s="15" t="n"/>
      <c r="P29" s="15" t="n"/>
      <c r="Q29" s="15" t="n"/>
      <c r="R29" s="25" t="n"/>
      <c r="S29" s="26">
        <f>IF($A29="","",AND(OR('Assignment Builder'!$B$5="",$B29='Assignment Builder'!$B$5),OR('Assignment Builder'!$B$6="",ISNUMBER(SEARCH('Assignment Builder'!$B$6,$C29))),OR('Assignment Builder'!$B$7="",'Assignment Builder'!$B$7=IFERROR(INDEX('Category Dictionary'!$C$5:$C$135,MATCH($L29,'Category Dictionary'!$D$5:$D$135,0)),"")),OR('Assignment Builder'!$B$8="",$D29='Assignment Builder'!$B$8),OR('Assignment Builder'!$B$9="",$F29='Assignment Builder'!$B$9),OR('Assignment Builder'!$B$10="",$O29='Assignment Builder'!$B$10),OR('Assignment Builder'!$B$11="",$H29&gt;='Assignment Builder'!$B$11),OR('Assignment Builder'!$B$12="",N($Q29)&lt;='Assignment Builder'!$B$12)))</f>
        <v/>
      </c>
      <c r="T29" s="23" t="n"/>
    </row>
    <row r="30">
      <c r="A30" s="23" t="n"/>
      <c r="B30" s="23" t="n"/>
      <c r="C30" s="24" t="n"/>
      <c r="D30" s="15" t="n"/>
      <c r="E30" s="23" t="n"/>
      <c r="F30" s="15" t="n"/>
      <c r="G30" s="23" t="n"/>
      <c r="H30" s="25" t="n"/>
      <c r="I30" s="15" t="n"/>
      <c r="J30" s="26">
        <f>IF($A30="","",LEN($C30)-LEN(SUBSTITUTE($C30,",",""))+1)</f>
        <v/>
      </c>
      <c r="K30" s="26">
        <f>IF($A30="","",SUMPRODUCT(--ISNUMBER(SEARCH('Category Dictionary'!$D$5:$D$135&amp;"",$C30)),--('Category Dictionary'!$D$5:$D$135&lt;&gt;"")))</f>
        <v/>
      </c>
      <c r="L30" s="27">
        <f>IF($A30="","",TRIM(IF(ISERROR(FIND(",",$C30)),$C30,LEFT($C30,FIND(",",$C30)-1))))</f>
        <v/>
      </c>
      <c r="M30" s="28">
        <f>IF($H30="","",DATE(YEAR($H30),MONTH($H30),1))</f>
        <v/>
      </c>
      <c r="N30" s="26">
        <f>IF($H30="","",TODAY()-$H30)</f>
        <v/>
      </c>
      <c r="O30" s="15" t="n"/>
      <c r="P30" s="15" t="n"/>
      <c r="Q30" s="15" t="n"/>
      <c r="R30" s="25" t="n"/>
      <c r="S30" s="26">
        <f>IF($A30="","",AND(OR('Assignment Builder'!$B$5="",$B30='Assignment Builder'!$B$5),OR('Assignment Builder'!$B$6="",ISNUMBER(SEARCH('Assignment Builder'!$B$6,$C30))),OR('Assignment Builder'!$B$7="",'Assignment Builder'!$B$7=IFERROR(INDEX('Category Dictionary'!$C$5:$C$135,MATCH($L30,'Category Dictionary'!$D$5:$D$135,0)),"")),OR('Assignment Builder'!$B$8="",$D30='Assignment Builder'!$B$8),OR('Assignment Builder'!$B$9="",$F30='Assignment Builder'!$B$9),OR('Assignment Builder'!$B$10="",$O30='Assignment Builder'!$B$10),OR('Assignment Builder'!$B$11="",$H30&gt;='Assignment Builder'!$B$11),OR('Assignment Builder'!$B$12="",N($Q30)&lt;='Assignment Builder'!$B$12)))</f>
        <v/>
      </c>
      <c r="T30" s="23" t="n"/>
    </row>
    <row r="31">
      <c r="A31" s="23" t="n"/>
      <c r="B31" s="23" t="n"/>
      <c r="C31" s="24" t="n"/>
      <c r="D31" s="15" t="n"/>
      <c r="E31" s="23" t="n"/>
      <c r="F31" s="15" t="n"/>
      <c r="G31" s="23" t="n"/>
      <c r="H31" s="25" t="n"/>
      <c r="I31" s="15" t="n"/>
      <c r="J31" s="26">
        <f>IF($A31="","",LEN($C31)-LEN(SUBSTITUTE($C31,",",""))+1)</f>
        <v/>
      </c>
      <c r="K31" s="26">
        <f>IF($A31="","",SUMPRODUCT(--ISNUMBER(SEARCH('Category Dictionary'!$D$5:$D$135&amp;"",$C31)),--('Category Dictionary'!$D$5:$D$135&lt;&gt;"")))</f>
        <v/>
      </c>
      <c r="L31" s="27">
        <f>IF($A31="","",TRIM(IF(ISERROR(FIND(",",$C31)),$C31,LEFT($C31,FIND(",",$C31)-1))))</f>
        <v/>
      </c>
      <c r="M31" s="28">
        <f>IF($H31="","",DATE(YEAR($H31),MONTH($H31),1))</f>
        <v/>
      </c>
      <c r="N31" s="26">
        <f>IF($H31="","",TODAY()-$H31)</f>
        <v/>
      </c>
      <c r="O31" s="15" t="n"/>
      <c r="P31" s="15" t="n"/>
      <c r="Q31" s="15" t="n"/>
      <c r="R31" s="25" t="n"/>
      <c r="S31" s="26">
        <f>IF($A31="","",AND(OR('Assignment Builder'!$B$5="",$B31='Assignment Builder'!$B$5),OR('Assignment Builder'!$B$6="",ISNUMBER(SEARCH('Assignment Builder'!$B$6,$C31))),OR('Assignment Builder'!$B$7="",'Assignment Builder'!$B$7=IFERROR(INDEX('Category Dictionary'!$C$5:$C$135,MATCH($L31,'Category Dictionary'!$D$5:$D$135,0)),"")),OR('Assignment Builder'!$B$8="",$D31='Assignment Builder'!$B$8),OR('Assignment Builder'!$B$9="",$F31='Assignment Builder'!$B$9),OR('Assignment Builder'!$B$10="",$O31='Assignment Builder'!$B$10),OR('Assignment Builder'!$B$11="",$H31&gt;='Assignment Builder'!$B$11),OR('Assignment Builder'!$B$12="",N($Q31)&lt;='Assignment Builder'!$B$12)))</f>
        <v/>
      </c>
      <c r="T31" s="23" t="n"/>
    </row>
    <row r="32">
      <c r="A32" s="23" t="n"/>
      <c r="B32" s="23" t="n"/>
      <c r="C32" s="24" t="n"/>
      <c r="D32" s="15" t="n"/>
      <c r="E32" s="23" t="n"/>
      <c r="F32" s="15" t="n"/>
      <c r="G32" s="23" t="n"/>
      <c r="H32" s="25" t="n"/>
      <c r="I32" s="15" t="n"/>
      <c r="J32" s="26">
        <f>IF($A32="","",LEN($C32)-LEN(SUBSTITUTE($C32,",",""))+1)</f>
        <v/>
      </c>
      <c r="K32" s="26">
        <f>IF($A32="","",SUMPRODUCT(--ISNUMBER(SEARCH('Category Dictionary'!$D$5:$D$135&amp;"",$C32)),--('Category Dictionary'!$D$5:$D$135&lt;&gt;"")))</f>
        <v/>
      </c>
      <c r="L32" s="27">
        <f>IF($A32="","",TRIM(IF(ISERROR(FIND(",",$C32)),$C32,LEFT($C32,FIND(",",$C32)-1))))</f>
        <v/>
      </c>
      <c r="M32" s="28">
        <f>IF($H32="","",DATE(YEAR($H32),MONTH($H32),1))</f>
        <v/>
      </c>
      <c r="N32" s="26">
        <f>IF($H32="","",TODAY()-$H32)</f>
        <v/>
      </c>
      <c r="O32" s="15" t="n"/>
      <c r="P32" s="15" t="n"/>
      <c r="Q32" s="15" t="n"/>
      <c r="R32" s="25" t="n"/>
      <c r="S32" s="26">
        <f>IF($A32="","",AND(OR('Assignment Builder'!$B$5="",$B32='Assignment Builder'!$B$5),OR('Assignment Builder'!$B$6="",ISNUMBER(SEARCH('Assignment Builder'!$B$6,$C32))),OR('Assignment Builder'!$B$7="",'Assignment Builder'!$B$7=IFERROR(INDEX('Category Dictionary'!$C$5:$C$135,MATCH($L32,'Category Dictionary'!$D$5:$D$135,0)),"")),OR('Assignment Builder'!$B$8="",$D32='Assignment Builder'!$B$8),OR('Assignment Builder'!$B$9="",$F32='Assignment Builder'!$B$9),OR('Assignment Builder'!$B$10="",$O32='Assignment Builder'!$B$10),OR('Assignment Builder'!$B$11="",$H32&gt;='Assignment Builder'!$B$11),OR('Assignment Builder'!$B$12="",N($Q32)&lt;='Assignment Builder'!$B$12)))</f>
        <v/>
      </c>
      <c r="T32" s="23" t="n"/>
    </row>
    <row r="33">
      <c r="A33" s="23" t="n"/>
      <c r="B33" s="23" t="n"/>
      <c r="C33" s="24" t="n"/>
      <c r="D33" s="15" t="n"/>
      <c r="E33" s="23" t="n"/>
      <c r="F33" s="15" t="n"/>
      <c r="G33" s="23" t="n"/>
      <c r="H33" s="25" t="n"/>
      <c r="I33" s="15" t="n"/>
      <c r="J33" s="26">
        <f>IF($A33="","",LEN($C33)-LEN(SUBSTITUTE($C33,",",""))+1)</f>
        <v/>
      </c>
      <c r="K33" s="26">
        <f>IF($A33="","",SUMPRODUCT(--ISNUMBER(SEARCH('Category Dictionary'!$D$5:$D$135&amp;"",$C33)),--('Category Dictionary'!$D$5:$D$135&lt;&gt;"")))</f>
        <v/>
      </c>
      <c r="L33" s="27">
        <f>IF($A33="","",TRIM(IF(ISERROR(FIND(",",$C33)),$C33,LEFT($C33,FIND(",",$C33)-1))))</f>
        <v/>
      </c>
      <c r="M33" s="28">
        <f>IF($H33="","",DATE(YEAR($H33),MONTH($H33),1))</f>
        <v/>
      </c>
      <c r="N33" s="26">
        <f>IF($H33="","",TODAY()-$H33)</f>
        <v/>
      </c>
      <c r="O33" s="15" t="n"/>
      <c r="P33" s="15" t="n"/>
      <c r="Q33" s="15" t="n"/>
      <c r="R33" s="25" t="n"/>
      <c r="S33" s="26">
        <f>IF($A33="","",AND(OR('Assignment Builder'!$B$5="",$B33='Assignment Builder'!$B$5),OR('Assignment Builder'!$B$6="",ISNUMBER(SEARCH('Assignment Builder'!$B$6,$C33))),OR('Assignment Builder'!$B$7="",'Assignment Builder'!$B$7=IFERROR(INDEX('Category Dictionary'!$C$5:$C$135,MATCH($L33,'Category Dictionary'!$D$5:$D$135,0)),"")),OR('Assignment Builder'!$B$8="",$D33='Assignment Builder'!$B$8),OR('Assignment Builder'!$B$9="",$F33='Assignment Builder'!$B$9),OR('Assignment Builder'!$B$10="",$O33='Assignment Builder'!$B$10),OR('Assignment Builder'!$B$11="",$H33&gt;='Assignment Builder'!$B$11),OR('Assignment Builder'!$B$12="",N($Q33)&lt;='Assignment Builder'!$B$12)))</f>
        <v/>
      </c>
      <c r="T33" s="23" t="n"/>
    </row>
    <row r="34">
      <c r="A34" s="23" t="n"/>
      <c r="B34" s="23" t="n"/>
      <c r="C34" s="24" t="n"/>
      <c r="D34" s="15" t="n"/>
      <c r="E34" s="23" t="n"/>
      <c r="F34" s="15" t="n"/>
      <c r="G34" s="23" t="n"/>
      <c r="H34" s="25" t="n"/>
      <c r="I34" s="15" t="n"/>
      <c r="J34" s="26">
        <f>IF($A34="","",LEN($C34)-LEN(SUBSTITUTE($C34,",",""))+1)</f>
        <v/>
      </c>
      <c r="K34" s="26">
        <f>IF($A34="","",SUMPRODUCT(--ISNUMBER(SEARCH('Category Dictionary'!$D$5:$D$135&amp;"",$C34)),--('Category Dictionary'!$D$5:$D$135&lt;&gt;"")))</f>
        <v/>
      </c>
      <c r="L34" s="27">
        <f>IF($A34="","",TRIM(IF(ISERROR(FIND(",",$C34)),$C34,LEFT($C34,FIND(",",$C34)-1))))</f>
        <v/>
      </c>
      <c r="M34" s="28">
        <f>IF($H34="","",DATE(YEAR($H34),MONTH($H34),1))</f>
        <v/>
      </c>
      <c r="N34" s="26">
        <f>IF($H34="","",TODAY()-$H34)</f>
        <v/>
      </c>
      <c r="O34" s="15" t="n"/>
      <c r="P34" s="15" t="n"/>
      <c r="Q34" s="15" t="n"/>
      <c r="R34" s="25" t="n"/>
      <c r="S34" s="26">
        <f>IF($A34="","",AND(OR('Assignment Builder'!$B$5="",$B34='Assignment Builder'!$B$5),OR('Assignment Builder'!$B$6="",ISNUMBER(SEARCH('Assignment Builder'!$B$6,$C34))),OR('Assignment Builder'!$B$7="",'Assignment Builder'!$B$7=IFERROR(INDEX('Category Dictionary'!$C$5:$C$135,MATCH($L34,'Category Dictionary'!$D$5:$D$135,0)),"")),OR('Assignment Builder'!$B$8="",$D34='Assignment Builder'!$B$8),OR('Assignment Builder'!$B$9="",$F34='Assignment Builder'!$B$9),OR('Assignment Builder'!$B$10="",$O34='Assignment Builder'!$B$10),OR('Assignment Builder'!$B$11="",$H34&gt;='Assignment Builder'!$B$11),OR('Assignment Builder'!$B$12="",N($Q34)&lt;='Assignment Builder'!$B$12)))</f>
        <v/>
      </c>
      <c r="T34" s="23" t="n"/>
    </row>
    <row r="35">
      <c r="A35" s="23" t="n"/>
      <c r="B35" s="23" t="n"/>
      <c r="C35" s="24" t="n"/>
      <c r="D35" s="15" t="n"/>
      <c r="E35" s="23" t="n"/>
      <c r="F35" s="15" t="n"/>
      <c r="G35" s="23" t="n"/>
      <c r="H35" s="25" t="n"/>
      <c r="I35" s="15" t="n"/>
      <c r="J35" s="26">
        <f>IF($A35="","",LEN($C35)-LEN(SUBSTITUTE($C35,",",""))+1)</f>
        <v/>
      </c>
      <c r="K35" s="26">
        <f>IF($A35="","",SUMPRODUCT(--ISNUMBER(SEARCH('Category Dictionary'!$D$5:$D$135&amp;"",$C35)),--('Category Dictionary'!$D$5:$D$135&lt;&gt;"")))</f>
        <v/>
      </c>
      <c r="L35" s="27">
        <f>IF($A35="","",TRIM(IF(ISERROR(FIND(",",$C35)),$C35,LEFT($C35,FIND(",",$C35)-1))))</f>
        <v/>
      </c>
      <c r="M35" s="28">
        <f>IF($H35="","",DATE(YEAR($H35),MONTH($H35),1))</f>
        <v/>
      </c>
      <c r="N35" s="26">
        <f>IF($H35="","",TODAY()-$H35)</f>
        <v/>
      </c>
      <c r="O35" s="15" t="n"/>
      <c r="P35" s="15" t="n"/>
      <c r="Q35" s="15" t="n"/>
      <c r="R35" s="25" t="n"/>
      <c r="S35" s="26">
        <f>IF($A35="","",AND(OR('Assignment Builder'!$B$5="",$B35='Assignment Builder'!$B$5),OR('Assignment Builder'!$B$6="",ISNUMBER(SEARCH('Assignment Builder'!$B$6,$C35))),OR('Assignment Builder'!$B$7="",'Assignment Builder'!$B$7=IFERROR(INDEX('Category Dictionary'!$C$5:$C$135,MATCH($L35,'Category Dictionary'!$D$5:$D$135,0)),"")),OR('Assignment Builder'!$B$8="",$D35='Assignment Builder'!$B$8),OR('Assignment Builder'!$B$9="",$F35='Assignment Builder'!$B$9),OR('Assignment Builder'!$B$10="",$O35='Assignment Builder'!$B$10),OR('Assignment Builder'!$B$11="",$H35&gt;='Assignment Builder'!$B$11),OR('Assignment Builder'!$B$12="",N($Q35)&lt;='Assignment Builder'!$B$12)))</f>
        <v/>
      </c>
      <c r="T35" s="23" t="n"/>
    </row>
    <row r="36">
      <c r="A36" s="23" t="n"/>
      <c r="B36" s="23" t="n"/>
      <c r="C36" s="24" t="n"/>
      <c r="D36" s="15" t="n"/>
      <c r="E36" s="23" t="n"/>
      <c r="F36" s="15" t="n"/>
      <c r="G36" s="23" t="n"/>
      <c r="H36" s="25" t="n"/>
      <c r="I36" s="15" t="n"/>
      <c r="J36" s="26">
        <f>IF($A36="","",LEN($C36)-LEN(SUBSTITUTE($C36,",",""))+1)</f>
        <v/>
      </c>
      <c r="K36" s="26">
        <f>IF($A36="","",SUMPRODUCT(--ISNUMBER(SEARCH('Category Dictionary'!$D$5:$D$135&amp;"",$C36)),--('Category Dictionary'!$D$5:$D$135&lt;&gt;"")))</f>
        <v/>
      </c>
      <c r="L36" s="27">
        <f>IF($A36="","",TRIM(IF(ISERROR(FIND(",",$C36)),$C36,LEFT($C36,FIND(",",$C36)-1))))</f>
        <v/>
      </c>
      <c r="M36" s="28">
        <f>IF($H36="","",DATE(YEAR($H36),MONTH($H36),1))</f>
        <v/>
      </c>
      <c r="N36" s="26">
        <f>IF($H36="","",TODAY()-$H36)</f>
        <v/>
      </c>
      <c r="O36" s="15" t="n"/>
      <c r="P36" s="15" t="n"/>
      <c r="Q36" s="15" t="n"/>
      <c r="R36" s="25" t="n"/>
      <c r="S36" s="26">
        <f>IF($A36="","",AND(OR('Assignment Builder'!$B$5="",$B36='Assignment Builder'!$B$5),OR('Assignment Builder'!$B$6="",ISNUMBER(SEARCH('Assignment Builder'!$B$6,$C36))),OR('Assignment Builder'!$B$7="",'Assignment Builder'!$B$7=IFERROR(INDEX('Category Dictionary'!$C$5:$C$135,MATCH($L36,'Category Dictionary'!$D$5:$D$135,0)),"")),OR('Assignment Builder'!$B$8="",$D36='Assignment Builder'!$B$8),OR('Assignment Builder'!$B$9="",$F36='Assignment Builder'!$B$9),OR('Assignment Builder'!$B$10="",$O36='Assignment Builder'!$B$10),OR('Assignment Builder'!$B$11="",$H36&gt;='Assignment Builder'!$B$11),OR('Assignment Builder'!$B$12="",N($Q36)&lt;='Assignment Builder'!$B$12)))</f>
        <v/>
      </c>
      <c r="T36" s="23" t="n"/>
    </row>
    <row r="37">
      <c r="A37" s="23" t="n"/>
      <c r="B37" s="23" t="n"/>
      <c r="C37" s="24" t="n"/>
      <c r="D37" s="15" t="n"/>
      <c r="E37" s="23" t="n"/>
      <c r="F37" s="15" t="n"/>
      <c r="G37" s="23" t="n"/>
      <c r="H37" s="25" t="n"/>
      <c r="I37" s="15" t="n"/>
      <c r="J37" s="26">
        <f>IF($A37="","",LEN($C37)-LEN(SUBSTITUTE($C37,",",""))+1)</f>
        <v/>
      </c>
      <c r="K37" s="26">
        <f>IF($A37="","",SUMPRODUCT(--ISNUMBER(SEARCH('Category Dictionary'!$D$5:$D$135&amp;"",$C37)),--('Category Dictionary'!$D$5:$D$135&lt;&gt;"")))</f>
        <v/>
      </c>
      <c r="L37" s="27">
        <f>IF($A37="","",TRIM(IF(ISERROR(FIND(",",$C37)),$C37,LEFT($C37,FIND(",",$C37)-1))))</f>
        <v/>
      </c>
      <c r="M37" s="28">
        <f>IF($H37="","",DATE(YEAR($H37),MONTH($H37),1))</f>
        <v/>
      </c>
      <c r="N37" s="26">
        <f>IF($H37="","",TODAY()-$H37)</f>
        <v/>
      </c>
      <c r="O37" s="15" t="n"/>
      <c r="P37" s="15" t="n"/>
      <c r="Q37" s="15" t="n"/>
      <c r="R37" s="25" t="n"/>
      <c r="S37" s="26">
        <f>IF($A37="","",AND(OR('Assignment Builder'!$B$5="",$B37='Assignment Builder'!$B$5),OR('Assignment Builder'!$B$6="",ISNUMBER(SEARCH('Assignment Builder'!$B$6,$C37))),OR('Assignment Builder'!$B$7="",'Assignment Builder'!$B$7=IFERROR(INDEX('Category Dictionary'!$C$5:$C$135,MATCH($L37,'Category Dictionary'!$D$5:$D$135,0)),"")),OR('Assignment Builder'!$B$8="",$D37='Assignment Builder'!$B$8),OR('Assignment Builder'!$B$9="",$F37='Assignment Builder'!$B$9),OR('Assignment Builder'!$B$10="",$O37='Assignment Builder'!$B$10),OR('Assignment Builder'!$B$11="",$H37&gt;='Assignment Builder'!$B$11),OR('Assignment Builder'!$B$12="",N($Q37)&lt;='Assignment Builder'!$B$12)))</f>
        <v/>
      </c>
      <c r="T37" s="23" t="n"/>
    </row>
    <row r="38">
      <c r="A38" s="23" t="n"/>
      <c r="B38" s="23" t="n"/>
      <c r="C38" s="24" t="n"/>
      <c r="D38" s="15" t="n"/>
      <c r="E38" s="23" t="n"/>
      <c r="F38" s="15" t="n"/>
      <c r="G38" s="23" t="n"/>
      <c r="H38" s="25" t="n"/>
      <c r="I38" s="15" t="n"/>
      <c r="J38" s="26">
        <f>IF($A38="","",LEN($C38)-LEN(SUBSTITUTE($C38,",",""))+1)</f>
        <v/>
      </c>
      <c r="K38" s="26">
        <f>IF($A38="","",SUMPRODUCT(--ISNUMBER(SEARCH('Category Dictionary'!$D$5:$D$135&amp;"",$C38)),--('Category Dictionary'!$D$5:$D$135&lt;&gt;"")))</f>
        <v/>
      </c>
      <c r="L38" s="27">
        <f>IF($A38="","",TRIM(IF(ISERROR(FIND(",",$C38)),$C38,LEFT($C38,FIND(",",$C38)-1))))</f>
        <v/>
      </c>
      <c r="M38" s="28">
        <f>IF($H38="","",DATE(YEAR($H38),MONTH($H38),1))</f>
        <v/>
      </c>
      <c r="N38" s="26">
        <f>IF($H38="","",TODAY()-$H38)</f>
        <v/>
      </c>
      <c r="O38" s="15" t="n"/>
      <c r="P38" s="15" t="n"/>
      <c r="Q38" s="15" t="n"/>
      <c r="R38" s="25" t="n"/>
      <c r="S38" s="26">
        <f>IF($A38="","",AND(OR('Assignment Builder'!$B$5="",$B38='Assignment Builder'!$B$5),OR('Assignment Builder'!$B$6="",ISNUMBER(SEARCH('Assignment Builder'!$B$6,$C38))),OR('Assignment Builder'!$B$7="",'Assignment Builder'!$B$7=IFERROR(INDEX('Category Dictionary'!$C$5:$C$135,MATCH($L38,'Category Dictionary'!$D$5:$D$135,0)),"")),OR('Assignment Builder'!$B$8="",$D38='Assignment Builder'!$B$8),OR('Assignment Builder'!$B$9="",$F38='Assignment Builder'!$B$9),OR('Assignment Builder'!$B$10="",$O38='Assignment Builder'!$B$10),OR('Assignment Builder'!$B$11="",$H38&gt;='Assignment Builder'!$B$11),OR('Assignment Builder'!$B$12="",N($Q38)&lt;='Assignment Builder'!$B$12)))</f>
        <v/>
      </c>
      <c r="T38" s="23" t="n"/>
    </row>
    <row r="39">
      <c r="A39" s="23" t="n"/>
      <c r="B39" s="23" t="n"/>
      <c r="C39" s="24" t="n"/>
      <c r="D39" s="15" t="n"/>
      <c r="E39" s="23" t="n"/>
      <c r="F39" s="15" t="n"/>
      <c r="G39" s="23" t="n"/>
      <c r="H39" s="25" t="n"/>
      <c r="I39" s="15" t="n"/>
      <c r="J39" s="26">
        <f>IF($A39="","",LEN($C39)-LEN(SUBSTITUTE($C39,",",""))+1)</f>
        <v/>
      </c>
      <c r="K39" s="26">
        <f>IF($A39="","",SUMPRODUCT(--ISNUMBER(SEARCH('Category Dictionary'!$D$5:$D$135&amp;"",$C39)),--('Category Dictionary'!$D$5:$D$135&lt;&gt;"")))</f>
        <v/>
      </c>
      <c r="L39" s="27">
        <f>IF($A39="","",TRIM(IF(ISERROR(FIND(",",$C39)),$C39,LEFT($C39,FIND(",",$C39)-1))))</f>
        <v/>
      </c>
      <c r="M39" s="28">
        <f>IF($H39="","",DATE(YEAR($H39),MONTH($H39),1))</f>
        <v/>
      </c>
      <c r="N39" s="26">
        <f>IF($H39="","",TODAY()-$H39)</f>
        <v/>
      </c>
      <c r="O39" s="15" t="n"/>
      <c r="P39" s="15" t="n"/>
      <c r="Q39" s="15" t="n"/>
      <c r="R39" s="25" t="n"/>
      <c r="S39" s="26">
        <f>IF($A39="","",AND(OR('Assignment Builder'!$B$5="",$B39='Assignment Builder'!$B$5),OR('Assignment Builder'!$B$6="",ISNUMBER(SEARCH('Assignment Builder'!$B$6,$C39))),OR('Assignment Builder'!$B$7="",'Assignment Builder'!$B$7=IFERROR(INDEX('Category Dictionary'!$C$5:$C$135,MATCH($L39,'Category Dictionary'!$D$5:$D$135,0)),"")),OR('Assignment Builder'!$B$8="",$D39='Assignment Builder'!$B$8),OR('Assignment Builder'!$B$9="",$F39='Assignment Builder'!$B$9),OR('Assignment Builder'!$B$10="",$O39='Assignment Builder'!$B$10),OR('Assignment Builder'!$B$11="",$H39&gt;='Assignment Builder'!$B$11),OR('Assignment Builder'!$B$12="",N($Q39)&lt;='Assignment Builder'!$B$12)))</f>
        <v/>
      </c>
      <c r="T39" s="23" t="n"/>
    </row>
    <row r="40">
      <c r="A40" s="23" t="n"/>
      <c r="B40" s="23" t="n"/>
      <c r="C40" s="24" t="n"/>
      <c r="D40" s="15" t="n"/>
      <c r="E40" s="23" t="n"/>
      <c r="F40" s="15" t="n"/>
      <c r="G40" s="23" t="n"/>
      <c r="H40" s="25" t="n"/>
      <c r="I40" s="15" t="n"/>
      <c r="J40" s="26">
        <f>IF($A40="","",LEN($C40)-LEN(SUBSTITUTE($C40,",",""))+1)</f>
        <v/>
      </c>
      <c r="K40" s="26">
        <f>IF($A40="","",SUMPRODUCT(--ISNUMBER(SEARCH('Category Dictionary'!$D$5:$D$135&amp;"",$C40)),--('Category Dictionary'!$D$5:$D$135&lt;&gt;"")))</f>
        <v/>
      </c>
      <c r="L40" s="27">
        <f>IF($A40="","",TRIM(IF(ISERROR(FIND(",",$C40)),$C40,LEFT($C40,FIND(",",$C40)-1))))</f>
        <v/>
      </c>
      <c r="M40" s="28">
        <f>IF($H40="","",DATE(YEAR($H40),MONTH($H40),1))</f>
        <v/>
      </c>
      <c r="N40" s="26">
        <f>IF($H40="","",TODAY()-$H40)</f>
        <v/>
      </c>
      <c r="O40" s="15" t="n"/>
      <c r="P40" s="15" t="n"/>
      <c r="Q40" s="15" t="n"/>
      <c r="R40" s="25" t="n"/>
      <c r="S40" s="26">
        <f>IF($A40="","",AND(OR('Assignment Builder'!$B$5="",$B40='Assignment Builder'!$B$5),OR('Assignment Builder'!$B$6="",ISNUMBER(SEARCH('Assignment Builder'!$B$6,$C40))),OR('Assignment Builder'!$B$7="",'Assignment Builder'!$B$7=IFERROR(INDEX('Category Dictionary'!$C$5:$C$135,MATCH($L40,'Category Dictionary'!$D$5:$D$135,0)),"")),OR('Assignment Builder'!$B$8="",$D40='Assignment Builder'!$B$8),OR('Assignment Builder'!$B$9="",$F40='Assignment Builder'!$B$9),OR('Assignment Builder'!$B$10="",$O40='Assignment Builder'!$B$10),OR('Assignment Builder'!$B$11="",$H40&gt;='Assignment Builder'!$B$11),OR('Assignment Builder'!$B$12="",N($Q40)&lt;='Assignment Builder'!$B$12)))</f>
        <v/>
      </c>
      <c r="T40" s="23" t="n"/>
    </row>
    <row r="41">
      <c r="A41" s="23" t="n"/>
      <c r="B41" s="23" t="n"/>
      <c r="C41" s="24" t="n"/>
      <c r="D41" s="15" t="n"/>
      <c r="E41" s="23" t="n"/>
      <c r="F41" s="15" t="n"/>
      <c r="G41" s="23" t="n"/>
      <c r="H41" s="25" t="n"/>
      <c r="I41" s="15" t="n"/>
      <c r="J41" s="26">
        <f>IF($A41="","",LEN($C41)-LEN(SUBSTITUTE($C41,",",""))+1)</f>
        <v/>
      </c>
      <c r="K41" s="26">
        <f>IF($A41="","",SUMPRODUCT(--ISNUMBER(SEARCH('Category Dictionary'!$D$5:$D$135&amp;"",$C41)),--('Category Dictionary'!$D$5:$D$135&lt;&gt;"")))</f>
        <v/>
      </c>
      <c r="L41" s="27">
        <f>IF($A41="","",TRIM(IF(ISERROR(FIND(",",$C41)),$C41,LEFT($C41,FIND(",",$C41)-1))))</f>
        <v/>
      </c>
      <c r="M41" s="28">
        <f>IF($H41="","",DATE(YEAR($H41),MONTH($H41),1))</f>
        <v/>
      </c>
      <c r="N41" s="26">
        <f>IF($H41="","",TODAY()-$H41)</f>
        <v/>
      </c>
      <c r="O41" s="15" t="n"/>
      <c r="P41" s="15" t="n"/>
      <c r="Q41" s="15" t="n"/>
      <c r="R41" s="25" t="n"/>
      <c r="S41" s="26">
        <f>IF($A41="","",AND(OR('Assignment Builder'!$B$5="",$B41='Assignment Builder'!$B$5),OR('Assignment Builder'!$B$6="",ISNUMBER(SEARCH('Assignment Builder'!$B$6,$C41))),OR('Assignment Builder'!$B$7="",'Assignment Builder'!$B$7=IFERROR(INDEX('Category Dictionary'!$C$5:$C$135,MATCH($L41,'Category Dictionary'!$D$5:$D$135,0)),"")),OR('Assignment Builder'!$B$8="",$D41='Assignment Builder'!$B$8),OR('Assignment Builder'!$B$9="",$F41='Assignment Builder'!$B$9),OR('Assignment Builder'!$B$10="",$O41='Assignment Builder'!$B$10),OR('Assignment Builder'!$B$11="",$H41&gt;='Assignment Builder'!$B$11),OR('Assignment Builder'!$B$12="",N($Q41)&lt;='Assignment Builder'!$B$12)))</f>
        <v/>
      </c>
      <c r="T41" s="23" t="n"/>
    </row>
    <row r="42">
      <c r="A42" s="23" t="n"/>
      <c r="B42" s="23" t="n"/>
      <c r="C42" s="24" t="n"/>
      <c r="D42" s="15" t="n"/>
      <c r="E42" s="23" t="n"/>
      <c r="F42" s="15" t="n"/>
      <c r="G42" s="23" t="n"/>
      <c r="H42" s="25" t="n"/>
      <c r="I42" s="15" t="n"/>
      <c r="J42" s="26">
        <f>IF($A42="","",LEN($C42)-LEN(SUBSTITUTE($C42,",",""))+1)</f>
        <v/>
      </c>
      <c r="K42" s="26">
        <f>IF($A42="","",SUMPRODUCT(--ISNUMBER(SEARCH('Category Dictionary'!$D$5:$D$135&amp;"",$C42)),--('Category Dictionary'!$D$5:$D$135&lt;&gt;"")))</f>
        <v/>
      </c>
      <c r="L42" s="27">
        <f>IF($A42="","",TRIM(IF(ISERROR(FIND(",",$C42)),$C42,LEFT($C42,FIND(",",$C42)-1))))</f>
        <v/>
      </c>
      <c r="M42" s="28">
        <f>IF($H42="","",DATE(YEAR($H42),MONTH($H42),1))</f>
        <v/>
      </c>
      <c r="N42" s="26">
        <f>IF($H42="","",TODAY()-$H42)</f>
        <v/>
      </c>
      <c r="O42" s="15" t="n"/>
      <c r="P42" s="15" t="n"/>
      <c r="Q42" s="15" t="n"/>
      <c r="R42" s="25" t="n"/>
      <c r="S42" s="26">
        <f>IF($A42="","",AND(OR('Assignment Builder'!$B$5="",$B42='Assignment Builder'!$B$5),OR('Assignment Builder'!$B$6="",ISNUMBER(SEARCH('Assignment Builder'!$B$6,$C42))),OR('Assignment Builder'!$B$7="",'Assignment Builder'!$B$7=IFERROR(INDEX('Category Dictionary'!$C$5:$C$135,MATCH($L42,'Category Dictionary'!$D$5:$D$135,0)),"")),OR('Assignment Builder'!$B$8="",$D42='Assignment Builder'!$B$8),OR('Assignment Builder'!$B$9="",$F42='Assignment Builder'!$B$9),OR('Assignment Builder'!$B$10="",$O42='Assignment Builder'!$B$10),OR('Assignment Builder'!$B$11="",$H42&gt;='Assignment Builder'!$B$11),OR('Assignment Builder'!$B$12="",N($Q42)&lt;='Assignment Builder'!$B$12)))</f>
        <v/>
      </c>
      <c r="T42" s="23" t="n"/>
    </row>
    <row r="43">
      <c r="A43" s="23" t="n"/>
      <c r="B43" s="23" t="n"/>
      <c r="C43" s="24" t="n"/>
      <c r="D43" s="15" t="n"/>
      <c r="E43" s="23" t="n"/>
      <c r="F43" s="15" t="n"/>
      <c r="G43" s="23" t="n"/>
      <c r="H43" s="25" t="n"/>
      <c r="I43" s="15" t="n"/>
      <c r="J43" s="26">
        <f>IF($A43="","",LEN($C43)-LEN(SUBSTITUTE($C43,",",""))+1)</f>
        <v/>
      </c>
      <c r="K43" s="26">
        <f>IF($A43="","",SUMPRODUCT(--ISNUMBER(SEARCH('Category Dictionary'!$D$5:$D$135&amp;"",$C43)),--('Category Dictionary'!$D$5:$D$135&lt;&gt;"")))</f>
        <v/>
      </c>
      <c r="L43" s="27">
        <f>IF($A43="","",TRIM(IF(ISERROR(FIND(",",$C43)),$C43,LEFT($C43,FIND(",",$C43)-1))))</f>
        <v/>
      </c>
      <c r="M43" s="28">
        <f>IF($H43="","",DATE(YEAR($H43),MONTH($H43),1))</f>
        <v/>
      </c>
      <c r="N43" s="26">
        <f>IF($H43="","",TODAY()-$H43)</f>
        <v/>
      </c>
      <c r="O43" s="15" t="n"/>
      <c r="P43" s="15" t="n"/>
      <c r="Q43" s="15" t="n"/>
      <c r="R43" s="25" t="n"/>
      <c r="S43" s="26">
        <f>IF($A43="","",AND(OR('Assignment Builder'!$B$5="",$B43='Assignment Builder'!$B$5),OR('Assignment Builder'!$B$6="",ISNUMBER(SEARCH('Assignment Builder'!$B$6,$C43))),OR('Assignment Builder'!$B$7="",'Assignment Builder'!$B$7=IFERROR(INDEX('Category Dictionary'!$C$5:$C$135,MATCH($L43,'Category Dictionary'!$D$5:$D$135,0)),"")),OR('Assignment Builder'!$B$8="",$D43='Assignment Builder'!$B$8),OR('Assignment Builder'!$B$9="",$F43='Assignment Builder'!$B$9),OR('Assignment Builder'!$B$10="",$O43='Assignment Builder'!$B$10),OR('Assignment Builder'!$B$11="",$H43&gt;='Assignment Builder'!$B$11),OR('Assignment Builder'!$B$12="",N($Q43)&lt;='Assignment Builder'!$B$12)))</f>
        <v/>
      </c>
      <c r="T43" s="23" t="n"/>
    </row>
    <row r="44">
      <c r="A44" s="23" t="n"/>
      <c r="B44" s="23" t="n"/>
      <c r="C44" s="24" t="n"/>
      <c r="D44" s="15" t="n"/>
      <c r="E44" s="23" t="n"/>
      <c r="F44" s="15" t="n"/>
      <c r="G44" s="23" t="n"/>
      <c r="H44" s="25" t="n"/>
      <c r="I44" s="15" t="n"/>
      <c r="J44" s="26">
        <f>IF($A44="","",LEN($C44)-LEN(SUBSTITUTE($C44,",",""))+1)</f>
        <v/>
      </c>
      <c r="K44" s="26">
        <f>IF($A44="","",SUMPRODUCT(--ISNUMBER(SEARCH('Category Dictionary'!$D$5:$D$135&amp;"",$C44)),--('Category Dictionary'!$D$5:$D$135&lt;&gt;"")))</f>
        <v/>
      </c>
      <c r="L44" s="27">
        <f>IF($A44="","",TRIM(IF(ISERROR(FIND(",",$C44)),$C44,LEFT($C44,FIND(",",$C44)-1))))</f>
        <v/>
      </c>
      <c r="M44" s="28">
        <f>IF($H44="","",DATE(YEAR($H44),MONTH($H44),1))</f>
        <v/>
      </c>
      <c r="N44" s="26">
        <f>IF($H44="","",TODAY()-$H44)</f>
        <v/>
      </c>
      <c r="O44" s="15" t="n"/>
      <c r="P44" s="15" t="n"/>
      <c r="Q44" s="15" t="n"/>
      <c r="R44" s="25" t="n"/>
      <c r="S44" s="26">
        <f>IF($A44="","",AND(OR('Assignment Builder'!$B$5="",$B44='Assignment Builder'!$B$5),OR('Assignment Builder'!$B$6="",ISNUMBER(SEARCH('Assignment Builder'!$B$6,$C44))),OR('Assignment Builder'!$B$7="",'Assignment Builder'!$B$7=IFERROR(INDEX('Category Dictionary'!$C$5:$C$135,MATCH($L44,'Category Dictionary'!$D$5:$D$135,0)),"")),OR('Assignment Builder'!$B$8="",$D44='Assignment Builder'!$B$8),OR('Assignment Builder'!$B$9="",$F44='Assignment Builder'!$B$9),OR('Assignment Builder'!$B$10="",$O44='Assignment Builder'!$B$10),OR('Assignment Builder'!$B$11="",$H44&gt;='Assignment Builder'!$B$11),OR('Assignment Builder'!$B$12="",N($Q44)&lt;='Assignment Builder'!$B$12)))</f>
        <v/>
      </c>
      <c r="T44" s="23" t="n"/>
    </row>
    <row r="45">
      <c r="A45" s="23" t="n"/>
      <c r="B45" s="23" t="n"/>
      <c r="C45" s="24" t="n"/>
      <c r="D45" s="15" t="n"/>
      <c r="E45" s="23" t="n"/>
      <c r="F45" s="15" t="n"/>
      <c r="G45" s="23" t="n"/>
      <c r="H45" s="25" t="n"/>
      <c r="I45" s="15" t="n"/>
      <c r="J45" s="26">
        <f>IF($A45="","",LEN($C45)-LEN(SUBSTITUTE($C45,",",""))+1)</f>
        <v/>
      </c>
      <c r="K45" s="26">
        <f>IF($A45="","",SUMPRODUCT(--ISNUMBER(SEARCH('Category Dictionary'!$D$5:$D$135&amp;"",$C45)),--('Category Dictionary'!$D$5:$D$135&lt;&gt;"")))</f>
        <v/>
      </c>
      <c r="L45" s="27">
        <f>IF($A45="","",TRIM(IF(ISERROR(FIND(",",$C45)),$C45,LEFT($C45,FIND(",",$C45)-1))))</f>
        <v/>
      </c>
      <c r="M45" s="28">
        <f>IF($H45="","",DATE(YEAR($H45),MONTH($H45),1))</f>
        <v/>
      </c>
      <c r="N45" s="26">
        <f>IF($H45="","",TODAY()-$H45)</f>
        <v/>
      </c>
      <c r="O45" s="15" t="n"/>
      <c r="P45" s="15" t="n"/>
      <c r="Q45" s="15" t="n"/>
      <c r="R45" s="25" t="n"/>
      <c r="S45" s="26">
        <f>IF($A45="","",AND(OR('Assignment Builder'!$B$5="",$B45='Assignment Builder'!$B$5),OR('Assignment Builder'!$B$6="",ISNUMBER(SEARCH('Assignment Builder'!$B$6,$C45))),OR('Assignment Builder'!$B$7="",'Assignment Builder'!$B$7=IFERROR(INDEX('Category Dictionary'!$C$5:$C$135,MATCH($L45,'Category Dictionary'!$D$5:$D$135,0)),"")),OR('Assignment Builder'!$B$8="",$D45='Assignment Builder'!$B$8),OR('Assignment Builder'!$B$9="",$F45='Assignment Builder'!$B$9),OR('Assignment Builder'!$B$10="",$O45='Assignment Builder'!$B$10),OR('Assignment Builder'!$B$11="",$H45&gt;='Assignment Builder'!$B$11),OR('Assignment Builder'!$B$12="",N($Q45)&lt;='Assignment Builder'!$B$12)))</f>
        <v/>
      </c>
      <c r="T45" s="23" t="n"/>
    </row>
    <row r="46">
      <c r="A46" s="23" t="n"/>
      <c r="B46" s="23" t="n"/>
      <c r="C46" s="24" t="n"/>
      <c r="D46" s="15" t="n"/>
      <c r="E46" s="23" t="n"/>
      <c r="F46" s="15" t="n"/>
      <c r="G46" s="23" t="n"/>
      <c r="H46" s="25" t="n"/>
      <c r="I46" s="15" t="n"/>
      <c r="J46" s="26">
        <f>IF($A46="","",LEN($C46)-LEN(SUBSTITUTE($C46,",",""))+1)</f>
        <v/>
      </c>
      <c r="K46" s="26">
        <f>IF($A46="","",SUMPRODUCT(--ISNUMBER(SEARCH('Category Dictionary'!$D$5:$D$135&amp;"",$C46)),--('Category Dictionary'!$D$5:$D$135&lt;&gt;"")))</f>
        <v/>
      </c>
      <c r="L46" s="27">
        <f>IF($A46="","",TRIM(IF(ISERROR(FIND(",",$C46)),$C46,LEFT($C46,FIND(",",$C46)-1))))</f>
        <v/>
      </c>
      <c r="M46" s="28">
        <f>IF($H46="","",DATE(YEAR($H46),MONTH($H46),1))</f>
        <v/>
      </c>
      <c r="N46" s="26">
        <f>IF($H46="","",TODAY()-$H46)</f>
        <v/>
      </c>
      <c r="O46" s="15" t="n"/>
      <c r="P46" s="15" t="n"/>
      <c r="Q46" s="15" t="n"/>
      <c r="R46" s="25" t="n"/>
      <c r="S46" s="26">
        <f>IF($A46="","",AND(OR('Assignment Builder'!$B$5="",$B46='Assignment Builder'!$B$5),OR('Assignment Builder'!$B$6="",ISNUMBER(SEARCH('Assignment Builder'!$B$6,$C46))),OR('Assignment Builder'!$B$7="",'Assignment Builder'!$B$7=IFERROR(INDEX('Category Dictionary'!$C$5:$C$135,MATCH($L46,'Category Dictionary'!$D$5:$D$135,0)),"")),OR('Assignment Builder'!$B$8="",$D46='Assignment Builder'!$B$8),OR('Assignment Builder'!$B$9="",$F46='Assignment Builder'!$B$9),OR('Assignment Builder'!$B$10="",$O46='Assignment Builder'!$B$10),OR('Assignment Builder'!$B$11="",$H46&gt;='Assignment Builder'!$B$11),OR('Assignment Builder'!$B$12="",N($Q46)&lt;='Assignment Builder'!$B$12)))</f>
        <v/>
      </c>
      <c r="T46" s="23" t="n"/>
    </row>
    <row r="47">
      <c r="A47" s="23" t="n"/>
      <c r="B47" s="23" t="n"/>
      <c r="C47" s="24" t="n"/>
      <c r="D47" s="15" t="n"/>
      <c r="E47" s="23" t="n"/>
      <c r="F47" s="15" t="n"/>
      <c r="G47" s="23" t="n"/>
      <c r="H47" s="25" t="n"/>
      <c r="I47" s="15" t="n"/>
      <c r="J47" s="26">
        <f>IF($A47="","",LEN($C47)-LEN(SUBSTITUTE($C47,",",""))+1)</f>
        <v/>
      </c>
      <c r="K47" s="26">
        <f>IF($A47="","",SUMPRODUCT(--ISNUMBER(SEARCH('Category Dictionary'!$D$5:$D$135&amp;"",$C47)),--('Category Dictionary'!$D$5:$D$135&lt;&gt;"")))</f>
        <v/>
      </c>
      <c r="L47" s="27">
        <f>IF($A47="","",TRIM(IF(ISERROR(FIND(",",$C47)),$C47,LEFT($C47,FIND(",",$C47)-1))))</f>
        <v/>
      </c>
      <c r="M47" s="28">
        <f>IF($H47="","",DATE(YEAR($H47),MONTH($H47),1))</f>
        <v/>
      </c>
      <c r="N47" s="26">
        <f>IF($H47="","",TODAY()-$H47)</f>
        <v/>
      </c>
      <c r="O47" s="15" t="n"/>
      <c r="P47" s="15" t="n"/>
      <c r="Q47" s="15" t="n"/>
      <c r="R47" s="25" t="n"/>
      <c r="S47" s="26">
        <f>IF($A47="","",AND(OR('Assignment Builder'!$B$5="",$B47='Assignment Builder'!$B$5),OR('Assignment Builder'!$B$6="",ISNUMBER(SEARCH('Assignment Builder'!$B$6,$C47))),OR('Assignment Builder'!$B$7="",'Assignment Builder'!$B$7=IFERROR(INDEX('Category Dictionary'!$C$5:$C$135,MATCH($L47,'Category Dictionary'!$D$5:$D$135,0)),"")),OR('Assignment Builder'!$B$8="",$D47='Assignment Builder'!$B$8),OR('Assignment Builder'!$B$9="",$F47='Assignment Builder'!$B$9),OR('Assignment Builder'!$B$10="",$O47='Assignment Builder'!$B$10),OR('Assignment Builder'!$B$11="",$H47&gt;='Assignment Builder'!$B$11),OR('Assignment Builder'!$B$12="",N($Q47)&lt;='Assignment Builder'!$B$12)))</f>
        <v/>
      </c>
      <c r="T47" s="23" t="n"/>
    </row>
    <row r="48">
      <c r="A48" s="23" t="n"/>
      <c r="B48" s="23" t="n"/>
      <c r="C48" s="24" t="n"/>
      <c r="D48" s="15" t="n"/>
      <c r="E48" s="23" t="n"/>
      <c r="F48" s="15" t="n"/>
      <c r="G48" s="23" t="n"/>
      <c r="H48" s="25" t="n"/>
      <c r="I48" s="15" t="n"/>
      <c r="J48" s="26">
        <f>IF($A48="","",LEN($C48)-LEN(SUBSTITUTE($C48,",",""))+1)</f>
        <v/>
      </c>
      <c r="K48" s="26">
        <f>IF($A48="","",SUMPRODUCT(--ISNUMBER(SEARCH('Category Dictionary'!$D$5:$D$135&amp;"",$C48)),--('Category Dictionary'!$D$5:$D$135&lt;&gt;"")))</f>
        <v/>
      </c>
      <c r="L48" s="27">
        <f>IF($A48="","",TRIM(IF(ISERROR(FIND(",",$C48)),$C48,LEFT($C48,FIND(",",$C48)-1))))</f>
        <v/>
      </c>
      <c r="M48" s="28">
        <f>IF($H48="","",DATE(YEAR($H48),MONTH($H48),1))</f>
        <v/>
      </c>
      <c r="N48" s="26">
        <f>IF($H48="","",TODAY()-$H48)</f>
        <v/>
      </c>
      <c r="O48" s="15" t="n"/>
      <c r="P48" s="15" t="n"/>
      <c r="Q48" s="15" t="n"/>
      <c r="R48" s="25" t="n"/>
      <c r="S48" s="26">
        <f>IF($A48="","",AND(OR('Assignment Builder'!$B$5="",$B48='Assignment Builder'!$B$5),OR('Assignment Builder'!$B$6="",ISNUMBER(SEARCH('Assignment Builder'!$B$6,$C48))),OR('Assignment Builder'!$B$7="",'Assignment Builder'!$B$7=IFERROR(INDEX('Category Dictionary'!$C$5:$C$135,MATCH($L48,'Category Dictionary'!$D$5:$D$135,0)),"")),OR('Assignment Builder'!$B$8="",$D48='Assignment Builder'!$B$8),OR('Assignment Builder'!$B$9="",$F48='Assignment Builder'!$B$9),OR('Assignment Builder'!$B$10="",$O48='Assignment Builder'!$B$10),OR('Assignment Builder'!$B$11="",$H48&gt;='Assignment Builder'!$B$11),OR('Assignment Builder'!$B$12="",N($Q48)&lt;='Assignment Builder'!$B$12)))</f>
        <v/>
      </c>
      <c r="T48" s="23" t="n"/>
    </row>
    <row r="49">
      <c r="A49" s="23" t="n"/>
      <c r="B49" s="23" t="n"/>
      <c r="C49" s="24" t="n"/>
      <c r="D49" s="15" t="n"/>
      <c r="E49" s="23" t="n"/>
      <c r="F49" s="15" t="n"/>
      <c r="G49" s="23" t="n"/>
      <c r="H49" s="25" t="n"/>
      <c r="I49" s="15" t="n"/>
      <c r="J49" s="26">
        <f>IF($A49="","",LEN($C49)-LEN(SUBSTITUTE($C49,",",""))+1)</f>
        <v/>
      </c>
      <c r="K49" s="26">
        <f>IF($A49="","",SUMPRODUCT(--ISNUMBER(SEARCH('Category Dictionary'!$D$5:$D$135&amp;"",$C49)),--('Category Dictionary'!$D$5:$D$135&lt;&gt;"")))</f>
        <v/>
      </c>
      <c r="L49" s="27">
        <f>IF($A49="","",TRIM(IF(ISERROR(FIND(",",$C49)),$C49,LEFT($C49,FIND(",",$C49)-1))))</f>
        <v/>
      </c>
      <c r="M49" s="28">
        <f>IF($H49="","",DATE(YEAR($H49),MONTH($H49),1))</f>
        <v/>
      </c>
      <c r="N49" s="26">
        <f>IF($H49="","",TODAY()-$H49)</f>
        <v/>
      </c>
      <c r="O49" s="15" t="n"/>
      <c r="P49" s="15" t="n"/>
      <c r="Q49" s="15" t="n"/>
      <c r="R49" s="25" t="n"/>
      <c r="S49" s="26">
        <f>IF($A49="","",AND(OR('Assignment Builder'!$B$5="",$B49='Assignment Builder'!$B$5),OR('Assignment Builder'!$B$6="",ISNUMBER(SEARCH('Assignment Builder'!$B$6,$C49))),OR('Assignment Builder'!$B$7="",'Assignment Builder'!$B$7=IFERROR(INDEX('Category Dictionary'!$C$5:$C$135,MATCH($L49,'Category Dictionary'!$D$5:$D$135,0)),"")),OR('Assignment Builder'!$B$8="",$D49='Assignment Builder'!$B$8),OR('Assignment Builder'!$B$9="",$F49='Assignment Builder'!$B$9),OR('Assignment Builder'!$B$10="",$O49='Assignment Builder'!$B$10),OR('Assignment Builder'!$B$11="",$H49&gt;='Assignment Builder'!$B$11),OR('Assignment Builder'!$B$12="",N($Q49)&lt;='Assignment Builder'!$B$12)))</f>
        <v/>
      </c>
      <c r="T49" s="23" t="n"/>
    </row>
    <row r="50">
      <c r="A50" s="23" t="n"/>
      <c r="B50" s="23" t="n"/>
      <c r="C50" s="24" t="n"/>
      <c r="D50" s="15" t="n"/>
      <c r="E50" s="23" t="n"/>
      <c r="F50" s="15" t="n"/>
      <c r="G50" s="23" t="n"/>
      <c r="H50" s="25" t="n"/>
      <c r="I50" s="15" t="n"/>
      <c r="J50" s="26">
        <f>IF($A50="","",LEN($C50)-LEN(SUBSTITUTE($C50,",",""))+1)</f>
        <v/>
      </c>
      <c r="K50" s="26">
        <f>IF($A50="","",SUMPRODUCT(--ISNUMBER(SEARCH('Category Dictionary'!$D$5:$D$135&amp;"",$C50)),--('Category Dictionary'!$D$5:$D$135&lt;&gt;"")))</f>
        <v/>
      </c>
      <c r="L50" s="27">
        <f>IF($A50="","",TRIM(IF(ISERROR(FIND(",",$C50)),$C50,LEFT($C50,FIND(",",$C50)-1))))</f>
        <v/>
      </c>
      <c r="M50" s="28">
        <f>IF($H50="","",DATE(YEAR($H50),MONTH($H50),1))</f>
        <v/>
      </c>
      <c r="N50" s="26">
        <f>IF($H50="","",TODAY()-$H50)</f>
        <v/>
      </c>
      <c r="O50" s="15" t="n"/>
      <c r="P50" s="15" t="n"/>
      <c r="Q50" s="15" t="n"/>
      <c r="R50" s="25" t="n"/>
      <c r="S50" s="26">
        <f>IF($A50="","",AND(OR('Assignment Builder'!$B$5="",$B50='Assignment Builder'!$B$5),OR('Assignment Builder'!$B$6="",ISNUMBER(SEARCH('Assignment Builder'!$B$6,$C50))),OR('Assignment Builder'!$B$7="",'Assignment Builder'!$B$7=IFERROR(INDEX('Category Dictionary'!$C$5:$C$135,MATCH($L50,'Category Dictionary'!$D$5:$D$135,0)),"")),OR('Assignment Builder'!$B$8="",$D50='Assignment Builder'!$B$8),OR('Assignment Builder'!$B$9="",$F50='Assignment Builder'!$B$9),OR('Assignment Builder'!$B$10="",$O50='Assignment Builder'!$B$10),OR('Assignment Builder'!$B$11="",$H50&gt;='Assignment Builder'!$B$11),OR('Assignment Builder'!$B$12="",N($Q50)&lt;='Assignment Builder'!$B$12)))</f>
        <v/>
      </c>
      <c r="T50" s="23" t="n"/>
    </row>
    <row r="51">
      <c r="A51" s="23" t="n"/>
      <c r="B51" s="23" t="n"/>
      <c r="C51" s="24" t="n"/>
      <c r="D51" s="15" t="n"/>
      <c r="E51" s="23" t="n"/>
      <c r="F51" s="15" t="n"/>
      <c r="G51" s="23" t="n"/>
      <c r="H51" s="25" t="n"/>
      <c r="I51" s="15" t="n"/>
      <c r="J51" s="26">
        <f>IF($A51="","",LEN($C51)-LEN(SUBSTITUTE($C51,",",""))+1)</f>
        <v/>
      </c>
      <c r="K51" s="26">
        <f>IF($A51="","",SUMPRODUCT(--ISNUMBER(SEARCH('Category Dictionary'!$D$5:$D$135&amp;"",$C51)),--('Category Dictionary'!$D$5:$D$135&lt;&gt;"")))</f>
        <v/>
      </c>
      <c r="L51" s="27">
        <f>IF($A51="","",TRIM(IF(ISERROR(FIND(",",$C51)),$C51,LEFT($C51,FIND(",",$C51)-1))))</f>
        <v/>
      </c>
      <c r="M51" s="28">
        <f>IF($H51="","",DATE(YEAR($H51),MONTH($H51),1))</f>
        <v/>
      </c>
      <c r="N51" s="26">
        <f>IF($H51="","",TODAY()-$H51)</f>
        <v/>
      </c>
      <c r="O51" s="15" t="n"/>
      <c r="P51" s="15" t="n"/>
      <c r="Q51" s="15" t="n"/>
      <c r="R51" s="25" t="n"/>
      <c r="S51" s="26">
        <f>IF($A51="","",AND(OR('Assignment Builder'!$B$5="",$B51='Assignment Builder'!$B$5),OR('Assignment Builder'!$B$6="",ISNUMBER(SEARCH('Assignment Builder'!$B$6,$C51))),OR('Assignment Builder'!$B$7="",'Assignment Builder'!$B$7=IFERROR(INDEX('Category Dictionary'!$C$5:$C$135,MATCH($L51,'Category Dictionary'!$D$5:$D$135,0)),"")),OR('Assignment Builder'!$B$8="",$D51='Assignment Builder'!$B$8),OR('Assignment Builder'!$B$9="",$F51='Assignment Builder'!$B$9),OR('Assignment Builder'!$B$10="",$O51='Assignment Builder'!$B$10),OR('Assignment Builder'!$B$11="",$H51&gt;='Assignment Builder'!$B$11),OR('Assignment Builder'!$B$12="",N($Q51)&lt;='Assignment Builder'!$B$12)))</f>
        <v/>
      </c>
      <c r="T51" s="23" t="n"/>
    </row>
    <row r="52">
      <c r="A52" s="23" t="n"/>
      <c r="B52" s="23" t="n"/>
      <c r="C52" s="24" t="n"/>
      <c r="D52" s="15" t="n"/>
      <c r="E52" s="23" t="n"/>
      <c r="F52" s="15" t="n"/>
      <c r="G52" s="23" t="n"/>
      <c r="H52" s="25" t="n"/>
      <c r="I52" s="15" t="n"/>
      <c r="J52" s="26">
        <f>IF($A52="","",LEN($C52)-LEN(SUBSTITUTE($C52,",",""))+1)</f>
        <v/>
      </c>
      <c r="K52" s="26">
        <f>IF($A52="","",SUMPRODUCT(--ISNUMBER(SEARCH('Category Dictionary'!$D$5:$D$135&amp;"",$C52)),--('Category Dictionary'!$D$5:$D$135&lt;&gt;"")))</f>
        <v/>
      </c>
      <c r="L52" s="27">
        <f>IF($A52="","",TRIM(IF(ISERROR(FIND(",",$C52)),$C52,LEFT($C52,FIND(",",$C52)-1))))</f>
        <v/>
      </c>
      <c r="M52" s="28">
        <f>IF($H52="","",DATE(YEAR($H52),MONTH($H52),1))</f>
        <v/>
      </c>
      <c r="N52" s="26">
        <f>IF($H52="","",TODAY()-$H52)</f>
        <v/>
      </c>
      <c r="O52" s="15" t="n"/>
      <c r="P52" s="15" t="n"/>
      <c r="Q52" s="15" t="n"/>
      <c r="R52" s="25" t="n"/>
      <c r="S52" s="26">
        <f>IF($A52="","",AND(OR('Assignment Builder'!$B$5="",$B52='Assignment Builder'!$B$5),OR('Assignment Builder'!$B$6="",ISNUMBER(SEARCH('Assignment Builder'!$B$6,$C52))),OR('Assignment Builder'!$B$7="",'Assignment Builder'!$B$7=IFERROR(INDEX('Category Dictionary'!$C$5:$C$135,MATCH($L52,'Category Dictionary'!$D$5:$D$135,0)),"")),OR('Assignment Builder'!$B$8="",$D52='Assignment Builder'!$B$8),OR('Assignment Builder'!$B$9="",$F52='Assignment Builder'!$B$9),OR('Assignment Builder'!$B$10="",$O52='Assignment Builder'!$B$10),OR('Assignment Builder'!$B$11="",$H52&gt;='Assignment Builder'!$B$11),OR('Assignment Builder'!$B$12="",N($Q52)&lt;='Assignment Builder'!$B$12)))</f>
        <v/>
      </c>
      <c r="T52" s="23" t="n"/>
    </row>
    <row r="53">
      <c r="A53" s="23" t="n"/>
      <c r="B53" s="23" t="n"/>
      <c r="C53" s="24" t="n"/>
      <c r="D53" s="15" t="n"/>
      <c r="E53" s="23" t="n"/>
      <c r="F53" s="15" t="n"/>
      <c r="G53" s="23" t="n"/>
      <c r="H53" s="25" t="n"/>
      <c r="I53" s="15" t="n"/>
      <c r="J53" s="26">
        <f>IF($A53="","",LEN($C53)-LEN(SUBSTITUTE($C53,",",""))+1)</f>
        <v/>
      </c>
      <c r="K53" s="26">
        <f>IF($A53="","",SUMPRODUCT(--ISNUMBER(SEARCH('Category Dictionary'!$D$5:$D$135&amp;"",$C53)),--('Category Dictionary'!$D$5:$D$135&lt;&gt;"")))</f>
        <v/>
      </c>
      <c r="L53" s="27">
        <f>IF($A53="","",TRIM(IF(ISERROR(FIND(",",$C53)),$C53,LEFT($C53,FIND(",",$C53)-1))))</f>
        <v/>
      </c>
      <c r="M53" s="28">
        <f>IF($H53="","",DATE(YEAR($H53),MONTH($H53),1))</f>
        <v/>
      </c>
      <c r="N53" s="26">
        <f>IF($H53="","",TODAY()-$H53)</f>
        <v/>
      </c>
      <c r="O53" s="15" t="n"/>
      <c r="P53" s="15" t="n"/>
      <c r="Q53" s="15" t="n"/>
      <c r="R53" s="25" t="n"/>
      <c r="S53" s="26">
        <f>IF($A53="","",AND(OR('Assignment Builder'!$B$5="",$B53='Assignment Builder'!$B$5),OR('Assignment Builder'!$B$6="",ISNUMBER(SEARCH('Assignment Builder'!$B$6,$C53))),OR('Assignment Builder'!$B$7="",'Assignment Builder'!$B$7=IFERROR(INDEX('Category Dictionary'!$C$5:$C$135,MATCH($L53,'Category Dictionary'!$D$5:$D$135,0)),"")),OR('Assignment Builder'!$B$8="",$D53='Assignment Builder'!$B$8),OR('Assignment Builder'!$B$9="",$F53='Assignment Builder'!$B$9),OR('Assignment Builder'!$B$10="",$O53='Assignment Builder'!$B$10),OR('Assignment Builder'!$B$11="",$H53&gt;='Assignment Builder'!$B$11),OR('Assignment Builder'!$B$12="",N($Q53)&lt;='Assignment Builder'!$B$12)))</f>
        <v/>
      </c>
      <c r="T53" s="23" t="n"/>
    </row>
    <row r="54">
      <c r="A54" s="23" t="n"/>
      <c r="B54" s="23" t="n"/>
      <c r="C54" s="24" t="n"/>
      <c r="D54" s="15" t="n"/>
      <c r="E54" s="23" t="n"/>
      <c r="F54" s="15" t="n"/>
      <c r="G54" s="23" t="n"/>
      <c r="H54" s="25" t="n"/>
      <c r="I54" s="15" t="n"/>
      <c r="J54" s="26">
        <f>IF($A54="","",LEN($C54)-LEN(SUBSTITUTE($C54,",",""))+1)</f>
        <v/>
      </c>
      <c r="K54" s="26">
        <f>IF($A54="","",SUMPRODUCT(--ISNUMBER(SEARCH('Category Dictionary'!$D$5:$D$135&amp;"",$C54)),--('Category Dictionary'!$D$5:$D$135&lt;&gt;"")))</f>
        <v/>
      </c>
      <c r="L54" s="27">
        <f>IF($A54="","",TRIM(IF(ISERROR(FIND(",",$C54)),$C54,LEFT($C54,FIND(",",$C54)-1))))</f>
        <v/>
      </c>
      <c r="M54" s="28">
        <f>IF($H54="","",DATE(YEAR($H54),MONTH($H54),1))</f>
        <v/>
      </c>
      <c r="N54" s="26">
        <f>IF($H54="","",TODAY()-$H54)</f>
        <v/>
      </c>
      <c r="O54" s="15" t="n"/>
      <c r="P54" s="15" t="n"/>
      <c r="Q54" s="15" t="n"/>
      <c r="R54" s="25" t="n"/>
      <c r="S54" s="26">
        <f>IF($A54="","",AND(OR('Assignment Builder'!$B$5="",$B54='Assignment Builder'!$B$5),OR('Assignment Builder'!$B$6="",ISNUMBER(SEARCH('Assignment Builder'!$B$6,$C54))),OR('Assignment Builder'!$B$7="",'Assignment Builder'!$B$7=IFERROR(INDEX('Category Dictionary'!$C$5:$C$135,MATCH($L54,'Category Dictionary'!$D$5:$D$135,0)),"")),OR('Assignment Builder'!$B$8="",$D54='Assignment Builder'!$B$8),OR('Assignment Builder'!$B$9="",$F54='Assignment Builder'!$B$9),OR('Assignment Builder'!$B$10="",$O54='Assignment Builder'!$B$10),OR('Assignment Builder'!$B$11="",$H54&gt;='Assignment Builder'!$B$11),OR('Assignment Builder'!$B$12="",N($Q54)&lt;='Assignment Builder'!$B$12)))</f>
        <v/>
      </c>
      <c r="T54" s="23" t="n"/>
    </row>
    <row r="55">
      <c r="A55" s="23" t="n"/>
      <c r="B55" s="23" t="n"/>
      <c r="C55" s="24" t="n"/>
      <c r="D55" s="15" t="n"/>
      <c r="E55" s="23" t="n"/>
      <c r="F55" s="15" t="n"/>
      <c r="G55" s="23" t="n"/>
      <c r="H55" s="25" t="n"/>
      <c r="I55" s="15" t="n"/>
      <c r="J55" s="26">
        <f>IF($A55="","",LEN($C55)-LEN(SUBSTITUTE($C55,",",""))+1)</f>
        <v/>
      </c>
      <c r="K55" s="26">
        <f>IF($A55="","",SUMPRODUCT(--ISNUMBER(SEARCH('Category Dictionary'!$D$5:$D$135&amp;"",$C55)),--('Category Dictionary'!$D$5:$D$135&lt;&gt;"")))</f>
        <v/>
      </c>
      <c r="L55" s="27">
        <f>IF($A55="","",TRIM(IF(ISERROR(FIND(",",$C55)),$C55,LEFT($C55,FIND(",",$C55)-1))))</f>
        <v/>
      </c>
      <c r="M55" s="28">
        <f>IF($H55="","",DATE(YEAR($H55),MONTH($H55),1))</f>
        <v/>
      </c>
      <c r="N55" s="26">
        <f>IF($H55="","",TODAY()-$H55)</f>
        <v/>
      </c>
      <c r="O55" s="15" t="n"/>
      <c r="P55" s="15" t="n"/>
      <c r="Q55" s="15" t="n"/>
      <c r="R55" s="25" t="n"/>
      <c r="S55" s="26">
        <f>IF($A55="","",AND(OR('Assignment Builder'!$B$5="",$B55='Assignment Builder'!$B$5),OR('Assignment Builder'!$B$6="",ISNUMBER(SEARCH('Assignment Builder'!$B$6,$C55))),OR('Assignment Builder'!$B$7="",'Assignment Builder'!$B$7=IFERROR(INDEX('Category Dictionary'!$C$5:$C$135,MATCH($L55,'Category Dictionary'!$D$5:$D$135,0)),"")),OR('Assignment Builder'!$B$8="",$D55='Assignment Builder'!$B$8),OR('Assignment Builder'!$B$9="",$F55='Assignment Builder'!$B$9),OR('Assignment Builder'!$B$10="",$O55='Assignment Builder'!$B$10),OR('Assignment Builder'!$B$11="",$H55&gt;='Assignment Builder'!$B$11),OR('Assignment Builder'!$B$12="",N($Q55)&lt;='Assignment Builder'!$B$12)))</f>
        <v/>
      </c>
      <c r="T55" s="23" t="n"/>
    </row>
    <row r="56">
      <c r="A56" s="23" t="n"/>
      <c r="B56" s="23" t="n"/>
      <c r="C56" s="24" t="n"/>
      <c r="D56" s="15" t="n"/>
      <c r="E56" s="23" t="n"/>
      <c r="F56" s="15" t="n"/>
      <c r="G56" s="23" t="n"/>
      <c r="H56" s="25" t="n"/>
      <c r="I56" s="15" t="n"/>
      <c r="J56" s="26">
        <f>IF($A56="","",LEN($C56)-LEN(SUBSTITUTE($C56,",",""))+1)</f>
        <v/>
      </c>
      <c r="K56" s="26">
        <f>IF($A56="","",SUMPRODUCT(--ISNUMBER(SEARCH('Category Dictionary'!$D$5:$D$135&amp;"",$C56)),--('Category Dictionary'!$D$5:$D$135&lt;&gt;"")))</f>
        <v/>
      </c>
      <c r="L56" s="27">
        <f>IF($A56="","",TRIM(IF(ISERROR(FIND(",",$C56)),$C56,LEFT($C56,FIND(",",$C56)-1))))</f>
        <v/>
      </c>
      <c r="M56" s="28">
        <f>IF($H56="","",DATE(YEAR($H56),MONTH($H56),1))</f>
        <v/>
      </c>
      <c r="N56" s="26">
        <f>IF($H56="","",TODAY()-$H56)</f>
        <v/>
      </c>
      <c r="O56" s="15" t="n"/>
      <c r="P56" s="15" t="n"/>
      <c r="Q56" s="15" t="n"/>
      <c r="R56" s="25" t="n"/>
      <c r="S56" s="26">
        <f>IF($A56="","",AND(OR('Assignment Builder'!$B$5="",$B56='Assignment Builder'!$B$5),OR('Assignment Builder'!$B$6="",ISNUMBER(SEARCH('Assignment Builder'!$B$6,$C56))),OR('Assignment Builder'!$B$7="",'Assignment Builder'!$B$7=IFERROR(INDEX('Category Dictionary'!$C$5:$C$135,MATCH($L56,'Category Dictionary'!$D$5:$D$135,0)),"")),OR('Assignment Builder'!$B$8="",$D56='Assignment Builder'!$B$8),OR('Assignment Builder'!$B$9="",$F56='Assignment Builder'!$B$9),OR('Assignment Builder'!$B$10="",$O56='Assignment Builder'!$B$10),OR('Assignment Builder'!$B$11="",$H56&gt;='Assignment Builder'!$B$11),OR('Assignment Builder'!$B$12="",N($Q56)&lt;='Assignment Builder'!$B$12)))</f>
        <v/>
      </c>
      <c r="T56" s="23" t="n"/>
    </row>
    <row r="57">
      <c r="A57" s="23" t="n"/>
      <c r="B57" s="23" t="n"/>
      <c r="C57" s="24" t="n"/>
      <c r="D57" s="15" t="n"/>
      <c r="E57" s="23" t="n"/>
      <c r="F57" s="15" t="n"/>
      <c r="G57" s="23" t="n"/>
      <c r="H57" s="25" t="n"/>
      <c r="I57" s="15" t="n"/>
      <c r="J57" s="26">
        <f>IF($A57="","",LEN($C57)-LEN(SUBSTITUTE($C57,",",""))+1)</f>
        <v/>
      </c>
      <c r="K57" s="26">
        <f>IF($A57="","",SUMPRODUCT(--ISNUMBER(SEARCH('Category Dictionary'!$D$5:$D$135&amp;"",$C57)),--('Category Dictionary'!$D$5:$D$135&lt;&gt;"")))</f>
        <v/>
      </c>
      <c r="L57" s="27">
        <f>IF($A57="","",TRIM(IF(ISERROR(FIND(",",$C57)),$C57,LEFT($C57,FIND(",",$C57)-1))))</f>
        <v/>
      </c>
      <c r="M57" s="28">
        <f>IF($H57="","",DATE(YEAR($H57),MONTH($H57),1))</f>
        <v/>
      </c>
      <c r="N57" s="26">
        <f>IF($H57="","",TODAY()-$H57)</f>
        <v/>
      </c>
      <c r="O57" s="15" t="n"/>
      <c r="P57" s="15" t="n"/>
      <c r="Q57" s="15" t="n"/>
      <c r="R57" s="25" t="n"/>
      <c r="S57" s="26">
        <f>IF($A57="","",AND(OR('Assignment Builder'!$B$5="",$B57='Assignment Builder'!$B$5),OR('Assignment Builder'!$B$6="",ISNUMBER(SEARCH('Assignment Builder'!$B$6,$C57))),OR('Assignment Builder'!$B$7="",'Assignment Builder'!$B$7=IFERROR(INDEX('Category Dictionary'!$C$5:$C$135,MATCH($L57,'Category Dictionary'!$D$5:$D$135,0)),"")),OR('Assignment Builder'!$B$8="",$D57='Assignment Builder'!$B$8),OR('Assignment Builder'!$B$9="",$F57='Assignment Builder'!$B$9),OR('Assignment Builder'!$B$10="",$O57='Assignment Builder'!$B$10),OR('Assignment Builder'!$B$11="",$H57&gt;='Assignment Builder'!$B$11),OR('Assignment Builder'!$B$12="",N($Q57)&lt;='Assignment Builder'!$B$12)))</f>
        <v/>
      </c>
      <c r="T57" s="23" t="n"/>
    </row>
    <row r="58">
      <c r="A58" s="23" t="n"/>
      <c r="B58" s="23" t="n"/>
      <c r="C58" s="24" t="n"/>
      <c r="D58" s="15" t="n"/>
      <c r="E58" s="23" t="n"/>
      <c r="F58" s="15" t="n"/>
      <c r="G58" s="23" t="n"/>
      <c r="H58" s="25" t="n"/>
      <c r="I58" s="15" t="n"/>
      <c r="J58" s="26">
        <f>IF($A58="","",LEN($C58)-LEN(SUBSTITUTE($C58,",",""))+1)</f>
        <v/>
      </c>
      <c r="K58" s="26">
        <f>IF($A58="","",SUMPRODUCT(--ISNUMBER(SEARCH('Category Dictionary'!$D$5:$D$135&amp;"",$C58)),--('Category Dictionary'!$D$5:$D$135&lt;&gt;"")))</f>
        <v/>
      </c>
      <c r="L58" s="27">
        <f>IF($A58="","",TRIM(IF(ISERROR(FIND(",",$C58)),$C58,LEFT($C58,FIND(",",$C58)-1))))</f>
        <v/>
      </c>
      <c r="M58" s="28">
        <f>IF($H58="","",DATE(YEAR($H58),MONTH($H58),1))</f>
        <v/>
      </c>
      <c r="N58" s="26">
        <f>IF($H58="","",TODAY()-$H58)</f>
        <v/>
      </c>
      <c r="O58" s="15" t="n"/>
      <c r="P58" s="15" t="n"/>
      <c r="Q58" s="15" t="n"/>
      <c r="R58" s="25" t="n"/>
      <c r="S58" s="26">
        <f>IF($A58="","",AND(OR('Assignment Builder'!$B$5="",$B58='Assignment Builder'!$B$5),OR('Assignment Builder'!$B$6="",ISNUMBER(SEARCH('Assignment Builder'!$B$6,$C58))),OR('Assignment Builder'!$B$7="",'Assignment Builder'!$B$7=IFERROR(INDEX('Category Dictionary'!$C$5:$C$135,MATCH($L58,'Category Dictionary'!$D$5:$D$135,0)),"")),OR('Assignment Builder'!$B$8="",$D58='Assignment Builder'!$B$8),OR('Assignment Builder'!$B$9="",$F58='Assignment Builder'!$B$9),OR('Assignment Builder'!$B$10="",$O58='Assignment Builder'!$B$10),OR('Assignment Builder'!$B$11="",$H58&gt;='Assignment Builder'!$B$11),OR('Assignment Builder'!$B$12="",N($Q58)&lt;='Assignment Builder'!$B$12)))</f>
        <v/>
      </c>
      <c r="T58" s="23" t="n"/>
    </row>
    <row r="59">
      <c r="A59" s="23" t="n"/>
      <c r="B59" s="23" t="n"/>
      <c r="C59" s="24" t="n"/>
      <c r="D59" s="15" t="n"/>
      <c r="E59" s="23" t="n"/>
      <c r="F59" s="15" t="n"/>
      <c r="G59" s="23" t="n"/>
      <c r="H59" s="25" t="n"/>
      <c r="I59" s="15" t="n"/>
      <c r="J59" s="26">
        <f>IF($A59="","",LEN($C59)-LEN(SUBSTITUTE($C59,",",""))+1)</f>
        <v/>
      </c>
      <c r="K59" s="26">
        <f>IF($A59="","",SUMPRODUCT(--ISNUMBER(SEARCH('Category Dictionary'!$D$5:$D$135&amp;"",$C59)),--('Category Dictionary'!$D$5:$D$135&lt;&gt;"")))</f>
        <v/>
      </c>
      <c r="L59" s="27">
        <f>IF($A59="","",TRIM(IF(ISERROR(FIND(",",$C59)),$C59,LEFT($C59,FIND(",",$C59)-1))))</f>
        <v/>
      </c>
      <c r="M59" s="28">
        <f>IF($H59="","",DATE(YEAR($H59),MONTH($H59),1))</f>
        <v/>
      </c>
      <c r="N59" s="26">
        <f>IF($H59="","",TODAY()-$H59)</f>
        <v/>
      </c>
      <c r="O59" s="15" t="n"/>
      <c r="P59" s="15" t="n"/>
      <c r="Q59" s="15" t="n"/>
      <c r="R59" s="25" t="n"/>
      <c r="S59" s="26">
        <f>IF($A59="","",AND(OR('Assignment Builder'!$B$5="",$B59='Assignment Builder'!$B$5),OR('Assignment Builder'!$B$6="",ISNUMBER(SEARCH('Assignment Builder'!$B$6,$C59))),OR('Assignment Builder'!$B$7="",'Assignment Builder'!$B$7=IFERROR(INDEX('Category Dictionary'!$C$5:$C$135,MATCH($L59,'Category Dictionary'!$D$5:$D$135,0)),"")),OR('Assignment Builder'!$B$8="",$D59='Assignment Builder'!$B$8),OR('Assignment Builder'!$B$9="",$F59='Assignment Builder'!$B$9),OR('Assignment Builder'!$B$10="",$O59='Assignment Builder'!$B$10),OR('Assignment Builder'!$B$11="",$H59&gt;='Assignment Builder'!$B$11),OR('Assignment Builder'!$B$12="",N($Q59)&lt;='Assignment Builder'!$B$12)))</f>
        <v/>
      </c>
      <c r="T59" s="23" t="n"/>
    </row>
    <row r="60">
      <c r="A60" s="23" t="n"/>
      <c r="B60" s="23" t="n"/>
      <c r="C60" s="24" t="n"/>
      <c r="D60" s="15" t="n"/>
      <c r="E60" s="23" t="n"/>
      <c r="F60" s="15" t="n"/>
      <c r="G60" s="23" t="n"/>
      <c r="H60" s="25" t="n"/>
      <c r="I60" s="15" t="n"/>
      <c r="J60" s="26">
        <f>IF($A60="","",LEN($C60)-LEN(SUBSTITUTE($C60,",",""))+1)</f>
        <v/>
      </c>
      <c r="K60" s="26">
        <f>IF($A60="","",SUMPRODUCT(--ISNUMBER(SEARCH('Category Dictionary'!$D$5:$D$135&amp;"",$C60)),--('Category Dictionary'!$D$5:$D$135&lt;&gt;"")))</f>
        <v/>
      </c>
      <c r="L60" s="27">
        <f>IF($A60="","",TRIM(IF(ISERROR(FIND(",",$C60)),$C60,LEFT($C60,FIND(",",$C60)-1))))</f>
        <v/>
      </c>
      <c r="M60" s="28">
        <f>IF($H60="","",DATE(YEAR($H60),MONTH($H60),1))</f>
        <v/>
      </c>
      <c r="N60" s="26">
        <f>IF($H60="","",TODAY()-$H60)</f>
        <v/>
      </c>
      <c r="O60" s="15" t="n"/>
      <c r="P60" s="15" t="n"/>
      <c r="Q60" s="15" t="n"/>
      <c r="R60" s="25" t="n"/>
      <c r="S60" s="26">
        <f>IF($A60="","",AND(OR('Assignment Builder'!$B$5="",$B60='Assignment Builder'!$B$5),OR('Assignment Builder'!$B$6="",ISNUMBER(SEARCH('Assignment Builder'!$B$6,$C60))),OR('Assignment Builder'!$B$7="",'Assignment Builder'!$B$7=IFERROR(INDEX('Category Dictionary'!$C$5:$C$135,MATCH($L60,'Category Dictionary'!$D$5:$D$135,0)),"")),OR('Assignment Builder'!$B$8="",$D60='Assignment Builder'!$B$8),OR('Assignment Builder'!$B$9="",$F60='Assignment Builder'!$B$9),OR('Assignment Builder'!$B$10="",$O60='Assignment Builder'!$B$10),OR('Assignment Builder'!$B$11="",$H60&gt;='Assignment Builder'!$B$11),OR('Assignment Builder'!$B$12="",N($Q60)&lt;='Assignment Builder'!$B$12)))</f>
        <v/>
      </c>
      <c r="T60" s="23" t="n"/>
    </row>
    <row r="61">
      <c r="A61" s="23" t="n"/>
      <c r="B61" s="23" t="n"/>
      <c r="C61" s="24" t="n"/>
      <c r="D61" s="15" t="n"/>
      <c r="E61" s="23" t="n"/>
      <c r="F61" s="15" t="n"/>
      <c r="G61" s="23" t="n"/>
      <c r="H61" s="25" t="n"/>
      <c r="I61" s="15" t="n"/>
      <c r="J61" s="26">
        <f>IF($A61="","",LEN($C61)-LEN(SUBSTITUTE($C61,",",""))+1)</f>
        <v/>
      </c>
      <c r="K61" s="26">
        <f>IF($A61="","",SUMPRODUCT(--ISNUMBER(SEARCH('Category Dictionary'!$D$5:$D$135&amp;"",$C61)),--('Category Dictionary'!$D$5:$D$135&lt;&gt;"")))</f>
        <v/>
      </c>
      <c r="L61" s="27">
        <f>IF($A61="","",TRIM(IF(ISERROR(FIND(",",$C61)),$C61,LEFT($C61,FIND(",",$C61)-1))))</f>
        <v/>
      </c>
      <c r="M61" s="28">
        <f>IF($H61="","",DATE(YEAR($H61),MONTH($H61),1))</f>
        <v/>
      </c>
      <c r="N61" s="26">
        <f>IF($H61="","",TODAY()-$H61)</f>
        <v/>
      </c>
      <c r="O61" s="15" t="n"/>
      <c r="P61" s="15" t="n"/>
      <c r="Q61" s="15" t="n"/>
      <c r="R61" s="25" t="n"/>
      <c r="S61" s="26">
        <f>IF($A61="","",AND(OR('Assignment Builder'!$B$5="",$B61='Assignment Builder'!$B$5),OR('Assignment Builder'!$B$6="",ISNUMBER(SEARCH('Assignment Builder'!$B$6,$C61))),OR('Assignment Builder'!$B$7="",'Assignment Builder'!$B$7=IFERROR(INDEX('Category Dictionary'!$C$5:$C$135,MATCH($L61,'Category Dictionary'!$D$5:$D$135,0)),"")),OR('Assignment Builder'!$B$8="",$D61='Assignment Builder'!$B$8),OR('Assignment Builder'!$B$9="",$F61='Assignment Builder'!$B$9),OR('Assignment Builder'!$B$10="",$O61='Assignment Builder'!$B$10),OR('Assignment Builder'!$B$11="",$H61&gt;='Assignment Builder'!$B$11),OR('Assignment Builder'!$B$12="",N($Q61)&lt;='Assignment Builder'!$B$12)))</f>
        <v/>
      </c>
      <c r="T61" s="23" t="n"/>
    </row>
    <row r="62">
      <c r="A62" s="23" t="n"/>
      <c r="B62" s="23" t="n"/>
      <c r="C62" s="24" t="n"/>
      <c r="D62" s="15" t="n"/>
      <c r="E62" s="23" t="n"/>
      <c r="F62" s="15" t="n"/>
      <c r="G62" s="23" t="n"/>
      <c r="H62" s="25" t="n"/>
      <c r="I62" s="15" t="n"/>
      <c r="J62" s="26">
        <f>IF($A62="","",LEN($C62)-LEN(SUBSTITUTE($C62,",",""))+1)</f>
        <v/>
      </c>
      <c r="K62" s="26">
        <f>IF($A62="","",SUMPRODUCT(--ISNUMBER(SEARCH('Category Dictionary'!$D$5:$D$135&amp;"",$C62)),--('Category Dictionary'!$D$5:$D$135&lt;&gt;"")))</f>
        <v/>
      </c>
      <c r="L62" s="27">
        <f>IF($A62="","",TRIM(IF(ISERROR(FIND(",",$C62)),$C62,LEFT($C62,FIND(",",$C62)-1))))</f>
        <v/>
      </c>
      <c r="M62" s="28">
        <f>IF($H62="","",DATE(YEAR($H62),MONTH($H62),1))</f>
        <v/>
      </c>
      <c r="N62" s="26">
        <f>IF($H62="","",TODAY()-$H62)</f>
        <v/>
      </c>
      <c r="O62" s="15" t="n"/>
      <c r="P62" s="15" t="n"/>
      <c r="Q62" s="15" t="n"/>
      <c r="R62" s="25" t="n"/>
      <c r="S62" s="26">
        <f>IF($A62="","",AND(OR('Assignment Builder'!$B$5="",$B62='Assignment Builder'!$B$5),OR('Assignment Builder'!$B$6="",ISNUMBER(SEARCH('Assignment Builder'!$B$6,$C62))),OR('Assignment Builder'!$B$7="",'Assignment Builder'!$B$7=IFERROR(INDEX('Category Dictionary'!$C$5:$C$135,MATCH($L62,'Category Dictionary'!$D$5:$D$135,0)),"")),OR('Assignment Builder'!$B$8="",$D62='Assignment Builder'!$B$8),OR('Assignment Builder'!$B$9="",$F62='Assignment Builder'!$B$9),OR('Assignment Builder'!$B$10="",$O62='Assignment Builder'!$B$10),OR('Assignment Builder'!$B$11="",$H62&gt;='Assignment Builder'!$B$11),OR('Assignment Builder'!$B$12="",N($Q62)&lt;='Assignment Builder'!$B$12)))</f>
        <v/>
      </c>
      <c r="T62" s="23" t="n"/>
    </row>
    <row r="63">
      <c r="A63" s="23" t="n"/>
      <c r="B63" s="23" t="n"/>
      <c r="C63" s="24" t="n"/>
      <c r="D63" s="15" t="n"/>
      <c r="E63" s="23" t="n"/>
      <c r="F63" s="15" t="n"/>
      <c r="G63" s="23" t="n"/>
      <c r="H63" s="25" t="n"/>
      <c r="I63" s="15" t="n"/>
      <c r="J63" s="26">
        <f>IF($A63="","",LEN($C63)-LEN(SUBSTITUTE($C63,",",""))+1)</f>
        <v/>
      </c>
      <c r="K63" s="26">
        <f>IF($A63="","",SUMPRODUCT(--ISNUMBER(SEARCH('Category Dictionary'!$D$5:$D$135&amp;"",$C63)),--('Category Dictionary'!$D$5:$D$135&lt;&gt;"")))</f>
        <v/>
      </c>
      <c r="L63" s="27">
        <f>IF($A63="","",TRIM(IF(ISERROR(FIND(",",$C63)),$C63,LEFT($C63,FIND(",",$C63)-1))))</f>
        <v/>
      </c>
      <c r="M63" s="28">
        <f>IF($H63="","",DATE(YEAR($H63),MONTH($H63),1))</f>
        <v/>
      </c>
      <c r="N63" s="26">
        <f>IF($H63="","",TODAY()-$H63)</f>
        <v/>
      </c>
      <c r="O63" s="15" t="n"/>
      <c r="P63" s="15" t="n"/>
      <c r="Q63" s="15" t="n"/>
      <c r="R63" s="25" t="n"/>
      <c r="S63" s="26">
        <f>IF($A63="","",AND(OR('Assignment Builder'!$B$5="",$B63='Assignment Builder'!$B$5),OR('Assignment Builder'!$B$6="",ISNUMBER(SEARCH('Assignment Builder'!$B$6,$C63))),OR('Assignment Builder'!$B$7="",'Assignment Builder'!$B$7=IFERROR(INDEX('Category Dictionary'!$C$5:$C$135,MATCH($L63,'Category Dictionary'!$D$5:$D$135,0)),"")),OR('Assignment Builder'!$B$8="",$D63='Assignment Builder'!$B$8),OR('Assignment Builder'!$B$9="",$F63='Assignment Builder'!$B$9),OR('Assignment Builder'!$B$10="",$O63='Assignment Builder'!$B$10),OR('Assignment Builder'!$B$11="",$H63&gt;='Assignment Builder'!$B$11),OR('Assignment Builder'!$B$12="",N($Q63)&lt;='Assignment Builder'!$B$12)))</f>
        <v/>
      </c>
      <c r="T63" s="23" t="n"/>
    </row>
    <row r="64">
      <c r="A64" s="23" t="n"/>
      <c r="B64" s="23" t="n"/>
      <c r="C64" s="24" t="n"/>
      <c r="D64" s="15" t="n"/>
      <c r="E64" s="23" t="n"/>
      <c r="F64" s="15" t="n"/>
      <c r="G64" s="23" t="n"/>
      <c r="H64" s="25" t="n"/>
      <c r="I64" s="15" t="n"/>
      <c r="J64" s="26">
        <f>IF($A64="","",LEN($C64)-LEN(SUBSTITUTE($C64,",",""))+1)</f>
        <v/>
      </c>
      <c r="K64" s="26">
        <f>IF($A64="","",SUMPRODUCT(--ISNUMBER(SEARCH('Category Dictionary'!$D$5:$D$135&amp;"",$C64)),--('Category Dictionary'!$D$5:$D$135&lt;&gt;"")))</f>
        <v/>
      </c>
      <c r="L64" s="27">
        <f>IF($A64="","",TRIM(IF(ISERROR(FIND(",",$C64)),$C64,LEFT($C64,FIND(",",$C64)-1))))</f>
        <v/>
      </c>
      <c r="M64" s="28">
        <f>IF($H64="","",DATE(YEAR($H64),MONTH($H64),1))</f>
        <v/>
      </c>
      <c r="N64" s="26">
        <f>IF($H64="","",TODAY()-$H64)</f>
        <v/>
      </c>
      <c r="O64" s="15" t="n"/>
      <c r="P64" s="15" t="n"/>
      <c r="Q64" s="15" t="n"/>
      <c r="R64" s="25" t="n"/>
      <c r="S64" s="26">
        <f>IF($A64="","",AND(OR('Assignment Builder'!$B$5="",$B64='Assignment Builder'!$B$5),OR('Assignment Builder'!$B$6="",ISNUMBER(SEARCH('Assignment Builder'!$B$6,$C64))),OR('Assignment Builder'!$B$7="",'Assignment Builder'!$B$7=IFERROR(INDEX('Category Dictionary'!$C$5:$C$135,MATCH($L64,'Category Dictionary'!$D$5:$D$135,0)),"")),OR('Assignment Builder'!$B$8="",$D64='Assignment Builder'!$B$8),OR('Assignment Builder'!$B$9="",$F64='Assignment Builder'!$B$9),OR('Assignment Builder'!$B$10="",$O64='Assignment Builder'!$B$10),OR('Assignment Builder'!$B$11="",$H64&gt;='Assignment Builder'!$B$11),OR('Assignment Builder'!$B$12="",N($Q64)&lt;='Assignment Builder'!$B$12)))</f>
        <v/>
      </c>
      <c r="T64" s="23" t="n"/>
    </row>
    <row r="65">
      <c r="A65" s="23" t="n"/>
      <c r="B65" s="23" t="n"/>
      <c r="C65" s="24" t="n"/>
      <c r="D65" s="15" t="n"/>
      <c r="E65" s="23" t="n"/>
      <c r="F65" s="15" t="n"/>
      <c r="G65" s="23" t="n"/>
      <c r="H65" s="25" t="n"/>
      <c r="I65" s="15" t="n"/>
      <c r="J65" s="26">
        <f>IF($A65="","",LEN($C65)-LEN(SUBSTITUTE($C65,",",""))+1)</f>
        <v/>
      </c>
      <c r="K65" s="26">
        <f>IF($A65="","",SUMPRODUCT(--ISNUMBER(SEARCH('Category Dictionary'!$D$5:$D$135&amp;"",$C65)),--('Category Dictionary'!$D$5:$D$135&lt;&gt;"")))</f>
        <v/>
      </c>
      <c r="L65" s="27">
        <f>IF($A65="","",TRIM(IF(ISERROR(FIND(",",$C65)),$C65,LEFT($C65,FIND(",",$C65)-1))))</f>
        <v/>
      </c>
      <c r="M65" s="28">
        <f>IF($H65="","",DATE(YEAR($H65),MONTH($H65),1))</f>
        <v/>
      </c>
      <c r="N65" s="26">
        <f>IF($H65="","",TODAY()-$H65)</f>
        <v/>
      </c>
      <c r="O65" s="15" t="n"/>
      <c r="P65" s="15" t="n"/>
      <c r="Q65" s="15" t="n"/>
      <c r="R65" s="25" t="n"/>
      <c r="S65" s="26">
        <f>IF($A65="","",AND(OR('Assignment Builder'!$B$5="",$B65='Assignment Builder'!$B$5),OR('Assignment Builder'!$B$6="",ISNUMBER(SEARCH('Assignment Builder'!$B$6,$C65))),OR('Assignment Builder'!$B$7="",'Assignment Builder'!$B$7=IFERROR(INDEX('Category Dictionary'!$C$5:$C$135,MATCH($L65,'Category Dictionary'!$D$5:$D$135,0)),"")),OR('Assignment Builder'!$B$8="",$D65='Assignment Builder'!$B$8),OR('Assignment Builder'!$B$9="",$F65='Assignment Builder'!$B$9),OR('Assignment Builder'!$B$10="",$O65='Assignment Builder'!$B$10),OR('Assignment Builder'!$B$11="",$H65&gt;='Assignment Builder'!$B$11),OR('Assignment Builder'!$B$12="",N($Q65)&lt;='Assignment Builder'!$B$12)))</f>
        <v/>
      </c>
      <c r="T65" s="23" t="n"/>
    </row>
    <row r="66">
      <c r="A66" s="23" t="n"/>
      <c r="B66" s="23" t="n"/>
      <c r="C66" s="24" t="n"/>
      <c r="D66" s="15" t="n"/>
      <c r="E66" s="23" t="n"/>
      <c r="F66" s="15" t="n"/>
      <c r="G66" s="23" t="n"/>
      <c r="H66" s="25" t="n"/>
      <c r="I66" s="15" t="n"/>
      <c r="J66" s="26">
        <f>IF($A66="","",LEN($C66)-LEN(SUBSTITUTE($C66,",",""))+1)</f>
        <v/>
      </c>
      <c r="K66" s="26">
        <f>IF($A66="","",SUMPRODUCT(--ISNUMBER(SEARCH('Category Dictionary'!$D$5:$D$135&amp;"",$C66)),--('Category Dictionary'!$D$5:$D$135&lt;&gt;"")))</f>
        <v/>
      </c>
      <c r="L66" s="27">
        <f>IF($A66="","",TRIM(IF(ISERROR(FIND(",",$C66)),$C66,LEFT($C66,FIND(",",$C66)-1))))</f>
        <v/>
      </c>
      <c r="M66" s="28">
        <f>IF($H66="","",DATE(YEAR($H66),MONTH($H66),1))</f>
        <v/>
      </c>
      <c r="N66" s="26">
        <f>IF($H66="","",TODAY()-$H66)</f>
        <v/>
      </c>
      <c r="O66" s="15" t="n"/>
      <c r="P66" s="15" t="n"/>
      <c r="Q66" s="15" t="n"/>
      <c r="R66" s="25" t="n"/>
      <c r="S66" s="26">
        <f>IF($A66="","",AND(OR('Assignment Builder'!$B$5="",$B66='Assignment Builder'!$B$5),OR('Assignment Builder'!$B$6="",ISNUMBER(SEARCH('Assignment Builder'!$B$6,$C66))),OR('Assignment Builder'!$B$7="",'Assignment Builder'!$B$7=IFERROR(INDEX('Category Dictionary'!$C$5:$C$135,MATCH($L66,'Category Dictionary'!$D$5:$D$135,0)),"")),OR('Assignment Builder'!$B$8="",$D66='Assignment Builder'!$B$8),OR('Assignment Builder'!$B$9="",$F66='Assignment Builder'!$B$9),OR('Assignment Builder'!$B$10="",$O66='Assignment Builder'!$B$10),OR('Assignment Builder'!$B$11="",$H66&gt;='Assignment Builder'!$B$11),OR('Assignment Builder'!$B$12="",N($Q66)&lt;='Assignment Builder'!$B$12)))</f>
        <v/>
      </c>
      <c r="T66" s="23" t="n"/>
    </row>
    <row r="67">
      <c r="A67" s="23" t="n"/>
      <c r="B67" s="23" t="n"/>
      <c r="C67" s="24" t="n"/>
      <c r="D67" s="15" t="n"/>
      <c r="E67" s="23" t="n"/>
      <c r="F67" s="15" t="n"/>
      <c r="G67" s="23" t="n"/>
      <c r="H67" s="25" t="n"/>
      <c r="I67" s="15" t="n"/>
      <c r="J67" s="26">
        <f>IF($A67="","",LEN($C67)-LEN(SUBSTITUTE($C67,",",""))+1)</f>
        <v/>
      </c>
      <c r="K67" s="26">
        <f>IF($A67="","",SUMPRODUCT(--ISNUMBER(SEARCH('Category Dictionary'!$D$5:$D$135&amp;"",$C67)),--('Category Dictionary'!$D$5:$D$135&lt;&gt;"")))</f>
        <v/>
      </c>
      <c r="L67" s="27">
        <f>IF($A67="","",TRIM(IF(ISERROR(FIND(",",$C67)),$C67,LEFT($C67,FIND(",",$C67)-1))))</f>
        <v/>
      </c>
      <c r="M67" s="28">
        <f>IF($H67="","",DATE(YEAR($H67),MONTH($H67),1))</f>
        <v/>
      </c>
      <c r="N67" s="26">
        <f>IF($H67="","",TODAY()-$H67)</f>
        <v/>
      </c>
      <c r="O67" s="15" t="n"/>
      <c r="P67" s="15" t="n"/>
      <c r="Q67" s="15" t="n"/>
      <c r="R67" s="25" t="n"/>
      <c r="S67" s="26">
        <f>IF($A67="","",AND(OR('Assignment Builder'!$B$5="",$B67='Assignment Builder'!$B$5),OR('Assignment Builder'!$B$6="",ISNUMBER(SEARCH('Assignment Builder'!$B$6,$C67))),OR('Assignment Builder'!$B$7="",'Assignment Builder'!$B$7=IFERROR(INDEX('Category Dictionary'!$C$5:$C$135,MATCH($L67,'Category Dictionary'!$D$5:$D$135,0)),"")),OR('Assignment Builder'!$B$8="",$D67='Assignment Builder'!$B$8),OR('Assignment Builder'!$B$9="",$F67='Assignment Builder'!$B$9),OR('Assignment Builder'!$B$10="",$O67='Assignment Builder'!$B$10),OR('Assignment Builder'!$B$11="",$H67&gt;='Assignment Builder'!$B$11),OR('Assignment Builder'!$B$12="",N($Q67)&lt;='Assignment Builder'!$B$12)))</f>
        <v/>
      </c>
      <c r="T67" s="23" t="n"/>
    </row>
    <row r="68">
      <c r="A68" s="23" t="n"/>
      <c r="B68" s="23" t="n"/>
      <c r="C68" s="24" t="n"/>
      <c r="D68" s="15" t="n"/>
      <c r="E68" s="23" t="n"/>
      <c r="F68" s="15" t="n"/>
      <c r="G68" s="23" t="n"/>
      <c r="H68" s="25" t="n"/>
      <c r="I68" s="15" t="n"/>
      <c r="J68" s="26">
        <f>IF($A68="","",LEN($C68)-LEN(SUBSTITUTE($C68,",",""))+1)</f>
        <v/>
      </c>
      <c r="K68" s="26">
        <f>IF($A68="","",SUMPRODUCT(--ISNUMBER(SEARCH('Category Dictionary'!$D$5:$D$135&amp;"",$C68)),--('Category Dictionary'!$D$5:$D$135&lt;&gt;"")))</f>
        <v/>
      </c>
      <c r="L68" s="27">
        <f>IF($A68="","",TRIM(IF(ISERROR(FIND(",",$C68)),$C68,LEFT($C68,FIND(",",$C68)-1))))</f>
        <v/>
      </c>
      <c r="M68" s="28">
        <f>IF($H68="","",DATE(YEAR($H68),MONTH($H68),1))</f>
        <v/>
      </c>
      <c r="N68" s="26">
        <f>IF($H68="","",TODAY()-$H68)</f>
        <v/>
      </c>
      <c r="O68" s="15" t="n"/>
      <c r="P68" s="15" t="n"/>
      <c r="Q68" s="15" t="n"/>
      <c r="R68" s="25" t="n"/>
      <c r="S68" s="26">
        <f>IF($A68="","",AND(OR('Assignment Builder'!$B$5="",$B68='Assignment Builder'!$B$5),OR('Assignment Builder'!$B$6="",ISNUMBER(SEARCH('Assignment Builder'!$B$6,$C68))),OR('Assignment Builder'!$B$7="",'Assignment Builder'!$B$7=IFERROR(INDEX('Category Dictionary'!$C$5:$C$135,MATCH($L68,'Category Dictionary'!$D$5:$D$135,0)),"")),OR('Assignment Builder'!$B$8="",$D68='Assignment Builder'!$B$8),OR('Assignment Builder'!$B$9="",$F68='Assignment Builder'!$B$9),OR('Assignment Builder'!$B$10="",$O68='Assignment Builder'!$B$10),OR('Assignment Builder'!$B$11="",$H68&gt;='Assignment Builder'!$B$11),OR('Assignment Builder'!$B$12="",N($Q68)&lt;='Assignment Builder'!$B$12)))</f>
        <v/>
      </c>
      <c r="T68" s="23" t="n"/>
    </row>
    <row r="69">
      <c r="A69" s="23" t="n"/>
      <c r="B69" s="23" t="n"/>
      <c r="C69" s="24" t="n"/>
      <c r="D69" s="15" t="n"/>
      <c r="E69" s="23" t="n"/>
      <c r="F69" s="15" t="n"/>
      <c r="G69" s="23" t="n"/>
      <c r="H69" s="25" t="n"/>
      <c r="I69" s="15" t="n"/>
      <c r="J69" s="26">
        <f>IF($A69="","",LEN($C69)-LEN(SUBSTITUTE($C69,",",""))+1)</f>
        <v/>
      </c>
      <c r="K69" s="26">
        <f>IF($A69="","",SUMPRODUCT(--ISNUMBER(SEARCH('Category Dictionary'!$D$5:$D$135&amp;"",$C69)),--('Category Dictionary'!$D$5:$D$135&lt;&gt;"")))</f>
        <v/>
      </c>
      <c r="L69" s="27">
        <f>IF($A69="","",TRIM(IF(ISERROR(FIND(",",$C69)),$C69,LEFT($C69,FIND(",",$C69)-1))))</f>
        <v/>
      </c>
      <c r="M69" s="28">
        <f>IF($H69="","",DATE(YEAR($H69),MONTH($H69),1))</f>
        <v/>
      </c>
      <c r="N69" s="26">
        <f>IF($H69="","",TODAY()-$H69)</f>
        <v/>
      </c>
      <c r="O69" s="15" t="n"/>
      <c r="P69" s="15" t="n"/>
      <c r="Q69" s="15" t="n"/>
      <c r="R69" s="25" t="n"/>
      <c r="S69" s="26">
        <f>IF($A69="","",AND(OR('Assignment Builder'!$B$5="",$B69='Assignment Builder'!$B$5),OR('Assignment Builder'!$B$6="",ISNUMBER(SEARCH('Assignment Builder'!$B$6,$C69))),OR('Assignment Builder'!$B$7="",'Assignment Builder'!$B$7=IFERROR(INDEX('Category Dictionary'!$C$5:$C$135,MATCH($L69,'Category Dictionary'!$D$5:$D$135,0)),"")),OR('Assignment Builder'!$B$8="",$D69='Assignment Builder'!$B$8),OR('Assignment Builder'!$B$9="",$F69='Assignment Builder'!$B$9),OR('Assignment Builder'!$B$10="",$O69='Assignment Builder'!$B$10),OR('Assignment Builder'!$B$11="",$H69&gt;='Assignment Builder'!$B$11),OR('Assignment Builder'!$B$12="",N($Q69)&lt;='Assignment Builder'!$B$12)))</f>
        <v/>
      </c>
      <c r="T69" s="23" t="n"/>
    </row>
    <row r="70">
      <c r="A70" s="23" t="n"/>
      <c r="B70" s="23" t="n"/>
      <c r="C70" s="24" t="n"/>
      <c r="D70" s="15" t="n"/>
      <c r="E70" s="23" t="n"/>
      <c r="F70" s="15" t="n"/>
      <c r="G70" s="23" t="n"/>
      <c r="H70" s="25" t="n"/>
      <c r="I70" s="15" t="n"/>
      <c r="J70" s="26">
        <f>IF($A70="","",LEN($C70)-LEN(SUBSTITUTE($C70,",",""))+1)</f>
        <v/>
      </c>
      <c r="K70" s="26">
        <f>IF($A70="","",SUMPRODUCT(--ISNUMBER(SEARCH('Category Dictionary'!$D$5:$D$135&amp;"",$C70)),--('Category Dictionary'!$D$5:$D$135&lt;&gt;"")))</f>
        <v/>
      </c>
      <c r="L70" s="27">
        <f>IF($A70="","",TRIM(IF(ISERROR(FIND(",",$C70)),$C70,LEFT($C70,FIND(",",$C70)-1))))</f>
        <v/>
      </c>
      <c r="M70" s="28">
        <f>IF($H70="","",DATE(YEAR($H70),MONTH($H70),1))</f>
        <v/>
      </c>
      <c r="N70" s="26">
        <f>IF($H70="","",TODAY()-$H70)</f>
        <v/>
      </c>
      <c r="O70" s="15" t="n"/>
      <c r="P70" s="15" t="n"/>
      <c r="Q70" s="15" t="n"/>
      <c r="R70" s="25" t="n"/>
      <c r="S70" s="26">
        <f>IF($A70="","",AND(OR('Assignment Builder'!$B$5="",$B70='Assignment Builder'!$B$5),OR('Assignment Builder'!$B$6="",ISNUMBER(SEARCH('Assignment Builder'!$B$6,$C70))),OR('Assignment Builder'!$B$7="",'Assignment Builder'!$B$7=IFERROR(INDEX('Category Dictionary'!$C$5:$C$135,MATCH($L70,'Category Dictionary'!$D$5:$D$135,0)),"")),OR('Assignment Builder'!$B$8="",$D70='Assignment Builder'!$B$8),OR('Assignment Builder'!$B$9="",$F70='Assignment Builder'!$B$9),OR('Assignment Builder'!$B$10="",$O70='Assignment Builder'!$B$10),OR('Assignment Builder'!$B$11="",$H70&gt;='Assignment Builder'!$B$11),OR('Assignment Builder'!$B$12="",N($Q70)&lt;='Assignment Builder'!$B$12)))</f>
        <v/>
      </c>
      <c r="T70" s="23" t="n"/>
    </row>
    <row r="71">
      <c r="A71" s="23" t="n"/>
      <c r="B71" s="23" t="n"/>
      <c r="C71" s="24" t="n"/>
      <c r="D71" s="15" t="n"/>
      <c r="E71" s="23" t="n"/>
      <c r="F71" s="15" t="n"/>
      <c r="G71" s="23" t="n"/>
      <c r="H71" s="25" t="n"/>
      <c r="I71" s="15" t="n"/>
      <c r="J71" s="26">
        <f>IF($A71="","",LEN($C71)-LEN(SUBSTITUTE($C71,",",""))+1)</f>
        <v/>
      </c>
      <c r="K71" s="26">
        <f>IF($A71="","",SUMPRODUCT(--ISNUMBER(SEARCH('Category Dictionary'!$D$5:$D$135&amp;"",$C71)),--('Category Dictionary'!$D$5:$D$135&lt;&gt;"")))</f>
        <v/>
      </c>
      <c r="L71" s="27">
        <f>IF($A71="","",TRIM(IF(ISERROR(FIND(",",$C71)),$C71,LEFT($C71,FIND(",",$C71)-1))))</f>
        <v/>
      </c>
      <c r="M71" s="28">
        <f>IF($H71="","",DATE(YEAR($H71),MONTH($H71),1))</f>
        <v/>
      </c>
      <c r="N71" s="26">
        <f>IF($H71="","",TODAY()-$H71)</f>
        <v/>
      </c>
      <c r="O71" s="15" t="n"/>
      <c r="P71" s="15" t="n"/>
      <c r="Q71" s="15" t="n"/>
      <c r="R71" s="25" t="n"/>
      <c r="S71" s="26">
        <f>IF($A71="","",AND(OR('Assignment Builder'!$B$5="",$B71='Assignment Builder'!$B$5),OR('Assignment Builder'!$B$6="",ISNUMBER(SEARCH('Assignment Builder'!$B$6,$C71))),OR('Assignment Builder'!$B$7="",'Assignment Builder'!$B$7=IFERROR(INDEX('Category Dictionary'!$C$5:$C$135,MATCH($L71,'Category Dictionary'!$D$5:$D$135,0)),"")),OR('Assignment Builder'!$B$8="",$D71='Assignment Builder'!$B$8),OR('Assignment Builder'!$B$9="",$F71='Assignment Builder'!$B$9),OR('Assignment Builder'!$B$10="",$O71='Assignment Builder'!$B$10),OR('Assignment Builder'!$B$11="",$H71&gt;='Assignment Builder'!$B$11),OR('Assignment Builder'!$B$12="",N($Q71)&lt;='Assignment Builder'!$B$12)))</f>
        <v/>
      </c>
      <c r="T71" s="23" t="n"/>
    </row>
    <row r="72">
      <c r="A72" s="23" t="n"/>
      <c r="B72" s="23" t="n"/>
      <c r="C72" s="24" t="n"/>
      <c r="D72" s="15" t="n"/>
      <c r="E72" s="23" t="n"/>
      <c r="F72" s="15" t="n"/>
      <c r="G72" s="23" t="n"/>
      <c r="H72" s="25" t="n"/>
      <c r="I72" s="15" t="n"/>
      <c r="J72" s="26">
        <f>IF($A72="","",LEN($C72)-LEN(SUBSTITUTE($C72,",",""))+1)</f>
        <v/>
      </c>
      <c r="K72" s="26">
        <f>IF($A72="","",SUMPRODUCT(--ISNUMBER(SEARCH('Category Dictionary'!$D$5:$D$135&amp;"",$C72)),--('Category Dictionary'!$D$5:$D$135&lt;&gt;"")))</f>
        <v/>
      </c>
      <c r="L72" s="27">
        <f>IF($A72="","",TRIM(IF(ISERROR(FIND(",",$C72)),$C72,LEFT($C72,FIND(",",$C72)-1))))</f>
        <v/>
      </c>
      <c r="M72" s="28">
        <f>IF($H72="","",DATE(YEAR($H72),MONTH($H72),1))</f>
        <v/>
      </c>
      <c r="N72" s="26">
        <f>IF($H72="","",TODAY()-$H72)</f>
        <v/>
      </c>
      <c r="O72" s="15" t="n"/>
      <c r="P72" s="15" t="n"/>
      <c r="Q72" s="15" t="n"/>
      <c r="R72" s="25" t="n"/>
      <c r="S72" s="26">
        <f>IF($A72="","",AND(OR('Assignment Builder'!$B$5="",$B72='Assignment Builder'!$B$5),OR('Assignment Builder'!$B$6="",ISNUMBER(SEARCH('Assignment Builder'!$B$6,$C72))),OR('Assignment Builder'!$B$7="",'Assignment Builder'!$B$7=IFERROR(INDEX('Category Dictionary'!$C$5:$C$135,MATCH($L72,'Category Dictionary'!$D$5:$D$135,0)),"")),OR('Assignment Builder'!$B$8="",$D72='Assignment Builder'!$B$8),OR('Assignment Builder'!$B$9="",$F72='Assignment Builder'!$B$9),OR('Assignment Builder'!$B$10="",$O72='Assignment Builder'!$B$10),OR('Assignment Builder'!$B$11="",$H72&gt;='Assignment Builder'!$B$11),OR('Assignment Builder'!$B$12="",N($Q72)&lt;='Assignment Builder'!$B$12)))</f>
        <v/>
      </c>
      <c r="T72" s="23" t="n"/>
    </row>
    <row r="73">
      <c r="A73" s="23" t="n"/>
      <c r="B73" s="23" t="n"/>
      <c r="C73" s="24" t="n"/>
      <c r="D73" s="15" t="n"/>
      <c r="E73" s="23" t="n"/>
      <c r="F73" s="15" t="n"/>
      <c r="G73" s="23" t="n"/>
      <c r="H73" s="25" t="n"/>
      <c r="I73" s="15" t="n"/>
      <c r="J73" s="26">
        <f>IF($A73="","",LEN($C73)-LEN(SUBSTITUTE($C73,",",""))+1)</f>
        <v/>
      </c>
      <c r="K73" s="26">
        <f>IF($A73="","",SUMPRODUCT(--ISNUMBER(SEARCH('Category Dictionary'!$D$5:$D$135&amp;"",$C73)),--('Category Dictionary'!$D$5:$D$135&lt;&gt;"")))</f>
        <v/>
      </c>
      <c r="L73" s="27">
        <f>IF($A73="","",TRIM(IF(ISERROR(FIND(",",$C73)),$C73,LEFT($C73,FIND(",",$C73)-1))))</f>
        <v/>
      </c>
      <c r="M73" s="28">
        <f>IF($H73="","",DATE(YEAR($H73),MONTH($H73),1))</f>
        <v/>
      </c>
      <c r="N73" s="26">
        <f>IF($H73="","",TODAY()-$H73)</f>
        <v/>
      </c>
      <c r="O73" s="15" t="n"/>
      <c r="P73" s="15" t="n"/>
      <c r="Q73" s="15" t="n"/>
      <c r="R73" s="25" t="n"/>
      <c r="S73" s="26">
        <f>IF($A73="","",AND(OR('Assignment Builder'!$B$5="",$B73='Assignment Builder'!$B$5),OR('Assignment Builder'!$B$6="",ISNUMBER(SEARCH('Assignment Builder'!$B$6,$C73))),OR('Assignment Builder'!$B$7="",'Assignment Builder'!$B$7=IFERROR(INDEX('Category Dictionary'!$C$5:$C$135,MATCH($L73,'Category Dictionary'!$D$5:$D$135,0)),"")),OR('Assignment Builder'!$B$8="",$D73='Assignment Builder'!$B$8),OR('Assignment Builder'!$B$9="",$F73='Assignment Builder'!$B$9),OR('Assignment Builder'!$B$10="",$O73='Assignment Builder'!$B$10),OR('Assignment Builder'!$B$11="",$H73&gt;='Assignment Builder'!$B$11),OR('Assignment Builder'!$B$12="",N($Q73)&lt;='Assignment Builder'!$B$12)))</f>
        <v/>
      </c>
      <c r="T73" s="23" t="n"/>
    </row>
    <row r="74">
      <c r="A74" s="23" t="n"/>
      <c r="B74" s="23" t="n"/>
      <c r="C74" s="24" t="n"/>
      <c r="D74" s="15" t="n"/>
      <c r="E74" s="23" t="n"/>
      <c r="F74" s="15" t="n"/>
      <c r="G74" s="23" t="n"/>
      <c r="H74" s="25" t="n"/>
      <c r="I74" s="15" t="n"/>
      <c r="J74" s="26">
        <f>IF($A74="","",LEN($C74)-LEN(SUBSTITUTE($C74,",",""))+1)</f>
        <v/>
      </c>
      <c r="K74" s="26">
        <f>IF($A74="","",SUMPRODUCT(--ISNUMBER(SEARCH('Category Dictionary'!$D$5:$D$135&amp;"",$C74)),--('Category Dictionary'!$D$5:$D$135&lt;&gt;"")))</f>
        <v/>
      </c>
      <c r="L74" s="27">
        <f>IF($A74="","",TRIM(IF(ISERROR(FIND(",",$C74)),$C74,LEFT($C74,FIND(",",$C74)-1))))</f>
        <v/>
      </c>
      <c r="M74" s="28">
        <f>IF($H74="","",DATE(YEAR($H74),MONTH($H74),1))</f>
        <v/>
      </c>
      <c r="N74" s="26">
        <f>IF($H74="","",TODAY()-$H74)</f>
        <v/>
      </c>
      <c r="O74" s="15" t="n"/>
      <c r="P74" s="15" t="n"/>
      <c r="Q74" s="15" t="n"/>
      <c r="R74" s="25" t="n"/>
      <c r="S74" s="26">
        <f>IF($A74="","",AND(OR('Assignment Builder'!$B$5="",$B74='Assignment Builder'!$B$5),OR('Assignment Builder'!$B$6="",ISNUMBER(SEARCH('Assignment Builder'!$B$6,$C74))),OR('Assignment Builder'!$B$7="",'Assignment Builder'!$B$7=IFERROR(INDEX('Category Dictionary'!$C$5:$C$135,MATCH($L74,'Category Dictionary'!$D$5:$D$135,0)),"")),OR('Assignment Builder'!$B$8="",$D74='Assignment Builder'!$B$8),OR('Assignment Builder'!$B$9="",$F74='Assignment Builder'!$B$9),OR('Assignment Builder'!$B$10="",$O74='Assignment Builder'!$B$10),OR('Assignment Builder'!$B$11="",$H74&gt;='Assignment Builder'!$B$11),OR('Assignment Builder'!$B$12="",N($Q74)&lt;='Assignment Builder'!$B$12)))</f>
        <v/>
      </c>
      <c r="T74" s="23" t="n"/>
    </row>
    <row r="75">
      <c r="A75" s="23" t="n"/>
      <c r="B75" s="23" t="n"/>
      <c r="C75" s="24" t="n"/>
      <c r="D75" s="15" t="n"/>
      <c r="E75" s="23" t="n"/>
      <c r="F75" s="15" t="n"/>
      <c r="G75" s="23" t="n"/>
      <c r="H75" s="25" t="n"/>
      <c r="I75" s="15" t="n"/>
      <c r="J75" s="26">
        <f>IF($A75="","",LEN($C75)-LEN(SUBSTITUTE($C75,",",""))+1)</f>
        <v/>
      </c>
      <c r="K75" s="26">
        <f>IF($A75="","",SUMPRODUCT(--ISNUMBER(SEARCH('Category Dictionary'!$D$5:$D$135&amp;"",$C75)),--('Category Dictionary'!$D$5:$D$135&lt;&gt;"")))</f>
        <v/>
      </c>
      <c r="L75" s="27">
        <f>IF($A75="","",TRIM(IF(ISERROR(FIND(",",$C75)),$C75,LEFT($C75,FIND(",",$C75)-1))))</f>
        <v/>
      </c>
      <c r="M75" s="28">
        <f>IF($H75="","",DATE(YEAR($H75),MONTH($H75),1))</f>
        <v/>
      </c>
      <c r="N75" s="26">
        <f>IF($H75="","",TODAY()-$H75)</f>
        <v/>
      </c>
      <c r="O75" s="15" t="n"/>
      <c r="P75" s="15" t="n"/>
      <c r="Q75" s="15" t="n"/>
      <c r="R75" s="25" t="n"/>
      <c r="S75" s="26">
        <f>IF($A75="","",AND(OR('Assignment Builder'!$B$5="",$B75='Assignment Builder'!$B$5),OR('Assignment Builder'!$B$6="",ISNUMBER(SEARCH('Assignment Builder'!$B$6,$C75))),OR('Assignment Builder'!$B$7="",'Assignment Builder'!$B$7=IFERROR(INDEX('Category Dictionary'!$C$5:$C$135,MATCH($L75,'Category Dictionary'!$D$5:$D$135,0)),"")),OR('Assignment Builder'!$B$8="",$D75='Assignment Builder'!$B$8),OR('Assignment Builder'!$B$9="",$F75='Assignment Builder'!$B$9),OR('Assignment Builder'!$B$10="",$O75='Assignment Builder'!$B$10),OR('Assignment Builder'!$B$11="",$H75&gt;='Assignment Builder'!$B$11),OR('Assignment Builder'!$B$12="",N($Q75)&lt;='Assignment Builder'!$B$12)))</f>
        <v/>
      </c>
      <c r="T75" s="23" t="n"/>
    </row>
    <row r="76">
      <c r="A76" s="23" t="n"/>
      <c r="B76" s="23" t="n"/>
      <c r="C76" s="24" t="n"/>
      <c r="D76" s="15" t="n"/>
      <c r="E76" s="23" t="n"/>
      <c r="F76" s="15" t="n"/>
      <c r="G76" s="23" t="n"/>
      <c r="H76" s="25" t="n"/>
      <c r="I76" s="15" t="n"/>
      <c r="J76" s="26">
        <f>IF($A76="","",LEN($C76)-LEN(SUBSTITUTE($C76,",",""))+1)</f>
        <v/>
      </c>
      <c r="K76" s="26">
        <f>IF($A76="","",SUMPRODUCT(--ISNUMBER(SEARCH('Category Dictionary'!$D$5:$D$135&amp;"",$C76)),--('Category Dictionary'!$D$5:$D$135&lt;&gt;"")))</f>
        <v/>
      </c>
      <c r="L76" s="27">
        <f>IF($A76="","",TRIM(IF(ISERROR(FIND(",",$C76)),$C76,LEFT($C76,FIND(",",$C76)-1))))</f>
        <v/>
      </c>
      <c r="M76" s="28">
        <f>IF($H76="","",DATE(YEAR($H76),MONTH($H76),1))</f>
        <v/>
      </c>
      <c r="N76" s="26">
        <f>IF($H76="","",TODAY()-$H76)</f>
        <v/>
      </c>
      <c r="O76" s="15" t="n"/>
      <c r="P76" s="15" t="n"/>
      <c r="Q76" s="15" t="n"/>
      <c r="R76" s="25" t="n"/>
      <c r="S76" s="26">
        <f>IF($A76="","",AND(OR('Assignment Builder'!$B$5="",$B76='Assignment Builder'!$B$5),OR('Assignment Builder'!$B$6="",ISNUMBER(SEARCH('Assignment Builder'!$B$6,$C76))),OR('Assignment Builder'!$B$7="",'Assignment Builder'!$B$7=IFERROR(INDEX('Category Dictionary'!$C$5:$C$135,MATCH($L76,'Category Dictionary'!$D$5:$D$135,0)),"")),OR('Assignment Builder'!$B$8="",$D76='Assignment Builder'!$B$8),OR('Assignment Builder'!$B$9="",$F76='Assignment Builder'!$B$9),OR('Assignment Builder'!$B$10="",$O76='Assignment Builder'!$B$10),OR('Assignment Builder'!$B$11="",$H76&gt;='Assignment Builder'!$B$11),OR('Assignment Builder'!$B$12="",N($Q76)&lt;='Assignment Builder'!$B$12)))</f>
        <v/>
      </c>
      <c r="T76" s="23" t="n"/>
    </row>
    <row r="77">
      <c r="A77" s="23" t="n"/>
      <c r="B77" s="23" t="n"/>
      <c r="C77" s="24" t="n"/>
      <c r="D77" s="15" t="n"/>
      <c r="E77" s="23" t="n"/>
      <c r="F77" s="15" t="n"/>
      <c r="G77" s="23" t="n"/>
      <c r="H77" s="25" t="n"/>
      <c r="I77" s="15" t="n"/>
      <c r="J77" s="26">
        <f>IF($A77="","",LEN($C77)-LEN(SUBSTITUTE($C77,",",""))+1)</f>
        <v/>
      </c>
      <c r="K77" s="26">
        <f>IF($A77="","",SUMPRODUCT(--ISNUMBER(SEARCH('Category Dictionary'!$D$5:$D$135&amp;"",$C77)),--('Category Dictionary'!$D$5:$D$135&lt;&gt;"")))</f>
        <v/>
      </c>
      <c r="L77" s="27">
        <f>IF($A77="","",TRIM(IF(ISERROR(FIND(",",$C77)),$C77,LEFT($C77,FIND(",",$C77)-1))))</f>
        <v/>
      </c>
      <c r="M77" s="28">
        <f>IF($H77="","",DATE(YEAR($H77),MONTH($H77),1))</f>
        <v/>
      </c>
      <c r="N77" s="26">
        <f>IF($H77="","",TODAY()-$H77)</f>
        <v/>
      </c>
      <c r="O77" s="15" t="n"/>
      <c r="P77" s="15" t="n"/>
      <c r="Q77" s="15" t="n"/>
      <c r="R77" s="25" t="n"/>
      <c r="S77" s="26">
        <f>IF($A77="","",AND(OR('Assignment Builder'!$B$5="",$B77='Assignment Builder'!$B$5),OR('Assignment Builder'!$B$6="",ISNUMBER(SEARCH('Assignment Builder'!$B$6,$C77))),OR('Assignment Builder'!$B$7="",'Assignment Builder'!$B$7=IFERROR(INDEX('Category Dictionary'!$C$5:$C$135,MATCH($L77,'Category Dictionary'!$D$5:$D$135,0)),"")),OR('Assignment Builder'!$B$8="",$D77='Assignment Builder'!$B$8),OR('Assignment Builder'!$B$9="",$F77='Assignment Builder'!$B$9),OR('Assignment Builder'!$B$10="",$O77='Assignment Builder'!$B$10),OR('Assignment Builder'!$B$11="",$H77&gt;='Assignment Builder'!$B$11),OR('Assignment Builder'!$B$12="",N($Q77)&lt;='Assignment Builder'!$B$12)))</f>
        <v/>
      </c>
      <c r="T77" s="23" t="n"/>
    </row>
    <row r="78">
      <c r="A78" s="23" t="n"/>
      <c r="B78" s="23" t="n"/>
      <c r="C78" s="24" t="n"/>
      <c r="D78" s="15" t="n"/>
      <c r="E78" s="23" t="n"/>
      <c r="F78" s="15" t="n"/>
      <c r="G78" s="23" t="n"/>
      <c r="H78" s="25" t="n"/>
      <c r="I78" s="15" t="n"/>
      <c r="J78" s="26">
        <f>IF($A78="","",LEN($C78)-LEN(SUBSTITUTE($C78,",",""))+1)</f>
        <v/>
      </c>
      <c r="K78" s="26">
        <f>IF($A78="","",SUMPRODUCT(--ISNUMBER(SEARCH('Category Dictionary'!$D$5:$D$135&amp;"",$C78)),--('Category Dictionary'!$D$5:$D$135&lt;&gt;"")))</f>
        <v/>
      </c>
      <c r="L78" s="27">
        <f>IF($A78="","",TRIM(IF(ISERROR(FIND(",",$C78)),$C78,LEFT($C78,FIND(",",$C78)-1))))</f>
        <v/>
      </c>
      <c r="M78" s="28">
        <f>IF($H78="","",DATE(YEAR($H78),MONTH($H78),1))</f>
        <v/>
      </c>
      <c r="N78" s="26">
        <f>IF($H78="","",TODAY()-$H78)</f>
        <v/>
      </c>
      <c r="O78" s="15" t="n"/>
      <c r="P78" s="15" t="n"/>
      <c r="Q78" s="15" t="n"/>
      <c r="R78" s="25" t="n"/>
      <c r="S78" s="26">
        <f>IF($A78="","",AND(OR('Assignment Builder'!$B$5="",$B78='Assignment Builder'!$B$5),OR('Assignment Builder'!$B$6="",ISNUMBER(SEARCH('Assignment Builder'!$B$6,$C78))),OR('Assignment Builder'!$B$7="",'Assignment Builder'!$B$7=IFERROR(INDEX('Category Dictionary'!$C$5:$C$135,MATCH($L78,'Category Dictionary'!$D$5:$D$135,0)),"")),OR('Assignment Builder'!$B$8="",$D78='Assignment Builder'!$B$8),OR('Assignment Builder'!$B$9="",$F78='Assignment Builder'!$B$9),OR('Assignment Builder'!$B$10="",$O78='Assignment Builder'!$B$10),OR('Assignment Builder'!$B$11="",$H78&gt;='Assignment Builder'!$B$11),OR('Assignment Builder'!$B$12="",N($Q78)&lt;='Assignment Builder'!$B$12)))</f>
        <v/>
      </c>
      <c r="T78" s="23" t="n"/>
    </row>
    <row r="79">
      <c r="A79" s="23" t="n"/>
      <c r="B79" s="23" t="n"/>
      <c r="C79" s="24" t="n"/>
      <c r="D79" s="15" t="n"/>
      <c r="E79" s="23" t="n"/>
      <c r="F79" s="15" t="n"/>
      <c r="G79" s="23" t="n"/>
      <c r="H79" s="25" t="n"/>
      <c r="I79" s="15" t="n"/>
      <c r="J79" s="26">
        <f>IF($A79="","",LEN($C79)-LEN(SUBSTITUTE($C79,",",""))+1)</f>
        <v/>
      </c>
      <c r="K79" s="26">
        <f>IF($A79="","",SUMPRODUCT(--ISNUMBER(SEARCH('Category Dictionary'!$D$5:$D$135&amp;"",$C79)),--('Category Dictionary'!$D$5:$D$135&lt;&gt;"")))</f>
        <v/>
      </c>
      <c r="L79" s="27">
        <f>IF($A79="","",TRIM(IF(ISERROR(FIND(",",$C79)),$C79,LEFT($C79,FIND(",",$C79)-1))))</f>
        <v/>
      </c>
      <c r="M79" s="28">
        <f>IF($H79="","",DATE(YEAR($H79),MONTH($H79),1))</f>
        <v/>
      </c>
      <c r="N79" s="26">
        <f>IF($H79="","",TODAY()-$H79)</f>
        <v/>
      </c>
      <c r="O79" s="15" t="n"/>
      <c r="P79" s="15" t="n"/>
      <c r="Q79" s="15" t="n"/>
      <c r="R79" s="25" t="n"/>
      <c r="S79" s="26">
        <f>IF($A79="","",AND(OR('Assignment Builder'!$B$5="",$B79='Assignment Builder'!$B$5),OR('Assignment Builder'!$B$6="",ISNUMBER(SEARCH('Assignment Builder'!$B$6,$C79))),OR('Assignment Builder'!$B$7="",'Assignment Builder'!$B$7=IFERROR(INDEX('Category Dictionary'!$C$5:$C$135,MATCH($L79,'Category Dictionary'!$D$5:$D$135,0)),"")),OR('Assignment Builder'!$B$8="",$D79='Assignment Builder'!$B$8),OR('Assignment Builder'!$B$9="",$F79='Assignment Builder'!$B$9),OR('Assignment Builder'!$B$10="",$O79='Assignment Builder'!$B$10),OR('Assignment Builder'!$B$11="",$H79&gt;='Assignment Builder'!$B$11),OR('Assignment Builder'!$B$12="",N($Q79)&lt;='Assignment Builder'!$B$12)))</f>
        <v/>
      </c>
      <c r="T79" s="23" t="n"/>
    </row>
    <row r="80">
      <c r="A80" s="23" t="n"/>
      <c r="B80" s="23" t="n"/>
      <c r="C80" s="24" t="n"/>
      <c r="D80" s="15" t="n"/>
      <c r="E80" s="23" t="n"/>
      <c r="F80" s="15" t="n"/>
      <c r="G80" s="23" t="n"/>
      <c r="H80" s="25" t="n"/>
      <c r="I80" s="15" t="n"/>
      <c r="J80" s="26">
        <f>IF($A80="","",LEN($C80)-LEN(SUBSTITUTE($C80,",",""))+1)</f>
        <v/>
      </c>
      <c r="K80" s="26">
        <f>IF($A80="","",SUMPRODUCT(--ISNUMBER(SEARCH('Category Dictionary'!$D$5:$D$135&amp;"",$C80)),--('Category Dictionary'!$D$5:$D$135&lt;&gt;"")))</f>
        <v/>
      </c>
      <c r="L80" s="27">
        <f>IF($A80="","",TRIM(IF(ISERROR(FIND(",",$C80)),$C80,LEFT($C80,FIND(",",$C80)-1))))</f>
        <v/>
      </c>
      <c r="M80" s="28">
        <f>IF($H80="","",DATE(YEAR($H80),MONTH($H80),1))</f>
        <v/>
      </c>
      <c r="N80" s="26">
        <f>IF($H80="","",TODAY()-$H80)</f>
        <v/>
      </c>
      <c r="O80" s="15" t="n"/>
      <c r="P80" s="15" t="n"/>
      <c r="Q80" s="15" t="n"/>
      <c r="R80" s="25" t="n"/>
      <c r="S80" s="26">
        <f>IF($A80="","",AND(OR('Assignment Builder'!$B$5="",$B80='Assignment Builder'!$B$5),OR('Assignment Builder'!$B$6="",ISNUMBER(SEARCH('Assignment Builder'!$B$6,$C80))),OR('Assignment Builder'!$B$7="",'Assignment Builder'!$B$7=IFERROR(INDEX('Category Dictionary'!$C$5:$C$135,MATCH($L80,'Category Dictionary'!$D$5:$D$135,0)),"")),OR('Assignment Builder'!$B$8="",$D80='Assignment Builder'!$B$8),OR('Assignment Builder'!$B$9="",$F80='Assignment Builder'!$B$9),OR('Assignment Builder'!$B$10="",$O80='Assignment Builder'!$B$10),OR('Assignment Builder'!$B$11="",$H80&gt;='Assignment Builder'!$B$11),OR('Assignment Builder'!$B$12="",N($Q80)&lt;='Assignment Builder'!$B$12)))</f>
        <v/>
      </c>
      <c r="T80" s="23" t="n"/>
    </row>
    <row r="81">
      <c r="A81" s="23" t="n"/>
      <c r="B81" s="23" t="n"/>
      <c r="C81" s="24" t="n"/>
      <c r="D81" s="15" t="n"/>
      <c r="E81" s="23" t="n"/>
      <c r="F81" s="15" t="n"/>
      <c r="G81" s="23" t="n"/>
      <c r="H81" s="25" t="n"/>
      <c r="I81" s="15" t="n"/>
      <c r="J81" s="26">
        <f>IF($A81="","",LEN($C81)-LEN(SUBSTITUTE($C81,",",""))+1)</f>
        <v/>
      </c>
      <c r="K81" s="26">
        <f>IF($A81="","",SUMPRODUCT(--ISNUMBER(SEARCH('Category Dictionary'!$D$5:$D$135&amp;"",$C81)),--('Category Dictionary'!$D$5:$D$135&lt;&gt;"")))</f>
        <v/>
      </c>
      <c r="L81" s="27">
        <f>IF($A81="","",TRIM(IF(ISERROR(FIND(",",$C81)),$C81,LEFT($C81,FIND(",",$C81)-1))))</f>
        <v/>
      </c>
      <c r="M81" s="28">
        <f>IF($H81="","",DATE(YEAR($H81),MONTH($H81),1))</f>
        <v/>
      </c>
      <c r="N81" s="26">
        <f>IF($H81="","",TODAY()-$H81)</f>
        <v/>
      </c>
      <c r="O81" s="15" t="n"/>
      <c r="P81" s="15" t="n"/>
      <c r="Q81" s="15" t="n"/>
      <c r="R81" s="25" t="n"/>
      <c r="S81" s="26">
        <f>IF($A81="","",AND(OR('Assignment Builder'!$B$5="",$B81='Assignment Builder'!$B$5),OR('Assignment Builder'!$B$6="",ISNUMBER(SEARCH('Assignment Builder'!$B$6,$C81))),OR('Assignment Builder'!$B$7="",'Assignment Builder'!$B$7=IFERROR(INDEX('Category Dictionary'!$C$5:$C$135,MATCH($L81,'Category Dictionary'!$D$5:$D$135,0)),"")),OR('Assignment Builder'!$B$8="",$D81='Assignment Builder'!$B$8),OR('Assignment Builder'!$B$9="",$F81='Assignment Builder'!$B$9),OR('Assignment Builder'!$B$10="",$O81='Assignment Builder'!$B$10),OR('Assignment Builder'!$B$11="",$H81&gt;='Assignment Builder'!$B$11),OR('Assignment Builder'!$B$12="",N($Q81)&lt;='Assignment Builder'!$B$12)))</f>
        <v/>
      </c>
      <c r="T81" s="23" t="n"/>
    </row>
    <row r="82">
      <c r="A82" s="23" t="n"/>
      <c r="B82" s="23" t="n"/>
      <c r="C82" s="24" t="n"/>
      <c r="D82" s="15" t="n"/>
      <c r="E82" s="23" t="n"/>
      <c r="F82" s="15" t="n"/>
      <c r="G82" s="23" t="n"/>
      <c r="H82" s="25" t="n"/>
      <c r="I82" s="15" t="n"/>
      <c r="J82" s="26">
        <f>IF($A82="","",LEN($C82)-LEN(SUBSTITUTE($C82,",",""))+1)</f>
        <v/>
      </c>
      <c r="K82" s="26">
        <f>IF($A82="","",SUMPRODUCT(--ISNUMBER(SEARCH('Category Dictionary'!$D$5:$D$135&amp;"",$C82)),--('Category Dictionary'!$D$5:$D$135&lt;&gt;"")))</f>
        <v/>
      </c>
      <c r="L82" s="27">
        <f>IF($A82="","",TRIM(IF(ISERROR(FIND(",",$C82)),$C82,LEFT($C82,FIND(",",$C82)-1))))</f>
        <v/>
      </c>
      <c r="M82" s="28">
        <f>IF($H82="","",DATE(YEAR($H82),MONTH($H82),1))</f>
        <v/>
      </c>
      <c r="N82" s="26">
        <f>IF($H82="","",TODAY()-$H82)</f>
        <v/>
      </c>
      <c r="O82" s="15" t="n"/>
      <c r="P82" s="15" t="n"/>
      <c r="Q82" s="15" t="n"/>
      <c r="R82" s="25" t="n"/>
      <c r="S82" s="26">
        <f>IF($A82="","",AND(OR('Assignment Builder'!$B$5="",$B82='Assignment Builder'!$B$5),OR('Assignment Builder'!$B$6="",ISNUMBER(SEARCH('Assignment Builder'!$B$6,$C82))),OR('Assignment Builder'!$B$7="",'Assignment Builder'!$B$7=IFERROR(INDEX('Category Dictionary'!$C$5:$C$135,MATCH($L82,'Category Dictionary'!$D$5:$D$135,0)),"")),OR('Assignment Builder'!$B$8="",$D82='Assignment Builder'!$B$8),OR('Assignment Builder'!$B$9="",$F82='Assignment Builder'!$B$9),OR('Assignment Builder'!$B$10="",$O82='Assignment Builder'!$B$10),OR('Assignment Builder'!$B$11="",$H82&gt;='Assignment Builder'!$B$11),OR('Assignment Builder'!$B$12="",N($Q82)&lt;='Assignment Builder'!$B$12)))</f>
        <v/>
      </c>
      <c r="T82" s="23" t="n"/>
    </row>
    <row r="83">
      <c r="A83" s="23" t="n"/>
      <c r="B83" s="23" t="n"/>
      <c r="C83" s="24" t="n"/>
      <c r="D83" s="15" t="n"/>
      <c r="E83" s="23" t="n"/>
      <c r="F83" s="15" t="n"/>
      <c r="G83" s="23" t="n"/>
      <c r="H83" s="25" t="n"/>
      <c r="I83" s="15" t="n"/>
      <c r="J83" s="26">
        <f>IF($A83="","",LEN($C83)-LEN(SUBSTITUTE($C83,",",""))+1)</f>
        <v/>
      </c>
      <c r="K83" s="26">
        <f>IF($A83="","",SUMPRODUCT(--ISNUMBER(SEARCH('Category Dictionary'!$D$5:$D$135&amp;"",$C83)),--('Category Dictionary'!$D$5:$D$135&lt;&gt;"")))</f>
        <v/>
      </c>
      <c r="L83" s="27">
        <f>IF($A83="","",TRIM(IF(ISERROR(FIND(",",$C83)),$C83,LEFT($C83,FIND(",",$C83)-1))))</f>
        <v/>
      </c>
      <c r="M83" s="28">
        <f>IF($H83="","",DATE(YEAR($H83),MONTH($H83),1))</f>
        <v/>
      </c>
      <c r="N83" s="26">
        <f>IF($H83="","",TODAY()-$H83)</f>
        <v/>
      </c>
      <c r="O83" s="15" t="n"/>
      <c r="P83" s="15" t="n"/>
      <c r="Q83" s="15" t="n"/>
      <c r="R83" s="25" t="n"/>
      <c r="S83" s="26">
        <f>IF($A83="","",AND(OR('Assignment Builder'!$B$5="",$B83='Assignment Builder'!$B$5),OR('Assignment Builder'!$B$6="",ISNUMBER(SEARCH('Assignment Builder'!$B$6,$C83))),OR('Assignment Builder'!$B$7="",'Assignment Builder'!$B$7=IFERROR(INDEX('Category Dictionary'!$C$5:$C$135,MATCH($L83,'Category Dictionary'!$D$5:$D$135,0)),"")),OR('Assignment Builder'!$B$8="",$D83='Assignment Builder'!$B$8),OR('Assignment Builder'!$B$9="",$F83='Assignment Builder'!$B$9),OR('Assignment Builder'!$B$10="",$O83='Assignment Builder'!$B$10),OR('Assignment Builder'!$B$11="",$H83&gt;='Assignment Builder'!$B$11),OR('Assignment Builder'!$B$12="",N($Q83)&lt;='Assignment Builder'!$B$12)))</f>
        <v/>
      </c>
      <c r="T83" s="23" t="n"/>
    </row>
    <row r="84">
      <c r="A84" s="23" t="n"/>
      <c r="B84" s="23" t="n"/>
      <c r="C84" s="24" t="n"/>
      <c r="D84" s="15" t="n"/>
      <c r="E84" s="23" t="n"/>
      <c r="F84" s="15" t="n"/>
      <c r="G84" s="23" t="n"/>
      <c r="H84" s="25" t="n"/>
      <c r="I84" s="15" t="n"/>
      <c r="J84" s="26">
        <f>IF($A84="","",LEN($C84)-LEN(SUBSTITUTE($C84,",",""))+1)</f>
        <v/>
      </c>
      <c r="K84" s="26">
        <f>IF($A84="","",SUMPRODUCT(--ISNUMBER(SEARCH('Category Dictionary'!$D$5:$D$135&amp;"",$C84)),--('Category Dictionary'!$D$5:$D$135&lt;&gt;"")))</f>
        <v/>
      </c>
      <c r="L84" s="27">
        <f>IF($A84="","",TRIM(IF(ISERROR(FIND(",",$C84)),$C84,LEFT($C84,FIND(",",$C84)-1))))</f>
        <v/>
      </c>
      <c r="M84" s="28">
        <f>IF($H84="","",DATE(YEAR($H84),MONTH($H84),1))</f>
        <v/>
      </c>
      <c r="N84" s="26">
        <f>IF($H84="","",TODAY()-$H84)</f>
        <v/>
      </c>
      <c r="O84" s="15" t="n"/>
      <c r="P84" s="15" t="n"/>
      <c r="Q84" s="15" t="n"/>
      <c r="R84" s="25" t="n"/>
      <c r="S84" s="26">
        <f>IF($A84="","",AND(OR('Assignment Builder'!$B$5="",$B84='Assignment Builder'!$B$5),OR('Assignment Builder'!$B$6="",ISNUMBER(SEARCH('Assignment Builder'!$B$6,$C84))),OR('Assignment Builder'!$B$7="",'Assignment Builder'!$B$7=IFERROR(INDEX('Category Dictionary'!$C$5:$C$135,MATCH($L84,'Category Dictionary'!$D$5:$D$135,0)),"")),OR('Assignment Builder'!$B$8="",$D84='Assignment Builder'!$B$8),OR('Assignment Builder'!$B$9="",$F84='Assignment Builder'!$B$9),OR('Assignment Builder'!$B$10="",$O84='Assignment Builder'!$B$10),OR('Assignment Builder'!$B$11="",$H84&gt;='Assignment Builder'!$B$11),OR('Assignment Builder'!$B$12="",N($Q84)&lt;='Assignment Builder'!$B$12)))</f>
        <v/>
      </c>
      <c r="T84" s="23" t="n"/>
    </row>
    <row r="85">
      <c r="A85" s="23" t="n"/>
      <c r="B85" s="23" t="n"/>
      <c r="C85" s="24" t="n"/>
      <c r="D85" s="15" t="n"/>
      <c r="E85" s="23" t="n"/>
      <c r="F85" s="15" t="n"/>
      <c r="G85" s="23" t="n"/>
      <c r="H85" s="25" t="n"/>
      <c r="I85" s="15" t="n"/>
      <c r="J85" s="26">
        <f>IF($A85="","",LEN($C85)-LEN(SUBSTITUTE($C85,",",""))+1)</f>
        <v/>
      </c>
      <c r="K85" s="26">
        <f>IF($A85="","",SUMPRODUCT(--ISNUMBER(SEARCH('Category Dictionary'!$D$5:$D$135&amp;"",$C85)),--('Category Dictionary'!$D$5:$D$135&lt;&gt;"")))</f>
        <v/>
      </c>
      <c r="L85" s="27">
        <f>IF($A85="","",TRIM(IF(ISERROR(FIND(",",$C85)),$C85,LEFT($C85,FIND(",",$C85)-1))))</f>
        <v/>
      </c>
      <c r="M85" s="28">
        <f>IF($H85="","",DATE(YEAR($H85),MONTH($H85),1))</f>
        <v/>
      </c>
      <c r="N85" s="26">
        <f>IF($H85="","",TODAY()-$H85)</f>
        <v/>
      </c>
      <c r="O85" s="15" t="n"/>
      <c r="P85" s="15" t="n"/>
      <c r="Q85" s="15" t="n"/>
      <c r="R85" s="25" t="n"/>
      <c r="S85" s="26">
        <f>IF($A85="","",AND(OR('Assignment Builder'!$B$5="",$B85='Assignment Builder'!$B$5),OR('Assignment Builder'!$B$6="",ISNUMBER(SEARCH('Assignment Builder'!$B$6,$C85))),OR('Assignment Builder'!$B$7="",'Assignment Builder'!$B$7=IFERROR(INDEX('Category Dictionary'!$C$5:$C$135,MATCH($L85,'Category Dictionary'!$D$5:$D$135,0)),"")),OR('Assignment Builder'!$B$8="",$D85='Assignment Builder'!$B$8),OR('Assignment Builder'!$B$9="",$F85='Assignment Builder'!$B$9),OR('Assignment Builder'!$B$10="",$O85='Assignment Builder'!$B$10),OR('Assignment Builder'!$B$11="",$H85&gt;='Assignment Builder'!$B$11),OR('Assignment Builder'!$B$12="",N($Q85)&lt;='Assignment Builder'!$B$12)))</f>
        <v/>
      </c>
      <c r="T85" s="23" t="n"/>
    </row>
    <row r="86">
      <c r="A86" s="23" t="n"/>
      <c r="B86" s="23" t="n"/>
      <c r="C86" s="24" t="n"/>
      <c r="D86" s="15" t="n"/>
      <c r="E86" s="23" t="n"/>
      <c r="F86" s="15" t="n"/>
      <c r="G86" s="23" t="n"/>
      <c r="H86" s="25" t="n"/>
      <c r="I86" s="15" t="n"/>
      <c r="J86" s="26">
        <f>IF($A86="","",LEN($C86)-LEN(SUBSTITUTE($C86,",",""))+1)</f>
        <v/>
      </c>
      <c r="K86" s="26">
        <f>IF($A86="","",SUMPRODUCT(--ISNUMBER(SEARCH('Category Dictionary'!$D$5:$D$135&amp;"",$C86)),--('Category Dictionary'!$D$5:$D$135&lt;&gt;"")))</f>
        <v/>
      </c>
      <c r="L86" s="27">
        <f>IF($A86="","",TRIM(IF(ISERROR(FIND(",",$C86)),$C86,LEFT($C86,FIND(",",$C86)-1))))</f>
        <v/>
      </c>
      <c r="M86" s="28">
        <f>IF($H86="","",DATE(YEAR($H86),MONTH($H86),1))</f>
        <v/>
      </c>
      <c r="N86" s="26">
        <f>IF($H86="","",TODAY()-$H86)</f>
        <v/>
      </c>
      <c r="O86" s="15" t="n"/>
      <c r="P86" s="15" t="n"/>
      <c r="Q86" s="15" t="n"/>
      <c r="R86" s="25" t="n"/>
      <c r="S86" s="26">
        <f>IF($A86="","",AND(OR('Assignment Builder'!$B$5="",$B86='Assignment Builder'!$B$5),OR('Assignment Builder'!$B$6="",ISNUMBER(SEARCH('Assignment Builder'!$B$6,$C86))),OR('Assignment Builder'!$B$7="",'Assignment Builder'!$B$7=IFERROR(INDEX('Category Dictionary'!$C$5:$C$135,MATCH($L86,'Category Dictionary'!$D$5:$D$135,0)),"")),OR('Assignment Builder'!$B$8="",$D86='Assignment Builder'!$B$8),OR('Assignment Builder'!$B$9="",$F86='Assignment Builder'!$B$9),OR('Assignment Builder'!$B$10="",$O86='Assignment Builder'!$B$10),OR('Assignment Builder'!$B$11="",$H86&gt;='Assignment Builder'!$B$11),OR('Assignment Builder'!$B$12="",N($Q86)&lt;='Assignment Builder'!$B$12)))</f>
        <v/>
      </c>
      <c r="T86" s="23" t="n"/>
    </row>
    <row r="87">
      <c r="A87" s="23" t="n"/>
      <c r="B87" s="23" t="n"/>
      <c r="C87" s="24" t="n"/>
      <c r="D87" s="15" t="n"/>
      <c r="E87" s="23" t="n"/>
      <c r="F87" s="15" t="n"/>
      <c r="G87" s="23" t="n"/>
      <c r="H87" s="25" t="n"/>
      <c r="I87" s="15" t="n"/>
      <c r="J87" s="26">
        <f>IF($A87="","",LEN($C87)-LEN(SUBSTITUTE($C87,",",""))+1)</f>
        <v/>
      </c>
      <c r="K87" s="26">
        <f>IF($A87="","",SUMPRODUCT(--ISNUMBER(SEARCH('Category Dictionary'!$D$5:$D$135&amp;"",$C87)),--('Category Dictionary'!$D$5:$D$135&lt;&gt;"")))</f>
        <v/>
      </c>
      <c r="L87" s="27">
        <f>IF($A87="","",TRIM(IF(ISERROR(FIND(",",$C87)),$C87,LEFT($C87,FIND(",",$C87)-1))))</f>
        <v/>
      </c>
      <c r="M87" s="28">
        <f>IF($H87="","",DATE(YEAR($H87),MONTH($H87),1))</f>
        <v/>
      </c>
      <c r="N87" s="26">
        <f>IF($H87="","",TODAY()-$H87)</f>
        <v/>
      </c>
      <c r="O87" s="15" t="n"/>
      <c r="P87" s="15" t="n"/>
      <c r="Q87" s="15" t="n"/>
      <c r="R87" s="25" t="n"/>
      <c r="S87" s="26">
        <f>IF($A87="","",AND(OR('Assignment Builder'!$B$5="",$B87='Assignment Builder'!$B$5),OR('Assignment Builder'!$B$6="",ISNUMBER(SEARCH('Assignment Builder'!$B$6,$C87))),OR('Assignment Builder'!$B$7="",'Assignment Builder'!$B$7=IFERROR(INDEX('Category Dictionary'!$C$5:$C$135,MATCH($L87,'Category Dictionary'!$D$5:$D$135,0)),"")),OR('Assignment Builder'!$B$8="",$D87='Assignment Builder'!$B$8),OR('Assignment Builder'!$B$9="",$F87='Assignment Builder'!$B$9),OR('Assignment Builder'!$B$10="",$O87='Assignment Builder'!$B$10),OR('Assignment Builder'!$B$11="",$H87&gt;='Assignment Builder'!$B$11),OR('Assignment Builder'!$B$12="",N($Q87)&lt;='Assignment Builder'!$B$12)))</f>
        <v/>
      </c>
      <c r="T87" s="23" t="n"/>
    </row>
    <row r="88">
      <c r="A88" s="23" t="n"/>
      <c r="B88" s="23" t="n"/>
      <c r="C88" s="24" t="n"/>
      <c r="D88" s="15" t="n"/>
      <c r="E88" s="23" t="n"/>
      <c r="F88" s="15" t="n"/>
      <c r="G88" s="23" t="n"/>
      <c r="H88" s="25" t="n"/>
      <c r="I88" s="15" t="n"/>
      <c r="J88" s="26">
        <f>IF($A88="","",LEN($C88)-LEN(SUBSTITUTE($C88,",",""))+1)</f>
        <v/>
      </c>
      <c r="K88" s="26">
        <f>IF($A88="","",SUMPRODUCT(--ISNUMBER(SEARCH('Category Dictionary'!$D$5:$D$135&amp;"",$C88)),--('Category Dictionary'!$D$5:$D$135&lt;&gt;"")))</f>
        <v/>
      </c>
      <c r="L88" s="27">
        <f>IF($A88="","",TRIM(IF(ISERROR(FIND(",",$C88)),$C88,LEFT($C88,FIND(",",$C88)-1))))</f>
        <v/>
      </c>
      <c r="M88" s="28">
        <f>IF($H88="","",DATE(YEAR($H88),MONTH($H88),1))</f>
        <v/>
      </c>
      <c r="N88" s="26">
        <f>IF($H88="","",TODAY()-$H88)</f>
        <v/>
      </c>
      <c r="O88" s="15" t="n"/>
      <c r="P88" s="15" t="n"/>
      <c r="Q88" s="15" t="n"/>
      <c r="R88" s="25" t="n"/>
      <c r="S88" s="26">
        <f>IF($A88="","",AND(OR('Assignment Builder'!$B$5="",$B88='Assignment Builder'!$B$5),OR('Assignment Builder'!$B$6="",ISNUMBER(SEARCH('Assignment Builder'!$B$6,$C88))),OR('Assignment Builder'!$B$7="",'Assignment Builder'!$B$7=IFERROR(INDEX('Category Dictionary'!$C$5:$C$135,MATCH($L88,'Category Dictionary'!$D$5:$D$135,0)),"")),OR('Assignment Builder'!$B$8="",$D88='Assignment Builder'!$B$8),OR('Assignment Builder'!$B$9="",$F88='Assignment Builder'!$B$9),OR('Assignment Builder'!$B$10="",$O88='Assignment Builder'!$B$10),OR('Assignment Builder'!$B$11="",$H88&gt;='Assignment Builder'!$B$11),OR('Assignment Builder'!$B$12="",N($Q88)&lt;='Assignment Builder'!$B$12)))</f>
        <v/>
      </c>
      <c r="T88" s="23" t="n"/>
    </row>
    <row r="89">
      <c r="A89" s="23" t="n"/>
      <c r="B89" s="23" t="n"/>
      <c r="C89" s="24" t="n"/>
      <c r="D89" s="15" t="n"/>
      <c r="E89" s="23" t="n"/>
      <c r="F89" s="15" t="n"/>
      <c r="G89" s="23" t="n"/>
      <c r="H89" s="25" t="n"/>
      <c r="I89" s="15" t="n"/>
      <c r="J89" s="26">
        <f>IF($A89="","",LEN($C89)-LEN(SUBSTITUTE($C89,",",""))+1)</f>
        <v/>
      </c>
      <c r="K89" s="26">
        <f>IF($A89="","",SUMPRODUCT(--ISNUMBER(SEARCH('Category Dictionary'!$D$5:$D$135&amp;"",$C89)),--('Category Dictionary'!$D$5:$D$135&lt;&gt;"")))</f>
        <v/>
      </c>
      <c r="L89" s="27">
        <f>IF($A89="","",TRIM(IF(ISERROR(FIND(",",$C89)),$C89,LEFT($C89,FIND(",",$C89)-1))))</f>
        <v/>
      </c>
      <c r="M89" s="28">
        <f>IF($H89="","",DATE(YEAR($H89),MONTH($H89),1))</f>
        <v/>
      </c>
      <c r="N89" s="26">
        <f>IF($H89="","",TODAY()-$H89)</f>
        <v/>
      </c>
      <c r="O89" s="15" t="n"/>
      <c r="P89" s="15" t="n"/>
      <c r="Q89" s="15" t="n"/>
      <c r="R89" s="25" t="n"/>
      <c r="S89" s="26">
        <f>IF($A89="","",AND(OR('Assignment Builder'!$B$5="",$B89='Assignment Builder'!$B$5),OR('Assignment Builder'!$B$6="",ISNUMBER(SEARCH('Assignment Builder'!$B$6,$C89))),OR('Assignment Builder'!$B$7="",'Assignment Builder'!$B$7=IFERROR(INDEX('Category Dictionary'!$C$5:$C$135,MATCH($L89,'Category Dictionary'!$D$5:$D$135,0)),"")),OR('Assignment Builder'!$B$8="",$D89='Assignment Builder'!$B$8),OR('Assignment Builder'!$B$9="",$F89='Assignment Builder'!$B$9),OR('Assignment Builder'!$B$10="",$O89='Assignment Builder'!$B$10),OR('Assignment Builder'!$B$11="",$H89&gt;='Assignment Builder'!$B$11),OR('Assignment Builder'!$B$12="",N($Q89)&lt;='Assignment Builder'!$B$12)))</f>
        <v/>
      </c>
      <c r="T89" s="23" t="n"/>
    </row>
    <row r="90">
      <c r="A90" s="23" t="n"/>
      <c r="B90" s="23" t="n"/>
      <c r="C90" s="24" t="n"/>
      <c r="D90" s="15" t="n"/>
      <c r="E90" s="23" t="n"/>
      <c r="F90" s="15" t="n"/>
      <c r="G90" s="23" t="n"/>
      <c r="H90" s="25" t="n"/>
      <c r="I90" s="15" t="n"/>
      <c r="J90" s="26">
        <f>IF($A90="","",LEN($C90)-LEN(SUBSTITUTE($C90,",",""))+1)</f>
        <v/>
      </c>
      <c r="K90" s="26">
        <f>IF($A90="","",SUMPRODUCT(--ISNUMBER(SEARCH('Category Dictionary'!$D$5:$D$135&amp;"",$C90)),--('Category Dictionary'!$D$5:$D$135&lt;&gt;"")))</f>
        <v/>
      </c>
      <c r="L90" s="27">
        <f>IF($A90="","",TRIM(IF(ISERROR(FIND(",",$C90)),$C90,LEFT($C90,FIND(",",$C90)-1))))</f>
        <v/>
      </c>
      <c r="M90" s="28">
        <f>IF($H90="","",DATE(YEAR($H90),MONTH($H90),1))</f>
        <v/>
      </c>
      <c r="N90" s="26">
        <f>IF($H90="","",TODAY()-$H90)</f>
        <v/>
      </c>
      <c r="O90" s="15" t="n"/>
      <c r="P90" s="15" t="n"/>
      <c r="Q90" s="15" t="n"/>
      <c r="R90" s="25" t="n"/>
      <c r="S90" s="26">
        <f>IF($A90="","",AND(OR('Assignment Builder'!$B$5="",$B90='Assignment Builder'!$B$5),OR('Assignment Builder'!$B$6="",ISNUMBER(SEARCH('Assignment Builder'!$B$6,$C90))),OR('Assignment Builder'!$B$7="",'Assignment Builder'!$B$7=IFERROR(INDEX('Category Dictionary'!$C$5:$C$135,MATCH($L90,'Category Dictionary'!$D$5:$D$135,0)),"")),OR('Assignment Builder'!$B$8="",$D90='Assignment Builder'!$B$8),OR('Assignment Builder'!$B$9="",$F90='Assignment Builder'!$B$9),OR('Assignment Builder'!$B$10="",$O90='Assignment Builder'!$B$10),OR('Assignment Builder'!$B$11="",$H90&gt;='Assignment Builder'!$B$11),OR('Assignment Builder'!$B$12="",N($Q90)&lt;='Assignment Builder'!$B$12)))</f>
        <v/>
      </c>
      <c r="T90" s="23" t="n"/>
    </row>
    <row r="91">
      <c r="A91" s="23" t="n"/>
      <c r="B91" s="23" t="n"/>
      <c r="C91" s="24" t="n"/>
      <c r="D91" s="15" t="n"/>
      <c r="E91" s="23" t="n"/>
      <c r="F91" s="15" t="n"/>
      <c r="G91" s="23" t="n"/>
      <c r="H91" s="25" t="n"/>
      <c r="I91" s="15" t="n"/>
      <c r="J91" s="26">
        <f>IF($A91="","",LEN($C91)-LEN(SUBSTITUTE($C91,",",""))+1)</f>
        <v/>
      </c>
      <c r="K91" s="26">
        <f>IF($A91="","",SUMPRODUCT(--ISNUMBER(SEARCH('Category Dictionary'!$D$5:$D$135&amp;"",$C91)),--('Category Dictionary'!$D$5:$D$135&lt;&gt;"")))</f>
        <v/>
      </c>
      <c r="L91" s="27">
        <f>IF($A91="","",TRIM(IF(ISERROR(FIND(",",$C91)),$C91,LEFT($C91,FIND(",",$C91)-1))))</f>
        <v/>
      </c>
      <c r="M91" s="28">
        <f>IF($H91="","",DATE(YEAR($H91),MONTH($H91),1))</f>
        <v/>
      </c>
      <c r="N91" s="26">
        <f>IF($H91="","",TODAY()-$H91)</f>
        <v/>
      </c>
      <c r="O91" s="15" t="n"/>
      <c r="P91" s="15" t="n"/>
      <c r="Q91" s="15" t="n"/>
      <c r="R91" s="25" t="n"/>
      <c r="S91" s="26">
        <f>IF($A91="","",AND(OR('Assignment Builder'!$B$5="",$B91='Assignment Builder'!$B$5),OR('Assignment Builder'!$B$6="",ISNUMBER(SEARCH('Assignment Builder'!$B$6,$C91))),OR('Assignment Builder'!$B$7="",'Assignment Builder'!$B$7=IFERROR(INDEX('Category Dictionary'!$C$5:$C$135,MATCH($L91,'Category Dictionary'!$D$5:$D$135,0)),"")),OR('Assignment Builder'!$B$8="",$D91='Assignment Builder'!$B$8),OR('Assignment Builder'!$B$9="",$F91='Assignment Builder'!$B$9),OR('Assignment Builder'!$B$10="",$O91='Assignment Builder'!$B$10),OR('Assignment Builder'!$B$11="",$H91&gt;='Assignment Builder'!$B$11),OR('Assignment Builder'!$B$12="",N($Q91)&lt;='Assignment Builder'!$B$12)))</f>
        <v/>
      </c>
      <c r="T91" s="23" t="n"/>
    </row>
    <row r="92">
      <c r="A92" s="23" t="n"/>
      <c r="B92" s="23" t="n"/>
      <c r="C92" s="24" t="n"/>
      <c r="D92" s="15" t="n"/>
      <c r="E92" s="23" t="n"/>
      <c r="F92" s="15" t="n"/>
      <c r="G92" s="23" t="n"/>
      <c r="H92" s="25" t="n"/>
      <c r="I92" s="15" t="n"/>
      <c r="J92" s="26">
        <f>IF($A92="","",LEN($C92)-LEN(SUBSTITUTE($C92,",",""))+1)</f>
        <v/>
      </c>
      <c r="K92" s="26">
        <f>IF($A92="","",SUMPRODUCT(--ISNUMBER(SEARCH('Category Dictionary'!$D$5:$D$135&amp;"",$C92)),--('Category Dictionary'!$D$5:$D$135&lt;&gt;"")))</f>
        <v/>
      </c>
      <c r="L92" s="27">
        <f>IF($A92="","",TRIM(IF(ISERROR(FIND(",",$C92)),$C92,LEFT($C92,FIND(",",$C92)-1))))</f>
        <v/>
      </c>
      <c r="M92" s="28">
        <f>IF($H92="","",DATE(YEAR($H92),MONTH($H92),1))</f>
        <v/>
      </c>
      <c r="N92" s="26">
        <f>IF($H92="","",TODAY()-$H92)</f>
        <v/>
      </c>
      <c r="O92" s="15" t="n"/>
      <c r="P92" s="15" t="n"/>
      <c r="Q92" s="15" t="n"/>
      <c r="R92" s="25" t="n"/>
      <c r="S92" s="26">
        <f>IF($A92="","",AND(OR('Assignment Builder'!$B$5="",$B92='Assignment Builder'!$B$5),OR('Assignment Builder'!$B$6="",ISNUMBER(SEARCH('Assignment Builder'!$B$6,$C92))),OR('Assignment Builder'!$B$7="",'Assignment Builder'!$B$7=IFERROR(INDEX('Category Dictionary'!$C$5:$C$135,MATCH($L92,'Category Dictionary'!$D$5:$D$135,0)),"")),OR('Assignment Builder'!$B$8="",$D92='Assignment Builder'!$B$8),OR('Assignment Builder'!$B$9="",$F92='Assignment Builder'!$B$9),OR('Assignment Builder'!$B$10="",$O92='Assignment Builder'!$B$10),OR('Assignment Builder'!$B$11="",$H92&gt;='Assignment Builder'!$B$11),OR('Assignment Builder'!$B$12="",N($Q92)&lt;='Assignment Builder'!$B$12)))</f>
        <v/>
      </c>
      <c r="T92" s="23" t="n"/>
    </row>
    <row r="93">
      <c r="A93" s="23" t="n"/>
      <c r="B93" s="23" t="n"/>
      <c r="C93" s="24" t="n"/>
      <c r="D93" s="15" t="n"/>
      <c r="E93" s="23" t="n"/>
      <c r="F93" s="15" t="n"/>
      <c r="G93" s="23" t="n"/>
      <c r="H93" s="25" t="n"/>
      <c r="I93" s="15" t="n"/>
      <c r="J93" s="26">
        <f>IF($A93="","",LEN($C93)-LEN(SUBSTITUTE($C93,",",""))+1)</f>
        <v/>
      </c>
      <c r="K93" s="26">
        <f>IF($A93="","",SUMPRODUCT(--ISNUMBER(SEARCH('Category Dictionary'!$D$5:$D$135&amp;"",$C93)),--('Category Dictionary'!$D$5:$D$135&lt;&gt;"")))</f>
        <v/>
      </c>
      <c r="L93" s="27">
        <f>IF($A93="","",TRIM(IF(ISERROR(FIND(",",$C93)),$C93,LEFT($C93,FIND(",",$C93)-1))))</f>
        <v/>
      </c>
      <c r="M93" s="28">
        <f>IF($H93="","",DATE(YEAR($H93),MONTH($H93),1))</f>
        <v/>
      </c>
      <c r="N93" s="26">
        <f>IF($H93="","",TODAY()-$H93)</f>
        <v/>
      </c>
      <c r="O93" s="15" t="n"/>
      <c r="P93" s="15" t="n"/>
      <c r="Q93" s="15" t="n"/>
      <c r="R93" s="25" t="n"/>
      <c r="S93" s="26">
        <f>IF($A93="","",AND(OR('Assignment Builder'!$B$5="",$B93='Assignment Builder'!$B$5),OR('Assignment Builder'!$B$6="",ISNUMBER(SEARCH('Assignment Builder'!$B$6,$C93))),OR('Assignment Builder'!$B$7="",'Assignment Builder'!$B$7=IFERROR(INDEX('Category Dictionary'!$C$5:$C$135,MATCH($L93,'Category Dictionary'!$D$5:$D$135,0)),"")),OR('Assignment Builder'!$B$8="",$D93='Assignment Builder'!$B$8),OR('Assignment Builder'!$B$9="",$F93='Assignment Builder'!$B$9),OR('Assignment Builder'!$B$10="",$O93='Assignment Builder'!$B$10),OR('Assignment Builder'!$B$11="",$H93&gt;='Assignment Builder'!$B$11),OR('Assignment Builder'!$B$12="",N($Q93)&lt;='Assignment Builder'!$B$12)))</f>
        <v/>
      </c>
      <c r="T93" s="23" t="n"/>
    </row>
    <row r="94">
      <c r="A94" s="23" t="n"/>
      <c r="B94" s="23" t="n"/>
      <c r="C94" s="24" t="n"/>
      <c r="D94" s="15" t="n"/>
      <c r="E94" s="23" t="n"/>
      <c r="F94" s="15" t="n"/>
      <c r="G94" s="23" t="n"/>
      <c r="H94" s="25" t="n"/>
      <c r="I94" s="15" t="n"/>
      <c r="J94" s="26">
        <f>IF($A94="","",LEN($C94)-LEN(SUBSTITUTE($C94,",",""))+1)</f>
        <v/>
      </c>
      <c r="K94" s="26">
        <f>IF($A94="","",SUMPRODUCT(--ISNUMBER(SEARCH('Category Dictionary'!$D$5:$D$135&amp;"",$C94)),--('Category Dictionary'!$D$5:$D$135&lt;&gt;"")))</f>
        <v/>
      </c>
      <c r="L94" s="27">
        <f>IF($A94="","",TRIM(IF(ISERROR(FIND(",",$C94)),$C94,LEFT($C94,FIND(",",$C94)-1))))</f>
        <v/>
      </c>
      <c r="M94" s="28">
        <f>IF($H94="","",DATE(YEAR($H94),MONTH($H94),1))</f>
        <v/>
      </c>
      <c r="N94" s="26">
        <f>IF($H94="","",TODAY()-$H94)</f>
        <v/>
      </c>
      <c r="O94" s="15" t="n"/>
      <c r="P94" s="15" t="n"/>
      <c r="Q94" s="15" t="n"/>
      <c r="R94" s="25" t="n"/>
      <c r="S94" s="26">
        <f>IF($A94="","",AND(OR('Assignment Builder'!$B$5="",$B94='Assignment Builder'!$B$5),OR('Assignment Builder'!$B$6="",ISNUMBER(SEARCH('Assignment Builder'!$B$6,$C94))),OR('Assignment Builder'!$B$7="",'Assignment Builder'!$B$7=IFERROR(INDEX('Category Dictionary'!$C$5:$C$135,MATCH($L94,'Category Dictionary'!$D$5:$D$135,0)),"")),OR('Assignment Builder'!$B$8="",$D94='Assignment Builder'!$B$8),OR('Assignment Builder'!$B$9="",$F94='Assignment Builder'!$B$9),OR('Assignment Builder'!$B$10="",$O94='Assignment Builder'!$B$10),OR('Assignment Builder'!$B$11="",$H94&gt;='Assignment Builder'!$B$11),OR('Assignment Builder'!$B$12="",N($Q94)&lt;='Assignment Builder'!$B$12)))</f>
        <v/>
      </c>
      <c r="T94" s="23" t="n"/>
    </row>
    <row r="95">
      <c r="A95" s="23" t="n"/>
      <c r="B95" s="23" t="n"/>
      <c r="C95" s="24" t="n"/>
      <c r="D95" s="15" t="n"/>
      <c r="E95" s="23" t="n"/>
      <c r="F95" s="15" t="n"/>
      <c r="G95" s="23" t="n"/>
      <c r="H95" s="25" t="n"/>
      <c r="I95" s="15" t="n"/>
      <c r="J95" s="26">
        <f>IF($A95="","",LEN($C95)-LEN(SUBSTITUTE($C95,",",""))+1)</f>
        <v/>
      </c>
      <c r="K95" s="26">
        <f>IF($A95="","",SUMPRODUCT(--ISNUMBER(SEARCH('Category Dictionary'!$D$5:$D$135&amp;"",$C95)),--('Category Dictionary'!$D$5:$D$135&lt;&gt;"")))</f>
        <v/>
      </c>
      <c r="L95" s="27">
        <f>IF($A95="","",TRIM(IF(ISERROR(FIND(",",$C95)),$C95,LEFT($C95,FIND(",",$C95)-1))))</f>
        <v/>
      </c>
      <c r="M95" s="28">
        <f>IF($H95="","",DATE(YEAR($H95),MONTH($H95),1))</f>
        <v/>
      </c>
      <c r="N95" s="26">
        <f>IF($H95="","",TODAY()-$H95)</f>
        <v/>
      </c>
      <c r="O95" s="15" t="n"/>
      <c r="P95" s="15" t="n"/>
      <c r="Q95" s="15" t="n"/>
      <c r="R95" s="25" t="n"/>
      <c r="S95" s="26">
        <f>IF($A95="","",AND(OR('Assignment Builder'!$B$5="",$B95='Assignment Builder'!$B$5),OR('Assignment Builder'!$B$6="",ISNUMBER(SEARCH('Assignment Builder'!$B$6,$C95))),OR('Assignment Builder'!$B$7="",'Assignment Builder'!$B$7=IFERROR(INDEX('Category Dictionary'!$C$5:$C$135,MATCH($L95,'Category Dictionary'!$D$5:$D$135,0)),"")),OR('Assignment Builder'!$B$8="",$D95='Assignment Builder'!$B$8),OR('Assignment Builder'!$B$9="",$F95='Assignment Builder'!$B$9),OR('Assignment Builder'!$B$10="",$O95='Assignment Builder'!$B$10),OR('Assignment Builder'!$B$11="",$H95&gt;='Assignment Builder'!$B$11),OR('Assignment Builder'!$B$12="",N($Q95)&lt;='Assignment Builder'!$B$12)))</f>
        <v/>
      </c>
      <c r="T95" s="23" t="n"/>
    </row>
    <row r="96">
      <c r="A96" s="23" t="n"/>
      <c r="B96" s="23" t="n"/>
      <c r="C96" s="24" t="n"/>
      <c r="D96" s="15" t="n"/>
      <c r="E96" s="23" t="n"/>
      <c r="F96" s="15" t="n"/>
      <c r="G96" s="23" t="n"/>
      <c r="H96" s="25" t="n"/>
      <c r="I96" s="15" t="n"/>
      <c r="J96" s="26">
        <f>IF($A96="","",LEN($C96)-LEN(SUBSTITUTE($C96,",",""))+1)</f>
        <v/>
      </c>
      <c r="K96" s="26">
        <f>IF($A96="","",SUMPRODUCT(--ISNUMBER(SEARCH('Category Dictionary'!$D$5:$D$135&amp;"",$C96)),--('Category Dictionary'!$D$5:$D$135&lt;&gt;"")))</f>
        <v/>
      </c>
      <c r="L96" s="27">
        <f>IF($A96="","",TRIM(IF(ISERROR(FIND(",",$C96)),$C96,LEFT($C96,FIND(",",$C96)-1))))</f>
        <v/>
      </c>
      <c r="M96" s="28">
        <f>IF($H96="","",DATE(YEAR($H96),MONTH($H96),1))</f>
        <v/>
      </c>
      <c r="N96" s="26">
        <f>IF($H96="","",TODAY()-$H96)</f>
        <v/>
      </c>
      <c r="O96" s="15" t="n"/>
      <c r="P96" s="15" t="n"/>
      <c r="Q96" s="15" t="n"/>
      <c r="R96" s="25" t="n"/>
      <c r="S96" s="26">
        <f>IF($A96="","",AND(OR('Assignment Builder'!$B$5="",$B96='Assignment Builder'!$B$5),OR('Assignment Builder'!$B$6="",ISNUMBER(SEARCH('Assignment Builder'!$B$6,$C96))),OR('Assignment Builder'!$B$7="",'Assignment Builder'!$B$7=IFERROR(INDEX('Category Dictionary'!$C$5:$C$135,MATCH($L96,'Category Dictionary'!$D$5:$D$135,0)),"")),OR('Assignment Builder'!$B$8="",$D96='Assignment Builder'!$B$8),OR('Assignment Builder'!$B$9="",$F96='Assignment Builder'!$B$9),OR('Assignment Builder'!$B$10="",$O96='Assignment Builder'!$B$10),OR('Assignment Builder'!$B$11="",$H96&gt;='Assignment Builder'!$B$11),OR('Assignment Builder'!$B$12="",N($Q96)&lt;='Assignment Builder'!$B$12)))</f>
        <v/>
      </c>
      <c r="T96" s="23" t="n"/>
    </row>
    <row r="97">
      <c r="A97" s="23" t="n"/>
      <c r="B97" s="23" t="n"/>
      <c r="C97" s="24" t="n"/>
      <c r="D97" s="15" t="n"/>
      <c r="E97" s="23" t="n"/>
      <c r="F97" s="15" t="n"/>
      <c r="G97" s="23" t="n"/>
      <c r="H97" s="25" t="n"/>
      <c r="I97" s="15" t="n"/>
      <c r="J97" s="26">
        <f>IF($A97="","",LEN($C97)-LEN(SUBSTITUTE($C97,",",""))+1)</f>
        <v/>
      </c>
      <c r="K97" s="26">
        <f>IF($A97="","",SUMPRODUCT(--ISNUMBER(SEARCH('Category Dictionary'!$D$5:$D$135&amp;"",$C97)),--('Category Dictionary'!$D$5:$D$135&lt;&gt;"")))</f>
        <v/>
      </c>
      <c r="L97" s="27">
        <f>IF($A97="","",TRIM(IF(ISERROR(FIND(",",$C97)),$C97,LEFT($C97,FIND(",",$C97)-1))))</f>
        <v/>
      </c>
      <c r="M97" s="28">
        <f>IF($H97="","",DATE(YEAR($H97),MONTH($H97),1))</f>
        <v/>
      </c>
      <c r="N97" s="26">
        <f>IF($H97="","",TODAY()-$H97)</f>
        <v/>
      </c>
      <c r="O97" s="15" t="n"/>
      <c r="P97" s="15" t="n"/>
      <c r="Q97" s="15" t="n"/>
      <c r="R97" s="25" t="n"/>
      <c r="S97" s="26">
        <f>IF($A97="","",AND(OR('Assignment Builder'!$B$5="",$B97='Assignment Builder'!$B$5),OR('Assignment Builder'!$B$6="",ISNUMBER(SEARCH('Assignment Builder'!$B$6,$C97))),OR('Assignment Builder'!$B$7="",'Assignment Builder'!$B$7=IFERROR(INDEX('Category Dictionary'!$C$5:$C$135,MATCH($L97,'Category Dictionary'!$D$5:$D$135,0)),"")),OR('Assignment Builder'!$B$8="",$D97='Assignment Builder'!$B$8),OR('Assignment Builder'!$B$9="",$F97='Assignment Builder'!$B$9),OR('Assignment Builder'!$B$10="",$O97='Assignment Builder'!$B$10),OR('Assignment Builder'!$B$11="",$H97&gt;='Assignment Builder'!$B$11),OR('Assignment Builder'!$B$12="",N($Q97)&lt;='Assignment Builder'!$B$12)))</f>
        <v/>
      </c>
      <c r="T97" s="23" t="n"/>
    </row>
    <row r="98">
      <c r="A98" s="23" t="n"/>
      <c r="B98" s="23" t="n"/>
      <c r="C98" s="24" t="n"/>
      <c r="D98" s="15" t="n"/>
      <c r="E98" s="23" t="n"/>
      <c r="F98" s="15" t="n"/>
      <c r="G98" s="23" t="n"/>
      <c r="H98" s="25" t="n"/>
      <c r="I98" s="15" t="n"/>
      <c r="J98" s="26">
        <f>IF($A98="","",LEN($C98)-LEN(SUBSTITUTE($C98,",",""))+1)</f>
        <v/>
      </c>
      <c r="K98" s="26">
        <f>IF($A98="","",SUMPRODUCT(--ISNUMBER(SEARCH('Category Dictionary'!$D$5:$D$135&amp;"",$C98)),--('Category Dictionary'!$D$5:$D$135&lt;&gt;"")))</f>
        <v/>
      </c>
      <c r="L98" s="27">
        <f>IF($A98="","",TRIM(IF(ISERROR(FIND(",",$C98)),$C98,LEFT($C98,FIND(",",$C98)-1))))</f>
        <v/>
      </c>
      <c r="M98" s="28">
        <f>IF($H98="","",DATE(YEAR($H98),MONTH($H98),1))</f>
        <v/>
      </c>
      <c r="N98" s="26">
        <f>IF($H98="","",TODAY()-$H98)</f>
        <v/>
      </c>
      <c r="O98" s="15" t="n"/>
      <c r="P98" s="15" t="n"/>
      <c r="Q98" s="15" t="n"/>
      <c r="R98" s="25" t="n"/>
      <c r="S98" s="26">
        <f>IF($A98="","",AND(OR('Assignment Builder'!$B$5="",$B98='Assignment Builder'!$B$5),OR('Assignment Builder'!$B$6="",ISNUMBER(SEARCH('Assignment Builder'!$B$6,$C98))),OR('Assignment Builder'!$B$7="",'Assignment Builder'!$B$7=IFERROR(INDEX('Category Dictionary'!$C$5:$C$135,MATCH($L98,'Category Dictionary'!$D$5:$D$135,0)),"")),OR('Assignment Builder'!$B$8="",$D98='Assignment Builder'!$B$8),OR('Assignment Builder'!$B$9="",$F98='Assignment Builder'!$B$9),OR('Assignment Builder'!$B$10="",$O98='Assignment Builder'!$B$10),OR('Assignment Builder'!$B$11="",$H98&gt;='Assignment Builder'!$B$11),OR('Assignment Builder'!$B$12="",N($Q98)&lt;='Assignment Builder'!$B$12)))</f>
        <v/>
      </c>
      <c r="T98" s="23" t="n"/>
    </row>
    <row r="99">
      <c r="A99" s="23" t="n"/>
      <c r="B99" s="23" t="n"/>
      <c r="C99" s="24" t="n"/>
      <c r="D99" s="15" t="n"/>
      <c r="E99" s="23" t="n"/>
      <c r="F99" s="15" t="n"/>
      <c r="G99" s="23" t="n"/>
      <c r="H99" s="25" t="n"/>
      <c r="I99" s="15" t="n"/>
      <c r="J99" s="26">
        <f>IF($A99="","",LEN($C99)-LEN(SUBSTITUTE($C99,",",""))+1)</f>
        <v/>
      </c>
      <c r="K99" s="26">
        <f>IF($A99="","",SUMPRODUCT(--ISNUMBER(SEARCH('Category Dictionary'!$D$5:$D$135&amp;"",$C99)),--('Category Dictionary'!$D$5:$D$135&lt;&gt;"")))</f>
        <v/>
      </c>
      <c r="L99" s="27">
        <f>IF($A99="","",TRIM(IF(ISERROR(FIND(",",$C99)),$C99,LEFT($C99,FIND(",",$C99)-1))))</f>
        <v/>
      </c>
      <c r="M99" s="28">
        <f>IF($H99="","",DATE(YEAR($H99),MONTH($H99),1))</f>
        <v/>
      </c>
      <c r="N99" s="26">
        <f>IF($H99="","",TODAY()-$H99)</f>
        <v/>
      </c>
      <c r="O99" s="15" t="n"/>
      <c r="P99" s="15" t="n"/>
      <c r="Q99" s="15" t="n"/>
      <c r="R99" s="25" t="n"/>
      <c r="S99" s="26">
        <f>IF($A99="","",AND(OR('Assignment Builder'!$B$5="",$B99='Assignment Builder'!$B$5),OR('Assignment Builder'!$B$6="",ISNUMBER(SEARCH('Assignment Builder'!$B$6,$C99))),OR('Assignment Builder'!$B$7="",'Assignment Builder'!$B$7=IFERROR(INDEX('Category Dictionary'!$C$5:$C$135,MATCH($L99,'Category Dictionary'!$D$5:$D$135,0)),"")),OR('Assignment Builder'!$B$8="",$D99='Assignment Builder'!$B$8),OR('Assignment Builder'!$B$9="",$F99='Assignment Builder'!$B$9),OR('Assignment Builder'!$B$10="",$O99='Assignment Builder'!$B$10),OR('Assignment Builder'!$B$11="",$H99&gt;='Assignment Builder'!$B$11),OR('Assignment Builder'!$B$12="",N($Q99)&lt;='Assignment Builder'!$B$12)))</f>
        <v/>
      </c>
      <c r="T99" s="23" t="n"/>
    </row>
    <row r="100">
      <c r="A100" s="23" t="n"/>
      <c r="B100" s="23" t="n"/>
      <c r="C100" s="24" t="n"/>
      <c r="D100" s="15" t="n"/>
      <c r="E100" s="23" t="n"/>
      <c r="F100" s="15" t="n"/>
      <c r="G100" s="23" t="n"/>
      <c r="H100" s="25" t="n"/>
      <c r="I100" s="15" t="n"/>
      <c r="J100" s="26">
        <f>IF($A100="","",LEN($C100)-LEN(SUBSTITUTE($C100,",",""))+1)</f>
        <v/>
      </c>
      <c r="K100" s="26">
        <f>IF($A100="","",SUMPRODUCT(--ISNUMBER(SEARCH('Category Dictionary'!$D$5:$D$135&amp;"",$C100)),--('Category Dictionary'!$D$5:$D$135&lt;&gt;"")))</f>
        <v/>
      </c>
      <c r="L100" s="27">
        <f>IF($A100="","",TRIM(IF(ISERROR(FIND(",",$C100)),$C100,LEFT($C100,FIND(",",$C100)-1))))</f>
        <v/>
      </c>
      <c r="M100" s="28">
        <f>IF($H100="","",DATE(YEAR($H100),MONTH($H100),1))</f>
        <v/>
      </c>
      <c r="N100" s="26">
        <f>IF($H100="","",TODAY()-$H100)</f>
        <v/>
      </c>
      <c r="O100" s="15" t="n"/>
      <c r="P100" s="15" t="n"/>
      <c r="Q100" s="15" t="n"/>
      <c r="R100" s="25" t="n"/>
      <c r="S100" s="26">
        <f>IF($A100="","",AND(OR('Assignment Builder'!$B$5="",$B100='Assignment Builder'!$B$5),OR('Assignment Builder'!$B$6="",ISNUMBER(SEARCH('Assignment Builder'!$B$6,$C100))),OR('Assignment Builder'!$B$7="",'Assignment Builder'!$B$7=IFERROR(INDEX('Category Dictionary'!$C$5:$C$135,MATCH($L100,'Category Dictionary'!$D$5:$D$135,0)),"")),OR('Assignment Builder'!$B$8="",$D100='Assignment Builder'!$B$8),OR('Assignment Builder'!$B$9="",$F100='Assignment Builder'!$B$9),OR('Assignment Builder'!$B$10="",$O100='Assignment Builder'!$B$10),OR('Assignment Builder'!$B$11="",$H100&gt;='Assignment Builder'!$B$11),OR('Assignment Builder'!$B$12="",N($Q100)&lt;='Assignment Builder'!$B$12)))</f>
        <v/>
      </c>
      <c r="T100" s="23" t="n"/>
    </row>
    <row r="101">
      <c r="A101" s="23" t="n"/>
      <c r="B101" s="23" t="n"/>
      <c r="C101" s="24" t="n"/>
      <c r="D101" s="15" t="n"/>
      <c r="E101" s="23" t="n"/>
      <c r="F101" s="15" t="n"/>
      <c r="G101" s="23" t="n"/>
      <c r="H101" s="25" t="n"/>
      <c r="I101" s="15" t="n"/>
      <c r="J101" s="26">
        <f>IF($A101="","",LEN($C101)-LEN(SUBSTITUTE($C101,",",""))+1)</f>
        <v/>
      </c>
      <c r="K101" s="26">
        <f>IF($A101="","",SUMPRODUCT(--ISNUMBER(SEARCH('Category Dictionary'!$D$5:$D$135&amp;"",$C101)),--('Category Dictionary'!$D$5:$D$135&lt;&gt;"")))</f>
        <v/>
      </c>
      <c r="L101" s="27">
        <f>IF($A101="","",TRIM(IF(ISERROR(FIND(",",$C101)),$C101,LEFT($C101,FIND(",",$C101)-1))))</f>
        <v/>
      </c>
      <c r="M101" s="28">
        <f>IF($H101="","",DATE(YEAR($H101),MONTH($H101),1))</f>
        <v/>
      </c>
      <c r="N101" s="26">
        <f>IF($H101="","",TODAY()-$H101)</f>
        <v/>
      </c>
      <c r="O101" s="15" t="n"/>
      <c r="P101" s="15" t="n"/>
      <c r="Q101" s="15" t="n"/>
      <c r="R101" s="25" t="n"/>
      <c r="S101" s="26">
        <f>IF($A101="","",AND(OR('Assignment Builder'!$B$5="",$B101='Assignment Builder'!$B$5),OR('Assignment Builder'!$B$6="",ISNUMBER(SEARCH('Assignment Builder'!$B$6,$C101))),OR('Assignment Builder'!$B$7="",'Assignment Builder'!$B$7=IFERROR(INDEX('Category Dictionary'!$C$5:$C$135,MATCH($L101,'Category Dictionary'!$D$5:$D$135,0)),"")),OR('Assignment Builder'!$B$8="",$D101='Assignment Builder'!$B$8),OR('Assignment Builder'!$B$9="",$F101='Assignment Builder'!$B$9),OR('Assignment Builder'!$B$10="",$O101='Assignment Builder'!$B$10),OR('Assignment Builder'!$B$11="",$H101&gt;='Assignment Builder'!$B$11),OR('Assignment Builder'!$B$12="",N($Q101)&lt;='Assignment Builder'!$B$12)))</f>
        <v/>
      </c>
      <c r="T101" s="23" t="n"/>
    </row>
    <row r="102">
      <c r="A102" s="23" t="n"/>
      <c r="B102" s="23" t="n"/>
      <c r="C102" s="24" t="n"/>
      <c r="D102" s="15" t="n"/>
      <c r="E102" s="23" t="n"/>
      <c r="F102" s="15" t="n"/>
      <c r="G102" s="23" t="n"/>
      <c r="H102" s="25" t="n"/>
      <c r="I102" s="15" t="n"/>
      <c r="J102" s="26">
        <f>IF($A102="","",LEN($C102)-LEN(SUBSTITUTE($C102,",",""))+1)</f>
        <v/>
      </c>
      <c r="K102" s="26">
        <f>IF($A102="","",SUMPRODUCT(--ISNUMBER(SEARCH('Category Dictionary'!$D$5:$D$135&amp;"",$C102)),--('Category Dictionary'!$D$5:$D$135&lt;&gt;"")))</f>
        <v/>
      </c>
      <c r="L102" s="27">
        <f>IF($A102="","",TRIM(IF(ISERROR(FIND(",",$C102)),$C102,LEFT($C102,FIND(",",$C102)-1))))</f>
        <v/>
      </c>
      <c r="M102" s="28">
        <f>IF($H102="","",DATE(YEAR($H102),MONTH($H102),1))</f>
        <v/>
      </c>
      <c r="N102" s="26">
        <f>IF($H102="","",TODAY()-$H102)</f>
        <v/>
      </c>
      <c r="O102" s="15" t="n"/>
      <c r="P102" s="15" t="n"/>
      <c r="Q102" s="15" t="n"/>
      <c r="R102" s="25" t="n"/>
      <c r="S102" s="26">
        <f>IF($A102="","",AND(OR('Assignment Builder'!$B$5="",$B102='Assignment Builder'!$B$5),OR('Assignment Builder'!$B$6="",ISNUMBER(SEARCH('Assignment Builder'!$B$6,$C102))),OR('Assignment Builder'!$B$7="",'Assignment Builder'!$B$7=IFERROR(INDEX('Category Dictionary'!$C$5:$C$135,MATCH($L102,'Category Dictionary'!$D$5:$D$135,0)),"")),OR('Assignment Builder'!$B$8="",$D102='Assignment Builder'!$B$8),OR('Assignment Builder'!$B$9="",$F102='Assignment Builder'!$B$9),OR('Assignment Builder'!$B$10="",$O102='Assignment Builder'!$B$10),OR('Assignment Builder'!$B$11="",$H102&gt;='Assignment Builder'!$B$11),OR('Assignment Builder'!$B$12="",N($Q102)&lt;='Assignment Builder'!$B$12)))</f>
        <v/>
      </c>
      <c r="T102" s="23" t="n"/>
    </row>
    <row r="103">
      <c r="A103" s="23" t="n"/>
      <c r="B103" s="23" t="n"/>
      <c r="C103" s="24" t="n"/>
      <c r="D103" s="15" t="n"/>
      <c r="E103" s="23" t="n"/>
      <c r="F103" s="15" t="n"/>
      <c r="G103" s="23" t="n"/>
      <c r="H103" s="25" t="n"/>
      <c r="I103" s="15" t="n"/>
      <c r="J103" s="26">
        <f>IF($A103="","",LEN($C103)-LEN(SUBSTITUTE($C103,",",""))+1)</f>
        <v/>
      </c>
      <c r="K103" s="26">
        <f>IF($A103="","",SUMPRODUCT(--ISNUMBER(SEARCH('Category Dictionary'!$D$5:$D$135&amp;"",$C103)),--('Category Dictionary'!$D$5:$D$135&lt;&gt;"")))</f>
        <v/>
      </c>
      <c r="L103" s="27">
        <f>IF($A103="","",TRIM(IF(ISERROR(FIND(",",$C103)),$C103,LEFT($C103,FIND(",",$C103)-1))))</f>
        <v/>
      </c>
      <c r="M103" s="28">
        <f>IF($H103="","",DATE(YEAR($H103),MONTH($H103),1))</f>
        <v/>
      </c>
      <c r="N103" s="26">
        <f>IF($H103="","",TODAY()-$H103)</f>
        <v/>
      </c>
      <c r="O103" s="15" t="n"/>
      <c r="P103" s="15" t="n"/>
      <c r="Q103" s="15" t="n"/>
      <c r="R103" s="25" t="n"/>
      <c r="S103" s="26">
        <f>IF($A103="","",AND(OR('Assignment Builder'!$B$5="",$B103='Assignment Builder'!$B$5),OR('Assignment Builder'!$B$6="",ISNUMBER(SEARCH('Assignment Builder'!$B$6,$C103))),OR('Assignment Builder'!$B$7="",'Assignment Builder'!$B$7=IFERROR(INDEX('Category Dictionary'!$C$5:$C$135,MATCH($L103,'Category Dictionary'!$D$5:$D$135,0)),"")),OR('Assignment Builder'!$B$8="",$D103='Assignment Builder'!$B$8),OR('Assignment Builder'!$B$9="",$F103='Assignment Builder'!$B$9),OR('Assignment Builder'!$B$10="",$O103='Assignment Builder'!$B$10),OR('Assignment Builder'!$B$11="",$H103&gt;='Assignment Builder'!$B$11),OR('Assignment Builder'!$B$12="",N($Q103)&lt;='Assignment Builder'!$B$12)))</f>
        <v/>
      </c>
      <c r="T103" s="23" t="n"/>
    </row>
    <row r="104">
      <c r="A104" s="23" t="n"/>
      <c r="B104" s="23" t="n"/>
      <c r="C104" s="24" t="n"/>
      <c r="D104" s="15" t="n"/>
      <c r="E104" s="23" t="n"/>
      <c r="F104" s="15" t="n"/>
      <c r="G104" s="23" t="n"/>
      <c r="H104" s="25" t="n"/>
      <c r="I104" s="15" t="n"/>
      <c r="J104" s="26">
        <f>IF($A104="","",LEN($C104)-LEN(SUBSTITUTE($C104,",",""))+1)</f>
        <v/>
      </c>
      <c r="K104" s="26">
        <f>IF($A104="","",SUMPRODUCT(--ISNUMBER(SEARCH('Category Dictionary'!$D$5:$D$135&amp;"",$C104)),--('Category Dictionary'!$D$5:$D$135&lt;&gt;"")))</f>
        <v/>
      </c>
      <c r="L104" s="27">
        <f>IF($A104="","",TRIM(IF(ISERROR(FIND(",",$C104)),$C104,LEFT($C104,FIND(",",$C104)-1))))</f>
        <v/>
      </c>
      <c r="M104" s="28">
        <f>IF($H104="","",DATE(YEAR($H104),MONTH($H104),1))</f>
        <v/>
      </c>
      <c r="N104" s="26">
        <f>IF($H104="","",TODAY()-$H104)</f>
        <v/>
      </c>
      <c r="O104" s="15" t="n"/>
      <c r="P104" s="15" t="n"/>
      <c r="Q104" s="15" t="n"/>
      <c r="R104" s="25" t="n"/>
      <c r="S104" s="26">
        <f>IF($A104="","",AND(OR('Assignment Builder'!$B$5="",$B104='Assignment Builder'!$B$5),OR('Assignment Builder'!$B$6="",ISNUMBER(SEARCH('Assignment Builder'!$B$6,$C104))),OR('Assignment Builder'!$B$7="",'Assignment Builder'!$B$7=IFERROR(INDEX('Category Dictionary'!$C$5:$C$135,MATCH($L104,'Category Dictionary'!$D$5:$D$135,0)),"")),OR('Assignment Builder'!$B$8="",$D104='Assignment Builder'!$B$8),OR('Assignment Builder'!$B$9="",$F104='Assignment Builder'!$B$9),OR('Assignment Builder'!$B$10="",$O104='Assignment Builder'!$B$10),OR('Assignment Builder'!$B$11="",$H104&gt;='Assignment Builder'!$B$11),OR('Assignment Builder'!$B$12="",N($Q104)&lt;='Assignment Builder'!$B$12)))</f>
        <v/>
      </c>
      <c r="T104" s="23" t="n"/>
    </row>
    <row r="105">
      <c r="A105" s="23" t="n"/>
      <c r="B105" s="23" t="n"/>
      <c r="C105" s="24" t="n"/>
      <c r="D105" s="15" t="n"/>
      <c r="E105" s="23" t="n"/>
      <c r="F105" s="15" t="n"/>
      <c r="G105" s="23" t="n"/>
      <c r="H105" s="25" t="n"/>
      <c r="I105" s="15" t="n"/>
      <c r="J105" s="26">
        <f>IF($A105="","",LEN($C105)-LEN(SUBSTITUTE($C105,",",""))+1)</f>
        <v/>
      </c>
      <c r="K105" s="26">
        <f>IF($A105="","",SUMPRODUCT(--ISNUMBER(SEARCH('Category Dictionary'!$D$5:$D$135&amp;"",$C105)),--('Category Dictionary'!$D$5:$D$135&lt;&gt;"")))</f>
        <v/>
      </c>
      <c r="L105" s="27">
        <f>IF($A105="","",TRIM(IF(ISERROR(FIND(",",$C105)),$C105,LEFT($C105,FIND(",",$C105)-1))))</f>
        <v/>
      </c>
      <c r="M105" s="28">
        <f>IF($H105="","",DATE(YEAR($H105),MONTH($H105),1))</f>
        <v/>
      </c>
      <c r="N105" s="26">
        <f>IF($H105="","",TODAY()-$H105)</f>
        <v/>
      </c>
      <c r="O105" s="15" t="n"/>
      <c r="P105" s="15" t="n"/>
      <c r="Q105" s="15" t="n"/>
      <c r="R105" s="25" t="n"/>
      <c r="S105" s="26">
        <f>IF($A105="","",AND(OR('Assignment Builder'!$B$5="",$B105='Assignment Builder'!$B$5),OR('Assignment Builder'!$B$6="",ISNUMBER(SEARCH('Assignment Builder'!$B$6,$C105))),OR('Assignment Builder'!$B$7="",'Assignment Builder'!$B$7=IFERROR(INDEX('Category Dictionary'!$C$5:$C$135,MATCH($L105,'Category Dictionary'!$D$5:$D$135,0)),"")),OR('Assignment Builder'!$B$8="",$D105='Assignment Builder'!$B$8),OR('Assignment Builder'!$B$9="",$F105='Assignment Builder'!$B$9),OR('Assignment Builder'!$B$10="",$O105='Assignment Builder'!$B$10),OR('Assignment Builder'!$B$11="",$H105&gt;='Assignment Builder'!$B$11),OR('Assignment Builder'!$B$12="",N($Q105)&lt;='Assignment Builder'!$B$12)))</f>
        <v/>
      </c>
      <c r="T105" s="23" t="n"/>
    </row>
    <row r="106">
      <c r="A106" s="23" t="n"/>
      <c r="B106" s="23" t="n"/>
      <c r="C106" s="24" t="n"/>
      <c r="D106" s="15" t="n"/>
      <c r="E106" s="23" t="n"/>
      <c r="F106" s="15" t="n"/>
      <c r="G106" s="23" t="n"/>
      <c r="H106" s="25" t="n"/>
      <c r="I106" s="15" t="n"/>
      <c r="J106" s="26">
        <f>IF($A106="","",LEN($C106)-LEN(SUBSTITUTE($C106,",",""))+1)</f>
        <v/>
      </c>
      <c r="K106" s="26">
        <f>IF($A106="","",SUMPRODUCT(--ISNUMBER(SEARCH('Category Dictionary'!$D$5:$D$135&amp;"",$C106)),--('Category Dictionary'!$D$5:$D$135&lt;&gt;"")))</f>
        <v/>
      </c>
      <c r="L106" s="27">
        <f>IF($A106="","",TRIM(IF(ISERROR(FIND(",",$C106)),$C106,LEFT($C106,FIND(",",$C106)-1))))</f>
        <v/>
      </c>
      <c r="M106" s="28">
        <f>IF($H106="","",DATE(YEAR($H106),MONTH($H106),1))</f>
        <v/>
      </c>
      <c r="N106" s="26">
        <f>IF($H106="","",TODAY()-$H106)</f>
        <v/>
      </c>
      <c r="O106" s="15" t="n"/>
      <c r="P106" s="15" t="n"/>
      <c r="Q106" s="15" t="n"/>
      <c r="R106" s="25" t="n"/>
      <c r="S106" s="26">
        <f>IF($A106="","",AND(OR('Assignment Builder'!$B$5="",$B106='Assignment Builder'!$B$5),OR('Assignment Builder'!$B$6="",ISNUMBER(SEARCH('Assignment Builder'!$B$6,$C106))),OR('Assignment Builder'!$B$7="",'Assignment Builder'!$B$7=IFERROR(INDEX('Category Dictionary'!$C$5:$C$135,MATCH($L106,'Category Dictionary'!$D$5:$D$135,0)),"")),OR('Assignment Builder'!$B$8="",$D106='Assignment Builder'!$B$8),OR('Assignment Builder'!$B$9="",$F106='Assignment Builder'!$B$9),OR('Assignment Builder'!$B$10="",$O106='Assignment Builder'!$B$10),OR('Assignment Builder'!$B$11="",$H106&gt;='Assignment Builder'!$B$11),OR('Assignment Builder'!$B$12="",N($Q106)&lt;='Assignment Builder'!$B$12)))</f>
        <v/>
      </c>
      <c r="T106" s="23" t="n"/>
    </row>
    <row r="107">
      <c r="A107" s="23" t="n"/>
      <c r="B107" s="23" t="n"/>
      <c r="C107" s="24" t="n"/>
      <c r="D107" s="15" t="n"/>
      <c r="E107" s="23" t="n"/>
      <c r="F107" s="15" t="n"/>
      <c r="G107" s="23" t="n"/>
      <c r="H107" s="25" t="n"/>
      <c r="I107" s="15" t="n"/>
      <c r="J107" s="26">
        <f>IF($A107="","",LEN($C107)-LEN(SUBSTITUTE($C107,",",""))+1)</f>
        <v/>
      </c>
      <c r="K107" s="26">
        <f>IF($A107="","",SUMPRODUCT(--ISNUMBER(SEARCH('Category Dictionary'!$D$5:$D$135&amp;"",$C107)),--('Category Dictionary'!$D$5:$D$135&lt;&gt;"")))</f>
        <v/>
      </c>
      <c r="L107" s="27">
        <f>IF($A107="","",TRIM(IF(ISERROR(FIND(",",$C107)),$C107,LEFT($C107,FIND(",",$C107)-1))))</f>
        <v/>
      </c>
      <c r="M107" s="28">
        <f>IF($H107="","",DATE(YEAR($H107),MONTH($H107),1))</f>
        <v/>
      </c>
      <c r="N107" s="26">
        <f>IF($H107="","",TODAY()-$H107)</f>
        <v/>
      </c>
      <c r="O107" s="15" t="n"/>
      <c r="P107" s="15" t="n"/>
      <c r="Q107" s="15" t="n"/>
      <c r="R107" s="25" t="n"/>
      <c r="S107" s="26">
        <f>IF($A107="","",AND(OR('Assignment Builder'!$B$5="",$B107='Assignment Builder'!$B$5),OR('Assignment Builder'!$B$6="",ISNUMBER(SEARCH('Assignment Builder'!$B$6,$C107))),OR('Assignment Builder'!$B$7="",'Assignment Builder'!$B$7=IFERROR(INDEX('Category Dictionary'!$C$5:$C$135,MATCH($L107,'Category Dictionary'!$D$5:$D$135,0)),"")),OR('Assignment Builder'!$B$8="",$D107='Assignment Builder'!$B$8),OR('Assignment Builder'!$B$9="",$F107='Assignment Builder'!$B$9),OR('Assignment Builder'!$B$10="",$O107='Assignment Builder'!$B$10),OR('Assignment Builder'!$B$11="",$H107&gt;='Assignment Builder'!$B$11),OR('Assignment Builder'!$B$12="",N($Q107)&lt;='Assignment Builder'!$B$12)))</f>
        <v/>
      </c>
      <c r="T107" s="23" t="n"/>
    </row>
    <row r="108">
      <c r="A108" s="23" t="n"/>
      <c r="B108" s="23" t="n"/>
      <c r="C108" s="24" t="n"/>
      <c r="D108" s="15" t="n"/>
      <c r="E108" s="23" t="n"/>
      <c r="F108" s="15" t="n"/>
      <c r="G108" s="23" t="n"/>
      <c r="H108" s="25" t="n"/>
      <c r="I108" s="15" t="n"/>
      <c r="J108" s="26">
        <f>IF($A108="","",LEN($C108)-LEN(SUBSTITUTE($C108,",",""))+1)</f>
        <v/>
      </c>
      <c r="K108" s="26">
        <f>IF($A108="","",SUMPRODUCT(--ISNUMBER(SEARCH('Category Dictionary'!$D$5:$D$135&amp;"",$C108)),--('Category Dictionary'!$D$5:$D$135&lt;&gt;"")))</f>
        <v/>
      </c>
      <c r="L108" s="27">
        <f>IF($A108="","",TRIM(IF(ISERROR(FIND(",",$C108)),$C108,LEFT($C108,FIND(",",$C108)-1))))</f>
        <v/>
      </c>
      <c r="M108" s="28">
        <f>IF($H108="","",DATE(YEAR($H108),MONTH($H108),1))</f>
        <v/>
      </c>
      <c r="N108" s="26">
        <f>IF($H108="","",TODAY()-$H108)</f>
        <v/>
      </c>
      <c r="O108" s="15" t="n"/>
      <c r="P108" s="15" t="n"/>
      <c r="Q108" s="15" t="n"/>
      <c r="R108" s="25" t="n"/>
      <c r="S108" s="26">
        <f>IF($A108="","",AND(OR('Assignment Builder'!$B$5="",$B108='Assignment Builder'!$B$5),OR('Assignment Builder'!$B$6="",ISNUMBER(SEARCH('Assignment Builder'!$B$6,$C108))),OR('Assignment Builder'!$B$7="",'Assignment Builder'!$B$7=IFERROR(INDEX('Category Dictionary'!$C$5:$C$135,MATCH($L108,'Category Dictionary'!$D$5:$D$135,0)),"")),OR('Assignment Builder'!$B$8="",$D108='Assignment Builder'!$B$8),OR('Assignment Builder'!$B$9="",$F108='Assignment Builder'!$B$9),OR('Assignment Builder'!$B$10="",$O108='Assignment Builder'!$B$10),OR('Assignment Builder'!$B$11="",$H108&gt;='Assignment Builder'!$B$11),OR('Assignment Builder'!$B$12="",N($Q108)&lt;='Assignment Builder'!$B$12)))</f>
        <v/>
      </c>
      <c r="T108" s="23" t="n"/>
    </row>
    <row r="109">
      <c r="A109" s="23" t="n"/>
      <c r="B109" s="23" t="n"/>
      <c r="C109" s="24" t="n"/>
      <c r="D109" s="15" t="n"/>
      <c r="E109" s="23" t="n"/>
      <c r="F109" s="15" t="n"/>
      <c r="G109" s="23" t="n"/>
      <c r="H109" s="25" t="n"/>
      <c r="I109" s="15" t="n"/>
      <c r="J109" s="26">
        <f>IF($A109="","",LEN($C109)-LEN(SUBSTITUTE($C109,",",""))+1)</f>
        <v/>
      </c>
      <c r="K109" s="26">
        <f>IF($A109="","",SUMPRODUCT(--ISNUMBER(SEARCH('Category Dictionary'!$D$5:$D$135&amp;"",$C109)),--('Category Dictionary'!$D$5:$D$135&lt;&gt;"")))</f>
        <v/>
      </c>
      <c r="L109" s="27">
        <f>IF($A109="","",TRIM(IF(ISERROR(FIND(",",$C109)),$C109,LEFT($C109,FIND(",",$C109)-1))))</f>
        <v/>
      </c>
      <c r="M109" s="28">
        <f>IF($H109="","",DATE(YEAR($H109),MONTH($H109),1))</f>
        <v/>
      </c>
      <c r="N109" s="26">
        <f>IF($H109="","",TODAY()-$H109)</f>
        <v/>
      </c>
      <c r="O109" s="15" t="n"/>
      <c r="P109" s="15" t="n"/>
      <c r="Q109" s="15" t="n"/>
      <c r="R109" s="25" t="n"/>
      <c r="S109" s="26">
        <f>IF($A109="","",AND(OR('Assignment Builder'!$B$5="",$B109='Assignment Builder'!$B$5),OR('Assignment Builder'!$B$6="",ISNUMBER(SEARCH('Assignment Builder'!$B$6,$C109))),OR('Assignment Builder'!$B$7="",'Assignment Builder'!$B$7=IFERROR(INDEX('Category Dictionary'!$C$5:$C$135,MATCH($L109,'Category Dictionary'!$D$5:$D$135,0)),"")),OR('Assignment Builder'!$B$8="",$D109='Assignment Builder'!$B$8),OR('Assignment Builder'!$B$9="",$F109='Assignment Builder'!$B$9),OR('Assignment Builder'!$B$10="",$O109='Assignment Builder'!$B$10),OR('Assignment Builder'!$B$11="",$H109&gt;='Assignment Builder'!$B$11),OR('Assignment Builder'!$B$12="",N($Q109)&lt;='Assignment Builder'!$B$12)))</f>
        <v/>
      </c>
      <c r="T109" s="23" t="n"/>
    </row>
    <row r="110">
      <c r="A110" s="23" t="n"/>
      <c r="B110" s="23" t="n"/>
      <c r="C110" s="24" t="n"/>
      <c r="D110" s="15" t="n"/>
      <c r="E110" s="23" t="n"/>
      <c r="F110" s="15" t="n"/>
      <c r="G110" s="23" t="n"/>
      <c r="H110" s="25" t="n"/>
      <c r="I110" s="15" t="n"/>
      <c r="J110" s="26">
        <f>IF($A110="","",LEN($C110)-LEN(SUBSTITUTE($C110,",",""))+1)</f>
        <v/>
      </c>
      <c r="K110" s="26">
        <f>IF($A110="","",SUMPRODUCT(--ISNUMBER(SEARCH('Category Dictionary'!$D$5:$D$135&amp;"",$C110)),--('Category Dictionary'!$D$5:$D$135&lt;&gt;"")))</f>
        <v/>
      </c>
      <c r="L110" s="27">
        <f>IF($A110="","",TRIM(IF(ISERROR(FIND(",",$C110)),$C110,LEFT($C110,FIND(",",$C110)-1))))</f>
        <v/>
      </c>
      <c r="M110" s="28">
        <f>IF($H110="","",DATE(YEAR($H110),MONTH($H110),1))</f>
        <v/>
      </c>
      <c r="N110" s="26">
        <f>IF($H110="","",TODAY()-$H110)</f>
        <v/>
      </c>
      <c r="O110" s="15" t="n"/>
      <c r="P110" s="15" t="n"/>
      <c r="Q110" s="15" t="n"/>
      <c r="R110" s="25" t="n"/>
      <c r="S110" s="26">
        <f>IF($A110="","",AND(OR('Assignment Builder'!$B$5="",$B110='Assignment Builder'!$B$5),OR('Assignment Builder'!$B$6="",ISNUMBER(SEARCH('Assignment Builder'!$B$6,$C110))),OR('Assignment Builder'!$B$7="",'Assignment Builder'!$B$7=IFERROR(INDEX('Category Dictionary'!$C$5:$C$135,MATCH($L110,'Category Dictionary'!$D$5:$D$135,0)),"")),OR('Assignment Builder'!$B$8="",$D110='Assignment Builder'!$B$8),OR('Assignment Builder'!$B$9="",$F110='Assignment Builder'!$B$9),OR('Assignment Builder'!$B$10="",$O110='Assignment Builder'!$B$10),OR('Assignment Builder'!$B$11="",$H110&gt;='Assignment Builder'!$B$11),OR('Assignment Builder'!$B$12="",N($Q110)&lt;='Assignment Builder'!$B$12)))</f>
        <v/>
      </c>
      <c r="T110" s="23" t="n"/>
    </row>
    <row r="111">
      <c r="A111" s="23" t="n"/>
      <c r="B111" s="23" t="n"/>
      <c r="C111" s="24" t="n"/>
      <c r="D111" s="15" t="n"/>
      <c r="E111" s="23" t="n"/>
      <c r="F111" s="15" t="n"/>
      <c r="G111" s="23" t="n"/>
      <c r="H111" s="25" t="n"/>
      <c r="I111" s="15" t="n"/>
      <c r="J111" s="26">
        <f>IF($A111="","",LEN($C111)-LEN(SUBSTITUTE($C111,",",""))+1)</f>
        <v/>
      </c>
      <c r="K111" s="26">
        <f>IF($A111="","",SUMPRODUCT(--ISNUMBER(SEARCH('Category Dictionary'!$D$5:$D$135&amp;"",$C111)),--('Category Dictionary'!$D$5:$D$135&lt;&gt;"")))</f>
        <v/>
      </c>
      <c r="L111" s="27">
        <f>IF($A111="","",TRIM(IF(ISERROR(FIND(",",$C111)),$C111,LEFT($C111,FIND(",",$C111)-1))))</f>
        <v/>
      </c>
      <c r="M111" s="28">
        <f>IF($H111="","",DATE(YEAR($H111),MONTH($H111),1))</f>
        <v/>
      </c>
      <c r="N111" s="26">
        <f>IF($H111="","",TODAY()-$H111)</f>
        <v/>
      </c>
      <c r="O111" s="15" t="n"/>
      <c r="P111" s="15" t="n"/>
      <c r="Q111" s="15" t="n"/>
      <c r="R111" s="25" t="n"/>
      <c r="S111" s="26">
        <f>IF($A111="","",AND(OR('Assignment Builder'!$B$5="",$B111='Assignment Builder'!$B$5),OR('Assignment Builder'!$B$6="",ISNUMBER(SEARCH('Assignment Builder'!$B$6,$C111))),OR('Assignment Builder'!$B$7="",'Assignment Builder'!$B$7=IFERROR(INDEX('Category Dictionary'!$C$5:$C$135,MATCH($L111,'Category Dictionary'!$D$5:$D$135,0)),"")),OR('Assignment Builder'!$B$8="",$D111='Assignment Builder'!$B$8),OR('Assignment Builder'!$B$9="",$F111='Assignment Builder'!$B$9),OR('Assignment Builder'!$B$10="",$O111='Assignment Builder'!$B$10),OR('Assignment Builder'!$B$11="",$H111&gt;='Assignment Builder'!$B$11),OR('Assignment Builder'!$B$12="",N($Q111)&lt;='Assignment Builder'!$B$12)))</f>
        <v/>
      </c>
      <c r="T111" s="23" t="n"/>
    </row>
    <row r="112">
      <c r="A112" s="23" t="n"/>
      <c r="B112" s="23" t="n"/>
      <c r="C112" s="24" t="n"/>
      <c r="D112" s="15" t="n"/>
      <c r="E112" s="23" t="n"/>
      <c r="F112" s="15" t="n"/>
      <c r="G112" s="23" t="n"/>
      <c r="H112" s="25" t="n"/>
      <c r="I112" s="15" t="n"/>
      <c r="J112" s="26">
        <f>IF($A112="","",LEN($C112)-LEN(SUBSTITUTE($C112,",",""))+1)</f>
        <v/>
      </c>
      <c r="K112" s="26">
        <f>IF($A112="","",SUMPRODUCT(--ISNUMBER(SEARCH('Category Dictionary'!$D$5:$D$135&amp;"",$C112)),--('Category Dictionary'!$D$5:$D$135&lt;&gt;"")))</f>
        <v/>
      </c>
      <c r="L112" s="27">
        <f>IF($A112="","",TRIM(IF(ISERROR(FIND(",",$C112)),$C112,LEFT($C112,FIND(",",$C112)-1))))</f>
        <v/>
      </c>
      <c r="M112" s="28">
        <f>IF($H112="","",DATE(YEAR($H112),MONTH($H112),1))</f>
        <v/>
      </c>
      <c r="N112" s="26">
        <f>IF($H112="","",TODAY()-$H112)</f>
        <v/>
      </c>
      <c r="O112" s="15" t="n"/>
      <c r="P112" s="15" t="n"/>
      <c r="Q112" s="15" t="n"/>
      <c r="R112" s="25" t="n"/>
      <c r="S112" s="26">
        <f>IF($A112="","",AND(OR('Assignment Builder'!$B$5="",$B112='Assignment Builder'!$B$5),OR('Assignment Builder'!$B$6="",ISNUMBER(SEARCH('Assignment Builder'!$B$6,$C112))),OR('Assignment Builder'!$B$7="",'Assignment Builder'!$B$7=IFERROR(INDEX('Category Dictionary'!$C$5:$C$135,MATCH($L112,'Category Dictionary'!$D$5:$D$135,0)),"")),OR('Assignment Builder'!$B$8="",$D112='Assignment Builder'!$B$8),OR('Assignment Builder'!$B$9="",$F112='Assignment Builder'!$B$9),OR('Assignment Builder'!$B$10="",$O112='Assignment Builder'!$B$10),OR('Assignment Builder'!$B$11="",$H112&gt;='Assignment Builder'!$B$11),OR('Assignment Builder'!$B$12="",N($Q112)&lt;='Assignment Builder'!$B$12)))</f>
        <v/>
      </c>
      <c r="T112" s="23" t="n"/>
    </row>
    <row r="113">
      <c r="A113" s="23" t="n"/>
      <c r="B113" s="23" t="n"/>
      <c r="C113" s="24" t="n"/>
      <c r="D113" s="15" t="n"/>
      <c r="E113" s="23" t="n"/>
      <c r="F113" s="15" t="n"/>
      <c r="G113" s="23" t="n"/>
      <c r="H113" s="25" t="n"/>
      <c r="I113" s="15" t="n"/>
      <c r="J113" s="26">
        <f>IF($A113="","",LEN($C113)-LEN(SUBSTITUTE($C113,",",""))+1)</f>
        <v/>
      </c>
      <c r="K113" s="26">
        <f>IF($A113="","",SUMPRODUCT(--ISNUMBER(SEARCH('Category Dictionary'!$D$5:$D$135&amp;"",$C113)),--('Category Dictionary'!$D$5:$D$135&lt;&gt;"")))</f>
        <v/>
      </c>
      <c r="L113" s="27">
        <f>IF($A113="","",TRIM(IF(ISERROR(FIND(",",$C113)),$C113,LEFT($C113,FIND(",",$C113)-1))))</f>
        <v/>
      </c>
      <c r="M113" s="28">
        <f>IF($H113="","",DATE(YEAR($H113),MONTH($H113),1))</f>
        <v/>
      </c>
      <c r="N113" s="26">
        <f>IF($H113="","",TODAY()-$H113)</f>
        <v/>
      </c>
      <c r="O113" s="15" t="n"/>
      <c r="P113" s="15" t="n"/>
      <c r="Q113" s="15" t="n"/>
      <c r="R113" s="25" t="n"/>
      <c r="S113" s="26">
        <f>IF($A113="","",AND(OR('Assignment Builder'!$B$5="",$B113='Assignment Builder'!$B$5),OR('Assignment Builder'!$B$6="",ISNUMBER(SEARCH('Assignment Builder'!$B$6,$C113))),OR('Assignment Builder'!$B$7="",'Assignment Builder'!$B$7=IFERROR(INDEX('Category Dictionary'!$C$5:$C$135,MATCH($L113,'Category Dictionary'!$D$5:$D$135,0)),"")),OR('Assignment Builder'!$B$8="",$D113='Assignment Builder'!$B$8),OR('Assignment Builder'!$B$9="",$F113='Assignment Builder'!$B$9),OR('Assignment Builder'!$B$10="",$O113='Assignment Builder'!$B$10),OR('Assignment Builder'!$B$11="",$H113&gt;='Assignment Builder'!$B$11),OR('Assignment Builder'!$B$12="",N($Q113)&lt;='Assignment Builder'!$B$12)))</f>
        <v/>
      </c>
      <c r="T113" s="23" t="n"/>
    </row>
    <row r="114">
      <c r="A114" s="23" t="n"/>
      <c r="B114" s="23" t="n"/>
      <c r="C114" s="24" t="n"/>
      <c r="D114" s="15" t="n"/>
      <c r="E114" s="23" t="n"/>
      <c r="F114" s="15" t="n"/>
      <c r="G114" s="23" t="n"/>
      <c r="H114" s="25" t="n"/>
      <c r="I114" s="15" t="n"/>
      <c r="J114" s="26">
        <f>IF($A114="","",LEN($C114)-LEN(SUBSTITUTE($C114,",",""))+1)</f>
        <v/>
      </c>
      <c r="K114" s="26">
        <f>IF($A114="","",SUMPRODUCT(--ISNUMBER(SEARCH('Category Dictionary'!$D$5:$D$135&amp;"",$C114)),--('Category Dictionary'!$D$5:$D$135&lt;&gt;"")))</f>
        <v/>
      </c>
      <c r="L114" s="27">
        <f>IF($A114="","",TRIM(IF(ISERROR(FIND(",",$C114)),$C114,LEFT($C114,FIND(",",$C114)-1))))</f>
        <v/>
      </c>
      <c r="M114" s="28">
        <f>IF($H114="","",DATE(YEAR($H114),MONTH($H114),1))</f>
        <v/>
      </c>
      <c r="N114" s="26">
        <f>IF($H114="","",TODAY()-$H114)</f>
        <v/>
      </c>
      <c r="O114" s="15" t="n"/>
      <c r="P114" s="15" t="n"/>
      <c r="Q114" s="15" t="n"/>
      <c r="R114" s="25" t="n"/>
      <c r="S114" s="26">
        <f>IF($A114="","",AND(OR('Assignment Builder'!$B$5="",$B114='Assignment Builder'!$B$5),OR('Assignment Builder'!$B$6="",ISNUMBER(SEARCH('Assignment Builder'!$B$6,$C114))),OR('Assignment Builder'!$B$7="",'Assignment Builder'!$B$7=IFERROR(INDEX('Category Dictionary'!$C$5:$C$135,MATCH($L114,'Category Dictionary'!$D$5:$D$135,0)),"")),OR('Assignment Builder'!$B$8="",$D114='Assignment Builder'!$B$8),OR('Assignment Builder'!$B$9="",$F114='Assignment Builder'!$B$9),OR('Assignment Builder'!$B$10="",$O114='Assignment Builder'!$B$10),OR('Assignment Builder'!$B$11="",$H114&gt;='Assignment Builder'!$B$11),OR('Assignment Builder'!$B$12="",N($Q114)&lt;='Assignment Builder'!$B$12)))</f>
        <v/>
      </c>
      <c r="T114" s="23" t="n"/>
    </row>
    <row r="115">
      <c r="A115" s="23" t="n"/>
      <c r="B115" s="23" t="n"/>
      <c r="C115" s="24" t="n"/>
      <c r="D115" s="15" t="n"/>
      <c r="E115" s="23" t="n"/>
      <c r="F115" s="15" t="n"/>
      <c r="G115" s="23" t="n"/>
      <c r="H115" s="25" t="n"/>
      <c r="I115" s="15" t="n"/>
      <c r="J115" s="26">
        <f>IF($A115="","",LEN($C115)-LEN(SUBSTITUTE($C115,",",""))+1)</f>
        <v/>
      </c>
      <c r="K115" s="26">
        <f>IF($A115="","",SUMPRODUCT(--ISNUMBER(SEARCH('Category Dictionary'!$D$5:$D$135&amp;"",$C115)),--('Category Dictionary'!$D$5:$D$135&lt;&gt;"")))</f>
        <v/>
      </c>
      <c r="L115" s="27">
        <f>IF($A115="","",TRIM(IF(ISERROR(FIND(",",$C115)),$C115,LEFT($C115,FIND(",",$C115)-1))))</f>
        <v/>
      </c>
      <c r="M115" s="28">
        <f>IF($H115="","",DATE(YEAR($H115),MONTH($H115),1))</f>
        <v/>
      </c>
      <c r="N115" s="26">
        <f>IF($H115="","",TODAY()-$H115)</f>
        <v/>
      </c>
      <c r="O115" s="15" t="n"/>
      <c r="P115" s="15" t="n"/>
      <c r="Q115" s="15" t="n"/>
      <c r="R115" s="25" t="n"/>
      <c r="S115" s="26">
        <f>IF($A115="","",AND(OR('Assignment Builder'!$B$5="",$B115='Assignment Builder'!$B$5),OR('Assignment Builder'!$B$6="",ISNUMBER(SEARCH('Assignment Builder'!$B$6,$C115))),OR('Assignment Builder'!$B$7="",'Assignment Builder'!$B$7=IFERROR(INDEX('Category Dictionary'!$C$5:$C$135,MATCH($L115,'Category Dictionary'!$D$5:$D$135,0)),"")),OR('Assignment Builder'!$B$8="",$D115='Assignment Builder'!$B$8),OR('Assignment Builder'!$B$9="",$F115='Assignment Builder'!$B$9),OR('Assignment Builder'!$B$10="",$O115='Assignment Builder'!$B$10),OR('Assignment Builder'!$B$11="",$H115&gt;='Assignment Builder'!$B$11),OR('Assignment Builder'!$B$12="",N($Q115)&lt;='Assignment Builder'!$B$12)))</f>
        <v/>
      </c>
      <c r="T115" s="23" t="n"/>
    </row>
    <row r="116">
      <c r="A116" s="23" t="n"/>
      <c r="B116" s="23" t="n"/>
      <c r="C116" s="24" t="n"/>
      <c r="D116" s="15" t="n"/>
      <c r="E116" s="23" t="n"/>
      <c r="F116" s="15" t="n"/>
      <c r="G116" s="23" t="n"/>
      <c r="H116" s="25" t="n"/>
      <c r="I116" s="15" t="n"/>
      <c r="J116" s="26">
        <f>IF($A116="","",LEN($C116)-LEN(SUBSTITUTE($C116,",",""))+1)</f>
        <v/>
      </c>
      <c r="K116" s="26">
        <f>IF($A116="","",SUMPRODUCT(--ISNUMBER(SEARCH('Category Dictionary'!$D$5:$D$135&amp;"",$C116)),--('Category Dictionary'!$D$5:$D$135&lt;&gt;"")))</f>
        <v/>
      </c>
      <c r="L116" s="27">
        <f>IF($A116="","",TRIM(IF(ISERROR(FIND(",",$C116)),$C116,LEFT($C116,FIND(",",$C116)-1))))</f>
        <v/>
      </c>
      <c r="M116" s="28">
        <f>IF($H116="","",DATE(YEAR($H116),MONTH($H116),1))</f>
        <v/>
      </c>
      <c r="N116" s="26">
        <f>IF($H116="","",TODAY()-$H116)</f>
        <v/>
      </c>
      <c r="O116" s="15" t="n"/>
      <c r="P116" s="15" t="n"/>
      <c r="Q116" s="15" t="n"/>
      <c r="R116" s="25" t="n"/>
      <c r="S116" s="26">
        <f>IF($A116="","",AND(OR('Assignment Builder'!$B$5="",$B116='Assignment Builder'!$B$5),OR('Assignment Builder'!$B$6="",ISNUMBER(SEARCH('Assignment Builder'!$B$6,$C116))),OR('Assignment Builder'!$B$7="",'Assignment Builder'!$B$7=IFERROR(INDEX('Category Dictionary'!$C$5:$C$135,MATCH($L116,'Category Dictionary'!$D$5:$D$135,0)),"")),OR('Assignment Builder'!$B$8="",$D116='Assignment Builder'!$B$8),OR('Assignment Builder'!$B$9="",$F116='Assignment Builder'!$B$9),OR('Assignment Builder'!$B$10="",$O116='Assignment Builder'!$B$10),OR('Assignment Builder'!$B$11="",$H116&gt;='Assignment Builder'!$B$11),OR('Assignment Builder'!$B$12="",N($Q116)&lt;='Assignment Builder'!$B$12)))</f>
        <v/>
      </c>
      <c r="T116" s="23" t="n"/>
    </row>
    <row r="117">
      <c r="A117" s="23" t="n"/>
      <c r="B117" s="23" t="n"/>
      <c r="C117" s="24" t="n"/>
      <c r="D117" s="15" t="n"/>
      <c r="E117" s="23" t="n"/>
      <c r="F117" s="15" t="n"/>
      <c r="G117" s="23" t="n"/>
      <c r="H117" s="25" t="n"/>
      <c r="I117" s="15" t="n"/>
      <c r="J117" s="26">
        <f>IF($A117="","",LEN($C117)-LEN(SUBSTITUTE($C117,",",""))+1)</f>
        <v/>
      </c>
      <c r="K117" s="26">
        <f>IF($A117="","",SUMPRODUCT(--ISNUMBER(SEARCH('Category Dictionary'!$D$5:$D$135&amp;"",$C117)),--('Category Dictionary'!$D$5:$D$135&lt;&gt;"")))</f>
        <v/>
      </c>
      <c r="L117" s="27">
        <f>IF($A117="","",TRIM(IF(ISERROR(FIND(",",$C117)),$C117,LEFT($C117,FIND(",",$C117)-1))))</f>
        <v/>
      </c>
      <c r="M117" s="28">
        <f>IF($H117="","",DATE(YEAR($H117),MONTH($H117),1))</f>
        <v/>
      </c>
      <c r="N117" s="26">
        <f>IF($H117="","",TODAY()-$H117)</f>
        <v/>
      </c>
      <c r="O117" s="15" t="n"/>
      <c r="P117" s="15" t="n"/>
      <c r="Q117" s="15" t="n"/>
      <c r="R117" s="25" t="n"/>
      <c r="S117" s="26">
        <f>IF($A117="","",AND(OR('Assignment Builder'!$B$5="",$B117='Assignment Builder'!$B$5),OR('Assignment Builder'!$B$6="",ISNUMBER(SEARCH('Assignment Builder'!$B$6,$C117))),OR('Assignment Builder'!$B$7="",'Assignment Builder'!$B$7=IFERROR(INDEX('Category Dictionary'!$C$5:$C$135,MATCH($L117,'Category Dictionary'!$D$5:$D$135,0)),"")),OR('Assignment Builder'!$B$8="",$D117='Assignment Builder'!$B$8),OR('Assignment Builder'!$B$9="",$F117='Assignment Builder'!$B$9),OR('Assignment Builder'!$B$10="",$O117='Assignment Builder'!$B$10),OR('Assignment Builder'!$B$11="",$H117&gt;='Assignment Builder'!$B$11),OR('Assignment Builder'!$B$12="",N($Q117)&lt;='Assignment Builder'!$B$12)))</f>
        <v/>
      </c>
      <c r="T117" s="23" t="n"/>
    </row>
    <row r="118">
      <c r="A118" s="23" t="n"/>
      <c r="B118" s="23" t="n"/>
      <c r="C118" s="24" t="n"/>
      <c r="D118" s="15" t="n"/>
      <c r="E118" s="23" t="n"/>
      <c r="F118" s="15" t="n"/>
      <c r="G118" s="23" t="n"/>
      <c r="H118" s="25" t="n"/>
      <c r="I118" s="15" t="n"/>
      <c r="J118" s="26">
        <f>IF($A118="","",LEN($C118)-LEN(SUBSTITUTE($C118,",",""))+1)</f>
        <v/>
      </c>
      <c r="K118" s="26">
        <f>IF($A118="","",SUMPRODUCT(--ISNUMBER(SEARCH('Category Dictionary'!$D$5:$D$135&amp;"",$C118)),--('Category Dictionary'!$D$5:$D$135&lt;&gt;"")))</f>
        <v/>
      </c>
      <c r="L118" s="27">
        <f>IF($A118="","",TRIM(IF(ISERROR(FIND(",",$C118)),$C118,LEFT($C118,FIND(",",$C118)-1))))</f>
        <v/>
      </c>
      <c r="M118" s="28">
        <f>IF($H118="","",DATE(YEAR($H118),MONTH($H118),1))</f>
        <v/>
      </c>
      <c r="N118" s="26">
        <f>IF($H118="","",TODAY()-$H118)</f>
        <v/>
      </c>
      <c r="O118" s="15" t="n"/>
      <c r="P118" s="15" t="n"/>
      <c r="Q118" s="15" t="n"/>
      <c r="R118" s="25" t="n"/>
      <c r="S118" s="26">
        <f>IF($A118="","",AND(OR('Assignment Builder'!$B$5="",$B118='Assignment Builder'!$B$5),OR('Assignment Builder'!$B$6="",ISNUMBER(SEARCH('Assignment Builder'!$B$6,$C118))),OR('Assignment Builder'!$B$7="",'Assignment Builder'!$B$7=IFERROR(INDEX('Category Dictionary'!$C$5:$C$135,MATCH($L118,'Category Dictionary'!$D$5:$D$135,0)),"")),OR('Assignment Builder'!$B$8="",$D118='Assignment Builder'!$B$8),OR('Assignment Builder'!$B$9="",$F118='Assignment Builder'!$B$9),OR('Assignment Builder'!$B$10="",$O118='Assignment Builder'!$B$10),OR('Assignment Builder'!$B$11="",$H118&gt;='Assignment Builder'!$B$11),OR('Assignment Builder'!$B$12="",N($Q118)&lt;='Assignment Builder'!$B$12)))</f>
        <v/>
      </c>
      <c r="T118" s="23" t="n"/>
    </row>
    <row r="119">
      <c r="A119" s="23" t="n"/>
      <c r="B119" s="23" t="n"/>
      <c r="C119" s="24" t="n"/>
      <c r="D119" s="15" t="n"/>
      <c r="E119" s="23" t="n"/>
      <c r="F119" s="15" t="n"/>
      <c r="G119" s="23" t="n"/>
      <c r="H119" s="25" t="n"/>
      <c r="I119" s="15" t="n"/>
      <c r="J119" s="26">
        <f>IF($A119="","",LEN($C119)-LEN(SUBSTITUTE($C119,",",""))+1)</f>
        <v/>
      </c>
      <c r="K119" s="26">
        <f>IF($A119="","",SUMPRODUCT(--ISNUMBER(SEARCH('Category Dictionary'!$D$5:$D$135&amp;"",$C119)),--('Category Dictionary'!$D$5:$D$135&lt;&gt;"")))</f>
        <v/>
      </c>
      <c r="L119" s="27">
        <f>IF($A119="","",TRIM(IF(ISERROR(FIND(",",$C119)),$C119,LEFT($C119,FIND(",",$C119)-1))))</f>
        <v/>
      </c>
      <c r="M119" s="28">
        <f>IF($H119="","",DATE(YEAR($H119),MONTH($H119),1))</f>
        <v/>
      </c>
      <c r="N119" s="26">
        <f>IF($H119="","",TODAY()-$H119)</f>
        <v/>
      </c>
      <c r="O119" s="15" t="n"/>
      <c r="P119" s="15" t="n"/>
      <c r="Q119" s="15" t="n"/>
      <c r="R119" s="25" t="n"/>
      <c r="S119" s="26">
        <f>IF($A119="","",AND(OR('Assignment Builder'!$B$5="",$B119='Assignment Builder'!$B$5),OR('Assignment Builder'!$B$6="",ISNUMBER(SEARCH('Assignment Builder'!$B$6,$C119))),OR('Assignment Builder'!$B$7="",'Assignment Builder'!$B$7=IFERROR(INDEX('Category Dictionary'!$C$5:$C$135,MATCH($L119,'Category Dictionary'!$D$5:$D$135,0)),"")),OR('Assignment Builder'!$B$8="",$D119='Assignment Builder'!$B$8),OR('Assignment Builder'!$B$9="",$F119='Assignment Builder'!$B$9),OR('Assignment Builder'!$B$10="",$O119='Assignment Builder'!$B$10),OR('Assignment Builder'!$B$11="",$H119&gt;='Assignment Builder'!$B$11),OR('Assignment Builder'!$B$12="",N($Q119)&lt;='Assignment Builder'!$B$12)))</f>
        <v/>
      </c>
      <c r="T119" s="23" t="n"/>
    </row>
    <row r="120">
      <c r="A120" s="23" t="n"/>
      <c r="B120" s="23" t="n"/>
      <c r="C120" s="24" t="n"/>
      <c r="D120" s="15" t="n"/>
      <c r="E120" s="23" t="n"/>
      <c r="F120" s="15" t="n"/>
      <c r="G120" s="23" t="n"/>
      <c r="H120" s="25" t="n"/>
      <c r="I120" s="15" t="n"/>
      <c r="J120" s="26">
        <f>IF($A120="","",LEN($C120)-LEN(SUBSTITUTE($C120,",",""))+1)</f>
        <v/>
      </c>
      <c r="K120" s="26">
        <f>IF($A120="","",SUMPRODUCT(--ISNUMBER(SEARCH('Category Dictionary'!$D$5:$D$135&amp;"",$C120)),--('Category Dictionary'!$D$5:$D$135&lt;&gt;"")))</f>
        <v/>
      </c>
      <c r="L120" s="27">
        <f>IF($A120="","",TRIM(IF(ISERROR(FIND(",",$C120)),$C120,LEFT($C120,FIND(",",$C120)-1))))</f>
        <v/>
      </c>
      <c r="M120" s="28">
        <f>IF($H120="","",DATE(YEAR($H120),MONTH($H120),1))</f>
        <v/>
      </c>
      <c r="N120" s="26">
        <f>IF($H120="","",TODAY()-$H120)</f>
        <v/>
      </c>
      <c r="O120" s="15" t="n"/>
      <c r="P120" s="15" t="n"/>
      <c r="Q120" s="15" t="n"/>
      <c r="R120" s="25" t="n"/>
      <c r="S120" s="26">
        <f>IF($A120="","",AND(OR('Assignment Builder'!$B$5="",$B120='Assignment Builder'!$B$5),OR('Assignment Builder'!$B$6="",ISNUMBER(SEARCH('Assignment Builder'!$B$6,$C120))),OR('Assignment Builder'!$B$7="",'Assignment Builder'!$B$7=IFERROR(INDEX('Category Dictionary'!$C$5:$C$135,MATCH($L120,'Category Dictionary'!$D$5:$D$135,0)),"")),OR('Assignment Builder'!$B$8="",$D120='Assignment Builder'!$B$8),OR('Assignment Builder'!$B$9="",$F120='Assignment Builder'!$B$9),OR('Assignment Builder'!$B$10="",$O120='Assignment Builder'!$B$10),OR('Assignment Builder'!$B$11="",$H120&gt;='Assignment Builder'!$B$11),OR('Assignment Builder'!$B$12="",N($Q120)&lt;='Assignment Builder'!$B$12)))</f>
        <v/>
      </c>
      <c r="T120" s="23" t="n"/>
    </row>
    <row r="121">
      <c r="A121" s="23" t="n"/>
      <c r="B121" s="23" t="n"/>
      <c r="C121" s="24" t="n"/>
      <c r="D121" s="15" t="n"/>
      <c r="E121" s="23" t="n"/>
      <c r="F121" s="15" t="n"/>
      <c r="G121" s="23" t="n"/>
      <c r="H121" s="25" t="n"/>
      <c r="I121" s="15" t="n"/>
      <c r="J121" s="26">
        <f>IF($A121="","",LEN($C121)-LEN(SUBSTITUTE($C121,",",""))+1)</f>
        <v/>
      </c>
      <c r="K121" s="26">
        <f>IF($A121="","",SUMPRODUCT(--ISNUMBER(SEARCH('Category Dictionary'!$D$5:$D$135&amp;"",$C121)),--('Category Dictionary'!$D$5:$D$135&lt;&gt;"")))</f>
        <v/>
      </c>
      <c r="L121" s="27">
        <f>IF($A121="","",TRIM(IF(ISERROR(FIND(",",$C121)),$C121,LEFT($C121,FIND(",",$C121)-1))))</f>
        <v/>
      </c>
      <c r="M121" s="28">
        <f>IF($H121="","",DATE(YEAR($H121),MONTH($H121),1))</f>
        <v/>
      </c>
      <c r="N121" s="26">
        <f>IF($H121="","",TODAY()-$H121)</f>
        <v/>
      </c>
      <c r="O121" s="15" t="n"/>
      <c r="P121" s="15" t="n"/>
      <c r="Q121" s="15" t="n"/>
      <c r="R121" s="25" t="n"/>
      <c r="S121" s="26">
        <f>IF($A121="","",AND(OR('Assignment Builder'!$B$5="",$B121='Assignment Builder'!$B$5),OR('Assignment Builder'!$B$6="",ISNUMBER(SEARCH('Assignment Builder'!$B$6,$C121))),OR('Assignment Builder'!$B$7="",'Assignment Builder'!$B$7=IFERROR(INDEX('Category Dictionary'!$C$5:$C$135,MATCH($L121,'Category Dictionary'!$D$5:$D$135,0)),"")),OR('Assignment Builder'!$B$8="",$D121='Assignment Builder'!$B$8),OR('Assignment Builder'!$B$9="",$F121='Assignment Builder'!$B$9),OR('Assignment Builder'!$B$10="",$O121='Assignment Builder'!$B$10),OR('Assignment Builder'!$B$11="",$H121&gt;='Assignment Builder'!$B$11),OR('Assignment Builder'!$B$12="",N($Q121)&lt;='Assignment Builder'!$B$12)))</f>
        <v/>
      </c>
      <c r="T121" s="23" t="n"/>
    </row>
    <row r="122">
      <c r="A122" s="23" t="n"/>
      <c r="B122" s="23" t="n"/>
      <c r="C122" s="24" t="n"/>
      <c r="D122" s="15" t="n"/>
      <c r="E122" s="23" t="n"/>
      <c r="F122" s="15" t="n"/>
      <c r="G122" s="23" t="n"/>
      <c r="H122" s="25" t="n"/>
      <c r="I122" s="15" t="n"/>
      <c r="J122" s="26">
        <f>IF($A122="","",LEN($C122)-LEN(SUBSTITUTE($C122,",",""))+1)</f>
        <v/>
      </c>
      <c r="K122" s="26">
        <f>IF($A122="","",SUMPRODUCT(--ISNUMBER(SEARCH('Category Dictionary'!$D$5:$D$135&amp;"",$C122)),--('Category Dictionary'!$D$5:$D$135&lt;&gt;"")))</f>
        <v/>
      </c>
      <c r="L122" s="27">
        <f>IF($A122="","",TRIM(IF(ISERROR(FIND(",",$C122)),$C122,LEFT($C122,FIND(",",$C122)-1))))</f>
        <v/>
      </c>
      <c r="M122" s="28">
        <f>IF($H122="","",DATE(YEAR($H122),MONTH($H122),1))</f>
        <v/>
      </c>
      <c r="N122" s="26">
        <f>IF($H122="","",TODAY()-$H122)</f>
        <v/>
      </c>
      <c r="O122" s="15" t="n"/>
      <c r="P122" s="15" t="n"/>
      <c r="Q122" s="15" t="n"/>
      <c r="R122" s="25" t="n"/>
      <c r="S122" s="26">
        <f>IF($A122="","",AND(OR('Assignment Builder'!$B$5="",$B122='Assignment Builder'!$B$5),OR('Assignment Builder'!$B$6="",ISNUMBER(SEARCH('Assignment Builder'!$B$6,$C122))),OR('Assignment Builder'!$B$7="",'Assignment Builder'!$B$7=IFERROR(INDEX('Category Dictionary'!$C$5:$C$135,MATCH($L122,'Category Dictionary'!$D$5:$D$135,0)),"")),OR('Assignment Builder'!$B$8="",$D122='Assignment Builder'!$B$8),OR('Assignment Builder'!$B$9="",$F122='Assignment Builder'!$B$9),OR('Assignment Builder'!$B$10="",$O122='Assignment Builder'!$B$10),OR('Assignment Builder'!$B$11="",$H122&gt;='Assignment Builder'!$B$11),OR('Assignment Builder'!$B$12="",N($Q122)&lt;='Assignment Builder'!$B$12)))</f>
        <v/>
      </c>
      <c r="T122" s="23" t="n"/>
    </row>
    <row r="123">
      <c r="A123" s="23" t="n"/>
      <c r="B123" s="23" t="n"/>
      <c r="C123" s="24" t="n"/>
      <c r="D123" s="15" t="n"/>
      <c r="E123" s="23" t="n"/>
      <c r="F123" s="15" t="n"/>
      <c r="G123" s="23" t="n"/>
      <c r="H123" s="25" t="n"/>
      <c r="I123" s="15" t="n"/>
      <c r="J123" s="26">
        <f>IF($A123="","",LEN($C123)-LEN(SUBSTITUTE($C123,",",""))+1)</f>
        <v/>
      </c>
      <c r="K123" s="26">
        <f>IF($A123="","",SUMPRODUCT(--ISNUMBER(SEARCH('Category Dictionary'!$D$5:$D$135&amp;"",$C123)),--('Category Dictionary'!$D$5:$D$135&lt;&gt;"")))</f>
        <v/>
      </c>
      <c r="L123" s="27">
        <f>IF($A123="","",TRIM(IF(ISERROR(FIND(",",$C123)),$C123,LEFT($C123,FIND(",",$C123)-1))))</f>
        <v/>
      </c>
      <c r="M123" s="28">
        <f>IF($H123="","",DATE(YEAR($H123),MONTH($H123),1))</f>
        <v/>
      </c>
      <c r="N123" s="26">
        <f>IF($H123="","",TODAY()-$H123)</f>
        <v/>
      </c>
      <c r="O123" s="15" t="n"/>
      <c r="P123" s="15" t="n"/>
      <c r="Q123" s="15" t="n"/>
      <c r="R123" s="25" t="n"/>
      <c r="S123" s="26">
        <f>IF($A123="","",AND(OR('Assignment Builder'!$B$5="",$B123='Assignment Builder'!$B$5),OR('Assignment Builder'!$B$6="",ISNUMBER(SEARCH('Assignment Builder'!$B$6,$C123))),OR('Assignment Builder'!$B$7="",'Assignment Builder'!$B$7=IFERROR(INDEX('Category Dictionary'!$C$5:$C$135,MATCH($L123,'Category Dictionary'!$D$5:$D$135,0)),"")),OR('Assignment Builder'!$B$8="",$D123='Assignment Builder'!$B$8),OR('Assignment Builder'!$B$9="",$F123='Assignment Builder'!$B$9),OR('Assignment Builder'!$B$10="",$O123='Assignment Builder'!$B$10),OR('Assignment Builder'!$B$11="",$H123&gt;='Assignment Builder'!$B$11),OR('Assignment Builder'!$B$12="",N($Q123)&lt;='Assignment Builder'!$B$12)))</f>
        <v/>
      </c>
      <c r="T123" s="23" t="n"/>
    </row>
    <row r="124">
      <c r="A124" s="23" t="n"/>
      <c r="B124" s="23" t="n"/>
      <c r="C124" s="24" t="n"/>
      <c r="D124" s="15" t="n"/>
      <c r="E124" s="23" t="n"/>
      <c r="F124" s="15" t="n"/>
      <c r="G124" s="23" t="n"/>
      <c r="H124" s="25" t="n"/>
      <c r="I124" s="15" t="n"/>
      <c r="J124" s="26">
        <f>IF($A124="","",LEN($C124)-LEN(SUBSTITUTE($C124,",",""))+1)</f>
        <v/>
      </c>
      <c r="K124" s="26">
        <f>IF($A124="","",SUMPRODUCT(--ISNUMBER(SEARCH('Category Dictionary'!$D$5:$D$135&amp;"",$C124)),--('Category Dictionary'!$D$5:$D$135&lt;&gt;"")))</f>
        <v/>
      </c>
      <c r="L124" s="27">
        <f>IF($A124="","",TRIM(IF(ISERROR(FIND(",",$C124)),$C124,LEFT($C124,FIND(",",$C124)-1))))</f>
        <v/>
      </c>
      <c r="M124" s="28">
        <f>IF($H124="","",DATE(YEAR($H124),MONTH($H124),1))</f>
        <v/>
      </c>
      <c r="N124" s="26">
        <f>IF($H124="","",TODAY()-$H124)</f>
        <v/>
      </c>
      <c r="O124" s="15" t="n"/>
      <c r="P124" s="15" t="n"/>
      <c r="Q124" s="15" t="n"/>
      <c r="R124" s="25" t="n"/>
      <c r="S124" s="26">
        <f>IF($A124="","",AND(OR('Assignment Builder'!$B$5="",$B124='Assignment Builder'!$B$5),OR('Assignment Builder'!$B$6="",ISNUMBER(SEARCH('Assignment Builder'!$B$6,$C124))),OR('Assignment Builder'!$B$7="",'Assignment Builder'!$B$7=IFERROR(INDEX('Category Dictionary'!$C$5:$C$135,MATCH($L124,'Category Dictionary'!$D$5:$D$135,0)),"")),OR('Assignment Builder'!$B$8="",$D124='Assignment Builder'!$B$8),OR('Assignment Builder'!$B$9="",$F124='Assignment Builder'!$B$9),OR('Assignment Builder'!$B$10="",$O124='Assignment Builder'!$B$10),OR('Assignment Builder'!$B$11="",$H124&gt;='Assignment Builder'!$B$11),OR('Assignment Builder'!$B$12="",N($Q124)&lt;='Assignment Builder'!$B$12)))</f>
        <v/>
      </c>
      <c r="T124" s="23" t="n"/>
    </row>
    <row r="125">
      <c r="A125" s="23" t="n"/>
      <c r="B125" s="23" t="n"/>
      <c r="C125" s="24" t="n"/>
      <c r="D125" s="15" t="n"/>
      <c r="E125" s="23" t="n"/>
      <c r="F125" s="15" t="n"/>
      <c r="G125" s="23" t="n"/>
      <c r="H125" s="25" t="n"/>
      <c r="I125" s="15" t="n"/>
      <c r="J125" s="26">
        <f>IF($A125="","",LEN($C125)-LEN(SUBSTITUTE($C125,",",""))+1)</f>
        <v/>
      </c>
      <c r="K125" s="26">
        <f>IF($A125="","",SUMPRODUCT(--ISNUMBER(SEARCH('Category Dictionary'!$D$5:$D$135&amp;"",$C125)),--('Category Dictionary'!$D$5:$D$135&lt;&gt;"")))</f>
        <v/>
      </c>
      <c r="L125" s="27">
        <f>IF($A125="","",TRIM(IF(ISERROR(FIND(",",$C125)),$C125,LEFT($C125,FIND(",",$C125)-1))))</f>
        <v/>
      </c>
      <c r="M125" s="28">
        <f>IF($H125="","",DATE(YEAR($H125),MONTH($H125),1))</f>
        <v/>
      </c>
      <c r="N125" s="26">
        <f>IF($H125="","",TODAY()-$H125)</f>
        <v/>
      </c>
      <c r="O125" s="15" t="n"/>
      <c r="P125" s="15" t="n"/>
      <c r="Q125" s="15" t="n"/>
      <c r="R125" s="25" t="n"/>
      <c r="S125" s="26">
        <f>IF($A125="","",AND(OR('Assignment Builder'!$B$5="",$B125='Assignment Builder'!$B$5),OR('Assignment Builder'!$B$6="",ISNUMBER(SEARCH('Assignment Builder'!$B$6,$C125))),OR('Assignment Builder'!$B$7="",'Assignment Builder'!$B$7=IFERROR(INDEX('Category Dictionary'!$C$5:$C$135,MATCH($L125,'Category Dictionary'!$D$5:$D$135,0)),"")),OR('Assignment Builder'!$B$8="",$D125='Assignment Builder'!$B$8),OR('Assignment Builder'!$B$9="",$F125='Assignment Builder'!$B$9),OR('Assignment Builder'!$B$10="",$O125='Assignment Builder'!$B$10),OR('Assignment Builder'!$B$11="",$H125&gt;='Assignment Builder'!$B$11),OR('Assignment Builder'!$B$12="",N($Q125)&lt;='Assignment Builder'!$B$12)))</f>
        <v/>
      </c>
      <c r="T125" s="23" t="n"/>
    </row>
    <row r="126">
      <c r="A126" s="23" t="n"/>
      <c r="B126" s="23" t="n"/>
      <c r="C126" s="24" t="n"/>
      <c r="D126" s="15" t="n"/>
      <c r="E126" s="23" t="n"/>
      <c r="F126" s="15" t="n"/>
      <c r="G126" s="23" t="n"/>
      <c r="H126" s="25" t="n"/>
      <c r="I126" s="15" t="n"/>
      <c r="J126" s="26">
        <f>IF($A126="","",LEN($C126)-LEN(SUBSTITUTE($C126,",",""))+1)</f>
        <v/>
      </c>
      <c r="K126" s="26">
        <f>IF($A126="","",SUMPRODUCT(--ISNUMBER(SEARCH('Category Dictionary'!$D$5:$D$135&amp;"",$C126)),--('Category Dictionary'!$D$5:$D$135&lt;&gt;"")))</f>
        <v/>
      </c>
      <c r="L126" s="27">
        <f>IF($A126="","",TRIM(IF(ISERROR(FIND(",",$C126)),$C126,LEFT($C126,FIND(",",$C126)-1))))</f>
        <v/>
      </c>
      <c r="M126" s="28">
        <f>IF($H126="","",DATE(YEAR($H126),MONTH($H126),1))</f>
        <v/>
      </c>
      <c r="N126" s="26">
        <f>IF($H126="","",TODAY()-$H126)</f>
        <v/>
      </c>
      <c r="O126" s="15" t="n"/>
      <c r="P126" s="15" t="n"/>
      <c r="Q126" s="15" t="n"/>
      <c r="R126" s="25" t="n"/>
      <c r="S126" s="26">
        <f>IF($A126="","",AND(OR('Assignment Builder'!$B$5="",$B126='Assignment Builder'!$B$5),OR('Assignment Builder'!$B$6="",ISNUMBER(SEARCH('Assignment Builder'!$B$6,$C126))),OR('Assignment Builder'!$B$7="",'Assignment Builder'!$B$7=IFERROR(INDEX('Category Dictionary'!$C$5:$C$135,MATCH($L126,'Category Dictionary'!$D$5:$D$135,0)),"")),OR('Assignment Builder'!$B$8="",$D126='Assignment Builder'!$B$8),OR('Assignment Builder'!$B$9="",$F126='Assignment Builder'!$B$9),OR('Assignment Builder'!$B$10="",$O126='Assignment Builder'!$B$10),OR('Assignment Builder'!$B$11="",$H126&gt;='Assignment Builder'!$B$11),OR('Assignment Builder'!$B$12="",N($Q126)&lt;='Assignment Builder'!$B$12)))</f>
        <v/>
      </c>
      <c r="T126" s="23" t="n"/>
    </row>
    <row r="127">
      <c r="A127" s="23" t="n"/>
      <c r="B127" s="23" t="n"/>
      <c r="C127" s="24" t="n"/>
      <c r="D127" s="15" t="n"/>
      <c r="E127" s="23" t="n"/>
      <c r="F127" s="15" t="n"/>
      <c r="G127" s="23" t="n"/>
      <c r="H127" s="25" t="n"/>
      <c r="I127" s="15" t="n"/>
      <c r="J127" s="26">
        <f>IF($A127="","",LEN($C127)-LEN(SUBSTITUTE($C127,",",""))+1)</f>
        <v/>
      </c>
      <c r="K127" s="26">
        <f>IF($A127="","",SUMPRODUCT(--ISNUMBER(SEARCH('Category Dictionary'!$D$5:$D$135&amp;"",$C127)),--('Category Dictionary'!$D$5:$D$135&lt;&gt;"")))</f>
        <v/>
      </c>
      <c r="L127" s="27">
        <f>IF($A127="","",TRIM(IF(ISERROR(FIND(",",$C127)),$C127,LEFT($C127,FIND(",",$C127)-1))))</f>
        <v/>
      </c>
      <c r="M127" s="28">
        <f>IF($H127="","",DATE(YEAR($H127),MONTH($H127),1))</f>
        <v/>
      </c>
      <c r="N127" s="26">
        <f>IF($H127="","",TODAY()-$H127)</f>
        <v/>
      </c>
      <c r="O127" s="15" t="n"/>
      <c r="P127" s="15" t="n"/>
      <c r="Q127" s="15" t="n"/>
      <c r="R127" s="25" t="n"/>
      <c r="S127" s="26">
        <f>IF($A127="","",AND(OR('Assignment Builder'!$B$5="",$B127='Assignment Builder'!$B$5),OR('Assignment Builder'!$B$6="",ISNUMBER(SEARCH('Assignment Builder'!$B$6,$C127))),OR('Assignment Builder'!$B$7="",'Assignment Builder'!$B$7=IFERROR(INDEX('Category Dictionary'!$C$5:$C$135,MATCH($L127,'Category Dictionary'!$D$5:$D$135,0)),"")),OR('Assignment Builder'!$B$8="",$D127='Assignment Builder'!$B$8),OR('Assignment Builder'!$B$9="",$F127='Assignment Builder'!$B$9),OR('Assignment Builder'!$B$10="",$O127='Assignment Builder'!$B$10),OR('Assignment Builder'!$B$11="",$H127&gt;='Assignment Builder'!$B$11),OR('Assignment Builder'!$B$12="",N($Q127)&lt;='Assignment Builder'!$B$12)))</f>
        <v/>
      </c>
      <c r="T127" s="23" t="n"/>
    </row>
    <row r="128">
      <c r="A128" s="23" t="n"/>
      <c r="B128" s="23" t="n"/>
      <c r="C128" s="24" t="n"/>
      <c r="D128" s="15" t="n"/>
      <c r="E128" s="23" t="n"/>
      <c r="F128" s="15" t="n"/>
      <c r="G128" s="23" t="n"/>
      <c r="H128" s="25" t="n"/>
      <c r="I128" s="15" t="n"/>
      <c r="J128" s="26">
        <f>IF($A128="","",LEN($C128)-LEN(SUBSTITUTE($C128,",",""))+1)</f>
        <v/>
      </c>
      <c r="K128" s="26">
        <f>IF($A128="","",SUMPRODUCT(--ISNUMBER(SEARCH('Category Dictionary'!$D$5:$D$135&amp;"",$C128)),--('Category Dictionary'!$D$5:$D$135&lt;&gt;"")))</f>
        <v/>
      </c>
      <c r="L128" s="27">
        <f>IF($A128="","",TRIM(IF(ISERROR(FIND(",",$C128)),$C128,LEFT($C128,FIND(",",$C128)-1))))</f>
        <v/>
      </c>
      <c r="M128" s="28">
        <f>IF($H128="","",DATE(YEAR($H128),MONTH($H128),1))</f>
        <v/>
      </c>
      <c r="N128" s="26">
        <f>IF($H128="","",TODAY()-$H128)</f>
        <v/>
      </c>
      <c r="O128" s="15" t="n"/>
      <c r="P128" s="15" t="n"/>
      <c r="Q128" s="15" t="n"/>
      <c r="R128" s="25" t="n"/>
      <c r="S128" s="26">
        <f>IF($A128="","",AND(OR('Assignment Builder'!$B$5="",$B128='Assignment Builder'!$B$5),OR('Assignment Builder'!$B$6="",ISNUMBER(SEARCH('Assignment Builder'!$B$6,$C128))),OR('Assignment Builder'!$B$7="",'Assignment Builder'!$B$7=IFERROR(INDEX('Category Dictionary'!$C$5:$C$135,MATCH($L128,'Category Dictionary'!$D$5:$D$135,0)),"")),OR('Assignment Builder'!$B$8="",$D128='Assignment Builder'!$B$8),OR('Assignment Builder'!$B$9="",$F128='Assignment Builder'!$B$9),OR('Assignment Builder'!$B$10="",$O128='Assignment Builder'!$B$10),OR('Assignment Builder'!$B$11="",$H128&gt;='Assignment Builder'!$B$11),OR('Assignment Builder'!$B$12="",N($Q128)&lt;='Assignment Builder'!$B$12)))</f>
        <v/>
      </c>
      <c r="T128" s="23" t="n"/>
    </row>
    <row r="129">
      <c r="A129" s="23" t="n"/>
      <c r="B129" s="23" t="n"/>
      <c r="C129" s="24" t="n"/>
      <c r="D129" s="15" t="n"/>
      <c r="E129" s="23" t="n"/>
      <c r="F129" s="15" t="n"/>
      <c r="G129" s="23" t="n"/>
      <c r="H129" s="25" t="n"/>
      <c r="I129" s="15" t="n"/>
      <c r="J129" s="26">
        <f>IF($A129="","",LEN($C129)-LEN(SUBSTITUTE($C129,",",""))+1)</f>
        <v/>
      </c>
      <c r="K129" s="26">
        <f>IF($A129="","",SUMPRODUCT(--ISNUMBER(SEARCH('Category Dictionary'!$D$5:$D$135&amp;"",$C129)),--('Category Dictionary'!$D$5:$D$135&lt;&gt;"")))</f>
        <v/>
      </c>
      <c r="L129" s="27">
        <f>IF($A129="","",TRIM(IF(ISERROR(FIND(",",$C129)),$C129,LEFT($C129,FIND(",",$C129)-1))))</f>
        <v/>
      </c>
      <c r="M129" s="28">
        <f>IF($H129="","",DATE(YEAR($H129),MONTH($H129),1))</f>
        <v/>
      </c>
      <c r="N129" s="26">
        <f>IF($H129="","",TODAY()-$H129)</f>
        <v/>
      </c>
      <c r="O129" s="15" t="n"/>
      <c r="P129" s="15" t="n"/>
      <c r="Q129" s="15" t="n"/>
      <c r="R129" s="25" t="n"/>
      <c r="S129" s="26">
        <f>IF($A129="","",AND(OR('Assignment Builder'!$B$5="",$B129='Assignment Builder'!$B$5),OR('Assignment Builder'!$B$6="",ISNUMBER(SEARCH('Assignment Builder'!$B$6,$C129))),OR('Assignment Builder'!$B$7="",'Assignment Builder'!$B$7=IFERROR(INDEX('Category Dictionary'!$C$5:$C$135,MATCH($L129,'Category Dictionary'!$D$5:$D$135,0)),"")),OR('Assignment Builder'!$B$8="",$D129='Assignment Builder'!$B$8),OR('Assignment Builder'!$B$9="",$F129='Assignment Builder'!$B$9),OR('Assignment Builder'!$B$10="",$O129='Assignment Builder'!$B$10),OR('Assignment Builder'!$B$11="",$H129&gt;='Assignment Builder'!$B$11),OR('Assignment Builder'!$B$12="",N($Q129)&lt;='Assignment Builder'!$B$12)))</f>
        <v/>
      </c>
      <c r="T129" s="23" t="n"/>
    </row>
    <row r="130">
      <c r="A130" s="23" t="n"/>
      <c r="B130" s="23" t="n"/>
      <c r="C130" s="24" t="n"/>
      <c r="D130" s="15" t="n"/>
      <c r="E130" s="23" t="n"/>
      <c r="F130" s="15" t="n"/>
      <c r="G130" s="23" t="n"/>
      <c r="H130" s="25" t="n"/>
      <c r="I130" s="15" t="n"/>
      <c r="J130" s="26">
        <f>IF($A130="","",LEN($C130)-LEN(SUBSTITUTE($C130,",",""))+1)</f>
        <v/>
      </c>
      <c r="K130" s="26">
        <f>IF($A130="","",SUMPRODUCT(--ISNUMBER(SEARCH('Category Dictionary'!$D$5:$D$135&amp;"",$C130)),--('Category Dictionary'!$D$5:$D$135&lt;&gt;"")))</f>
        <v/>
      </c>
      <c r="L130" s="27">
        <f>IF($A130="","",TRIM(IF(ISERROR(FIND(",",$C130)),$C130,LEFT($C130,FIND(",",$C130)-1))))</f>
        <v/>
      </c>
      <c r="M130" s="28">
        <f>IF($H130="","",DATE(YEAR($H130),MONTH($H130),1))</f>
        <v/>
      </c>
      <c r="N130" s="26">
        <f>IF($H130="","",TODAY()-$H130)</f>
        <v/>
      </c>
      <c r="O130" s="15" t="n"/>
      <c r="P130" s="15" t="n"/>
      <c r="Q130" s="15" t="n"/>
      <c r="R130" s="25" t="n"/>
      <c r="S130" s="26">
        <f>IF($A130="","",AND(OR('Assignment Builder'!$B$5="",$B130='Assignment Builder'!$B$5),OR('Assignment Builder'!$B$6="",ISNUMBER(SEARCH('Assignment Builder'!$B$6,$C130))),OR('Assignment Builder'!$B$7="",'Assignment Builder'!$B$7=IFERROR(INDEX('Category Dictionary'!$C$5:$C$135,MATCH($L130,'Category Dictionary'!$D$5:$D$135,0)),"")),OR('Assignment Builder'!$B$8="",$D130='Assignment Builder'!$B$8),OR('Assignment Builder'!$B$9="",$F130='Assignment Builder'!$B$9),OR('Assignment Builder'!$B$10="",$O130='Assignment Builder'!$B$10),OR('Assignment Builder'!$B$11="",$H130&gt;='Assignment Builder'!$B$11),OR('Assignment Builder'!$B$12="",N($Q130)&lt;='Assignment Builder'!$B$12)))</f>
        <v/>
      </c>
      <c r="T130" s="23" t="n"/>
    </row>
    <row r="131">
      <c r="A131" s="23" t="n"/>
      <c r="B131" s="23" t="n"/>
      <c r="C131" s="24" t="n"/>
      <c r="D131" s="15" t="n"/>
      <c r="E131" s="23" t="n"/>
      <c r="F131" s="15" t="n"/>
      <c r="G131" s="23" t="n"/>
      <c r="H131" s="25" t="n"/>
      <c r="I131" s="15" t="n"/>
      <c r="J131" s="26">
        <f>IF($A131="","",LEN($C131)-LEN(SUBSTITUTE($C131,",",""))+1)</f>
        <v/>
      </c>
      <c r="K131" s="26">
        <f>IF($A131="","",SUMPRODUCT(--ISNUMBER(SEARCH('Category Dictionary'!$D$5:$D$135&amp;"",$C131)),--('Category Dictionary'!$D$5:$D$135&lt;&gt;"")))</f>
        <v/>
      </c>
      <c r="L131" s="27">
        <f>IF($A131="","",TRIM(IF(ISERROR(FIND(",",$C131)),$C131,LEFT($C131,FIND(",",$C131)-1))))</f>
        <v/>
      </c>
      <c r="M131" s="28">
        <f>IF($H131="","",DATE(YEAR($H131),MONTH($H131),1))</f>
        <v/>
      </c>
      <c r="N131" s="26">
        <f>IF($H131="","",TODAY()-$H131)</f>
        <v/>
      </c>
      <c r="O131" s="15" t="n"/>
      <c r="P131" s="15" t="n"/>
      <c r="Q131" s="15" t="n"/>
      <c r="R131" s="25" t="n"/>
      <c r="S131" s="26">
        <f>IF($A131="","",AND(OR('Assignment Builder'!$B$5="",$B131='Assignment Builder'!$B$5),OR('Assignment Builder'!$B$6="",ISNUMBER(SEARCH('Assignment Builder'!$B$6,$C131))),OR('Assignment Builder'!$B$7="",'Assignment Builder'!$B$7=IFERROR(INDEX('Category Dictionary'!$C$5:$C$135,MATCH($L131,'Category Dictionary'!$D$5:$D$135,0)),"")),OR('Assignment Builder'!$B$8="",$D131='Assignment Builder'!$B$8),OR('Assignment Builder'!$B$9="",$F131='Assignment Builder'!$B$9),OR('Assignment Builder'!$B$10="",$O131='Assignment Builder'!$B$10),OR('Assignment Builder'!$B$11="",$H131&gt;='Assignment Builder'!$B$11),OR('Assignment Builder'!$B$12="",N($Q131)&lt;='Assignment Builder'!$B$12)))</f>
        <v/>
      </c>
      <c r="T131" s="23" t="n"/>
    </row>
    <row r="132">
      <c r="A132" s="23" t="n"/>
      <c r="B132" s="23" t="n"/>
      <c r="C132" s="24" t="n"/>
      <c r="D132" s="15" t="n"/>
      <c r="E132" s="23" t="n"/>
      <c r="F132" s="15" t="n"/>
      <c r="G132" s="23" t="n"/>
      <c r="H132" s="25" t="n"/>
      <c r="I132" s="15" t="n"/>
      <c r="J132" s="26">
        <f>IF($A132="","",LEN($C132)-LEN(SUBSTITUTE($C132,",",""))+1)</f>
        <v/>
      </c>
      <c r="K132" s="26">
        <f>IF($A132="","",SUMPRODUCT(--ISNUMBER(SEARCH('Category Dictionary'!$D$5:$D$135&amp;"",$C132)),--('Category Dictionary'!$D$5:$D$135&lt;&gt;"")))</f>
        <v/>
      </c>
      <c r="L132" s="27">
        <f>IF($A132="","",TRIM(IF(ISERROR(FIND(",",$C132)),$C132,LEFT($C132,FIND(",",$C132)-1))))</f>
        <v/>
      </c>
      <c r="M132" s="28">
        <f>IF($H132="","",DATE(YEAR($H132),MONTH($H132),1))</f>
        <v/>
      </c>
      <c r="N132" s="26">
        <f>IF($H132="","",TODAY()-$H132)</f>
        <v/>
      </c>
      <c r="O132" s="15" t="n"/>
      <c r="P132" s="15" t="n"/>
      <c r="Q132" s="15" t="n"/>
      <c r="R132" s="25" t="n"/>
      <c r="S132" s="26">
        <f>IF($A132="","",AND(OR('Assignment Builder'!$B$5="",$B132='Assignment Builder'!$B$5),OR('Assignment Builder'!$B$6="",ISNUMBER(SEARCH('Assignment Builder'!$B$6,$C132))),OR('Assignment Builder'!$B$7="",'Assignment Builder'!$B$7=IFERROR(INDEX('Category Dictionary'!$C$5:$C$135,MATCH($L132,'Category Dictionary'!$D$5:$D$135,0)),"")),OR('Assignment Builder'!$B$8="",$D132='Assignment Builder'!$B$8),OR('Assignment Builder'!$B$9="",$F132='Assignment Builder'!$B$9),OR('Assignment Builder'!$B$10="",$O132='Assignment Builder'!$B$10),OR('Assignment Builder'!$B$11="",$H132&gt;='Assignment Builder'!$B$11),OR('Assignment Builder'!$B$12="",N($Q132)&lt;='Assignment Builder'!$B$12)))</f>
        <v/>
      </c>
      <c r="T132" s="23" t="n"/>
    </row>
    <row r="133">
      <c r="A133" s="23" t="n"/>
      <c r="B133" s="23" t="n"/>
      <c r="C133" s="24" t="n"/>
      <c r="D133" s="15" t="n"/>
      <c r="E133" s="23" t="n"/>
      <c r="F133" s="15" t="n"/>
      <c r="G133" s="23" t="n"/>
      <c r="H133" s="25" t="n"/>
      <c r="I133" s="15" t="n"/>
      <c r="J133" s="26">
        <f>IF($A133="","",LEN($C133)-LEN(SUBSTITUTE($C133,",",""))+1)</f>
        <v/>
      </c>
      <c r="K133" s="26">
        <f>IF($A133="","",SUMPRODUCT(--ISNUMBER(SEARCH('Category Dictionary'!$D$5:$D$135&amp;"",$C133)),--('Category Dictionary'!$D$5:$D$135&lt;&gt;"")))</f>
        <v/>
      </c>
      <c r="L133" s="27">
        <f>IF($A133="","",TRIM(IF(ISERROR(FIND(",",$C133)),$C133,LEFT($C133,FIND(",",$C133)-1))))</f>
        <v/>
      </c>
      <c r="M133" s="28">
        <f>IF($H133="","",DATE(YEAR($H133),MONTH($H133),1))</f>
        <v/>
      </c>
      <c r="N133" s="26">
        <f>IF($H133="","",TODAY()-$H133)</f>
        <v/>
      </c>
      <c r="O133" s="15" t="n"/>
      <c r="P133" s="15" t="n"/>
      <c r="Q133" s="15" t="n"/>
      <c r="R133" s="25" t="n"/>
      <c r="S133" s="26">
        <f>IF($A133="","",AND(OR('Assignment Builder'!$B$5="",$B133='Assignment Builder'!$B$5),OR('Assignment Builder'!$B$6="",ISNUMBER(SEARCH('Assignment Builder'!$B$6,$C133))),OR('Assignment Builder'!$B$7="",'Assignment Builder'!$B$7=IFERROR(INDEX('Category Dictionary'!$C$5:$C$135,MATCH($L133,'Category Dictionary'!$D$5:$D$135,0)),"")),OR('Assignment Builder'!$B$8="",$D133='Assignment Builder'!$B$8),OR('Assignment Builder'!$B$9="",$F133='Assignment Builder'!$B$9),OR('Assignment Builder'!$B$10="",$O133='Assignment Builder'!$B$10),OR('Assignment Builder'!$B$11="",$H133&gt;='Assignment Builder'!$B$11),OR('Assignment Builder'!$B$12="",N($Q133)&lt;='Assignment Builder'!$B$12)))</f>
        <v/>
      </c>
      <c r="T133" s="23" t="n"/>
    </row>
    <row r="134">
      <c r="A134" s="23" t="n"/>
      <c r="B134" s="23" t="n"/>
      <c r="C134" s="24" t="n"/>
      <c r="D134" s="15" t="n"/>
      <c r="E134" s="23" t="n"/>
      <c r="F134" s="15" t="n"/>
      <c r="G134" s="23" t="n"/>
      <c r="H134" s="25" t="n"/>
      <c r="I134" s="15" t="n"/>
      <c r="J134" s="26">
        <f>IF($A134="","",LEN($C134)-LEN(SUBSTITUTE($C134,",",""))+1)</f>
        <v/>
      </c>
      <c r="K134" s="26">
        <f>IF($A134="","",SUMPRODUCT(--ISNUMBER(SEARCH('Category Dictionary'!$D$5:$D$135&amp;"",$C134)),--('Category Dictionary'!$D$5:$D$135&lt;&gt;"")))</f>
        <v/>
      </c>
      <c r="L134" s="27">
        <f>IF($A134="","",TRIM(IF(ISERROR(FIND(",",$C134)),$C134,LEFT($C134,FIND(",",$C134)-1))))</f>
        <v/>
      </c>
      <c r="M134" s="28">
        <f>IF($H134="","",DATE(YEAR($H134),MONTH($H134),1))</f>
        <v/>
      </c>
      <c r="N134" s="26">
        <f>IF($H134="","",TODAY()-$H134)</f>
        <v/>
      </c>
      <c r="O134" s="15" t="n"/>
      <c r="P134" s="15" t="n"/>
      <c r="Q134" s="15" t="n"/>
      <c r="R134" s="25" t="n"/>
      <c r="S134" s="26">
        <f>IF($A134="","",AND(OR('Assignment Builder'!$B$5="",$B134='Assignment Builder'!$B$5),OR('Assignment Builder'!$B$6="",ISNUMBER(SEARCH('Assignment Builder'!$B$6,$C134))),OR('Assignment Builder'!$B$7="",'Assignment Builder'!$B$7=IFERROR(INDEX('Category Dictionary'!$C$5:$C$135,MATCH($L134,'Category Dictionary'!$D$5:$D$135,0)),"")),OR('Assignment Builder'!$B$8="",$D134='Assignment Builder'!$B$8),OR('Assignment Builder'!$B$9="",$F134='Assignment Builder'!$B$9),OR('Assignment Builder'!$B$10="",$O134='Assignment Builder'!$B$10),OR('Assignment Builder'!$B$11="",$H134&gt;='Assignment Builder'!$B$11),OR('Assignment Builder'!$B$12="",N($Q134)&lt;='Assignment Builder'!$B$12)))</f>
        <v/>
      </c>
      <c r="T134" s="23" t="n"/>
    </row>
    <row r="135">
      <c r="A135" s="23" t="n"/>
      <c r="B135" s="23" t="n"/>
      <c r="C135" s="24" t="n"/>
      <c r="D135" s="15" t="n"/>
      <c r="E135" s="23" t="n"/>
      <c r="F135" s="15" t="n"/>
      <c r="G135" s="23" t="n"/>
      <c r="H135" s="25" t="n"/>
      <c r="I135" s="15" t="n"/>
      <c r="J135" s="26">
        <f>IF($A135="","",LEN($C135)-LEN(SUBSTITUTE($C135,",",""))+1)</f>
        <v/>
      </c>
      <c r="K135" s="26">
        <f>IF($A135="","",SUMPRODUCT(--ISNUMBER(SEARCH('Category Dictionary'!$D$5:$D$135&amp;"",$C135)),--('Category Dictionary'!$D$5:$D$135&lt;&gt;"")))</f>
        <v/>
      </c>
      <c r="L135" s="27">
        <f>IF($A135="","",TRIM(IF(ISERROR(FIND(",",$C135)),$C135,LEFT($C135,FIND(",",$C135)-1))))</f>
        <v/>
      </c>
      <c r="M135" s="28">
        <f>IF($H135="","",DATE(YEAR($H135),MONTH($H135),1))</f>
        <v/>
      </c>
      <c r="N135" s="26">
        <f>IF($H135="","",TODAY()-$H135)</f>
        <v/>
      </c>
      <c r="O135" s="15" t="n"/>
      <c r="P135" s="15" t="n"/>
      <c r="Q135" s="15" t="n"/>
      <c r="R135" s="25" t="n"/>
      <c r="S135" s="26">
        <f>IF($A135="","",AND(OR('Assignment Builder'!$B$5="",$B135='Assignment Builder'!$B$5),OR('Assignment Builder'!$B$6="",ISNUMBER(SEARCH('Assignment Builder'!$B$6,$C135))),OR('Assignment Builder'!$B$7="",'Assignment Builder'!$B$7=IFERROR(INDEX('Category Dictionary'!$C$5:$C$135,MATCH($L135,'Category Dictionary'!$D$5:$D$135,0)),"")),OR('Assignment Builder'!$B$8="",$D135='Assignment Builder'!$B$8),OR('Assignment Builder'!$B$9="",$F135='Assignment Builder'!$B$9),OR('Assignment Builder'!$B$10="",$O135='Assignment Builder'!$B$10),OR('Assignment Builder'!$B$11="",$H135&gt;='Assignment Builder'!$B$11),OR('Assignment Builder'!$B$12="",N($Q135)&lt;='Assignment Builder'!$B$12)))</f>
        <v/>
      </c>
      <c r="T135" s="23" t="n"/>
    </row>
    <row r="136">
      <c r="A136" s="23" t="n"/>
      <c r="B136" s="23" t="n"/>
      <c r="C136" s="24" t="n"/>
      <c r="D136" s="15" t="n"/>
      <c r="E136" s="23" t="n"/>
      <c r="F136" s="15" t="n"/>
      <c r="G136" s="23" t="n"/>
      <c r="H136" s="25" t="n"/>
      <c r="I136" s="15" t="n"/>
      <c r="J136" s="26">
        <f>IF($A136="","",LEN($C136)-LEN(SUBSTITUTE($C136,",",""))+1)</f>
        <v/>
      </c>
      <c r="K136" s="26">
        <f>IF($A136="","",SUMPRODUCT(--ISNUMBER(SEARCH('Category Dictionary'!$D$5:$D$135&amp;"",$C136)),--('Category Dictionary'!$D$5:$D$135&lt;&gt;"")))</f>
        <v/>
      </c>
      <c r="L136" s="27">
        <f>IF($A136="","",TRIM(IF(ISERROR(FIND(",",$C136)),$C136,LEFT($C136,FIND(",",$C136)-1))))</f>
        <v/>
      </c>
      <c r="M136" s="28">
        <f>IF($H136="","",DATE(YEAR($H136),MONTH($H136),1))</f>
        <v/>
      </c>
      <c r="N136" s="26">
        <f>IF($H136="","",TODAY()-$H136)</f>
        <v/>
      </c>
      <c r="O136" s="15" t="n"/>
      <c r="P136" s="15" t="n"/>
      <c r="Q136" s="15" t="n"/>
      <c r="R136" s="25" t="n"/>
      <c r="S136" s="26">
        <f>IF($A136="","",AND(OR('Assignment Builder'!$B$5="",$B136='Assignment Builder'!$B$5),OR('Assignment Builder'!$B$6="",ISNUMBER(SEARCH('Assignment Builder'!$B$6,$C136))),OR('Assignment Builder'!$B$7="",'Assignment Builder'!$B$7=IFERROR(INDEX('Category Dictionary'!$C$5:$C$135,MATCH($L136,'Category Dictionary'!$D$5:$D$135,0)),"")),OR('Assignment Builder'!$B$8="",$D136='Assignment Builder'!$B$8),OR('Assignment Builder'!$B$9="",$F136='Assignment Builder'!$B$9),OR('Assignment Builder'!$B$10="",$O136='Assignment Builder'!$B$10),OR('Assignment Builder'!$B$11="",$H136&gt;='Assignment Builder'!$B$11),OR('Assignment Builder'!$B$12="",N($Q136)&lt;='Assignment Builder'!$B$12)))</f>
        <v/>
      </c>
      <c r="T136" s="23" t="n"/>
    </row>
    <row r="137">
      <c r="A137" s="23" t="n"/>
      <c r="B137" s="23" t="n"/>
      <c r="C137" s="24" t="n"/>
      <c r="D137" s="15" t="n"/>
      <c r="E137" s="23" t="n"/>
      <c r="F137" s="15" t="n"/>
      <c r="G137" s="23" t="n"/>
      <c r="H137" s="25" t="n"/>
      <c r="I137" s="15" t="n"/>
      <c r="J137" s="26">
        <f>IF($A137="","",LEN($C137)-LEN(SUBSTITUTE($C137,",",""))+1)</f>
        <v/>
      </c>
      <c r="K137" s="26">
        <f>IF($A137="","",SUMPRODUCT(--ISNUMBER(SEARCH('Category Dictionary'!$D$5:$D$135&amp;"",$C137)),--('Category Dictionary'!$D$5:$D$135&lt;&gt;"")))</f>
        <v/>
      </c>
      <c r="L137" s="27">
        <f>IF($A137="","",TRIM(IF(ISERROR(FIND(",",$C137)),$C137,LEFT($C137,FIND(",",$C137)-1))))</f>
        <v/>
      </c>
      <c r="M137" s="28">
        <f>IF($H137="","",DATE(YEAR($H137),MONTH($H137),1))</f>
        <v/>
      </c>
      <c r="N137" s="26">
        <f>IF($H137="","",TODAY()-$H137)</f>
        <v/>
      </c>
      <c r="O137" s="15" t="n"/>
      <c r="P137" s="15" t="n"/>
      <c r="Q137" s="15" t="n"/>
      <c r="R137" s="25" t="n"/>
      <c r="S137" s="26">
        <f>IF($A137="","",AND(OR('Assignment Builder'!$B$5="",$B137='Assignment Builder'!$B$5),OR('Assignment Builder'!$B$6="",ISNUMBER(SEARCH('Assignment Builder'!$B$6,$C137))),OR('Assignment Builder'!$B$7="",'Assignment Builder'!$B$7=IFERROR(INDEX('Category Dictionary'!$C$5:$C$135,MATCH($L137,'Category Dictionary'!$D$5:$D$135,0)),"")),OR('Assignment Builder'!$B$8="",$D137='Assignment Builder'!$B$8),OR('Assignment Builder'!$B$9="",$F137='Assignment Builder'!$B$9),OR('Assignment Builder'!$B$10="",$O137='Assignment Builder'!$B$10),OR('Assignment Builder'!$B$11="",$H137&gt;='Assignment Builder'!$B$11),OR('Assignment Builder'!$B$12="",N($Q137)&lt;='Assignment Builder'!$B$12)))</f>
        <v/>
      </c>
      <c r="T137" s="23" t="n"/>
    </row>
    <row r="138">
      <c r="A138" s="23" t="n"/>
      <c r="B138" s="23" t="n"/>
      <c r="C138" s="24" t="n"/>
      <c r="D138" s="15" t="n"/>
      <c r="E138" s="23" t="n"/>
      <c r="F138" s="15" t="n"/>
      <c r="G138" s="23" t="n"/>
      <c r="H138" s="25" t="n"/>
      <c r="I138" s="15" t="n"/>
      <c r="J138" s="26">
        <f>IF($A138="","",LEN($C138)-LEN(SUBSTITUTE($C138,",",""))+1)</f>
        <v/>
      </c>
      <c r="K138" s="26">
        <f>IF($A138="","",SUMPRODUCT(--ISNUMBER(SEARCH('Category Dictionary'!$D$5:$D$135&amp;"",$C138)),--('Category Dictionary'!$D$5:$D$135&lt;&gt;"")))</f>
        <v/>
      </c>
      <c r="L138" s="27">
        <f>IF($A138="","",TRIM(IF(ISERROR(FIND(",",$C138)),$C138,LEFT($C138,FIND(",",$C138)-1))))</f>
        <v/>
      </c>
      <c r="M138" s="28">
        <f>IF($H138="","",DATE(YEAR($H138),MONTH($H138),1))</f>
        <v/>
      </c>
      <c r="N138" s="26">
        <f>IF($H138="","",TODAY()-$H138)</f>
        <v/>
      </c>
      <c r="O138" s="15" t="n"/>
      <c r="P138" s="15" t="n"/>
      <c r="Q138" s="15" t="n"/>
      <c r="R138" s="25" t="n"/>
      <c r="S138" s="26">
        <f>IF($A138="","",AND(OR('Assignment Builder'!$B$5="",$B138='Assignment Builder'!$B$5),OR('Assignment Builder'!$B$6="",ISNUMBER(SEARCH('Assignment Builder'!$B$6,$C138))),OR('Assignment Builder'!$B$7="",'Assignment Builder'!$B$7=IFERROR(INDEX('Category Dictionary'!$C$5:$C$135,MATCH($L138,'Category Dictionary'!$D$5:$D$135,0)),"")),OR('Assignment Builder'!$B$8="",$D138='Assignment Builder'!$B$8),OR('Assignment Builder'!$B$9="",$F138='Assignment Builder'!$B$9),OR('Assignment Builder'!$B$10="",$O138='Assignment Builder'!$B$10),OR('Assignment Builder'!$B$11="",$H138&gt;='Assignment Builder'!$B$11),OR('Assignment Builder'!$B$12="",N($Q138)&lt;='Assignment Builder'!$B$12)))</f>
        <v/>
      </c>
      <c r="T138" s="23" t="n"/>
    </row>
    <row r="139">
      <c r="A139" s="23" t="n"/>
      <c r="B139" s="23" t="n"/>
      <c r="C139" s="24" t="n"/>
      <c r="D139" s="15" t="n"/>
      <c r="E139" s="23" t="n"/>
      <c r="F139" s="15" t="n"/>
      <c r="G139" s="23" t="n"/>
      <c r="H139" s="25" t="n"/>
      <c r="I139" s="15" t="n"/>
      <c r="J139" s="26">
        <f>IF($A139="","",LEN($C139)-LEN(SUBSTITUTE($C139,",",""))+1)</f>
        <v/>
      </c>
      <c r="K139" s="26">
        <f>IF($A139="","",SUMPRODUCT(--ISNUMBER(SEARCH('Category Dictionary'!$D$5:$D$135&amp;"",$C139)),--('Category Dictionary'!$D$5:$D$135&lt;&gt;"")))</f>
        <v/>
      </c>
      <c r="L139" s="27">
        <f>IF($A139="","",TRIM(IF(ISERROR(FIND(",",$C139)),$C139,LEFT($C139,FIND(",",$C139)-1))))</f>
        <v/>
      </c>
      <c r="M139" s="28">
        <f>IF($H139="","",DATE(YEAR($H139),MONTH($H139),1))</f>
        <v/>
      </c>
      <c r="N139" s="26">
        <f>IF($H139="","",TODAY()-$H139)</f>
        <v/>
      </c>
      <c r="O139" s="15" t="n"/>
      <c r="P139" s="15" t="n"/>
      <c r="Q139" s="15" t="n"/>
      <c r="R139" s="25" t="n"/>
      <c r="S139" s="26">
        <f>IF($A139="","",AND(OR('Assignment Builder'!$B$5="",$B139='Assignment Builder'!$B$5),OR('Assignment Builder'!$B$6="",ISNUMBER(SEARCH('Assignment Builder'!$B$6,$C139))),OR('Assignment Builder'!$B$7="",'Assignment Builder'!$B$7=IFERROR(INDEX('Category Dictionary'!$C$5:$C$135,MATCH($L139,'Category Dictionary'!$D$5:$D$135,0)),"")),OR('Assignment Builder'!$B$8="",$D139='Assignment Builder'!$B$8),OR('Assignment Builder'!$B$9="",$F139='Assignment Builder'!$B$9),OR('Assignment Builder'!$B$10="",$O139='Assignment Builder'!$B$10),OR('Assignment Builder'!$B$11="",$H139&gt;='Assignment Builder'!$B$11),OR('Assignment Builder'!$B$12="",N($Q139)&lt;='Assignment Builder'!$B$12)))</f>
        <v/>
      </c>
      <c r="T139" s="23" t="n"/>
    </row>
    <row r="140">
      <c r="A140" s="23" t="n"/>
      <c r="B140" s="23" t="n"/>
      <c r="C140" s="24" t="n"/>
      <c r="D140" s="15" t="n"/>
      <c r="E140" s="23" t="n"/>
      <c r="F140" s="15" t="n"/>
      <c r="G140" s="23" t="n"/>
      <c r="H140" s="25" t="n"/>
      <c r="I140" s="15" t="n"/>
      <c r="J140" s="26">
        <f>IF($A140="","",LEN($C140)-LEN(SUBSTITUTE($C140,",",""))+1)</f>
        <v/>
      </c>
      <c r="K140" s="26">
        <f>IF($A140="","",SUMPRODUCT(--ISNUMBER(SEARCH('Category Dictionary'!$D$5:$D$135&amp;"",$C140)),--('Category Dictionary'!$D$5:$D$135&lt;&gt;"")))</f>
        <v/>
      </c>
      <c r="L140" s="27">
        <f>IF($A140="","",TRIM(IF(ISERROR(FIND(",",$C140)),$C140,LEFT($C140,FIND(",",$C140)-1))))</f>
        <v/>
      </c>
      <c r="M140" s="28">
        <f>IF($H140="","",DATE(YEAR($H140),MONTH($H140),1))</f>
        <v/>
      </c>
      <c r="N140" s="26">
        <f>IF($H140="","",TODAY()-$H140)</f>
        <v/>
      </c>
      <c r="O140" s="15" t="n"/>
      <c r="P140" s="15" t="n"/>
      <c r="Q140" s="15" t="n"/>
      <c r="R140" s="25" t="n"/>
      <c r="S140" s="26">
        <f>IF($A140="","",AND(OR('Assignment Builder'!$B$5="",$B140='Assignment Builder'!$B$5),OR('Assignment Builder'!$B$6="",ISNUMBER(SEARCH('Assignment Builder'!$B$6,$C140))),OR('Assignment Builder'!$B$7="",'Assignment Builder'!$B$7=IFERROR(INDEX('Category Dictionary'!$C$5:$C$135,MATCH($L140,'Category Dictionary'!$D$5:$D$135,0)),"")),OR('Assignment Builder'!$B$8="",$D140='Assignment Builder'!$B$8),OR('Assignment Builder'!$B$9="",$F140='Assignment Builder'!$B$9),OR('Assignment Builder'!$B$10="",$O140='Assignment Builder'!$B$10),OR('Assignment Builder'!$B$11="",$H140&gt;='Assignment Builder'!$B$11),OR('Assignment Builder'!$B$12="",N($Q140)&lt;='Assignment Builder'!$B$12)))</f>
        <v/>
      </c>
      <c r="T140" s="23" t="n"/>
    </row>
    <row r="141">
      <c r="A141" s="23" t="n"/>
      <c r="B141" s="23" t="n"/>
      <c r="C141" s="24" t="n"/>
      <c r="D141" s="15" t="n"/>
      <c r="E141" s="23" t="n"/>
      <c r="F141" s="15" t="n"/>
      <c r="G141" s="23" t="n"/>
      <c r="H141" s="25" t="n"/>
      <c r="I141" s="15" t="n"/>
      <c r="J141" s="26">
        <f>IF($A141="","",LEN($C141)-LEN(SUBSTITUTE($C141,",",""))+1)</f>
        <v/>
      </c>
      <c r="K141" s="26">
        <f>IF($A141="","",SUMPRODUCT(--ISNUMBER(SEARCH('Category Dictionary'!$D$5:$D$135&amp;"",$C141)),--('Category Dictionary'!$D$5:$D$135&lt;&gt;"")))</f>
        <v/>
      </c>
      <c r="L141" s="27">
        <f>IF($A141="","",TRIM(IF(ISERROR(FIND(",",$C141)),$C141,LEFT($C141,FIND(",",$C141)-1))))</f>
        <v/>
      </c>
      <c r="M141" s="28">
        <f>IF($H141="","",DATE(YEAR($H141),MONTH($H141),1))</f>
        <v/>
      </c>
      <c r="N141" s="26">
        <f>IF($H141="","",TODAY()-$H141)</f>
        <v/>
      </c>
      <c r="O141" s="15" t="n"/>
      <c r="P141" s="15" t="n"/>
      <c r="Q141" s="15" t="n"/>
      <c r="R141" s="25" t="n"/>
      <c r="S141" s="26">
        <f>IF($A141="","",AND(OR('Assignment Builder'!$B$5="",$B141='Assignment Builder'!$B$5),OR('Assignment Builder'!$B$6="",ISNUMBER(SEARCH('Assignment Builder'!$B$6,$C141))),OR('Assignment Builder'!$B$7="",'Assignment Builder'!$B$7=IFERROR(INDEX('Category Dictionary'!$C$5:$C$135,MATCH($L141,'Category Dictionary'!$D$5:$D$135,0)),"")),OR('Assignment Builder'!$B$8="",$D141='Assignment Builder'!$B$8),OR('Assignment Builder'!$B$9="",$F141='Assignment Builder'!$B$9),OR('Assignment Builder'!$B$10="",$O141='Assignment Builder'!$B$10),OR('Assignment Builder'!$B$11="",$H141&gt;='Assignment Builder'!$B$11),OR('Assignment Builder'!$B$12="",N($Q141)&lt;='Assignment Builder'!$B$12)))</f>
        <v/>
      </c>
      <c r="T141" s="23" t="n"/>
    </row>
    <row r="142">
      <c r="A142" s="23" t="n"/>
      <c r="B142" s="23" t="n"/>
      <c r="C142" s="24" t="n"/>
      <c r="D142" s="15" t="n"/>
      <c r="E142" s="23" t="n"/>
      <c r="F142" s="15" t="n"/>
      <c r="G142" s="23" t="n"/>
      <c r="H142" s="25" t="n"/>
      <c r="I142" s="15" t="n"/>
      <c r="J142" s="26">
        <f>IF($A142="","",LEN($C142)-LEN(SUBSTITUTE($C142,",",""))+1)</f>
        <v/>
      </c>
      <c r="K142" s="26">
        <f>IF($A142="","",SUMPRODUCT(--ISNUMBER(SEARCH('Category Dictionary'!$D$5:$D$135&amp;"",$C142)),--('Category Dictionary'!$D$5:$D$135&lt;&gt;"")))</f>
        <v/>
      </c>
      <c r="L142" s="27">
        <f>IF($A142="","",TRIM(IF(ISERROR(FIND(",",$C142)),$C142,LEFT($C142,FIND(",",$C142)-1))))</f>
        <v/>
      </c>
      <c r="M142" s="28">
        <f>IF($H142="","",DATE(YEAR($H142),MONTH($H142),1))</f>
        <v/>
      </c>
      <c r="N142" s="26">
        <f>IF($H142="","",TODAY()-$H142)</f>
        <v/>
      </c>
      <c r="O142" s="15" t="n"/>
      <c r="P142" s="15" t="n"/>
      <c r="Q142" s="15" t="n"/>
      <c r="R142" s="25" t="n"/>
      <c r="S142" s="26">
        <f>IF($A142="","",AND(OR('Assignment Builder'!$B$5="",$B142='Assignment Builder'!$B$5),OR('Assignment Builder'!$B$6="",ISNUMBER(SEARCH('Assignment Builder'!$B$6,$C142))),OR('Assignment Builder'!$B$7="",'Assignment Builder'!$B$7=IFERROR(INDEX('Category Dictionary'!$C$5:$C$135,MATCH($L142,'Category Dictionary'!$D$5:$D$135,0)),"")),OR('Assignment Builder'!$B$8="",$D142='Assignment Builder'!$B$8),OR('Assignment Builder'!$B$9="",$F142='Assignment Builder'!$B$9),OR('Assignment Builder'!$B$10="",$O142='Assignment Builder'!$B$10),OR('Assignment Builder'!$B$11="",$H142&gt;='Assignment Builder'!$B$11),OR('Assignment Builder'!$B$12="",N($Q142)&lt;='Assignment Builder'!$B$12)))</f>
        <v/>
      </c>
      <c r="T142" s="23" t="n"/>
    </row>
    <row r="143">
      <c r="A143" s="23" t="n"/>
      <c r="B143" s="23" t="n"/>
      <c r="C143" s="24" t="n"/>
      <c r="D143" s="15" t="n"/>
      <c r="E143" s="23" t="n"/>
      <c r="F143" s="15" t="n"/>
      <c r="G143" s="23" t="n"/>
      <c r="H143" s="25" t="n"/>
      <c r="I143" s="15" t="n"/>
      <c r="J143" s="26">
        <f>IF($A143="","",LEN($C143)-LEN(SUBSTITUTE($C143,",",""))+1)</f>
        <v/>
      </c>
      <c r="K143" s="26">
        <f>IF($A143="","",SUMPRODUCT(--ISNUMBER(SEARCH('Category Dictionary'!$D$5:$D$135&amp;"",$C143)),--('Category Dictionary'!$D$5:$D$135&lt;&gt;"")))</f>
        <v/>
      </c>
      <c r="L143" s="27">
        <f>IF($A143="","",TRIM(IF(ISERROR(FIND(",",$C143)),$C143,LEFT($C143,FIND(",",$C143)-1))))</f>
        <v/>
      </c>
      <c r="M143" s="28">
        <f>IF($H143="","",DATE(YEAR($H143),MONTH($H143),1))</f>
        <v/>
      </c>
      <c r="N143" s="26">
        <f>IF($H143="","",TODAY()-$H143)</f>
        <v/>
      </c>
      <c r="O143" s="15" t="n"/>
      <c r="P143" s="15" t="n"/>
      <c r="Q143" s="15" t="n"/>
      <c r="R143" s="25" t="n"/>
      <c r="S143" s="26">
        <f>IF($A143="","",AND(OR('Assignment Builder'!$B$5="",$B143='Assignment Builder'!$B$5),OR('Assignment Builder'!$B$6="",ISNUMBER(SEARCH('Assignment Builder'!$B$6,$C143))),OR('Assignment Builder'!$B$7="",'Assignment Builder'!$B$7=IFERROR(INDEX('Category Dictionary'!$C$5:$C$135,MATCH($L143,'Category Dictionary'!$D$5:$D$135,0)),"")),OR('Assignment Builder'!$B$8="",$D143='Assignment Builder'!$B$8),OR('Assignment Builder'!$B$9="",$F143='Assignment Builder'!$B$9),OR('Assignment Builder'!$B$10="",$O143='Assignment Builder'!$B$10),OR('Assignment Builder'!$B$11="",$H143&gt;='Assignment Builder'!$B$11),OR('Assignment Builder'!$B$12="",N($Q143)&lt;='Assignment Builder'!$B$12)))</f>
        <v/>
      </c>
      <c r="T143" s="23" t="n"/>
    </row>
    <row r="144">
      <c r="A144" s="23" t="n"/>
      <c r="B144" s="23" t="n"/>
      <c r="C144" s="24" t="n"/>
      <c r="D144" s="15" t="n"/>
      <c r="E144" s="23" t="n"/>
      <c r="F144" s="15" t="n"/>
      <c r="G144" s="23" t="n"/>
      <c r="H144" s="25" t="n"/>
      <c r="I144" s="15" t="n"/>
      <c r="J144" s="26">
        <f>IF($A144="","",LEN($C144)-LEN(SUBSTITUTE($C144,",",""))+1)</f>
        <v/>
      </c>
      <c r="K144" s="26">
        <f>IF($A144="","",SUMPRODUCT(--ISNUMBER(SEARCH('Category Dictionary'!$D$5:$D$135&amp;"",$C144)),--('Category Dictionary'!$D$5:$D$135&lt;&gt;"")))</f>
        <v/>
      </c>
      <c r="L144" s="27">
        <f>IF($A144="","",TRIM(IF(ISERROR(FIND(",",$C144)),$C144,LEFT($C144,FIND(",",$C144)-1))))</f>
        <v/>
      </c>
      <c r="M144" s="28">
        <f>IF($H144="","",DATE(YEAR($H144),MONTH($H144),1))</f>
        <v/>
      </c>
      <c r="N144" s="26">
        <f>IF($H144="","",TODAY()-$H144)</f>
        <v/>
      </c>
      <c r="O144" s="15" t="n"/>
      <c r="P144" s="15" t="n"/>
      <c r="Q144" s="15" t="n"/>
      <c r="R144" s="25" t="n"/>
      <c r="S144" s="26">
        <f>IF($A144="","",AND(OR('Assignment Builder'!$B$5="",$B144='Assignment Builder'!$B$5),OR('Assignment Builder'!$B$6="",ISNUMBER(SEARCH('Assignment Builder'!$B$6,$C144))),OR('Assignment Builder'!$B$7="",'Assignment Builder'!$B$7=IFERROR(INDEX('Category Dictionary'!$C$5:$C$135,MATCH($L144,'Category Dictionary'!$D$5:$D$135,0)),"")),OR('Assignment Builder'!$B$8="",$D144='Assignment Builder'!$B$8),OR('Assignment Builder'!$B$9="",$F144='Assignment Builder'!$B$9),OR('Assignment Builder'!$B$10="",$O144='Assignment Builder'!$B$10),OR('Assignment Builder'!$B$11="",$H144&gt;='Assignment Builder'!$B$11),OR('Assignment Builder'!$B$12="",N($Q144)&lt;='Assignment Builder'!$B$12)))</f>
        <v/>
      </c>
      <c r="T144" s="23" t="n"/>
    </row>
    <row r="145">
      <c r="A145" s="23" t="n"/>
      <c r="B145" s="23" t="n"/>
      <c r="C145" s="24" t="n"/>
      <c r="D145" s="15" t="n"/>
      <c r="E145" s="23" t="n"/>
      <c r="F145" s="15" t="n"/>
      <c r="G145" s="23" t="n"/>
      <c r="H145" s="25" t="n"/>
      <c r="I145" s="15" t="n"/>
      <c r="J145" s="26">
        <f>IF($A145="","",LEN($C145)-LEN(SUBSTITUTE($C145,",",""))+1)</f>
        <v/>
      </c>
      <c r="K145" s="26">
        <f>IF($A145="","",SUMPRODUCT(--ISNUMBER(SEARCH('Category Dictionary'!$D$5:$D$135&amp;"",$C145)),--('Category Dictionary'!$D$5:$D$135&lt;&gt;"")))</f>
        <v/>
      </c>
      <c r="L145" s="27">
        <f>IF($A145="","",TRIM(IF(ISERROR(FIND(",",$C145)),$C145,LEFT($C145,FIND(",",$C145)-1))))</f>
        <v/>
      </c>
      <c r="M145" s="28">
        <f>IF($H145="","",DATE(YEAR($H145),MONTH($H145),1))</f>
        <v/>
      </c>
      <c r="N145" s="26">
        <f>IF($H145="","",TODAY()-$H145)</f>
        <v/>
      </c>
      <c r="O145" s="15" t="n"/>
      <c r="P145" s="15" t="n"/>
      <c r="Q145" s="15" t="n"/>
      <c r="R145" s="25" t="n"/>
      <c r="S145" s="26">
        <f>IF($A145="","",AND(OR('Assignment Builder'!$B$5="",$B145='Assignment Builder'!$B$5),OR('Assignment Builder'!$B$6="",ISNUMBER(SEARCH('Assignment Builder'!$B$6,$C145))),OR('Assignment Builder'!$B$7="",'Assignment Builder'!$B$7=IFERROR(INDEX('Category Dictionary'!$C$5:$C$135,MATCH($L145,'Category Dictionary'!$D$5:$D$135,0)),"")),OR('Assignment Builder'!$B$8="",$D145='Assignment Builder'!$B$8),OR('Assignment Builder'!$B$9="",$F145='Assignment Builder'!$B$9),OR('Assignment Builder'!$B$10="",$O145='Assignment Builder'!$B$10),OR('Assignment Builder'!$B$11="",$H145&gt;='Assignment Builder'!$B$11),OR('Assignment Builder'!$B$12="",N($Q145)&lt;='Assignment Builder'!$B$12)))</f>
        <v/>
      </c>
      <c r="T145" s="23" t="n"/>
    </row>
    <row r="146">
      <c r="A146" s="23" t="n"/>
      <c r="B146" s="23" t="n"/>
      <c r="C146" s="24" t="n"/>
      <c r="D146" s="15" t="n"/>
      <c r="E146" s="23" t="n"/>
      <c r="F146" s="15" t="n"/>
      <c r="G146" s="23" t="n"/>
      <c r="H146" s="25" t="n"/>
      <c r="I146" s="15" t="n"/>
      <c r="J146" s="26">
        <f>IF($A146="","",LEN($C146)-LEN(SUBSTITUTE($C146,",",""))+1)</f>
        <v/>
      </c>
      <c r="K146" s="26">
        <f>IF($A146="","",SUMPRODUCT(--ISNUMBER(SEARCH('Category Dictionary'!$D$5:$D$135&amp;"",$C146)),--('Category Dictionary'!$D$5:$D$135&lt;&gt;"")))</f>
        <v/>
      </c>
      <c r="L146" s="27">
        <f>IF($A146="","",TRIM(IF(ISERROR(FIND(",",$C146)),$C146,LEFT($C146,FIND(",",$C146)-1))))</f>
        <v/>
      </c>
      <c r="M146" s="28">
        <f>IF($H146="","",DATE(YEAR($H146),MONTH($H146),1))</f>
        <v/>
      </c>
      <c r="N146" s="26">
        <f>IF($H146="","",TODAY()-$H146)</f>
        <v/>
      </c>
      <c r="O146" s="15" t="n"/>
      <c r="P146" s="15" t="n"/>
      <c r="Q146" s="15" t="n"/>
      <c r="R146" s="25" t="n"/>
      <c r="S146" s="26">
        <f>IF($A146="","",AND(OR('Assignment Builder'!$B$5="",$B146='Assignment Builder'!$B$5),OR('Assignment Builder'!$B$6="",ISNUMBER(SEARCH('Assignment Builder'!$B$6,$C146))),OR('Assignment Builder'!$B$7="",'Assignment Builder'!$B$7=IFERROR(INDEX('Category Dictionary'!$C$5:$C$135,MATCH($L146,'Category Dictionary'!$D$5:$D$135,0)),"")),OR('Assignment Builder'!$B$8="",$D146='Assignment Builder'!$B$8),OR('Assignment Builder'!$B$9="",$F146='Assignment Builder'!$B$9),OR('Assignment Builder'!$B$10="",$O146='Assignment Builder'!$B$10),OR('Assignment Builder'!$B$11="",$H146&gt;='Assignment Builder'!$B$11),OR('Assignment Builder'!$B$12="",N($Q146)&lt;='Assignment Builder'!$B$12)))</f>
        <v/>
      </c>
      <c r="T146" s="23" t="n"/>
    </row>
    <row r="147">
      <c r="A147" s="23" t="n"/>
      <c r="B147" s="23" t="n"/>
      <c r="C147" s="24" t="n"/>
      <c r="D147" s="15" t="n"/>
      <c r="E147" s="23" t="n"/>
      <c r="F147" s="15" t="n"/>
      <c r="G147" s="23" t="n"/>
      <c r="H147" s="25" t="n"/>
      <c r="I147" s="15" t="n"/>
      <c r="J147" s="26">
        <f>IF($A147="","",LEN($C147)-LEN(SUBSTITUTE($C147,",",""))+1)</f>
        <v/>
      </c>
      <c r="K147" s="26">
        <f>IF($A147="","",SUMPRODUCT(--ISNUMBER(SEARCH('Category Dictionary'!$D$5:$D$135&amp;"",$C147)),--('Category Dictionary'!$D$5:$D$135&lt;&gt;"")))</f>
        <v/>
      </c>
      <c r="L147" s="27">
        <f>IF($A147="","",TRIM(IF(ISERROR(FIND(",",$C147)),$C147,LEFT($C147,FIND(",",$C147)-1))))</f>
        <v/>
      </c>
      <c r="M147" s="28">
        <f>IF($H147="","",DATE(YEAR($H147),MONTH($H147),1))</f>
        <v/>
      </c>
      <c r="N147" s="26">
        <f>IF($H147="","",TODAY()-$H147)</f>
        <v/>
      </c>
      <c r="O147" s="15" t="n"/>
      <c r="P147" s="15" t="n"/>
      <c r="Q147" s="15" t="n"/>
      <c r="R147" s="25" t="n"/>
      <c r="S147" s="26">
        <f>IF($A147="","",AND(OR('Assignment Builder'!$B$5="",$B147='Assignment Builder'!$B$5),OR('Assignment Builder'!$B$6="",ISNUMBER(SEARCH('Assignment Builder'!$B$6,$C147))),OR('Assignment Builder'!$B$7="",'Assignment Builder'!$B$7=IFERROR(INDEX('Category Dictionary'!$C$5:$C$135,MATCH($L147,'Category Dictionary'!$D$5:$D$135,0)),"")),OR('Assignment Builder'!$B$8="",$D147='Assignment Builder'!$B$8),OR('Assignment Builder'!$B$9="",$F147='Assignment Builder'!$B$9),OR('Assignment Builder'!$B$10="",$O147='Assignment Builder'!$B$10),OR('Assignment Builder'!$B$11="",$H147&gt;='Assignment Builder'!$B$11),OR('Assignment Builder'!$B$12="",N($Q147)&lt;='Assignment Builder'!$B$12)))</f>
        <v/>
      </c>
      <c r="T147" s="23" t="n"/>
    </row>
    <row r="148">
      <c r="A148" s="23" t="n"/>
      <c r="B148" s="23" t="n"/>
      <c r="C148" s="24" t="n"/>
      <c r="D148" s="15" t="n"/>
      <c r="E148" s="23" t="n"/>
      <c r="F148" s="15" t="n"/>
      <c r="G148" s="23" t="n"/>
      <c r="H148" s="25" t="n"/>
      <c r="I148" s="15" t="n"/>
      <c r="J148" s="26">
        <f>IF($A148="","",LEN($C148)-LEN(SUBSTITUTE($C148,",",""))+1)</f>
        <v/>
      </c>
      <c r="K148" s="26">
        <f>IF($A148="","",SUMPRODUCT(--ISNUMBER(SEARCH('Category Dictionary'!$D$5:$D$135&amp;"",$C148)),--('Category Dictionary'!$D$5:$D$135&lt;&gt;"")))</f>
        <v/>
      </c>
      <c r="L148" s="27">
        <f>IF($A148="","",TRIM(IF(ISERROR(FIND(",",$C148)),$C148,LEFT($C148,FIND(",",$C148)-1))))</f>
        <v/>
      </c>
      <c r="M148" s="28">
        <f>IF($H148="","",DATE(YEAR($H148),MONTH($H148),1))</f>
        <v/>
      </c>
      <c r="N148" s="26">
        <f>IF($H148="","",TODAY()-$H148)</f>
        <v/>
      </c>
      <c r="O148" s="15" t="n"/>
      <c r="P148" s="15" t="n"/>
      <c r="Q148" s="15" t="n"/>
      <c r="R148" s="25" t="n"/>
      <c r="S148" s="26">
        <f>IF($A148="","",AND(OR('Assignment Builder'!$B$5="",$B148='Assignment Builder'!$B$5),OR('Assignment Builder'!$B$6="",ISNUMBER(SEARCH('Assignment Builder'!$B$6,$C148))),OR('Assignment Builder'!$B$7="",'Assignment Builder'!$B$7=IFERROR(INDEX('Category Dictionary'!$C$5:$C$135,MATCH($L148,'Category Dictionary'!$D$5:$D$135,0)),"")),OR('Assignment Builder'!$B$8="",$D148='Assignment Builder'!$B$8),OR('Assignment Builder'!$B$9="",$F148='Assignment Builder'!$B$9),OR('Assignment Builder'!$B$10="",$O148='Assignment Builder'!$B$10),OR('Assignment Builder'!$B$11="",$H148&gt;='Assignment Builder'!$B$11),OR('Assignment Builder'!$B$12="",N($Q148)&lt;='Assignment Builder'!$B$12)))</f>
        <v/>
      </c>
      <c r="T148" s="23" t="n"/>
    </row>
    <row r="149">
      <c r="A149" s="23" t="n"/>
      <c r="B149" s="23" t="n"/>
      <c r="C149" s="24" t="n"/>
      <c r="D149" s="15" t="n"/>
      <c r="E149" s="23" t="n"/>
      <c r="F149" s="15" t="n"/>
      <c r="G149" s="23" t="n"/>
      <c r="H149" s="25" t="n"/>
      <c r="I149" s="15" t="n"/>
      <c r="J149" s="26">
        <f>IF($A149="","",LEN($C149)-LEN(SUBSTITUTE($C149,",",""))+1)</f>
        <v/>
      </c>
      <c r="K149" s="26">
        <f>IF($A149="","",SUMPRODUCT(--ISNUMBER(SEARCH('Category Dictionary'!$D$5:$D$135&amp;"",$C149)),--('Category Dictionary'!$D$5:$D$135&lt;&gt;"")))</f>
        <v/>
      </c>
      <c r="L149" s="27">
        <f>IF($A149="","",TRIM(IF(ISERROR(FIND(",",$C149)),$C149,LEFT($C149,FIND(",",$C149)-1))))</f>
        <v/>
      </c>
      <c r="M149" s="28">
        <f>IF($H149="","",DATE(YEAR($H149),MONTH($H149),1))</f>
        <v/>
      </c>
      <c r="N149" s="26">
        <f>IF($H149="","",TODAY()-$H149)</f>
        <v/>
      </c>
      <c r="O149" s="15" t="n"/>
      <c r="P149" s="15" t="n"/>
      <c r="Q149" s="15" t="n"/>
      <c r="R149" s="25" t="n"/>
      <c r="S149" s="26">
        <f>IF($A149="","",AND(OR('Assignment Builder'!$B$5="",$B149='Assignment Builder'!$B$5),OR('Assignment Builder'!$B$6="",ISNUMBER(SEARCH('Assignment Builder'!$B$6,$C149))),OR('Assignment Builder'!$B$7="",'Assignment Builder'!$B$7=IFERROR(INDEX('Category Dictionary'!$C$5:$C$135,MATCH($L149,'Category Dictionary'!$D$5:$D$135,0)),"")),OR('Assignment Builder'!$B$8="",$D149='Assignment Builder'!$B$8),OR('Assignment Builder'!$B$9="",$F149='Assignment Builder'!$B$9),OR('Assignment Builder'!$B$10="",$O149='Assignment Builder'!$B$10),OR('Assignment Builder'!$B$11="",$H149&gt;='Assignment Builder'!$B$11),OR('Assignment Builder'!$B$12="",N($Q149)&lt;='Assignment Builder'!$B$12)))</f>
        <v/>
      </c>
      <c r="T149" s="23" t="n"/>
    </row>
    <row r="150">
      <c r="A150" s="23" t="n"/>
      <c r="B150" s="23" t="n"/>
      <c r="C150" s="24" t="n"/>
      <c r="D150" s="15" t="n"/>
      <c r="E150" s="23" t="n"/>
      <c r="F150" s="15" t="n"/>
      <c r="G150" s="23" t="n"/>
      <c r="H150" s="25" t="n"/>
      <c r="I150" s="15" t="n"/>
      <c r="J150" s="26">
        <f>IF($A150="","",LEN($C150)-LEN(SUBSTITUTE($C150,",",""))+1)</f>
        <v/>
      </c>
      <c r="K150" s="26">
        <f>IF($A150="","",SUMPRODUCT(--ISNUMBER(SEARCH('Category Dictionary'!$D$5:$D$135&amp;"",$C150)),--('Category Dictionary'!$D$5:$D$135&lt;&gt;"")))</f>
        <v/>
      </c>
      <c r="L150" s="27">
        <f>IF($A150="","",TRIM(IF(ISERROR(FIND(",",$C150)),$C150,LEFT($C150,FIND(",",$C150)-1))))</f>
        <v/>
      </c>
      <c r="M150" s="28">
        <f>IF($H150="","",DATE(YEAR($H150),MONTH($H150),1))</f>
        <v/>
      </c>
      <c r="N150" s="26">
        <f>IF($H150="","",TODAY()-$H150)</f>
        <v/>
      </c>
      <c r="O150" s="15" t="n"/>
      <c r="P150" s="15" t="n"/>
      <c r="Q150" s="15" t="n"/>
      <c r="R150" s="25" t="n"/>
      <c r="S150" s="26">
        <f>IF($A150="","",AND(OR('Assignment Builder'!$B$5="",$B150='Assignment Builder'!$B$5),OR('Assignment Builder'!$B$6="",ISNUMBER(SEARCH('Assignment Builder'!$B$6,$C150))),OR('Assignment Builder'!$B$7="",'Assignment Builder'!$B$7=IFERROR(INDEX('Category Dictionary'!$C$5:$C$135,MATCH($L150,'Category Dictionary'!$D$5:$D$135,0)),"")),OR('Assignment Builder'!$B$8="",$D150='Assignment Builder'!$B$8),OR('Assignment Builder'!$B$9="",$F150='Assignment Builder'!$B$9),OR('Assignment Builder'!$B$10="",$O150='Assignment Builder'!$B$10),OR('Assignment Builder'!$B$11="",$H150&gt;='Assignment Builder'!$B$11),OR('Assignment Builder'!$B$12="",N($Q150)&lt;='Assignment Builder'!$B$12)))</f>
        <v/>
      </c>
      <c r="T150" s="23" t="n"/>
    </row>
    <row r="151">
      <c r="A151" s="23" t="n"/>
      <c r="B151" s="23" t="n"/>
      <c r="C151" s="24" t="n"/>
      <c r="D151" s="15" t="n"/>
      <c r="E151" s="23" t="n"/>
      <c r="F151" s="15" t="n"/>
      <c r="G151" s="23" t="n"/>
      <c r="H151" s="25" t="n"/>
      <c r="I151" s="15" t="n"/>
      <c r="J151" s="26">
        <f>IF($A151="","",LEN($C151)-LEN(SUBSTITUTE($C151,",",""))+1)</f>
        <v/>
      </c>
      <c r="K151" s="26">
        <f>IF($A151="","",SUMPRODUCT(--ISNUMBER(SEARCH('Category Dictionary'!$D$5:$D$135&amp;"",$C151)),--('Category Dictionary'!$D$5:$D$135&lt;&gt;"")))</f>
        <v/>
      </c>
      <c r="L151" s="27">
        <f>IF($A151="","",TRIM(IF(ISERROR(FIND(",",$C151)),$C151,LEFT($C151,FIND(",",$C151)-1))))</f>
        <v/>
      </c>
      <c r="M151" s="28">
        <f>IF($H151="","",DATE(YEAR($H151),MONTH($H151),1))</f>
        <v/>
      </c>
      <c r="N151" s="26">
        <f>IF($H151="","",TODAY()-$H151)</f>
        <v/>
      </c>
      <c r="O151" s="15" t="n"/>
      <c r="P151" s="15" t="n"/>
      <c r="Q151" s="15" t="n"/>
      <c r="R151" s="25" t="n"/>
      <c r="S151" s="26">
        <f>IF($A151="","",AND(OR('Assignment Builder'!$B$5="",$B151='Assignment Builder'!$B$5),OR('Assignment Builder'!$B$6="",ISNUMBER(SEARCH('Assignment Builder'!$B$6,$C151))),OR('Assignment Builder'!$B$7="",'Assignment Builder'!$B$7=IFERROR(INDEX('Category Dictionary'!$C$5:$C$135,MATCH($L151,'Category Dictionary'!$D$5:$D$135,0)),"")),OR('Assignment Builder'!$B$8="",$D151='Assignment Builder'!$B$8),OR('Assignment Builder'!$B$9="",$F151='Assignment Builder'!$B$9),OR('Assignment Builder'!$B$10="",$O151='Assignment Builder'!$B$10),OR('Assignment Builder'!$B$11="",$H151&gt;='Assignment Builder'!$B$11),OR('Assignment Builder'!$B$12="",N($Q151)&lt;='Assignment Builder'!$B$12)))</f>
        <v/>
      </c>
      <c r="T151" s="23" t="n"/>
    </row>
    <row r="152">
      <c r="A152" s="23" t="n"/>
      <c r="B152" s="23" t="n"/>
      <c r="C152" s="24" t="n"/>
      <c r="D152" s="15" t="n"/>
      <c r="E152" s="23" t="n"/>
      <c r="F152" s="15" t="n"/>
      <c r="G152" s="23" t="n"/>
      <c r="H152" s="25" t="n"/>
      <c r="I152" s="15" t="n"/>
      <c r="J152" s="26">
        <f>IF($A152="","",LEN($C152)-LEN(SUBSTITUTE($C152,",",""))+1)</f>
        <v/>
      </c>
      <c r="K152" s="26">
        <f>IF($A152="","",SUMPRODUCT(--ISNUMBER(SEARCH('Category Dictionary'!$D$5:$D$135&amp;"",$C152)),--('Category Dictionary'!$D$5:$D$135&lt;&gt;"")))</f>
        <v/>
      </c>
      <c r="L152" s="27">
        <f>IF($A152="","",TRIM(IF(ISERROR(FIND(",",$C152)),$C152,LEFT($C152,FIND(",",$C152)-1))))</f>
        <v/>
      </c>
      <c r="M152" s="28">
        <f>IF($H152="","",DATE(YEAR($H152),MONTH($H152),1))</f>
        <v/>
      </c>
      <c r="N152" s="26">
        <f>IF($H152="","",TODAY()-$H152)</f>
        <v/>
      </c>
      <c r="O152" s="15" t="n"/>
      <c r="P152" s="15" t="n"/>
      <c r="Q152" s="15" t="n"/>
      <c r="R152" s="25" t="n"/>
      <c r="S152" s="26">
        <f>IF($A152="","",AND(OR('Assignment Builder'!$B$5="",$B152='Assignment Builder'!$B$5),OR('Assignment Builder'!$B$6="",ISNUMBER(SEARCH('Assignment Builder'!$B$6,$C152))),OR('Assignment Builder'!$B$7="",'Assignment Builder'!$B$7=IFERROR(INDEX('Category Dictionary'!$C$5:$C$135,MATCH($L152,'Category Dictionary'!$D$5:$D$135,0)),"")),OR('Assignment Builder'!$B$8="",$D152='Assignment Builder'!$B$8),OR('Assignment Builder'!$B$9="",$F152='Assignment Builder'!$B$9),OR('Assignment Builder'!$B$10="",$O152='Assignment Builder'!$B$10),OR('Assignment Builder'!$B$11="",$H152&gt;='Assignment Builder'!$B$11),OR('Assignment Builder'!$B$12="",N($Q152)&lt;='Assignment Builder'!$B$12)))</f>
        <v/>
      </c>
      <c r="T152" s="23" t="n"/>
    </row>
    <row r="153">
      <c r="A153" s="23" t="n"/>
      <c r="B153" s="23" t="n"/>
      <c r="C153" s="24" t="n"/>
      <c r="D153" s="15" t="n"/>
      <c r="E153" s="23" t="n"/>
      <c r="F153" s="15" t="n"/>
      <c r="G153" s="23" t="n"/>
      <c r="H153" s="25" t="n"/>
      <c r="I153" s="15" t="n"/>
      <c r="J153" s="26">
        <f>IF($A153="","",LEN($C153)-LEN(SUBSTITUTE($C153,",",""))+1)</f>
        <v/>
      </c>
      <c r="K153" s="26">
        <f>IF($A153="","",SUMPRODUCT(--ISNUMBER(SEARCH('Category Dictionary'!$D$5:$D$135&amp;"",$C153)),--('Category Dictionary'!$D$5:$D$135&lt;&gt;"")))</f>
        <v/>
      </c>
      <c r="L153" s="27">
        <f>IF($A153="","",TRIM(IF(ISERROR(FIND(",",$C153)),$C153,LEFT($C153,FIND(",",$C153)-1))))</f>
        <v/>
      </c>
      <c r="M153" s="28">
        <f>IF($H153="","",DATE(YEAR($H153),MONTH($H153),1))</f>
        <v/>
      </c>
      <c r="N153" s="26">
        <f>IF($H153="","",TODAY()-$H153)</f>
        <v/>
      </c>
      <c r="O153" s="15" t="n"/>
      <c r="P153" s="15" t="n"/>
      <c r="Q153" s="15" t="n"/>
      <c r="R153" s="25" t="n"/>
      <c r="S153" s="26">
        <f>IF($A153="","",AND(OR('Assignment Builder'!$B$5="",$B153='Assignment Builder'!$B$5),OR('Assignment Builder'!$B$6="",ISNUMBER(SEARCH('Assignment Builder'!$B$6,$C153))),OR('Assignment Builder'!$B$7="",'Assignment Builder'!$B$7=IFERROR(INDEX('Category Dictionary'!$C$5:$C$135,MATCH($L153,'Category Dictionary'!$D$5:$D$135,0)),"")),OR('Assignment Builder'!$B$8="",$D153='Assignment Builder'!$B$8),OR('Assignment Builder'!$B$9="",$F153='Assignment Builder'!$B$9),OR('Assignment Builder'!$B$10="",$O153='Assignment Builder'!$B$10),OR('Assignment Builder'!$B$11="",$H153&gt;='Assignment Builder'!$B$11),OR('Assignment Builder'!$B$12="",N($Q153)&lt;='Assignment Builder'!$B$12)))</f>
        <v/>
      </c>
      <c r="T153" s="23" t="n"/>
    </row>
    <row r="154">
      <c r="A154" s="23" t="n"/>
      <c r="B154" s="23" t="n"/>
      <c r="C154" s="24" t="n"/>
      <c r="D154" s="15" t="n"/>
      <c r="E154" s="23" t="n"/>
      <c r="F154" s="15" t="n"/>
      <c r="G154" s="23" t="n"/>
      <c r="H154" s="25" t="n"/>
      <c r="I154" s="15" t="n"/>
      <c r="J154" s="26">
        <f>IF($A154="","",LEN($C154)-LEN(SUBSTITUTE($C154,",",""))+1)</f>
        <v/>
      </c>
      <c r="K154" s="26">
        <f>IF($A154="","",SUMPRODUCT(--ISNUMBER(SEARCH('Category Dictionary'!$D$5:$D$135&amp;"",$C154)),--('Category Dictionary'!$D$5:$D$135&lt;&gt;"")))</f>
        <v/>
      </c>
      <c r="L154" s="27">
        <f>IF($A154="","",TRIM(IF(ISERROR(FIND(",",$C154)),$C154,LEFT($C154,FIND(",",$C154)-1))))</f>
        <v/>
      </c>
      <c r="M154" s="28">
        <f>IF($H154="","",DATE(YEAR($H154),MONTH($H154),1))</f>
        <v/>
      </c>
      <c r="N154" s="26">
        <f>IF($H154="","",TODAY()-$H154)</f>
        <v/>
      </c>
      <c r="O154" s="15" t="n"/>
      <c r="P154" s="15" t="n"/>
      <c r="Q154" s="15" t="n"/>
      <c r="R154" s="25" t="n"/>
      <c r="S154" s="26">
        <f>IF($A154="","",AND(OR('Assignment Builder'!$B$5="",$B154='Assignment Builder'!$B$5),OR('Assignment Builder'!$B$6="",ISNUMBER(SEARCH('Assignment Builder'!$B$6,$C154))),OR('Assignment Builder'!$B$7="",'Assignment Builder'!$B$7=IFERROR(INDEX('Category Dictionary'!$C$5:$C$135,MATCH($L154,'Category Dictionary'!$D$5:$D$135,0)),"")),OR('Assignment Builder'!$B$8="",$D154='Assignment Builder'!$B$8),OR('Assignment Builder'!$B$9="",$F154='Assignment Builder'!$B$9),OR('Assignment Builder'!$B$10="",$O154='Assignment Builder'!$B$10),OR('Assignment Builder'!$B$11="",$H154&gt;='Assignment Builder'!$B$11),OR('Assignment Builder'!$B$12="",N($Q154)&lt;='Assignment Builder'!$B$12)))</f>
        <v/>
      </c>
      <c r="T154" s="23" t="n"/>
    </row>
    <row r="155">
      <c r="A155" s="23" t="n"/>
      <c r="B155" s="23" t="n"/>
      <c r="C155" s="24" t="n"/>
      <c r="D155" s="15" t="n"/>
      <c r="E155" s="23" t="n"/>
      <c r="F155" s="15" t="n"/>
      <c r="G155" s="23" t="n"/>
      <c r="H155" s="25" t="n"/>
      <c r="I155" s="15" t="n"/>
      <c r="J155" s="26">
        <f>IF($A155="","",LEN($C155)-LEN(SUBSTITUTE($C155,",",""))+1)</f>
        <v/>
      </c>
      <c r="K155" s="26">
        <f>IF($A155="","",SUMPRODUCT(--ISNUMBER(SEARCH('Category Dictionary'!$D$5:$D$135&amp;"",$C155)),--('Category Dictionary'!$D$5:$D$135&lt;&gt;"")))</f>
        <v/>
      </c>
      <c r="L155" s="27">
        <f>IF($A155="","",TRIM(IF(ISERROR(FIND(",",$C155)),$C155,LEFT($C155,FIND(",",$C155)-1))))</f>
        <v/>
      </c>
      <c r="M155" s="28">
        <f>IF($H155="","",DATE(YEAR($H155),MONTH($H155),1))</f>
        <v/>
      </c>
      <c r="N155" s="26">
        <f>IF($H155="","",TODAY()-$H155)</f>
        <v/>
      </c>
      <c r="O155" s="15" t="n"/>
      <c r="P155" s="15" t="n"/>
      <c r="Q155" s="15" t="n"/>
      <c r="R155" s="25" t="n"/>
      <c r="S155" s="26">
        <f>IF($A155="","",AND(OR('Assignment Builder'!$B$5="",$B155='Assignment Builder'!$B$5),OR('Assignment Builder'!$B$6="",ISNUMBER(SEARCH('Assignment Builder'!$B$6,$C155))),OR('Assignment Builder'!$B$7="",'Assignment Builder'!$B$7=IFERROR(INDEX('Category Dictionary'!$C$5:$C$135,MATCH($L155,'Category Dictionary'!$D$5:$D$135,0)),"")),OR('Assignment Builder'!$B$8="",$D155='Assignment Builder'!$B$8),OR('Assignment Builder'!$B$9="",$F155='Assignment Builder'!$B$9),OR('Assignment Builder'!$B$10="",$O155='Assignment Builder'!$B$10),OR('Assignment Builder'!$B$11="",$H155&gt;='Assignment Builder'!$B$11),OR('Assignment Builder'!$B$12="",N($Q155)&lt;='Assignment Builder'!$B$12)))</f>
        <v/>
      </c>
      <c r="T155" s="23" t="n"/>
    </row>
    <row r="156">
      <c r="A156" s="23" t="n"/>
      <c r="B156" s="23" t="n"/>
      <c r="C156" s="24" t="n"/>
      <c r="D156" s="15" t="n"/>
      <c r="E156" s="23" t="n"/>
      <c r="F156" s="15" t="n"/>
      <c r="G156" s="23" t="n"/>
      <c r="H156" s="25" t="n"/>
      <c r="I156" s="15" t="n"/>
      <c r="J156" s="26">
        <f>IF($A156="","",LEN($C156)-LEN(SUBSTITUTE($C156,",",""))+1)</f>
        <v/>
      </c>
      <c r="K156" s="26">
        <f>IF($A156="","",SUMPRODUCT(--ISNUMBER(SEARCH('Category Dictionary'!$D$5:$D$135&amp;"",$C156)),--('Category Dictionary'!$D$5:$D$135&lt;&gt;"")))</f>
        <v/>
      </c>
      <c r="L156" s="27">
        <f>IF($A156="","",TRIM(IF(ISERROR(FIND(",",$C156)),$C156,LEFT($C156,FIND(",",$C156)-1))))</f>
        <v/>
      </c>
      <c r="M156" s="28">
        <f>IF($H156="","",DATE(YEAR($H156),MONTH($H156),1))</f>
        <v/>
      </c>
      <c r="N156" s="26">
        <f>IF($H156="","",TODAY()-$H156)</f>
        <v/>
      </c>
      <c r="O156" s="15" t="n"/>
      <c r="P156" s="15" t="n"/>
      <c r="Q156" s="15" t="n"/>
      <c r="R156" s="25" t="n"/>
      <c r="S156" s="26">
        <f>IF($A156="","",AND(OR('Assignment Builder'!$B$5="",$B156='Assignment Builder'!$B$5),OR('Assignment Builder'!$B$6="",ISNUMBER(SEARCH('Assignment Builder'!$B$6,$C156))),OR('Assignment Builder'!$B$7="",'Assignment Builder'!$B$7=IFERROR(INDEX('Category Dictionary'!$C$5:$C$135,MATCH($L156,'Category Dictionary'!$D$5:$D$135,0)),"")),OR('Assignment Builder'!$B$8="",$D156='Assignment Builder'!$B$8),OR('Assignment Builder'!$B$9="",$F156='Assignment Builder'!$B$9),OR('Assignment Builder'!$B$10="",$O156='Assignment Builder'!$B$10),OR('Assignment Builder'!$B$11="",$H156&gt;='Assignment Builder'!$B$11),OR('Assignment Builder'!$B$12="",N($Q156)&lt;='Assignment Builder'!$B$12)))</f>
        <v/>
      </c>
      <c r="T156" s="23" t="n"/>
    </row>
    <row r="157">
      <c r="A157" s="23" t="n"/>
      <c r="B157" s="23" t="n"/>
      <c r="C157" s="24" t="n"/>
      <c r="D157" s="15" t="n"/>
      <c r="E157" s="23" t="n"/>
      <c r="F157" s="15" t="n"/>
      <c r="G157" s="23" t="n"/>
      <c r="H157" s="25" t="n"/>
      <c r="I157" s="15" t="n"/>
      <c r="J157" s="26">
        <f>IF($A157="","",LEN($C157)-LEN(SUBSTITUTE($C157,",",""))+1)</f>
        <v/>
      </c>
      <c r="K157" s="26">
        <f>IF($A157="","",SUMPRODUCT(--ISNUMBER(SEARCH('Category Dictionary'!$D$5:$D$135&amp;"",$C157)),--('Category Dictionary'!$D$5:$D$135&lt;&gt;"")))</f>
        <v/>
      </c>
      <c r="L157" s="27">
        <f>IF($A157="","",TRIM(IF(ISERROR(FIND(",",$C157)),$C157,LEFT($C157,FIND(",",$C157)-1))))</f>
        <v/>
      </c>
      <c r="M157" s="28">
        <f>IF($H157="","",DATE(YEAR($H157),MONTH($H157),1))</f>
        <v/>
      </c>
      <c r="N157" s="26">
        <f>IF($H157="","",TODAY()-$H157)</f>
        <v/>
      </c>
      <c r="O157" s="15" t="n"/>
      <c r="P157" s="15" t="n"/>
      <c r="Q157" s="15" t="n"/>
      <c r="R157" s="25" t="n"/>
      <c r="S157" s="26">
        <f>IF($A157="","",AND(OR('Assignment Builder'!$B$5="",$B157='Assignment Builder'!$B$5),OR('Assignment Builder'!$B$6="",ISNUMBER(SEARCH('Assignment Builder'!$B$6,$C157))),OR('Assignment Builder'!$B$7="",'Assignment Builder'!$B$7=IFERROR(INDEX('Category Dictionary'!$C$5:$C$135,MATCH($L157,'Category Dictionary'!$D$5:$D$135,0)),"")),OR('Assignment Builder'!$B$8="",$D157='Assignment Builder'!$B$8),OR('Assignment Builder'!$B$9="",$F157='Assignment Builder'!$B$9),OR('Assignment Builder'!$B$10="",$O157='Assignment Builder'!$B$10),OR('Assignment Builder'!$B$11="",$H157&gt;='Assignment Builder'!$B$11),OR('Assignment Builder'!$B$12="",N($Q157)&lt;='Assignment Builder'!$B$12)))</f>
        <v/>
      </c>
      <c r="T157" s="23" t="n"/>
    </row>
    <row r="158">
      <c r="A158" s="23" t="n"/>
      <c r="B158" s="23" t="n"/>
      <c r="C158" s="24" t="n"/>
      <c r="D158" s="15" t="n"/>
      <c r="E158" s="23" t="n"/>
      <c r="F158" s="15" t="n"/>
      <c r="G158" s="23" t="n"/>
      <c r="H158" s="25" t="n"/>
      <c r="I158" s="15" t="n"/>
      <c r="J158" s="26">
        <f>IF($A158="","",LEN($C158)-LEN(SUBSTITUTE($C158,",",""))+1)</f>
        <v/>
      </c>
      <c r="K158" s="26">
        <f>IF($A158="","",SUMPRODUCT(--ISNUMBER(SEARCH('Category Dictionary'!$D$5:$D$135&amp;"",$C158)),--('Category Dictionary'!$D$5:$D$135&lt;&gt;"")))</f>
        <v/>
      </c>
      <c r="L158" s="27">
        <f>IF($A158="","",TRIM(IF(ISERROR(FIND(",",$C158)),$C158,LEFT($C158,FIND(",",$C158)-1))))</f>
        <v/>
      </c>
      <c r="M158" s="28">
        <f>IF($H158="","",DATE(YEAR($H158),MONTH($H158),1))</f>
        <v/>
      </c>
      <c r="N158" s="26">
        <f>IF($H158="","",TODAY()-$H158)</f>
        <v/>
      </c>
      <c r="O158" s="15" t="n"/>
      <c r="P158" s="15" t="n"/>
      <c r="Q158" s="15" t="n"/>
      <c r="R158" s="25" t="n"/>
      <c r="S158" s="26">
        <f>IF($A158="","",AND(OR('Assignment Builder'!$B$5="",$B158='Assignment Builder'!$B$5),OR('Assignment Builder'!$B$6="",ISNUMBER(SEARCH('Assignment Builder'!$B$6,$C158))),OR('Assignment Builder'!$B$7="",'Assignment Builder'!$B$7=IFERROR(INDEX('Category Dictionary'!$C$5:$C$135,MATCH($L158,'Category Dictionary'!$D$5:$D$135,0)),"")),OR('Assignment Builder'!$B$8="",$D158='Assignment Builder'!$B$8),OR('Assignment Builder'!$B$9="",$F158='Assignment Builder'!$B$9),OR('Assignment Builder'!$B$10="",$O158='Assignment Builder'!$B$10),OR('Assignment Builder'!$B$11="",$H158&gt;='Assignment Builder'!$B$11),OR('Assignment Builder'!$B$12="",N($Q158)&lt;='Assignment Builder'!$B$12)))</f>
        <v/>
      </c>
      <c r="T158" s="23" t="n"/>
    </row>
    <row r="159">
      <c r="A159" s="23" t="n"/>
      <c r="B159" s="23" t="n"/>
      <c r="C159" s="24" t="n"/>
      <c r="D159" s="15" t="n"/>
      <c r="E159" s="23" t="n"/>
      <c r="F159" s="15" t="n"/>
      <c r="G159" s="23" t="n"/>
      <c r="H159" s="25" t="n"/>
      <c r="I159" s="15" t="n"/>
      <c r="J159" s="26">
        <f>IF($A159="","",LEN($C159)-LEN(SUBSTITUTE($C159,",",""))+1)</f>
        <v/>
      </c>
      <c r="K159" s="26">
        <f>IF($A159="","",SUMPRODUCT(--ISNUMBER(SEARCH('Category Dictionary'!$D$5:$D$135&amp;"",$C159)),--('Category Dictionary'!$D$5:$D$135&lt;&gt;"")))</f>
        <v/>
      </c>
      <c r="L159" s="27">
        <f>IF($A159="","",TRIM(IF(ISERROR(FIND(",",$C159)),$C159,LEFT($C159,FIND(",",$C159)-1))))</f>
        <v/>
      </c>
      <c r="M159" s="28">
        <f>IF($H159="","",DATE(YEAR($H159),MONTH($H159),1))</f>
        <v/>
      </c>
      <c r="N159" s="26">
        <f>IF($H159="","",TODAY()-$H159)</f>
        <v/>
      </c>
      <c r="O159" s="15" t="n"/>
      <c r="P159" s="15" t="n"/>
      <c r="Q159" s="15" t="n"/>
      <c r="R159" s="25" t="n"/>
      <c r="S159" s="26">
        <f>IF($A159="","",AND(OR('Assignment Builder'!$B$5="",$B159='Assignment Builder'!$B$5),OR('Assignment Builder'!$B$6="",ISNUMBER(SEARCH('Assignment Builder'!$B$6,$C159))),OR('Assignment Builder'!$B$7="",'Assignment Builder'!$B$7=IFERROR(INDEX('Category Dictionary'!$C$5:$C$135,MATCH($L159,'Category Dictionary'!$D$5:$D$135,0)),"")),OR('Assignment Builder'!$B$8="",$D159='Assignment Builder'!$B$8),OR('Assignment Builder'!$B$9="",$F159='Assignment Builder'!$B$9),OR('Assignment Builder'!$B$10="",$O159='Assignment Builder'!$B$10),OR('Assignment Builder'!$B$11="",$H159&gt;='Assignment Builder'!$B$11),OR('Assignment Builder'!$B$12="",N($Q159)&lt;='Assignment Builder'!$B$12)))</f>
        <v/>
      </c>
      <c r="T159" s="23" t="n"/>
    </row>
    <row r="160">
      <c r="A160" s="23" t="n"/>
      <c r="B160" s="23" t="n"/>
      <c r="C160" s="24" t="n"/>
      <c r="D160" s="15" t="n"/>
      <c r="E160" s="23" t="n"/>
      <c r="F160" s="15" t="n"/>
      <c r="G160" s="23" t="n"/>
      <c r="H160" s="25" t="n"/>
      <c r="I160" s="15" t="n"/>
      <c r="J160" s="26">
        <f>IF($A160="","",LEN($C160)-LEN(SUBSTITUTE($C160,",",""))+1)</f>
        <v/>
      </c>
      <c r="K160" s="26">
        <f>IF($A160="","",SUMPRODUCT(--ISNUMBER(SEARCH('Category Dictionary'!$D$5:$D$135&amp;"",$C160)),--('Category Dictionary'!$D$5:$D$135&lt;&gt;"")))</f>
        <v/>
      </c>
      <c r="L160" s="27">
        <f>IF($A160="","",TRIM(IF(ISERROR(FIND(",",$C160)),$C160,LEFT($C160,FIND(",",$C160)-1))))</f>
        <v/>
      </c>
      <c r="M160" s="28">
        <f>IF($H160="","",DATE(YEAR($H160),MONTH($H160),1))</f>
        <v/>
      </c>
      <c r="N160" s="26">
        <f>IF($H160="","",TODAY()-$H160)</f>
        <v/>
      </c>
      <c r="O160" s="15" t="n"/>
      <c r="P160" s="15" t="n"/>
      <c r="Q160" s="15" t="n"/>
      <c r="R160" s="25" t="n"/>
      <c r="S160" s="26">
        <f>IF($A160="","",AND(OR('Assignment Builder'!$B$5="",$B160='Assignment Builder'!$B$5),OR('Assignment Builder'!$B$6="",ISNUMBER(SEARCH('Assignment Builder'!$B$6,$C160))),OR('Assignment Builder'!$B$7="",'Assignment Builder'!$B$7=IFERROR(INDEX('Category Dictionary'!$C$5:$C$135,MATCH($L160,'Category Dictionary'!$D$5:$D$135,0)),"")),OR('Assignment Builder'!$B$8="",$D160='Assignment Builder'!$B$8),OR('Assignment Builder'!$B$9="",$F160='Assignment Builder'!$B$9),OR('Assignment Builder'!$B$10="",$O160='Assignment Builder'!$B$10),OR('Assignment Builder'!$B$11="",$H160&gt;='Assignment Builder'!$B$11),OR('Assignment Builder'!$B$12="",N($Q160)&lt;='Assignment Builder'!$B$12)))</f>
        <v/>
      </c>
      <c r="T160" s="23" t="n"/>
    </row>
    <row r="161">
      <c r="A161" s="23" t="n"/>
      <c r="B161" s="23" t="n"/>
      <c r="C161" s="24" t="n"/>
      <c r="D161" s="15" t="n"/>
      <c r="E161" s="23" t="n"/>
      <c r="F161" s="15" t="n"/>
      <c r="G161" s="23" t="n"/>
      <c r="H161" s="25" t="n"/>
      <c r="I161" s="15" t="n"/>
      <c r="J161" s="26">
        <f>IF($A161="","",LEN($C161)-LEN(SUBSTITUTE($C161,",",""))+1)</f>
        <v/>
      </c>
      <c r="K161" s="26">
        <f>IF($A161="","",SUMPRODUCT(--ISNUMBER(SEARCH('Category Dictionary'!$D$5:$D$135&amp;"",$C161)),--('Category Dictionary'!$D$5:$D$135&lt;&gt;"")))</f>
        <v/>
      </c>
      <c r="L161" s="27">
        <f>IF($A161="","",TRIM(IF(ISERROR(FIND(",",$C161)),$C161,LEFT($C161,FIND(",",$C161)-1))))</f>
        <v/>
      </c>
      <c r="M161" s="28">
        <f>IF($H161="","",DATE(YEAR($H161),MONTH($H161),1))</f>
        <v/>
      </c>
      <c r="N161" s="26">
        <f>IF($H161="","",TODAY()-$H161)</f>
        <v/>
      </c>
      <c r="O161" s="15" t="n"/>
      <c r="P161" s="15" t="n"/>
      <c r="Q161" s="15" t="n"/>
      <c r="R161" s="25" t="n"/>
      <c r="S161" s="26">
        <f>IF($A161="","",AND(OR('Assignment Builder'!$B$5="",$B161='Assignment Builder'!$B$5),OR('Assignment Builder'!$B$6="",ISNUMBER(SEARCH('Assignment Builder'!$B$6,$C161))),OR('Assignment Builder'!$B$7="",'Assignment Builder'!$B$7=IFERROR(INDEX('Category Dictionary'!$C$5:$C$135,MATCH($L161,'Category Dictionary'!$D$5:$D$135,0)),"")),OR('Assignment Builder'!$B$8="",$D161='Assignment Builder'!$B$8),OR('Assignment Builder'!$B$9="",$F161='Assignment Builder'!$B$9),OR('Assignment Builder'!$B$10="",$O161='Assignment Builder'!$B$10),OR('Assignment Builder'!$B$11="",$H161&gt;='Assignment Builder'!$B$11),OR('Assignment Builder'!$B$12="",N($Q161)&lt;='Assignment Builder'!$B$12)))</f>
        <v/>
      </c>
      <c r="T161" s="23" t="n"/>
    </row>
    <row r="162">
      <c r="A162" s="23" t="n"/>
      <c r="B162" s="23" t="n"/>
      <c r="C162" s="24" t="n"/>
      <c r="D162" s="15" t="n"/>
      <c r="E162" s="23" t="n"/>
      <c r="F162" s="15" t="n"/>
      <c r="G162" s="23" t="n"/>
      <c r="H162" s="25" t="n"/>
      <c r="I162" s="15" t="n"/>
      <c r="J162" s="26">
        <f>IF($A162="","",LEN($C162)-LEN(SUBSTITUTE($C162,",",""))+1)</f>
        <v/>
      </c>
      <c r="K162" s="26">
        <f>IF($A162="","",SUMPRODUCT(--ISNUMBER(SEARCH('Category Dictionary'!$D$5:$D$135&amp;"",$C162)),--('Category Dictionary'!$D$5:$D$135&lt;&gt;"")))</f>
        <v/>
      </c>
      <c r="L162" s="27">
        <f>IF($A162="","",TRIM(IF(ISERROR(FIND(",",$C162)),$C162,LEFT($C162,FIND(",",$C162)-1))))</f>
        <v/>
      </c>
      <c r="M162" s="28">
        <f>IF($H162="","",DATE(YEAR($H162),MONTH($H162),1))</f>
        <v/>
      </c>
      <c r="N162" s="26">
        <f>IF($H162="","",TODAY()-$H162)</f>
        <v/>
      </c>
      <c r="O162" s="15" t="n"/>
      <c r="P162" s="15" t="n"/>
      <c r="Q162" s="15" t="n"/>
      <c r="R162" s="25" t="n"/>
      <c r="S162" s="26">
        <f>IF($A162="","",AND(OR('Assignment Builder'!$B$5="",$B162='Assignment Builder'!$B$5),OR('Assignment Builder'!$B$6="",ISNUMBER(SEARCH('Assignment Builder'!$B$6,$C162))),OR('Assignment Builder'!$B$7="",'Assignment Builder'!$B$7=IFERROR(INDEX('Category Dictionary'!$C$5:$C$135,MATCH($L162,'Category Dictionary'!$D$5:$D$135,0)),"")),OR('Assignment Builder'!$B$8="",$D162='Assignment Builder'!$B$8),OR('Assignment Builder'!$B$9="",$F162='Assignment Builder'!$B$9),OR('Assignment Builder'!$B$10="",$O162='Assignment Builder'!$B$10),OR('Assignment Builder'!$B$11="",$H162&gt;='Assignment Builder'!$B$11),OR('Assignment Builder'!$B$12="",N($Q162)&lt;='Assignment Builder'!$B$12)))</f>
        <v/>
      </c>
      <c r="T162" s="23" t="n"/>
    </row>
    <row r="163">
      <c r="A163" s="23" t="n"/>
      <c r="B163" s="23" t="n"/>
      <c r="C163" s="24" t="n"/>
      <c r="D163" s="15" t="n"/>
      <c r="E163" s="23" t="n"/>
      <c r="F163" s="15" t="n"/>
      <c r="G163" s="23" t="n"/>
      <c r="H163" s="25" t="n"/>
      <c r="I163" s="15" t="n"/>
      <c r="J163" s="26">
        <f>IF($A163="","",LEN($C163)-LEN(SUBSTITUTE($C163,",",""))+1)</f>
        <v/>
      </c>
      <c r="K163" s="26">
        <f>IF($A163="","",SUMPRODUCT(--ISNUMBER(SEARCH('Category Dictionary'!$D$5:$D$135&amp;"",$C163)),--('Category Dictionary'!$D$5:$D$135&lt;&gt;"")))</f>
        <v/>
      </c>
      <c r="L163" s="27">
        <f>IF($A163="","",TRIM(IF(ISERROR(FIND(",",$C163)),$C163,LEFT($C163,FIND(",",$C163)-1))))</f>
        <v/>
      </c>
      <c r="M163" s="28">
        <f>IF($H163="","",DATE(YEAR($H163),MONTH($H163),1))</f>
        <v/>
      </c>
      <c r="N163" s="26">
        <f>IF($H163="","",TODAY()-$H163)</f>
        <v/>
      </c>
      <c r="O163" s="15" t="n"/>
      <c r="P163" s="15" t="n"/>
      <c r="Q163" s="15" t="n"/>
      <c r="R163" s="25" t="n"/>
      <c r="S163" s="26">
        <f>IF($A163="","",AND(OR('Assignment Builder'!$B$5="",$B163='Assignment Builder'!$B$5),OR('Assignment Builder'!$B$6="",ISNUMBER(SEARCH('Assignment Builder'!$B$6,$C163))),OR('Assignment Builder'!$B$7="",'Assignment Builder'!$B$7=IFERROR(INDEX('Category Dictionary'!$C$5:$C$135,MATCH($L163,'Category Dictionary'!$D$5:$D$135,0)),"")),OR('Assignment Builder'!$B$8="",$D163='Assignment Builder'!$B$8),OR('Assignment Builder'!$B$9="",$F163='Assignment Builder'!$B$9),OR('Assignment Builder'!$B$10="",$O163='Assignment Builder'!$B$10),OR('Assignment Builder'!$B$11="",$H163&gt;='Assignment Builder'!$B$11),OR('Assignment Builder'!$B$12="",N($Q163)&lt;='Assignment Builder'!$B$12)))</f>
        <v/>
      </c>
      <c r="T163" s="23" t="n"/>
    </row>
    <row r="164">
      <c r="A164" s="23" t="n"/>
      <c r="B164" s="23" t="n"/>
      <c r="C164" s="24" t="n"/>
      <c r="D164" s="15" t="n"/>
      <c r="E164" s="23" t="n"/>
      <c r="F164" s="15" t="n"/>
      <c r="G164" s="23" t="n"/>
      <c r="H164" s="25" t="n"/>
      <c r="I164" s="15" t="n"/>
      <c r="J164" s="26">
        <f>IF($A164="","",LEN($C164)-LEN(SUBSTITUTE($C164,",",""))+1)</f>
        <v/>
      </c>
      <c r="K164" s="26">
        <f>IF($A164="","",SUMPRODUCT(--ISNUMBER(SEARCH('Category Dictionary'!$D$5:$D$135&amp;"",$C164)),--('Category Dictionary'!$D$5:$D$135&lt;&gt;"")))</f>
        <v/>
      </c>
      <c r="L164" s="27">
        <f>IF($A164="","",TRIM(IF(ISERROR(FIND(",",$C164)),$C164,LEFT($C164,FIND(",",$C164)-1))))</f>
        <v/>
      </c>
      <c r="M164" s="28">
        <f>IF($H164="","",DATE(YEAR($H164),MONTH($H164),1))</f>
        <v/>
      </c>
      <c r="N164" s="26">
        <f>IF($H164="","",TODAY()-$H164)</f>
        <v/>
      </c>
      <c r="O164" s="15" t="n"/>
      <c r="P164" s="15" t="n"/>
      <c r="Q164" s="15" t="n"/>
      <c r="R164" s="25" t="n"/>
      <c r="S164" s="26">
        <f>IF($A164="","",AND(OR('Assignment Builder'!$B$5="",$B164='Assignment Builder'!$B$5),OR('Assignment Builder'!$B$6="",ISNUMBER(SEARCH('Assignment Builder'!$B$6,$C164))),OR('Assignment Builder'!$B$7="",'Assignment Builder'!$B$7=IFERROR(INDEX('Category Dictionary'!$C$5:$C$135,MATCH($L164,'Category Dictionary'!$D$5:$D$135,0)),"")),OR('Assignment Builder'!$B$8="",$D164='Assignment Builder'!$B$8),OR('Assignment Builder'!$B$9="",$F164='Assignment Builder'!$B$9),OR('Assignment Builder'!$B$10="",$O164='Assignment Builder'!$B$10),OR('Assignment Builder'!$B$11="",$H164&gt;='Assignment Builder'!$B$11),OR('Assignment Builder'!$B$12="",N($Q164)&lt;='Assignment Builder'!$B$12)))</f>
        <v/>
      </c>
      <c r="T164" s="23" t="n"/>
    </row>
    <row r="165">
      <c r="A165" s="23" t="n"/>
      <c r="B165" s="23" t="n"/>
      <c r="C165" s="24" t="n"/>
      <c r="D165" s="15" t="n"/>
      <c r="E165" s="23" t="n"/>
      <c r="F165" s="15" t="n"/>
      <c r="G165" s="23" t="n"/>
      <c r="H165" s="25" t="n"/>
      <c r="I165" s="15" t="n"/>
      <c r="J165" s="26">
        <f>IF($A165="","",LEN($C165)-LEN(SUBSTITUTE($C165,",",""))+1)</f>
        <v/>
      </c>
      <c r="K165" s="26">
        <f>IF($A165="","",SUMPRODUCT(--ISNUMBER(SEARCH('Category Dictionary'!$D$5:$D$135&amp;"",$C165)),--('Category Dictionary'!$D$5:$D$135&lt;&gt;"")))</f>
        <v/>
      </c>
      <c r="L165" s="27">
        <f>IF($A165="","",TRIM(IF(ISERROR(FIND(",",$C165)),$C165,LEFT($C165,FIND(",",$C165)-1))))</f>
        <v/>
      </c>
      <c r="M165" s="28">
        <f>IF($H165="","",DATE(YEAR($H165),MONTH($H165),1))</f>
        <v/>
      </c>
      <c r="N165" s="26">
        <f>IF($H165="","",TODAY()-$H165)</f>
        <v/>
      </c>
      <c r="O165" s="15" t="n"/>
      <c r="P165" s="15" t="n"/>
      <c r="Q165" s="15" t="n"/>
      <c r="R165" s="25" t="n"/>
      <c r="S165" s="26">
        <f>IF($A165="","",AND(OR('Assignment Builder'!$B$5="",$B165='Assignment Builder'!$B$5),OR('Assignment Builder'!$B$6="",ISNUMBER(SEARCH('Assignment Builder'!$B$6,$C165))),OR('Assignment Builder'!$B$7="",'Assignment Builder'!$B$7=IFERROR(INDEX('Category Dictionary'!$C$5:$C$135,MATCH($L165,'Category Dictionary'!$D$5:$D$135,0)),"")),OR('Assignment Builder'!$B$8="",$D165='Assignment Builder'!$B$8),OR('Assignment Builder'!$B$9="",$F165='Assignment Builder'!$B$9),OR('Assignment Builder'!$B$10="",$O165='Assignment Builder'!$B$10),OR('Assignment Builder'!$B$11="",$H165&gt;='Assignment Builder'!$B$11),OR('Assignment Builder'!$B$12="",N($Q165)&lt;='Assignment Builder'!$B$12)))</f>
        <v/>
      </c>
      <c r="T165" s="23" t="n"/>
    </row>
    <row r="166">
      <c r="A166" s="23" t="n"/>
      <c r="B166" s="23" t="n"/>
      <c r="C166" s="24" t="n"/>
      <c r="D166" s="15" t="n"/>
      <c r="E166" s="23" t="n"/>
      <c r="F166" s="15" t="n"/>
      <c r="G166" s="23" t="n"/>
      <c r="H166" s="25" t="n"/>
      <c r="I166" s="15" t="n"/>
      <c r="J166" s="26">
        <f>IF($A166="","",LEN($C166)-LEN(SUBSTITUTE($C166,",",""))+1)</f>
        <v/>
      </c>
      <c r="K166" s="26">
        <f>IF($A166="","",SUMPRODUCT(--ISNUMBER(SEARCH('Category Dictionary'!$D$5:$D$135&amp;"",$C166)),--('Category Dictionary'!$D$5:$D$135&lt;&gt;"")))</f>
        <v/>
      </c>
      <c r="L166" s="27">
        <f>IF($A166="","",TRIM(IF(ISERROR(FIND(",",$C166)),$C166,LEFT($C166,FIND(",",$C166)-1))))</f>
        <v/>
      </c>
      <c r="M166" s="28">
        <f>IF($H166="","",DATE(YEAR($H166),MONTH($H166),1))</f>
        <v/>
      </c>
      <c r="N166" s="26">
        <f>IF($H166="","",TODAY()-$H166)</f>
        <v/>
      </c>
      <c r="O166" s="15" t="n"/>
      <c r="P166" s="15" t="n"/>
      <c r="Q166" s="15" t="n"/>
      <c r="R166" s="25" t="n"/>
      <c r="S166" s="26">
        <f>IF($A166="","",AND(OR('Assignment Builder'!$B$5="",$B166='Assignment Builder'!$B$5),OR('Assignment Builder'!$B$6="",ISNUMBER(SEARCH('Assignment Builder'!$B$6,$C166))),OR('Assignment Builder'!$B$7="",'Assignment Builder'!$B$7=IFERROR(INDEX('Category Dictionary'!$C$5:$C$135,MATCH($L166,'Category Dictionary'!$D$5:$D$135,0)),"")),OR('Assignment Builder'!$B$8="",$D166='Assignment Builder'!$B$8),OR('Assignment Builder'!$B$9="",$F166='Assignment Builder'!$B$9),OR('Assignment Builder'!$B$10="",$O166='Assignment Builder'!$B$10),OR('Assignment Builder'!$B$11="",$H166&gt;='Assignment Builder'!$B$11),OR('Assignment Builder'!$B$12="",N($Q166)&lt;='Assignment Builder'!$B$12)))</f>
        <v/>
      </c>
      <c r="T166" s="23" t="n"/>
    </row>
    <row r="167">
      <c r="A167" s="23" t="n"/>
      <c r="B167" s="23" t="n"/>
      <c r="C167" s="24" t="n"/>
      <c r="D167" s="15" t="n"/>
      <c r="E167" s="23" t="n"/>
      <c r="F167" s="15" t="n"/>
      <c r="G167" s="23" t="n"/>
      <c r="H167" s="25" t="n"/>
      <c r="I167" s="15" t="n"/>
      <c r="J167" s="26">
        <f>IF($A167="","",LEN($C167)-LEN(SUBSTITUTE($C167,",",""))+1)</f>
        <v/>
      </c>
      <c r="K167" s="26">
        <f>IF($A167="","",SUMPRODUCT(--ISNUMBER(SEARCH('Category Dictionary'!$D$5:$D$135&amp;"",$C167)),--('Category Dictionary'!$D$5:$D$135&lt;&gt;"")))</f>
        <v/>
      </c>
      <c r="L167" s="27">
        <f>IF($A167="","",TRIM(IF(ISERROR(FIND(",",$C167)),$C167,LEFT($C167,FIND(",",$C167)-1))))</f>
        <v/>
      </c>
      <c r="M167" s="28">
        <f>IF($H167="","",DATE(YEAR($H167),MONTH($H167),1))</f>
        <v/>
      </c>
      <c r="N167" s="26">
        <f>IF($H167="","",TODAY()-$H167)</f>
        <v/>
      </c>
      <c r="O167" s="15" t="n"/>
      <c r="P167" s="15" t="n"/>
      <c r="Q167" s="15" t="n"/>
      <c r="R167" s="25" t="n"/>
      <c r="S167" s="26">
        <f>IF($A167="","",AND(OR('Assignment Builder'!$B$5="",$B167='Assignment Builder'!$B$5),OR('Assignment Builder'!$B$6="",ISNUMBER(SEARCH('Assignment Builder'!$B$6,$C167))),OR('Assignment Builder'!$B$7="",'Assignment Builder'!$B$7=IFERROR(INDEX('Category Dictionary'!$C$5:$C$135,MATCH($L167,'Category Dictionary'!$D$5:$D$135,0)),"")),OR('Assignment Builder'!$B$8="",$D167='Assignment Builder'!$B$8),OR('Assignment Builder'!$B$9="",$F167='Assignment Builder'!$B$9),OR('Assignment Builder'!$B$10="",$O167='Assignment Builder'!$B$10),OR('Assignment Builder'!$B$11="",$H167&gt;='Assignment Builder'!$B$11),OR('Assignment Builder'!$B$12="",N($Q167)&lt;='Assignment Builder'!$B$12)))</f>
        <v/>
      </c>
      <c r="T167" s="23" t="n"/>
    </row>
    <row r="168">
      <c r="A168" s="23" t="n"/>
      <c r="B168" s="23" t="n"/>
      <c r="C168" s="24" t="n"/>
      <c r="D168" s="15" t="n"/>
      <c r="E168" s="23" t="n"/>
      <c r="F168" s="15" t="n"/>
      <c r="G168" s="23" t="n"/>
      <c r="H168" s="25" t="n"/>
      <c r="I168" s="15" t="n"/>
      <c r="J168" s="26">
        <f>IF($A168="","",LEN($C168)-LEN(SUBSTITUTE($C168,",",""))+1)</f>
        <v/>
      </c>
      <c r="K168" s="26">
        <f>IF($A168="","",SUMPRODUCT(--ISNUMBER(SEARCH('Category Dictionary'!$D$5:$D$135&amp;"",$C168)),--('Category Dictionary'!$D$5:$D$135&lt;&gt;"")))</f>
        <v/>
      </c>
      <c r="L168" s="27">
        <f>IF($A168="","",TRIM(IF(ISERROR(FIND(",",$C168)),$C168,LEFT($C168,FIND(",",$C168)-1))))</f>
        <v/>
      </c>
      <c r="M168" s="28">
        <f>IF($H168="","",DATE(YEAR($H168),MONTH($H168),1))</f>
        <v/>
      </c>
      <c r="N168" s="26">
        <f>IF($H168="","",TODAY()-$H168)</f>
        <v/>
      </c>
      <c r="O168" s="15" t="n"/>
      <c r="P168" s="15" t="n"/>
      <c r="Q168" s="15" t="n"/>
      <c r="R168" s="25" t="n"/>
      <c r="S168" s="26">
        <f>IF($A168="","",AND(OR('Assignment Builder'!$B$5="",$B168='Assignment Builder'!$B$5),OR('Assignment Builder'!$B$6="",ISNUMBER(SEARCH('Assignment Builder'!$B$6,$C168))),OR('Assignment Builder'!$B$7="",'Assignment Builder'!$B$7=IFERROR(INDEX('Category Dictionary'!$C$5:$C$135,MATCH($L168,'Category Dictionary'!$D$5:$D$135,0)),"")),OR('Assignment Builder'!$B$8="",$D168='Assignment Builder'!$B$8),OR('Assignment Builder'!$B$9="",$F168='Assignment Builder'!$B$9),OR('Assignment Builder'!$B$10="",$O168='Assignment Builder'!$B$10),OR('Assignment Builder'!$B$11="",$H168&gt;='Assignment Builder'!$B$11),OR('Assignment Builder'!$B$12="",N($Q168)&lt;='Assignment Builder'!$B$12)))</f>
        <v/>
      </c>
      <c r="T168" s="23" t="n"/>
    </row>
    <row r="169">
      <c r="A169" s="23" t="n"/>
      <c r="B169" s="23" t="n"/>
      <c r="C169" s="24" t="n"/>
      <c r="D169" s="15" t="n"/>
      <c r="E169" s="23" t="n"/>
      <c r="F169" s="15" t="n"/>
      <c r="G169" s="23" t="n"/>
      <c r="H169" s="25" t="n"/>
      <c r="I169" s="15" t="n"/>
      <c r="J169" s="26">
        <f>IF($A169="","",LEN($C169)-LEN(SUBSTITUTE($C169,",",""))+1)</f>
        <v/>
      </c>
      <c r="K169" s="26">
        <f>IF($A169="","",SUMPRODUCT(--ISNUMBER(SEARCH('Category Dictionary'!$D$5:$D$135&amp;"",$C169)),--('Category Dictionary'!$D$5:$D$135&lt;&gt;"")))</f>
        <v/>
      </c>
      <c r="L169" s="27">
        <f>IF($A169="","",TRIM(IF(ISERROR(FIND(",",$C169)),$C169,LEFT($C169,FIND(",",$C169)-1))))</f>
        <v/>
      </c>
      <c r="M169" s="28">
        <f>IF($H169="","",DATE(YEAR($H169),MONTH($H169),1))</f>
        <v/>
      </c>
      <c r="N169" s="26">
        <f>IF($H169="","",TODAY()-$H169)</f>
        <v/>
      </c>
      <c r="O169" s="15" t="n"/>
      <c r="P169" s="15" t="n"/>
      <c r="Q169" s="15" t="n"/>
      <c r="R169" s="25" t="n"/>
      <c r="S169" s="26">
        <f>IF($A169="","",AND(OR('Assignment Builder'!$B$5="",$B169='Assignment Builder'!$B$5),OR('Assignment Builder'!$B$6="",ISNUMBER(SEARCH('Assignment Builder'!$B$6,$C169))),OR('Assignment Builder'!$B$7="",'Assignment Builder'!$B$7=IFERROR(INDEX('Category Dictionary'!$C$5:$C$135,MATCH($L169,'Category Dictionary'!$D$5:$D$135,0)),"")),OR('Assignment Builder'!$B$8="",$D169='Assignment Builder'!$B$8),OR('Assignment Builder'!$B$9="",$F169='Assignment Builder'!$B$9),OR('Assignment Builder'!$B$10="",$O169='Assignment Builder'!$B$10),OR('Assignment Builder'!$B$11="",$H169&gt;='Assignment Builder'!$B$11),OR('Assignment Builder'!$B$12="",N($Q169)&lt;='Assignment Builder'!$B$12)))</f>
        <v/>
      </c>
      <c r="T169" s="23" t="n"/>
    </row>
    <row r="170">
      <c r="A170" s="23" t="n"/>
      <c r="B170" s="23" t="n"/>
      <c r="C170" s="24" t="n"/>
      <c r="D170" s="15" t="n"/>
      <c r="E170" s="23" t="n"/>
      <c r="F170" s="15" t="n"/>
      <c r="G170" s="23" t="n"/>
      <c r="H170" s="25" t="n"/>
      <c r="I170" s="15" t="n"/>
      <c r="J170" s="26">
        <f>IF($A170="","",LEN($C170)-LEN(SUBSTITUTE($C170,",",""))+1)</f>
        <v/>
      </c>
      <c r="K170" s="26">
        <f>IF($A170="","",SUMPRODUCT(--ISNUMBER(SEARCH('Category Dictionary'!$D$5:$D$135&amp;"",$C170)),--('Category Dictionary'!$D$5:$D$135&lt;&gt;"")))</f>
        <v/>
      </c>
      <c r="L170" s="27">
        <f>IF($A170="","",TRIM(IF(ISERROR(FIND(",",$C170)),$C170,LEFT($C170,FIND(",",$C170)-1))))</f>
        <v/>
      </c>
      <c r="M170" s="28">
        <f>IF($H170="","",DATE(YEAR($H170),MONTH($H170),1))</f>
        <v/>
      </c>
      <c r="N170" s="26">
        <f>IF($H170="","",TODAY()-$H170)</f>
        <v/>
      </c>
      <c r="O170" s="15" t="n"/>
      <c r="P170" s="15" t="n"/>
      <c r="Q170" s="15" t="n"/>
      <c r="R170" s="25" t="n"/>
      <c r="S170" s="26">
        <f>IF($A170="","",AND(OR('Assignment Builder'!$B$5="",$B170='Assignment Builder'!$B$5),OR('Assignment Builder'!$B$6="",ISNUMBER(SEARCH('Assignment Builder'!$B$6,$C170))),OR('Assignment Builder'!$B$7="",'Assignment Builder'!$B$7=IFERROR(INDEX('Category Dictionary'!$C$5:$C$135,MATCH($L170,'Category Dictionary'!$D$5:$D$135,0)),"")),OR('Assignment Builder'!$B$8="",$D170='Assignment Builder'!$B$8),OR('Assignment Builder'!$B$9="",$F170='Assignment Builder'!$B$9),OR('Assignment Builder'!$B$10="",$O170='Assignment Builder'!$B$10),OR('Assignment Builder'!$B$11="",$H170&gt;='Assignment Builder'!$B$11),OR('Assignment Builder'!$B$12="",N($Q170)&lt;='Assignment Builder'!$B$12)))</f>
        <v/>
      </c>
      <c r="T170" s="23" t="n"/>
    </row>
    <row r="171">
      <c r="A171" s="23" t="n"/>
      <c r="B171" s="23" t="n"/>
      <c r="C171" s="24" t="n"/>
      <c r="D171" s="15" t="n"/>
      <c r="E171" s="23" t="n"/>
      <c r="F171" s="15" t="n"/>
      <c r="G171" s="23" t="n"/>
      <c r="H171" s="25" t="n"/>
      <c r="I171" s="15" t="n"/>
      <c r="J171" s="26">
        <f>IF($A171="","",LEN($C171)-LEN(SUBSTITUTE($C171,",",""))+1)</f>
        <v/>
      </c>
      <c r="K171" s="26">
        <f>IF($A171="","",SUMPRODUCT(--ISNUMBER(SEARCH('Category Dictionary'!$D$5:$D$135&amp;"",$C171)),--('Category Dictionary'!$D$5:$D$135&lt;&gt;"")))</f>
        <v/>
      </c>
      <c r="L171" s="27">
        <f>IF($A171="","",TRIM(IF(ISERROR(FIND(",",$C171)),$C171,LEFT($C171,FIND(",",$C171)-1))))</f>
        <v/>
      </c>
      <c r="M171" s="28">
        <f>IF($H171="","",DATE(YEAR($H171),MONTH($H171),1))</f>
        <v/>
      </c>
      <c r="N171" s="26">
        <f>IF($H171="","",TODAY()-$H171)</f>
        <v/>
      </c>
      <c r="O171" s="15" t="n"/>
      <c r="P171" s="15" t="n"/>
      <c r="Q171" s="15" t="n"/>
      <c r="R171" s="25" t="n"/>
      <c r="S171" s="26">
        <f>IF($A171="","",AND(OR('Assignment Builder'!$B$5="",$B171='Assignment Builder'!$B$5),OR('Assignment Builder'!$B$6="",ISNUMBER(SEARCH('Assignment Builder'!$B$6,$C171))),OR('Assignment Builder'!$B$7="",'Assignment Builder'!$B$7=IFERROR(INDEX('Category Dictionary'!$C$5:$C$135,MATCH($L171,'Category Dictionary'!$D$5:$D$135,0)),"")),OR('Assignment Builder'!$B$8="",$D171='Assignment Builder'!$B$8),OR('Assignment Builder'!$B$9="",$F171='Assignment Builder'!$B$9),OR('Assignment Builder'!$B$10="",$O171='Assignment Builder'!$B$10),OR('Assignment Builder'!$B$11="",$H171&gt;='Assignment Builder'!$B$11),OR('Assignment Builder'!$B$12="",N($Q171)&lt;='Assignment Builder'!$B$12)))</f>
        <v/>
      </c>
      <c r="T171" s="23" t="n"/>
    </row>
    <row r="172">
      <c r="A172" s="23" t="n"/>
      <c r="B172" s="23" t="n"/>
      <c r="C172" s="24" t="n"/>
      <c r="D172" s="15" t="n"/>
      <c r="E172" s="23" t="n"/>
      <c r="F172" s="15" t="n"/>
      <c r="G172" s="23" t="n"/>
      <c r="H172" s="25" t="n"/>
      <c r="I172" s="15" t="n"/>
      <c r="J172" s="26">
        <f>IF($A172="","",LEN($C172)-LEN(SUBSTITUTE($C172,",",""))+1)</f>
        <v/>
      </c>
      <c r="K172" s="26">
        <f>IF($A172="","",SUMPRODUCT(--ISNUMBER(SEARCH('Category Dictionary'!$D$5:$D$135&amp;"",$C172)),--('Category Dictionary'!$D$5:$D$135&lt;&gt;"")))</f>
        <v/>
      </c>
      <c r="L172" s="27">
        <f>IF($A172="","",TRIM(IF(ISERROR(FIND(",",$C172)),$C172,LEFT($C172,FIND(",",$C172)-1))))</f>
        <v/>
      </c>
      <c r="M172" s="28">
        <f>IF($H172="","",DATE(YEAR($H172),MONTH($H172),1))</f>
        <v/>
      </c>
      <c r="N172" s="26">
        <f>IF($H172="","",TODAY()-$H172)</f>
        <v/>
      </c>
      <c r="O172" s="15" t="n"/>
      <c r="P172" s="15" t="n"/>
      <c r="Q172" s="15" t="n"/>
      <c r="R172" s="25" t="n"/>
      <c r="S172" s="26">
        <f>IF($A172="","",AND(OR('Assignment Builder'!$B$5="",$B172='Assignment Builder'!$B$5),OR('Assignment Builder'!$B$6="",ISNUMBER(SEARCH('Assignment Builder'!$B$6,$C172))),OR('Assignment Builder'!$B$7="",'Assignment Builder'!$B$7=IFERROR(INDEX('Category Dictionary'!$C$5:$C$135,MATCH($L172,'Category Dictionary'!$D$5:$D$135,0)),"")),OR('Assignment Builder'!$B$8="",$D172='Assignment Builder'!$B$8),OR('Assignment Builder'!$B$9="",$F172='Assignment Builder'!$B$9),OR('Assignment Builder'!$B$10="",$O172='Assignment Builder'!$B$10),OR('Assignment Builder'!$B$11="",$H172&gt;='Assignment Builder'!$B$11),OR('Assignment Builder'!$B$12="",N($Q172)&lt;='Assignment Builder'!$B$12)))</f>
        <v/>
      </c>
      <c r="T172" s="23" t="n"/>
    </row>
    <row r="173">
      <c r="A173" s="23" t="n"/>
      <c r="B173" s="23" t="n"/>
      <c r="C173" s="24" t="n"/>
      <c r="D173" s="15" t="n"/>
      <c r="E173" s="23" t="n"/>
      <c r="F173" s="15" t="n"/>
      <c r="G173" s="23" t="n"/>
      <c r="H173" s="25" t="n"/>
      <c r="I173" s="15" t="n"/>
      <c r="J173" s="26">
        <f>IF($A173="","",LEN($C173)-LEN(SUBSTITUTE($C173,",",""))+1)</f>
        <v/>
      </c>
      <c r="K173" s="26">
        <f>IF($A173="","",SUMPRODUCT(--ISNUMBER(SEARCH('Category Dictionary'!$D$5:$D$135&amp;"",$C173)),--('Category Dictionary'!$D$5:$D$135&lt;&gt;"")))</f>
        <v/>
      </c>
      <c r="L173" s="27">
        <f>IF($A173="","",TRIM(IF(ISERROR(FIND(",",$C173)),$C173,LEFT($C173,FIND(",",$C173)-1))))</f>
        <v/>
      </c>
      <c r="M173" s="28">
        <f>IF($H173="","",DATE(YEAR($H173),MONTH($H173),1))</f>
        <v/>
      </c>
      <c r="N173" s="26">
        <f>IF($H173="","",TODAY()-$H173)</f>
        <v/>
      </c>
      <c r="O173" s="15" t="n"/>
      <c r="P173" s="15" t="n"/>
      <c r="Q173" s="15" t="n"/>
      <c r="R173" s="25" t="n"/>
      <c r="S173" s="26">
        <f>IF($A173="","",AND(OR('Assignment Builder'!$B$5="",$B173='Assignment Builder'!$B$5),OR('Assignment Builder'!$B$6="",ISNUMBER(SEARCH('Assignment Builder'!$B$6,$C173))),OR('Assignment Builder'!$B$7="",'Assignment Builder'!$B$7=IFERROR(INDEX('Category Dictionary'!$C$5:$C$135,MATCH($L173,'Category Dictionary'!$D$5:$D$135,0)),"")),OR('Assignment Builder'!$B$8="",$D173='Assignment Builder'!$B$8),OR('Assignment Builder'!$B$9="",$F173='Assignment Builder'!$B$9),OR('Assignment Builder'!$B$10="",$O173='Assignment Builder'!$B$10),OR('Assignment Builder'!$B$11="",$H173&gt;='Assignment Builder'!$B$11),OR('Assignment Builder'!$B$12="",N($Q173)&lt;='Assignment Builder'!$B$12)))</f>
        <v/>
      </c>
      <c r="T173" s="23" t="n"/>
    </row>
    <row r="174">
      <c r="A174" s="23" t="n"/>
      <c r="B174" s="23" t="n"/>
      <c r="C174" s="24" t="n"/>
      <c r="D174" s="15" t="n"/>
      <c r="E174" s="23" t="n"/>
      <c r="F174" s="15" t="n"/>
      <c r="G174" s="23" t="n"/>
      <c r="H174" s="25" t="n"/>
      <c r="I174" s="15" t="n"/>
      <c r="J174" s="26">
        <f>IF($A174="","",LEN($C174)-LEN(SUBSTITUTE($C174,",",""))+1)</f>
        <v/>
      </c>
      <c r="K174" s="26">
        <f>IF($A174="","",SUMPRODUCT(--ISNUMBER(SEARCH('Category Dictionary'!$D$5:$D$135&amp;"",$C174)),--('Category Dictionary'!$D$5:$D$135&lt;&gt;"")))</f>
        <v/>
      </c>
      <c r="L174" s="27">
        <f>IF($A174="","",TRIM(IF(ISERROR(FIND(",",$C174)),$C174,LEFT($C174,FIND(",",$C174)-1))))</f>
        <v/>
      </c>
      <c r="M174" s="28">
        <f>IF($H174="","",DATE(YEAR($H174),MONTH($H174),1))</f>
        <v/>
      </c>
      <c r="N174" s="26">
        <f>IF($H174="","",TODAY()-$H174)</f>
        <v/>
      </c>
      <c r="O174" s="15" t="n"/>
      <c r="P174" s="15" t="n"/>
      <c r="Q174" s="15" t="n"/>
      <c r="R174" s="25" t="n"/>
      <c r="S174" s="26">
        <f>IF($A174="","",AND(OR('Assignment Builder'!$B$5="",$B174='Assignment Builder'!$B$5),OR('Assignment Builder'!$B$6="",ISNUMBER(SEARCH('Assignment Builder'!$B$6,$C174))),OR('Assignment Builder'!$B$7="",'Assignment Builder'!$B$7=IFERROR(INDEX('Category Dictionary'!$C$5:$C$135,MATCH($L174,'Category Dictionary'!$D$5:$D$135,0)),"")),OR('Assignment Builder'!$B$8="",$D174='Assignment Builder'!$B$8),OR('Assignment Builder'!$B$9="",$F174='Assignment Builder'!$B$9),OR('Assignment Builder'!$B$10="",$O174='Assignment Builder'!$B$10),OR('Assignment Builder'!$B$11="",$H174&gt;='Assignment Builder'!$B$11),OR('Assignment Builder'!$B$12="",N($Q174)&lt;='Assignment Builder'!$B$12)))</f>
        <v/>
      </c>
      <c r="T174" s="23" t="n"/>
    </row>
    <row r="175">
      <c r="A175" s="23" t="n"/>
      <c r="B175" s="23" t="n"/>
      <c r="C175" s="24" t="n"/>
      <c r="D175" s="15" t="n"/>
      <c r="E175" s="23" t="n"/>
      <c r="F175" s="15" t="n"/>
      <c r="G175" s="23" t="n"/>
      <c r="H175" s="25" t="n"/>
      <c r="I175" s="15" t="n"/>
      <c r="J175" s="26">
        <f>IF($A175="","",LEN($C175)-LEN(SUBSTITUTE($C175,",",""))+1)</f>
        <v/>
      </c>
      <c r="K175" s="26">
        <f>IF($A175="","",SUMPRODUCT(--ISNUMBER(SEARCH('Category Dictionary'!$D$5:$D$135&amp;"",$C175)),--('Category Dictionary'!$D$5:$D$135&lt;&gt;"")))</f>
        <v/>
      </c>
      <c r="L175" s="27">
        <f>IF($A175="","",TRIM(IF(ISERROR(FIND(",",$C175)),$C175,LEFT($C175,FIND(",",$C175)-1))))</f>
        <v/>
      </c>
      <c r="M175" s="28">
        <f>IF($H175="","",DATE(YEAR($H175),MONTH($H175),1))</f>
        <v/>
      </c>
      <c r="N175" s="26">
        <f>IF($H175="","",TODAY()-$H175)</f>
        <v/>
      </c>
      <c r="O175" s="15" t="n"/>
      <c r="P175" s="15" t="n"/>
      <c r="Q175" s="15" t="n"/>
      <c r="R175" s="25" t="n"/>
      <c r="S175" s="26">
        <f>IF($A175="","",AND(OR('Assignment Builder'!$B$5="",$B175='Assignment Builder'!$B$5),OR('Assignment Builder'!$B$6="",ISNUMBER(SEARCH('Assignment Builder'!$B$6,$C175))),OR('Assignment Builder'!$B$7="",'Assignment Builder'!$B$7=IFERROR(INDEX('Category Dictionary'!$C$5:$C$135,MATCH($L175,'Category Dictionary'!$D$5:$D$135,0)),"")),OR('Assignment Builder'!$B$8="",$D175='Assignment Builder'!$B$8),OR('Assignment Builder'!$B$9="",$F175='Assignment Builder'!$B$9),OR('Assignment Builder'!$B$10="",$O175='Assignment Builder'!$B$10),OR('Assignment Builder'!$B$11="",$H175&gt;='Assignment Builder'!$B$11),OR('Assignment Builder'!$B$12="",N($Q175)&lt;='Assignment Builder'!$B$12)))</f>
        <v/>
      </c>
      <c r="T175" s="23" t="n"/>
    </row>
    <row r="176">
      <c r="A176" s="23" t="n"/>
      <c r="B176" s="23" t="n"/>
      <c r="C176" s="24" t="n"/>
      <c r="D176" s="15" t="n"/>
      <c r="E176" s="23" t="n"/>
      <c r="F176" s="15" t="n"/>
      <c r="G176" s="23" t="n"/>
      <c r="H176" s="25" t="n"/>
      <c r="I176" s="15" t="n"/>
      <c r="J176" s="26">
        <f>IF($A176="","",LEN($C176)-LEN(SUBSTITUTE($C176,",",""))+1)</f>
        <v/>
      </c>
      <c r="K176" s="26">
        <f>IF($A176="","",SUMPRODUCT(--ISNUMBER(SEARCH('Category Dictionary'!$D$5:$D$135&amp;"",$C176)),--('Category Dictionary'!$D$5:$D$135&lt;&gt;"")))</f>
        <v/>
      </c>
      <c r="L176" s="27">
        <f>IF($A176="","",TRIM(IF(ISERROR(FIND(",",$C176)),$C176,LEFT($C176,FIND(",",$C176)-1))))</f>
        <v/>
      </c>
      <c r="M176" s="28">
        <f>IF($H176="","",DATE(YEAR($H176),MONTH($H176),1))</f>
        <v/>
      </c>
      <c r="N176" s="26">
        <f>IF($H176="","",TODAY()-$H176)</f>
        <v/>
      </c>
      <c r="O176" s="15" t="n"/>
      <c r="P176" s="15" t="n"/>
      <c r="Q176" s="15" t="n"/>
      <c r="R176" s="25" t="n"/>
      <c r="S176" s="26">
        <f>IF($A176="","",AND(OR('Assignment Builder'!$B$5="",$B176='Assignment Builder'!$B$5),OR('Assignment Builder'!$B$6="",ISNUMBER(SEARCH('Assignment Builder'!$B$6,$C176))),OR('Assignment Builder'!$B$7="",'Assignment Builder'!$B$7=IFERROR(INDEX('Category Dictionary'!$C$5:$C$135,MATCH($L176,'Category Dictionary'!$D$5:$D$135,0)),"")),OR('Assignment Builder'!$B$8="",$D176='Assignment Builder'!$B$8),OR('Assignment Builder'!$B$9="",$F176='Assignment Builder'!$B$9),OR('Assignment Builder'!$B$10="",$O176='Assignment Builder'!$B$10),OR('Assignment Builder'!$B$11="",$H176&gt;='Assignment Builder'!$B$11),OR('Assignment Builder'!$B$12="",N($Q176)&lt;='Assignment Builder'!$B$12)))</f>
        <v/>
      </c>
      <c r="T176" s="23" t="n"/>
    </row>
    <row r="177">
      <c r="A177" s="23" t="n"/>
      <c r="B177" s="23" t="n"/>
      <c r="C177" s="24" t="n"/>
      <c r="D177" s="15" t="n"/>
      <c r="E177" s="23" t="n"/>
      <c r="F177" s="15" t="n"/>
      <c r="G177" s="23" t="n"/>
      <c r="H177" s="25" t="n"/>
      <c r="I177" s="15" t="n"/>
      <c r="J177" s="26">
        <f>IF($A177="","",LEN($C177)-LEN(SUBSTITUTE($C177,",",""))+1)</f>
        <v/>
      </c>
      <c r="K177" s="26">
        <f>IF($A177="","",SUMPRODUCT(--ISNUMBER(SEARCH('Category Dictionary'!$D$5:$D$135&amp;"",$C177)),--('Category Dictionary'!$D$5:$D$135&lt;&gt;"")))</f>
        <v/>
      </c>
      <c r="L177" s="27">
        <f>IF($A177="","",TRIM(IF(ISERROR(FIND(",",$C177)),$C177,LEFT($C177,FIND(",",$C177)-1))))</f>
        <v/>
      </c>
      <c r="M177" s="28">
        <f>IF($H177="","",DATE(YEAR($H177),MONTH($H177),1))</f>
        <v/>
      </c>
      <c r="N177" s="26">
        <f>IF($H177="","",TODAY()-$H177)</f>
        <v/>
      </c>
      <c r="O177" s="15" t="n"/>
      <c r="P177" s="15" t="n"/>
      <c r="Q177" s="15" t="n"/>
      <c r="R177" s="25" t="n"/>
      <c r="S177" s="26">
        <f>IF($A177="","",AND(OR('Assignment Builder'!$B$5="",$B177='Assignment Builder'!$B$5),OR('Assignment Builder'!$B$6="",ISNUMBER(SEARCH('Assignment Builder'!$B$6,$C177))),OR('Assignment Builder'!$B$7="",'Assignment Builder'!$B$7=IFERROR(INDEX('Category Dictionary'!$C$5:$C$135,MATCH($L177,'Category Dictionary'!$D$5:$D$135,0)),"")),OR('Assignment Builder'!$B$8="",$D177='Assignment Builder'!$B$8),OR('Assignment Builder'!$B$9="",$F177='Assignment Builder'!$B$9),OR('Assignment Builder'!$B$10="",$O177='Assignment Builder'!$B$10),OR('Assignment Builder'!$B$11="",$H177&gt;='Assignment Builder'!$B$11),OR('Assignment Builder'!$B$12="",N($Q177)&lt;='Assignment Builder'!$B$12)))</f>
        <v/>
      </c>
      <c r="T177" s="23" t="n"/>
    </row>
    <row r="178">
      <c r="A178" s="23" t="n"/>
      <c r="B178" s="23" t="n"/>
      <c r="C178" s="24" t="n"/>
      <c r="D178" s="15" t="n"/>
      <c r="E178" s="23" t="n"/>
      <c r="F178" s="15" t="n"/>
      <c r="G178" s="23" t="n"/>
      <c r="H178" s="25" t="n"/>
      <c r="I178" s="15" t="n"/>
      <c r="J178" s="26">
        <f>IF($A178="","",LEN($C178)-LEN(SUBSTITUTE($C178,",",""))+1)</f>
        <v/>
      </c>
      <c r="K178" s="26">
        <f>IF($A178="","",SUMPRODUCT(--ISNUMBER(SEARCH('Category Dictionary'!$D$5:$D$135&amp;"",$C178)),--('Category Dictionary'!$D$5:$D$135&lt;&gt;"")))</f>
        <v/>
      </c>
      <c r="L178" s="27">
        <f>IF($A178="","",TRIM(IF(ISERROR(FIND(",",$C178)),$C178,LEFT($C178,FIND(",",$C178)-1))))</f>
        <v/>
      </c>
      <c r="M178" s="28">
        <f>IF($H178="","",DATE(YEAR($H178),MONTH($H178),1))</f>
        <v/>
      </c>
      <c r="N178" s="26">
        <f>IF($H178="","",TODAY()-$H178)</f>
        <v/>
      </c>
      <c r="O178" s="15" t="n"/>
      <c r="P178" s="15" t="n"/>
      <c r="Q178" s="15" t="n"/>
      <c r="R178" s="25" t="n"/>
      <c r="S178" s="26">
        <f>IF($A178="","",AND(OR('Assignment Builder'!$B$5="",$B178='Assignment Builder'!$B$5),OR('Assignment Builder'!$B$6="",ISNUMBER(SEARCH('Assignment Builder'!$B$6,$C178))),OR('Assignment Builder'!$B$7="",'Assignment Builder'!$B$7=IFERROR(INDEX('Category Dictionary'!$C$5:$C$135,MATCH($L178,'Category Dictionary'!$D$5:$D$135,0)),"")),OR('Assignment Builder'!$B$8="",$D178='Assignment Builder'!$B$8),OR('Assignment Builder'!$B$9="",$F178='Assignment Builder'!$B$9),OR('Assignment Builder'!$B$10="",$O178='Assignment Builder'!$B$10),OR('Assignment Builder'!$B$11="",$H178&gt;='Assignment Builder'!$B$11),OR('Assignment Builder'!$B$12="",N($Q178)&lt;='Assignment Builder'!$B$12)))</f>
        <v/>
      </c>
      <c r="T178" s="23" t="n"/>
    </row>
    <row r="179">
      <c r="A179" s="23" t="n"/>
      <c r="B179" s="23" t="n"/>
      <c r="C179" s="24" t="n"/>
      <c r="D179" s="15" t="n"/>
      <c r="E179" s="23" t="n"/>
      <c r="F179" s="15" t="n"/>
      <c r="G179" s="23" t="n"/>
      <c r="H179" s="25" t="n"/>
      <c r="I179" s="15" t="n"/>
      <c r="J179" s="26">
        <f>IF($A179="","",LEN($C179)-LEN(SUBSTITUTE($C179,",",""))+1)</f>
        <v/>
      </c>
      <c r="K179" s="26">
        <f>IF($A179="","",SUMPRODUCT(--ISNUMBER(SEARCH('Category Dictionary'!$D$5:$D$135&amp;"",$C179)),--('Category Dictionary'!$D$5:$D$135&lt;&gt;"")))</f>
        <v/>
      </c>
      <c r="L179" s="27">
        <f>IF($A179="","",TRIM(IF(ISERROR(FIND(",",$C179)),$C179,LEFT($C179,FIND(",",$C179)-1))))</f>
        <v/>
      </c>
      <c r="M179" s="28">
        <f>IF($H179="","",DATE(YEAR($H179),MONTH($H179),1))</f>
        <v/>
      </c>
      <c r="N179" s="26">
        <f>IF($H179="","",TODAY()-$H179)</f>
        <v/>
      </c>
      <c r="O179" s="15" t="n"/>
      <c r="P179" s="15" t="n"/>
      <c r="Q179" s="15" t="n"/>
      <c r="R179" s="25" t="n"/>
      <c r="S179" s="26">
        <f>IF($A179="","",AND(OR('Assignment Builder'!$B$5="",$B179='Assignment Builder'!$B$5),OR('Assignment Builder'!$B$6="",ISNUMBER(SEARCH('Assignment Builder'!$B$6,$C179))),OR('Assignment Builder'!$B$7="",'Assignment Builder'!$B$7=IFERROR(INDEX('Category Dictionary'!$C$5:$C$135,MATCH($L179,'Category Dictionary'!$D$5:$D$135,0)),"")),OR('Assignment Builder'!$B$8="",$D179='Assignment Builder'!$B$8),OR('Assignment Builder'!$B$9="",$F179='Assignment Builder'!$B$9),OR('Assignment Builder'!$B$10="",$O179='Assignment Builder'!$B$10),OR('Assignment Builder'!$B$11="",$H179&gt;='Assignment Builder'!$B$11),OR('Assignment Builder'!$B$12="",N($Q179)&lt;='Assignment Builder'!$B$12)))</f>
        <v/>
      </c>
      <c r="T179" s="23" t="n"/>
    </row>
    <row r="180">
      <c r="A180" s="23" t="n"/>
      <c r="B180" s="23" t="n"/>
      <c r="C180" s="24" t="n"/>
      <c r="D180" s="15" t="n"/>
      <c r="E180" s="23" t="n"/>
      <c r="F180" s="15" t="n"/>
      <c r="G180" s="23" t="n"/>
      <c r="H180" s="25" t="n"/>
      <c r="I180" s="15" t="n"/>
      <c r="J180" s="26">
        <f>IF($A180="","",LEN($C180)-LEN(SUBSTITUTE($C180,",",""))+1)</f>
        <v/>
      </c>
      <c r="K180" s="26">
        <f>IF($A180="","",SUMPRODUCT(--ISNUMBER(SEARCH('Category Dictionary'!$D$5:$D$135&amp;"",$C180)),--('Category Dictionary'!$D$5:$D$135&lt;&gt;"")))</f>
        <v/>
      </c>
      <c r="L180" s="27">
        <f>IF($A180="","",TRIM(IF(ISERROR(FIND(",",$C180)),$C180,LEFT($C180,FIND(",",$C180)-1))))</f>
        <v/>
      </c>
      <c r="M180" s="28">
        <f>IF($H180="","",DATE(YEAR($H180),MONTH($H180),1))</f>
        <v/>
      </c>
      <c r="N180" s="26">
        <f>IF($H180="","",TODAY()-$H180)</f>
        <v/>
      </c>
      <c r="O180" s="15" t="n"/>
      <c r="P180" s="15" t="n"/>
      <c r="Q180" s="15" t="n"/>
      <c r="R180" s="25" t="n"/>
      <c r="S180" s="26">
        <f>IF($A180="","",AND(OR('Assignment Builder'!$B$5="",$B180='Assignment Builder'!$B$5),OR('Assignment Builder'!$B$6="",ISNUMBER(SEARCH('Assignment Builder'!$B$6,$C180))),OR('Assignment Builder'!$B$7="",'Assignment Builder'!$B$7=IFERROR(INDEX('Category Dictionary'!$C$5:$C$135,MATCH($L180,'Category Dictionary'!$D$5:$D$135,0)),"")),OR('Assignment Builder'!$B$8="",$D180='Assignment Builder'!$B$8),OR('Assignment Builder'!$B$9="",$F180='Assignment Builder'!$B$9),OR('Assignment Builder'!$B$10="",$O180='Assignment Builder'!$B$10),OR('Assignment Builder'!$B$11="",$H180&gt;='Assignment Builder'!$B$11),OR('Assignment Builder'!$B$12="",N($Q180)&lt;='Assignment Builder'!$B$12)))</f>
        <v/>
      </c>
      <c r="T180" s="23" t="n"/>
    </row>
    <row r="181">
      <c r="A181" s="23" t="n"/>
      <c r="B181" s="23" t="n"/>
      <c r="C181" s="24" t="n"/>
      <c r="D181" s="15" t="n"/>
      <c r="E181" s="23" t="n"/>
      <c r="F181" s="15" t="n"/>
      <c r="G181" s="23" t="n"/>
      <c r="H181" s="25" t="n"/>
      <c r="I181" s="15" t="n"/>
      <c r="J181" s="26">
        <f>IF($A181="","",LEN($C181)-LEN(SUBSTITUTE($C181,",",""))+1)</f>
        <v/>
      </c>
      <c r="K181" s="26">
        <f>IF($A181="","",SUMPRODUCT(--ISNUMBER(SEARCH('Category Dictionary'!$D$5:$D$135&amp;"",$C181)),--('Category Dictionary'!$D$5:$D$135&lt;&gt;"")))</f>
        <v/>
      </c>
      <c r="L181" s="27">
        <f>IF($A181="","",TRIM(IF(ISERROR(FIND(",",$C181)),$C181,LEFT($C181,FIND(",",$C181)-1))))</f>
        <v/>
      </c>
      <c r="M181" s="28">
        <f>IF($H181="","",DATE(YEAR($H181),MONTH($H181),1))</f>
        <v/>
      </c>
      <c r="N181" s="26">
        <f>IF($H181="","",TODAY()-$H181)</f>
        <v/>
      </c>
      <c r="O181" s="15" t="n"/>
      <c r="P181" s="15" t="n"/>
      <c r="Q181" s="15" t="n"/>
      <c r="R181" s="25" t="n"/>
      <c r="S181" s="26">
        <f>IF($A181="","",AND(OR('Assignment Builder'!$B$5="",$B181='Assignment Builder'!$B$5),OR('Assignment Builder'!$B$6="",ISNUMBER(SEARCH('Assignment Builder'!$B$6,$C181))),OR('Assignment Builder'!$B$7="",'Assignment Builder'!$B$7=IFERROR(INDEX('Category Dictionary'!$C$5:$C$135,MATCH($L181,'Category Dictionary'!$D$5:$D$135,0)),"")),OR('Assignment Builder'!$B$8="",$D181='Assignment Builder'!$B$8),OR('Assignment Builder'!$B$9="",$F181='Assignment Builder'!$B$9),OR('Assignment Builder'!$B$10="",$O181='Assignment Builder'!$B$10),OR('Assignment Builder'!$B$11="",$H181&gt;='Assignment Builder'!$B$11),OR('Assignment Builder'!$B$12="",N($Q181)&lt;='Assignment Builder'!$B$12)))</f>
        <v/>
      </c>
      <c r="T181" s="23" t="n"/>
    </row>
    <row r="182">
      <c r="A182" s="23" t="n"/>
      <c r="B182" s="23" t="n"/>
      <c r="C182" s="24" t="n"/>
      <c r="D182" s="15" t="n"/>
      <c r="E182" s="23" t="n"/>
      <c r="F182" s="15" t="n"/>
      <c r="G182" s="23" t="n"/>
      <c r="H182" s="25" t="n"/>
      <c r="I182" s="15" t="n"/>
      <c r="J182" s="26">
        <f>IF($A182="","",LEN($C182)-LEN(SUBSTITUTE($C182,",",""))+1)</f>
        <v/>
      </c>
      <c r="K182" s="26">
        <f>IF($A182="","",SUMPRODUCT(--ISNUMBER(SEARCH('Category Dictionary'!$D$5:$D$135&amp;"",$C182)),--('Category Dictionary'!$D$5:$D$135&lt;&gt;"")))</f>
        <v/>
      </c>
      <c r="L182" s="27">
        <f>IF($A182="","",TRIM(IF(ISERROR(FIND(",",$C182)),$C182,LEFT($C182,FIND(",",$C182)-1))))</f>
        <v/>
      </c>
      <c r="M182" s="28">
        <f>IF($H182="","",DATE(YEAR($H182),MONTH($H182),1))</f>
        <v/>
      </c>
      <c r="N182" s="26">
        <f>IF($H182="","",TODAY()-$H182)</f>
        <v/>
      </c>
      <c r="O182" s="15" t="n"/>
      <c r="P182" s="15" t="n"/>
      <c r="Q182" s="15" t="n"/>
      <c r="R182" s="25" t="n"/>
      <c r="S182" s="26">
        <f>IF($A182="","",AND(OR('Assignment Builder'!$B$5="",$B182='Assignment Builder'!$B$5),OR('Assignment Builder'!$B$6="",ISNUMBER(SEARCH('Assignment Builder'!$B$6,$C182))),OR('Assignment Builder'!$B$7="",'Assignment Builder'!$B$7=IFERROR(INDEX('Category Dictionary'!$C$5:$C$135,MATCH($L182,'Category Dictionary'!$D$5:$D$135,0)),"")),OR('Assignment Builder'!$B$8="",$D182='Assignment Builder'!$B$8),OR('Assignment Builder'!$B$9="",$F182='Assignment Builder'!$B$9),OR('Assignment Builder'!$B$10="",$O182='Assignment Builder'!$B$10),OR('Assignment Builder'!$B$11="",$H182&gt;='Assignment Builder'!$B$11),OR('Assignment Builder'!$B$12="",N($Q182)&lt;='Assignment Builder'!$B$12)))</f>
        <v/>
      </c>
      <c r="T182" s="23" t="n"/>
    </row>
    <row r="183">
      <c r="A183" s="23" t="n"/>
      <c r="B183" s="23" t="n"/>
      <c r="C183" s="24" t="n"/>
      <c r="D183" s="15" t="n"/>
      <c r="E183" s="23" t="n"/>
      <c r="F183" s="15" t="n"/>
      <c r="G183" s="23" t="n"/>
      <c r="H183" s="25" t="n"/>
      <c r="I183" s="15" t="n"/>
      <c r="J183" s="26">
        <f>IF($A183="","",LEN($C183)-LEN(SUBSTITUTE($C183,",",""))+1)</f>
        <v/>
      </c>
      <c r="K183" s="26">
        <f>IF($A183="","",SUMPRODUCT(--ISNUMBER(SEARCH('Category Dictionary'!$D$5:$D$135&amp;"",$C183)),--('Category Dictionary'!$D$5:$D$135&lt;&gt;"")))</f>
        <v/>
      </c>
      <c r="L183" s="27">
        <f>IF($A183="","",TRIM(IF(ISERROR(FIND(",",$C183)),$C183,LEFT($C183,FIND(",",$C183)-1))))</f>
        <v/>
      </c>
      <c r="M183" s="28">
        <f>IF($H183="","",DATE(YEAR($H183),MONTH($H183),1))</f>
        <v/>
      </c>
      <c r="N183" s="26">
        <f>IF($H183="","",TODAY()-$H183)</f>
        <v/>
      </c>
      <c r="O183" s="15" t="n"/>
      <c r="P183" s="15" t="n"/>
      <c r="Q183" s="15" t="n"/>
      <c r="R183" s="25" t="n"/>
      <c r="S183" s="26">
        <f>IF($A183="","",AND(OR('Assignment Builder'!$B$5="",$B183='Assignment Builder'!$B$5),OR('Assignment Builder'!$B$6="",ISNUMBER(SEARCH('Assignment Builder'!$B$6,$C183))),OR('Assignment Builder'!$B$7="",'Assignment Builder'!$B$7=IFERROR(INDEX('Category Dictionary'!$C$5:$C$135,MATCH($L183,'Category Dictionary'!$D$5:$D$135,0)),"")),OR('Assignment Builder'!$B$8="",$D183='Assignment Builder'!$B$8),OR('Assignment Builder'!$B$9="",$F183='Assignment Builder'!$B$9),OR('Assignment Builder'!$B$10="",$O183='Assignment Builder'!$B$10),OR('Assignment Builder'!$B$11="",$H183&gt;='Assignment Builder'!$B$11),OR('Assignment Builder'!$B$12="",N($Q183)&lt;='Assignment Builder'!$B$12)))</f>
        <v/>
      </c>
      <c r="T183" s="23" t="n"/>
    </row>
    <row r="184">
      <c r="A184" s="23" t="n"/>
      <c r="B184" s="23" t="n"/>
      <c r="C184" s="24" t="n"/>
      <c r="D184" s="15" t="n"/>
      <c r="E184" s="23" t="n"/>
      <c r="F184" s="15" t="n"/>
      <c r="G184" s="23" t="n"/>
      <c r="H184" s="25" t="n"/>
      <c r="I184" s="15" t="n"/>
      <c r="J184" s="26">
        <f>IF($A184="","",LEN($C184)-LEN(SUBSTITUTE($C184,",",""))+1)</f>
        <v/>
      </c>
      <c r="K184" s="26">
        <f>IF($A184="","",SUMPRODUCT(--ISNUMBER(SEARCH('Category Dictionary'!$D$5:$D$135&amp;"",$C184)),--('Category Dictionary'!$D$5:$D$135&lt;&gt;"")))</f>
        <v/>
      </c>
      <c r="L184" s="27">
        <f>IF($A184="","",TRIM(IF(ISERROR(FIND(",",$C184)),$C184,LEFT($C184,FIND(",",$C184)-1))))</f>
        <v/>
      </c>
      <c r="M184" s="28">
        <f>IF($H184="","",DATE(YEAR($H184),MONTH($H184),1))</f>
        <v/>
      </c>
      <c r="N184" s="26">
        <f>IF($H184="","",TODAY()-$H184)</f>
        <v/>
      </c>
      <c r="O184" s="15" t="n"/>
      <c r="P184" s="15" t="n"/>
      <c r="Q184" s="15" t="n"/>
      <c r="R184" s="25" t="n"/>
      <c r="S184" s="26">
        <f>IF($A184="","",AND(OR('Assignment Builder'!$B$5="",$B184='Assignment Builder'!$B$5),OR('Assignment Builder'!$B$6="",ISNUMBER(SEARCH('Assignment Builder'!$B$6,$C184))),OR('Assignment Builder'!$B$7="",'Assignment Builder'!$B$7=IFERROR(INDEX('Category Dictionary'!$C$5:$C$135,MATCH($L184,'Category Dictionary'!$D$5:$D$135,0)),"")),OR('Assignment Builder'!$B$8="",$D184='Assignment Builder'!$B$8),OR('Assignment Builder'!$B$9="",$F184='Assignment Builder'!$B$9),OR('Assignment Builder'!$B$10="",$O184='Assignment Builder'!$B$10),OR('Assignment Builder'!$B$11="",$H184&gt;='Assignment Builder'!$B$11),OR('Assignment Builder'!$B$12="",N($Q184)&lt;='Assignment Builder'!$B$12)))</f>
        <v/>
      </c>
      <c r="T184" s="23" t="n"/>
    </row>
    <row r="185">
      <c r="A185" s="23" t="n"/>
      <c r="B185" s="23" t="n"/>
      <c r="C185" s="24" t="n"/>
      <c r="D185" s="15" t="n"/>
      <c r="E185" s="23" t="n"/>
      <c r="F185" s="15" t="n"/>
      <c r="G185" s="23" t="n"/>
      <c r="H185" s="25" t="n"/>
      <c r="I185" s="15" t="n"/>
      <c r="J185" s="26">
        <f>IF($A185="","",LEN($C185)-LEN(SUBSTITUTE($C185,",",""))+1)</f>
        <v/>
      </c>
      <c r="K185" s="26">
        <f>IF($A185="","",SUMPRODUCT(--ISNUMBER(SEARCH('Category Dictionary'!$D$5:$D$135&amp;"",$C185)),--('Category Dictionary'!$D$5:$D$135&lt;&gt;"")))</f>
        <v/>
      </c>
      <c r="L185" s="27">
        <f>IF($A185="","",TRIM(IF(ISERROR(FIND(",",$C185)),$C185,LEFT($C185,FIND(",",$C185)-1))))</f>
        <v/>
      </c>
      <c r="M185" s="28">
        <f>IF($H185="","",DATE(YEAR($H185),MONTH($H185),1))</f>
        <v/>
      </c>
      <c r="N185" s="26">
        <f>IF($H185="","",TODAY()-$H185)</f>
        <v/>
      </c>
      <c r="O185" s="15" t="n"/>
      <c r="P185" s="15" t="n"/>
      <c r="Q185" s="15" t="n"/>
      <c r="R185" s="25" t="n"/>
      <c r="S185" s="26">
        <f>IF($A185="","",AND(OR('Assignment Builder'!$B$5="",$B185='Assignment Builder'!$B$5),OR('Assignment Builder'!$B$6="",ISNUMBER(SEARCH('Assignment Builder'!$B$6,$C185))),OR('Assignment Builder'!$B$7="",'Assignment Builder'!$B$7=IFERROR(INDEX('Category Dictionary'!$C$5:$C$135,MATCH($L185,'Category Dictionary'!$D$5:$D$135,0)),"")),OR('Assignment Builder'!$B$8="",$D185='Assignment Builder'!$B$8),OR('Assignment Builder'!$B$9="",$F185='Assignment Builder'!$B$9),OR('Assignment Builder'!$B$10="",$O185='Assignment Builder'!$B$10),OR('Assignment Builder'!$B$11="",$H185&gt;='Assignment Builder'!$B$11),OR('Assignment Builder'!$B$12="",N($Q185)&lt;='Assignment Builder'!$B$12)))</f>
        <v/>
      </c>
      <c r="T185" s="23" t="n"/>
    </row>
    <row r="186">
      <c r="A186" s="23" t="n"/>
      <c r="B186" s="23" t="n"/>
      <c r="C186" s="24" t="n"/>
      <c r="D186" s="15" t="n"/>
      <c r="E186" s="23" t="n"/>
      <c r="F186" s="15" t="n"/>
      <c r="G186" s="23" t="n"/>
      <c r="H186" s="25" t="n"/>
      <c r="I186" s="15" t="n"/>
      <c r="J186" s="26">
        <f>IF($A186="","",LEN($C186)-LEN(SUBSTITUTE($C186,",",""))+1)</f>
        <v/>
      </c>
      <c r="K186" s="26">
        <f>IF($A186="","",SUMPRODUCT(--ISNUMBER(SEARCH('Category Dictionary'!$D$5:$D$135&amp;"",$C186)),--('Category Dictionary'!$D$5:$D$135&lt;&gt;"")))</f>
        <v/>
      </c>
      <c r="L186" s="27">
        <f>IF($A186="","",TRIM(IF(ISERROR(FIND(",",$C186)),$C186,LEFT($C186,FIND(",",$C186)-1))))</f>
        <v/>
      </c>
      <c r="M186" s="28">
        <f>IF($H186="","",DATE(YEAR($H186),MONTH($H186),1))</f>
        <v/>
      </c>
      <c r="N186" s="26">
        <f>IF($H186="","",TODAY()-$H186)</f>
        <v/>
      </c>
      <c r="O186" s="15" t="n"/>
      <c r="P186" s="15" t="n"/>
      <c r="Q186" s="15" t="n"/>
      <c r="R186" s="25" t="n"/>
      <c r="S186" s="26">
        <f>IF($A186="","",AND(OR('Assignment Builder'!$B$5="",$B186='Assignment Builder'!$B$5),OR('Assignment Builder'!$B$6="",ISNUMBER(SEARCH('Assignment Builder'!$B$6,$C186))),OR('Assignment Builder'!$B$7="",'Assignment Builder'!$B$7=IFERROR(INDEX('Category Dictionary'!$C$5:$C$135,MATCH($L186,'Category Dictionary'!$D$5:$D$135,0)),"")),OR('Assignment Builder'!$B$8="",$D186='Assignment Builder'!$B$8),OR('Assignment Builder'!$B$9="",$F186='Assignment Builder'!$B$9),OR('Assignment Builder'!$B$10="",$O186='Assignment Builder'!$B$10),OR('Assignment Builder'!$B$11="",$H186&gt;='Assignment Builder'!$B$11),OR('Assignment Builder'!$B$12="",N($Q186)&lt;='Assignment Builder'!$B$12)))</f>
        <v/>
      </c>
      <c r="T186" s="23" t="n"/>
    </row>
    <row r="187">
      <c r="A187" s="23" t="n"/>
      <c r="B187" s="23" t="n"/>
      <c r="C187" s="24" t="n"/>
      <c r="D187" s="15" t="n"/>
      <c r="E187" s="23" t="n"/>
      <c r="F187" s="15" t="n"/>
      <c r="G187" s="23" t="n"/>
      <c r="H187" s="25" t="n"/>
      <c r="I187" s="15" t="n"/>
      <c r="J187" s="26">
        <f>IF($A187="","",LEN($C187)-LEN(SUBSTITUTE($C187,",",""))+1)</f>
        <v/>
      </c>
      <c r="K187" s="26">
        <f>IF($A187="","",SUMPRODUCT(--ISNUMBER(SEARCH('Category Dictionary'!$D$5:$D$135&amp;"",$C187)),--('Category Dictionary'!$D$5:$D$135&lt;&gt;"")))</f>
        <v/>
      </c>
      <c r="L187" s="27">
        <f>IF($A187="","",TRIM(IF(ISERROR(FIND(",",$C187)),$C187,LEFT($C187,FIND(",",$C187)-1))))</f>
        <v/>
      </c>
      <c r="M187" s="28">
        <f>IF($H187="","",DATE(YEAR($H187),MONTH($H187),1))</f>
        <v/>
      </c>
      <c r="N187" s="26">
        <f>IF($H187="","",TODAY()-$H187)</f>
        <v/>
      </c>
      <c r="O187" s="15" t="n"/>
      <c r="P187" s="15" t="n"/>
      <c r="Q187" s="15" t="n"/>
      <c r="R187" s="25" t="n"/>
      <c r="S187" s="26">
        <f>IF($A187="","",AND(OR('Assignment Builder'!$B$5="",$B187='Assignment Builder'!$B$5),OR('Assignment Builder'!$B$6="",ISNUMBER(SEARCH('Assignment Builder'!$B$6,$C187))),OR('Assignment Builder'!$B$7="",'Assignment Builder'!$B$7=IFERROR(INDEX('Category Dictionary'!$C$5:$C$135,MATCH($L187,'Category Dictionary'!$D$5:$D$135,0)),"")),OR('Assignment Builder'!$B$8="",$D187='Assignment Builder'!$B$8),OR('Assignment Builder'!$B$9="",$F187='Assignment Builder'!$B$9),OR('Assignment Builder'!$B$10="",$O187='Assignment Builder'!$B$10),OR('Assignment Builder'!$B$11="",$H187&gt;='Assignment Builder'!$B$11),OR('Assignment Builder'!$B$12="",N($Q187)&lt;='Assignment Builder'!$B$12)))</f>
        <v/>
      </c>
      <c r="T187" s="23" t="n"/>
    </row>
    <row r="188">
      <c r="A188" s="23" t="n"/>
      <c r="B188" s="23" t="n"/>
      <c r="C188" s="24" t="n"/>
      <c r="D188" s="15" t="n"/>
      <c r="E188" s="23" t="n"/>
      <c r="F188" s="15" t="n"/>
      <c r="G188" s="23" t="n"/>
      <c r="H188" s="25" t="n"/>
      <c r="I188" s="15" t="n"/>
      <c r="J188" s="26">
        <f>IF($A188="","",LEN($C188)-LEN(SUBSTITUTE($C188,",",""))+1)</f>
        <v/>
      </c>
      <c r="K188" s="26">
        <f>IF($A188="","",SUMPRODUCT(--ISNUMBER(SEARCH('Category Dictionary'!$D$5:$D$135&amp;"",$C188)),--('Category Dictionary'!$D$5:$D$135&lt;&gt;"")))</f>
        <v/>
      </c>
      <c r="L188" s="27">
        <f>IF($A188="","",TRIM(IF(ISERROR(FIND(",",$C188)),$C188,LEFT($C188,FIND(",",$C188)-1))))</f>
        <v/>
      </c>
      <c r="M188" s="28">
        <f>IF($H188="","",DATE(YEAR($H188),MONTH($H188),1))</f>
        <v/>
      </c>
      <c r="N188" s="26">
        <f>IF($H188="","",TODAY()-$H188)</f>
        <v/>
      </c>
      <c r="O188" s="15" t="n"/>
      <c r="P188" s="15" t="n"/>
      <c r="Q188" s="15" t="n"/>
      <c r="R188" s="25" t="n"/>
      <c r="S188" s="26">
        <f>IF($A188="","",AND(OR('Assignment Builder'!$B$5="",$B188='Assignment Builder'!$B$5),OR('Assignment Builder'!$B$6="",ISNUMBER(SEARCH('Assignment Builder'!$B$6,$C188))),OR('Assignment Builder'!$B$7="",'Assignment Builder'!$B$7=IFERROR(INDEX('Category Dictionary'!$C$5:$C$135,MATCH($L188,'Category Dictionary'!$D$5:$D$135,0)),"")),OR('Assignment Builder'!$B$8="",$D188='Assignment Builder'!$B$8),OR('Assignment Builder'!$B$9="",$F188='Assignment Builder'!$B$9),OR('Assignment Builder'!$B$10="",$O188='Assignment Builder'!$B$10),OR('Assignment Builder'!$B$11="",$H188&gt;='Assignment Builder'!$B$11),OR('Assignment Builder'!$B$12="",N($Q188)&lt;='Assignment Builder'!$B$12)))</f>
        <v/>
      </c>
      <c r="T188" s="23" t="n"/>
    </row>
    <row r="189">
      <c r="A189" s="23" t="n"/>
      <c r="B189" s="23" t="n"/>
      <c r="C189" s="24" t="n"/>
      <c r="D189" s="15" t="n"/>
      <c r="E189" s="23" t="n"/>
      <c r="F189" s="15" t="n"/>
      <c r="G189" s="23" t="n"/>
      <c r="H189" s="25" t="n"/>
      <c r="I189" s="15" t="n"/>
      <c r="J189" s="26">
        <f>IF($A189="","",LEN($C189)-LEN(SUBSTITUTE($C189,",",""))+1)</f>
        <v/>
      </c>
      <c r="K189" s="26">
        <f>IF($A189="","",SUMPRODUCT(--ISNUMBER(SEARCH('Category Dictionary'!$D$5:$D$135&amp;"",$C189)),--('Category Dictionary'!$D$5:$D$135&lt;&gt;"")))</f>
        <v/>
      </c>
      <c r="L189" s="27">
        <f>IF($A189="","",TRIM(IF(ISERROR(FIND(",",$C189)),$C189,LEFT($C189,FIND(",",$C189)-1))))</f>
        <v/>
      </c>
      <c r="M189" s="28">
        <f>IF($H189="","",DATE(YEAR($H189),MONTH($H189),1))</f>
        <v/>
      </c>
      <c r="N189" s="26">
        <f>IF($H189="","",TODAY()-$H189)</f>
        <v/>
      </c>
      <c r="O189" s="15" t="n"/>
      <c r="P189" s="15" t="n"/>
      <c r="Q189" s="15" t="n"/>
      <c r="R189" s="25" t="n"/>
      <c r="S189" s="26">
        <f>IF($A189="","",AND(OR('Assignment Builder'!$B$5="",$B189='Assignment Builder'!$B$5),OR('Assignment Builder'!$B$6="",ISNUMBER(SEARCH('Assignment Builder'!$B$6,$C189))),OR('Assignment Builder'!$B$7="",'Assignment Builder'!$B$7=IFERROR(INDEX('Category Dictionary'!$C$5:$C$135,MATCH($L189,'Category Dictionary'!$D$5:$D$135,0)),"")),OR('Assignment Builder'!$B$8="",$D189='Assignment Builder'!$B$8),OR('Assignment Builder'!$B$9="",$F189='Assignment Builder'!$B$9),OR('Assignment Builder'!$B$10="",$O189='Assignment Builder'!$B$10),OR('Assignment Builder'!$B$11="",$H189&gt;='Assignment Builder'!$B$11),OR('Assignment Builder'!$B$12="",N($Q189)&lt;='Assignment Builder'!$B$12)))</f>
        <v/>
      </c>
      <c r="T189" s="23" t="n"/>
    </row>
    <row r="190">
      <c r="A190" s="23" t="n"/>
      <c r="B190" s="23" t="n"/>
      <c r="C190" s="24" t="n"/>
      <c r="D190" s="15" t="n"/>
      <c r="E190" s="23" t="n"/>
      <c r="F190" s="15" t="n"/>
      <c r="G190" s="23" t="n"/>
      <c r="H190" s="25" t="n"/>
      <c r="I190" s="15" t="n"/>
      <c r="J190" s="26">
        <f>IF($A190="","",LEN($C190)-LEN(SUBSTITUTE($C190,",",""))+1)</f>
        <v/>
      </c>
      <c r="K190" s="26">
        <f>IF($A190="","",SUMPRODUCT(--ISNUMBER(SEARCH('Category Dictionary'!$D$5:$D$135&amp;"",$C190)),--('Category Dictionary'!$D$5:$D$135&lt;&gt;"")))</f>
        <v/>
      </c>
      <c r="L190" s="27">
        <f>IF($A190="","",TRIM(IF(ISERROR(FIND(",",$C190)),$C190,LEFT($C190,FIND(",",$C190)-1))))</f>
        <v/>
      </c>
      <c r="M190" s="28">
        <f>IF($H190="","",DATE(YEAR($H190),MONTH($H190),1))</f>
        <v/>
      </c>
      <c r="N190" s="26">
        <f>IF($H190="","",TODAY()-$H190)</f>
        <v/>
      </c>
      <c r="O190" s="15" t="n"/>
      <c r="P190" s="15" t="n"/>
      <c r="Q190" s="15" t="n"/>
      <c r="R190" s="25" t="n"/>
      <c r="S190" s="26">
        <f>IF($A190="","",AND(OR('Assignment Builder'!$B$5="",$B190='Assignment Builder'!$B$5),OR('Assignment Builder'!$B$6="",ISNUMBER(SEARCH('Assignment Builder'!$B$6,$C190))),OR('Assignment Builder'!$B$7="",'Assignment Builder'!$B$7=IFERROR(INDEX('Category Dictionary'!$C$5:$C$135,MATCH($L190,'Category Dictionary'!$D$5:$D$135,0)),"")),OR('Assignment Builder'!$B$8="",$D190='Assignment Builder'!$B$8),OR('Assignment Builder'!$B$9="",$F190='Assignment Builder'!$B$9),OR('Assignment Builder'!$B$10="",$O190='Assignment Builder'!$B$10),OR('Assignment Builder'!$B$11="",$H190&gt;='Assignment Builder'!$B$11),OR('Assignment Builder'!$B$12="",N($Q190)&lt;='Assignment Builder'!$B$12)))</f>
        <v/>
      </c>
      <c r="T190" s="23" t="n"/>
    </row>
    <row r="191">
      <c r="A191" s="23" t="n"/>
      <c r="B191" s="23" t="n"/>
      <c r="C191" s="24" t="n"/>
      <c r="D191" s="15" t="n"/>
      <c r="E191" s="23" t="n"/>
      <c r="F191" s="15" t="n"/>
      <c r="G191" s="23" t="n"/>
      <c r="H191" s="25" t="n"/>
      <c r="I191" s="15" t="n"/>
      <c r="J191" s="26">
        <f>IF($A191="","",LEN($C191)-LEN(SUBSTITUTE($C191,",",""))+1)</f>
        <v/>
      </c>
      <c r="K191" s="26">
        <f>IF($A191="","",SUMPRODUCT(--ISNUMBER(SEARCH('Category Dictionary'!$D$5:$D$135&amp;"",$C191)),--('Category Dictionary'!$D$5:$D$135&lt;&gt;"")))</f>
        <v/>
      </c>
      <c r="L191" s="27">
        <f>IF($A191="","",TRIM(IF(ISERROR(FIND(",",$C191)),$C191,LEFT($C191,FIND(",",$C191)-1))))</f>
        <v/>
      </c>
      <c r="M191" s="28">
        <f>IF($H191="","",DATE(YEAR($H191),MONTH($H191),1))</f>
        <v/>
      </c>
      <c r="N191" s="26">
        <f>IF($H191="","",TODAY()-$H191)</f>
        <v/>
      </c>
      <c r="O191" s="15" t="n"/>
      <c r="P191" s="15" t="n"/>
      <c r="Q191" s="15" t="n"/>
      <c r="R191" s="25" t="n"/>
      <c r="S191" s="26">
        <f>IF($A191="","",AND(OR('Assignment Builder'!$B$5="",$B191='Assignment Builder'!$B$5),OR('Assignment Builder'!$B$6="",ISNUMBER(SEARCH('Assignment Builder'!$B$6,$C191))),OR('Assignment Builder'!$B$7="",'Assignment Builder'!$B$7=IFERROR(INDEX('Category Dictionary'!$C$5:$C$135,MATCH($L191,'Category Dictionary'!$D$5:$D$135,0)),"")),OR('Assignment Builder'!$B$8="",$D191='Assignment Builder'!$B$8),OR('Assignment Builder'!$B$9="",$F191='Assignment Builder'!$B$9),OR('Assignment Builder'!$B$10="",$O191='Assignment Builder'!$B$10),OR('Assignment Builder'!$B$11="",$H191&gt;='Assignment Builder'!$B$11),OR('Assignment Builder'!$B$12="",N($Q191)&lt;='Assignment Builder'!$B$12)))</f>
        <v/>
      </c>
      <c r="T191" s="23" t="n"/>
    </row>
    <row r="192">
      <c r="A192" s="23" t="n"/>
      <c r="B192" s="23" t="n"/>
      <c r="C192" s="24" t="n"/>
      <c r="D192" s="15" t="n"/>
      <c r="E192" s="23" t="n"/>
      <c r="F192" s="15" t="n"/>
      <c r="G192" s="23" t="n"/>
      <c r="H192" s="25" t="n"/>
      <c r="I192" s="15" t="n"/>
      <c r="J192" s="26">
        <f>IF($A192="","",LEN($C192)-LEN(SUBSTITUTE($C192,",",""))+1)</f>
        <v/>
      </c>
      <c r="K192" s="26">
        <f>IF($A192="","",SUMPRODUCT(--ISNUMBER(SEARCH('Category Dictionary'!$D$5:$D$135&amp;"",$C192)),--('Category Dictionary'!$D$5:$D$135&lt;&gt;"")))</f>
        <v/>
      </c>
      <c r="L192" s="27">
        <f>IF($A192="","",TRIM(IF(ISERROR(FIND(",",$C192)),$C192,LEFT($C192,FIND(",",$C192)-1))))</f>
        <v/>
      </c>
      <c r="M192" s="28">
        <f>IF($H192="","",DATE(YEAR($H192),MONTH($H192),1))</f>
        <v/>
      </c>
      <c r="N192" s="26">
        <f>IF($H192="","",TODAY()-$H192)</f>
        <v/>
      </c>
      <c r="O192" s="15" t="n"/>
      <c r="P192" s="15" t="n"/>
      <c r="Q192" s="15" t="n"/>
      <c r="R192" s="25" t="n"/>
      <c r="S192" s="26">
        <f>IF($A192="","",AND(OR('Assignment Builder'!$B$5="",$B192='Assignment Builder'!$B$5),OR('Assignment Builder'!$B$6="",ISNUMBER(SEARCH('Assignment Builder'!$B$6,$C192))),OR('Assignment Builder'!$B$7="",'Assignment Builder'!$B$7=IFERROR(INDEX('Category Dictionary'!$C$5:$C$135,MATCH($L192,'Category Dictionary'!$D$5:$D$135,0)),"")),OR('Assignment Builder'!$B$8="",$D192='Assignment Builder'!$B$8),OR('Assignment Builder'!$B$9="",$F192='Assignment Builder'!$B$9),OR('Assignment Builder'!$B$10="",$O192='Assignment Builder'!$B$10),OR('Assignment Builder'!$B$11="",$H192&gt;='Assignment Builder'!$B$11),OR('Assignment Builder'!$B$12="",N($Q192)&lt;='Assignment Builder'!$B$12)))</f>
        <v/>
      </c>
      <c r="T192" s="23" t="n"/>
    </row>
    <row r="193">
      <c r="A193" s="23" t="n"/>
      <c r="B193" s="23" t="n"/>
      <c r="C193" s="24" t="n"/>
      <c r="D193" s="15" t="n"/>
      <c r="E193" s="23" t="n"/>
      <c r="F193" s="15" t="n"/>
      <c r="G193" s="23" t="n"/>
      <c r="H193" s="25" t="n"/>
      <c r="I193" s="15" t="n"/>
      <c r="J193" s="26">
        <f>IF($A193="","",LEN($C193)-LEN(SUBSTITUTE($C193,",",""))+1)</f>
        <v/>
      </c>
      <c r="K193" s="26">
        <f>IF($A193="","",SUMPRODUCT(--ISNUMBER(SEARCH('Category Dictionary'!$D$5:$D$135&amp;"",$C193)),--('Category Dictionary'!$D$5:$D$135&lt;&gt;"")))</f>
        <v/>
      </c>
      <c r="L193" s="27">
        <f>IF($A193="","",TRIM(IF(ISERROR(FIND(",",$C193)),$C193,LEFT($C193,FIND(",",$C193)-1))))</f>
        <v/>
      </c>
      <c r="M193" s="28">
        <f>IF($H193="","",DATE(YEAR($H193),MONTH($H193),1))</f>
        <v/>
      </c>
      <c r="N193" s="26">
        <f>IF($H193="","",TODAY()-$H193)</f>
        <v/>
      </c>
      <c r="O193" s="15" t="n"/>
      <c r="P193" s="15" t="n"/>
      <c r="Q193" s="15" t="n"/>
      <c r="R193" s="25" t="n"/>
      <c r="S193" s="26">
        <f>IF($A193="","",AND(OR('Assignment Builder'!$B$5="",$B193='Assignment Builder'!$B$5),OR('Assignment Builder'!$B$6="",ISNUMBER(SEARCH('Assignment Builder'!$B$6,$C193))),OR('Assignment Builder'!$B$7="",'Assignment Builder'!$B$7=IFERROR(INDEX('Category Dictionary'!$C$5:$C$135,MATCH($L193,'Category Dictionary'!$D$5:$D$135,0)),"")),OR('Assignment Builder'!$B$8="",$D193='Assignment Builder'!$B$8),OR('Assignment Builder'!$B$9="",$F193='Assignment Builder'!$B$9),OR('Assignment Builder'!$B$10="",$O193='Assignment Builder'!$B$10),OR('Assignment Builder'!$B$11="",$H193&gt;='Assignment Builder'!$B$11),OR('Assignment Builder'!$B$12="",N($Q193)&lt;='Assignment Builder'!$B$12)))</f>
        <v/>
      </c>
      <c r="T193" s="23" t="n"/>
    </row>
    <row r="194">
      <c r="A194" s="23" t="n"/>
      <c r="B194" s="23" t="n"/>
      <c r="C194" s="24" t="n"/>
      <c r="D194" s="15" t="n"/>
      <c r="E194" s="23" t="n"/>
      <c r="F194" s="15" t="n"/>
      <c r="G194" s="23" t="n"/>
      <c r="H194" s="25" t="n"/>
      <c r="I194" s="15" t="n"/>
      <c r="J194" s="26">
        <f>IF($A194="","",LEN($C194)-LEN(SUBSTITUTE($C194,",",""))+1)</f>
        <v/>
      </c>
      <c r="K194" s="26">
        <f>IF($A194="","",SUMPRODUCT(--ISNUMBER(SEARCH('Category Dictionary'!$D$5:$D$135&amp;"",$C194)),--('Category Dictionary'!$D$5:$D$135&lt;&gt;"")))</f>
        <v/>
      </c>
      <c r="L194" s="27">
        <f>IF($A194="","",TRIM(IF(ISERROR(FIND(",",$C194)),$C194,LEFT($C194,FIND(",",$C194)-1))))</f>
        <v/>
      </c>
      <c r="M194" s="28">
        <f>IF($H194="","",DATE(YEAR($H194),MONTH($H194),1))</f>
        <v/>
      </c>
      <c r="N194" s="26">
        <f>IF($H194="","",TODAY()-$H194)</f>
        <v/>
      </c>
      <c r="O194" s="15" t="n"/>
      <c r="P194" s="15" t="n"/>
      <c r="Q194" s="15" t="n"/>
      <c r="R194" s="25" t="n"/>
      <c r="S194" s="26">
        <f>IF($A194="","",AND(OR('Assignment Builder'!$B$5="",$B194='Assignment Builder'!$B$5),OR('Assignment Builder'!$B$6="",ISNUMBER(SEARCH('Assignment Builder'!$B$6,$C194))),OR('Assignment Builder'!$B$7="",'Assignment Builder'!$B$7=IFERROR(INDEX('Category Dictionary'!$C$5:$C$135,MATCH($L194,'Category Dictionary'!$D$5:$D$135,0)),"")),OR('Assignment Builder'!$B$8="",$D194='Assignment Builder'!$B$8),OR('Assignment Builder'!$B$9="",$F194='Assignment Builder'!$B$9),OR('Assignment Builder'!$B$10="",$O194='Assignment Builder'!$B$10),OR('Assignment Builder'!$B$11="",$H194&gt;='Assignment Builder'!$B$11),OR('Assignment Builder'!$B$12="",N($Q194)&lt;='Assignment Builder'!$B$12)))</f>
        <v/>
      </c>
      <c r="T194" s="23" t="n"/>
    </row>
    <row r="195">
      <c r="A195" s="23" t="n"/>
      <c r="B195" s="23" t="n"/>
      <c r="C195" s="24" t="n"/>
      <c r="D195" s="15" t="n"/>
      <c r="E195" s="23" t="n"/>
      <c r="F195" s="15" t="n"/>
      <c r="G195" s="23" t="n"/>
      <c r="H195" s="25" t="n"/>
      <c r="I195" s="15" t="n"/>
      <c r="J195" s="26">
        <f>IF($A195="","",LEN($C195)-LEN(SUBSTITUTE($C195,",",""))+1)</f>
        <v/>
      </c>
      <c r="K195" s="26">
        <f>IF($A195="","",SUMPRODUCT(--ISNUMBER(SEARCH('Category Dictionary'!$D$5:$D$135&amp;"",$C195)),--('Category Dictionary'!$D$5:$D$135&lt;&gt;"")))</f>
        <v/>
      </c>
      <c r="L195" s="27">
        <f>IF($A195="","",TRIM(IF(ISERROR(FIND(",",$C195)),$C195,LEFT($C195,FIND(",",$C195)-1))))</f>
        <v/>
      </c>
      <c r="M195" s="28">
        <f>IF($H195="","",DATE(YEAR($H195),MONTH($H195),1))</f>
        <v/>
      </c>
      <c r="N195" s="26">
        <f>IF($H195="","",TODAY()-$H195)</f>
        <v/>
      </c>
      <c r="O195" s="15" t="n"/>
      <c r="P195" s="15" t="n"/>
      <c r="Q195" s="15" t="n"/>
      <c r="R195" s="25" t="n"/>
      <c r="S195" s="26">
        <f>IF($A195="","",AND(OR('Assignment Builder'!$B$5="",$B195='Assignment Builder'!$B$5),OR('Assignment Builder'!$B$6="",ISNUMBER(SEARCH('Assignment Builder'!$B$6,$C195))),OR('Assignment Builder'!$B$7="",'Assignment Builder'!$B$7=IFERROR(INDEX('Category Dictionary'!$C$5:$C$135,MATCH($L195,'Category Dictionary'!$D$5:$D$135,0)),"")),OR('Assignment Builder'!$B$8="",$D195='Assignment Builder'!$B$8),OR('Assignment Builder'!$B$9="",$F195='Assignment Builder'!$B$9),OR('Assignment Builder'!$B$10="",$O195='Assignment Builder'!$B$10),OR('Assignment Builder'!$B$11="",$H195&gt;='Assignment Builder'!$B$11),OR('Assignment Builder'!$B$12="",N($Q195)&lt;='Assignment Builder'!$B$12)))</f>
        <v/>
      </c>
      <c r="T195" s="23" t="n"/>
    </row>
    <row r="196">
      <c r="A196" s="23" t="n"/>
      <c r="B196" s="23" t="n"/>
      <c r="C196" s="24" t="n"/>
      <c r="D196" s="15" t="n"/>
      <c r="E196" s="23" t="n"/>
      <c r="F196" s="15" t="n"/>
      <c r="G196" s="23" t="n"/>
      <c r="H196" s="25" t="n"/>
      <c r="I196" s="15" t="n"/>
      <c r="J196" s="26">
        <f>IF($A196="","",LEN($C196)-LEN(SUBSTITUTE($C196,",",""))+1)</f>
        <v/>
      </c>
      <c r="K196" s="26">
        <f>IF($A196="","",SUMPRODUCT(--ISNUMBER(SEARCH('Category Dictionary'!$D$5:$D$135&amp;"",$C196)),--('Category Dictionary'!$D$5:$D$135&lt;&gt;"")))</f>
        <v/>
      </c>
      <c r="L196" s="27">
        <f>IF($A196="","",TRIM(IF(ISERROR(FIND(",",$C196)),$C196,LEFT($C196,FIND(",",$C196)-1))))</f>
        <v/>
      </c>
      <c r="M196" s="28">
        <f>IF($H196="","",DATE(YEAR($H196),MONTH($H196),1))</f>
        <v/>
      </c>
      <c r="N196" s="26">
        <f>IF($H196="","",TODAY()-$H196)</f>
        <v/>
      </c>
      <c r="O196" s="15" t="n"/>
      <c r="P196" s="15" t="n"/>
      <c r="Q196" s="15" t="n"/>
      <c r="R196" s="25" t="n"/>
      <c r="S196" s="26">
        <f>IF($A196="","",AND(OR('Assignment Builder'!$B$5="",$B196='Assignment Builder'!$B$5),OR('Assignment Builder'!$B$6="",ISNUMBER(SEARCH('Assignment Builder'!$B$6,$C196))),OR('Assignment Builder'!$B$7="",'Assignment Builder'!$B$7=IFERROR(INDEX('Category Dictionary'!$C$5:$C$135,MATCH($L196,'Category Dictionary'!$D$5:$D$135,0)),"")),OR('Assignment Builder'!$B$8="",$D196='Assignment Builder'!$B$8),OR('Assignment Builder'!$B$9="",$F196='Assignment Builder'!$B$9),OR('Assignment Builder'!$B$10="",$O196='Assignment Builder'!$B$10),OR('Assignment Builder'!$B$11="",$H196&gt;='Assignment Builder'!$B$11),OR('Assignment Builder'!$B$12="",N($Q196)&lt;='Assignment Builder'!$B$12)))</f>
        <v/>
      </c>
      <c r="T196" s="23" t="n"/>
    </row>
    <row r="197">
      <c r="A197" s="23" t="n"/>
      <c r="B197" s="23" t="n"/>
      <c r="C197" s="24" t="n"/>
      <c r="D197" s="15" t="n"/>
      <c r="E197" s="23" t="n"/>
      <c r="F197" s="15" t="n"/>
      <c r="G197" s="23" t="n"/>
      <c r="H197" s="25" t="n"/>
      <c r="I197" s="15" t="n"/>
      <c r="J197" s="26">
        <f>IF($A197="","",LEN($C197)-LEN(SUBSTITUTE($C197,",",""))+1)</f>
        <v/>
      </c>
      <c r="K197" s="26">
        <f>IF($A197="","",SUMPRODUCT(--ISNUMBER(SEARCH('Category Dictionary'!$D$5:$D$135&amp;"",$C197)),--('Category Dictionary'!$D$5:$D$135&lt;&gt;"")))</f>
        <v/>
      </c>
      <c r="L197" s="27">
        <f>IF($A197="","",TRIM(IF(ISERROR(FIND(",",$C197)),$C197,LEFT($C197,FIND(",",$C197)-1))))</f>
        <v/>
      </c>
      <c r="M197" s="28">
        <f>IF($H197="","",DATE(YEAR($H197),MONTH($H197),1))</f>
        <v/>
      </c>
      <c r="N197" s="26">
        <f>IF($H197="","",TODAY()-$H197)</f>
        <v/>
      </c>
      <c r="O197" s="15" t="n"/>
      <c r="P197" s="15" t="n"/>
      <c r="Q197" s="15" t="n"/>
      <c r="R197" s="25" t="n"/>
      <c r="S197" s="26">
        <f>IF($A197="","",AND(OR('Assignment Builder'!$B$5="",$B197='Assignment Builder'!$B$5),OR('Assignment Builder'!$B$6="",ISNUMBER(SEARCH('Assignment Builder'!$B$6,$C197))),OR('Assignment Builder'!$B$7="",'Assignment Builder'!$B$7=IFERROR(INDEX('Category Dictionary'!$C$5:$C$135,MATCH($L197,'Category Dictionary'!$D$5:$D$135,0)),"")),OR('Assignment Builder'!$B$8="",$D197='Assignment Builder'!$B$8),OR('Assignment Builder'!$B$9="",$F197='Assignment Builder'!$B$9),OR('Assignment Builder'!$B$10="",$O197='Assignment Builder'!$B$10),OR('Assignment Builder'!$B$11="",$H197&gt;='Assignment Builder'!$B$11),OR('Assignment Builder'!$B$12="",N($Q197)&lt;='Assignment Builder'!$B$12)))</f>
        <v/>
      </c>
      <c r="T197" s="23" t="n"/>
    </row>
    <row r="198">
      <c r="A198" s="23" t="n"/>
      <c r="B198" s="23" t="n"/>
      <c r="C198" s="24" t="n"/>
      <c r="D198" s="15" t="n"/>
      <c r="E198" s="23" t="n"/>
      <c r="F198" s="15" t="n"/>
      <c r="G198" s="23" t="n"/>
      <c r="H198" s="25" t="n"/>
      <c r="I198" s="15" t="n"/>
      <c r="J198" s="26">
        <f>IF($A198="","",LEN($C198)-LEN(SUBSTITUTE($C198,",",""))+1)</f>
        <v/>
      </c>
      <c r="K198" s="26">
        <f>IF($A198="","",SUMPRODUCT(--ISNUMBER(SEARCH('Category Dictionary'!$D$5:$D$135&amp;"",$C198)),--('Category Dictionary'!$D$5:$D$135&lt;&gt;"")))</f>
        <v/>
      </c>
      <c r="L198" s="27">
        <f>IF($A198="","",TRIM(IF(ISERROR(FIND(",",$C198)),$C198,LEFT($C198,FIND(",",$C198)-1))))</f>
        <v/>
      </c>
      <c r="M198" s="28">
        <f>IF($H198="","",DATE(YEAR($H198),MONTH($H198),1))</f>
        <v/>
      </c>
      <c r="N198" s="26">
        <f>IF($H198="","",TODAY()-$H198)</f>
        <v/>
      </c>
      <c r="O198" s="15" t="n"/>
      <c r="P198" s="15" t="n"/>
      <c r="Q198" s="15" t="n"/>
      <c r="R198" s="25" t="n"/>
      <c r="S198" s="26">
        <f>IF($A198="","",AND(OR('Assignment Builder'!$B$5="",$B198='Assignment Builder'!$B$5),OR('Assignment Builder'!$B$6="",ISNUMBER(SEARCH('Assignment Builder'!$B$6,$C198))),OR('Assignment Builder'!$B$7="",'Assignment Builder'!$B$7=IFERROR(INDEX('Category Dictionary'!$C$5:$C$135,MATCH($L198,'Category Dictionary'!$D$5:$D$135,0)),"")),OR('Assignment Builder'!$B$8="",$D198='Assignment Builder'!$B$8),OR('Assignment Builder'!$B$9="",$F198='Assignment Builder'!$B$9),OR('Assignment Builder'!$B$10="",$O198='Assignment Builder'!$B$10),OR('Assignment Builder'!$B$11="",$H198&gt;='Assignment Builder'!$B$11),OR('Assignment Builder'!$B$12="",N($Q198)&lt;='Assignment Builder'!$B$12)))</f>
        <v/>
      </c>
      <c r="T198" s="23" t="n"/>
    </row>
    <row r="199">
      <c r="A199" s="23" t="n"/>
      <c r="B199" s="23" t="n"/>
      <c r="C199" s="24" t="n"/>
      <c r="D199" s="15" t="n"/>
      <c r="E199" s="23" t="n"/>
      <c r="F199" s="15" t="n"/>
      <c r="G199" s="23" t="n"/>
      <c r="H199" s="25" t="n"/>
      <c r="I199" s="15" t="n"/>
      <c r="J199" s="26">
        <f>IF($A199="","",LEN($C199)-LEN(SUBSTITUTE($C199,",",""))+1)</f>
        <v/>
      </c>
      <c r="K199" s="26">
        <f>IF($A199="","",SUMPRODUCT(--ISNUMBER(SEARCH('Category Dictionary'!$D$5:$D$135&amp;"",$C199)),--('Category Dictionary'!$D$5:$D$135&lt;&gt;"")))</f>
        <v/>
      </c>
      <c r="L199" s="27">
        <f>IF($A199="","",TRIM(IF(ISERROR(FIND(",",$C199)),$C199,LEFT($C199,FIND(",",$C199)-1))))</f>
        <v/>
      </c>
      <c r="M199" s="28">
        <f>IF($H199="","",DATE(YEAR($H199),MONTH($H199),1))</f>
        <v/>
      </c>
      <c r="N199" s="26">
        <f>IF($H199="","",TODAY()-$H199)</f>
        <v/>
      </c>
      <c r="O199" s="15" t="n"/>
      <c r="P199" s="15" t="n"/>
      <c r="Q199" s="15" t="n"/>
      <c r="R199" s="25" t="n"/>
      <c r="S199" s="26">
        <f>IF($A199="","",AND(OR('Assignment Builder'!$B$5="",$B199='Assignment Builder'!$B$5),OR('Assignment Builder'!$B$6="",ISNUMBER(SEARCH('Assignment Builder'!$B$6,$C199))),OR('Assignment Builder'!$B$7="",'Assignment Builder'!$B$7=IFERROR(INDEX('Category Dictionary'!$C$5:$C$135,MATCH($L199,'Category Dictionary'!$D$5:$D$135,0)),"")),OR('Assignment Builder'!$B$8="",$D199='Assignment Builder'!$B$8),OR('Assignment Builder'!$B$9="",$F199='Assignment Builder'!$B$9),OR('Assignment Builder'!$B$10="",$O199='Assignment Builder'!$B$10),OR('Assignment Builder'!$B$11="",$H199&gt;='Assignment Builder'!$B$11),OR('Assignment Builder'!$B$12="",N($Q199)&lt;='Assignment Builder'!$B$12)))</f>
        <v/>
      </c>
      <c r="T199" s="23" t="n"/>
    </row>
    <row r="200">
      <c r="A200" s="23" t="n"/>
      <c r="B200" s="23" t="n"/>
      <c r="C200" s="24" t="n"/>
      <c r="D200" s="15" t="n"/>
      <c r="E200" s="23" t="n"/>
      <c r="F200" s="15" t="n"/>
      <c r="G200" s="23" t="n"/>
      <c r="H200" s="25" t="n"/>
      <c r="I200" s="15" t="n"/>
      <c r="J200" s="26">
        <f>IF($A200="","",LEN($C200)-LEN(SUBSTITUTE($C200,",",""))+1)</f>
        <v/>
      </c>
      <c r="K200" s="26">
        <f>IF($A200="","",SUMPRODUCT(--ISNUMBER(SEARCH('Category Dictionary'!$D$5:$D$135&amp;"",$C200)),--('Category Dictionary'!$D$5:$D$135&lt;&gt;"")))</f>
        <v/>
      </c>
      <c r="L200" s="27">
        <f>IF($A200="","",TRIM(IF(ISERROR(FIND(",",$C200)),$C200,LEFT($C200,FIND(",",$C200)-1))))</f>
        <v/>
      </c>
      <c r="M200" s="28">
        <f>IF($H200="","",DATE(YEAR($H200),MONTH($H200),1))</f>
        <v/>
      </c>
      <c r="N200" s="26">
        <f>IF($H200="","",TODAY()-$H200)</f>
        <v/>
      </c>
      <c r="O200" s="15" t="n"/>
      <c r="P200" s="15" t="n"/>
      <c r="Q200" s="15" t="n"/>
      <c r="R200" s="25" t="n"/>
      <c r="S200" s="26">
        <f>IF($A200="","",AND(OR('Assignment Builder'!$B$5="",$B200='Assignment Builder'!$B$5),OR('Assignment Builder'!$B$6="",ISNUMBER(SEARCH('Assignment Builder'!$B$6,$C200))),OR('Assignment Builder'!$B$7="",'Assignment Builder'!$B$7=IFERROR(INDEX('Category Dictionary'!$C$5:$C$135,MATCH($L200,'Category Dictionary'!$D$5:$D$135,0)),"")),OR('Assignment Builder'!$B$8="",$D200='Assignment Builder'!$B$8),OR('Assignment Builder'!$B$9="",$F200='Assignment Builder'!$B$9),OR('Assignment Builder'!$B$10="",$O200='Assignment Builder'!$B$10),OR('Assignment Builder'!$B$11="",$H200&gt;='Assignment Builder'!$B$11),OR('Assignment Builder'!$B$12="",N($Q200)&lt;='Assignment Builder'!$B$12)))</f>
        <v/>
      </c>
      <c r="T200" s="23" t="n"/>
    </row>
    <row r="201">
      <c r="A201" s="23" t="n"/>
      <c r="B201" s="23" t="n"/>
      <c r="C201" s="24" t="n"/>
      <c r="D201" s="15" t="n"/>
      <c r="E201" s="23" t="n"/>
      <c r="F201" s="15" t="n"/>
      <c r="G201" s="23" t="n"/>
      <c r="H201" s="25" t="n"/>
      <c r="I201" s="15" t="n"/>
      <c r="J201" s="26">
        <f>IF($A201="","",LEN($C201)-LEN(SUBSTITUTE($C201,",",""))+1)</f>
        <v/>
      </c>
      <c r="K201" s="26">
        <f>IF($A201="","",SUMPRODUCT(--ISNUMBER(SEARCH('Category Dictionary'!$D$5:$D$135&amp;"",$C201)),--('Category Dictionary'!$D$5:$D$135&lt;&gt;"")))</f>
        <v/>
      </c>
      <c r="L201" s="27">
        <f>IF($A201="","",TRIM(IF(ISERROR(FIND(",",$C201)),$C201,LEFT($C201,FIND(",",$C201)-1))))</f>
        <v/>
      </c>
      <c r="M201" s="28">
        <f>IF($H201="","",DATE(YEAR($H201),MONTH($H201),1))</f>
        <v/>
      </c>
      <c r="N201" s="26">
        <f>IF($H201="","",TODAY()-$H201)</f>
        <v/>
      </c>
      <c r="O201" s="15" t="n"/>
      <c r="P201" s="15" t="n"/>
      <c r="Q201" s="15" t="n"/>
      <c r="R201" s="25" t="n"/>
      <c r="S201" s="26">
        <f>IF($A201="","",AND(OR('Assignment Builder'!$B$5="",$B201='Assignment Builder'!$B$5),OR('Assignment Builder'!$B$6="",ISNUMBER(SEARCH('Assignment Builder'!$B$6,$C201))),OR('Assignment Builder'!$B$7="",'Assignment Builder'!$B$7=IFERROR(INDEX('Category Dictionary'!$C$5:$C$135,MATCH($L201,'Category Dictionary'!$D$5:$D$135,0)),"")),OR('Assignment Builder'!$B$8="",$D201='Assignment Builder'!$B$8),OR('Assignment Builder'!$B$9="",$F201='Assignment Builder'!$B$9),OR('Assignment Builder'!$B$10="",$O201='Assignment Builder'!$B$10),OR('Assignment Builder'!$B$11="",$H201&gt;='Assignment Builder'!$B$11),OR('Assignment Builder'!$B$12="",N($Q201)&lt;='Assignment Builder'!$B$12)))</f>
        <v/>
      </c>
      <c r="T201" s="23" t="n"/>
    </row>
    <row r="202">
      <c r="A202" s="23" t="n"/>
      <c r="B202" s="23" t="n"/>
      <c r="C202" s="24" t="n"/>
      <c r="D202" s="15" t="n"/>
      <c r="E202" s="23" t="n"/>
      <c r="F202" s="15" t="n"/>
      <c r="G202" s="23" t="n"/>
      <c r="H202" s="25" t="n"/>
      <c r="I202" s="15" t="n"/>
      <c r="J202" s="26">
        <f>IF($A202="","",LEN($C202)-LEN(SUBSTITUTE($C202,",",""))+1)</f>
        <v/>
      </c>
      <c r="K202" s="26">
        <f>IF($A202="","",SUMPRODUCT(--ISNUMBER(SEARCH('Category Dictionary'!$D$5:$D$135&amp;"",$C202)),--('Category Dictionary'!$D$5:$D$135&lt;&gt;"")))</f>
        <v/>
      </c>
      <c r="L202" s="27">
        <f>IF($A202="","",TRIM(IF(ISERROR(FIND(",",$C202)),$C202,LEFT($C202,FIND(",",$C202)-1))))</f>
        <v/>
      </c>
      <c r="M202" s="28">
        <f>IF($H202="","",DATE(YEAR($H202),MONTH($H202),1))</f>
        <v/>
      </c>
      <c r="N202" s="26">
        <f>IF($H202="","",TODAY()-$H202)</f>
        <v/>
      </c>
      <c r="O202" s="15" t="n"/>
      <c r="P202" s="15" t="n"/>
      <c r="Q202" s="15" t="n"/>
      <c r="R202" s="25" t="n"/>
      <c r="S202" s="26">
        <f>IF($A202="","",AND(OR('Assignment Builder'!$B$5="",$B202='Assignment Builder'!$B$5),OR('Assignment Builder'!$B$6="",ISNUMBER(SEARCH('Assignment Builder'!$B$6,$C202))),OR('Assignment Builder'!$B$7="",'Assignment Builder'!$B$7=IFERROR(INDEX('Category Dictionary'!$C$5:$C$135,MATCH($L202,'Category Dictionary'!$D$5:$D$135,0)),"")),OR('Assignment Builder'!$B$8="",$D202='Assignment Builder'!$B$8),OR('Assignment Builder'!$B$9="",$F202='Assignment Builder'!$B$9),OR('Assignment Builder'!$B$10="",$O202='Assignment Builder'!$B$10),OR('Assignment Builder'!$B$11="",$H202&gt;='Assignment Builder'!$B$11),OR('Assignment Builder'!$B$12="",N($Q202)&lt;='Assignment Builder'!$B$12)))</f>
        <v/>
      </c>
      <c r="T202" s="23" t="n"/>
    </row>
    <row r="203">
      <c r="A203" s="23" t="n"/>
      <c r="B203" s="23" t="n"/>
      <c r="C203" s="24" t="n"/>
      <c r="D203" s="15" t="n"/>
      <c r="E203" s="23" t="n"/>
      <c r="F203" s="15" t="n"/>
      <c r="G203" s="23" t="n"/>
      <c r="H203" s="25" t="n"/>
      <c r="I203" s="15" t="n"/>
      <c r="J203" s="26">
        <f>IF($A203="","",LEN($C203)-LEN(SUBSTITUTE($C203,",",""))+1)</f>
        <v/>
      </c>
      <c r="K203" s="26">
        <f>IF($A203="","",SUMPRODUCT(--ISNUMBER(SEARCH('Category Dictionary'!$D$5:$D$135&amp;"",$C203)),--('Category Dictionary'!$D$5:$D$135&lt;&gt;"")))</f>
        <v/>
      </c>
      <c r="L203" s="27">
        <f>IF($A203="","",TRIM(IF(ISERROR(FIND(",",$C203)),$C203,LEFT($C203,FIND(",",$C203)-1))))</f>
        <v/>
      </c>
      <c r="M203" s="28">
        <f>IF($H203="","",DATE(YEAR($H203),MONTH($H203),1))</f>
        <v/>
      </c>
      <c r="N203" s="26">
        <f>IF($H203="","",TODAY()-$H203)</f>
        <v/>
      </c>
      <c r="O203" s="15" t="n"/>
      <c r="P203" s="15" t="n"/>
      <c r="Q203" s="15" t="n"/>
      <c r="R203" s="25" t="n"/>
      <c r="S203" s="26">
        <f>IF($A203="","",AND(OR('Assignment Builder'!$B$5="",$B203='Assignment Builder'!$B$5),OR('Assignment Builder'!$B$6="",ISNUMBER(SEARCH('Assignment Builder'!$B$6,$C203))),OR('Assignment Builder'!$B$7="",'Assignment Builder'!$B$7=IFERROR(INDEX('Category Dictionary'!$C$5:$C$135,MATCH($L203,'Category Dictionary'!$D$5:$D$135,0)),"")),OR('Assignment Builder'!$B$8="",$D203='Assignment Builder'!$B$8),OR('Assignment Builder'!$B$9="",$F203='Assignment Builder'!$B$9),OR('Assignment Builder'!$B$10="",$O203='Assignment Builder'!$B$10),OR('Assignment Builder'!$B$11="",$H203&gt;='Assignment Builder'!$B$11),OR('Assignment Builder'!$B$12="",N($Q203)&lt;='Assignment Builder'!$B$12)))</f>
        <v/>
      </c>
      <c r="T203" s="23" t="n"/>
    </row>
    <row r="204">
      <c r="A204" s="23" t="n"/>
      <c r="B204" s="23" t="n"/>
      <c r="C204" s="24" t="n"/>
      <c r="D204" s="15" t="n"/>
      <c r="E204" s="23" t="n"/>
      <c r="F204" s="15" t="n"/>
      <c r="G204" s="23" t="n"/>
      <c r="H204" s="25" t="n"/>
      <c r="I204" s="15" t="n"/>
      <c r="J204" s="26">
        <f>IF($A204="","",LEN($C204)-LEN(SUBSTITUTE($C204,",",""))+1)</f>
        <v/>
      </c>
      <c r="K204" s="26">
        <f>IF($A204="","",SUMPRODUCT(--ISNUMBER(SEARCH('Category Dictionary'!$D$5:$D$135&amp;"",$C204)),--('Category Dictionary'!$D$5:$D$135&lt;&gt;"")))</f>
        <v/>
      </c>
      <c r="L204" s="27">
        <f>IF($A204="","",TRIM(IF(ISERROR(FIND(",",$C204)),$C204,LEFT($C204,FIND(",",$C204)-1))))</f>
        <v/>
      </c>
      <c r="M204" s="28">
        <f>IF($H204="","",DATE(YEAR($H204),MONTH($H204),1))</f>
        <v/>
      </c>
      <c r="N204" s="26">
        <f>IF($H204="","",TODAY()-$H204)</f>
        <v/>
      </c>
      <c r="O204" s="15" t="n"/>
      <c r="P204" s="15" t="n"/>
      <c r="Q204" s="15" t="n"/>
      <c r="R204" s="25" t="n"/>
      <c r="S204" s="26">
        <f>IF($A204="","",AND(OR('Assignment Builder'!$B$5="",$B204='Assignment Builder'!$B$5),OR('Assignment Builder'!$B$6="",ISNUMBER(SEARCH('Assignment Builder'!$B$6,$C204))),OR('Assignment Builder'!$B$7="",'Assignment Builder'!$B$7=IFERROR(INDEX('Category Dictionary'!$C$5:$C$135,MATCH($L204,'Category Dictionary'!$D$5:$D$135,0)),"")),OR('Assignment Builder'!$B$8="",$D204='Assignment Builder'!$B$8),OR('Assignment Builder'!$B$9="",$F204='Assignment Builder'!$B$9),OR('Assignment Builder'!$B$10="",$O204='Assignment Builder'!$B$10),OR('Assignment Builder'!$B$11="",$H204&gt;='Assignment Builder'!$B$11),OR('Assignment Builder'!$B$12="",N($Q204)&lt;='Assignment Builder'!$B$12)))</f>
        <v/>
      </c>
      <c r="T204" s="23" t="n"/>
    </row>
    <row r="205">
      <c r="A205" s="23" t="n"/>
      <c r="B205" s="23" t="n"/>
      <c r="C205" s="24" t="n"/>
      <c r="D205" s="15" t="n"/>
      <c r="E205" s="23" t="n"/>
      <c r="F205" s="15" t="n"/>
      <c r="G205" s="23" t="n"/>
      <c r="H205" s="25" t="n"/>
      <c r="I205" s="15" t="n"/>
      <c r="J205" s="26">
        <f>IF($A205="","",LEN($C205)-LEN(SUBSTITUTE($C205,",",""))+1)</f>
        <v/>
      </c>
      <c r="K205" s="26">
        <f>IF($A205="","",SUMPRODUCT(--ISNUMBER(SEARCH('Category Dictionary'!$D$5:$D$135&amp;"",$C205)),--('Category Dictionary'!$D$5:$D$135&lt;&gt;"")))</f>
        <v/>
      </c>
      <c r="L205" s="27">
        <f>IF($A205="","",TRIM(IF(ISERROR(FIND(",",$C205)),$C205,LEFT($C205,FIND(",",$C205)-1))))</f>
        <v/>
      </c>
      <c r="M205" s="28">
        <f>IF($H205="","",DATE(YEAR($H205),MONTH($H205),1))</f>
        <v/>
      </c>
      <c r="N205" s="26">
        <f>IF($H205="","",TODAY()-$H205)</f>
        <v/>
      </c>
      <c r="O205" s="15" t="n"/>
      <c r="P205" s="15" t="n"/>
      <c r="Q205" s="15" t="n"/>
      <c r="R205" s="25" t="n"/>
      <c r="S205" s="26">
        <f>IF($A205="","",AND(OR('Assignment Builder'!$B$5="",$B205='Assignment Builder'!$B$5),OR('Assignment Builder'!$B$6="",ISNUMBER(SEARCH('Assignment Builder'!$B$6,$C205))),OR('Assignment Builder'!$B$7="",'Assignment Builder'!$B$7=IFERROR(INDEX('Category Dictionary'!$C$5:$C$135,MATCH($L205,'Category Dictionary'!$D$5:$D$135,0)),"")),OR('Assignment Builder'!$B$8="",$D205='Assignment Builder'!$B$8),OR('Assignment Builder'!$B$9="",$F205='Assignment Builder'!$B$9),OR('Assignment Builder'!$B$10="",$O205='Assignment Builder'!$B$10),OR('Assignment Builder'!$B$11="",$H205&gt;='Assignment Builder'!$B$11),OR('Assignment Builder'!$B$12="",N($Q205)&lt;='Assignment Builder'!$B$12)))</f>
        <v/>
      </c>
      <c r="T205" s="23" t="n"/>
    </row>
    <row r="206">
      <c r="A206" s="23" t="n"/>
      <c r="B206" s="23" t="n"/>
      <c r="C206" s="24" t="n"/>
      <c r="D206" s="15" t="n"/>
      <c r="E206" s="23" t="n"/>
      <c r="F206" s="15" t="n"/>
      <c r="G206" s="23" t="n"/>
      <c r="H206" s="25" t="n"/>
      <c r="I206" s="15" t="n"/>
      <c r="J206" s="26">
        <f>IF($A206="","",LEN($C206)-LEN(SUBSTITUTE($C206,",",""))+1)</f>
        <v/>
      </c>
      <c r="K206" s="26">
        <f>IF($A206="","",SUMPRODUCT(--ISNUMBER(SEARCH('Category Dictionary'!$D$5:$D$135&amp;"",$C206)),--('Category Dictionary'!$D$5:$D$135&lt;&gt;"")))</f>
        <v/>
      </c>
      <c r="L206" s="27">
        <f>IF($A206="","",TRIM(IF(ISERROR(FIND(",",$C206)),$C206,LEFT($C206,FIND(",",$C206)-1))))</f>
        <v/>
      </c>
      <c r="M206" s="28">
        <f>IF($H206="","",DATE(YEAR($H206),MONTH($H206),1))</f>
        <v/>
      </c>
      <c r="N206" s="26">
        <f>IF($H206="","",TODAY()-$H206)</f>
        <v/>
      </c>
      <c r="O206" s="15" t="n"/>
      <c r="P206" s="15" t="n"/>
      <c r="Q206" s="15" t="n"/>
      <c r="R206" s="25" t="n"/>
      <c r="S206" s="26">
        <f>IF($A206="","",AND(OR('Assignment Builder'!$B$5="",$B206='Assignment Builder'!$B$5),OR('Assignment Builder'!$B$6="",ISNUMBER(SEARCH('Assignment Builder'!$B$6,$C206))),OR('Assignment Builder'!$B$7="",'Assignment Builder'!$B$7=IFERROR(INDEX('Category Dictionary'!$C$5:$C$135,MATCH($L206,'Category Dictionary'!$D$5:$D$135,0)),"")),OR('Assignment Builder'!$B$8="",$D206='Assignment Builder'!$B$8),OR('Assignment Builder'!$B$9="",$F206='Assignment Builder'!$B$9),OR('Assignment Builder'!$B$10="",$O206='Assignment Builder'!$B$10),OR('Assignment Builder'!$B$11="",$H206&gt;='Assignment Builder'!$B$11),OR('Assignment Builder'!$B$12="",N($Q206)&lt;='Assignment Builder'!$B$12)))</f>
        <v/>
      </c>
      <c r="T206" s="23" t="n"/>
    </row>
    <row r="207">
      <c r="A207" s="23" t="n"/>
      <c r="B207" s="23" t="n"/>
      <c r="C207" s="24" t="n"/>
      <c r="D207" s="15" t="n"/>
      <c r="E207" s="23" t="n"/>
      <c r="F207" s="15" t="n"/>
      <c r="G207" s="23" t="n"/>
      <c r="H207" s="25" t="n"/>
      <c r="I207" s="15" t="n"/>
      <c r="J207" s="26">
        <f>IF($A207="","",LEN($C207)-LEN(SUBSTITUTE($C207,",",""))+1)</f>
        <v/>
      </c>
      <c r="K207" s="26">
        <f>IF($A207="","",SUMPRODUCT(--ISNUMBER(SEARCH('Category Dictionary'!$D$5:$D$135&amp;"",$C207)),--('Category Dictionary'!$D$5:$D$135&lt;&gt;"")))</f>
        <v/>
      </c>
      <c r="L207" s="27">
        <f>IF($A207="","",TRIM(IF(ISERROR(FIND(",",$C207)),$C207,LEFT($C207,FIND(",",$C207)-1))))</f>
        <v/>
      </c>
      <c r="M207" s="28">
        <f>IF($H207="","",DATE(YEAR($H207),MONTH($H207),1))</f>
        <v/>
      </c>
      <c r="N207" s="26">
        <f>IF($H207="","",TODAY()-$H207)</f>
        <v/>
      </c>
      <c r="O207" s="15" t="n"/>
      <c r="P207" s="15" t="n"/>
      <c r="Q207" s="15" t="n"/>
      <c r="R207" s="25" t="n"/>
      <c r="S207" s="26">
        <f>IF($A207="","",AND(OR('Assignment Builder'!$B$5="",$B207='Assignment Builder'!$B$5),OR('Assignment Builder'!$B$6="",ISNUMBER(SEARCH('Assignment Builder'!$B$6,$C207))),OR('Assignment Builder'!$B$7="",'Assignment Builder'!$B$7=IFERROR(INDEX('Category Dictionary'!$C$5:$C$135,MATCH($L207,'Category Dictionary'!$D$5:$D$135,0)),"")),OR('Assignment Builder'!$B$8="",$D207='Assignment Builder'!$B$8),OR('Assignment Builder'!$B$9="",$F207='Assignment Builder'!$B$9),OR('Assignment Builder'!$B$10="",$O207='Assignment Builder'!$B$10),OR('Assignment Builder'!$B$11="",$H207&gt;='Assignment Builder'!$B$11),OR('Assignment Builder'!$B$12="",N($Q207)&lt;='Assignment Builder'!$B$12)))</f>
        <v/>
      </c>
      <c r="T207" s="23" t="n"/>
    </row>
    <row r="208">
      <c r="A208" s="23" t="n"/>
      <c r="B208" s="23" t="n"/>
      <c r="C208" s="24" t="n"/>
      <c r="D208" s="15" t="n"/>
      <c r="E208" s="23" t="n"/>
      <c r="F208" s="15" t="n"/>
      <c r="G208" s="23" t="n"/>
      <c r="H208" s="25" t="n"/>
      <c r="I208" s="15" t="n"/>
      <c r="J208" s="26">
        <f>IF($A208="","",LEN($C208)-LEN(SUBSTITUTE($C208,",",""))+1)</f>
        <v/>
      </c>
      <c r="K208" s="26">
        <f>IF($A208="","",SUMPRODUCT(--ISNUMBER(SEARCH('Category Dictionary'!$D$5:$D$135&amp;"",$C208)),--('Category Dictionary'!$D$5:$D$135&lt;&gt;"")))</f>
        <v/>
      </c>
      <c r="L208" s="27">
        <f>IF($A208="","",TRIM(IF(ISERROR(FIND(",",$C208)),$C208,LEFT($C208,FIND(",",$C208)-1))))</f>
        <v/>
      </c>
      <c r="M208" s="28">
        <f>IF($H208="","",DATE(YEAR($H208),MONTH($H208),1))</f>
        <v/>
      </c>
      <c r="N208" s="26">
        <f>IF($H208="","",TODAY()-$H208)</f>
        <v/>
      </c>
      <c r="O208" s="15" t="n"/>
      <c r="P208" s="15" t="n"/>
      <c r="Q208" s="15" t="n"/>
      <c r="R208" s="25" t="n"/>
      <c r="S208" s="26">
        <f>IF($A208="","",AND(OR('Assignment Builder'!$B$5="",$B208='Assignment Builder'!$B$5),OR('Assignment Builder'!$B$6="",ISNUMBER(SEARCH('Assignment Builder'!$B$6,$C208))),OR('Assignment Builder'!$B$7="",'Assignment Builder'!$B$7=IFERROR(INDEX('Category Dictionary'!$C$5:$C$135,MATCH($L208,'Category Dictionary'!$D$5:$D$135,0)),"")),OR('Assignment Builder'!$B$8="",$D208='Assignment Builder'!$B$8),OR('Assignment Builder'!$B$9="",$F208='Assignment Builder'!$B$9),OR('Assignment Builder'!$B$10="",$O208='Assignment Builder'!$B$10),OR('Assignment Builder'!$B$11="",$H208&gt;='Assignment Builder'!$B$11),OR('Assignment Builder'!$B$12="",N($Q208)&lt;='Assignment Builder'!$B$12)))</f>
        <v/>
      </c>
      <c r="T208" s="23" t="n"/>
    </row>
    <row r="209">
      <c r="A209" s="23" t="n"/>
      <c r="B209" s="23" t="n"/>
      <c r="C209" s="24" t="n"/>
      <c r="D209" s="15" t="n"/>
      <c r="E209" s="23" t="n"/>
      <c r="F209" s="15" t="n"/>
      <c r="G209" s="23" t="n"/>
      <c r="H209" s="25" t="n"/>
      <c r="I209" s="15" t="n"/>
      <c r="J209" s="26">
        <f>IF($A209="","",LEN($C209)-LEN(SUBSTITUTE($C209,",",""))+1)</f>
        <v/>
      </c>
      <c r="K209" s="26">
        <f>IF($A209="","",SUMPRODUCT(--ISNUMBER(SEARCH('Category Dictionary'!$D$5:$D$135&amp;"",$C209)),--('Category Dictionary'!$D$5:$D$135&lt;&gt;"")))</f>
        <v/>
      </c>
      <c r="L209" s="27">
        <f>IF($A209="","",TRIM(IF(ISERROR(FIND(",",$C209)),$C209,LEFT($C209,FIND(",",$C209)-1))))</f>
        <v/>
      </c>
      <c r="M209" s="28">
        <f>IF($H209="","",DATE(YEAR($H209),MONTH($H209),1))</f>
        <v/>
      </c>
      <c r="N209" s="26">
        <f>IF($H209="","",TODAY()-$H209)</f>
        <v/>
      </c>
      <c r="O209" s="15" t="n"/>
      <c r="P209" s="15" t="n"/>
      <c r="Q209" s="15" t="n"/>
      <c r="R209" s="25" t="n"/>
      <c r="S209" s="26">
        <f>IF($A209="","",AND(OR('Assignment Builder'!$B$5="",$B209='Assignment Builder'!$B$5),OR('Assignment Builder'!$B$6="",ISNUMBER(SEARCH('Assignment Builder'!$B$6,$C209))),OR('Assignment Builder'!$B$7="",'Assignment Builder'!$B$7=IFERROR(INDEX('Category Dictionary'!$C$5:$C$135,MATCH($L209,'Category Dictionary'!$D$5:$D$135,0)),"")),OR('Assignment Builder'!$B$8="",$D209='Assignment Builder'!$B$8),OR('Assignment Builder'!$B$9="",$F209='Assignment Builder'!$B$9),OR('Assignment Builder'!$B$10="",$O209='Assignment Builder'!$B$10),OR('Assignment Builder'!$B$11="",$H209&gt;='Assignment Builder'!$B$11),OR('Assignment Builder'!$B$12="",N($Q209)&lt;='Assignment Builder'!$B$12)))</f>
        <v/>
      </c>
      <c r="T209" s="23" t="n"/>
    </row>
    <row r="210">
      <c r="A210" s="23" t="n"/>
      <c r="B210" s="23" t="n"/>
      <c r="C210" s="24" t="n"/>
      <c r="D210" s="15" t="n"/>
      <c r="E210" s="23" t="n"/>
      <c r="F210" s="15" t="n"/>
      <c r="G210" s="23" t="n"/>
      <c r="H210" s="25" t="n"/>
      <c r="I210" s="15" t="n"/>
      <c r="J210" s="26">
        <f>IF($A210="","",LEN($C210)-LEN(SUBSTITUTE($C210,",",""))+1)</f>
        <v/>
      </c>
      <c r="K210" s="26">
        <f>IF($A210="","",SUMPRODUCT(--ISNUMBER(SEARCH('Category Dictionary'!$D$5:$D$135&amp;"",$C210)),--('Category Dictionary'!$D$5:$D$135&lt;&gt;"")))</f>
        <v/>
      </c>
      <c r="L210" s="27">
        <f>IF($A210="","",TRIM(IF(ISERROR(FIND(",",$C210)),$C210,LEFT($C210,FIND(",",$C210)-1))))</f>
        <v/>
      </c>
      <c r="M210" s="28">
        <f>IF($H210="","",DATE(YEAR($H210),MONTH($H210),1))</f>
        <v/>
      </c>
      <c r="N210" s="26">
        <f>IF($H210="","",TODAY()-$H210)</f>
        <v/>
      </c>
      <c r="O210" s="15" t="n"/>
      <c r="P210" s="15" t="n"/>
      <c r="Q210" s="15" t="n"/>
      <c r="R210" s="25" t="n"/>
      <c r="S210" s="26">
        <f>IF($A210="","",AND(OR('Assignment Builder'!$B$5="",$B210='Assignment Builder'!$B$5),OR('Assignment Builder'!$B$6="",ISNUMBER(SEARCH('Assignment Builder'!$B$6,$C210))),OR('Assignment Builder'!$B$7="",'Assignment Builder'!$B$7=IFERROR(INDEX('Category Dictionary'!$C$5:$C$135,MATCH($L210,'Category Dictionary'!$D$5:$D$135,0)),"")),OR('Assignment Builder'!$B$8="",$D210='Assignment Builder'!$B$8),OR('Assignment Builder'!$B$9="",$F210='Assignment Builder'!$B$9),OR('Assignment Builder'!$B$10="",$O210='Assignment Builder'!$B$10),OR('Assignment Builder'!$B$11="",$H210&gt;='Assignment Builder'!$B$11),OR('Assignment Builder'!$B$12="",N($Q210)&lt;='Assignment Builder'!$B$12)))</f>
        <v/>
      </c>
      <c r="T210" s="23" t="n"/>
    </row>
    <row r="211">
      <c r="A211" s="23" t="n"/>
      <c r="B211" s="23" t="n"/>
      <c r="C211" s="24" t="n"/>
      <c r="D211" s="15" t="n"/>
      <c r="E211" s="23" t="n"/>
      <c r="F211" s="15" t="n"/>
      <c r="G211" s="23" t="n"/>
      <c r="H211" s="25" t="n"/>
      <c r="I211" s="15" t="n"/>
      <c r="J211" s="26">
        <f>IF($A211="","",LEN($C211)-LEN(SUBSTITUTE($C211,",",""))+1)</f>
        <v/>
      </c>
      <c r="K211" s="26">
        <f>IF($A211="","",SUMPRODUCT(--ISNUMBER(SEARCH('Category Dictionary'!$D$5:$D$135&amp;"",$C211)),--('Category Dictionary'!$D$5:$D$135&lt;&gt;"")))</f>
        <v/>
      </c>
      <c r="L211" s="27">
        <f>IF($A211="","",TRIM(IF(ISERROR(FIND(",",$C211)),$C211,LEFT($C211,FIND(",",$C211)-1))))</f>
        <v/>
      </c>
      <c r="M211" s="28">
        <f>IF($H211="","",DATE(YEAR($H211),MONTH($H211),1))</f>
        <v/>
      </c>
      <c r="N211" s="26">
        <f>IF($H211="","",TODAY()-$H211)</f>
        <v/>
      </c>
      <c r="O211" s="15" t="n"/>
      <c r="P211" s="15" t="n"/>
      <c r="Q211" s="15" t="n"/>
      <c r="R211" s="25" t="n"/>
      <c r="S211" s="26">
        <f>IF($A211="","",AND(OR('Assignment Builder'!$B$5="",$B211='Assignment Builder'!$B$5),OR('Assignment Builder'!$B$6="",ISNUMBER(SEARCH('Assignment Builder'!$B$6,$C211))),OR('Assignment Builder'!$B$7="",'Assignment Builder'!$B$7=IFERROR(INDEX('Category Dictionary'!$C$5:$C$135,MATCH($L211,'Category Dictionary'!$D$5:$D$135,0)),"")),OR('Assignment Builder'!$B$8="",$D211='Assignment Builder'!$B$8),OR('Assignment Builder'!$B$9="",$F211='Assignment Builder'!$B$9),OR('Assignment Builder'!$B$10="",$O211='Assignment Builder'!$B$10),OR('Assignment Builder'!$B$11="",$H211&gt;='Assignment Builder'!$B$11),OR('Assignment Builder'!$B$12="",N($Q211)&lt;='Assignment Builder'!$B$12)))</f>
        <v/>
      </c>
      <c r="T211" s="23" t="n"/>
    </row>
    <row r="212">
      <c r="A212" s="23" t="n"/>
      <c r="B212" s="23" t="n"/>
      <c r="C212" s="24" t="n"/>
      <c r="D212" s="15" t="n"/>
      <c r="E212" s="23" t="n"/>
      <c r="F212" s="15" t="n"/>
      <c r="G212" s="23" t="n"/>
      <c r="H212" s="25" t="n"/>
      <c r="I212" s="15" t="n"/>
      <c r="J212" s="26">
        <f>IF($A212="","",LEN($C212)-LEN(SUBSTITUTE($C212,",",""))+1)</f>
        <v/>
      </c>
      <c r="K212" s="26">
        <f>IF($A212="","",SUMPRODUCT(--ISNUMBER(SEARCH('Category Dictionary'!$D$5:$D$135&amp;"",$C212)),--('Category Dictionary'!$D$5:$D$135&lt;&gt;"")))</f>
        <v/>
      </c>
      <c r="L212" s="27">
        <f>IF($A212="","",TRIM(IF(ISERROR(FIND(",",$C212)),$C212,LEFT($C212,FIND(",",$C212)-1))))</f>
        <v/>
      </c>
      <c r="M212" s="28">
        <f>IF($H212="","",DATE(YEAR($H212),MONTH($H212),1))</f>
        <v/>
      </c>
      <c r="N212" s="26">
        <f>IF($H212="","",TODAY()-$H212)</f>
        <v/>
      </c>
      <c r="O212" s="15" t="n"/>
      <c r="P212" s="15" t="n"/>
      <c r="Q212" s="15" t="n"/>
      <c r="R212" s="25" t="n"/>
      <c r="S212" s="26">
        <f>IF($A212="","",AND(OR('Assignment Builder'!$B$5="",$B212='Assignment Builder'!$B$5),OR('Assignment Builder'!$B$6="",ISNUMBER(SEARCH('Assignment Builder'!$B$6,$C212))),OR('Assignment Builder'!$B$7="",'Assignment Builder'!$B$7=IFERROR(INDEX('Category Dictionary'!$C$5:$C$135,MATCH($L212,'Category Dictionary'!$D$5:$D$135,0)),"")),OR('Assignment Builder'!$B$8="",$D212='Assignment Builder'!$B$8),OR('Assignment Builder'!$B$9="",$F212='Assignment Builder'!$B$9),OR('Assignment Builder'!$B$10="",$O212='Assignment Builder'!$B$10),OR('Assignment Builder'!$B$11="",$H212&gt;='Assignment Builder'!$B$11),OR('Assignment Builder'!$B$12="",N($Q212)&lt;='Assignment Builder'!$B$12)))</f>
        <v/>
      </c>
      <c r="T212" s="23" t="n"/>
    </row>
    <row r="213">
      <c r="A213" s="23" t="n"/>
      <c r="B213" s="23" t="n"/>
      <c r="C213" s="24" t="n"/>
      <c r="D213" s="15" t="n"/>
      <c r="E213" s="23" t="n"/>
      <c r="F213" s="15" t="n"/>
      <c r="G213" s="23" t="n"/>
      <c r="H213" s="25" t="n"/>
      <c r="I213" s="15" t="n"/>
      <c r="J213" s="26">
        <f>IF($A213="","",LEN($C213)-LEN(SUBSTITUTE($C213,",",""))+1)</f>
        <v/>
      </c>
      <c r="K213" s="26">
        <f>IF($A213="","",SUMPRODUCT(--ISNUMBER(SEARCH('Category Dictionary'!$D$5:$D$135&amp;"",$C213)),--('Category Dictionary'!$D$5:$D$135&lt;&gt;"")))</f>
        <v/>
      </c>
      <c r="L213" s="27">
        <f>IF($A213="","",TRIM(IF(ISERROR(FIND(",",$C213)),$C213,LEFT($C213,FIND(",",$C213)-1))))</f>
        <v/>
      </c>
      <c r="M213" s="28">
        <f>IF($H213="","",DATE(YEAR($H213),MONTH($H213),1))</f>
        <v/>
      </c>
      <c r="N213" s="26">
        <f>IF($H213="","",TODAY()-$H213)</f>
        <v/>
      </c>
      <c r="O213" s="15" t="n"/>
      <c r="P213" s="15" t="n"/>
      <c r="Q213" s="15" t="n"/>
      <c r="R213" s="25" t="n"/>
      <c r="S213" s="26">
        <f>IF($A213="","",AND(OR('Assignment Builder'!$B$5="",$B213='Assignment Builder'!$B$5),OR('Assignment Builder'!$B$6="",ISNUMBER(SEARCH('Assignment Builder'!$B$6,$C213))),OR('Assignment Builder'!$B$7="",'Assignment Builder'!$B$7=IFERROR(INDEX('Category Dictionary'!$C$5:$C$135,MATCH($L213,'Category Dictionary'!$D$5:$D$135,0)),"")),OR('Assignment Builder'!$B$8="",$D213='Assignment Builder'!$B$8),OR('Assignment Builder'!$B$9="",$F213='Assignment Builder'!$B$9),OR('Assignment Builder'!$B$10="",$O213='Assignment Builder'!$B$10),OR('Assignment Builder'!$B$11="",$H213&gt;='Assignment Builder'!$B$11),OR('Assignment Builder'!$B$12="",N($Q213)&lt;='Assignment Builder'!$B$12)))</f>
        <v/>
      </c>
      <c r="T213" s="23" t="n"/>
    </row>
    <row r="214">
      <c r="A214" s="23" t="n"/>
      <c r="B214" s="23" t="n"/>
      <c r="C214" s="24" t="n"/>
      <c r="D214" s="15" t="n"/>
      <c r="E214" s="23" t="n"/>
      <c r="F214" s="15" t="n"/>
      <c r="G214" s="23" t="n"/>
      <c r="H214" s="25" t="n"/>
      <c r="I214" s="15" t="n"/>
      <c r="J214" s="26">
        <f>IF($A214="","",LEN($C214)-LEN(SUBSTITUTE($C214,",",""))+1)</f>
        <v/>
      </c>
      <c r="K214" s="26">
        <f>IF($A214="","",SUMPRODUCT(--ISNUMBER(SEARCH('Category Dictionary'!$D$5:$D$135&amp;"",$C214)),--('Category Dictionary'!$D$5:$D$135&lt;&gt;"")))</f>
        <v/>
      </c>
      <c r="L214" s="27">
        <f>IF($A214="","",TRIM(IF(ISERROR(FIND(",",$C214)),$C214,LEFT($C214,FIND(",",$C214)-1))))</f>
        <v/>
      </c>
      <c r="M214" s="28">
        <f>IF($H214="","",DATE(YEAR($H214),MONTH($H214),1))</f>
        <v/>
      </c>
      <c r="N214" s="26">
        <f>IF($H214="","",TODAY()-$H214)</f>
        <v/>
      </c>
      <c r="O214" s="15" t="n"/>
      <c r="P214" s="15" t="n"/>
      <c r="Q214" s="15" t="n"/>
      <c r="R214" s="25" t="n"/>
      <c r="S214" s="26">
        <f>IF($A214="","",AND(OR('Assignment Builder'!$B$5="",$B214='Assignment Builder'!$B$5),OR('Assignment Builder'!$B$6="",ISNUMBER(SEARCH('Assignment Builder'!$B$6,$C214))),OR('Assignment Builder'!$B$7="",'Assignment Builder'!$B$7=IFERROR(INDEX('Category Dictionary'!$C$5:$C$135,MATCH($L214,'Category Dictionary'!$D$5:$D$135,0)),"")),OR('Assignment Builder'!$B$8="",$D214='Assignment Builder'!$B$8),OR('Assignment Builder'!$B$9="",$F214='Assignment Builder'!$B$9),OR('Assignment Builder'!$B$10="",$O214='Assignment Builder'!$B$10),OR('Assignment Builder'!$B$11="",$H214&gt;='Assignment Builder'!$B$11),OR('Assignment Builder'!$B$12="",N($Q214)&lt;='Assignment Builder'!$B$12)))</f>
        <v/>
      </c>
      <c r="T214" s="23" t="n"/>
    </row>
    <row r="215">
      <c r="A215" s="23" t="n"/>
      <c r="B215" s="23" t="n"/>
      <c r="C215" s="24" t="n"/>
      <c r="D215" s="15" t="n"/>
      <c r="E215" s="23" t="n"/>
      <c r="F215" s="15" t="n"/>
      <c r="G215" s="23" t="n"/>
      <c r="H215" s="25" t="n"/>
      <c r="I215" s="15" t="n"/>
      <c r="J215" s="26">
        <f>IF($A215="","",LEN($C215)-LEN(SUBSTITUTE($C215,",",""))+1)</f>
        <v/>
      </c>
      <c r="K215" s="26">
        <f>IF($A215="","",SUMPRODUCT(--ISNUMBER(SEARCH('Category Dictionary'!$D$5:$D$135&amp;"",$C215)),--('Category Dictionary'!$D$5:$D$135&lt;&gt;"")))</f>
        <v/>
      </c>
      <c r="L215" s="27">
        <f>IF($A215="","",TRIM(IF(ISERROR(FIND(",",$C215)),$C215,LEFT($C215,FIND(",",$C215)-1))))</f>
        <v/>
      </c>
      <c r="M215" s="28">
        <f>IF($H215="","",DATE(YEAR($H215),MONTH($H215),1))</f>
        <v/>
      </c>
      <c r="N215" s="26">
        <f>IF($H215="","",TODAY()-$H215)</f>
        <v/>
      </c>
      <c r="O215" s="15" t="n"/>
      <c r="P215" s="15" t="n"/>
      <c r="Q215" s="15" t="n"/>
      <c r="R215" s="25" t="n"/>
      <c r="S215" s="26">
        <f>IF($A215="","",AND(OR('Assignment Builder'!$B$5="",$B215='Assignment Builder'!$B$5),OR('Assignment Builder'!$B$6="",ISNUMBER(SEARCH('Assignment Builder'!$B$6,$C215))),OR('Assignment Builder'!$B$7="",'Assignment Builder'!$B$7=IFERROR(INDEX('Category Dictionary'!$C$5:$C$135,MATCH($L215,'Category Dictionary'!$D$5:$D$135,0)),"")),OR('Assignment Builder'!$B$8="",$D215='Assignment Builder'!$B$8),OR('Assignment Builder'!$B$9="",$F215='Assignment Builder'!$B$9),OR('Assignment Builder'!$B$10="",$O215='Assignment Builder'!$B$10),OR('Assignment Builder'!$B$11="",$H215&gt;='Assignment Builder'!$B$11),OR('Assignment Builder'!$B$12="",N($Q215)&lt;='Assignment Builder'!$B$12)))</f>
        <v/>
      </c>
      <c r="T215" s="23" t="n"/>
    </row>
    <row r="216">
      <c r="A216" s="23" t="n"/>
      <c r="B216" s="23" t="n"/>
      <c r="C216" s="24" t="n"/>
      <c r="D216" s="15" t="n"/>
      <c r="E216" s="23" t="n"/>
      <c r="F216" s="15" t="n"/>
      <c r="G216" s="23" t="n"/>
      <c r="H216" s="25" t="n"/>
      <c r="I216" s="15" t="n"/>
      <c r="J216" s="26">
        <f>IF($A216="","",LEN($C216)-LEN(SUBSTITUTE($C216,",",""))+1)</f>
        <v/>
      </c>
      <c r="K216" s="26">
        <f>IF($A216="","",SUMPRODUCT(--ISNUMBER(SEARCH('Category Dictionary'!$D$5:$D$135&amp;"",$C216)),--('Category Dictionary'!$D$5:$D$135&lt;&gt;"")))</f>
        <v/>
      </c>
      <c r="L216" s="27">
        <f>IF($A216="","",TRIM(IF(ISERROR(FIND(",",$C216)),$C216,LEFT($C216,FIND(",",$C216)-1))))</f>
        <v/>
      </c>
      <c r="M216" s="28">
        <f>IF($H216="","",DATE(YEAR($H216),MONTH($H216),1))</f>
        <v/>
      </c>
      <c r="N216" s="26">
        <f>IF($H216="","",TODAY()-$H216)</f>
        <v/>
      </c>
      <c r="O216" s="15" t="n"/>
      <c r="P216" s="15" t="n"/>
      <c r="Q216" s="15" t="n"/>
      <c r="R216" s="25" t="n"/>
      <c r="S216" s="26">
        <f>IF($A216="","",AND(OR('Assignment Builder'!$B$5="",$B216='Assignment Builder'!$B$5),OR('Assignment Builder'!$B$6="",ISNUMBER(SEARCH('Assignment Builder'!$B$6,$C216))),OR('Assignment Builder'!$B$7="",'Assignment Builder'!$B$7=IFERROR(INDEX('Category Dictionary'!$C$5:$C$135,MATCH($L216,'Category Dictionary'!$D$5:$D$135,0)),"")),OR('Assignment Builder'!$B$8="",$D216='Assignment Builder'!$B$8),OR('Assignment Builder'!$B$9="",$F216='Assignment Builder'!$B$9),OR('Assignment Builder'!$B$10="",$O216='Assignment Builder'!$B$10),OR('Assignment Builder'!$B$11="",$H216&gt;='Assignment Builder'!$B$11),OR('Assignment Builder'!$B$12="",N($Q216)&lt;='Assignment Builder'!$B$12)))</f>
        <v/>
      </c>
      <c r="T216" s="23" t="n"/>
    </row>
    <row r="217">
      <c r="A217" s="23" t="n"/>
      <c r="B217" s="23" t="n"/>
      <c r="C217" s="24" t="n"/>
      <c r="D217" s="15" t="n"/>
      <c r="E217" s="23" t="n"/>
      <c r="F217" s="15" t="n"/>
      <c r="G217" s="23" t="n"/>
      <c r="H217" s="25" t="n"/>
      <c r="I217" s="15" t="n"/>
      <c r="J217" s="26">
        <f>IF($A217="","",LEN($C217)-LEN(SUBSTITUTE($C217,",",""))+1)</f>
        <v/>
      </c>
      <c r="K217" s="26">
        <f>IF($A217="","",SUMPRODUCT(--ISNUMBER(SEARCH('Category Dictionary'!$D$5:$D$135&amp;"",$C217)),--('Category Dictionary'!$D$5:$D$135&lt;&gt;"")))</f>
        <v/>
      </c>
      <c r="L217" s="27">
        <f>IF($A217="","",TRIM(IF(ISERROR(FIND(",",$C217)),$C217,LEFT($C217,FIND(",",$C217)-1))))</f>
        <v/>
      </c>
      <c r="M217" s="28">
        <f>IF($H217="","",DATE(YEAR($H217),MONTH($H217),1))</f>
        <v/>
      </c>
      <c r="N217" s="26">
        <f>IF($H217="","",TODAY()-$H217)</f>
        <v/>
      </c>
      <c r="O217" s="15" t="n"/>
      <c r="P217" s="15" t="n"/>
      <c r="Q217" s="15" t="n"/>
      <c r="R217" s="25" t="n"/>
      <c r="S217" s="26">
        <f>IF($A217="","",AND(OR('Assignment Builder'!$B$5="",$B217='Assignment Builder'!$B$5),OR('Assignment Builder'!$B$6="",ISNUMBER(SEARCH('Assignment Builder'!$B$6,$C217))),OR('Assignment Builder'!$B$7="",'Assignment Builder'!$B$7=IFERROR(INDEX('Category Dictionary'!$C$5:$C$135,MATCH($L217,'Category Dictionary'!$D$5:$D$135,0)),"")),OR('Assignment Builder'!$B$8="",$D217='Assignment Builder'!$B$8),OR('Assignment Builder'!$B$9="",$F217='Assignment Builder'!$B$9),OR('Assignment Builder'!$B$10="",$O217='Assignment Builder'!$B$10),OR('Assignment Builder'!$B$11="",$H217&gt;='Assignment Builder'!$B$11),OR('Assignment Builder'!$B$12="",N($Q217)&lt;='Assignment Builder'!$B$12)))</f>
        <v/>
      </c>
      <c r="T217" s="23" t="n"/>
    </row>
    <row r="218">
      <c r="A218" s="23" t="n"/>
      <c r="B218" s="23" t="n"/>
      <c r="C218" s="24" t="n"/>
      <c r="D218" s="15" t="n"/>
      <c r="E218" s="23" t="n"/>
      <c r="F218" s="15" t="n"/>
      <c r="G218" s="23" t="n"/>
      <c r="H218" s="25" t="n"/>
      <c r="I218" s="15" t="n"/>
      <c r="J218" s="26">
        <f>IF($A218="","",LEN($C218)-LEN(SUBSTITUTE($C218,",",""))+1)</f>
        <v/>
      </c>
      <c r="K218" s="26">
        <f>IF($A218="","",SUMPRODUCT(--ISNUMBER(SEARCH('Category Dictionary'!$D$5:$D$135&amp;"",$C218)),--('Category Dictionary'!$D$5:$D$135&lt;&gt;"")))</f>
        <v/>
      </c>
      <c r="L218" s="27">
        <f>IF($A218="","",TRIM(IF(ISERROR(FIND(",",$C218)),$C218,LEFT($C218,FIND(",",$C218)-1))))</f>
        <v/>
      </c>
      <c r="M218" s="28">
        <f>IF($H218="","",DATE(YEAR($H218),MONTH($H218),1))</f>
        <v/>
      </c>
      <c r="N218" s="26">
        <f>IF($H218="","",TODAY()-$H218)</f>
        <v/>
      </c>
      <c r="O218" s="15" t="n"/>
      <c r="P218" s="15" t="n"/>
      <c r="Q218" s="15" t="n"/>
      <c r="R218" s="25" t="n"/>
      <c r="S218" s="26">
        <f>IF($A218="","",AND(OR('Assignment Builder'!$B$5="",$B218='Assignment Builder'!$B$5),OR('Assignment Builder'!$B$6="",ISNUMBER(SEARCH('Assignment Builder'!$B$6,$C218))),OR('Assignment Builder'!$B$7="",'Assignment Builder'!$B$7=IFERROR(INDEX('Category Dictionary'!$C$5:$C$135,MATCH($L218,'Category Dictionary'!$D$5:$D$135,0)),"")),OR('Assignment Builder'!$B$8="",$D218='Assignment Builder'!$B$8),OR('Assignment Builder'!$B$9="",$F218='Assignment Builder'!$B$9),OR('Assignment Builder'!$B$10="",$O218='Assignment Builder'!$B$10),OR('Assignment Builder'!$B$11="",$H218&gt;='Assignment Builder'!$B$11),OR('Assignment Builder'!$B$12="",N($Q218)&lt;='Assignment Builder'!$B$12)))</f>
        <v/>
      </c>
      <c r="T218" s="23" t="n"/>
    </row>
    <row r="219">
      <c r="A219" s="23" t="n"/>
      <c r="B219" s="23" t="n"/>
      <c r="C219" s="24" t="n"/>
      <c r="D219" s="15" t="n"/>
      <c r="E219" s="23" t="n"/>
      <c r="F219" s="15" t="n"/>
      <c r="G219" s="23" t="n"/>
      <c r="H219" s="25" t="n"/>
      <c r="I219" s="15" t="n"/>
      <c r="J219" s="26">
        <f>IF($A219="","",LEN($C219)-LEN(SUBSTITUTE($C219,",",""))+1)</f>
        <v/>
      </c>
      <c r="K219" s="26">
        <f>IF($A219="","",SUMPRODUCT(--ISNUMBER(SEARCH('Category Dictionary'!$D$5:$D$135&amp;"",$C219)),--('Category Dictionary'!$D$5:$D$135&lt;&gt;"")))</f>
        <v/>
      </c>
      <c r="L219" s="27">
        <f>IF($A219="","",TRIM(IF(ISERROR(FIND(",",$C219)),$C219,LEFT($C219,FIND(",",$C219)-1))))</f>
        <v/>
      </c>
      <c r="M219" s="28">
        <f>IF($H219="","",DATE(YEAR($H219),MONTH($H219),1))</f>
        <v/>
      </c>
      <c r="N219" s="26">
        <f>IF($H219="","",TODAY()-$H219)</f>
        <v/>
      </c>
      <c r="O219" s="15" t="n"/>
      <c r="P219" s="15" t="n"/>
      <c r="Q219" s="15" t="n"/>
      <c r="R219" s="25" t="n"/>
      <c r="S219" s="26">
        <f>IF($A219="","",AND(OR('Assignment Builder'!$B$5="",$B219='Assignment Builder'!$B$5),OR('Assignment Builder'!$B$6="",ISNUMBER(SEARCH('Assignment Builder'!$B$6,$C219))),OR('Assignment Builder'!$B$7="",'Assignment Builder'!$B$7=IFERROR(INDEX('Category Dictionary'!$C$5:$C$135,MATCH($L219,'Category Dictionary'!$D$5:$D$135,0)),"")),OR('Assignment Builder'!$B$8="",$D219='Assignment Builder'!$B$8),OR('Assignment Builder'!$B$9="",$F219='Assignment Builder'!$B$9),OR('Assignment Builder'!$B$10="",$O219='Assignment Builder'!$B$10),OR('Assignment Builder'!$B$11="",$H219&gt;='Assignment Builder'!$B$11),OR('Assignment Builder'!$B$12="",N($Q219)&lt;='Assignment Builder'!$B$12)))</f>
        <v/>
      </c>
      <c r="T219" s="23" t="n"/>
    </row>
    <row r="220">
      <c r="A220" s="23" t="n"/>
      <c r="B220" s="23" t="n"/>
      <c r="C220" s="24" t="n"/>
      <c r="D220" s="15" t="n"/>
      <c r="E220" s="23" t="n"/>
      <c r="F220" s="15" t="n"/>
      <c r="G220" s="23" t="n"/>
      <c r="H220" s="25" t="n"/>
      <c r="I220" s="15" t="n"/>
      <c r="J220" s="26">
        <f>IF($A220="","",LEN($C220)-LEN(SUBSTITUTE($C220,",",""))+1)</f>
        <v/>
      </c>
      <c r="K220" s="26">
        <f>IF($A220="","",SUMPRODUCT(--ISNUMBER(SEARCH('Category Dictionary'!$D$5:$D$135&amp;"",$C220)),--('Category Dictionary'!$D$5:$D$135&lt;&gt;"")))</f>
        <v/>
      </c>
      <c r="L220" s="27">
        <f>IF($A220="","",TRIM(IF(ISERROR(FIND(",",$C220)),$C220,LEFT($C220,FIND(",",$C220)-1))))</f>
        <v/>
      </c>
      <c r="M220" s="28">
        <f>IF($H220="","",DATE(YEAR($H220),MONTH($H220),1))</f>
        <v/>
      </c>
      <c r="N220" s="26">
        <f>IF($H220="","",TODAY()-$H220)</f>
        <v/>
      </c>
      <c r="O220" s="15" t="n"/>
      <c r="P220" s="15" t="n"/>
      <c r="Q220" s="15" t="n"/>
      <c r="R220" s="25" t="n"/>
      <c r="S220" s="26">
        <f>IF($A220="","",AND(OR('Assignment Builder'!$B$5="",$B220='Assignment Builder'!$B$5),OR('Assignment Builder'!$B$6="",ISNUMBER(SEARCH('Assignment Builder'!$B$6,$C220))),OR('Assignment Builder'!$B$7="",'Assignment Builder'!$B$7=IFERROR(INDEX('Category Dictionary'!$C$5:$C$135,MATCH($L220,'Category Dictionary'!$D$5:$D$135,0)),"")),OR('Assignment Builder'!$B$8="",$D220='Assignment Builder'!$B$8),OR('Assignment Builder'!$B$9="",$F220='Assignment Builder'!$B$9),OR('Assignment Builder'!$B$10="",$O220='Assignment Builder'!$B$10),OR('Assignment Builder'!$B$11="",$H220&gt;='Assignment Builder'!$B$11),OR('Assignment Builder'!$B$12="",N($Q220)&lt;='Assignment Builder'!$B$12)))</f>
        <v/>
      </c>
      <c r="T220" s="23" t="n"/>
    </row>
    <row r="221">
      <c r="A221" s="23" t="n"/>
      <c r="B221" s="23" t="n"/>
      <c r="C221" s="24" t="n"/>
      <c r="D221" s="15" t="n"/>
      <c r="E221" s="23" t="n"/>
      <c r="F221" s="15" t="n"/>
      <c r="G221" s="23" t="n"/>
      <c r="H221" s="25" t="n"/>
      <c r="I221" s="15" t="n"/>
      <c r="J221" s="26">
        <f>IF($A221="","",LEN($C221)-LEN(SUBSTITUTE($C221,",",""))+1)</f>
        <v/>
      </c>
      <c r="K221" s="26">
        <f>IF($A221="","",SUMPRODUCT(--ISNUMBER(SEARCH('Category Dictionary'!$D$5:$D$135&amp;"",$C221)),--('Category Dictionary'!$D$5:$D$135&lt;&gt;"")))</f>
        <v/>
      </c>
      <c r="L221" s="27">
        <f>IF($A221="","",TRIM(IF(ISERROR(FIND(",",$C221)),$C221,LEFT($C221,FIND(",",$C221)-1))))</f>
        <v/>
      </c>
      <c r="M221" s="28">
        <f>IF($H221="","",DATE(YEAR($H221),MONTH($H221),1))</f>
        <v/>
      </c>
      <c r="N221" s="26">
        <f>IF($H221="","",TODAY()-$H221)</f>
        <v/>
      </c>
      <c r="O221" s="15" t="n"/>
      <c r="P221" s="15" t="n"/>
      <c r="Q221" s="15" t="n"/>
      <c r="R221" s="25" t="n"/>
      <c r="S221" s="26">
        <f>IF($A221="","",AND(OR('Assignment Builder'!$B$5="",$B221='Assignment Builder'!$B$5),OR('Assignment Builder'!$B$6="",ISNUMBER(SEARCH('Assignment Builder'!$B$6,$C221))),OR('Assignment Builder'!$B$7="",'Assignment Builder'!$B$7=IFERROR(INDEX('Category Dictionary'!$C$5:$C$135,MATCH($L221,'Category Dictionary'!$D$5:$D$135,0)),"")),OR('Assignment Builder'!$B$8="",$D221='Assignment Builder'!$B$8),OR('Assignment Builder'!$B$9="",$F221='Assignment Builder'!$B$9),OR('Assignment Builder'!$B$10="",$O221='Assignment Builder'!$B$10),OR('Assignment Builder'!$B$11="",$H221&gt;='Assignment Builder'!$B$11),OR('Assignment Builder'!$B$12="",N($Q221)&lt;='Assignment Builder'!$B$12)))</f>
        <v/>
      </c>
      <c r="T221" s="23" t="n"/>
    </row>
    <row r="222">
      <c r="A222" s="23" t="n"/>
      <c r="B222" s="23" t="n"/>
      <c r="C222" s="24" t="n"/>
      <c r="D222" s="15" t="n"/>
      <c r="E222" s="23" t="n"/>
      <c r="F222" s="15" t="n"/>
      <c r="G222" s="23" t="n"/>
      <c r="H222" s="25" t="n"/>
      <c r="I222" s="15" t="n"/>
      <c r="J222" s="26">
        <f>IF($A222="","",LEN($C222)-LEN(SUBSTITUTE($C222,",",""))+1)</f>
        <v/>
      </c>
      <c r="K222" s="26">
        <f>IF($A222="","",SUMPRODUCT(--ISNUMBER(SEARCH('Category Dictionary'!$D$5:$D$135&amp;"",$C222)),--('Category Dictionary'!$D$5:$D$135&lt;&gt;"")))</f>
        <v/>
      </c>
      <c r="L222" s="27">
        <f>IF($A222="","",TRIM(IF(ISERROR(FIND(",",$C222)),$C222,LEFT($C222,FIND(",",$C222)-1))))</f>
        <v/>
      </c>
      <c r="M222" s="28">
        <f>IF($H222="","",DATE(YEAR($H222),MONTH($H222),1))</f>
        <v/>
      </c>
      <c r="N222" s="26">
        <f>IF($H222="","",TODAY()-$H222)</f>
        <v/>
      </c>
      <c r="O222" s="15" t="n"/>
      <c r="P222" s="15" t="n"/>
      <c r="Q222" s="15" t="n"/>
      <c r="R222" s="25" t="n"/>
      <c r="S222" s="26">
        <f>IF($A222="","",AND(OR('Assignment Builder'!$B$5="",$B222='Assignment Builder'!$B$5),OR('Assignment Builder'!$B$6="",ISNUMBER(SEARCH('Assignment Builder'!$B$6,$C222))),OR('Assignment Builder'!$B$7="",'Assignment Builder'!$B$7=IFERROR(INDEX('Category Dictionary'!$C$5:$C$135,MATCH($L222,'Category Dictionary'!$D$5:$D$135,0)),"")),OR('Assignment Builder'!$B$8="",$D222='Assignment Builder'!$B$8),OR('Assignment Builder'!$B$9="",$F222='Assignment Builder'!$B$9),OR('Assignment Builder'!$B$10="",$O222='Assignment Builder'!$B$10),OR('Assignment Builder'!$B$11="",$H222&gt;='Assignment Builder'!$B$11),OR('Assignment Builder'!$B$12="",N($Q222)&lt;='Assignment Builder'!$B$12)))</f>
        <v/>
      </c>
      <c r="T222" s="23" t="n"/>
    </row>
    <row r="223">
      <c r="A223" s="23" t="n"/>
      <c r="B223" s="23" t="n"/>
      <c r="C223" s="24" t="n"/>
      <c r="D223" s="15" t="n"/>
      <c r="E223" s="23" t="n"/>
      <c r="F223" s="15" t="n"/>
      <c r="G223" s="23" t="n"/>
      <c r="H223" s="25" t="n"/>
      <c r="I223" s="15" t="n"/>
      <c r="J223" s="26">
        <f>IF($A223="","",LEN($C223)-LEN(SUBSTITUTE($C223,",",""))+1)</f>
        <v/>
      </c>
      <c r="K223" s="26">
        <f>IF($A223="","",SUMPRODUCT(--ISNUMBER(SEARCH('Category Dictionary'!$D$5:$D$135&amp;"",$C223)),--('Category Dictionary'!$D$5:$D$135&lt;&gt;"")))</f>
        <v/>
      </c>
      <c r="L223" s="27">
        <f>IF($A223="","",TRIM(IF(ISERROR(FIND(",",$C223)),$C223,LEFT($C223,FIND(",",$C223)-1))))</f>
        <v/>
      </c>
      <c r="M223" s="28">
        <f>IF($H223="","",DATE(YEAR($H223),MONTH($H223),1))</f>
        <v/>
      </c>
      <c r="N223" s="26">
        <f>IF($H223="","",TODAY()-$H223)</f>
        <v/>
      </c>
      <c r="O223" s="15" t="n"/>
      <c r="P223" s="15" t="n"/>
      <c r="Q223" s="15" t="n"/>
      <c r="R223" s="25" t="n"/>
      <c r="S223" s="26">
        <f>IF($A223="","",AND(OR('Assignment Builder'!$B$5="",$B223='Assignment Builder'!$B$5),OR('Assignment Builder'!$B$6="",ISNUMBER(SEARCH('Assignment Builder'!$B$6,$C223))),OR('Assignment Builder'!$B$7="",'Assignment Builder'!$B$7=IFERROR(INDEX('Category Dictionary'!$C$5:$C$135,MATCH($L223,'Category Dictionary'!$D$5:$D$135,0)),"")),OR('Assignment Builder'!$B$8="",$D223='Assignment Builder'!$B$8),OR('Assignment Builder'!$B$9="",$F223='Assignment Builder'!$B$9),OR('Assignment Builder'!$B$10="",$O223='Assignment Builder'!$B$10),OR('Assignment Builder'!$B$11="",$H223&gt;='Assignment Builder'!$B$11),OR('Assignment Builder'!$B$12="",N($Q223)&lt;='Assignment Builder'!$B$12)))</f>
        <v/>
      </c>
      <c r="T223" s="23" t="n"/>
    </row>
    <row r="224">
      <c r="A224" s="23" t="n"/>
      <c r="B224" s="23" t="n"/>
      <c r="C224" s="24" t="n"/>
      <c r="D224" s="15" t="n"/>
      <c r="E224" s="23" t="n"/>
      <c r="F224" s="15" t="n"/>
      <c r="G224" s="23" t="n"/>
      <c r="H224" s="25" t="n"/>
      <c r="I224" s="15" t="n"/>
      <c r="J224" s="26">
        <f>IF($A224="","",LEN($C224)-LEN(SUBSTITUTE($C224,",",""))+1)</f>
        <v/>
      </c>
      <c r="K224" s="26">
        <f>IF($A224="","",SUMPRODUCT(--ISNUMBER(SEARCH('Category Dictionary'!$D$5:$D$135&amp;"",$C224)),--('Category Dictionary'!$D$5:$D$135&lt;&gt;"")))</f>
        <v/>
      </c>
      <c r="L224" s="27">
        <f>IF($A224="","",TRIM(IF(ISERROR(FIND(",",$C224)),$C224,LEFT($C224,FIND(",",$C224)-1))))</f>
        <v/>
      </c>
      <c r="M224" s="28">
        <f>IF($H224="","",DATE(YEAR($H224),MONTH($H224),1))</f>
        <v/>
      </c>
      <c r="N224" s="26">
        <f>IF($H224="","",TODAY()-$H224)</f>
        <v/>
      </c>
      <c r="O224" s="15" t="n"/>
      <c r="P224" s="15" t="n"/>
      <c r="Q224" s="15" t="n"/>
      <c r="R224" s="25" t="n"/>
      <c r="S224" s="26">
        <f>IF($A224="","",AND(OR('Assignment Builder'!$B$5="",$B224='Assignment Builder'!$B$5),OR('Assignment Builder'!$B$6="",ISNUMBER(SEARCH('Assignment Builder'!$B$6,$C224))),OR('Assignment Builder'!$B$7="",'Assignment Builder'!$B$7=IFERROR(INDEX('Category Dictionary'!$C$5:$C$135,MATCH($L224,'Category Dictionary'!$D$5:$D$135,0)),"")),OR('Assignment Builder'!$B$8="",$D224='Assignment Builder'!$B$8),OR('Assignment Builder'!$B$9="",$F224='Assignment Builder'!$B$9),OR('Assignment Builder'!$B$10="",$O224='Assignment Builder'!$B$10),OR('Assignment Builder'!$B$11="",$H224&gt;='Assignment Builder'!$B$11),OR('Assignment Builder'!$B$12="",N($Q224)&lt;='Assignment Builder'!$B$12)))</f>
        <v/>
      </c>
      <c r="T224" s="23" t="n"/>
    </row>
    <row r="225">
      <c r="A225" s="23" t="n"/>
      <c r="B225" s="23" t="n"/>
      <c r="C225" s="24" t="n"/>
      <c r="D225" s="15" t="n"/>
      <c r="E225" s="23" t="n"/>
      <c r="F225" s="15" t="n"/>
      <c r="G225" s="23" t="n"/>
      <c r="H225" s="25" t="n"/>
      <c r="I225" s="15" t="n"/>
      <c r="J225" s="26">
        <f>IF($A225="","",LEN($C225)-LEN(SUBSTITUTE($C225,",",""))+1)</f>
        <v/>
      </c>
      <c r="K225" s="26">
        <f>IF($A225="","",SUMPRODUCT(--ISNUMBER(SEARCH('Category Dictionary'!$D$5:$D$135&amp;"",$C225)),--('Category Dictionary'!$D$5:$D$135&lt;&gt;"")))</f>
        <v/>
      </c>
      <c r="L225" s="27">
        <f>IF($A225="","",TRIM(IF(ISERROR(FIND(",",$C225)),$C225,LEFT($C225,FIND(",",$C225)-1))))</f>
        <v/>
      </c>
      <c r="M225" s="28">
        <f>IF($H225="","",DATE(YEAR($H225),MONTH($H225),1))</f>
        <v/>
      </c>
      <c r="N225" s="26">
        <f>IF($H225="","",TODAY()-$H225)</f>
        <v/>
      </c>
      <c r="O225" s="15" t="n"/>
      <c r="P225" s="15" t="n"/>
      <c r="Q225" s="15" t="n"/>
      <c r="R225" s="25" t="n"/>
      <c r="S225" s="26">
        <f>IF($A225="","",AND(OR('Assignment Builder'!$B$5="",$B225='Assignment Builder'!$B$5),OR('Assignment Builder'!$B$6="",ISNUMBER(SEARCH('Assignment Builder'!$B$6,$C225))),OR('Assignment Builder'!$B$7="",'Assignment Builder'!$B$7=IFERROR(INDEX('Category Dictionary'!$C$5:$C$135,MATCH($L225,'Category Dictionary'!$D$5:$D$135,0)),"")),OR('Assignment Builder'!$B$8="",$D225='Assignment Builder'!$B$8),OR('Assignment Builder'!$B$9="",$F225='Assignment Builder'!$B$9),OR('Assignment Builder'!$B$10="",$O225='Assignment Builder'!$B$10),OR('Assignment Builder'!$B$11="",$H225&gt;='Assignment Builder'!$B$11),OR('Assignment Builder'!$B$12="",N($Q225)&lt;='Assignment Builder'!$B$12)))</f>
        <v/>
      </c>
      <c r="T225" s="23" t="n"/>
    </row>
    <row r="226">
      <c r="A226" s="23" t="n"/>
      <c r="B226" s="23" t="n"/>
      <c r="C226" s="24" t="n"/>
      <c r="D226" s="15" t="n"/>
      <c r="E226" s="23" t="n"/>
      <c r="F226" s="15" t="n"/>
      <c r="G226" s="23" t="n"/>
      <c r="H226" s="25" t="n"/>
      <c r="I226" s="15" t="n"/>
      <c r="J226" s="26">
        <f>IF($A226="","",LEN($C226)-LEN(SUBSTITUTE($C226,",",""))+1)</f>
        <v/>
      </c>
      <c r="K226" s="26">
        <f>IF($A226="","",SUMPRODUCT(--ISNUMBER(SEARCH('Category Dictionary'!$D$5:$D$135&amp;"",$C226)),--('Category Dictionary'!$D$5:$D$135&lt;&gt;"")))</f>
        <v/>
      </c>
      <c r="L226" s="27">
        <f>IF($A226="","",TRIM(IF(ISERROR(FIND(",",$C226)),$C226,LEFT($C226,FIND(",",$C226)-1))))</f>
        <v/>
      </c>
      <c r="M226" s="28">
        <f>IF($H226="","",DATE(YEAR($H226),MONTH($H226),1))</f>
        <v/>
      </c>
      <c r="N226" s="26">
        <f>IF($H226="","",TODAY()-$H226)</f>
        <v/>
      </c>
      <c r="O226" s="15" t="n"/>
      <c r="P226" s="15" t="n"/>
      <c r="Q226" s="15" t="n"/>
      <c r="R226" s="25" t="n"/>
      <c r="S226" s="26">
        <f>IF($A226="","",AND(OR('Assignment Builder'!$B$5="",$B226='Assignment Builder'!$B$5),OR('Assignment Builder'!$B$6="",ISNUMBER(SEARCH('Assignment Builder'!$B$6,$C226))),OR('Assignment Builder'!$B$7="",'Assignment Builder'!$B$7=IFERROR(INDEX('Category Dictionary'!$C$5:$C$135,MATCH($L226,'Category Dictionary'!$D$5:$D$135,0)),"")),OR('Assignment Builder'!$B$8="",$D226='Assignment Builder'!$B$8),OR('Assignment Builder'!$B$9="",$F226='Assignment Builder'!$B$9),OR('Assignment Builder'!$B$10="",$O226='Assignment Builder'!$B$10),OR('Assignment Builder'!$B$11="",$H226&gt;='Assignment Builder'!$B$11),OR('Assignment Builder'!$B$12="",N($Q226)&lt;='Assignment Builder'!$B$12)))</f>
        <v/>
      </c>
      <c r="T226" s="23" t="n"/>
    </row>
    <row r="227">
      <c r="A227" s="23" t="n"/>
      <c r="B227" s="23" t="n"/>
      <c r="C227" s="24" t="n"/>
      <c r="D227" s="15" t="n"/>
      <c r="E227" s="23" t="n"/>
      <c r="F227" s="15" t="n"/>
      <c r="G227" s="23" t="n"/>
      <c r="H227" s="25" t="n"/>
      <c r="I227" s="15" t="n"/>
      <c r="J227" s="26">
        <f>IF($A227="","",LEN($C227)-LEN(SUBSTITUTE($C227,",",""))+1)</f>
        <v/>
      </c>
      <c r="K227" s="26">
        <f>IF($A227="","",SUMPRODUCT(--ISNUMBER(SEARCH('Category Dictionary'!$D$5:$D$135&amp;"",$C227)),--('Category Dictionary'!$D$5:$D$135&lt;&gt;"")))</f>
        <v/>
      </c>
      <c r="L227" s="27">
        <f>IF($A227="","",TRIM(IF(ISERROR(FIND(",",$C227)),$C227,LEFT($C227,FIND(",",$C227)-1))))</f>
        <v/>
      </c>
      <c r="M227" s="28">
        <f>IF($H227="","",DATE(YEAR($H227),MONTH($H227),1))</f>
        <v/>
      </c>
      <c r="N227" s="26">
        <f>IF($H227="","",TODAY()-$H227)</f>
        <v/>
      </c>
      <c r="O227" s="15" t="n"/>
      <c r="P227" s="15" t="n"/>
      <c r="Q227" s="15" t="n"/>
      <c r="R227" s="25" t="n"/>
      <c r="S227" s="26">
        <f>IF($A227="","",AND(OR('Assignment Builder'!$B$5="",$B227='Assignment Builder'!$B$5),OR('Assignment Builder'!$B$6="",ISNUMBER(SEARCH('Assignment Builder'!$B$6,$C227))),OR('Assignment Builder'!$B$7="",'Assignment Builder'!$B$7=IFERROR(INDEX('Category Dictionary'!$C$5:$C$135,MATCH($L227,'Category Dictionary'!$D$5:$D$135,0)),"")),OR('Assignment Builder'!$B$8="",$D227='Assignment Builder'!$B$8),OR('Assignment Builder'!$B$9="",$F227='Assignment Builder'!$B$9),OR('Assignment Builder'!$B$10="",$O227='Assignment Builder'!$B$10),OR('Assignment Builder'!$B$11="",$H227&gt;='Assignment Builder'!$B$11),OR('Assignment Builder'!$B$12="",N($Q227)&lt;='Assignment Builder'!$B$12)))</f>
        <v/>
      </c>
      <c r="T227" s="23" t="n"/>
    </row>
    <row r="228">
      <c r="A228" s="23" t="n"/>
      <c r="B228" s="23" t="n"/>
      <c r="C228" s="24" t="n"/>
      <c r="D228" s="15" t="n"/>
      <c r="E228" s="23" t="n"/>
      <c r="F228" s="15" t="n"/>
      <c r="G228" s="23" t="n"/>
      <c r="H228" s="25" t="n"/>
      <c r="I228" s="15" t="n"/>
      <c r="J228" s="26">
        <f>IF($A228="","",LEN($C228)-LEN(SUBSTITUTE($C228,",",""))+1)</f>
        <v/>
      </c>
      <c r="K228" s="26">
        <f>IF($A228="","",SUMPRODUCT(--ISNUMBER(SEARCH('Category Dictionary'!$D$5:$D$135&amp;"",$C228)),--('Category Dictionary'!$D$5:$D$135&lt;&gt;"")))</f>
        <v/>
      </c>
      <c r="L228" s="27">
        <f>IF($A228="","",TRIM(IF(ISERROR(FIND(",",$C228)),$C228,LEFT($C228,FIND(",",$C228)-1))))</f>
        <v/>
      </c>
      <c r="M228" s="28">
        <f>IF($H228="","",DATE(YEAR($H228),MONTH($H228),1))</f>
        <v/>
      </c>
      <c r="N228" s="26">
        <f>IF($H228="","",TODAY()-$H228)</f>
        <v/>
      </c>
      <c r="O228" s="15" t="n"/>
      <c r="P228" s="15" t="n"/>
      <c r="Q228" s="15" t="n"/>
      <c r="R228" s="25" t="n"/>
      <c r="S228" s="26">
        <f>IF($A228="","",AND(OR('Assignment Builder'!$B$5="",$B228='Assignment Builder'!$B$5),OR('Assignment Builder'!$B$6="",ISNUMBER(SEARCH('Assignment Builder'!$B$6,$C228))),OR('Assignment Builder'!$B$7="",'Assignment Builder'!$B$7=IFERROR(INDEX('Category Dictionary'!$C$5:$C$135,MATCH($L228,'Category Dictionary'!$D$5:$D$135,0)),"")),OR('Assignment Builder'!$B$8="",$D228='Assignment Builder'!$B$8),OR('Assignment Builder'!$B$9="",$F228='Assignment Builder'!$B$9),OR('Assignment Builder'!$B$10="",$O228='Assignment Builder'!$B$10),OR('Assignment Builder'!$B$11="",$H228&gt;='Assignment Builder'!$B$11),OR('Assignment Builder'!$B$12="",N($Q228)&lt;='Assignment Builder'!$B$12)))</f>
        <v/>
      </c>
      <c r="T228" s="23" t="n"/>
    </row>
    <row r="229">
      <c r="A229" s="23" t="n"/>
      <c r="B229" s="23" t="n"/>
      <c r="C229" s="24" t="n"/>
      <c r="D229" s="15" t="n"/>
      <c r="E229" s="23" t="n"/>
      <c r="F229" s="15" t="n"/>
      <c r="G229" s="23" t="n"/>
      <c r="H229" s="25" t="n"/>
      <c r="I229" s="15" t="n"/>
      <c r="J229" s="26">
        <f>IF($A229="","",LEN($C229)-LEN(SUBSTITUTE($C229,",",""))+1)</f>
        <v/>
      </c>
      <c r="K229" s="26">
        <f>IF($A229="","",SUMPRODUCT(--ISNUMBER(SEARCH('Category Dictionary'!$D$5:$D$135&amp;"",$C229)),--('Category Dictionary'!$D$5:$D$135&lt;&gt;"")))</f>
        <v/>
      </c>
      <c r="L229" s="27">
        <f>IF($A229="","",TRIM(IF(ISERROR(FIND(",",$C229)),$C229,LEFT($C229,FIND(",",$C229)-1))))</f>
        <v/>
      </c>
      <c r="M229" s="28">
        <f>IF($H229="","",DATE(YEAR($H229),MONTH($H229),1))</f>
        <v/>
      </c>
      <c r="N229" s="26">
        <f>IF($H229="","",TODAY()-$H229)</f>
        <v/>
      </c>
      <c r="O229" s="15" t="n"/>
      <c r="P229" s="15" t="n"/>
      <c r="Q229" s="15" t="n"/>
      <c r="R229" s="25" t="n"/>
      <c r="S229" s="26">
        <f>IF($A229="","",AND(OR('Assignment Builder'!$B$5="",$B229='Assignment Builder'!$B$5),OR('Assignment Builder'!$B$6="",ISNUMBER(SEARCH('Assignment Builder'!$B$6,$C229))),OR('Assignment Builder'!$B$7="",'Assignment Builder'!$B$7=IFERROR(INDEX('Category Dictionary'!$C$5:$C$135,MATCH($L229,'Category Dictionary'!$D$5:$D$135,0)),"")),OR('Assignment Builder'!$B$8="",$D229='Assignment Builder'!$B$8),OR('Assignment Builder'!$B$9="",$F229='Assignment Builder'!$B$9),OR('Assignment Builder'!$B$10="",$O229='Assignment Builder'!$B$10),OR('Assignment Builder'!$B$11="",$H229&gt;='Assignment Builder'!$B$11),OR('Assignment Builder'!$B$12="",N($Q229)&lt;='Assignment Builder'!$B$12)))</f>
        <v/>
      </c>
      <c r="T229" s="23" t="n"/>
    </row>
    <row r="230">
      <c r="A230" s="23" t="n"/>
      <c r="B230" s="23" t="n"/>
      <c r="C230" s="24" t="n"/>
      <c r="D230" s="15" t="n"/>
      <c r="E230" s="23" t="n"/>
      <c r="F230" s="15" t="n"/>
      <c r="G230" s="23" t="n"/>
      <c r="H230" s="25" t="n"/>
      <c r="I230" s="15" t="n"/>
      <c r="J230" s="26">
        <f>IF($A230="","",LEN($C230)-LEN(SUBSTITUTE($C230,",",""))+1)</f>
        <v/>
      </c>
      <c r="K230" s="26">
        <f>IF($A230="","",SUMPRODUCT(--ISNUMBER(SEARCH('Category Dictionary'!$D$5:$D$135&amp;"",$C230)),--('Category Dictionary'!$D$5:$D$135&lt;&gt;"")))</f>
        <v/>
      </c>
      <c r="L230" s="27">
        <f>IF($A230="","",TRIM(IF(ISERROR(FIND(",",$C230)),$C230,LEFT($C230,FIND(",",$C230)-1))))</f>
        <v/>
      </c>
      <c r="M230" s="28">
        <f>IF($H230="","",DATE(YEAR($H230),MONTH($H230),1))</f>
        <v/>
      </c>
      <c r="N230" s="26">
        <f>IF($H230="","",TODAY()-$H230)</f>
        <v/>
      </c>
      <c r="O230" s="15" t="n"/>
      <c r="P230" s="15" t="n"/>
      <c r="Q230" s="15" t="n"/>
      <c r="R230" s="25" t="n"/>
      <c r="S230" s="26">
        <f>IF($A230="","",AND(OR('Assignment Builder'!$B$5="",$B230='Assignment Builder'!$B$5),OR('Assignment Builder'!$B$6="",ISNUMBER(SEARCH('Assignment Builder'!$B$6,$C230))),OR('Assignment Builder'!$B$7="",'Assignment Builder'!$B$7=IFERROR(INDEX('Category Dictionary'!$C$5:$C$135,MATCH($L230,'Category Dictionary'!$D$5:$D$135,0)),"")),OR('Assignment Builder'!$B$8="",$D230='Assignment Builder'!$B$8),OR('Assignment Builder'!$B$9="",$F230='Assignment Builder'!$B$9),OR('Assignment Builder'!$B$10="",$O230='Assignment Builder'!$B$10),OR('Assignment Builder'!$B$11="",$H230&gt;='Assignment Builder'!$B$11),OR('Assignment Builder'!$B$12="",N($Q230)&lt;='Assignment Builder'!$B$12)))</f>
        <v/>
      </c>
      <c r="T230" s="23" t="n"/>
    </row>
    <row r="231">
      <c r="A231" s="23" t="n"/>
      <c r="B231" s="23" t="n"/>
      <c r="C231" s="24" t="n"/>
      <c r="D231" s="15" t="n"/>
      <c r="E231" s="23" t="n"/>
      <c r="F231" s="15" t="n"/>
      <c r="G231" s="23" t="n"/>
      <c r="H231" s="25" t="n"/>
      <c r="I231" s="15" t="n"/>
      <c r="J231" s="26">
        <f>IF($A231="","",LEN($C231)-LEN(SUBSTITUTE($C231,",",""))+1)</f>
        <v/>
      </c>
      <c r="K231" s="26">
        <f>IF($A231="","",SUMPRODUCT(--ISNUMBER(SEARCH('Category Dictionary'!$D$5:$D$135&amp;"",$C231)),--('Category Dictionary'!$D$5:$D$135&lt;&gt;"")))</f>
        <v/>
      </c>
      <c r="L231" s="27">
        <f>IF($A231="","",TRIM(IF(ISERROR(FIND(",",$C231)),$C231,LEFT($C231,FIND(",",$C231)-1))))</f>
        <v/>
      </c>
      <c r="M231" s="28">
        <f>IF($H231="","",DATE(YEAR($H231),MONTH($H231),1))</f>
        <v/>
      </c>
      <c r="N231" s="26">
        <f>IF($H231="","",TODAY()-$H231)</f>
        <v/>
      </c>
      <c r="O231" s="15" t="n"/>
      <c r="P231" s="15" t="n"/>
      <c r="Q231" s="15" t="n"/>
      <c r="R231" s="25" t="n"/>
      <c r="S231" s="26">
        <f>IF($A231="","",AND(OR('Assignment Builder'!$B$5="",$B231='Assignment Builder'!$B$5),OR('Assignment Builder'!$B$6="",ISNUMBER(SEARCH('Assignment Builder'!$B$6,$C231))),OR('Assignment Builder'!$B$7="",'Assignment Builder'!$B$7=IFERROR(INDEX('Category Dictionary'!$C$5:$C$135,MATCH($L231,'Category Dictionary'!$D$5:$D$135,0)),"")),OR('Assignment Builder'!$B$8="",$D231='Assignment Builder'!$B$8),OR('Assignment Builder'!$B$9="",$F231='Assignment Builder'!$B$9),OR('Assignment Builder'!$B$10="",$O231='Assignment Builder'!$B$10),OR('Assignment Builder'!$B$11="",$H231&gt;='Assignment Builder'!$B$11),OR('Assignment Builder'!$B$12="",N($Q231)&lt;='Assignment Builder'!$B$12)))</f>
        <v/>
      </c>
      <c r="T231" s="23" t="n"/>
    </row>
    <row r="232">
      <c r="A232" s="23" t="n"/>
      <c r="B232" s="23" t="n"/>
      <c r="C232" s="24" t="n"/>
      <c r="D232" s="15" t="n"/>
      <c r="E232" s="23" t="n"/>
      <c r="F232" s="15" t="n"/>
      <c r="G232" s="23" t="n"/>
      <c r="H232" s="25" t="n"/>
      <c r="I232" s="15" t="n"/>
      <c r="J232" s="26">
        <f>IF($A232="","",LEN($C232)-LEN(SUBSTITUTE($C232,",",""))+1)</f>
        <v/>
      </c>
      <c r="K232" s="26">
        <f>IF($A232="","",SUMPRODUCT(--ISNUMBER(SEARCH('Category Dictionary'!$D$5:$D$135&amp;"",$C232)),--('Category Dictionary'!$D$5:$D$135&lt;&gt;"")))</f>
        <v/>
      </c>
      <c r="L232" s="27">
        <f>IF($A232="","",TRIM(IF(ISERROR(FIND(",",$C232)),$C232,LEFT($C232,FIND(",",$C232)-1))))</f>
        <v/>
      </c>
      <c r="M232" s="28">
        <f>IF($H232="","",DATE(YEAR($H232),MONTH($H232),1))</f>
        <v/>
      </c>
      <c r="N232" s="26">
        <f>IF($H232="","",TODAY()-$H232)</f>
        <v/>
      </c>
      <c r="O232" s="15" t="n"/>
      <c r="P232" s="15" t="n"/>
      <c r="Q232" s="15" t="n"/>
      <c r="R232" s="25" t="n"/>
      <c r="S232" s="26">
        <f>IF($A232="","",AND(OR('Assignment Builder'!$B$5="",$B232='Assignment Builder'!$B$5),OR('Assignment Builder'!$B$6="",ISNUMBER(SEARCH('Assignment Builder'!$B$6,$C232))),OR('Assignment Builder'!$B$7="",'Assignment Builder'!$B$7=IFERROR(INDEX('Category Dictionary'!$C$5:$C$135,MATCH($L232,'Category Dictionary'!$D$5:$D$135,0)),"")),OR('Assignment Builder'!$B$8="",$D232='Assignment Builder'!$B$8),OR('Assignment Builder'!$B$9="",$F232='Assignment Builder'!$B$9),OR('Assignment Builder'!$B$10="",$O232='Assignment Builder'!$B$10),OR('Assignment Builder'!$B$11="",$H232&gt;='Assignment Builder'!$B$11),OR('Assignment Builder'!$B$12="",N($Q232)&lt;='Assignment Builder'!$B$12)))</f>
        <v/>
      </c>
      <c r="T232" s="23" t="n"/>
    </row>
    <row r="233">
      <c r="A233" s="23" t="n"/>
      <c r="B233" s="23" t="n"/>
      <c r="C233" s="24" t="n"/>
      <c r="D233" s="15" t="n"/>
      <c r="E233" s="23" t="n"/>
      <c r="F233" s="15" t="n"/>
      <c r="G233" s="23" t="n"/>
      <c r="H233" s="25" t="n"/>
      <c r="I233" s="15" t="n"/>
      <c r="J233" s="26">
        <f>IF($A233="","",LEN($C233)-LEN(SUBSTITUTE($C233,",",""))+1)</f>
        <v/>
      </c>
      <c r="K233" s="26">
        <f>IF($A233="","",SUMPRODUCT(--ISNUMBER(SEARCH('Category Dictionary'!$D$5:$D$135&amp;"",$C233)),--('Category Dictionary'!$D$5:$D$135&lt;&gt;"")))</f>
        <v/>
      </c>
      <c r="L233" s="27">
        <f>IF($A233="","",TRIM(IF(ISERROR(FIND(",",$C233)),$C233,LEFT($C233,FIND(",",$C233)-1))))</f>
        <v/>
      </c>
      <c r="M233" s="28">
        <f>IF($H233="","",DATE(YEAR($H233),MONTH($H233),1))</f>
        <v/>
      </c>
      <c r="N233" s="26">
        <f>IF($H233="","",TODAY()-$H233)</f>
        <v/>
      </c>
      <c r="O233" s="15" t="n"/>
      <c r="P233" s="15" t="n"/>
      <c r="Q233" s="15" t="n"/>
      <c r="R233" s="25" t="n"/>
      <c r="S233" s="26">
        <f>IF($A233="","",AND(OR('Assignment Builder'!$B$5="",$B233='Assignment Builder'!$B$5),OR('Assignment Builder'!$B$6="",ISNUMBER(SEARCH('Assignment Builder'!$B$6,$C233))),OR('Assignment Builder'!$B$7="",'Assignment Builder'!$B$7=IFERROR(INDEX('Category Dictionary'!$C$5:$C$135,MATCH($L233,'Category Dictionary'!$D$5:$D$135,0)),"")),OR('Assignment Builder'!$B$8="",$D233='Assignment Builder'!$B$8),OR('Assignment Builder'!$B$9="",$F233='Assignment Builder'!$B$9),OR('Assignment Builder'!$B$10="",$O233='Assignment Builder'!$B$10),OR('Assignment Builder'!$B$11="",$H233&gt;='Assignment Builder'!$B$11),OR('Assignment Builder'!$B$12="",N($Q233)&lt;='Assignment Builder'!$B$12)))</f>
        <v/>
      </c>
      <c r="T233" s="23" t="n"/>
    </row>
    <row r="234">
      <c r="A234" s="23" t="n"/>
      <c r="B234" s="23" t="n"/>
      <c r="C234" s="24" t="n"/>
      <c r="D234" s="15" t="n"/>
      <c r="E234" s="23" t="n"/>
      <c r="F234" s="15" t="n"/>
      <c r="G234" s="23" t="n"/>
      <c r="H234" s="25" t="n"/>
      <c r="I234" s="15" t="n"/>
      <c r="J234" s="26">
        <f>IF($A234="","",LEN($C234)-LEN(SUBSTITUTE($C234,",",""))+1)</f>
        <v/>
      </c>
      <c r="K234" s="26">
        <f>IF($A234="","",SUMPRODUCT(--ISNUMBER(SEARCH('Category Dictionary'!$D$5:$D$135&amp;"",$C234)),--('Category Dictionary'!$D$5:$D$135&lt;&gt;"")))</f>
        <v/>
      </c>
      <c r="L234" s="27">
        <f>IF($A234="","",TRIM(IF(ISERROR(FIND(",",$C234)),$C234,LEFT($C234,FIND(",",$C234)-1))))</f>
        <v/>
      </c>
      <c r="M234" s="28">
        <f>IF($H234="","",DATE(YEAR($H234),MONTH($H234),1))</f>
        <v/>
      </c>
      <c r="N234" s="26">
        <f>IF($H234="","",TODAY()-$H234)</f>
        <v/>
      </c>
      <c r="O234" s="15" t="n"/>
      <c r="P234" s="15" t="n"/>
      <c r="Q234" s="15" t="n"/>
      <c r="R234" s="25" t="n"/>
      <c r="S234" s="26">
        <f>IF($A234="","",AND(OR('Assignment Builder'!$B$5="",$B234='Assignment Builder'!$B$5),OR('Assignment Builder'!$B$6="",ISNUMBER(SEARCH('Assignment Builder'!$B$6,$C234))),OR('Assignment Builder'!$B$7="",'Assignment Builder'!$B$7=IFERROR(INDEX('Category Dictionary'!$C$5:$C$135,MATCH($L234,'Category Dictionary'!$D$5:$D$135,0)),"")),OR('Assignment Builder'!$B$8="",$D234='Assignment Builder'!$B$8),OR('Assignment Builder'!$B$9="",$F234='Assignment Builder'!$B$9),OR('Assignment Builder'!$B$10="",$O234='Assignment Builder'!$B$10),OR('Assignment Builder'!$B$11="",$H234&gt;='Assignment Builder'!$B$11),OR('Assignment Builder'!$B$12="",N($Q234)&lt;='Assignment Builder'!$B$12)))</f>
        <v/>
      </c>
      <c r="T234" s="23" t="n"/>
    </row>
    <row r="235">
      <c r="A235" s="23" t="n"/>
      <c r="B235" s="23" t="n"/>
      <c r="C235" s="24" t="n"/>
      <c r="D235" s="15" t="n"/>
      <c r="E235" s="23" t="n"/>
      <c r="F235" s="15" t="n"/>
      <c r="G235" s="23" t="n"/>
      <c r="H235" s="25" t="n"/>
      <c r="I235" s="15" t="n"/>
      <c r="J235" s="26">
        <f>IF($A235="","",LEN($C235)-LEN(SUBSTITUTE($C235,",",""))+1)</f>
        <v/>
      </c>
      <c r="K235" s="26">
        <f>IF($A235="","",SUMPRODUCT(--ISNUMBER(SEARCH('Category Dictionary'!$D$5:$D$135&amp;"",$C235)),--('Category Dictionary'!$D$5:$D$135&lt;&gt;"")))</f>
        <v/>
      </c>
      <c r="L235" s="27">
        <f>IF($A235="","",TRIM(IF(ISERROR(FIND(",",$C235)),$C235,LEFT($C235,FIND(",",$C235)-1))))</f>
        <v/>
      </c>
      <c r="M235" s="28">
        <f>IF($H235="","",DATE(YEAR($H235),MONTH($H235),1))</f>
        <v/>
      </c>
      <c r="N235" s="26">
        <f>IF($H235="","",TODAY()-$H235)</f>
        <v/>
      </c>
      <c r="O235" s="15" t="n"/>
      <c r="P235" s="15" t="n"/>
      <c r="Q235" s="15" t="n"/>
      <c r="R235" s="25" t="n"/>
      <c r="S235" s="26">
        <f>IF($A235="","",AND(OR('Assignment Builder'!$B$5="",$B235='Assignment Builder'!$B$5),OR('Assignment Builder'!$B$6="",ISNUMBER(SEARCH('Assignment Builder'!$B$6,$C235))),OR('Assignment Builder'!$B$7="",'Assignment Builder'!$B$7=IFERROR(INDEX('Category Dictionary'!$C$5:$C$135,MATCH($L235,'Category Dictionary'!$D$5:$D$135,0)),"")),OR('Assignment Builder'!$B$8="",$D235='Assignment Builder'!$B$8),OR('Assignment Builder'!$B$9="",$F235='Assignment Builder'!$B$9),OR('Assignment Builder'!$B$10="",$O235='Assignment Builder'!$B$10),OR('Assignment Builder'!$B$11="",$H235&gt;='Assignment Builder'!$B$11),OR('Assignment Builder'!$B$12="",N($Q235)&lt;='Assignment Builder'!$B$12)))</f>
        <v/>
      </c>
      <c r="T235" s="23" t="n"/>
    </row>
    <row r="236">
      <c r="A236" s="23" t="n"/>
      <c r="B236" s="23" t="n"/>
      <c r="C236" s="24" t="n"/>
      <c r="D236" s="15" t="n"/>
      <c r="E236" s="23" t="n"/>
      <c r="F236" s="15" t="n"/>
      <c r="G236" s="23" t="n"/>
      <c r="H236" s="25" t="n"/>
      <c r="I236" s="15" t="n"/>
      <c r="J236" s="26">
        <f>IF($A236="","",LEN($C236)-LEN(SUBSTITUTE($C236,",",""))+1)</f>
        <v/>
      </c>
      <c r="K236" s="26">
        <f>IF($A236="","",SUMPRODUCT(--ISNUMBER(SEARCH('Category Dictionary'!$D$5:$D$135&amp;"",$C236)),--('Category Dictionary'!$D$5:$D$135&lt;&gt;"")))</f>
        <v/>
      </c>
      <c r="L236" s="27">
        <f>IF($A236="","",TRIM(IF(ISERROR(FIND(",",$C236)),$C236,LEFT($C236,FIND(",",$C236)-1))))</f>
        <v/>
      </c>
      <c r="M236" s="28">
        <f>IF($H236="","",DATE(YEAR($H236),MONTH($H236),1))</f>
        <v/>
      </c>
      <c r="N236" s="26">
        <f>IF($H236="","",TODAY()-$H236)</f>
        <v/>
      </c>
      <c r="O236" s="15" t="n"/>
      <c r="P236" s="15" t="n"/>
      <c r="Q236" s="15" t="n"/>
      <c r="R236" s="25" t="n"/>
      <c r="S236" s="26">
        <f>IF($A236="","",AND(OR('Assignment Builder'!$B$5="",$B236='Assignment Builder'!$B$5),OR('Assignment Builder'!$B$6="",ISNUMBER(SEARCH('Assignment Builder'!$B$6,$C236))),OR('Assignment Builder'!$B$7="",'Assignment Builder'!$B$7=IFERROR(INDEX('Category Dictionary'!$C$5:$C$135,MATCH($L236,'Category Dictionary'!$D$5:$D$135,0)),"")),OR('Assignment Builder'!$B$8="",$D236='Assignment Builder'!$B$8),OR('Assignment Builder'!$B$9="",$F236='Assignment Builder'!$B$9),OR('Assignment Builder'!$B$10="",$O236='Assignment Builder'!$B$10),OR('Assignment Builder'!$B$11="",$H236&gt;='Assignment Builder'!$B$11),OR('Assignment Builder'!$B$12="",N($Q236)&lt;='Assignment Builder'!$B$12)))</f>
        <v/>
      </c>
      <c r="T236" s="23" t="n"/>
    </row>
    <row r="237">
      <c r="A237" s="23" t="n"/>
      <c r="B237" s="23" t="n"/>
      <c r="C237" s="24" t="n"/>
      <c r="D237" s="15" t="n"/>
      <c r="E237" s="23" t="n"/>
      <c r="F237" s="15" t="n"/>
      <c r="G237" s="23" t="n"/>
      <c r="H237" s="25" t="n"/>
      <c r="I237" s="15" t="n"/>
      <c r="J237" s="26">
        <f>IF($A237="","",LEN($C237)-LEN(SUBSTITUTE($C237,",",""))+1)</f>
        <v/>
      </c>
      <c r="K237" s="26">
        <f>IF($A237="","",SUMPRODUCT(--ISNUMBER(SEARCH('Category Dictionary'!$D$5:$D$135&amp;"",$C237)),--('Category Dictionary'!$D$5:$D$135&lt;&gt;"")))</f>
        <v/>
      </c>
      <c r="L237" s="27">
        <f>IF($A237="","",TRIM(IF(ISERROR(FIND(",",$C237)),$C237,LEFT($C237,FIND(",",$C237)-1))))</f>
        <v/>
      </c>
      <c r="M237" s="28">
        <f>IF($H237="","",DATE(YEAR($H237),MONTH($H237),1))</f>
        <v/>
      </c>
      <c r="N237" s="26">
        <f>IF($H237="","",TODAY()-$H237)</f>
        <v/>
      </c>
      <c r="O237" s="15" t="n"/>
      <c r="P237" s="15" t="n"/>
      <c r="Q237" s="15" t="n"/>
      <c r="R237" s="25" t="n"/>
      <c r="S237" s="26">
        <f>IF($A237="","",AND(OR('Assignment Builder'!$B$5="",$B237='Assignment Builder'!$B$5),OR('Assignment Builder'!$B$6="",ISNUMBER(SEARCH('Assignment Builder'!$B$6,$C237))),OR('Assignment Builder'!$B$7="",'Assignment Builder'!$B$7=IFERROR(INDEX('Category Dictionary'!$C$5:$C$135,MATCH($L237,'Category Dictionary'!$D$5:$D$135,0)),"")),OR('Assignment Builder'!$B$8="",$D237='Assignment Builder'!$B$8),OR('Assignment Builder'!$B$9="",$F237='Assignment Builder'!$B$9),OR('Assignment Builder'!$B$10="",$O237='Assignment Builder'!$B$10),OR('Assignment Builder'!$B$11="",$H237&gt;='Assignment Builder'!$B$11),OR('Assignment Builder'!$B$12="",N($Q237)&lt;='Assignment Builder'!$B$12)))</f>
        <v/>
      </c>
      <c r="T237" s="23" t="n"/>
    </row>
    <row r="238">
      <c r="A238" s="23" t="n"/>
      <c r="B238" s="23" t="n"/>
      <c r="C238" s="24" t="n"/>
      <c r="D238" s="15" t="n"/>
      <c r="E238" s="23" t="n"/>
      <c r="F238" s="15" t="n"/>
      <c r="G238" s="23" t="n"/>
      <c r="H238" s="25" t="n"/>
      <c r="I238" s="15" t="n"/>
      <c r="J238" s="26">
        <f>IF($A238="","",LEN($C238)-LEN(SUBSTITUTE($C238,",",""))+1)</f>
        <v/>
      </c>
      <c r="K238" s="26">
        <f>IF($A238="","",SUMPRODUCT(--ISNUMBER(SEARCH('Category Dictionary'!$D$5:$D$135&amp;"",$C238)),--('Category Dictionary'!$D$5:$D$135&lt;&gt;"")))</f>
        <v/>
      </c>
      <c r="L238" s="27">
        <f>IF($A238="","",TRIM(IF(ISERROR(FIND(",",$C238)),$C238,LEFT($C238,FIND(",",$C238)-1))))</f>
        <v/>
      </c>
      <c r="M238" s="28">
        <f>IF($H238="","",DATE(YEAR($H238),MONTH($H238),1))</f>
        <v/>
      </c>
      <c r="N238" s="26">
        <f>IF($H238="","",TODAY()-$H238)</f>
        <v/>
      </c>
      <c r="O238" s="15" t="n"/>
      <c r="P238" s="15" t="n"/>
      <c r="Q238" s="15" t="n"/>
      <c r="R238" s="25" t="n"/>
      <c r="S238" s="26">
        <f>IF($A238="","",AND(OR('Assignment Builder'!$B$5="",$B238='Assignment Builder'!$B$5),OR('Assignment Builder'!$B$6="",ISNUMBER(SEARCH('Assignment Builder'!$B$6,$C238))),OR('Assignment Builder'!$B$7="",'Assignment Builder'!$B$7=IFERROR(INDEX('Category Dictionary'!$C$5:$C$135,MATCH($L238,'Category Dictionary'!$D$5:$D$135,0)),"")),OR('Assignment Builder'!$B$8="",$D238='Assignment Builder'!$B$8),OR('Assignment Builder'!$B$9="",$F238='Assignment Builder'!$B$9),OR('Assignment Builder'!$B$10="",$O238='Assignment Builder'!$B$10),OR('Assignment Builder'!$B$11="",$H238&gt;='Assignment Builder'!$B$11),OR('Assignment Builder'!$B$12="",N($Q238)&lt;='Assignment Builder'!$B$12)))</f>
        <v/>
      </c>
      <c r="T238" s="23" t="n"/>
    </row>
    <row r="239">
      <c r="A239" s="23" t="n"/>
      <c r="B239" s="23" t="n"/>
      <c r="C239" s="24" t="n"/>
      <c r="D239" s="15" t="n"/>
      <c r="E239" s="23" t="n"/>
      <c r="F239" s="15" t="n"/>
      <c r="G239" s="23" t="n"/>
      <c r="H239" s="25" t="n"/>
      <c r="I239" s="15" t="n"/>
      <c r="J239" s="26">
        <f>IF($A239="","",LEN($C239)-LEN(SUBSTITUTE($C239,",",""))+1)</f>
        <v/>
      </c>
      <c r="K239" s="26">
        <f>IF($A239="","",SUMPRODUCT(--ISNUMBER(SEARCH('Category Dictionary'!$D$5:$D$135&amp;"",$C239)),--('Category Dictionary'!$D$5:$D$135&lt;&gt;"")))</f>
        <v/>
      </c>
      <c r="L239" s="27">
        <f>IF($A239="","",TRIM(IF(ISERROR(FIND(",",$C239)),$C239,LEFT($C239,FIND(",",$C239)-1))))</f>
        <v/>
      </c>
      <c r="M239" s="28">
        <f>IF($H239="","",DATE(YEAR($H239),MONTH($H239),1))</f>
        <v/>
      </c>
      <c r="N239" s="26">
        <f>IF($H239="","",TODAY()-$H239)</f>
        <v/>
      </c>
      <c r="O239" s="15" t="n"/>
      <c r="P239" s="15" t="n"/>
      <c r="Q239" s="15" t="n"/>
      <c r="R239" s="25" t="n"/>
      <c r="S239" s="26">
        <f>IF($A239="","",AND(OR('Assignment Builder'!$B$5="",$B239='Assignment Builder'!$B$5),OR('Assignment Builder'!$B$6="",ISNUMBER(SEARCH('Assignment Builder'!$B$6,$C239))),OR('Assignment Builder'!$B$7="",'Assignment Builder'!$B$7=IFERROR(INDEX('Category Dictionary'!$C$5:$C$135,MATCH($L239,'Category Dictionary'!$D$5:$D$135,0)),"")),OR('Assignment Builder'!$B$8="",$D239='Assignment Builder'!$B$8),OR('Assignment Builder'!$B$9="",$F239='Assignment Builder'!$B$9),OR('Assignment Builder'!$B$10="",$O239='Assignment Builder'!$B$10),OR('Assignment Builder'!$B$11="",$H239&gt;='Assignment Builder'!$B$11),OR('Assignment Builder'!$B$12="",N($Q239)&lt;='Assignment Builder'!$B$12)))</f>
        <v/>
      </c>
      <c r="T239" s="23" t="n"/>
    </row>
    <row r="240">
      <c r="A240" s="23" t="n"/>
      <c r="B240" s="23" t="n"/>
      <c r="C240" s="24" t="n"/>
      <c r="D240" s="15" t="n"/>
      <c r="E240" s="23" t="n"/>
      <c r="F240" s="15" t="n"/>
      <c r="G240" s="23" t="n"/>
      <c r="H240" s="25" t="n"/>
      <c r="I240" s="15" t="n"/>
      <c r="J240" s="26">
        <f>IF($A240="","",LEN($C240)-LEN(SUBSTITUTE($C240,",",""))+1)</f>
        <v/>
      </c>
      <c r="K240" s="26">
        <f>IF($A240="","",SUMPRODUCT(--ISNUMBER(SEARCH('Category Dictionary'!$D$5:$D$135&amp;"",$C240)),--('Category Dictionary'!$D$5:$D$135&lt;&gt;"")))</f>
        <v/>
      </c>
      <c r="L240" s="27">
        <f>IF($A240="","",TRIM(IF(ISERROR(FIND(",",$C240)),$C240,LEFT($C240,FIND(",",$C240)-1))))</f>
        <v/>
      </c>
      <c r="M240" s="28">
        <f>IF($H240="","",DATE(YEAR($H240),MONTH($H240),1))</f>
        <v/>
      </c>
      <c r="N240" s="26">
        <f>IF($H240="","",TODAY()-$H240)</f>
        <v/>
      </c>
      <c r="O240" s="15" t="n"/>
      <c r="P240" s="15" t="n"/>
      <c r="Q240" s="15" t="n"/>
      <c r="R240" s="25" t="n"/>
      <c r="S240" s="26">
        <f>IF($A240="","",AND(OR('Assignment Builder'!$B$5="",$B240='Assignment Builder'!$B$5),OR('Assignment Builder'!$B$6="",ISNUMBER(SEARCH('Assignment Builder'!$B$6,$C240))),OR('Assignment Builder'!$B$7="",'Assignment Builder'!$B$7=IFERROR(INDEX('Category Dictionary'!$C$5:$C$135,MATCH($L240,'Category Dictionary'!$D$5:$D$135,0)),"")),OR('Assignment Builder'!$B$8="",$D240='Assignment Builder'!$B$8),OR('Assignment Builder'!$B$9="",$F240='Assignment Builder'!$B$9),OR('Assignment Builder'!$B$10="",$O240='Assignment Builder'!$B$10),OR('Assignment Builder'!$B$11="",$H240&gt;='Assignment Builder'!$B$11),OR('Assignment Builder'!$B$12="",N($Q240)&lt;='Assignment Builder'!$B$12)))</f>
        <v/>
      </c>
      <c r="T240" s="23" t="n"/>
    </row>
    <row r="241">
      <c r="A241" s="23" t="n"/>
      <c r="B241" s="23" t="n"/>
      <c r="C241" s="24" t="n"/>
      <c r="D241" s="15" t="n"/>
      <c r="E241" s="23" t="n"/>
      <c r="F241" s="15" t="n"/>
      <c r="G241" s="23" t="n"/>
      <c r="H241" s="25" t="n"/>
      <c r="I241" s="15" t="n"/>
      <c r="J241" s="26">
        <f>IF($A241="","",LEN($C241)-LEN(SUBSTITUTE($C241,",",""))+1)</f>
        <v/>
      </c>
      <c r="K241" s="26">
        <f>IF($A241="","",SUMPRODUCT(--ISNUMBER(SEARCH('Category Dictionary'!$D$5:$D$135&amp;"",$C241)),--('Category Dictionary'!$D$5:$D$135&lt;&gt;"")))</f>
        <v/>
      </c>
      <c r="L241" s="27">
        <f>IF($A241="","",TRIM(IF(ISERROR(FIND(",",$C241)),$C241,LEFT($C241,FIND(",",$C241)-1))))</f>
        <v/>
      </c>
      <c r="M241" s="28">
        <f>IF($H241="","",DATE(YEAR($H241),MONTH($H241),1))</f>
        <v/>
      </c>
      <c r="N241" s="26">
        <f>IF($H241="","",TODAY()-$H241)</f>
        <v/>
      </c>
      <c r="O241" s="15" t="n"/>
      <c r="P241" s="15" t="n"/>
      <c r="Q241" s="15" t="n"/>
      <c r="R241" s="25" t="n"/>
      <c r="S241" s="26">
        <f>IF($A241="","",AND(OR('Assignment Builder'!$B$5="",$B241='Assignment Builder'!$B$5),OR('Assignment Builder'!$B$6="",ISNUMBER(SEARCH('Assignment Builder'!$B$6,$C241))),OR('Assignment Builder'!$B$7="",'Assignment Builder'!$B$7=IFERROR(INDEX('Category Dictionary'!$C$5:$C$135,MATCH($L241,'Category Dictionary'!$D$5:$D$135,0)),"")),OR('Assignment Builder'!$B$8="",$D241='Assignment Builder'!$B$8),OR('Assignment Builder'!$B$9="",$F241='Assignment Builder'!$B$9),OR('Assignment Builder'!$B$10="",$O241='Assignment Builder'!$B$10),OR('Assignment Builder'!$B$11="",$H241&gt;='Assignment Builder'!$B$11),OR('Assignment Builder'!$B$12="",N($Q241)&lt;='Assignment Builder'!$B$12)))</f>
        <v/>
      </c>
      <c r="T241" s="23" t="n"/>
    </row>
    <row r="242">
      <c r="A242" s="23" t="n"/>
      <c r="B242" s="23" t="n"/>
      <c r="C242" s="24" t="n"/>
      <c r="D242" s="15" t="n"/>
      <c r="E242" s="23" t="n"/>
      <c r="F242" s="15" t="n"/>
      <c r="G242" s="23" t="n"/>
      <c r="H242" s="25" t="n"/>
      <c r="I242" s="15" t="n"/>
      <c r="J242" s="26">
        <f>IF($A242="","",LEN($C242)-LEN(SUBSTITUTE($C242,",",""))+1)</f>
        <v/>
      </c>
      <c r="K242" s="26">
        <f>IF($A242="","",SUMPRODUCT(--ISNUMBER(SEARCH('Category Dictionary'!$D$5:$D$135&amp;"",$C242)),--('Category Dictionary'!$D$5:$D$135&lt;&gt;"")))</f>
        <v/>
      </c>
      <c r="L242" s="27">
        <f>IF($A242="","",TRIM(IF(ISERROR(FIND(",",$C242)),$C242,LEFT($C242,FIND(",",$C242)-1))))</f>
        <v/>
      </c>
      <c r="M242" s="28">
        <f>IF($H242="","",DATE(YEAR($H242),MONTH($H242),1))</f>
        <v/>
      </c>
      <c r="N242" s="26">
        <f>IF($H242="","",TODAY()-$H242)</f>
        <v/>
      </c>
      <c r="O242" s="15" t="n"/>
      <c r="P242" s="15" t="n"/>
      <c r="Q242" s="15" t="n"/>
      <c r="R242" s="25" t="n"/>
      <c r="S242" s="26">
        <f>IF($A242="","",AND(OR('Assignment Builder'!$B$5="",$B242='Assignment Builder'!$B$5),OR('Assignment Builder'!$B$6="",ISNUMBER(SEARCH('Assignment Builder'!$B$6,$C242))),OR('Assignment Builder'!$B$7="",'Assignment Builder'!$B$7=IFERROR(INDEX('Category Dictionary'!$C$5:$C$135,MATCH($L242,'Category Dictionary'!$D$5:$D$135,0)),"")),OR('Assignment Builder'!$B$8="",$D242='Assignment Builder'!$B$8),OR('Assignment Builder'!$B$9="",$F242='Assignment Builder'!$B$9),OR('Assignment Builder'!$B$10="",$O242='Assignment Builder'!$B$10),OR('Assignment Builder'!$B$11="",$H242&gt;='Assignment Builder'!$B$11),OR('Assignment Builder'!$B$12="",N($Q242)&lt;='Assignment Builder'!$B$12)))</f>
        <v/>
      </c>
      <c r="T242" s="23" t="n"/>
    </row>
    <row r="243">
      <c r="A243" s="23" t="n"/>
      <c r="B243" s="23" t="n"/>
      <c r="C243" s="24" t="n"/>
      <c r="D243" s="15" t="n"/>
      <c r="E243" s="23" t="n"/>
      <c r="F243" s="15" t="n"/>
      <c r="G243" s="23" t="n"/>
      <c r="H243" s="25" t="n"/>
      <c r="I243" s="15" t="n"/>
      <c r="J243" s="26">
        <f>IF($A243="","",LEN($C243)-LEN(SUBSTITUTE($C243,",",""))+1)</f>
        <v/>
      </c>
      <c r="K243" s="26">
        <f>IF($A243="","",SUMPRODUCT(--ISNUMBER(SEARCH('Category Dictionary'!$D$5:$D$135&amp;"",$C243)),--('Category Dictionary'!$D$5:$D$135&lt;&gt;"")))</f>
        <v/>
      </c>
      <c r="L243" s="27">
        <f>IF($A243="","",TRIM(IF(ISERROR(FIND(",",$C243)),$C243,LEFT($C243,FIND(",",$C243)-1))))</f>
        <v/>
      </c>
      <c r="M243" s="28">
        <f>IF($H243="","",DATE(YEAR($H243),MONTH($H243),1))</f>
        <v/>
      </c>
      <c r="N243" s="26">
        <f>IF($H243="","",TODAY()-$H243)</f>
        <v/>
      </c>
      <c r="O243" s="15" t="n"/>
      <c r="P243" s="15" t="n"/>
      <c r="Q243" s="15" t="n"/>
      <c r="R243" s="25" t="n"/>
      <c r="S243" s="26">
        <f>IF($A243="","",AND(OR('Assignment Builder'!$B$5="",$B243='Assignment Builder'!$B$5),OR('Assignment Builder'!$B$6="",ISNUMBER(SEARCH('Assignment Builder'!$B$6,$C243))),OR('Assignment Builder'!$B$7="",'Assignment Builder'!$B$7=IFERROR(INDEX('Category Dictionary'!$C$5:$C$135,MATCH($L243,'Category Dictionary'!$D$5:$D$135,0)),"")),OR('Assignment Builder'!$B$8="",$D243='Assignment Builder'!$B$8),OR('Assignment Builder'!$B$9="",$F243='Assignment Builder'!$B$9),OR('Assignment Builder'!$B$10="",$O243='Assignment Builder'!$B$10),OR('Assignment Builder'!$B$11="",$H243&gt;='Assignment Builder'!$B$11),OR('Assignment Builder'!$B$12="",N($Q243)&lt;='Assignment Builder'!$B$12)))</f>
        <v/>
      </c>
      <c r="T243" s="23" t="n"/>
    </row>
    <row r="244">
      <c r="A244" s="23" t="n"/>
      <c r="B244" s="23" t="n"/>
      <c r="C244" s="24" t="n"/>
      <c r="D244" s="15" t="n"/>
      <c r="E244" s="23" t="n"/>
      <c r="F244" s="15" t="n"/>
      <c r="G244" s="23" t="n"/>
      <c r="H244" s="25" t="n"/>
      <c r="I244" s="15" t="n"/>
      <c r="J244" s="26">
        <f>IF($A244="","",LEN($C244)-LEN(SUBSTITUTE($C244,",",""))+1)</f>
        <v/>
      </c>
      <c r="K244" s="26">
        <f>IF($A244="","",SUMPRODUCT(--ISNUMBER(SEARCH('Category Dictionary'!$D$5:$D$135&amp;"",$C244)),--('Category Dictionary'!$D$5:$D$135&lt;&gt;"")))</f>
        <v/>
      </c>
      <c r="L244" s="27">
        <f>IF($A244="","",TRIM(IF(ISERROR(FIND(",",$C244)),$C244,LEFT($C244,FIND(",",$C244)-1))))</f>
        <v/>
      </c>
      <c r="M244" s="28">
        <f>IF($H244="","",DATE(YEAR($H244),MONTH($H244),1))</f>
        <v/>
      </c>
      <c r="N244" s="26">
        <f>IF($H244="","",TODAY()-$H244)</f>
        <v/>
      </c>
      <c r="O244" s="15" t="n"/>
      <c r="P244" s="15" t="n"/>
      <c r="Q244" s="15" t="n"/>
      <c r="R244" s="25" t="n"/>
      <c r="S244" s="26">
        <f>IF($A244="","",AND(OR('Assignment Builder'!$B$5="",$B244='Assignment Builder'!$B$5),OR('Assignment Builder'!$B$6="",ISNUMBER(SEARCH('Assignment Builder'!$B$6,$C244))),OR('Assignment Builder'!$B$7="",'Assignment Builder'!$B$7=IFERROR(INDEX('Category Dictionary'!$C$5:$C$135,MATCH($L244,'Category Dictionary'!$D$5:$D$135,0)),"")),OR('Assignment Builder'!$B$8="",$D244='Assignment Builder'!$B$8),OR('Assignment Builder'!$B$9="",$F244='Assignment Builder'!$B$9),OR('Assignment Builder'!$B$10="",$O244='Assignment Builder'!$B$10),OR('Assignment Builder'!$B$11="",$H244&gt;='Assignment Builder'!$B$11),OR('Assignment Builder'!$B$12="",N($Q244)&lt;='Assignment Builder'!$B$12)))</f>
        <v/>
      </c>
      <c r="T244" s="23" t="n"/>
    </row>
    <row r="245">
      <c r="A245" s="23" t="n"/>
      <c r="B245" s="23" t="n"/>
      <c r="C245" s="24" t="n"/>
      <c r="D245" s="15" t="n"/>
      <c r="E245" s="23" t="n"/>
      <c r="F245" s="15" t="n"/>
      <c r="G245" s="23" t="n"/>
      <c r="H245" s="25" t="n"/>
      <c r="I245" s="15" t="n"/>
      <c r="J245" s="26">
        <f>IF($A245="","",LEN($C245)-LEN(SUBSTITUTE($C245,",",""))+1)</f>
        <v/>
      </c>
      <c r="K245" s="26">
        <f>IF($A245="","",SUMPRODUCT(--ISNUMBER(SEARCH('Category Dictionary'!$D$5:$D$135&amp;"",$C245)),--('Category Dictionary'!$D$5:$D$135&lt;&gt;"")))</f>
        <v/>
      </c>
      <c r="L245" s="27">
        <f>IF($A245="","",TRIM(IF(ISERROR(FIND(",",$C245)),$C245,LEFT($C245,FIND(",",$C245)-1))))</f>
        <v/>
      </c>
      <c r="M245" s="28">
        <f>IF($H245="","",DATE(YEAR($H245),MONTH($H245),1))</f>
        <v/>
      </c>
      <c r="N245" s="26">
        <f>IF($H245="","",TODAY()-$H245)</f>
        <v/>
      </c>
      <c r="O245" s="15" t="n"/>
      <c r="P245" s="15" t="n"/>
      <c r="Q245" s="15" t="n"/>
      <c r="R245" s="25" t="n"/>
      <c r="S245" s="26">
        <f>IF($A245="","",AND(OR('Assignment Builder'!$B$5="",$B245='Assignment Builder'!$B$5),OR('Assignment Builder'!$B$6="",ISNUMBER(SEARCH('Assignment Builder'!$B$6,$C245))),OR('Assignment Builder'!$B$7="",'Assignment Builder'!$B$7=IFERROR(INDEX('Category Dictionary'!$C$5:$C$135,MATCH($L245,'Category Dictionary'!$D$5:$D$135,0)),"")),OR('Assignment Builder'!$B$8="",$D245='Assignment Builder'!$B$8),OR('Assignment Builder'!$B$9="",$F245='Assignment Builder'!$B$9),OR('Assignment Builder'!$B$10="",$O245='Assignment Builder'!$B$10),OR('Assignment Builder'!$B$11="",$H245&gt;='Assignment Builder'!$B$11),OR('Assignment Builder'!$B$12="",N($Q245)&lt;='Assignment Builder'!$B$12)))</f>
        <v/>
      </c>
      <c r="T245" s="23" t="n"/>
    </row>
    <row r="246">
      <c r="A246" s="23" t="n"/>
      <c r="B246" s="23" t="n"/>
      <c r="C246" s="24" t="n"/>
      <c r="D246" s="15" t="n"/>
      <c r="E246" s="23" t="n"/>
      <c r="F246" s="15" t="n"/>
      <c r="G246" s="23" t="n"/>
      <c r="H246" s="25" t="n"/>
      <c r="I246" s="15" t="n"/>
      <c r="J246" s="26">
        <f>IF($A246="","",LEN($C246)-LEN(SUBSTITUTE($C246,",",""))+1)</f>
        <v/>
      </c>
      <c r="K246" s="26">
        <f>IF($A246="","",SUMPRODUCT(--ISNUMBER(SEARCH('Category Dictionary'!$D$5:$D$135&amp;"",$C246)),--('Category Dictionary'!$D$5:$D$135&lt;&gt;"")))</f>
        <v/>
      </c>
      <c r="L246" s="27">
        <f>IF($A246="","",TRIM(IF(ISERROR(FIND(",",$C246)),$C246,LEFT($C246,FIND(",",$C246)-1))))</f>
        <v/>
      </c>
      <c r="M246" s="28">
        <f>IF($H246="","",DATE(YEAR($H246),MONTH($H246),1))</f>
        <v/>
      </c>
      <c r="N246" s="26">
        <f>IF($H246="","",TODAY()-$H246)</f>
        <v/>
      </c>
      <c r="O246" s="15" t="n"/>
      <c r="P246" s="15" t="n"/>
      <c r="Q246" s="15" t="n"/>
      <c r="R246" s="25" t="n"/>
      <c r="S246" s="26">
        <f>IF($A246="","",AND(OR('Assignment Builder'!$B$5="",$B246='Assignment Builder'!$B$5),OR('Assignment Builder'!$B$6="",ISNUMBER(SEARCH('Assignment Builder'!$B$6,$C246))),OR('Assignment Builder'!$B$7="",'Assignment Builder'!$B$7=IFERROR(INDEX('Category Dictionary'!$C$5:$C$135,MATCH($L246,'Category Dictionary'!$D$5:$D$135,0)),"")),OR('Assignment Builder'!$B$8="",$D246='Assignment Builder'!$B$8),OR('Assignment Builder'!$B$9="",$F246='Assignment Builder'!$B$9),OR('Assignment Builder'!$B$10="",$O246='Assignment Builder'!$B$10),OR('Assignment Builder'!$B$11="",$H246&gt;='Assignment Builder'!$B$11),OR('Assignment Builder'!$B$12="",N($Q246)&lt;='Assignment Builder'!$B$12)))</f>
        <v/>
      </c>
      <c r="T246" s="23" t="n"/>
    </row>
    <row r="247">
      <c r="A247" s="23" t="n"/>
      <c r="B247" s="23" t="n"/>
      <c r="C247" s="24" t="n"/>
      <c r="D247" s="15" t="n"/>
      <c r="E247" s="23" t="n"/>
      <c r="F247" s="15" t="n"/>
      <c r="G247" s="23" t="n"/>
      <c r="H247" s="25" t="n"/>
      <c r="I247" s="15" t="n"/>
      <c r="J247" s="26">
        <f>IF($A247="","",LEN($C247)-LEN(SUBSTITUTE($C247,",",""))+1)</f>
        <v/>
      </c>
      <c r="K247" s="26">
        <f>IF($A247="","",SUMPRODUCT(--ISNUMBER(SEARCH('Category Dictionary'!$D$5:$D$135&amp;"",$C247)),--('Category Dictionary'!$D$5:$D$135&lt;&gt;"")))</f>
        <v/>
      </c>
      <c r="L247" s="27">
        <f>IF($A247="","",TRIM(IF(ISERROR(FIND(",",$C247)),$C247,LEFT($C247,FIND(",",$C247)-1))))</f>
        <v/>
      </c>
      <c r="M247" s="28">
        <f>IF($H247="","",DATE(YEAR($H247),MONTH($H247),1))</f>
        <v/>
      </c>
      <c r="N247" s="26">
        <f>IF($H247="","",TODAY()-$H247)</f>
        <v/>
      </c>
      <c r="O247" s="15" t="n"/>
      <c r="P247" s="15" t="n"/>
      <c r="Q247" s="15" t="n"/>
      <c r="R247" s="25" t="n"/>
      <c r="S247" s="26">
        <f>IF($A247="","",AND(OR('Assignment Builder'!$B$5="",$B247='Assignment Builder'!$B$5),OR('Assignment Builder'!$B$6="",ISNUMBER(SEARCH('Assignment Builder'!$B$6,$C247))),OR('Assignment Builder'!$B$7="",'Assignment Builder'!$B$7=IFERROR(INDEX('Category Dictionary'!$C$5:$C$135,MATCH($L247,'Category Dictionary'!$D$5:$D$135,0)),"")),OR('Assignment Builder'!$B$8="",$D247='Assignment Builder'!$B$8),OR('Assignment Builder'!$B$9="",$F247='Assignment Builder'!$B$9),OR('Assignment Builder'!$B$10="",$O247='Assignment Builder'!$B$10),OR('Assignment Builder'!$B$11="",$H247&gt;='Assignment Builder'!$B$11),OR('Assignment Builder'!$B$12="",N($Q247)&lt;='Assignment Builder'!$B$12)))</f>
        <v/>
      </c>
      <c r="T247" s="23" t="n"/>
    </row>
    <row r="248">
      <c r="A248" s="23" t="n"/>
      <c r="B248" s="23" t="n"/>
      <c r="C248" s="24" t="n"/>
      <c r="D248" s="15" t="n"/>
      <c r="E248" s="23" t="n"/>
      <c r="F248" s="15" t="n"/>
      <c r="G248" s="23" t="n"/>
      <c r="H248" s="25" t="n"/>
      <c r="I248" s="15" t="n"/>
      <c r="J248" s="26">
        <f>IF($A248="","",LEN($C248)-LEN(SUBSTITUTE($C248,",",""))+1)</f>
        <v/>
      </c>
      <c r="K248" s="26">
        <f>IF($A248="","",SUMPRODUCT(--ISNUMBER(SEARCH('Category Dictionary'!$D$5:$D$135&amp;"",$C248)),--('Category Dictionary'!$D$5:$D$135&lt;&gt;"")))</f>
        <v/>
      </c>
      <c r="L248" s="27">
        <f>IF($A248="","",TRIM(IF(ISERROR(FIND(",",$C248)),$C248,LEFT($C248,FIND(",",$C248)-1))))</f>
        <v/>
      </c>
      <c r="M248" s="28">
        <f>IF($H248="","",DATE(YEAR($H248),MONTH($H248),1))</f>
        <v/>
      </c>
      <c r="N248" s="26">
        <f>IF($H248="","",TODAY()-$H248)</f>
        <v/>
      </c>
      <c r="O248" s="15" t="n"/>
      <c r="P248" s="15" t="n"/>
      <c r="Q248" s="15" t="n"/>
      <c r="R248" s="25" t="n"/>
      <c r="S248" s="26">
        <f>IF($A248="","",AND(OR('Assignment Builder'!$B$5="",$B248='Assignment Builder'!$B$5),OR('Assignment Builder'!$B$6="",ISNUMBER(SEARCH('Assignment Builder'!$B$6,$C248))),OR('Assignment Builder'!$B$7="",'Assignment Builder'!$B$7=IFERROR(INDEX('Category Dictionary'!$C$5:$C$135,MATCH($L248,'Category Dictionary'!$D$5:$D$135,0)),"")),OR('Assignment Builder'!$B$8="",$D248='Assignment Builder'!$B$8),OR('Assignment Builder'!$B$9="",$F248='Assignment Builder'!$B$9),OR('Assignment Builder'!$B$10="",$O248='Assignment Builder'!$B$10),OR('Assignment Builder'!$B$11="",$H248&gt;='Assignment Builder'!$B$11),OR('Assignment Builder'!$B$12="",N($Q248)&lt;='Assignment Builder'!$B$12)))</f>
        <v/>
      </c>
      <c r="T248" s="23" t="n"/>
    </row>
    <row r="249">
      <c r="A249" s="23" t="n"/>
      <c r="B249" s="23" t="n"/>
      <c r="C249" s="24" t="n"/>
      <c r="D249" s="15" t="n"/>
      <c r="E249" s="23" t="n"/>
      <c r="F249" s="15" t="n"/>
      <c r="G249" s="23" t="n"/>
      <c r="H249" s="25" t="n"/>
      <c r="I249" s="15" t="n"/>
      <c r="J249" s="26">
        <f>IF($A249="","",LEN($C249)-LEN(SUBSTITUTE($C249,",",""))+1)</f>
        <v/>
      </c>
      <c r="K249" s="26">
        <f>IF($A249="","",SUMPRODUCT(--ISNUMBER(SEARCH('Category Dictionary'!$D$5:$D$135&amp;"",$C249)),--('Category Dictionary'!$D$5:$D$135&lt;&gt;"")))</f>
        <v/>
      </c>
      <c r="L249" s="27">
        <f>IF($A249="","",TRIM(IF(ISERROR(FIND(",",$C249)),$C249,LEFT($C249,FIND(",",$C249)-1))))</f>
        <v/>
      </c>
      <c r="M249" s="28">
        <f>IF($H249="","",DATE(YEAR($H249),MONTH($H249),1))</f>
        <v/>
      </c>
      <c r="N249" s="26">
        <f>IF($H249="","",TODAY()-$H249)</f>
        <v/>
      </c>
      <c r="O249" s="15" t="n"/>
      <c r="P249" s="15" t="n"/>
      <c r="Q249" s="15" t="n"/>
      <c r="R249" s="25" t="n"/>
      <c r="S249" s="26">
        <f>IF($A249="","",AND(OR('Assignment Builder'!$B$5="",$B249='Assignment Builder'!$B$5),OR('Assignment Builder'!$B$6="",ISNUMBER(SEARCH('Assignment Builder'!$B$6,$C249))),OR('Assignment Builder'!$B$7="",'Assignment Builder'!$B$7=IFERROR(INDEX('Category Dictionary'!$C$5:$C$135,MATCH($L249,'Category Dictionary'!$D$5:$D$135,0)),"")),OR('Assignment Builder'!$B$8="",$D249='Assignment Builder'!$B$8),OR('Assignment Builder'!$B$9="",$F249='Assignment Builder'!$B$9),OR('Assignment Builder'!$B$10="",$O249='Assignment Builder'!$B$10),OR('Assignment Builder'!$B$11="",$H249&gt;='Assignment Builder'!$B$11),OR('Assignment Builder'!$B$12="",N($Q249)&lt;='Assignment Builder'!$B$12)))</f>
        <v/>
      </c>
      <c r="T249" s="23" t="n"/>
    </row>
    <row r="250">
      <c r="A250" s="23" t="n"/>
      <c r="B250" s="23" t="n"/>
      <c r="C250" s="24" t="n"/>
      <c r="D250" s="15" t="n"/>
      <c r="E250" s="23" t="n"/>
      <c r="F250" s="15" t="n"/>
      <c r="G250" s="23" t="n"/>
      <c r="H250" s="25" t="n"/>
      <c r="I250" s="15" t="n"/>
      <c r="J250" s="26">
        <f>IF($A250="","",LEN($C250)-LEN(SUBSTITUTE($C250,",",""))+1)</f>
        <v/>
      </c>
      <c r="K250" s="26">
        <f>IF($A250="","",SUMPRODUCT(--ISNUMBER(SEARCH('Category Dictionary'!$D$5:$D$135&amp;"",$C250)),--('Category Dictionary'!$D$5:$D$135&lt;&gt;"")))</f>
        <v/>
      </c>
      <c r="L250" s="27">
        <f>IF($A250="","",TRIM(IF(ISERROR(FIND(",",$C250)),$C250,LEFT($C250,FIND(",",$C250)-1))))</f>
        <v/>
      </c>
      <c r="M250" s="28">
        <f>IF($H250="","",DATE(YEAR($H250),MONTH($H250),1))</f>
        <v/>
      </c>
      <c r="N250" s="26">
        <f>IF($H250="","",TODAY()-$H250)</f>
        <v/>
      </c>
      <c r="O250" s="15" t="n"/>
      <c r="P250" s="15" t="n"/>
      <c r="Q250" s="15" t="n"/>
      <c r="R250" s="25" t="n"/>
      <c r="S250" s="26">
        <f>IF($A250="","",AND(OR('Assignment Builder'!$B$5="",$B250='Assignment Builder'!$B$5),OR('Assignment Builder'!$B$6="",ISNUMBER(SEARCH('Assignment Builder'!$B$6,$C250))),OR('Assignment Builder'!$B$7="",'Assignment Builder'!$B$7=IFERROR(INDEX('Category Dictionary'!$C$5:$C$135,MATCH($L250,'Category Dictionary'!$D$5:$D$135,0)),"")),OR('Assignment Builder'!$B$8="",$D250='Assignment Builder'!$B$8),OR('Assignment Builder'!$B$9="",$F250='Assignment Builder'!$B$9),OR('Assignment Builder'!$B$10="",$O250='Assignment Builder'!$B$10),OR('Assignment Builder'!$B$11="",$H250&gt;='Assignment Builder'!$B$11),OR('Assignment Builder'!$B$12="",N($Q250)&lt;='Assignment Builder'!$B$12)))</f>
        <v/>
      </c>
      <c r="T250" s="23" t="n"/>
    </row>
    <row r="251">
      <c r="A251" s="23" t="n"/>
      <c r="B251" s="23" t="n"/>
      <c r="C251" s="24" t="n"/>
      <c r="D251" s="15" t="n"/>
      <c r="E251" s="23" t="n"/>
      <c r="F251" s="15" t="n"/>
      <c r="G251" s="23" t="n"/>
      <c r="H251" s="25" t="n"/>
      <c r="I251" s="15" t="n"/>
      <c r="J251" s="26">
        <f>IF($A251="","",LEN($C251)-LEN(SUBSTITUTE($C251,",",""))+1)</f>
        <v/>
      </c>
      <c r="K251" s="26">
        <f>IF($A251="","",SUMPRODUCT(--ISNUMBER(SEARCH('Category Dictionary'!$D$5:$D$135&amp;"",$C251)),--('Category Dictionary'!$D$5:$D$135&lt;&gt;"")))</f>
        <v/>
      </c>
      <c r="L251" s="27">
        <f>IF($A251="","",TRIM(IF(ISERROR(FIND(",",$C251)),$C251,LEFT($C251,FIND(",",$C251)-1))))</f>
        <v/>
      </c>
      <c r="M251" s="28">
        <f>IF($H251="","",DATE(YEAR($H251),MONTH($H251),1))</f>
        <v/>
      </c>
      <c r="N251" s="26">
        <f>IF($H251="","",TODAY()-$H251)</f>
        <v/>
      </c>
      <c r="O251" s="15" t="n"/>
      <c r="P251" s="15" t="n"/>
      <c r="Q251" s="15" t="n"/>
      <c r="R251" s="25" t="n"/>
      <c r="S251" s="26">
        <f>IF($A251="","",AND(OR('Assignment Builder'!$B$5="",$B251='Assignment Builder'!$B$5),OR('Assignment Builder'!$B$6="",ISNUMBER(SEARCH('Assignment Builder'!$B$6,$C251))),OR('Assignment Builder'!$B$7="",'Assignment Builder'!$B$7=IFERROR(INDEX('Category Dictionary'!$C$5:$C$135,MATCH($L251,'Category Dictionary'!$D$5:$D$135,0)),"")),OR('Assignment Builder'!$B$8="",$D251='Assignment Builder'!$B$8),OR('Assignment Builder'!$B$9="",$F251='Assignment Builder'!$B$9),OR('Assignment Builder'!$B$10="",$O251='Assignment Builder'!$B$10),OR('Assignment Builder'!$B$11="",$H251&gt;='Assignment Builder'!$B$11),OR('Assignment Builder'!$B$12="",N($Q251)&lt;='Assignment Builder'!$B$12)))</f>
        <v/>
      </c>
      <c r="T251" s="23" t="n"/>
    </row>
    <row r="252">
      <c r="A252" s="23" t="n"/>
      <c r="B252" s="23" t="n"/>
      <c r="C252" s="24" t="n"/>
      <c r="D252" s="15" t="n"/>
      <c r="E252" s="23" t="n"/>
      <c r="F252" s="15" t="n"/>
      <c r="G252" s="23" t="n"/>
      <c r="H252" s="25" t="n"/>
      <c r="I252" s="15" t="n"/>
      <c r="J252" s="26">
        <f>IF($A252="","",LEN($C252)-LEN(SUBSTITUTE($C252,",",""))+1)</f>
        <v/>
      </c>
      <c r="K252" s="26">
        <f>IF($A252="","",SUMPRODUCT(--ISNUMBER(SEARCH('Category Dictionary'!$D$5:$D$135&amp;"",$C252)),--('Category Dictionary'!$D$5:$D$135&lt;&gt;"")))</f>
        <v/>
      </c>
      <c r="L252" s="27">
        <f>IF($A252="","",TRIM(IF(ISERROR(FIND(",",$C252)),$C252,LEFT($C252,FIND(",",$C252)-1))))</f>
        <v/>
      </c>
      <c r="M252" s="28">
        <f>IF($H252="","",DATE(YEAR($H252),MONTH($H252),1))</f>
        <v/>
      </c>
      <c r="N252" s="26">
        <f>IF($H252="","",TODAY()-$H252)</f>
        <v/>
      </c>
      <c r="O252" s="15" t="n"/>
      <c r="P252" s="15" t="n"/>
      <c r="Q252" s="15" t="n"/>
      <c r="R252" s="25" t="n"/>
      <c r="S252" s="26">
        <f>IF($A252="","",AND(OR('Assignment Builder'!$B$5="",$B252='Assignment Builder'!$B$5),OR('Assignment Builder'!$B$6="",ISNUMBER(SEARCH('Assignment Builder'!$B$6,$C252))),OR('Assignment Builder'!$B$7="",'Assignment Builder'!$B$7=IFERROR(INDEX('Category Dictionary'!$C$5:$C$135,MATCH($L252,'Category Dictionary'!$D$5:$D$135,0)),"")),OR('Assignment Builder'!$B$8="",$D252='Assignment Builder'!$B$8),OR('Assignment Builder'!$B$9="",$F252='Assignment Builder'!$B$9),OR('Assignment Builder'!$B$10="",$O252='Assignment Builder'!$B$10),OR('Assignment Builder'!$B$11="",$H252&gt;='Assignment Builder'!$B$11),OR('Assignment Builder'!$B$12="",N($Q252)&lt;='Assignment Builder'!$B$12)))</f>
        <v/>
      </c>
      <c r="T252" s="23" t="n"/>
    </row>
    <row r="253">
      <c r="A253" s="23" t="n"/>
      <c r="B253" s="23" t="n"/>
      <c r="C253" s="24" t="n"/>
      <c r="D253" s="15" t="n"/>
      <c r="E253" s="23" t="n"/>
      <c r="F253" s="15" t="n"/>
      <c r="G253" s="23" t="n"/>
      <c r="H253" s="25" t="n"/>
      <c r="I253" s="15" t="n"/>
      <c r="J253" s="26">
        <f>IF($A253="","",LEN($C253)-LEN(SUBSTITUTE($C253,",",""))+1)</f>
        <v/>
      </c>
      <c r="K253" s="26">
        <f>IF($A253="","",SUMPRODUCT(--ISNUMBER(SEARCH('Category Dictionary'!$D$5:$D$135&amp;"",$C253)),--('Category Dictionary'!$D$5:$D$135&lt;&gt;"")))</f>
        <v/>
      </c>
      <c r="L253" s="27">
        <f>IF($A253="","",TRIM(IF(ISERROR(FIND(",",$C253)),$C253,LEFT($C253,FIND(",",$C253)-1))))</f>
        <v/>
      </c>
      <c r="M253" s="28">
        <f>IF($H253="","",DATE(YEAR($H253),MONTH($H253),1))</f>
        <v/>
      </c>
      <c r="N253" s="26">
        <f>IF($H253="","",TODAY()-$H253)</f>
        <v/>
      </c>
      <c r="O253" s="15" t="n"/>
      <c r="P253" s="15" t="n"/>
      <c r="Q253" s="15" t="n"/>
      <c r="R253" s="25" t="n"/>
      <c r="S253" s="26">
        <f>IF($A253="","",AND(OR('Assignment Builder'!$B$5="",$B253='Assignment Builder'!$B$5),OR('Assignment Builder'!$B$6="",ISNUMBER(SEARCH('Assignment Builder'!$B$6,$C253))),OR('Assignment Builder'!$B$7="",'Assignment Builder'!$B$7=IFERROR(INDEX('Category Dictionary'!$C$5:$C$135,MATCH($L253,'Category Dictionary'!$D$5:$D$135,0)),"")),OR('Assignment Builder'!$B$8="",$D253='Assignment Builder'!$B$8),OR('Assignment Builder'!$B$9="",$F253='Assignment Builder'!$B$9),OR('Assignment Builder'!$B$10="",$O253='Assignment Builder'!$B$10),OR('Assignment Builder'!$B$11="",$H253&gt;='Assignment Builder'!$B$11),OR('Assignment Builder'!$B$12="",N($Q253)&lt;='Assignment Builder'!$B$12)))</f>
        <v/>
      </c>
      <c r="T253" s="23" t="n"/>
    </row>
    <row r="254">
      <c r="A254" s="23" t="n"/>
      <c r="B254" s="23" t="n"/>
      <c r="C254" s="24" t="n"/>
      <c r="D254" s="15" t="n"/>
      <c r="E254" s="23" t="n"/>
      <c r="F254" s="15" t="n"/>
      <c r="G254" s="23" t="n"/>
      <c r="H254" s="25" t="n"/>
      <c r="I254" s="15" t="n"/>
      <c r="J254" s="26">
        <f>IF($A254="","",LEN($C254)-LEN(SUBSTITUTE($C254,",",""))+1)</f>
        <v/>
      </c>
      <c r="K254" s="26">
        <f>IF($A254="","",SUMPRODUCT(--ISNUMBER(SEARCH('Category Dictionary'!$D$5:$D$135&amp;"",$C254)),--('Category Dictionary'!$D$5:$D$135&lt;&gt;"")))</f>
        <v/>
      </c>
      <c r="L254" s="27">
        <f>IF($A254="","",TRIM(IF(ISERROR(FIND(",",$C254)),$C254,LEFT($C254,FIND(",",$C254)-1))))</f>
        <v/>
      </c>
      <c r="M254" s="28">
        <f>IF($H254="","",DATE(YEAR($H254),MONTH($H254),1))</f>
        <v/>
      </c>
      <c r="N254" s="26">
        <f>IF($H254="","",TODAY()-$H254)</f>
        <v/>
      </c>
      <c r="O254" s="15" t="n"/>
      <c r="P254" s="15" t="n"/>
      <c r="Q254" s="15" t="n"/>
      <c r="R254" s="25" t="n"/>
      <c r="S254" s="26">
        <f>IF($A254="","",AND(OR('Assignment Builder'!$B$5="",$B254='Assignment Builder'!$B$5),OR('Assignment Builder'!$B$6="",ISNUMBER(SEARCH('Assignment Builder'!$B$6,$C254))),OR('Assignment Builder'!$B$7="",'Assignment Builder'!$B$7=IFERROR(INDEX('Category Dictionary'!$C$5:$C$135,MATCH($L254,'Category Dictionary'!$D$5:$D$135,0)),"")),OR('Assignment Builder'!$B$8="",$D254='Assignment Builder'!$B$8),OR('Assignment Builder'!$B$9="",$F254='Assignment Builder'!$B$9),OR('Assignment Builder'!$B$10="",$O254='Assignment Builder'!$B$10),OR('Assignment Builder'!$B$11="",$H254&gt;='Assignment Builder'!$B$11),OR('Assignment Builder'!$B$12="",N($Q254)&lt;='Assignment Builder'!$B$12)))</f>
        <v/>
      </c>
      <c r="T254" s="23" t="n"/>
    </row>
    <row r="255">
      <c r="A255" s="23" t="n"/>
      <c r="B255" s="23" t="n"/>
      <c r="C255" s="24" t="n"/>
      <c r="D255" s="15" t="n"/>
      <c r="E255" s="23" t="n"/>
      <c r="F255" s="15" t="n"/>
      <c r="G255" s="23" t="n"/>
      <c r="H255" s="25" t="n"/>
      <c r="I255" s="15" t="n"/>
      <c r="J255" s="26">
        <f>IF($A255="","",LEN($C255)-LEN(SUBSTITUTE($C255,",",""))+1)</f>
        <v/>
      </c>
      <c r="K255" s="26">
        <f>IF($A255="","",SUMPRODUCT(--ISNUMBER(SEARCH('Category Dictionary'!$D$5:$D$135&amp;"",$C255)),--('Category Dictionary'!$D$5:$D$135&lt;&gt;"")))</f>
        <v/>
      </c>
      <c r="L255" s="27">
        <f>IF($A255="","",TRIM(IF(ISERROR(FIND(",",$C255)),$C255,LEFT($C255,FIND(",",$C255)-1))))</f>
        <v/>
      </c>
      <c r="M255" s="28">
        <f>IF($H255="","",DATE(YEAR($H255),MONTH($H255),1))</f>
        <v/>
      </c>
      <c r="N255" s="26">
        <f>IF($H255="","",TODAY()-$H255)</f>
        <v/>
      </c>
      <c r="O255" s="15" t="n"/>
      <c r="P255" s="15" t="n"/>
      <c r="Q255" s="15" t="n"/>
      <c r="R255" s="25" t="n"/>
      <c r="S255" s="26">
        <f>IF($A255="","",AND(OR('Assignment Builder'!$B$5="",$B255='Assignment Builder'!$B$5),OR('Assignment Builder'!$B$6="",ISNUMBER(SEARCH('Assignment Builder'!$B$6,$C255))),OR('Assignment Builder'!$B$7="",'Assignment Builder'!$B$7=IFERROR(INDEX('Category Dictionary'!$C$5:$C$135,MATCH($L255,'Category Dictionary'!$D$5:$D$135,0)),"")),OR('Assignment Builder'!$B$8="",$D255='Assignment Builder'!$B$8),OR('Assignment Builder'!$B$9="",$F255='Assignment Builder'!$B$9),OR('Assignment Builder'!$B$10="",$O255='Assignment Builder'!$B$10),OR('Assignment Builder'!$B$11="",$H255&gt;='Assignment Builder'!$B$11),OR('Assignment Builder'!$B$12="",N($Q255)&lt;='Assignment Builder'!$B$12)))</f>
        <v/>
      </c>
      <c r="T255" s="23" t="n"/>
    </row>
    <row r="256">
      <c r="A256" s="23" t="n"/>
      <c r="B256" s="23" t="n"/>
      <c r="C256" s="24" t="n"/>
      <c r="D256" s="15" t="n"/>
      <c r="E256" s="23" t="n"/>
      <c r="F256" s="15" t="n"/>
      <c r="G256" s="23" t="n"/>
      <c r="H256" s="25" t="n"/>
      <c r="I256" s="15" t="n"/>
      <c r="J256" s="26">
        <f>IF($A256="","",LEN($C256)-LEN(SUBSTITUTE($C256,",",""))+1)</f>
        <v/>
      </c>
      <c r="K256" s="26">
        <f>IF($A256="","",SUMPRODUCT(--ISNUMBER(SEARCH('Category Dictionary'!$D$5:$D$135&amp;"",$C256)),--('Category Dictionary'!$D$5:$D$135&lt;&gt;"")))</f>
        <v/>
      </c>
      <c r="L256" s="27">
        <f>IF($A256="","",TRIM(IF(ISERROR(FIND(",",$C256)),$C256,LEFT($C256,FIND(",",$C256)-1))))</f>
        <v/>
      </c>
      <c r="M256" s="28">
        <f>IF($H256="","",DATE(YEAR($H256),MONTH($H256),1))</f>
        <v/>
      </c>
      <c r="N256" s="26">
        <f>IF($H256="","",TODAY()-$H256)</f>
        <v/>
      </c>
      <c r="O256" s="15" t="n"/>
      <c r="P256" s="15" t="n"/>
      <c r="Q256" s="15" t="n"/>
      <c r="R256" s="25" t="n"/>
      <c r="S256" s="26">
        <f>IF($A256="","",AND(OR('Assignment Builder'!$B$5="",$B256='Assignment Builder'!$B$5),OR('Assignment Builder'!$B$6="",ISNUMBER(SEARCH('Assignment Builder'!$B$6,$C256))),OR('Assignment Builder'!$B$7="",'Assignment Builder'!$B$7=IFERROR(INDEX('Category Dictionary'!$C$5:$C$135,MATCH($L256,'Category Dictionary'!$D$5:$D$135,0)),"")),OR('Assignment Builder'!$B$8="",$D256='Assignment Builder'!$B$8),OR('Assignment Builder'!$B$9="",$F256='Assignment Builder'!$B$9),OR('Assignment Builder'!$B$10="",$O256='Assignment Builder'!$B$10),OR('Assignment Builder'!$B$11="",$H256&gt;='Assignment Builder'!$B$11),OR('Assignment Builder'!$B$12="",N($Q256)&lt;='Assignment Builder'!$B$12)))</f>
        <v/>
      </c>
      <c r="T256" s="23" t="n"/>
    </row>
    <row r="257">
      <c r="A257" s="23" t="n"/>
      <c r="B257" s="23" t="n"/>
      <c r="C257" s="24" t="n"/>
      <c r="D257" s="15" t="n"/>
      <c r="E257" s="23" t="n"/>
      <c r="F257" s="15" t="n"/>
      <c r="G257" s="23" t="n"/>
      <c r="H257" s="25" t="n"/>
      <c r="I257" s="15" t="n"/>
      <c r="J257" s="26">
        <f>IF($A257="","",LEN($C257)-LEN(SUBSTITUTE($C257,",",""))+1)</f>
        <v/>
      </c>
      <c r="K257" s="26">
        <f>IF($A257="","",SUMPRODUCT(--ISNUMBER(SEARCH('Category Dictionary'!$D$5:$D$135&amp;"",$C257)),--('Category Dictionary'!$D$5:$D$135&lt;&gt;"")))</f>
        <v/>
      </c>
      <c r="L257" s="27">
        <f>IF($A257="","",TRIM(IF(ISERROR(FIND(",",$C257)),$C257,LEFT($C257,FIND(",",$C257)-1))))</f>
        <v/>
      </c>
      <c r="M257" s="28">
        <f>IF($H257="","",DATE(YEAR($H257),MONTH($H257),1))</f>
        <v/>
      </c>
      <c r="N257" s="26">
        <f>IF($H257="","",TODAY()-$H257)</f>
        <v/>
      </c>
      <c r="O257" s="15" t="n"/>
      <c r="P257" s="15" t="n"/>
      <c r="Q257" s="15" t="n"/>
      <c r="R257" s="25" t="n"/>
      <c r="S257" s="26">
        <f>IF($A257="","",AND(OR('Assignment Builder'!$B$5="",$B257='Assignment Builder'!$B$5),OR('Assignment Builder'!$B$6="",ISNUMBER(SEARCH('Assignment Builder'!$B$6,$C257))),OR('Assignment Builder'!$B$7="",'Assignment Builder'!$B$7=IFERROR(INDEX('Category Dictionary'!$C$5:$C$135,MATCH($L257,'Category Dictionary'!$D$5:$D$135,0)),"")),OR('Assignment Builder'!$B$8="",$D257='Assignment Builder'!$B$8),OR('Assignment Builder'!$B$9="",$F257='Assignment Builder'!$B$9),OR('Assignment Builder'!$B$10="",$O257='Assignment Builder'!$B$10),OR('Assignment Builder'!$B$11="",$H257&gt;='Assignment Builder'!$B$11),OR('Assignment Builder'!$B$12="",N($Q257)&lt;='Assignment Builder'!$B$12)))</f>
        <v/>
      </c>
      <c r="T257" s="23" t="n"/>
    </row>
    <row r="258">
      <c r="A258" s="23" t="n"/>
      <c r="B258" s="23" t="n"/>
      <c r="C258" s="24" t="n"/>
      <c r="D258" s="15" t="n"/>
      <c r="E258" s="23" t="n"/>
      <c r="F258" s="15" t="n"/>
      <c r="G258" s="23" t="n"/>
      <c r="H258" s="25" t="n"/>
      <c r="I258" s="15" t="n"/>
      <c r="J258" s="26">
        <f>IF($A258="","",LEN($C258)-LEN(SUBSTITUTE($C258,",",""))+1)</f>
        <v/>
      </c>
      <c r="K258" s="26">
        <f>IF($A258="","",SUMPRODUCT(--ISNUMBER(SEARCH('Category Dictionary'!$D$5:$D$135&amp;"",$C258)),--('Category Dictionary'!$D$5:$D$135&lt;&gt;"")))</f>
        <v/>
      </c>
      <c r="L258" s="27">
        <f>IF($A258="","",TRIM(IF(ISERROR(FIND(",",$C258)),$C258,LEFT($C258,FIND(",",$C258)-1))))</f>
        <v/>
      </c>
      <c r="M258" s="28">
        <f>IF($H258="","",DATE(YEAR($H258),MONTH($H258),1))</f>
        <v/>
      </c>
      <c r="N258" s="26">
        <f>IF($H258="","",TODAY()-$H258)</f>
        <v/>
      </c>
      <c r="O258" s="15" t="n"/>
      <c r="P258" s="15" t="n"/>
      <c r="Q258" s="15" t="n"/>
      <c r="R258" s="25" t="n"/>
      <c r="S258" s="26">
        <f>IF($A258="","",AND(OR('Assignment Builder'!$B$5="",$B258='Assignment Builder'!$B$5),OR('Assignment Builder'!$B$6="",ISNUMBER(SEARCH('Assignment Builder'!$B$6,$C258))),OR('Assignment Builder'!$B$7="",'Assignment Builder'!$B$7=IFERROR(INDEX('Category Dictionary'!$C$5:$C$135,MATCH($L258,'Category Dictionary'!$D$5:$D$135,0)),"")),OR('Assignment Builder'!$B$8="",$D258='Assignment Builder'!$B$8),OR('Assignment Builder'!$B$9="",$F258='Assignment Builder'!$B$9),OR('Assignment Builder'!$B$10="",$O258='Assignment Builder'!$B$10),OR('Assignment Builder'!$B$11="",$H258&gt;='Assignment Builder'!$B$11),OR('Assignment Builder'!$B$12="",N($Q258)&lt;='Assignment Builder'!$B$12)))</f>
        <v/>
      </c>
      <c r="T258" s="23" t="n"/>
    </row>
    <row r="259">
      <c r="A259" s="23" t="n"/>
      <c r="B259" s="23" t="n"/>
      <c r="C259" s="24" t="n"/>
      <c r="D259" s="15" t="n"/>
      <c r="E259" s="23" t="n"/>
      <c r="F259" s="15" t="n"/>
      <c r="G259" s="23" t="n"/>
      <c r="H259" s="25" t="n"/>
      <c r="I259" s="15" t="n"/>
      <c r="J259" s="26">
        <f>IF($A259="","",LEN($C259)-LEN(SUBSTITUTE($C259,",",""))+1)</f>
        <v/>
      </c>
      <c r="K259" s="26">
        <f>IF($A259="","",SUMPRODUCT(--ISNUMBER(SEARCH('Category Dictionary'!$D$5:$D$135&amp;"",$C259)),--('Category Dictionary'!$D$5:$D$135&lt;&gt;"")))</f>
        <v/>
      </c>
      <c r="L259" s="27">
        <f>IF($A259="","",TRIM(IF(ISERROR(FIND(",",$C259)),$C259,LEFT($C259,FIND(",",$C259)-1))))</f>
        <v/>
      </c>
      <c r="M259" s="28">
        <f>IF($H259="","",DATE(YEAR($H259),MONTH($H259),1))</f>
        <v/>
      </c>
      <c r="N259" s="26">
        <f>IF($H259="","",TODAY()-$H259)</f>
        <v/>
      </c>
      <c r="O259" s="15" t="n"/>
      <c r="P259" s="15" t="n"/>
      <c r="Q259" s="15" t="n"/>
      <c r="R259" s="25" t="n"/>
      <c r="S259" s="26">
        <f>IF($A259="","",AND(OR('Assignment Builder'!$B$5="",$B259='Assignment Builder'!$B$5),OR('Assignment Builder'!$B$6="",ISNUMBER(SEARCH('Assignment Builder'!$B$6,$C259))),OR('Assignment Builder'!$B$7="",'Assignment Builder'!$B$7=IFERROR(INDEX('Category Dictionary'!$C$5:$C$135,MATCH($L259,'Category Dictionary'!$D$5:$D$135,0)),"")),OR('Assignment Builder'!$B$8="",$D259='Assignment Builder'!$B$8),OR('Assignment Builder'!$B$9="",$F259='Assignment Builder'!$B$9),OR('Assignment Builder'!$B$10="",$O259='Assignment Builder'!$B$10),OR('Assignment Builder'!$B$11="",$H259&gt;='Assignment Builder'!$B$11),OR('Assignment Builder'!$B$12="",N($Q259)&lt;='Assignment Builder'!$B$12)))</f>
        <v/>
      </c>
      <c r="T259" s="23" t="n"/>
    </row>
    <row r="260">
      <c r="A260" s="23" t="n"/>
      <c r="B260" s="23" t="n"/>
      <c r="C260" s="24" t="n"/>
      <c r="D260" s="15" t="n"/>
      <c r="E260" s="23" t="n"/>
      <c r="F260" s="15" t="n"/>
      <c r="G260" s="23" t="n"/>
      <c r="H260" s="25" t="n"/>
      <c r="I260" s="15" t="n"/>
      <c r="J260" s="26">
        <f>IF($A260="","",LEN($C260)-LEN(SUBSTITUTE($C260,",",""))+1)</f>
        <v/>
      </c>
      <c r="K260" s="26">
        <f>IF($A260="","",SUMPRODUCT(--ISNUMBER(SEARCH('Category Dictionary'!$D$5:$D$135&amp;"",$C260)),--('Category Dictionary'!$D$5:$D$135&lt;&gt;"")))</f>
        <v/>
      </c>
      <c r="L260" s="27">
        <f>IF($A260="","",TRIM(IF(ISERROR(FIND(",",$C260)),$C260,LEFT($C260,FIND(",",$C260)-1))))</f>
        <v/>
      </c>
      <c r="M260" s="28">
        <f>IF($H260="","",DATE(YEAR($H260),MONTH($H260),1))</f>
        <v/>
      </c>
      <c r="N260" s="26">
        <f>IF($H260="","",TODAY()-$H260)</f>
        <v/>
      </c>
      <c r="O260" s="15" t="n"/>
      <c r="P260" s="15" t="n"/>
      <c r="Q260" s="15" t="n"/>
      <c r="R260" s="25" t="n"/>
      <c r="S260" s="26">
        <f>IF($A260="","",AND(OR('Assignment Builder'!$B$5="",$B260='Assignment Builder'!$B$5),OR('Assignment Builder'!$B$6="",ISNUMBER(SEARCH('Assignment Builder'!$B$6,$C260))),OR('Assignment Builder'!$B$7="",'Assignment Builder'!$B$7=IFERROR(INDEX('Category Dictionary'!$C$5:$C$135,MATCH($L260,'Category Dictionary'!$D$5:$D$135,0)),"")),OR('Assignment Builder'!$B$8="",$D260='Assignment Builder'!$B$8),OR('Assignment Builder'!$B$9="",$F260='Assignment Builder'!$B$9),OR('Assignment Builder'!$B$10="",$O260='Assignment Builder'!$B$10),OR('Assignment Builder'!$B$11="",$H260&gt;='Assignment Builder'!$B$11),OR('Assignment Builder'!$B$12="",N($Q260)&lt;='Assignment Builder'!$B$12)))</f>
        <v/>
      </c>
      <c r="T260" s="23" t="n"/>
    </row>
    <row r="261">
      <c r="A261" s="23" t="n"/>
      <c r="B261" s="23" t="n"/>
      <c r="C261" s="24" t="n"/>
      <c r="D261" s="15" t="n"/>
      <c r="E261" s="23" t="n"/>
      <c r="F261" s="15" t="n"/>
      <c r="G261" s="23" t="n"/>
      <c r="H261" s="25" t="n"/>
      <c r="I261" s="15" t="n"/>
      <c r="J261" s="26">
        <f>IF($A261="","",LEN($C261)-LEN(SUBSTITUTE($C261,",",""))+1)</f>
        <v/>
      </c>
      <c r="K261" s="26">
        <f>IF($A261="","",SUMPRODUCT(--ISNUMBER(SEARCH('Category Dictionary'!$D$5:$D$135&amp;"",$C261)),--('Category Dictionary'!$D$5:$D$135&lt;&gt;"")))</f>
        <v/>
      </c>
      <c r="L261" s="27">
        <f>IF($A261="","",TRIM(IF(ISERROR(FIND(",",$C261)),$C261,LEFT($C261,FIND(",",$C261)-1))))</f>
        <v/>
      </c>
      <c r="M261" s="28">
        <f>IF($H261="","",DATE(YEAR($H261),MONTH($H261),1))</f>
        <v/>
      </c>
      <c r="N261" s="26">
        <f>IF($H261="","",TODAY()-$H261)</f>
        <v/>
      </c>
      <c r="O261" s="15" t="n"/>
      <c r="P261" s="15" t="n"/>
      <c r="Q261" s="15" t="n"/>
      <c r="R261" s="25" t="n"/>
      <c r="S261" s="26">
        <f>IF($A261="","",AND(OR('Assignment Builder'!$B$5="",$B261='Assignment Builder'!$B$5),OR('Assignment Builder'!$B$6="",ISNUMBER(SEARCH('Assignment Builder'!$B$6,$C261))),OR('Assignment Builder'!$B$7="",'Assignment Builder'!$B$7=IFERROR(INDEX('Category Dictionary'!$C$5:$C$135,MATCH($L261,'Category Dictionary'!$D$5:$D$135,0)),"")),OR('Assignment Builder'!$B$8="",$D261='Assignment Builder'!$B$8),OR('Assignment Builder'!$B$9="",$F261='Assignment Builder'!$B$9),OR('Assignment Builder'!$B$10="",$O261='Assignment Builder'!$B$10),OR('Assignment Builder'!$B$11="",$H261&gt;='Assignment Builder'!$B$11),OR('Assignment Builder'!$B$12="",N($Q261)&lt;='Assignment Builder'!$B$12)))</f>
        <v/>
      </c>
      <c r="T261" s="23" t="n"/>
    </row>
    <row r="262">
      <c r="A262" s="23" t="n"/>
      <c r="B262" s="23" t="n"/>
      <c r="C262" s="24" t="n"/>
      <c r="D262" s="15" t="n"/>
      <c r="E262" s="23" t="n"/>
      <c r="F262" s="15" t="n"/>
      <c r="G262" s="23" t="n"/>
      <c r="H262" s="25" t="n"/>
      <c r="I262" s="15" t="n"/>
      <c r="J262" s="26">
        <f>IF($A262="","",LEN($C262)-LEN(SUBSTITUTE($C262,",",""))+1)</f>
        <v/>
      </c>
      <c r="K262" s="26">
        <f>IF($A262="","",SUMPRODUCT(--ISNUMBER(SEARCH('Category Dictionary'!$D$5:$D$135&amp;"",$C262)),--('Category Dictionary'!$D$5:$D$135&lt;&gt;"")))</f>
        <v/>
      </c>
      <c r="L262" s="27">
        <f>IF($A262="","",TRIM(IF(ISERROR(FIND(",",$C262)),$C262,LEFT($C262,FIND(",",$C262)-1))))</f>
        <v/>
      </c>
      <c r="M262" s="28">
        <f>IF($H262="","",DATE(YEAR($H262),MONTH($H262),1))</f>
        <v/>
      </c>
      <c r="N262" s="26">
        <f>IF($H262="","",TODAY()-$H262)</f>
        <v/>
      </c>
      <c r="O262" s="15" t="n"/>
      <c r="P262" s="15" t="n"/>
      <c r="Q262" s="15" t="n"/>
      <c r="R262" s="25" t="n"/>
      <c r="S262" s="26">
        <f>IF($A262="","",AND(OR('Assignment Builder'!$B$5="",$B262='Assignment Builder'!$B$5),OR('Assignment Builder'!$B$6="",ISNUMBER(SEARCH('Assignment Builder'!$B$6,$C262))),OR('Assignment Builder'!$B$7="",'Assignment Builder'!$B$7=IFERROR(INDEX('Category Dictionary'!$C$5:$C$135,MATCH($L262,'Category Dictionary'!$D$5:$D$135,0)),"")),OR('Assignment Builder'!$B$8="",$D262='Assignment Builder'!$B$8),OR('Assignment Builder'!$B$9="",$F262='Assignment Builder'!$B$9),OR('Assignment Builder'!$B$10="",$O262='Assignment Builder'!$B$10),OR('Assignment Builder'!$B$11="",$H262&gt;='Assignment Builder'!$B$11),OR('Assignment Builder'!$B$12="",N($Q262)&lt;='Assignment Builder'!$B$12)))</f>
        <v/>
      </c>
      <c r="T262" s="23" t="n"/>
    </row>
    <row r="263">
      <c r="A263" s="23" t="n"/>
      <c r="B263" s="23" t="n"/>
      <c r="C263" s="24" t="n"/>
      <c r="D263" s="15" t="n"/>
      <c r="E263" s="23" t="n"/>
      <c r="F263" s="15" t="n"/>
      <c r="G263" s="23" t="n"/>
      <c r="H263" s="25" t="n"/>
      <c r="I263" s="15" t="n"/>
      <c r="J263" s="26">
        <f>IF($A263="","",LEN($C263)-LEN(SUBSTITUTE($C263,",",""))+1)</f>
        <v/>
      </c>
      <c r="K263" s="26">
        <f>IF($A263="","",SUMPRODUCT(--ISNUMBER(SEARCH('Category Dictionary'!$D$5:$D$135&amp;"",$C263)),--('Category Dictionary'!$D$5:$D$135&lt;&gt;"")))</f>
        <v/>
      </c>
      <c r="L263" s="27">
        <f>IF($A263="","",TRIM(IF(ISERROR(FIND(",",$C263)),$C263,LEFT($C263,FIND(",",$C263)-1))))</f>
        <v/>
      </c>
      <c r="M263" s="28">
        <f>IF($H263="","",DATE(YEAR($H263),MONTH($H263),1))</f>
        <v/>
      </c>
      <c r="N263" s="26">
        <f>IF($H263="","",TODAY()-$H263)</f>
        <v/>
      </c>
      <c r="O263" s="15" t="n"/>
      <c r="P263" s="15" t="n"/>
      <c r="Q263" s="15" t="n"/>
      <c r="R263" s="25" t="n"/>
      <c r="S263" s="26">
        <f>IF($A263="","",AND(OR('Assignment Builder'!$B$5="",$B263='Assignment Builder'!$B$5),OR('Assignment Builder'!$B$6="",ISNUMBER(SEARCH('Assignment Builder'!$B$6,$C263))),OR('Assignment Builder'!$B$7="",'Assignment Builder'!$B$7=IFERROR(INDEX('Category Dictionary'!$C$5:$C$135,MATCH($L263,'Category Dictionary'!$D$5:$D$135,0)),"")),OR('Assignment Builder'!$B$8="",$D263='Assignment Builder'!$B$8),OR('Assignment Builder'!$B$9="",$F263='Assignment Builder'!$B$9),OR('Assignment Builder'!$B$10="",$O263='Assignment Builder'!$B$10),OR('Assignment Builder'!$B$11="",$H263&gt;='Assignment Builder'!$B$11),OR('Assignment Builder'!$B$12="",N($Q263)&lt;='Assignment Builder'!$B$12)))</f>
        <v/>
      </c>
      <c r="T263" s="23" t="n"/>
    </row>
    <row r="264">
      <c r="A264" s="23" t="n"/>
      <c r="B264" s="23" t="n"/>
      <c r="C264" s="24" t="n"/>
      <c r="D264" s="15" t="n"/>
      <c r="E264" s="23" t="n"/>
      <c r="F264" s="15" t="n"/>
      <c r="G264" s="23" t="n"/>
      <c r="H264" s="25" t="n"/>
      <c r="I264" s="15" t="n"/>
      <c r="J264" s="26">
        <f>IF($A264="","",LEN($C264)-LEN(SUBSTITUTE($C264,",",""))+1)</f>
        <v/>
      </c>
      <c r="K264" s="26">
        <f>IF($A264="","",SUMPRODUCT(--ISNUMBER(SEARCH('Category Dictionary'!$D$5:$D$135&amp;"",$C264)),--('Category Dictionary'!$D$5:$D$135&lt;&gt;"")))</f>
        <v/>
      </c>
      <c r="L264" s="27">
        <f>IF($A264="","",TRIM(IF(ISERROR(FIND(",",$C264)),$C264,LEFT($C264,FIND(",",$C264)-1))))</f>
        <v/>
      </c>
      <c r="M264" s="28">
        <f>IF($H264="","",DATE(YEAR($H264),MONTH($H264),1))</f>
        <v/>
      </c>
      <c r="N264" s="26">
        <f>IF($H264="","",TODAY()-$H264)</f>
        <v/>
      </c>
      <c r="O264" s="15" t="n"/>
      <c r="P264" s="15" t="n"/>
      <c r="Q264" s="15" t="n"/>
      <c r="R264" s="25" t="n"/>
      <c r="S264" s="26">
        <f>IF($A264="","",AND(OR('Assignment Builder'!$B$5="",$B264='Assignment Builder'!$B$5),OR('Assignment Builder'!$B$6="",ISNUMBER(SEARCH('Assignment Builder'!$B$6,$C264))),OR('Assignment Builder'!$B$7="",'Assignment Builder'!$B$7=IFERROR(INDEX('Category Dictionary'!$C$5:$C$135,MATCH($L264,'Category Dictionary'!$D$5:$D$135,0)),"")),OR('Assignment Builder'!$B$8="",$D264='Assignment Builder'!$B$8),OR('Assignment Builder'!$B$9="",$F264='Assignment Builder'!$B$9),OR('Assignment Builder'!$B$10="",$O264='Assignment Builder'!$B$10),OR('Assignment Builder'!$B$11="",$H264&gt;='Assignment Builder'!$B$11),OR('Assignment Builder'!$B$12="",N($Q264)&lt;='Assignment Builder'!$B$12)))</f>
        <v/>
      </c>
      <c r="T264" s="23" t="n"/>
    </row>
    <row r="265">
      <c r="A265" s="23" t="n"/>
      <c r="B265" s="23" t="n"/>
      <c r="C265" s="24" t="n"/>
      <c r="D265" s="15" t="n"/>
      <c r="E265" s="23" t="n"/>
      <c r="F265" s="15" t="n"/>
      <c r="G265" s="23" t="n"/>
      <c r="H265" s="25" t="n"/>
      <c r="I265" s="15" t="n"/>
      <c r="J265" s="26">
        <f>IF($A265="","",LEN($C265)-LEN(SUBSTITUTE($C265,",",""))+1)</f>
        <v/>
      </c>
      <c r="K265" s="26">
        <f>IF($A265="","",SUMPRODUCT(--ISNUMBER(SEARCH('Category Dictionary'!$D$5:$D$135&amp;"",$C265)),--('Category Dictionary'!$D$5:$D$135&lt;&gt;"")))</f>
        <v/>
      </c>
      <c r="L265" s="27">
        <f>IF($A265="","",TRIM(IF(ISERROR(FIND(",",$C265)),$C265,LEFT($C265,FIND(",",$C265)-1))))</f>
        <v/>
      </c>
      <c r="M265" s="28">
        <f>IF($H265="","",DATE(YEAR($H265),MONTH($H265),1))</f>
        <v/>
      </c>
      <c r="N265" s="26">
        <f>IF($H265="","",TODAY()-$H265)</f>
        <v/>
      </c>
      <c r="O265" s="15" t="n"/>
      <c r="P265" s="15" t="n"/>
      <c r="Q265" s="15" t="n"/>
      <c r="R265" s="25" t="n"/>
      <c r="S265" s="26">
        <f>IF($A265="","",AND(OR('Assignment Builder'!$B$5="",$B265='Assignment Builder'!$B$5),OR('Assignment Builder'!$B$6="",ISNUMBER(SEARCH('Assignment Builder'!$B$6,$C265))),OR('Assignment Builder'!$B$7="",'Assignment Builder'!$B$7=IFERROR(INDEX('Category Dictionary'!$C$5:$C$135,MATCH($L265,'Category Dictionary'!$D$5:$D$135,0)),"")),OR('Assignment Builder'!$B$8="",$D265='Assignment Builder'!$B$8),OR('Assignment Builder'!$B$9="",$F265='Assignment Builder'!$B$9),OR('Assignment Builder'!$B$10="",$O265='Assignment Builder'!$B$10),OR('Assignment Builder'!$B$11="",$H265&gt;='Assignment Builder'!$B$11),OR('Assignment Builder'!$B$12="",N($Q265)&lt;='Assignment Builder'!$B$12)))</f>
        <v/>
      </c>
      <c r="T265" s="23" t="n"/>
    </row>
    <row r="266">
      <c r="A266" s="23" t="n"/>
      <c r="B266" s="23" t="n"/>
      <c r="C266" s="24" t="n"/>
      <c r="D266" s="15" t="n"/>
      <c r="E266" s="23" t="n"/>
      <c r="F266" s="15" t="n"/>
      <c r="G266" s="23" t="n"/>
      <c r="H266" s="25" t="n"/>
      <c r="I266" s="15" t="n"/>
      <c r="J266" s="26">
        <f>IF($A266="","",LEN($C266)-LEN(SUBSTITUTE($C266,",",""))+1)</f>
        <v/>
      </c>
      <c r="K266" s="26">
        <f>IF($A266="","",SUMPRODUCT(--ISNUMBER(SEARCH('Category Dictionary'!$D$5:$D$135&amp;"",$C266)),--('Category Dictionary'!$D$5:$D$135&lt;&gt;"")))</f>
        <v/>
      </c>
      <c r="L266" s="27">
        <f>IF($A266="","",TRIM(IF(ISERROR(FIND(",",$C266)),$C266,LEFT($C266,FIND(",",$C266)-1))))</f>
        <v/>
      </c>
      <c r="M266" s="28">
        <f>IF($H266="","",DATE(YEAR($H266),MONTH($H266),1))</f>
        <v/>
      </c>
      <c r="N266" s="26">
        <f>IF($H266="","",TODAY()-$H266)</f>
        <v/>
      </c>
      <c r="O266" s="15" t="n"/>
      <c r="P266" s="15" t="n"/>
      <c r="Q266" s="15" t="n"/>
      <c r="R266" s="25" t="n"/>
      <c r="S266" s="26">
        <f>IF($A266="","",AND(OR('Assignment Builder'!$B$5="",$B266='Assignment Builder'!$B$5),OR('Assignment Builder'!$B$6="",ISNUMBER(SEARCH('Assignment Builder'!$B$6,$C266))),OR('Assignment Builder'!$B$7="",'Assignment Builder'!$B$7=IFERROR(INDEX('Category Dictionary'!$C$5:$C$135,MATCH($L266,'Category Dictionary'!$D$5:$D$135,0)),"")),OR('Assignment Builder'!$B$8="",$D266='Assignment Builder'!$B$8),OR('Assignment Builder'!$B$9="",$F266='Assignment Builder'!$B$9),OR('Assignment Builder'!$B$10="",$O266='Assignment Builder'!$B$10),OR('Assignment Builder'!$B$11="",$H266&gt;='Assignment Builder'!$B$11),OR('Assignment Builder'!$B$12="",N($Q266)&lt;='Assignment Builder'!$B$12)))</f>
        <v/>
      </c>
      <c r="T266" s="23" t="n"/>
    </row>
    <row r="267">
      <c r="A267" s="23" t="n"/>
      <c r="B267" s="23" t="n"/>
      <c r="C267" s="24" t="n"/>
      <c r="D267" s="15" t="n"/>
      <c r="E267" s="23" t="n"/>
      <c r="F267" s="15" t="n"/>
      <c r="G267" s="23" t="n"/>
      <c r="H267" s="25" t="n"/>
      <c r="I267" s="15" t="n"/>
      <c r="J267" s="26">
        <f>IF($A267="","",LEN($C267)-LEN(SUBSTITUTE($C267,",",""))+1)</f>
        <v/>
      </c>
      <c r="K267" s="26">
        <f>IF($A267="","",SUMPRODUCT(--ISNUMBER(SEARCH('Category Dictionary'!$D$5:$D$135&amp;"",$C267)),--('Category Dictionary'!$D$5:$D$135&lt;&gt;"")))</f>
        <v/>
      </c>
      <c r="L267" s="27">
        <f>IF($A267="","",TRIM(IF(ISERROR(FIND(",",$C267)),$C267,LEFT($C267,FIND(",",$C267)-1))))</f>
        <v/>
      </c>
      <c r="M267" s="28">
        <f>IF($H267="","",DATE(YEAR($H267),MONTH($H267),1))</f>
        <v/>
      </c>
      <c r="N267" s="26">
        <f>IF($H267="","",TODAY()-$H267)</f>
        <v/>
      </c>
      <c r="O267" s="15" t="n"/>
      <c r="P267" s="15" t="n"/>
      <c r="Q267" s="15" t="n"/>
      <c r="R267" s="25" t="n"/>
      <c r="S267" s="26">
        <f>IF($A267="","",AND(OR('Assignment Builder'!$B$5="",$B267='Assignment Builder'!$B$5),OR('Assignment Builder'!$B$6="",ISNUMBER(SEARCH('Assignment Builder'!$B$6,$C267))),OR('Assignment Builder'!$B$7="",'Assignment Builder'!$B$7=IFERROR(INDEX('Category Dictionary'!$C$5:$C$135,MATCH($L267,'Category Dictionary'!$D$5:$D$135,0)),"")),OR('Assignment Builder'!$B$8="",$D267='Assignment Builder'!$B$8),OR('Assignment Builder'!$B$9="",$F267='Assignment Builder'!$B$9),OR('Assignment Builder'!$B$10="",$O267='Assignment Builder'!$B$10),OR('Assignment Builder'!$B$11="",$H267&gt;='Assignment Builder'!$B$11),OR('Assignment Builder'!$B$12="",N($Q267)&lt;='Assignment Builder'!$B$12)))</f>
        <v/>
      </c>
      <c r="T267" s="23" t="n"/>
    </row>
    <row r="268">
      <c r="A268" s="23" t="n"/>
      <c r="B268" s="23" t="n"/>
      <c r="C268" s="24" t="n"/>
      <c r="D268" s="15" t="n"/>
      <c r="E268" s="23" t="n"/>
      <c r="F268" s="15" t="n"/>
      <c r="G268" s="23" t="n"/>
      <c r="H268" s="25" t="n"/>
      <c r="I268" s="15" t="n"/>
      <c r="J268" s="26">
        <f>IF($A268="","",LEN($C268)-LEN(SUBSTITUTE($C268,",",""))+1)</f>
        <v/>
      </c>
      <c r="K268" s="26">
        <f>IF($A268="","",SUMPRODUCT(--ISNUMBER(SEARCH('Category Dictionary'!$D$5:$D$135&amp;"",$C268)),--('Category Dictionary'!$D$5:$D$135&lt;&gt;"")))</f>
        <v/>
      </c>
      <c r="L268" s="27">
        <f>IF($A268="","",TRIM(IF(ISERROR(FIND(",",$C268)),$C268,LEFT($C268,FIND(",",$C268)-1))))</f>
        <v/>
      </c>
      <c r="M268" s="28">
        <f>IF($H268="","",DATE(YEAR($H268),MONTH($H268),1))</f>
        <v/>
      </c>
      <c r="N268" s="26">
        <f>IF($H268="","",TODAY()-$H268)</f>
        <v/>
      </c>
      <c r="O268" s="15" t="n"/>
      <c r="P268" s="15" t="n"/>
      <c r="Q268" s="15" t="n"/>
      <c r="R268" s="25" t="n"/>
      <c r="S268" s="26">
        <f>IF($A268="","",AND(OR('Assignment Builder'!$B$5="",$B268='Assignment Builder'!$B$5),OR('Assignment Builder'!$B$6="",ISNUMBER(SEARCH('Assignment Builder'!$B$6,$C268))),OR('Assignment Builder'!$B$7="",'Assignment Builder'!$B$7=IFERROR(INDEX('Category Dictionary'!$C$5:$C$135,MATCH($L268,'Category Dictionary'!$D$5:$D$135,0)),"")),OR('Assignment Builder'!$B$8="",$D268='Assignment Builder'!$B$8),OR('Assignment Builder'!$B$9="",$F268='Assignment Builder'!$B$9),OR('Assignment Builder'!$B$10="",$O268='Assignment Builder'!$B$10),OR('Assignment Builder'!$B$11="",$H268&gt;='Assignment Builder'!$B$11),OR('Assignment Builder'!$B$12="",N($Q268)&lt;='Assignment Builder'!$B$12)))</f>
        <v/>
      </c>
      <c r="T268" s="23" t="n"/>
    </row>
    <row r="269">
      <c r="A269" s="23" t="n"/>
      <c r="B269" s="23" t="n"/>
      <c r="C269" s="24" t="n"/>
      <c r="D269" s="15" t="n"/>
      <c r="E269" s="23" t="n"/>
      <c r="F269" s="15" t="n"/>
      <c r="G269" s="23" t="n"/>
      <c r="H269" s="25" t="n"/>
      <c r="I269" s="15" t="n"/>
      <c r="J269" s="26">
        <f>IF($A269="","",LEN($C269)-LEN(SUBSTITUTE($C269,",",""))+1)</f>
        <v/>
      </c>
      <c r="K269" s="26">
        <f>IF($A269="","",SUMPRODUCT(--ISNUMBER(SEARCH('Category Dictionary'!$D$5:$D$135&amp;"",$C269)),--('Category Dictionary'!$D$5:$D$135&lt;&gt;"")))</f>
        <v/>
      </c>
      <c r="L269" s="27">
        <f>IF($A269="","",TRIM(IF(ISERROR(FIND(",",$C269)),$C269,LEFT($C269,FIND(",",$C269)-1))))</f>
        <v/>
      </c>
      <c r="M269" s="28">
        <f>IF($H269="","",DATE(YEAR($H269),MONTH($H269),1))</f>
        <v/>
      </c>
      <c r="N269" s="26">
        <f>IF($H269="","",TODAY()-$H269)</f>
        <v/>
      </c>
      <c r="O269" s="15" t="n"/>
      <c r="P269" s="15" t="n"/>
      <c r="Q269" s="15" t="n"/>
      <c r="R269" s="25" t="n"/>
      <c r="S269" s="26">
        <f>IF($A269="","",AND(OR('Assignment Builder'!$B$5="",$B269='Assignment Builder'!$B$5),OR('Assignment Builder'!$B$6="",ISNUMBER(SEARCH('Assignment Builder'!$B$6,$C269))),OR('Assignment Builder'!$B$7="",'Assignment Builder'!$B$7=IFERROR(INDEX('Category Dictionary'!$C$5:$C$135,MATCH($L269,'Category Dictionary'!$D$5:$D$135,0)),"")),OR('Assignment Builder'!$B$8="",$D269='Assignment Builder'!$B$8),OR('Assignment Builder'!$B$9="",$F269='Assignment Builder'!$B$9),OR('Assignment Builder'!$B$10="",$O269='Assignment Builder'!$B$10),OR('Assignment Builder'!$B$11="",$H269&gt;='Assignment Builder'!$B$11),OR('Assignment Builder'!$B$12="",N($Q269)&lt;='Assignment Builder'!$B$12)))</f>
        <v/>
      </c>
      <c r="T269" s="23" t="n"/>
    </row>
    <row r="270">
      <c r="A270" s="23" t="n"/>
      <c r="B270" s="23" t="n"/>
      <c r="C270" s="24" t="n"/>
      <c r="D270" s="15" t="n"/>
      <c r="E270" s="23" t="n"/>
      <c r="F270" s="15" t="n"/>
      <c r="G270" s="23" t="n"/>
      <c r="H270" s="25" t="n"/>
      <c r="I270" s="15" t="n"/>
      <c r="J270" s="26">
        <f>IF($A270="","",LEN($C270)-LEN(SUBSTITUTE($C270,",",""))+1)</f>
        <v/>
      </c>
      <c r="K270" s="26">
        <f>IF($A270="","",SUMPRODUCT(--ISNUMBER(SEARCH('Category Dictionary'!$D$5:$D$135&amp;"",$C270)),--('Category Dictionary'!$D$5:$D$135&lt;&gt;"")))</f>
        <v/>
      </c>
      <c r="L270" s="27">
        <f>IF($A270="","",TRIM(IF(ISERROR(FIND(",",$C270)),$C270,LEFT($C270,FIND(",",$C270)-1))))</f>
        <v/>
      </c>
      <c r="M270" s="28">
        <f>IF($H270="","",DATE(YEAR($H270),MONTH($H270),1))</f>
        <v/>
      </c>
      <c r="N270" s="26">
        <f>IF($H270="","",TODAY()-$H270)</f>
        <v/>
      </c>
      <c r="O270" s="15" t="n"/>
      <c r="P270" s="15" t="n"/>
      <c r="Q270" s="15" t="n"/>
      <c r="R270" s="25" t="n"/>
      <c r="S270" s="26">
        <f>IF($A270="","",AND(OR('Assignment Builder'!$B$5="",$B270='Assignment Builder'!$B$5),OR('Assignment Builder'!$B$6="",ISNUMBER(SEARCH('Assignment Builder'!$B$6,$C270))),OR('Assignment Builder'!$B$7="",'Assignment Builder'!$B$7=IFERROR(INDEX('Category Dictionary'!$C$5:$C$135,MATCH($L270,'Category Dictionary'!$D$5:$D$135,0)),"")),OR('Assignment Builder'!$B$8="",$D270='Assignment Builder'!$B$8),OR('Assignment Builder'!$B$9="",$F270='Assignment Builder'!$B$9),OR('Assignment Builder'!$B$10="",$O270='Assignment Builder'!$B$10),OR('Assignment Builder'!$B$11="",$H270&gt;='Assignment Builder'!$B$11),OR('Assignment Builder'!$B$12="",N($Q270)&lt;='Assignment Builder'!$B$12)))</f>
        <v/>
      </c>
      <c r="T270" s="23" t="n"/>
    </row>
    <row r="271">
      <c r="A271" s="23" t="n"/>
      <c r="B271" s="23" t="n"/>
      <c r="C271" s="24" t="n"/>
      <c r="D271" s="15" t="n"/>
      <c r="E271" s="23" t="n"/>
      <c r="F271" s="15" t="n"/>
      <c r="G271" s="23" t="n"/>
      <c r="H271" s="25" t="n"/>
      <c r="I271" s="15" t="n"/>
      <c r="J271" s="26">
        <f>IF($A271="","",LEN($C271)-LEN(SUBSTITUTE($C271,",",""))+1)</f>
        <v/>
      </c>
      <c r="K271" s="26">
        <f>IF($A271="","",SUMPRODUCT(--ISNUMBER(SEARCH('Category Dictionary'!$D$5:$D$135&amp;"",$C271)),--('Category Dictionary'!$D$5:$D$135&lt;&gt;"")))</f>
        <v/>
      </c>
      <c r="L271" s="27">
        <f>IF($A271="","",TRIM(IF(ISERROR(FIND(",",$C271)),$C271,LEFT($C271,FIND(",",$C271)-1))))</f>
        <v/>
      </c>
      <c r="M271" s="28">
        <f>IF($H271="","",DATE(YEAR($H271),MONTH($H271),1))</f>
        <v/>
      </c>
      <c r="N271" s="26">
        <f>IF($H271="","",TODAY()-$H271)</f>
        <v/>
      </c>
      <c r="O271" s="15" t="n"/>
      <c r="P271" s="15" t="n"/>
      <c r="Q271" s="15" t="n"/>
      <c r="R271" s="25" t="n"/>
      <c r="S271" s="26">
        <f>IF($A271="","",AND(OR('Assignment Builder'!$B$5="",$B271='Assignment Builder'!$B$5),OR('Assignment Builder'!$B$6="",ISNUMBER(SEARCH('Assignment Builder'!$B$6,$C271))),OR('Assignment Builder'!$B$7="",'Assignment Builder'!$B$7=IFERROR(INDEX('Category Dictionary'!$C$5:$C$135,MATCH($L271,'Category Dictionary'!$D$5:$D$135,0)),"")),OR('Assignment Builder'!$B$8="",$D271='Assignment Builder'!$B$8),OR('Assignment Builder'!$B$9="",$F271='Assignment Builder'!$B$9),OR('Assignment Builder'!$B$10="",$O271='Assignment Builder'!$B$10),OR('Assignment Builder'!$B$11="",$H271&gt;='Assignment Builder'!$B$11),OR('Assignment Builder'!$B$12="",N($Q271)&lt;='Assignment Builder'!$B$12)))</f>
        <v/>
      </c>
      <c r="T271" s="23" t="n"/>
    </row>
    <row r="272">
      <c r="A272" s="23" t="n"/>
      <c r="B272" s="23" t="n"/>
      <c r="C272" s="24" t="n"/>
      <c r="D272" s="15" t="n"/>
      <c r="E272" s="23" t="n"/>
      <c r="F272" s="15" t="n"/>
      <c r="G272" s="23" t="n"/>
      <c r="H272" s="25" t="n"/>
      <c r="I272" s="15" t="n"/>
      <c r="J272" s="26">
        <f>IF($A272="","",LEN($C272)-LEN(SUBSTITUTE($C272,",",""))+1)</f>
        <v/>
      </c>
      <c r="K272" s="26">
        <f>IF($A272="","",SUMPRODUCT(--ISNUMBER(SEARCH('Category Dictionary'!$D$5:$D$135&amp;"",$C272)),--('Category Dictionary'!$D$5:$D$135&lt;&gt;"")))</f>
        <v/>
      </c>
      <c r="L272" s="27">
        <f>IF($A272="","",TRIM(IF(ISERROR(FIND(",",$C272)),$C272,LEFT($C272,FIND(",",$C272)-1))))</f>
        <v/>
      </c>
      <c r="M272" s="28">
        <f>IF($H272="","",DATE(YEAR($H272),MONTH($H272),1))</f>
        <v/>
      </c>
      <c r="N272" s="26">
        <f>IF($H272="","",TODAY()-$H272)</f>
        <v/>
      </c>
      <c r="O272" s="15" t="n"/>
      <c r="P272" s="15" t="n"/>
      <c r="Q272" s="15" t="n"/>
      <c r="R272" s="25" t="n"/>
      <c r="S272" s="26">
        <f>IF($A272="","",AND(OR('Assignment Builder'!$B$5="",$B272='Assignment Builder'!$B$5),OR('Assignment Builder'!$B$6="",ISNUMBER(SEARCH('Assignment Builder'!$B$6,$C272))),OR('Assignment Builder'!$B$7="",'Assignment Builder'!$B$7=IFERROR(INDEX('Category Dictionary'!$C$5:$C$135,MATCH($L272,'Category Dictionary'!$D$5:$D$135,0)),"")),OR('Assignment Builder'!$B$8="",$D272='Assignment Builder'!$B$8),OR('Assignment Builder'!$B$9="",$F272='Assignment Builder'!$B$9),OR('Assignment Builder'!$B$10="",$O272='Assignment Builder'!$B$10),OR('Assignment Builder'!$B$11="",$H272&gt;='Assignment Builder'!$B$11),OR('Assignment Builder'!$B$12="",N($Q272)&lt;='Assignment Builder'!$B$12)))</f>
        <v/>
      </c>
      <c r="T272" s="23" t="n"/>
    </row>
    <row r="273">
      <c r="A273" s="23" t="n"/>
      <c r="B273" s="23" t="n"/>
      <c r="C273" s="24" t="n"/>
      <c r="D273" s="15" t="n"/>
      <c r="E273" s="23" t="n"/>
      <c r="F273" s="15" t="n"/>
      <c r="G273" s="23" t="n"/>
      <c r="H273" s="25" t="n"/>
      <c r="I273" s="15" t="n"/>
      <c r="J273" s="26">
        <f>IF($A273="","",LEN($C273)-LEN(SUBSTITUTE($C273,",",""))+1)</f>
        <v/>
      </c>
      <c r="K273" s="26">
        <f>IF($A273="","",SUMPRODUCT(--ISNUMBER(SEARCH('Category Dictionary'!$D$5:$D$135&amp;"",$C273)),--('Category Dictionary'!$D$5:$D$135&lt;&gt;"")))</f>
        <v/>
      </c>
      <c r="L273" s="27">
        <f>IF($A273="","",TRIM(IF(ISERROR(FIND(",",$C273)),$C273,LEFT($C273,FIND(",",$C273)-1))))</f>
        <v/>
      </c>
      <c r="M273" s="28">
        <f>IF($H273="","",DATE(YEAR($H273),MONTH($H273),1))</f>
        <v/>
      </c>
      <c r="N273" s="26">
        <f>IF($H273="","",TODAY()-$H273)</f>
        <v/>
      </c>
      <c r="O273" s="15" t="n"/>
      <c r="P273" s="15" t="n"/>
      <c r="Q273" s="15" t="n"/>
      <c r="R273" s="25" t="n"/>
      <c r="S273" s="26">
        <f>IF($A273="","",AND(OR('Assignment Builder'!$B$5="",$B273='Assignment Builder'!$B$5),OR('Assignment Builder'!$B$6="",ISNUMBER(SEARCH('Assignment Builder'!$B$6,$C273))),OR('Assignment Builder'!$B$7="",'Assignment Builder'!$B$7=IFERROR(INDEX('Category Dictionary'!$C$5:$C$135,MATCH($L273,'Category Dictionary'!$D$5:$D$135,0)),"")),OR('Assignment Builder'!$B$8="",$D273='Assignment Builder'!$B$8),OR('Assignment Builder'!$B$9="",$F273='Assignment Builder'!$B$9),OR('Assignment Builder'!$B$10="",$O273='Assignment Builder'!$B$10),OR('Assignment Builder'!$B$11="",$H273&gt;='Assignment Builder'!$B$11),OR('Assignment Builder'!$B$12="",N($Q273)&lt;='Assignment Builder'!$B$12)))</f>
        <v/>
      </c>
      <c r="T273" s="23" t="n"/>
    </row>
    <row r="274">
      <c r="A274" s="23" t="n"/>
      <c r="B274" s="23" t="n"/>
      <c r="C274" s="24" t="n"/>
      <c r="D274" s="15" t="n"/>
      <c r="E274" s="23" t="n"/>
      <c r="F274" s="15" t="n"/>
      <c r="G274" s="23" t="n"/>
      <c r="H274" s="25" t="n"/>
      <c r="I274" s="15" t="n"/>
      <c r="J274" s="26">
        <f>IF($A274="","",LEN($C274)-LEN(SUBSTITUTE($C274,",",""))+1)</f>
        <v/>
      </c>
      <c r="K274" s="26">
        <f>IF($A274="","",SUMPRODUCT(--ISNUMBER(SEARCH('Category Dictionary'!$D$5:$D$135&amp;"",$C274)),--('Category Dictionary'!$D$5:$D$135&lt;&gt;"")))</f>
        <v/>
      </c>
      <c r="L274" s="27">
        <f>IF($A274="","",TRIM(IF(ISERROR(FIND(",",$C274)),$C274,LEFT($C274,FIND(",",$C274)-1))))</f>
        <v/>
      </c>
      <c r="M274" s="28">
        <f>IF($H274="","",DATE(YEAR($H274),MONTH($H274),1))</f>
        <v/>
      </c>
      <c r="N274" s="26">
        <f>IF($H274="","",TODAY()-$H274)</f>
        <v/>
      </c>
      <c r="O274" s="15" t="n"/>
      <c r="P274" s="15" t="n"/>
      <c r="Q274" s="15" t="n"/>
      <c r="R274" s="25" t="n"/>
      <c r="S274" s="26">
        <f>IF($A274="","",AND(OR('Assignment Builder'!$B$5="",$B274='Assignment Builder'!$B$5),OR('Assignment Builder'!$B$6="",ISNUMBER(SEARCH('Assignment Builder'!$B$6,$C274))),OR('Assignment Builder'!$B$7="",'Assignment Builder'!$B$7=IFERROR(INDEX('Category Dictionary'!$C$5:$C$135,MATCH($L274,'Category Dictionary'!$D$5:$D$135,0)),"")),OR('Assignment Builder'!$B$8="",$D274='Assignment Builder'!$B$8),OR('Assignment Builder'!$B$9="",$F274='Assignment Builder'!$B$9),OR('Assignment Builder'!$B$10="",$O274='Assignment Builder'!$B$10),OR('Assignment Builder'!$B$11="",$H274&gt;='Assignment Builder'!$B$11),OR('Assignment Builder'!$B$12="",N($Q274)&lt;='Assignment Builder'!$B$12)))</f>
        <v/>
      </c>
      <c r="T274" s="23" t="n"/>
    </row>
    <row r="275">
      <c r="A275" s="23" t="n"/>
      <c r="B275" s="23" t="n"/>
      <c r="C275" s="24" t="n"/>
      <c r="D275" s="15" t="n"/>
      <c r="E275" s="23" t="n"/>
      <c r="F275" s="15" t="n"/>
      <c r="G275" s="23" t="n"/>
      <c r="H275" s="25" t="n"/>
      <c r="I275" s="15" t="n"/>
      <c r="J275" s="26">
        <f>IF($A275="","",LEN($C275)-LEN(SUBSTITUTE($C275,",",""))+1)</f>
        <v/>
      </c>
      <c r="K275" s="26">
        <f>IF($A275="","",SUMPRODUCT(--ISNUMBER(SEARCH('Category Dictionary'!$D$5:$D$135&amp;"",$C275)),--('Category Dictionary'!$D$5:$D$135&lt;&gt;"")))</f>
        <v/>
      </c>
      <c r="L275" s="27">
        <f>IF($A275="","",TRIM(IF(ISERROR(FIND(",",$C275)),$C275,LEFT($C275,FIND(",",$C275)-1))))</f>
        <v/>
      </c>
      <c r="M275" s="28">
        <f>IF($H275="","",DATE(YEAR($H275),MONTH($H275),1))</f>
        <v/>
      </c>
      <c r="N275" s="26">
        <f>IF($H275="","",TODAY()-$H275)</f>
        <v/>
      </c>
      <c r="O275" s="15" t="n"/>
      <c r="P275" s="15" t="n"/>
      <c r="Q275" s="15" t="n"/>
      <c r="R275" s="25" t="n"/>
      <c r="S275" s="26">
        <f>IF($A275="","",AND(OR('Assignment Builder'!$B$5="",$B275='Assignment Builder'!$B$5),OR('Assignment Builder'!$B$6="",ISNUMBER(SEARCH('Assignment Builder'!$B$6,$C275))),OR('Assignment Builder'!$B$7="",'Assignment Builder'!$B$7=IFERROR(INDEX('Category Dictionary'!$C$5:$C$135,MATCH($L275,'Category Dictionary'!$D$5:$D$135,0)),"")),OR('Assignment Builder'!$B$8="",$D275='Assignment Builder'!$B$8),OR('Assignment Builder'!$B$9="",$F275='Assignment Builder'!$B$9),OR('Assignment Builder'!$B$10="",$O275='Assignment Builder'!$B$10),OR('Assignment Builder'!$B$11="",$H275&gt;='Assignment Builder'!$B$11),OR('Assignment Builder'!$B$12="",N($Q275)&lt;='Assignment Builder'!$B$12)))</f>
        <v/>
      </c>
      <c r="T275" s="23" t="n"/>
    </row>
    <row r="276">
      <c r="A276" s="23" t="n"/>
      <c r="B276" s="23" t="n"/>
      <c r="C276" s="24" t="n"/>
      <c r="D276" s="15" t="n"/>
      <c r="E276" s="23" t="n"/>
      <c r="F276" s="15" t="n"/>
      <c r="G276" s="23" t="n"/>
      <c r="H276" s="25" t="n"/>
      <c r="I276" s="15" t="n"/>
      <c r="J276" s="26">
        <f>IF($A276="","",LEN($C276)-LEN(SUBSTITUTE($C276,",",""))+1)</f>
        <v/>
      </c>
      <c r="K276" s="26">
        <f>IF($A276="","",SUMPRODUCT(--ISNUMBER(SEARCH('Category Dictionary'!$D$5:$D$135&amp;"",$C276)),--('Category Dictionary'!$D$5:$D$135&lt;&gt;"")))</f>
        <v/>
      </c>
      <c r="L276" s="27">
        <f>IF($A276="","",TRIM(IF(ISERROR(FIND(",",$C276)),$C276,LEFT($C276,FIND(",",$C276)-1))))</f>
        <v/>
      </c>
      <c r="M276" s="28">
        <f>IF($H276="","",DATE(YEAR($H276),MONTH($H276),1))</f>
        <v/>
      </c>
      <c r="N276" s="26">
        <f>IF($H276="","",TODAY()-$H276)</f>
        <v/>
      </c>
      <c r="O276" s="15" t="n"/>
      <c r="P276" s="15" t="n"/>
      <c r="Q276" s="15" t="n"/>
      <c r="R276" s="25" t="n"/>
      <c r="S276" s="26">
        <f>IF($A276="","",AND(OR('Assignment Builder'!$B$5="",$B276='Assignment Builder'!$B$5),OR('Assignment Builder'!$B$6="",ISNUMBER(SEARCH('Assignment Builder'!$B$6,$C276))),OR('Assignment Builder'!$B$7="",'Assignment Builder'!$B$7=IFERROR(INDEX('Category Dictionary'!$C$5:$C$135,MATCH($L276,'Category Dictionary'!$D$5:$D$135,0)),"")),OR('Assignment Builder'!$B$8="",$D276='Assignment Builder'!$B$8),OR('Assignment Builder'!$B$9="",$F276='Assignment Builder'!$B$9),OR('Assignment Builder'!$B$10="",$O276='Assignment Builder'!$B$10),OR('Assignment Builder'!$B$11="",$H276&gt;='Assignment Builder'!$B$11),OR('Assignment Builder'!$B$12="",N($Q276)&lt;='Assignment Builder'!$B$12)))</f>
        <v/>
      </c>
      <c r="T276" s="23" t="n"/>
    </row>
    <row r="277">
      <c r="A277" s="23" t="n"/>
      <c r="B277" s="23" t="n"/>
      <c r="C277" s="24" t="n"/>
      <c r="D277" s="15" t="n"/>
      <c r="E277" s="23" t="n"/>
      <c r="F277" s="15" t="n"/>
      <c r="G277" s="23" t="n"/>
      <c r="H277" s="25" t="n"/>
      <c r="I277" s="15" t="n"/>
      <c r="J277" s="26">
        <f>IF($A277="","",LEN($C277)-LEN(SUBSTITUTE($C277,",",""))+1)</f>
        <v/>
      </c>
      <c r="K277" s="26">
        <f>IF($A277="","",SUMPRODUCT(--ISNUMBER(SEARCH('Category Dictionary'!$D$5:$D$135&amp;"",$C277)),--('Category Dictionary'!$D$5:$D$135&lt;&gt;"")))</f>
        <v/>
      </c>
      <c r="L277" s="27">
        <f>IF($A277="","",TRIM(IF(ISERROR(FIND(",",$C277)),$C277,LEFT($C277,FIND(",",$C277)-1))))</f>
        <v/>
      </c>
      <c r="M277" s="28">
        <f>IF($H277="","",DATE(YEAR($H277),MONTH($H277),1))</f>
        <v/>
      </c>
      <c r="N277" s="26">
        <f>IF($H277="","",TODAY()-$H277)</f>
        <v/>
      </c>
      <c r="O277" s="15" t="n"/>
      <c r="P277" s="15" t="n"/>
      <c r="Q277" s="15" t="n"/>
      <c r="R277" s="25" t="n"/>
      <c r="S277" s="26">
        <f>IF($A277="","",AND(OR('Assignment Builder'!$B$5="",$B277='Assignment Builder'!$B$5),OR('Assignment Builder'!$B$6="",ISNUMBER(SEARCH('Assignment Builder'!$B$6,$C277))),OR('Assignment Builder'!$B$7="",'Assignment Builder'!$B$7=IFERROR(INDEX('Category Dictionary'!$C$5:$C$135,MATCH($L277,'Category Dictionary'!$D$5:$D$135,0)),"")),OR('Assignment Builder'!$B$8="",$D277='Assignment Builder'!$B$8),OR('Assignment Builder'!$B$9="",$F277='Assignment Builder'!$B$9),OR('Assignment Builder'!$B$10="",$O277='Assignment Builder'!$B$10),OR('Assignment Builder'!$B$11="",$H277&gt;='Assignment Builder'!$B$11),OR('Assignment Builder'!$B$12="",N($Q277)&lt;='Assignment Builder'!$B$12)))</f>
        <v/>
      </c>
      <c r="T277" s="23" t="n"/>
    </row>
    <row r="278">
      <c r="A278" s="23" t="n"/>
      <c r="B278" s="23" t="n"/>
      <c r="C278" s="24" t="n"/>
      <c r="D278" s="15" t="n"/>
      <c r="E278" s="23" t="n"/>
      <c r="F278" s="15" t="n"/>
      <c r="G278" s="23" t="n"/>
      <c r="H278" s="25" t="n"/>
      <c r="I278" s="15" t="n"/>
      <c r="J278" s="26">
        <f>IF($A278="","",LEN($C278)-LEN(SUBSTITUTE($C278,",",""))+1)</f>
        <v/>
      </c>
      <c r="K278" s="26">
        <f>IF($A278="","",SUMPRODUCT(--ISNUMBER(SEARCH('Category Dictionary'!$D$5:$D$135&amp;"",$C278)),--('Category Dictionary'!$D$5:$D$135&lt;&gt;"")))</f>
        <v/>
      </c>
      <c r="L278" s="27">
        <f>IF($A278="","",TRIM(IF(ISERROR(FIND(",",$C278)),$C278,LEFT($C278,FIND(",",$C278)-1))))</f>
        <v/>
      </c>
      <c r="M278" s="28">
        <f>IF($H278="","",DATE(YEAR($H278),MONTH($H278),1))</f>
        <v/>
      </c>
      <c r="N278" s="26">
        <f>IF($H278="","",TODAY()-$H278)</f>
        <v/>
      </c>
      <c r="O278" s="15" t="n"/>
      <c r="P278" s="15" t="n"/>
      <c r="Q278" s="15" t="n"/>
      <c r="R278" s="25" t="n"/>
      <c r="S278" s="26">
        <f>IF($A278="","",AND(OR('Assignment Builder'!$B$5="",$B278='Assignment Builder'!$B$5),OR('Assignment Builder'!$B$6="",ISNUMBER(SEARCH('Assignment Builder'!$B$6,$C278))),OR('Assignment Builder'!$B$7="",'Assignment Builder'!$B$7=IFERROR(INDEX('Category Dictionary'!$C$5:$C$135,MATCH($L278,'Category Dictionary'!$D$5:$D$135,0)),"")),OR('Assignment Builder'!$B$8="",$D278='Assignment Builder'!$B$8),OR('Assignment Builder'!$B$9="",$F278='Assignment Builder'!$B$9),OR('Assignment Builder'!$B$10="",$O278='Assignment Builder'!$B$10),OR('Assignment Builder'!$B$11="",$H278&gt;='Assignment Builder'!$B$11),OR('Assignment Builder'!$B$12="",N($Q278)&lt;='Assignment Builder'!$B$12)))</f>
        <v/>
      </c>
      <c r="T278" s="23" t="n"/>
    </row>
    <row r="279">
      <c r="A279" s="23" t="n"/>
      <c r="B279" s="23" t="n"/>
      <c r="C279" s="24" t="n"/>
      <c r="D279" s="15" t="n"/>
      <c r="E279" s="23" t="n"/>
      <c r="F279" s="15" t="n"/>
      <c r="G279" s="23" t="n"/>
      <c r="H279" s="25" t="n"/>
      <c r="I279" s="15" t="n"/>
      <c r="J279" s="26">
        <f>IF($A279="","",LEN($C279)-LEN(SUBSTITUTE($C279,",",""))+1)</f>
        <v/>
      </c>
      <c r="K279" s="26">
        <f>IF($A279="","",SUMPRODUCT(--ISNUMBER(SEARCH('Category Dictionary'!$D$5:$D$135&amp;"",$C279)),--('Category Dictionary'!$D$5:$D$135&lt;&gt;"")))</f>
        <v/>
      </c>
      <c r="L279" s="27">
        <f>IF($A279="","",TRIM(IF(ISERROR(FIND(",",$C279)),$C279,LEFT($C279,FIND(",",$C279)-1))))</f>
        <v/>
      </c>
      <c r="M279" s="28">
        <f>IF($H279="","",DATE(YEAR($H279),MONTH($H279),1))</f>
        <v/>
      </c>
      <c r="N279" s="26">
        <f>IF($H279="","",TODAY()-$H279)</f>
        <v/>
      </c>
      <c r="O279" s="15" t="n"/>
      <c r="P279" s="15" t="n"/>
      <c r="Q279" s="15" t="n"/>
      <c r="R279" s="25" t="n"/>
      <c r="S279" s="26">
        <f>IF($A279="","",AND(OR('Assignment Builder'!$B$5="",$B279='Assignment Builder'!$B$5),OR('Assignment Builder'!$B$6="",ISNUMBER(SEARCH('Assignment Builder'!$B$6,$C279))),OR('Assignment Builder'!$B$7="",'Assignment Builder'!$B$7=IFERROR(INDEX('Category Dictionary'!$C$5:$C$135,MATCH($L279,'Category Dictionary'!$D$5:$D$135,0)),"")),OR('Assignment Builder'!$B$8="",$D279='Assignment Builder'!$B$8),OR('Assignment Builder'!$B$9="",$F279='Assignment Builder'!$B$9),OR('Assignment Builder'!$B$10="",$O279='Assignment Builder'!$B$10),OR('Assignment Builder'!$B$11="",$H279&gt;='Assignment Builder'!$B$11),OR('Assignment Builder'!$B$12="",N($Q279)&lt;='Assignment Builder'!$B$12)))</f>
        <v/>
      </c>
      <c r="T279" s="23" t="n"/>
    </row>
    <row r="280">
      <c r="A280" s="23" t="n"/>
      <c r="B280" s="23" t="n"/>
      <c r="C280" s="24" t="n"/>
      <c r="D280" s="15" t="n"/>
      <c r="E280" s="23" t="n"/>
      <c r="F280" s="15" t="n"/>
      <c r="G280" s="23" t="n"/>
      <c r="H280" s="25" t="n"/>
      <c r="I280" s="15" t="n"/>
      <c r="J280" s="26">
        <f>IF($A280="","",LEN($C280)-LEN(SUBSTITUTE($C280,",",""))+1)</f>
        <v/>
      </c>
      <c r="K280" s="26">
        <f>IF($A280="","",SUMPRODUCT(--ISNUMBER(SEARCH('Category Dictionary'!$D$5:$D$135&amp;"",$C280)),--('Category Dictionary'!$D$5:$D$135&lt;&gt;"")))</f>
        <v/>
      </c>
      <c r="L280" s="27">
        <f>IF($A280="","",TRIM(IF(ISERROR(FIND(",",$C280)),$C280,LEFT($C280,FIND(",",$C280)-1))))</f>
        <v/>
      </c>
      <c r="M280" s="28">
        <f>IF($H280="","",DATE(YEAR($H280),MONTH($H280),1))</f>
        <v/>
      </c>
      <c r="N280" s="26">
        <f>IF($H280="","",TODAY()-$H280)</f>
        <v/>
      </c>
      <c r="O280" s="15" t="n"/>
      <c r="P280" s="15" t="n"/>
      <c r="Q280" s="15" t="n"/>
      <c r="R280" s="25" t="n"/>
      <c r="S280" s="26">
        <f>IF($A280="","",AND(OR('Assignment Builder'!$B$5="",$B280='Assignment Builder'!$B$5),OR('Assignment Builder'!$B$6="",ISNUMBER(SEARCH('Assignment Builder'!$B$6,$C280))),OR('Assignment Builder'!$B$7="",'Assignment Builder'!$B$7=IFERROR(INDEX('Category Dictionary'!$C$5:$C$135,MATCH($L280,'Category Dictionary'!$D$5:$D$135,0)),"")),OR('Assignment Builder'!$B$8="",$D280='Assignment Builder'!$B$8),OR('Assignment Builder'!$B$9="",$F280='Assignment Builder'!$B$9),OR('Assignment Builder'!$B$10="",$O280='Assignment Builder'!$B$10),OR('Assignment Builder'!$B$11="",$H280&gt;='Assignment Builder'!$B$11),OR('Assignment Builder'!$B$12="",N($Q280)&lt;='Assignment Builder'!$B$12)))</f>
        <v/>
      </c>
      <c r="T280" s="23" t="n"/>
    </row>
    <row r="281">
      <c r="A281" s="23" t="n"/>
      <c r="B281" s="23" t="n"/>
      <c r="C281" s="24" t="n"/>
      <c r="D281" s="15" t="n"/>
      <c r="E281" s="23" t="n"/>
      <c r="F281" s="15" t="n"/>
      <c r="G281" s="23" t="n"/>
      <c r="H281" s="25" t="n"/>
      <c r="I281" s="15" t="n"/>
      <c r="J281" s="26">
        <f>IF($A281="","",LEN($C281)-LEN(SUBSTITUTE($C281,",",""))+1)</f>
        <v/>
      </c>
      <c r="K281" s="26">
        <f>IF($A281="","",SUMPRODUCT(--ISNUMBER(SEARCH('Category Dictionary'!$D$5:$D$135&amp;"",$C281)),--('Category Dictionary'!$D$5:$D$135&lt;&gt;"")))</f>
        <v/>
      </c>
      <c r="L281" s="27">
        <f>IF($A281="","",TRIM(IF(ISERROR(FIND(",",$C281)),$C281,LEFT($C281,FIND(",",$C281)-1))))</f>
        <v/>
      </c>
      <c r="M281" s="28">
        <f>IF($H281="","",DATE(YEAR($H281),MONTH($H281),1))</f>
        <v/>
      </c>
      <c r="N281" s="26">
        <f>IF($H281="","",TODAY()-$H281)</f>
        <v/>
      </c>
      <c r="O281" s="15" t="n"/>
      <c r="P281" s="15" t="n"/>
      <c r="Q281" s="15" t="n"/>
      <c r="R281" s="25" t="n"/>
      <c r="S281" s="26">
        <f>IF($A281="","",AND(OR('Assignment Builder'!$B$5="",$B281='Assignment Builder'!$B$5),OR('Assignment Builder'!$B$6="",ISNUMBER(SEARCH('Assignment Builder'!$B$6,$C281))),OR('Assignment Builder'!$B$7="",'Assignment Builder'!$B$7=IFERROR(INDEX('Category Dictionary'!$C$5:$C$135,MATCH($L281,'Category Dictionary'!$D$5:$D$135,0)),"")),OR('Assignment Builder'!$B$8="",$D281='Assignment Builder'!$B$8),OR('Assignment Builder'!$B$9="",$F281='Assignment Builder'!$B$9),OR('Assignment Builder'!$B$10="",$O281='Assignment Builder'!$B$10),OR('Assignment Builder'!$B$11="",$H281&gt;='Assignment Builder'!$B$11),OR('Assignment Builder'!$B$12="",N($Q281)&lt;='Assignment Builder'!$B$12)))</f>
        <v/>
      </c>
      <c r="T281" s="23" t="n"/>
    </row>
    <row r="282">
      <c r="A282" s="23" t="n"/>
      <c r="B282" s="23" t="n"/>
      <c r="C282" s="24" t="n"/>
      <c r="D282" s="15" t="n"/>
      <c r="E282" s="23" t="n"/>
      <c r="F282" s="15" t="n"/>
      <c r="G282" s="23" t="n"/>
      <c r="H282" s="25" t="n"/>
      <c r="I282" s="15" t="n"/>
      <c r="J282" s="26">
        <f>IF($A282="","",LEN($C282)-LEN(SUBSTITUTE($C282,",",""))+1)</f>
        <v/>
      </c>
      <c r="K282" s="26">
        <f>IF($A282="","",SUMPRODUCT(--ISNUMBER(SEARCH('Category Dictionary'!$D$5:$D$135&amp;"",$C282)),--('Category Dictionary'!$D$5:$D$135&lt;&gt;"")))</f>
        <v/>
      </c>
      <c r="L282" s="27">
        <f>IF($A282="","",TRIM(IF(ISERROR(FIND(",",$C282)),$C282,LEFT($C282,FIND(",",$C282)-1))))</f>
        <v/>
      </c>
      <c r="M282" s="28">
        <f>IF($H282="","",DATE(YEAR($H282),MONTH($H282),1))</f>
        <v/>
      </c>
      <c r="N282" s="26">
        <f>IF($H282="","",TODAY()-$H282)</f>
        <v/>
      </c>
      <c r="O282" s="15" t="n"/>
      <c r="P282" s="15" t="n"/>
      <c r="Q282" s="15" t="n"/>
      <c r="R282" s="25" t="n"/>
      <c r="S282" s="26">
        <f>IF($A282="","",AND(OR('Assignment Builder'!$B$5="",$B282='Assignment Builder'!$B$5),OR('Assignment Builder'!$B$6="",ISNUMBER(SEARCH('Assignment Builder'!$B$6,$C282))),OR('Assignment Builder'!$B$7="",'Assignment Builder'!$B$7=IFERROR(INDEX('Category Dictionary'!$C$5:$C$135,MATCH($L282,'Category Dictionary'!$D$5:$D$135,0)),"")),OR('Assignment Builder'!$B$8="",$D282='Assignment Builder'!$B$8),OR('Assignment Builder'!$B$9="",$F282='Assignment Builder'!$B$9),OR('Assignment Builder'!$B$10="",$O282='Assignment Builder'!$B$10),OR('Assignment Builder'!$B$11="",$H282&gt;='Assignment Builder'!$B$11),OR('Assignment Builder'!$B$12="",N($Q282)&lt;='Assignment Builder'!$B$12)))</f>
        <v/>
      </c>
      <c r="T282" s="23" t="n"/>
    </row>
    <row r="283">
      <c r="A283" s="23" t="n"/>
      <c r="B283" s="23" t="n"/>
      <c r="C283" s="24" t="n"/>
      <c r="D283" s="15" t="n"/>
      <c r="E283" s="23" t="n"/>
      <c r="F283" s="15" t="n"/>
      <c r="G283" s="23" t="n"/>
      <c r="H283" s="25" t="n"/>
      <c r="I283" s="15" t="n"/>
      <c r="J283" s="26">
        <f>IF($A283="","",LEN($C283)-LEN(SUBSTITUTE($C283,",",""))+1)</f>
        <v/>
      </c>
      <c r="K283" s="26">
        <f>IF($A283="","",SUMPRODUCT(--ISNUMBER(SEARCH('Category Dictionary'!$D$5:$D$135&amp;"",$C283)),--('Category Dictionary'!$D$5:$D$135&lt;&gt;"")))</f>
        <v/>
      </c>
      <c r="L283" s="27">
        <f>IF($A283="","",TRIM(IF(ISERROR(FIND(",",$C283)),$C283,LEFT($C283,FIND(",",$C283)-1))))</f>
        <v/>
      </c>
      <c r="M283" s="28">
        <f>IF($H283="","",DATE(YEAR($H283),MONTH($H283),1))</f>
        <v/>
      </c>
      <c r="N283" s="26">
        <f>IF($H283="","",TODAY()-$H283)</f>
        <v/>
      </c>
      <c r="O283" s="15" t="n"/>
      <c r="P283" s="15" t="n"/>
      <c r="Q283" s="15" t="n"/>
      <c r="R283" s="25" t="n"/>
      <c r="S283" s="26">
        <f>IF($A283="","",AND(OR('Assignment Builder'!$B$5="",$B283='Assignment Builder'!$B$5),OR('Assignment Builder'!$B$6="",ISNUMBER(SEARCH('Assignment Builder'!$B$6,$C283))),OR('Assignment Builder'!$B$7="",'Assignment Builder'!$B$7=IFERROR(INDEX('Category Dictionary'!$C$5:$C$135,MATCH($L283,'Category Dictionary'!$D$5:$D$135,0)),"")),OR('Assignment Builder'!$B$8="",$D283='Assignment Builder'!$B$8),OR('Assignment Builder'!$B$9="",$F283='Assignment Builder'!$B$9),OR('Assignment Builder'!$B$10="",$O283='Assignment Builder'!$B$10),OR('Assignment Builder'!$B$11="",$H283&gt;='Assignment Builder'!$B$11),OR('Assignment Builder'!$B$12="",N($Q283)&lt;='Assignment Builder'!$B$12)))</f>
        <v/>
      </c>
      <c r="T283" s="23" t="n"/>
    </row>
    <row r="284">
      <c r="A284" s="23" t="n"/>
      <c r="B284" s="23" t="n"/>
      <c r="C284" s="24" t="n"/>
      <c r="D284" s="15" t="n"/>
      <c r="E284" s="23" t="n"/>
      <c r="F284" s="15" t="n"/>
      <c r="G284" s="23" t="n"/>
      <c r="H284" s="25" t="n"/>
      <c r="I284" s="15" t="n"/>
      <c r="J284" s="26">
        <f>IF($A284="","",LEN($C284)-LEN(SUBSTITUTE($C284,",",""))+1)</f>
        <v/>
      </c>
      <c r="K284" s="26">
        <f>IF($A284="","",SUMPRODUCT(--ISNUMBER(SEARCH('Category Dictionary'!$D$5:$D$135&amp;"",$C284)),--('Category Dictionary'!$D$5:$D$135&lt;&gt;"")))</f>
        <v/>
      </c>
      <c r="L284" s="27">
        <f>IF($A284="","",TRIM(IF(ISERROR(FIND(",",$C284)),$C284,LEFT($C284,FIND(",",$C284)-1))))</f>
        <v/>
      </c>
      <c r="M284" s="28">
        <f>IF($H284="","",DATE(YEAR($H284),MONTH($H284),1))</f>
        <v/>
      </c>
      <c r="N284" s="26">
        <f>IF($H284="","",TODAY()-$H284)</f>
        <v/>
      </c>
      <c r="O284" s="15" t="n"/>
      <c r="P284" s="15" t="n"/>
      <c r="Q284" s="15" t="n"/>
      <c r="R284" s="25" t="n"/>
      <c r="S284" s="26">
        <f>IF($A284="","",AND(OR('Assignment Builder'!$B$5="",$B284='Assignment Builder'!$B$5),OR('Assignment Builder'!$B$6="",ISNUMBER(SEARCH('Assignment Builder'!$B$6,$C284))),OR('Assignment Builder'!$B$7="",'Assignment Builder'!$B$7=IFERROR(INDEX('Category Dictionary'!$C$5:$C$135,MATCH($L284,'Category Dictionary'!$D$5:$D$135,0)),"")),OR('Assignment Builder'!$B$8="",$D284='Assignment Builder'!$B$8),OR('Assignment Builder'!$B$9="",$F284='Assignment Builder'!$B$9),OR('Assignment Builder'!$B$10="",$O284='Assignment Builder'!$B$10),OR('Assignment Builder'!$B$11="",$H284&gt;='Assignment Builder'!$B$11),OR('Assignment Builder'!$B$12="",N($Q284)&lt;='Assignment Builder'!$B$12)))</f>
        <v/>
      </c>
      <c r="T284" s="23" t="n"/>
    </row>
    <row r="285">
      <c r="A285" s="23" t="n"/>
      <c r="B285" s="23" t="n"/>
      <c r="C285" s="24" t="n"/>
      <c r="D285" s="15" t="n"/>
      <c r="E285" s="23" t="n"/>
      <c r="F285" s="15" t="n"/>
      <c r="G285" s="23" t="n"/>
      <c r="H285" s="25" t="n"/>
      <c r="I285" s="15" t="n"/>
      <c r="J285" s="26">
        <f>IF($A285="","",LEN($C285)-LEN(SUBSTITUTE($C285,",",""))+1)</f>
        <v/>
      </c>
      <c r="K285" s="26">
        <f>IF($A285="","",SUMPRODUCT(--ISNUMBER(SEARCH('Category Dictionary'!$D$5:$D$135&amp;"",$C285)),--('Category Dictionary'!$D$5:$D$135&lt;&gt;"")))</f>
        <v/>
      </c>
      <c r="L285" s="27">
        <f>IF($A285="","",TRIM(IF(ISERROR(FIND(",",$C285)),$C285,LEFT($C285,FIND(",",$C285)-1))))</f>
        <v/>
      </c>
      <c r="M285" s="28">
        <f>IF($H285="","",DATE(YEAR($H285),MONTH($H285),1))</f>
        <v/>
      </c>
      <c r="N285" s="26">
        <f>IF($H285="","",TODAY()-$H285)</f>
        <v/>
      </c>
      <c r="O285" s="15" t="n"/>
      <c r="P285" s="15" t="n"/>
      <c r="Q285" s="15" t="n"/>
      <c r="R285" s="25" t="n"/>
      <c r="S285" s="26">
        <f>IF($A285="","",AND(OR('Assignment Builder'!$B$5="",$B285='Assignment Builder'!$B$5),OR('Assignment Builder'!$B$6="",ISNUMBER(SEARCH('Assignment Builder'!$B$6,$C285))),OR('Assignment Builder'!$B$7="",'Assignment Builder'!$B$7=IFERROR(INDEX('Category Dictionary'!$C$5:$C$135,MATCH($L285,'Category Dictionary'!$D$5:$D$135,0)),"")),OR('Assignment Builder'!$B$8="",$D285='Assignment Builder'!$B$8),OR('Assignment Builder'!$B$9="",$F285='Assignment Builder'!$B$9),OR('Assignment Builder'!$B$10="",$O285='Assignment Builder'!$B$10),OR('Assignment Builder'!$B$11="",$H285&gt;='Assignment Builder'!$B$11),OR('Assignment Builder'!$B$12="",N($Q285)&lt;='Assignment Builder'!$B$12)))</f>
        <v/>
      </c>
      <c r="T285" s="23" t="n"/>
    </row>
    <row r="286">
      <c r="A286" s="23" t="n"/>
      <c r="B286" s="23" t="n"/>
      <c r="C286" s="24" t="n"/>
      <c r="D286" s="15" t="n"/>
      <c r="E286" s="23" t="n"/>
      <c r="F286" s="15" t="n"/>
      <c r="G286" s="23" t="n"/>
      <c r="H286" s="25" t="n"/>
      <c r="I286" s="15" t="n"/>
      <c r="J286" s="26">
        <f>IF($A286="","",LEN($C286)-LEN(SUBSTITUTE($C286,",",""))+1)</f>
        <v/>
      </c>
      <c r="K286" s="26">
        <f>IF($A286="","",SUMPRODUCT(--ISNUMBER(SEARCH('Category Dictionary'!$D$5:$D$135&amp;"",$C286)),--('Category Dictionary'!$D$5:$D$135&lt;&gt;"")))</f>
        <v/>
      </c>
      <c r="L286" s="27">
        <f>IF($A286="","",TRIM(IF(ISERROR(FIND(",",$C286)),$C286,LEFT($C286,FIND(",",$C286)-1))))</f>
        <v/>
      </c>
      <c r="M286" s="28">
        <f>IF($H286="","",DATE(YEAR($H286),MONTH($H286),1))</f>
        <v/>
      </c>
      <c r="N286" s="26">
        <f>IF($H286="","",TODAY()-$H286)</f>
        <v/>
      </c>
      <c r="O286" s="15" t="n"/>
      <c r="P286" s="15" t="n"/>
      <c r="Q286" s="15" t="n"/>
      <c r="R286" s="25" t="n"/>
      <c r="S286" s="26">
        <f>IF($A286="","",AND(OR('Assignment Builder'!$B$5="",$B286='Assignment Builder'!$B$5),OR('Assignment Builder'!$B$6="",ISNUMBER(SEARCH('Assignment Builder'!$B$6,$C286))),OR('Assignment Builder'!$B$7="",'Assignment Builder'!$B$7=IFERROR(INDEX('Category Dictionary'!$C$5:$C$135,MATCH($L286,'Category Dictionary'!$D$5:$D$135,0)),"")),OR('Assignment Builder'!$B$8="",$D286='Assignment Builder'!$B$8),OR('Assignment Builder'!$B$9="",$F286='Assignment Builder'!$B$9),OR('Assignment Builder'!$B$10="",$O286='Assignment Builder'!$B$10),OR('Assignment Builder'!$B$11="",$H286&gt;='Assignment Builder'!$B$11),OR('Assignment Builder'!$B$12="",N($Q286)&lt;='Assignment Builder'!$B$12)))</f>
        <v/>
      </c>
      <c r="T286" s="23" t="n"/>
    </row>
    <row r="287">
      <c r="A287" s="23" t="n"/>
      <c r="B287" s="23" t="n"/>
      <c r="C287" s="24" t="n"/>
      <c r="D287" s="15" t="n"/>
      <c r="E287" s="23" t="n"/>
      <c r="F287" s="15" t="n"/>
      <c r="G287" s="23" t="n"/>
      <c r="H287" s="25" t="n"/>
      <c r="I287" s="15" t="n"/>
      <c r="J287" s="26">
        <f>IF($A287="","",LEN($C287)-LEN(SUBSTITUTE($C287,",",""))+1)</f>
        <v/>
      </c>
      <c r="K287" s="26">
        <f>IF($A287="","",SUMPRODUCT(--ISNUMBER(SEARCH('Category Dictionary'!$D$5:$D$135&amp;"",$C287)),--('Category Dictionary'!$D$5:$D$135&lt;&gt;"")))</f>
        <v/>
      </c>
      <c r="L287" s="27">
        <f>IF($A287="","",TRIM(IF(ISERROR(FIND(",",$C287)),$C287,LEFT($C287,FIND(",",$C287)-1))))</f>
        <v/>
      </c>
      <c r="M287" s="28">
        <f>IF($H287="","",DATE(YEAR($H287),MONTH($H287),1))</f>
        <v/>
      </c>
      <c r="N287" s="26">
        <f>IF($H287="","",TODAY()-$H287)</f>
        <v/>
      </c>
      <c r="O287" s="15" t="n"/>
      <c r="P287" s="15" t="n"/>
      <c r="Q287" s="15" t="n"/>
      <c r="R287" s="25" t="n"/>
      <c r="S287" s="26">
        <f>IF($A287="","",AND(OR('Assignment Builder'!$B$5="",$B287='Assignment Builder'!$B$5),OR('Assignment Builder'!$B$6="",ISNUMBER(SEARCH('Assignment Builder'!$B$6,$C287))),OR('Assignment Builder'!$B$7="",'Assignment Builder'!$B$7=IFERROR(INDEX('Category Dictionary'!$C$5:$C$135,MATCH($L287,'Category Dictionary'!$D$5:$D$135,0)),"")),OR('Assignment Builder'!$B$8="",$D287='Assignment Builder'!$B$8),OR('Assignment Builder'!$B$9="",$F287='Assignment Builder'!$B$9),OR('Assignment Builder'!$B$10="",$O287='Assignment Builder'!$B$10),OR('Assignment Builder'!$B$11="",$H287&gt;='Assignment Builder'!$B$11),OR('Assignment Builder'!$B$12="",N($Q287)&lt;='Assignment Builder'!$B$12)))</f>
        <v/>
      </c>
      <c r="T287" s="23" t="n"/>
    </row>
    <row r="288">
      <c r="A288" s="23" t="n"/>
      <c r="B288" s="23" t="n"/>
      <c r="C288" s="24" t="n"/>
      <c r="D288" s="15" t="n"/>
      <c r="E288" s="23" t="n"/>
      <c r="F288" s="15" t="n"/>
      <c r="G288" s="23" t="n"/>
      <c r="H288" s="25" t="n"/>
      <c r="I288" s="15" t="n"/>
      <c r="J288" s="26">
        <f>IF($A288="","",LEN($C288)-LEN(SUBSTITUTE($C288,",",""))+1)</f>
        <v/>
      </c>
      <c r="K288" s="26">
        <f>IF($A288="","",SUMPRODUCT(--ISNUMBER(SEARCH('Category Dictionary'!$D$5:$D$135&amp;"",$C288)),--('Category Dictionary'!$D$5:$D$135&lt;&gt;"")))</f>
        <v/>
      </c>
      <c r="L288" s="27">
        <f>IF($A288="","",TRIM(IF(ISERROR(FIND(",",$C288)),$C288,LEFT($C288,FIND(",",$C288)-1))))</f>
        <v/>
      </c>
      <c r="M288" s="28">
        <f>IF($H288="","",DATE(YEAR($H288),MONTH($H288),1))</f>
        <v/>
      </c>
      <c r="N288" s="26">
        <f>IF($H288="","",TODAY()-$H288)</f>
        <v/>
      </c>
      <c r="O288" s="15" t="n"/>
      <c r="P288" s="15" t="n"/>
      <c r="Q288" s="15" t="n"/>
      <c r="R288" s="25" t="n"/>
      <c r="S288" s="26">
        <f>IF($A288="","",AND(OR('Assignment Builder'!$B$5="",$B288='Assignment Builder'!$B$5),OR('Assignment Builder'!$B$6="",ISNUMBER(SEARCH('Assignment Builder'!$B$6,$C288))),OR('Assignment Builder'!$B$7="",'Assignment Builder'!$B$7=IFERROR(INDEX('Category Dictionary'!$C$5:$C$135,MATCH($L288,'Category Dictionary'!$D$5:$D$135,0)),"")),OR('Assignment Builder'!$B$8="",$D288='Assignment Builder'!$B$8),OR('Assignment Builder'!$B$9="",$F288='Assignment Builder'!$B$9),OR('Assignment Builder'!$B$10="",$O288='Assignment Builder'!$B$10),OR('Assignment Builder'!$B$11="",$H288&gt;='Assignment Builder'!$B$11),OR('Assignment Builder'!$B$12="",N($Q288)&lt;='Assignment Builder'!$B$12)))</f>
        <v/>
      </c>
      <c r="T288" s="23" t="n"/>
    </row>
    <row r="289">
      <c r="A289" s="23" t="n"/>
      <c r="B289" s="23" t="n"/>
      <c r="C289" s="24" t="n"/>
      <c r="D289" s="15" t="n"/>
      <c r="E289" s="23" t="n"/>
      <c r="F289" s="15" t="n"/>
      <c r="G289" s="23" t="n"/>
      <c r="H289" s="25" t="n"/>
      <c r="I289" s="15" t="n"/>
      <c r="J289" s="26">
        <f>IF($A289="","",LEN($C289)-LEN(SUBSTITUTE($C289,",",""))+1)</f>
        <v/>
      </c>
      <c r="K289" s="26">
        <f>IF($A289="","",SUMPRODUCT(--ISNUMBER(SEARCH('Category Dictionary'!$D$5:$D$135&amp;"",$C289)),--('Category Dictionary'!$D$5:$D$135&lt;&gt;"")))</f>
        <v/>
      </c>
      <c r="L289" s="27">
        <f>IF($A289="","",TRIM(IF(ISERROR(FIND(",",$C289)),$C289,LEFT($C289,FIND(",",$C289)-1))))</f>
        <v/>
      </c>
      <c r="M289" s="28">
        <f>IF($H289="","",DATE(YEAR($H289),MONTH($H289),1))</f>
        <v/>
      </c>
      <c r="N289" s="26">
        <f>IF($H289="","",TODAY()-$H289)</f>
        <v/>
      </c>
      <c r="O289" s="15" t="n"/>
      <c r="P289" s="15" t="n"/>
      <c r="Q289" s="15" t="n"/>
      <c r="R289" s="25" t="n"/>
      <c r="S289" s="26">
        <f>IF($A289="","",AND(OR('Assignment Builder'!$B$5="",$B289='Assignment Builder'!$B$5),OR('Assignment Builder'!$B$6="",ISNUMBER(SEARCH('Assignment Builder'!$B$6,$C289))),OR('Assignment Builder'!$B$7="",'Assignment Builder'!$B$7=IFERROR(INDEX('Category Dictionary'!$C$5:$C$135,MATCH($L289,'Category Dictionary'!$D$5:$D$135,0)),"")),OR('Assignment Builder'!$B$8="",$D289='Assignment Builder'!$B$8),OR('Assignment Builder'!$B$9="",$F289='Assignment Builder'!$B$9),OR('Assignment Builder'!$B$10="",$O289='Assignment Builder'!$B$10),OR('Assignment Builder'!$B$11="",$H289&gt;='Assignment Builder'!$B$11),OR('Assignment Builder'!$B$12="",N($Q289)&lt;='Assignment Builder'!$B$12)))</f>
        <v/>
      </c>
      <c r="T289" s="23" t="n"/>
    </row>
    <row r="290">
      <c r="A290" s="23" t="n"/>
      <c r="B290" s="23" t="n"/>
      <c r="C290" s="24" t="n"/>
      <c r="D290" s="15" t="n"/>
      <c r="E290" s="23" t="n"/>
      <c r="F290" s="15" t="n"/>
      <c r="G290" s="23" t="n"/>
      <c r="H290" s="25" t="n"/>
      <c r="I290" s="15" t="n"/>
      <c r="J290" s="26">
        <f>IF($A290="","",LEN($C290)-LEN(SUBSTITUTE($C290,",",""))+1)</f>
        <v/>
      </c>
      <c r="K290" s="26">
        <f>IF($A290="","",SUMPRODUCT(--ISNUMBER(SEARCH('Category Dictionary'!$D$5:$D$135&amp;"",$C290)),--('Category Dictionary'!$D$5:$D$135&lt;&gt;"")))</f>
        <v/>
      </c>
      <c r="L290" s="27">
        <f>IF($A290="","",TRIM(IF(ISERROR(FIND(",",$C290)),$C290,LEFT($C290,FIND(",",$C290)-1))))</f>
        <v/>
      </c>
      <c r="M290" s="28">
        <f>IF($H290="","",DATE(YEAR($H290),MONTH($H290),1))</f>
        <v/>
      </c>
      <c r="N290" s="26">
        <f>IF($H290="","",TODAY()-$H290)</f>
        <v/>
      </c>
      <c r="O290" s="15" t="n"/>
      <c r="P290" s="15" t="n"/>
      <c r="Q290" s="15" t="n"/>
      <c r="R290" s="25" t="n"/>
      <c r="S290" s="26">
        <f>IF($A290="","",AND(OR('Assignment Builder'!$B$5="",$B290='Assignment Builder'!$B$5),OR('Assignment Builder'!$B$6="",ISNUMBER(SEARCH('Assignment Builder'!$B$6,$C290))),OR('Assignment Builder'!$B$7="",'Assignment Builder'!$B$7=IFERROR(INDEX('Category Dictionary'!$C$5:$C$135,MATCH($L290,'Category Dictionary'!$D$5:$D$135,0)),"")),OR('Assignment Builder'!$B$8="",$D290='Assignment Builder'!$B$8),OR('Assignment Builder'!$B$9="",$F290='Assignment Builder'!$B$9),OR('Assignment Builder'!$B$10="",$O290='Assignment Builder'!$B$10),OR('Assignment Builder'!$B$11="",$H290&gt;='Assignment Builder'!$B$11),OR('Assignment Builder'!$B$12="",N($Q290)&lt;='Assignment Builder'!$B$12)))</f>
        <v/>
      </c>
      <c r="T290" s="23" t="n"/>
    </row>
    <row r="291">
      <c r="A291" s="23" t="n"/>
      <c r="B291" s="23" t="n"/>
      <c r="C291" s="24" t="n"/>
      <c r="D291" s="15" t="n"/>
      <c r="E291" s="23" t="n"/>
      <c r="F291" s="15" t="n"/>
      <c r="G291" s="23" t="n"/>
      <c r="H291" s="25" t="n"/>
      <c r="I291" s="15" t="n"/>
      <c r="J291" s="26">
        <f>IF($A291="","",LEN($C291)-LEN(SUBSTITUTE($C291,",",""))+1)</f>
        <v/>
      </c>
      <c r="K291" s="26">
        <f>IF($A291="","",SUMPRODUCT(--ISNUMBER(SEARCH('Category Dictionary'!$D$5:$D$135&amp;"",$C291)),--('Category Dictionary'!$D$5:$D$135&lt;&gt;"")))</f>
        <v/>
      </c>
      <c r="L291" s="27">
        <f>IF($A291="","",TRIM(IF(ISERROR(FIND(",",$C291)),$C291,LEFT($C291,FIND(",",$C291)-1))))</f>
        <v/>
      </c>
      <c r="M291" s="28">
        <f>IF($H291="","",DATE(YEAR($H291),MONTH($H291),1))</f>
        <v/>
      </c>
      <c r="N291" s="26">
        <f>IF($H291="","",TODAY()-$H291)</f>
        <v/>
      </c>
      <c r="O291" s="15" t="n"/>
      <c r="P291" s="15" t="n"/>
      <c r="Q291" s="15" t="n"/>
      <c r="R291" s="25" t="n"/>
      <c r="S291" s="26">
        <f>IF($A291="","",AND(OR('Assignment Builder'!$B$5="",$B291='Assignment Builder'!$B$5),OR('Assignment Builder'!$B$6="",ISNUMBER(SEARCH('Assignment Builder'!$B$6,$C291))),OR('Assignment Builder'!$B$7="",'Assignment Builder'!$B$7=IFERROR(INDEX('Category Dictionary'!$C$5:$C$135,MATCH($L291,'Category Dictionary'!$D$5:$D$135,0)),"")),OR('Assignment Builder'!$B$8="",$D291='Assignment Builder'!$B$8),OR('Assignment Builder'!$B$9="",$F291='Assignment Builder'!$B$9),OR('Assignment Builder'!$B$10="",$O291='Assignment Builder'!$B$10),OR('Assignment Builder'!$B$11="",$H291&gt;='Assignment Builder'!$B$11),OR('Assignment Builder'!$B$12="",N($Q291)&lt;='Assignment Builder'!$B$12)))</f>
        <v/>
      </c>
      <c r="T291" s="23" t="n"/>
    </row>
    <row r="292">
      <c r="A292" s="23" t="n"/>
      <c r="B292" s="23" t="n"/>
      <c r="C292" s="24" t="n"/>
      <c r="D292" s="15" t="n"/>
      <c r="E292" s="23" t="n"/>
      <c r="F292" s="15" t="n"/>
      <c r="G292" s="23" t="n"/>
      <c r="H292" s="25" t="n"/>
      <c r="I292" s="15" t="n"/>
      <c r="J292" s="26">
        <f>IF($A292="","",LEN($C292)-LEN(SUBSTITUTE($C292,",",""))+1)</f>
        <v/>
      </c>
      <c r="K292" s="26">
        <f>IF($A292="","",SUMPRODUCT(--ISNUMBER(SEARCH('Category Dictionary'!$D$5:$D$135&amp;"",$C292)),--('Category Dictionary'!$D$5:$D$135&lt;&gt;"")))</f>
        <v/>
      </c>
      <c r="L292" s="27">
        <f>IF($A292="","",TRIM(IF(ISERROR(FIND(",",$C292)),$C292,LEFT($C292,FIND(",",$C292)-1))))</f>
        <v/>
      </c>
      <c r="M292" s="28">
        <f>IF($H292="","",DATE(YEAR($H292),MONTH($H292),1))</f>
        <v/>
      </c>
      <c r="N292" s="26">
        <f>IF($H292="","",TODAY()-$H292)</f>
        <v/>
      </c>
      <c r="O292" s="15" t="n"/>
      <c r="P292" s="15" t="n"/>
      <c r="Q292" s="15" t="n"/>
      <c r="R292" s="25" t="n"/>
      <c r="S292" s="26">
        <f>IF($A292="","",AND(OR('Assignment Builder'!$B$5="",$B292='Assignment Builder'!$B$5),OR('Assignment Builder'!$B$6="",ISNUMBER(SEARCH('Assignment Builder'!$B$6,$C292))),OR('Assignment Builder'!$B$7="",'Assignment Builder'!$B$7=IFERROR(INDEX('Category Dictionary'!$C$5:$C$135,MATCH($L292,'Category Dictionary'!$D$5:$D$135,0)),"")),OR('Assignment Builder'!$B$8="",$D292='Assignment Builder'!$B$8),OR('Assignment Builder'!$B$9="",$F292='Assignment Builder'!$B$9),OR('Assignment Builder'!$B$10="",$O292='Assignment Builder'!$B$10),OR('Assignment Builder'!$B$11="",$H292&gt;='Assignment Builder'!$B$11),OR('Assignment Builder'!$B$12="",N($Q292)&lt;='Assignment Builder'!$B$12)))</f>
        <v/>
      </c>
      <c r="T292" s="23" t="n"/>
    </row>
    <row r="293">
      <c r="A293" s="23" t="n"/>
      <c r="B293" s="23" t="n"/>
      <c r="C293" s="24" t="n"/>
      <c r="D293" s="15" t="n"/>
      <c r="E293" s="23" t="n"/>
      <c r="F293" s="15" t="n"/>
      <c r="G293" s="23" t="n"/>
      <c r="H293" s="25" t="n"/>
      <c r="I293" s="15" t="n"/>
      <c r="J293" s="26">
        <f>IF($A293="","",LEN($C293)-LEN(SUBSTITUTE($C293,",",""))+1)</f>
        <v/>
      </c>
      <c r="K293" s="26">
        <f>IF($A293="","",SUMPRODUCT(--ISNUMBER(SEARCH('Category Dictionary'!$D$5:$D$135&amp;"",$C293)),--('Category Dictionary'!$D$5:$D$135&lt;&gt;"")))</f>
        <v/>
      </c>
      <c r="L293" s="27">
        <f>IF($A293="","",TRIM(IF(ISERROR(FIND(",",$C293)),$C293,LEFT($C293,FIND(",",$C293)-1))))</f>
        <v/>
      </c>
      <c r="M293" s="28">
        <f>IF($H293="","",DATE(YEAR($H293),MONTH($H293),1))</f>
        <v/>
      </c>
      <c r="N293" s="26">
        <f>IF($H293="","",TODAY()-$H293)</f>
        <v/>
      </c>
      <c r="O293" s="15" t="n"/>
      <c r="P293" s="15" t="n"/>
      <c r="Q293" s="15" t="n"/>
      <c r="R293" s="25" t="n"/>
      <c r="S293" s="26">
        <f>IF($A293="","",AND(OR('Assignment Builder'!$B$5="",$B293='Assignment Builder'!$B$5),OR('Assignment Builder'!$B$6="",ISNUMBER(SEARCH('Assignment Builder'!$B$6,$C293))),OR('Assignment Builder'!$B$7="",'Assignment Builder'!$B$7=IFERROR(INDEX('Category Dictionary'!$C$5:$C$135,MATCH($L293,'Category Dictionary'!$D$5:$D$135,0)),"")),OR('Assignment Builder'!$B$8="",$D293='Assignment Builder'!$B$8),OR('Assignment Builder'!$B$9="",$F293='Assignment Builder'!$B$9),OR('Assignment Builder'!$B$10="",$O293='Assignment Builder'!$B$10),OR('Assignment Builder'!$B$11="",$H293&gt;='Assignment Builder'!$B$11),OR('Assignment Builder'!$B$12="",N($Q293)&lt;='Assignment Builder'!$B$12)))</f>
        <v/>
      </c>
      <c r="T293" s="23" t="n"/>
    </row>
    <row r="294">
      <c r="A294" s="23" t="n"/>
      <c r="B294" s="23" t="n"/>
      <c r="C294" s="24" t="n"/>
      <c r="D294" s="15" t="n"/>
      <c r="E294" s="23" t="n"/>
      <c r="F294" s="15" t="n"/>
      <c r="G294" s="23" t="n"/>
      <c r="H294" s="25" t="n"/>
      <c r="I294" s="15" t="n"/>
      <c r="J294" s="26">
        <f>IF($A294="","",LEN($C294)-LEN(SUBSTITUTE($C294,",",""))+1)</f>
        <v/>
      </c>
      <c r="K294" s="26">
        <f>IF($A294="","",SUMPRODUCT(--ISNUMBER(SEARCH('Category Dictionary'!$D$5:$D$135&amp;"",$C294)),--('Category Dictionary'!$D$5:$D$135&lt;&gt;"")))</f>
        <v/>
      </c>
      <c r="L294" s="27">
        <f>IF($A294="","",TRIM(IF(ISERROR(FIND(",",$C294)),$C294,LEFT($C294,FIND(",",$C294)-1))))</f>
        <v/>
      </c>
      <c r="M294" s="28">
        <f>IF($H294="","",DATE(YEAR($H294),MONTH($H294),1))</f>
        <v/>
      </c>
      <c r="N294" s="26">
        <f>IF($H294="","",TODAY()-$H294)</f>
        <v/>
      </c>
      <c r="O294" s="15" t="n"/>
      <c r="P294" s="15" t="n"/>
      <c r="Q294" s="15" t="n"/>
      <c r="R294" s="25" t="n"/>
      <c r="S294" s="26">
        <f>IF($A294="","",AND(OR('Assignment Builder'!$B$5="",$B294='Assignment Builder'!$B$5),OR('Assignment Builder'!$B$6="",ISNUMBER(SEARCH('Assignment Builder'!$B$6,$C294))),OR('Assignment Builder'!$B$7="",'Assignment Builder'!$B$7=IFERROR(INDEX('Category Dictionary'!$C$5:$C$135,MATCH($L294,'Category Dictionary'!$D$5:$D$135,0)),"")),OR('Assignment Builder'!$B$8="",$D294='Assignment Builder'!$B$8),OR('Assignment Builder'!$B$9="",$F294='Assignment Builder'!$B$9),OR('Assignment Builder'!$B$10="",$O294='Assignment Builder'!$B$10),OR('Assignment Builder'!$B$11="",$H294&gt;='Assignment Builder'!$B$11),OR('Assignment Builder'!$B$12="",N($Q294)&lt;='Assignment Builder'!$B$12)))</f>
        <v/>
      </c>
      <c r="T294" s="23" t="n"/>
    </row>
    <row r="295">
      <c r="A295" s="23" t="n"/>
      <c r="B295" s="23" t="n"/>
      <c r="C295" s="24" t="n"/>
      <c r="D295" s="15" t="n"/>
      <c r="E295" s="23" t="n"/>
      <c r="F295" s="15" t="n"/>
      <c r="G295" s="23" t="n"/>
      <c r="H295" s="25" t="n"/>
      <c r="I295" s="15" t="n"/>
      <c r="J295" s="26">
        <f>IF($A295="","",LEN($C295)-LEN(SUBSTITUTE($C295,",",""))+1)</f>
        <v/>
      </c>
      <c r="K295" s="26">
        <f>IF($A295="","",SUMPRODUCT(--ISNUMBER(SEARCH('Category Dictionary'!$D$5:$D$135&amp;"",$C295)),--('Category Dictionary'!$D$5:$D$135&lt;&gt;"")))</f>
        <v/>
      </c>
      <c r="L295" s="27">
        <f>IF($A295="","",TRIM(IF(ISERROR(FIND(",",$C295)),$C295,LEFT($C295,FIND(",",$C295)-1))))</f>
        <v/>
      </c>
      <c r="M295" s="28">
        <f>IF($H295="","",DATE(YEAR($H295),MONTH($H295),1))</f>
        <v/>
      </c>
      <c r="N295" s="26">
        <f>IF($H295="","",TODAY()-$H295)</f>
        <v/>
      </c>
      <c r="O295" s="15" t="n"/>
      <c r="P295" s="15" t="n"/>
      <c r="Q295" s="15" t="n"/>
      <c r="R295" s="25" t="n"/>
      <c r="S295" s="26">
        <f>IF($A295="","",AND(OR('Assignment Builder'!$B$5="",$B295='Assignment Builder'!$B$5),OR('Assignment Builder'!$B$6="",ISNUMBER(SEARCH('Assignment Builder'!$B$6,$C295))),OR('Assignment Builder'!$B$7="",'Assignment Builder'!$B$7=IFERROR(INDEX('Category Dictionary'!$C$5:$C$135,MATCH($L295,'Category Dictionary'!$D$5:$D$135,0)),"")),OR('Assignment Builder'!$B$8="",$D295='Assignment Builder'!$B$8),OR('Assignment Builder'!$B$9="",$F295='Assignment Builder'!$B$9),OR('Assignment Builder'!$B$10="",$O295='Assignment Builder'!$B$10),OR('Assignment Builder'!$B$11="",$H295&gt;='Assignment Builder'!$B$11),OR('Assignment Builder'!$B$12="",N($Q295)&lt;='Assignment Builder'!$B$12)))</f>
        <v/>
      </c>
      <c r="T295" s="23" t="n"/>
    </row>
    <row r="296">
      <c r="A296" s="23" t="n"/>
      <c r="B296" s="23" t="n"/>
      <c r="C296" s="24" t="n"/>
      <c r="D296" s="15" t="n"/>
      <c r="E296" s="23" t="n"/>
      <c r="F296" s="15" t="n"/>
      <c r="G296" s="23" t="n"/>
      <c r="H296" s="25" t="n"/>
      <c r="I296" s="15" t="n"/>
      <c r="J296" s="26">
        <f>IF($A296="","",LEN($C296)-LEN(SUBSTITUTE($C296,",",""))+1)</f>
        <v/>
      </c>
      <c r="K296" s="26">
        <f>IF($A296="","",SUMPRODUCT(--ISNUMBER(SEARCH('Category Dictionary'!$D$5:$D$135&amp;"",$C296)),--('Category Dictionary'!$D$5:$D$135&lt;&gt;"")))</f>
        <v/>
      </c>
      <c r="L296" s="27">
        <f>IF($A296="","",TRIM(IF(ISERROR(FIND(",",$C296)),$C296,LEFT($C296,FIND(",",$C296)-1))))</f>
        <v/>
      </c>
      <c r="M296" s="28">
        <f>IF($H296="","",DATE(YEAR($H296),MONTH($H296),1))</f>
        <v/>
      </c>
      <c r="N296" s="26">
        <f>IF($H296="","",TODAY()-$H296)</f>
        <v/>
      </c>
      <c r="O296" s="15" t="n"/>
      <c r="P296" s="15" t="n"/>
      <c r="Q296" s="15" t="n"/>
      <c r="R296" s="25" t="n"/>
      <c r="S296" s="26">
        <f>IF($A296="","",AND(OR('Assignment Builder'!$B$5="",$B296='Assignment Builder'!$B$5),OR('Assignment Builder'!$B$6="",ISNUMBER(SEARCH('Assignment Builder'!$B$6,$C296))),OR('Assignment Builder'!$B$7="",'Assignment Builder'!$B$7=IFERROR(INDEX('Category Dictionary'!$C$5:$C$135,MATCH($L296,'Category Dictionary'!$D$5:$D$135,0)),"")),OR('Assignment Builder'!$B$8="",$D296='Assignment Builder'!$B$8),OR('Assignment Builder'!$B$9="",$F296='Assignment Builder'!$B$9),OR('Assignment Builder'!$B$10="",$O296='Assignment Builder'!$B$10),OR('Assignment Builder'!$B$11="",$H296&gt;='Assignment Builder'!$B$11),OR('Assignment Builder'!$B$12="",N($Q296)&lt;='Assignment Builder'!$B$12)))</f>
        <v/>
      </c>
      <c r="T296" s="23" t="n"/>
    </row>
    <row r="297">
      <c r="A297" s="23" t="n"/>
      <c r="B297" s="23" t="n"/>
      <c r="C297" s="24" t="n"/>
      <c r="D297" s="15" t="n"/>
      <c r="E297" s="23" t="n"/>
      <c r="F297" s="15" t="n"/>
      <c r="G297" s="23" t="n"/>
      <c r="H297" s="25" t="n"/>
      <c r="I297" s="15" t="n"/>
      <c r="J297" s="26">
        <f>IF($A297="","",LEN($C297)-LEN(SUBSTITUTE($C297,",",""))+1)</f>
        <v/>
      </c>
      <c r="K297" s="26">
        <f>IF($A297="","",SUMPRODUCT(--ISNUMBER(SEARCH('Category Dictionary'!$D$5:$D$135&amp;"",$C297)),--('Category Dictionary'!$D$5:$D$135&lt;&gt;"")))</f>
        <v/>
      </c>
      <c r="L297" s="27">
        <f>IF($A297="","",TRIM(IF(ISERROR(FIND(",",$C297)),$C297,LEFT($C297,FIND(",",$C297)-1))))</f>
        <v/>
      </c>
      <c r="M297" s="28">
        <f>IF($H297="","",DATE(YEAR($H297),MONTH($H297),1))</f>
        <v/>
      </c>
      <c r="N297" s="26">
        <f>IF($H297="","",TODAY()-$H297)</f>
        <v/>
      </c>
      <c r="O297" s="15" t="n"/>
      <c r="P297" s="15" t="n"/>
      <c r="Q297" s="15" t="n"/>
      <c r="R297" s="25" t="n"/>
      <c r="S297" s="26">
        <f>IF($A297="","",AND(OR('Assignment Builder'!$B$5="",$B297='Assignment Builder'!$B$5),OR('Assignment Builder'!$B$6="",ISNUMBER(SEARCH('Assignment Builder'!$B$6,$C297))),OR('Assignment Builder'!$B$7="",'Assignment Builder'!$B$7=IFERROR(INDEX('Category Dictionary'!$C$5:$C$135,MATCH($L297,'Category Dictionary'!$D$5:$D$135,0)),"")),OR('Assignment Builder'!$B$8="",$D297='Assignment Builder'!$B$8),OR('Assignment Builder'!$B$9="",$F297='Assignment Builder'!$B$9),OR('Assignment Builder'!$B$10="",$O297='Assignment Builder'!$B$10),OR('Assignment Builder'!$B$11="",$H297&gt;='Assignment Builder'!$B$11),OR('Assignment Builder'!$B$12="",N($Q297)&lt;='Assignment Builder'!$B$12)))</f>
        <v/>
      </c>
      <c r="T297" s="23" t="n"/>
    </row>
    <row r="298">
      <c r="A298" s="23" t="n"/>
      <c r="B298" s="23" t="n"/>
      <c r="C298" s="24" t="n"/>
      <c r="D298" s="15" t="n"/>
      <c r="E298" s="23" t="n"/>
      <c r="F298" s="15" t="n"/>
      <c r="G298" s="23" t="n"/>
      <c r="H298" s="25" t="n"/>
      <c r="I298" s="15" t="n"/>
      <c r="J298" s="26">
        <f>IF($A298="","",LEN($C298)-LEN(SUBSTITUTE($C298,",",""))+1)</f>
        <v/>
      </c>
      <c r="K298" s="26">
        <f>IF($A298="","",SUMPRODUCT(--ISNUMBER(SEARCH('Category Dictionary'!$D$5:$D$135&amp;"",$C298)),--('Category Dictionary'!$D$5:$D$135&lt;&gt;"")))</f>
        <v/>
      </c>
      <c r="L298" s="27">
        <f>IF($A298="","",TRIM(IF(ISERROR(FIND(",",$C298)),$C298,LEFT($C298,FIND(",",$C298)-1))))</f>
        <v/>
      </c>
      <c r="M298" s="28">
        <f>IF($H298="","",DATE(YEAR($H298),MONTH($H298),1))</f>
        <v/>
      </c>
      <c r="N298" s="26">
        <f>IF($H298="","",TODAY()-$H298)</f>
        <v/>
      </c>
      <c r="O298" s="15" t="n"/>
      <c r="P298" s="15" t="n"/>
      <c r="Q298" s="15" t="n"/>
      <c r="R298" s="25" t="n"/>
      <c r="S298" s="26">
        <f>IF($A298="","",AND(OR('Assignment Builder'!$B$5="",$B298='Assignment Builder'!$B$5),OR('Assignment Builder'!$B$6="",ISNUMBER(SEARCH('Assignment Builder'!$B$6,$C298))),OR('Assignment Builder'!$B$7="",'Assignment Builder'!$B$7=IFERROR(INDEX('Category Dictionary'!$C$5:$C$135,MATCH($L298,'Category Dictionary'!$D$5:$D$135,0)),"")),OR('Assignment Builder'!$B$8="",$D298='Assignment Builder'!$B$8),OR('Assignment Builder'!$B$9="",$F298='Assignment Builder'!$B$9),OR('Assignment Builder'!$B$10="",$O298='Assignment Builder'!$B$10),OR('Assignment Builder'!$B$11="",$H298&gt;='Assignment Builder'!$B$11),OR('Assignment Builder'!$B$12="",N($Q298)&lt;='Assignment Builder'!$B$12)))</f>
        <v/>
      </c>
      <c r="T298" s="23" t="n"/>
    </row>
    <row r="299">
      <c r="A299" s="23" t="n"/>
      <c r="B299" s="23" t="n"/>
      <c r="C299" s="24" t="n"/>
      <c r="D299" s="15" t="n"/>
      <c r="E299" s="23" t="n"/>
      <c r="F299" s="15" t="n"/>
      <c r="G299" s="23" t="n"/>
      <c r="H299" s="25" t="n"/>
      <c r="I299" s="15" t="n"/>
      <c r="J299" s="26">
        <f>IF($A299="","",LEN($C299)-LEN(SUBSTITUTE($C299,",",""))+1)</f>
        <v/>
      </c>
      <c r="K299" s="26">
        <f>IF($A299="","",SUMPRODUCT(--ISNUMBER(SEARCH('Category Dictionary'!$D$5:$D$135&amp;"",$C299)),--('Category Dictionary'!$D$5:$D$135&lt;&gt;"")))</f>
        <v/>
      </c>
      <c r="L299" s="27">
        <f>IF($A299="","",TRIM(IF(ISERROR(FIND(",",$C299)),$C299,LEFT($C299,FIND(",",$C299)-1))))</f>
        <v/>
      </c>
      <c r="M299" s="28">
        <f>IF($H299="","",DATE(YEAR($H299),MONTH($H299),1))</f>
        <v/>
      </c>
      <c r="N299" s="26">
        <f>IF($H299="","",TODAY()-$H299)</f>
        <v/>
      </c>
      <c r="O299" s="15" t="n"/>
      <c r="P299" s="15" t="n"/>
      <c r="Q299" s="15" t="n"/>
      <c r="R299" s="25" t="n"/>
      <c r="S299" s="26">
        <f>IF($A299="","",AND(OR('Assignment Builder'!$B$5="",$B299='Assignment Builder'!$B$5),OR('Assignment Builder'!$B$6="",ISNUMBER(SEARCH('Assignment Builder'!$B$6,$C299))),OR('Assignment Builder'!$B$7="",'Assignment Builder'!$B$7=IFERROR(INDEX('Category Dictionary'!$C$5:$C$135,MATCH($L299,'Category Dictionary'!$D$5:$D$135,0)),"")),OR('Assignment Builder'!$B$8="",$D299='Assignment Builder'!$B$8),OR('Assignment Builder'!$B$9="",$F299='Assignment Builder'!$B$9),OR('Assignment Builder'!$B$10="",$O299='Assignment Builder'!$B$10),OR('Assignment Builder'!$B$11="",$H299&gt;='Assignment Builder'!$B$11),OR('Assignment Builder'!$B$12="",N($Q299)&lt;='Assignment Builder'!$B$12)))</f>
        <v/>
      </c>
      <c r="T299" s="23" t="n"/>
    </row>
    <row r="300">
      <c r="A300" s="23" t="n"/>
      <c r="B300" s="23" t="n"/>
      <c r="C300" s="24" t="n"/>
      <c r="D300" s="15" t="n"/>
      <c r="E300" s="23" t="n"/>
      <c r="F300" s="15" t="n"/>
      <c r="G300" s="23" t="n"/>
      <c r="H300" s="25" t="n"/>
      <c r="I300" s="15" t="n"/>
      <c r="J300" s="26">
        <f>IF($A300="","",LEN($C300)-LEN(SUBSTITUTE($C300,",",""))+1)</f>
        <v/>
      </c>
      <c r="K300" s="26">
        <f>IF($A300="","",SUMPRODUCT(--ISNUMBER(SEARCH('Category Dictionary'!$D$5:$D$135&amp;"",$C300)),--('Category Dictionary'!$D$5:$D$135&lt;&gt;"")))</f>
        <v/>
      </c>
      <c r="L300" s="27">
        <f>IF($A300="","",TRIM(IF(ISERROR(FIND(",",$C300)),$C300,LEFT($C300,FIND(",",$C300)-1))))</f>
        <v/>
      </c>
      <c r="M300" s="28">
        <f>IF($H300="","",DATE(YEAR($H300),MONTH($H300),1))</f>
        <v/>
      </c>
      <c r="N300" s="26">
        <f>IF($H300="","",TODAY()-$H300)</f>
        <v/>
      </c>
      <c r="O300" s="15" t="n"/>
      <c r="P300" s="15" t="n"/>
      <c r="Q300" s="15" t="n"/>
      <c r="R300" s="25" t="n"/>
      <c r="S300" s="26">
        <f>IF($A300="","",AND(OR('Assignment Builder'!$B$5="",$B300='Assignment Builder'!$B$5),OR('Assignment Builder'!$B$6="",ISNUMBER(SEARCH('Assignment Builder'!$B$6,$C300))),OR('Assignment Builder'!$B$7="",'Assignment Builder'!$B$7=IFERROR(INDEX('Category Dictionary'!$C$5:$C$135,MATCH($L300,'Category Dictionary'!$D$5:$D$135,0)),"")),OR('Assignment Builder'!$B$8="",$D300='Assignment Builder'!$B$8),OR('Assignment Builder'!$B$9="",$F300='Assignment Builder'!$B$9),OR('Assignment Builder'!$B$10="",$O300='Assignment Builder'!$B$10),OR('Assignment Builder'!$B$11="",$H300&gt;='Assignment Builder'!$B$11),OR('Assignment Builder'!$B$12="",N($Q300)&lt;='Assignment Builder'!$B$12)))</f>
        <v/>
      </c>
      <c r="T300" s="23" t="n"/>
    </row>
    <row r="301">
      <c r="A301" s="23" t="n"/>
      <c r="B301" s="23" t="n"/>
      <c r="C301" s="24" t="n"/>
      <c r="D301" s="15" t="n"/>
      <c r="E301" s="23" t="n"/>
      <c r="F301" s="15" t="n"/>
      <c r="G301" s="23" t="n"/>
      <c r="H301" s="25" t="n"/>
      <c r="I301" s="15" t="n"/>
      <c r="J301" s="26">
        <f>IF($A301="","",LEN($C301)-LEN(SUBSTITUTE($C301,",",""))+1)</f>
        <v/>
      </c>
      <c r="K301" s="26">
        <f>IF($A301="","",SUMPRODUCT(--ISNUMBER(SEARCH('Category Dictionary'!$D$5:$D$135&amp;"",$C301)),--('Category Dictionary'!$D$5:$D$135&lt;&gt;"")))</f>
        <v/>
      </c>
      <c r="L301" s="27">
        <f>IF($A301="","",TRIM(IF(ISERROR(FIND(",",$C301)),$C301,LEFT($C301,FIND(",",$C301)-1))))</f>
        <v/>
      </c>
      <c r="M301" s="28">
        <f>IF($H301="","",DATE(YEAR($H301),MONTH($H301),1))</f>
        <v/>
      </c>
      <c r="N301" s="26">
        <f>IF($H301="","",TODAY()-$H301)</f>
        <v/>
      </c>
      <c r="O301" s="15" t="n"/>
      <c r="P301" s="15" t="n"/>
      <c r="Q301" s="15" t="n"/>
      <c r="R301" s="25" t="n"/>
      <c r="S301" s="26">
        <f>IF($A301="","",AND(OR('Assignment Builder'!$B$5="",$B301='Assignment Builder'!$B$5),OR('Assignment Builder'!$B$6="",ISNUMBER(SEARCH('Assignment Builder'!$B$6,$C301))),OR('Assignment Builder'!$B$7="",'Assignment Builder'!$B$7=IFERROR(INDEX('Category Dictionary'!$C$5:$C$135,MATCH($L301,'Category Dictionary'!$D$5:$D$135,0)),"")),OR('Assignment Builder'!$B$8="",$D301='Assignment Builder'!$B$8),OR('Assignment Builder'!$B$9="",$F301='Assignment Builder'!$B$9),OR('Assignment Builder'!$B$10="",$O301='Assignment Builder'!$B$10),OR('Assignment Builder'!$B$11="",$H301&gt;='Assignment Builder'!$B$11),OR('Assignment Builder'!$B$12="",N($Q301)&lt;='Assignment Builder'!$B$12)))</f>
        <v/>
      </c>
      <c r="T301" s="23" t="n"/>
    </row>
    <row r="302">
      <c r="A302" s="23" t="n"/>
      <c r="B302" s="23" t="n"/>
      <c r="C302" s="24" t="n"/>
      <c r="D302" s="15" t="n"/>
      <c r="E302" s="23" t="n"/>
      <c r="F302" s="15" t="n"/>
      <c r="G302" s="23" t="n"/>
      <c r="H302" s="25" t="n"/>
      <c r="I302" s="15" t="n"/>
      <c r="J302" s="26">
        <f>IF($A302="","",LEN($C302)-LEN(SUBSTITUTE($C302,",",""))+1)</f>
        <v/>
      </c>
      <c r="K302" s="26">
        <f>IF($A302="","",SUMPRODUCT(--ISNUMBER(SEARCH('Category Dictionary'!$D$5:$D$135&amp;"",$C302)),--('Category Dictionary'!$D$5:$D$135&lt;&gt;"")))</f>
        <v/>
      </c>
      <c r="L302" s="27">
        <f>IF($A302="","",TRIM(IF(ISERROR(FIND(",",$C302)),$C302,LEFT($C302,FIND(",",$C302)-1))))</f>
        <v/>
      </c>
      <c r="M302" s="28">
        <f>IF($H302="","",DATE(YEAR($H302),MONTH($H302),1))</f>
        <v/>
      </c>
      <c r="N302" s="26">
        <f>IF($H302="","",TODAY()-$H302)</f>
        <v/>
      </c>
      <c r="O302" s="15" t="n"/>
      <c r="P302" s="15" t="n"/>
      <c r="Q302" s="15" t="n"/>
      <c r="R302" s="25" t="n"/>
      <c r="S302" s="26">
        <f>IF($A302="","",AND(OR('Assignment Builder'!$B$5="",$B302='Assignment Builder'!$B$5),OR('Assignment Builder'!$B$6="",ISNUMBER(SEARCH('Assignment Builder'!$B$6,$C302))),OR('Assignment Builder'!$B$7="",'Assignment Builder'!$B$7=IFERROR(INDEX('Category Dictionary'!$C$5:$C$135,MATCH($L302,'Category Dictionary'!$D$5:$D$135,0)),"")),OR('Assignment Builder'!$B$8="",$D302='Assignment Builder'!$B$8),OR('Assignment Builder'!$B$9="",$F302='Assignment Builder'!$B$9),OR('Assignment Builder'!$B$10="",$O302='Assignment Builder'!$B$10),OR('Assignment Builder'!$B$11="",$H302&gt;='Assignment Builder'!$B$11),OR('Assignment Builder'!$B$12="",N($Q302)&lt;='Assignment Builder'!$B$12)))</f>
        <v/>
      </c>
      <c r="T302" s="23" t="n"/>
    </row>
    <row r="303">
      <c r="A303" s="23" t="n"/>
      <c r="B303" s="23" t="n"/>
      <c r="C303" s="24" t="n"/>
      <c r="D303" s="15" t="n"/>
      <c r="E303" s="23" t="n"/>
      <c r="F303" s="15" t="n"/>
      <c r="G303" s="23" t="n"/>
      <c r="H303" s="25" t="n"/>
      <c r="I303" s="15" t="n"/>
      <c r="J303" s="26">
        <f>IF($A303="","",LEN($C303)-LEN(SUBSTITUTE($C303,",",""))+1)</f>
        <v/>
      </c>
      <c r="K303" s="26">
        <f>IF($A303="","",SUMPRODUCT(--ISNUMBER(SEARCH('Category Dictionary'!$D$5:$D$135&amp;"",$C303)),--('Category Dictionary'!$D$5:$D$135&lt;&gt;"")))</f>
        <v/>
      </c>
      <c r="L303" s="27">
        <f>IF($A303="","",TRIM(IF(ISERROR(FIND(",",$C303)),$C303,LEFT($C303,FIND(",",$C303)-1))))</f>
        <v/>
      </c>
      <c r="M303" s="28">
        <f>IF($H303="","",DATE(YEAR($H303),MONTH($H303),1))</f>
        <v/>
      </c>
      <c r="N303" s="26">
        <f>IF($H303="","",TODAY()-$H303)</f>
        <v/>
      </c>
      <c r="O303" s="15" t="n"/>
      <c r="P303" s="15" t="n"/>
      <c r="Q303" s="15" t="n"/>
      <c r="R303" s="25" t="n"/>
      <c r="S303" s="26">
        <f>IF($A303="","",AND(OR('Assignment Builder'!$B$5="",$B303='Assignment Builder'!$B$5),OR('Assignment Builder'!$B$6="",ISNUMBER(SEARCH('Assignment Builder'!$B$6,$C303))),OR('Assignment Builder'!$B$7="",'Assignment Builder'!$B$7=IFERROR(INDEX('Category Dictionary'!$C$5:$C$135,MATCH($L303,'Category Dictionary'!$D$5:$D$135,0)),"")),OR('Assignment Builder'!$B$8="",$D303='Assignment Builder'!$B$8),OR('Assignment Builder'!$B$9="",$F303='Assignment Builder'!$B$9),OR('Assignment Builder'!$B$10="",$O303='Assignment Builder'!$B$10),OR('Assignment Builder'!$B$11="",$H303&gt;='Assignment Builder'!$B$11),OR('Assignment Builder'!$B$12="",N($Q303)&lt;='Assignment Builder'!$B$12)))</f>
        <v/>
      </c>
      <c r="T303" s="23" t="n"/>
    </row>
    <row r="304">
      <c r="A304" s="23" t="n"/>
      <c r="B304" s="23" t="n"/>
      <c r="C304" s="24" t="n"/>
      <c r="D304" s="15" t="n"/>
      <c r="E304" s="23" t="n"/>
      <c r="F304" s="15" t="n"/>
      <c r="G304" s="23" t="n"/>
      <c r="H304" s="25" t="n"/>
      <c r="I304" s="15" t="n"/>
      <c r="J304" s="26">
        <f>IF($A304="","",LEN($C304)-LEN(SUBSTITUTE($C304,",",""))+1)</f>
        <v/>
      </c>
      <c r="K304" s="26">
        <f>IF($A304="","",SUMPRODUCT(--ISNUMBER(SEARCH('Category Dictionary'!$D$5:$D$135&amp;"",$C304)),--('Category Dictionary'!$D$5:$D$135&lt;&gt;"")))</f>
        <v/>
      </c>
      <c r="L304" s="27">
        <f>IF($A304="","",TRIM(IF(ISERROR(FIND(",",$C304)),$C304,LEFT($C304,FIND(",",$C304)-1))))</f>
        <v/>
      </c>
      <c r="M304" s="28">
        <f>IF($H304="","",DATE(YEAR($H304),MONTH($H304),1))</f>
        <v/>
      </c>
      <c r="N304" s="26">
        <f>IF($H304="","",TODAY()-$H304)</f>
        <v/>
      </c>
      <c r="O304" s="15" t="n"/>
      <c r="P304" s="15" t="n"/>
      <c r="Q304" s="15" t="n"/>
      <c r="R304" s="25" t="n"/>
      <c r="S304" s="26">
        <f>IF($A304="","",AND(OR('Assignment Builder'!$B$5="",$B304='Assignment Builder'!$B$5),OR('Assignment Builder'!$B$6="",ISNUMBER(SEARCH('Assignment Builder'!$B$6,$C304))),OR('Assignment Builder'!$B$7="",'Assignment Builder'!$B$7=IFERROR(INDEX('Category Dictionary'!$C$5:$C$135,MATCH($L304,'Category Dictionary'!$D$5:$D$135,0)),"")),OR('Assignment Builder'!$B$8="",$D304='Assignment Builder'!$B$8),OR('Assignment Builder'!$B$9="",$F304='Assignment Builder'!$B$9),OR('Assignment Builder'!$B$10="",$O304='Assignment Builder'!$B$10),OR('Assignment Builder'!$B$11="",$H304&gt;='Assignment Builder'!$B$11),OR('Assignment Builder'!$B$12="",N($Q304)&lt;='Assignment Builder'!$B$12)))</f>
        <v/>
      </c>
      <c r="T304" s="23" t="n"/>
    </row>
    <row r="305">
      <c r="A305" s="23" t="n"/>
      <c r="B305" s="23" t="n"/>
      <c r="C305" s="24" t="n"/>
      <c r="D305" s="15" t="n"/>
      <c r="E305" s="23" t="n"/>
      <c r="F305" s="15" t="n"/>
      <c r="G305" s="23" t="n"/>
      <c r="H305" s="25" t="n"/>
      <c r="I305" s="15" t="n"/>
      <c r="J305" s="26">
        <f>IF($A305="","",LEN($C305)-LEN(SUBSTITUTE($C305,",",""))+1)</f>
        <v/>
      </c>
      <c r="K305" s="26">
        <f>IF($A305="","",SUMPRODUCT(--ISNUMBER(SEARCH('Category Dictionary'!$D$5:$D$135&amp;"",$C305)),--('Category Dictionary'!$D$5:$D$135&lt;&gt;"")))</f>
        <v/>
      </c>
      <c r="L305" s="27">
        <f>IF($A305="","",TRIM(IF(ISERROR(FIND(",",$C305)),$C305,LEFT($C305,FIND(",",$C305)-1))))</f>
        <v/>
      </c>
      <c r="M305" s="28">
        <f>IF($H305="","",DATE(YEAR($H305),MONTH($H305),1))</f>
        <v/>
      </c>
      <c r="N305" s="26">
        <f>IF($H305="","",TODAY()-$H305)</f>
        <v/>
      </c>
      <c r="O305" s="15" t="n"/>
      <c r="P305" s="15" t="n"/>
      <c r="Q305" s="15" t="n"/>
      <c r="R305" s="25" t="n"/>
      <c r="S305" s="26">
        <f>IF($A305="","",AND(OR('Assignment Builder'!$B$5="",$B305='Assignment Builder'!$B$5),OR('Assignment Builder'!$B$6="",ISNUMBER(SEARCH('Assignment Builder'!$B$6,$C305))),OR('Assignment Builder'!$B$7="",'Assignment Builder'!$B$7=IFERROR(INDEX('Category Dictionary'!$C$5:$C$135,MATCH($L305,'Category Dictionary'!$D$5:$D$135,0)),"")),OR('Assignment Builder'!$B$8="",$D305='Assignment Builder'!$B$8),OR('Assignment Builder'!$B$9="",$F305='Assignment Builder'!$B$9),OR('Assignment Builder'!$B$10="",$O305='Assignment Builder'!$B$10),OR('Assignment Builder'!$B$11="",$H305&gt;='Assignment Builder'!$B$11),OR('Assignment Builder'!$B$12="",N($Q305)&lt;='Assignment Builder'!$B$12)))</f>
        <v/>
      </c>
      <c r="T305" s="23" t="n"/>
    </row>
    <row r="306">
      <c r="A306" s="23" t="n"/>
      <c r="B306" s="23" t="n"/>
      <c r="C306" s="24" t="n"/>
      <c r="D306" s="15" t="n"/>
      <c r="E306" s="23" t="n"/>
      <c r="F306" s="15" t="n"/>
      <c r="G306" s="23" t="n"/>
      <c r="H306" s="25" t="n"/>
      <c r="I306" s="15" t="n"/>
      <c r="J306" s="26">
        <f>IF($A306="","",LEN($C306)-LEN(SUBSTITUTE($C306,",",""))+1)</f>
        <v/>
      </c>
      <c r="K306" s="26">
        <f>IF($A306="","",SUMPRODUCT(--ISNUMBER(SEARCH('Category Dictionary'!$D$5:$D$135&amp;"",$C306)),--('Category Dictionary'!$D$5:$D$135&lt;&gt;"")))</f>
        <v/>
      </c>
      <c r="L306" s="27">
        <f>IF($A306="","",TRIM(IF(ISERROR(FIND(",",$C306)),$C306,LEFT($C306,FIND(",",$C306)-1))))</f>
        <v/>
      </c>
      <c r="M306" s="28">
        <f>IF($H306="","",DATE(YEAR($H306),MONTH($H306),1))</f>
        <v/>
      </c>
      <c r="N306" s="26">
        <f>IF($H306="","",TODAY()-$H306)</f>
        <v/>
      </c>
      <c r="O306" s="15" t="n"/>
      <c r="P306" s="15" t="n"/>
      <c r="Q306" s="15" t="n"/>
      <c r="R306" s="25" t="n"/>
      <c r="S306" s="26">
        <f>IF($A306="","",AND(OR('Assignment Builder'!$B$5="",$B306='Assignment Builder'!$B$5),OR('Assignment Builder'!$B$6="",ISNUMBER(SEARCH('Assignment Builder'!$B$6,$C306))),OR('Assignment Builder'!$B$7="",'Assignment Builder'!$B$7=IFERROR(INDEX('Category Dictionary'!$C$5:$C$135,MATCH($L306,'Category Dictionary'!$D$5:$D$135,0)),"")),OR('Assignment Builder'!$B$8="",$D306='Assignment Builder'!$B$8),OR('Assignment Builder'!$B$9="",$F306='Assignment Builder'!$B$9),OR('Assignment Builder'!$B$10="",$O306='Assignment Builder'!$B$10),OR('Assignment Builder'!$B$11="",$H306&gt;='Assignment Builder'!$B$11),OR('Assignment Builder'!$B$12="",N($Q306)&lt;='Assignment Builder'!$B$12)))</f>
        <v/>
      </c>
      <c r="T306" s="23" t="n"/>
    </row>
    <row r="307">
      <c r="A307" s="23" t="n"/>
      <c r="B307" s="23" t="n"/>
      <c r="C307" s="24" t="n"/>
      <c r="D307" s="15" t="n"/>
      <c r="E307" s="23" t="n"/>
      <c r="F307" s="15" t="n"/>
      <c r="G307" s="23" t="n"/>
      <c r="H307" s="25" t="n"/>
      <c r="I307" s="15" t="n"/>
      <c r="J307" s="26">
        <f>IF($A307="","",LEN($C307)-LEN(SUBSTITUTE($C307,",",""))+1)</f>
        <v/>
      </c>
      <c r="K307" s="26">
        <f>IF($A307="","",SUMPRODUCT(--ISNUMBER(SEARCH('Category Dictionary'!$D$5:$D$135&amp;"",$C307)),--('Category Dictionary'!$D$5:$D$135&lt;&gt;"")))</f>
        <v/>
      </c>
      <c r="L307" s="27">
        <f>IF($A307="","",TRIM(IF(ISERROR(FIND(",",$C307)),$C307,LEFT($C307,FIND(",",$C307)-1))))</f>
        <v/>
      </c>
      <c r="M307" s="28">
        <f>IF($H307="","",DATE(YEAR($H307),MONTH($H307),1))</f>
        <v/>
      </c>
      <c r="N307" s="26">
        <f>IF($H307="","",TODAY()-$H307)</f>
        <v/>
      </c>
      <c r="O307" s="15" t="n"/>
      <c r="P307" s="15" t="n"/>
      <c r="Q307" s="15" t="n"/>
      <c r="R307" s="25" t="n"/>
      <c r="S307" s="26">
        <f>IF($A307="","",AND(OR('Assignment Builder'!$B$5="",$B307='Assignment Builder'!$B$5),OR('Assignment Builder'!$B$6="",ISNUMBER(SEARCH('Assignment Builder'!$B$6,$C307))),OR('Assignment Builder'!$B$7="",'Assignment Builder'!$B$7=IFERROR(INDEX('Category Dictionary'!$C$5:$C$135,MATCH($L307,'Category Dictionary'!$D$5:$D$135,0)),"")),OR('Assignment Builder'!$B$8="",$D307='Assignment Builder'!$B$8),OR('Assignment Builder'!$B$9="",$F307='Assignment Builder'!$B$9),OR('Assignment Builder'!$B$10="",$O307='Assignment Builder'!$B$10),OR('Assignment Builder'!$B$11="",$H307&gt;='Assignment Builder'!$B$11),OR('Assignment Builder'!$B$12="",N($Q307)&lt;='Assignment Builder'!$B$12)))</f>
        <v/>
      </c>
      <c r="T307" s="23" t="n"/>
    </row>
    <row r="308">
      <c r="A308" s="23" t="n"/>
      <c r="B308" s="23" t="n"/>
      <c r="C308" s="24" t="n"/>
      <c r="D308" s="15" t="n"/>
      <c r="E308" s="23" t="n"/>
      <c r="F308" s="15" t="n"/>
      <c r="G308" s="23" t="n"/>
      <c r="H308" s="25" t="n"/>
      <c r="I308" s="15" t="n"/>
      <c r="J308" s="26">
        <f>IF($A308="","",LEN($C308)-LEN(SUBSTITUTE($C308,",",""))+1)</f>
        <v/>
      </c>
      <c r="K308" s="26">
        <f>IF($A308="","",SUMPRODUCT(--ISNUMBER(SEARCH('Category Dictionary'!$D$5:$D$135&amp;"",$C308)),--('Category Dictionary'!$D$5:$D$135&lt;&gt;"")))</f>
        <v/>
      </c>
      <c r="L308" s="27">
        <f>IF($A308="","",TRIM(IF(ISERROR(FIND(",",$C308)),$C308,LEFT($C308,FIND(",",$C308)-1))))</f>
        <v/>
      </c>
      <c r="M308" s="28">
        <f>IF($H308="","",DATE(YEAR($H308),MONTH($H308),1))</f>
        <v/>
      </c>
      <c r="N308" s="26">
        <f>IF($H308="","",TODAY()-$H308)</f>
        <v/>
      </c>
      <c r="O308" s="15" t="n"/>
      <c r="P308" s="15" t="n"/>
      <c r="Q308" s="15" t="n"/>
      <c r="R308" s="25" t="n"/>
      <c r="S308" s="26">
        <f>IF($A308="","",AND(OR('Assignment Builder'!$B$5="",$B308='Assignment Builder'!$B$5),OR('Assignment Builder'!$B$6="",ISNUMBER(SEARCH('Assignment Builder'!$B$6,$C308))),OR('Assignment Builder'!$B$7="",'Assignment Builder'!$B$7=IFERROR(INDEX('Category Dictionary'!$C$5:$C$135,MATCH($L308,'Category Dictionary'!$D$5:$D$135,0)),"")),OR('Assignment Builder'!$B$8="",$D308='Assignment Builder'!$B$8),OR('Assignment Builder'!$B$9="",$F308='Assignment Builder'!$B$9),OR('Assignment Builder'!$B$10="",$O308='Assignment Builder'!$B$10),OR('Assignment Builder'!$B$11="",$H308&gt;='Assignment Builder'!$B$11),OR('Assignment Builder'!$B$12="",N($Q308)&lt;='Assignment Builder'!$B$12)))</f>
        <v/>
      </c>
      <c r="T308" s="23" t="n"/>
    </row>
    <row r="309">
      <c r="A309" s="23" t="n"/>
      <c r="B309" s="23" t="n"/>
      <c r="C309" s="24" t="n"/>
      <c r="D309" s="15" t="n"/>
      <c r="E309" s="23" t="n"/>
      <c r="F309" s="15" t="n"/>
      <c r="G309" s="23" t="n"/>
      <c r="H309" s="25" t="n"/>
      <c r="I309" s="15" t="n"/>
      <c r="J309" s="26">
        <f>IF($A309="","",LEN($C309)-LEN(SUBSTITUTE($C309,",",""))+1)</f>
        <v/>
      </c>
      <c r="K309" s="26">
        <f>IF($A309="","",SUMPRODUCT(--ISNUMBER(SEARCH('Category Dictionary'!$D$5:$D$135&amp;"",$C309)),--('Category Dictionary'!$D$5:$D$135&lt;&gt;"")))</f>
        <v/>
      </c>
      <c r="L309" s="27">
        <f>IF($A309="","",TRIM(IF(ISERROR(FIND(",",$C309)),$C309,LEFT($C309,FIND(",",$C309)-1))))</f>
        <v/>
      </c>
      <c r="M309" s="28">
        <f>IF($H309="","",DATE(YEAR($H309),MONTH($H309),1))</f>
        <v/>
      </c>
      <c r="N309" s="26">
        <f>IF($H309="","",TODAY()-$H309)</f>
        <v/>
      </c>
      <c r="O309" s="15" t="n"/>
      <c r="P309" s="15" t="n"/>
      <c r="Q309" s="15" t="n"/>
      <c r="R309" s="25" t="n"/>
      <c r="S309" s="26">
        <f>IF($A309="","",AND(OR('Assignment Builder'!$B$5="",$B309='Assignment Builder'!$B$5),OR('Assignment Builder'!$B$6="",ISNUMBER(SEARCH('Assignment Builder'!$B$6,$C309))),OR('Assignment Builder'!$B$7="",'Assignment Builder'!$B$7=IFERROR(INDEX('Category Dictionary'!$C$5:$C$135,MATCH($L309,'Category Dictionary'!$D$5:$D$135,0)),"")),OR('Assignment Builder'!$B$8="",$D309='Assignment Builder'!$B$8),OR('Assignment Builder'!$B$9="",$F309='Assignment Builder'!$B$9),OR('Assignment Builder'!$B$10="",$O309='Assignment Builder'!$B$10),OR('Assignment Builder'!$B$11="",$H309&gt;='Assignment Builder'!$B$11),OR('Assignment Builder'!$B$12="",N($Q309)&lt;='Assignment Builder'!$B$12)))</f>
        <v/>
      </c>
      <c r="T309" s="23" t="n"/>
    </row>
    <row r="310">
      <c r="A310" s="23" t="n"/>
      <c r="B310" s="23" t="n"/>
      <c r="C310" s="24" t="n"/>
      <c r="D310" s="15" t="n"/>
      <c r="E310" s="23" t="n"/>
      <c r="F310" s="15" t="n"/>
      <c r="G310" s="23" t="n"/>
      <c r="H310" s="25" t="n"/>
      <c r="I310" s="15" t="n"/>
      <c r="J310" s="26">
        <f>IF($A310="","",LEN($C310)-LEN(SUBSTITUTE($C310,",",""))+1)</f>
        <v/>
      </c>
      <c r="K310" s="26">
        <f>IF($A310="","",SUMPRODUCT(--ISNUMBER(SEARCH('Category Dictionary'!$D$5:$D$135&amp;"",$C310)),--('Category Dictionary'!$D$5:$D$135&lt;&gt;"")))</f>
        <v/>
      </c>
      <c r="L310" s="27">
        <f>IF($A310="","",TRIM(IF(ISERROR(FIND(",",$C310)),$C310,LEFT($C310,FIND(",",$C310)-1))))</f>
        <v/>
      </c>
      <c r="M310" s="28">
        <f>IF($H310="","",DATE(YEAR($H310),MONTH($H310),1))</f>
        <v/>
      </c>
      <c r="N310" s="26">
        <f>IF($H310="","",TODAY()-$H310)</f>
        <v/>
      </c>
      <c r="O310" s="15" t="n"/>
      <c r="P310" s="15" t="n"/>
      <c r="Q310" s="15" t="n"/>
      <c r="R310" s="25" t="n"/>
      <c r="S310" s="26">
        <f>IF($A310="","",AND(OR('Assignment Builder'!$B$5="",$B310='Assignment Builder'!$B$5),OR('Assignment Builder'!$B$6="",ISNUMBER(SEARCH('Assignment Builder'!$B$6,$C310))),OR('Assignment Builder'!$B$7="",'Assignment Builder'!$B$7=IFERROR(INDEX('Category Dictionary'!$C$5:$C$135,MATCH($L310,'Category Dictionary'!$D$5:$D$135,0)),"")),OR('Assignment Builder'!$B$8="",$D310='Assignment Builder'!$B$8),OR('Assignment Builder'!$B$9="",$F310='Assignment Builder'!$B$9),OR('Assignment Builder'!$B$10="",$O310='Assignment Builder'!$B$10),OR('Assignment Builder'!$B$11="",$H310&gt;='Assignment Builder'!$B$11),OR('Assignment Builder'!$B$12="",N($Q310)&lt;='Assignment Builder'!$B$12)))</f>
        <v/>
      </c>
      <c r="T310" s="23" t="n"/>
    </row>
    <row r="311">
      <c r="A311" s="23" t="n"/>
      <c r="B311" s="23" t="n"/>
      <c r="C311" s="24" t="n"/>
      <c r="D311" s="15" t="n"/>
      <c r="E311" s="23" t="n"/>
      <c r="F311" s="15" t="n"/>
      <c r="G311" s="23" t="n"/>
      <c r="H311" s="25" t="n"/>
      <c r="I311" s="15" t="n"/>
      <c r="J311" s="26">
        <f>IF($A311="","",LEN($C311)-LEN(SUBSTITUTE($C311,",",""))+1)</f>
        <v/>
      </c>
      <c r="K311" s="26">
        <f>IF($A311="","",SUMPRODUCT(--ISNUMBER(SEARCH('Category Dictionary'!$D$5:$D$135&amp;"",$C311)),--('Category Dictionary'!$D$5:$D$135&lt;&gt;"")))</f>
        <v/>
      </c>
      <c r="L311" s="27">
        <f>IF($A311="","",TRIM(IF(ISERROR(FIND(",",$C311)),$C311,LEFT($C311,FIND(",",$C311)-1))))</f>
        <v/>
      </c>
      <c r="M311" s="28">
        <f>IF($H311="","",DATE(YEAR($H311),MONTH($H311),1))</f>
        <v/>
      </c>
      <c r="N311" s="26">
        <f>IF($H311="","",TODAY()-$H311)</f>
        <v/>
      </c>
      <c r="O311" s="15" t="n"/>
      <c r="P311" s="15" t="n"/>
      <c r="Q311" s="15" t="n"/>
      <c r="R311" s="25" t="n"/>
      <c r="S311" s="26">
        <f>IF($A311="","",AND(OR('Assignment Builder'!$B$5="",$B311='Assignment Builder'!$B$5),OR('Assignment Builder'!$B$6="",ISNUMBER(SEARCH('Assignment Builder'!$B$6,$C311))),OR('Assignment Builder'!$B$7="",'Assignment Builder'!$B$7=IFERROR(INDEX('Category Dictionary'!$C$5:$C$135,MATCH($L311,'Category Dictionary'!$D$5:$D$135,0)),"")),OR('Assignment Builder'!$B$8="",$D311='Assignment Builder'!$B$8),OR('Assignment Builder'!$B$9="",$F311='Assignment Builder'!$B$9),OR('Assignment Builder'!$B$10="",$O311='Assignment Builder'!$B$10),OR('Assignment Builder'!$B$11="",$H311&gt;='Assignment Builder'!$B$11),OR('Assignment Builder'!$B$12="",N($Q311)&lt;='Assignment Builder'!$B$12)))</f>
        <v/>
      </c>
      <c r="T311" s="23" t="n"/>
    </row>
    <row r="312">
      <c r="A312" s="23" t="n"/>
      <c r="B312" s="23" t="n"/>
      <c r="C312" s="24" t="n"/>
      <c r="D312" s="15" t="n"/>
      <c r="E312" s="23" t="n"/>
      <c r="F312" s="15" t="n"/>
      <c r="G312" s="23" t="n"/>
      <c r="H312" s="25" t="n"/>
      <c r="I312" s="15" t="n"/>
      <c r="J312" s="26">
        <f>IF($A312="","",LEN($C312)-LEN(SUBSTITUTE($C312,",",""))+1)</f>
        <v/>
      </c>
      <c r="K312" s="26">
        <f>IF($A312="","",SUMPRODUCT(--ISNUMBER(SEARCH('Category Dictionary'!$D$5:$D$135&amp;"",$C312)),--('Category Dictionary'!$D$5:$D$135&lt;&gt;"")))</f>
        <v/>
      </c>
      <c r="L312" s="27">
        <f>IF($A312="","",TRIM(IF(ISERROR(FIND(",",$C312)),$C312,LEFT($C312,FIND(",",$C312)-1))))</f>
        <v/>
      </c>
      <c r="M312" s="28">
        <f>IF($H312="","",DATE(YEAR($H312),MONTH($H312),1))</f>
        <v/>
      </c>
      <c r="N312" s="26">
        <f>IF($H312="","",TODAY()-$H312)</f>
        <v/>
      </c>
      <c r="O312" s="15" t="n"/>
      <c r="P312" s="15" t="n"/>
      <c r="Q312" s="15" t="n"/>
      <c r="R312" s="25" t="n"/>
      <c r="S312" s="26">
        <f>IF($A312="","",AND(OR('Assignment Builder'!$B$5="",$B312='Assignment Builder'!$B$5),OR('Assignment Builder'!$B$6="",ISNUMBER(SEARCH('Assignment Builder'!$B$6,$C312))),OR('Assignment Builder'!$B$7="",'Assignment Builder'!$B$7=IFERROR(INDEX('Category Dictionary'!$C$5:$C$135,MATCH($L312,'Category Dictionary'!$D$5:$D$135,0)),"")),OR('Assignment Builder'!$B$8="",$D312='Assignment Builder'!$B$8),OR('Assignment Builder'!$B$9="",$F312='Assignment Builder'!$B$9),OR('Assignment Builder'!$B$10="",$O312='Assignment Builder'!$B$10),OR('Assignment Builder'!$B$11="",$H312&gt;='Assignment Builder'!$B$11),OR('Assignment Builder'!$B$12="",N($Q312)&lt;='Assignment Builder'!$B$12)))</f>
        <v/>
      </c>
      <c r="T312" s="23" t="n"/>
    </row>
    <row r="313">
      <c r="A313" s="23" t="n"/>
      <c r="B313" s="23" t="n"/>
      <c r="C313" s="24" t="n"/>
      <c r="D313" s="15" t="n"/>
      <c r="E313" s="23" t="n"/>
      <c r="F313" s="15" t="n"/>
      <c r="G313" s="23" t="n"/>
      <c r="H313" s="25" t="n"/>
      <c r="I313" s="15" t="n"/>
      <c r="J313" s="26">
        <f>IF($A313="","",LEN($C313)-LEN(SUBSTITUTE($C313,",",""))+1)</f>
        <v/>
      </c>
      <c r="K313" s="26">
        <f>IF($A313="","",SUMPRODUCT(--ISNUMBER(SEARCH('Category Dictionary'!$D$5:$D$135&amp;"",$C313)),--('Category Dictionary'!$D$5:$D$135&lt;&gt;"")))</f>
        <v/>
      </c>
      <c r="L313" s="27">
        <f>IF($A313="","",TRIM(IF(ISERROR(FIND(",",$C313)),$C313,LEFT($C313,FIND(",",$C313)-1))))</f>
        <v/>
      </c>
      <c r="M313" s="28">
        <f>IF($H313="","",DATE(YEAR($H313),MONTH($H313),1))</f>
        <v/>
      </c>
      <c r="N313" s="26">
        <f>IF($H313="","",TODAY()-$H313)</f>
        <v/>
      </c>
      <c r="O313" s="15" t="n"/>
      <c r="P313" s="15" t="n"/>
      <c r="Q313" s="15" t="n"/>
      <c r="R313" s="25" t="n"/>
      <c r="S313" s="26">
        <f>IF($A313="","",AND(OR('Assignment Builder'!$B$5="",$B313='Assignment Builder'!$B$5),OR('Assignment Builder'!$B$6="",ISNUMBER(SEARCH('Assignment Builder'!$B$6,$C313))),OR('Assignment Builder'!$B$7="",'Assignment Builder'!$B$7=IFERROR(INDEX('Category Dictionary'!$C$5:$C$135,MATCH($L313,'Category Dictionary'!$D$5:$D$135,0)),"")),OR('Assignment Builder'!$B$8="",$D313='Assignment Builder'!$B$8),OR('Assignment Builder'!$B$9="",$F313='Assignment Builder'!$B$9),OR('Assignment Builder'!$B$10="",$O313='Assignment Builder'!$B$10),OR('Assignment Builder'!$B$11="",$H313&gt;='Assignment Builder'!$B$11),OR('Assignment Builder'!$B$12="",N($Q313)&lt;='Assignment Builder'!$B$12)))</f>
        <v/>
      </c>
      <c r="T313" s="23" t="n"/>
    </row>
    <row r="314">
      <c r="A314" s="23" t="n"/>
      <c r="B314" s="23" t="n"/>
      <c r="C314" s="24" t="n"/>
      <c r="D314" s="15" t="n"/>
      <c r="E314" s="23" t="n"/>
      <c r="F314" s="15" t="n"/>
      <c r="G314" s="23" t="n"/>
      <c r="H314" s="25" t="n"/>
      <c r="I314" s="15" t="n"/>
      <c r="J314" s="26">
        <f>IF($A314="","",LEN($C314)-LEN(SUBSTITUTE($C314,",",""))+1)</f>
        <v/>
      </c>
      <c r="K314" s="26">
        <f>IF($A314="","",SUMPRODUCT(--ISNUMBER(SEARCH('Category Dictionary'!$D$5:$D$135&amp;"",$C314)),--('Category Dictionary'!$D$5:$D$135&lt;&gt;"")))</f>
        <v/>
      </c>
      <c r="L314" s="27">
        <f>IF($A314="","",TRIM(IF(ISERROR(FIND(",",$C314)),$C314,LEFT($C314,FIND(",",$C314)-1))))</f>
        <v/>
      </c>
      <c r="M314" s="28">
        <f>IF($H314="","",DATE(YEAR($H314),MONTH($H314),1))</f>
        <v/>
      </c>
      <c r="N314" s="26">
        <f>IF($H314="","",TODAY()-$H314)</f>
        <v/>
      </c>
      <c r="O314" s="15" t="n"/>
      <c r="P314" s="15" t="n"/>
      <c r="Q314" s="15" t="n"/>
      <c r="R314" s="25" t="n"/>
      <c r="S314" s="26">
        <f>IF($A314="","",AND(OR('Assignment Builder'!$B$5="",$B314='Assignment Builder'!$B$5),OR('Assignment Builder'!$B$6="",ISNUMBER(SEARCH('Assignment Builder'!$B$6,$C314))),OR('Assignment Builder'!$B$7="",'Assignment Builder'!$B$7=IFERROR(INDEX('Category Dictionary'!$C$5:$C$135,MATCH($L314,'Category Dictionary'!$D$5:$D$135,0)),"")),OR('Assignment Builder'!$B$8="",$D314='Assignment Builder'!$B$8),OR('Assignment Builder'!$B$9="",$F314='Assignment Builder'!$B$9),OR('Assignment Builder'!$B$10="",$O314='Assignment Builder'!$B$10),OR('Assignment Builder'!$B$11="",$H314&gt;='Assignment Builder'!$B$11),OR('Assignment Builder'!$B$12="",N($Q314)&lt;='Assignment Builder'!$B$12)))</f>
        <v/>
      </c>
      <c r="T314" s="23" t="n"/>
    </row>
    <row r="315">
      <c r="A315" s="23" t="n"/>
      <c r="B315" s="23" t="n"/>
      <c r="C315" s="24" t="n"/>
      <c r="D315" s="15" t="n"/>
      <c r="E315" s="23" t="n"/>
      <c r="F315" s="15" t="n"/>
      <c r="G315" s="23" t="n"/>
      <c r="H315" s="25" t="n"/>
      <c r="I315" s="15" t="n"/>
      <c r="J315" s="26">
        <f>IF($A315="","",LEN($C315)-LEN(SUBSTITUTE($C315,",",""))+1)</f>
        <v/>
      </c>
      <c r="K315" s="26">
        <f>IF($A315="","",SUMPRODUCT(--ISNUMBER(SEARCH('Category Dictionary'!$D$5:$D$135&amp;"",$C315)),--('Category Dictionary'!$D$5:$D$135&lt;&gt;"")))</f>
        <v/>
      </c>
      <c r="L315" s="27">
        <f>IF($A315="","",TRIM(IF(ISERROR(FIND(",",$C315)),$C315,LEFT($C315,FIND(",",$C315)-1))))</f>
        <v/>
      </c>
      <c r="M315" s="28">
        <f>IF($H315="","",DATE(YEAR($H315),MONTH($H315),1))</f>
        <v/>
      </c>
      <c r="N315" s="26">
        <f>IF($H315="","",TODAY()-$H315)</f>
        <v/>
      </c>
      <c r="O315" s="15" t="n"/>
      <c r="P315" s="15" t="n"/>
      <c r="Q315" s="15" t="n"/>
      <c r="R315" s="25" t="n"/>
      <c r="S315" s="26">
        <f>IF($A315="","",AND(OR('Assignment Builder'!$B$5="",$B315='Assignment Builder'!$B$5),OR('Assignment Builder'!$B$6="",ISNUMBER(SEARCH('Assignment Builder'!$B$6,$C315))),OR('Assignment Builder'!$B$7="",'Assignment Builder'!$B$7=IFERROR(INDEX('Category Dictionary'!$C$5:$C$135,MATCH($L315,'Category Dictionary'!$D$5:$D$135,0)),"")),OR('Assignment Builder'!$B$8="",$D315='Assignment Builder'!$B$8),OR('Assignment Builder'!$B$9="",$F315='Assignment Builder'!$B$9),OR('Assignment Builder'!$B$10="",$O315='Assignment Builder'!$B$10),OR('Assignment Builder'!$B$11="",$H315&gt;='Assignment Builder'!$B$11),OR('Assignment Builder'!$B$12="",N($Q315)&lt;='Assignment Builder'!$B$12)))</f>
        <v/>
      </c>
      <c r="T315" s="23" t="n"/>
    </row>
    <row r="316">
      <c r="A316" s="23" t="n"/>
      <c r="B316" s="23" t="n"/>
      <c r="C316" s="24" t="n"/>
      <c r="D316" s="15" t="n"/>
      <c r="E316" s="23" t="n"/>
      <c r="F316" s="15" t="n"/>
      <c r="G316" s="23" t="n"/>
      <c r="H316" s="25" t="n"/>
      <c r="I316" s="15" t="n"/>
      <c r="J316" s="26">
        <f>IF($A316="","",LEN($C316)-LEN(SUBSTITUTE($C316,",",""))+1)</f>
        <v/>
      </c>
      <c r="K316" s="26">
        <f>IF($A316="","",SUMPRODUCT(--ISNUMBER(SEARCH('Category Dictionary'!$D$5:$D$135&amp;"",$C316)),--('Category Dictionary'!$D$5:$D$135&lt;&gt;"")))</f>
        <v/>
      </c>
      <c r="L316" s="27">
        <f>IF($A316="","",TRIM(IF(ISERROR(FIND(",",$C316)),$C316,LEFT($C316,FIND(",",$C316)-1))))</f>
        <v/>
      </c>
      <c r="M316" s="28">
        <f>IF($H316="","",DATE(YEAR($H316),MONTH($H316),1))</f>
        <v/>
      </c>
      <c r="N316" s="26">
        <f>IF($H316="","",TODAY()-$H316)</f>
        <v/>
      </c>
      <c r="O316" s="15" t="n"/>
      <c r="P316" s="15" t="n"/>
      <c r="Q316" s="15" t="n"/>
      <c r="R316" s="25" t="n"/>
      <c r="S316" s="26">
        <f>IF($A316="","",AND(OR('Assignment Builder'!$B$5="",$B316='Assignment Builder'!$B$5),OR('Assignment Builder'!$B$6="",ISNUMBER(SEARCH('Assignment Builder'!$B$6,$C316))),OR('Assignment Builder'!$B$7="",'Assignment Builder'!$B$7=IFERROR(INDEX('Category Dictionary'!$C$5:$C$135,MATCH($L316,'Category Dictionary'!$D$5:$D$135,0)),"")),OR('Assignment Builder'!$B$8="",$D316='Assignment Builder'!$B$8),OR('Assignment Builder'!$B$9="",$F316='Assignment Builder'!$B$9),OR('Assignment Builder'!$B$10="",$O316='Assignment Builder'!$B$10),OR('Assignment Builder'!$B$11="",$H316&gt;='Assignment Builder'!$B$11),OR('Assignment Builder'!$B$12="",N($Q316)&lt;='Assignment Builder'!$B$12)))</f>
        <v/>
      </c>
      <c r="T316" s="23" t="n"/>
    </row>
    <row r="317">
      <c r="A317" s="23" t="n"/>
      <c r="B317" s="23" t="n"/>
      <c r="C317" s="24" t="n"/>
      <c r="D317" s="15" t="n"/>
      <c r="E317" s="23" t="n"/>
      <c r="F317" s="15" t="n"/>
      <c r="G317" s="23" t="n"/>
      <c r="H317" s="25" t="n"/>
      <c r="I317" s="15" t="n"/>
      <c r="J317" s="26">
        <f>IF($A317="","",LEN($C317)-LEN(SUBSTITUTE($C317,",",""))+1)</f>
        <v/>
      </c>
      <c r="K317" s="26">
        <f>IF($A317="","",SUMPRODUCT(--ISNUMBER(SEARCH('Category Dictionary'!$D$5:$D$135&amp;"",$C317)),--('Category Dictionary'!$D$5:$D$135&lt;&gt;"")))</f>
        <v/>
      </c>
      <c r="L317" s="27">
        <f>IF($A317="","",TRIM(IF(ISERROR(FIND(",",$C317)),$C317,LEFT($C317,FIND(",",$C317)-1))))</f>
        <v/>
      </c>
      <c r="M317" s="28">
        <f>IF($H317="","",DATE(YEAR($H317),MONTH($H317),1))</f>
        <v/>
      </c>
      <c r="N317" s="26">
        <f>IF($H317="","",TODAY()-$H317)</f>
        <v/>
      </c>
      <c r="O317" s="15" t="n"/>
      <c r="P317" s="15" t="n"/>
      <c r="Q317" s="15" t="n"/>
      <c r="R317" s="25" t="n"/>
      <c r="S317" s="26">
        <f>IF($A317="","",AND(OR('Assignment Builder'!$B$5="",$B317='Assignment Builder'!$B$5),OR('Assignment Builder'!$B$6="",ISNUMBER(SEARCH('Assignment Builder'!$B$6,$C317))),OR('Assignment Builder'!$B$7="",'Assignment Builder'!$B$7=IFERROR(INDEX('Category Dictionary'!$C$5:$C$135,MATCH($L317,'Category Dictionary'!$D$5:$D$135,0)),"")),OR('Assignment Builder'!$B$8="",$D317='Assignment Builder'!$B$8),OR('Assignment Builder'!$B$9="",$F317='Assignment Builder'!$B$9),OR('Assignment Builder'!$B$10="",$O317='Assignment Builder'!$B$10),OR('Assignment Builder'!$B$11="",$H317&gt;='Assignment Builder'!$B$11),OR('Assignment Builder'!$B$12="",N($Q317)&lt;='Assignment Builder'!$B$12)))</f>
        <v/>
      </c>
      <c r="T317" s="23" t="n"/>
    </row>
    <row r="318">
      <c r="A318" s="23" t="n"/>
      <c r="B318" s="23" t="n"/>
      <c r="C318" s="24" t="n"/>
      <c r="D318" s="15" t="n"/>
      <c r="E318" s="23" t="n"/>
      <c r="F318" s="15" t="n"/>
      <c r="G318" s="23" t="n"/>
      <c r="H318" s="25" t="n"/>
      <c r="I318" s="15" t="n"/>
      <c r="J318" s="26">
        <f>IF($A318="","",LEN($C318)-LEN(SUBSTITUTE($C318,",",""))+1)</f>
        <v/>
      </c>
      <c r="K318" s="26">
        <f>IF($A318="","",SUMPRODUCT(--ISNUMBER(SEARCH('Category Dictionary'!$D$5:$D$135&amp;"",$C318)),--('Category Dictionary'!$D$5:$D$135&lt;&gt;"")))</f>
        <v/>
      </c>
      <c r="L318" s="27">
        <f>IF($A318="","",TRIM(IF(ISERROR(FIND(",",$C318)),$C318,LEFT($C318,FIND(",",$C318)-1))))</f>
        <v/>
      </c>
      <c r="M318" s="28">
        <f>IF($H318="","",DATE(YEAR($H318),MONTH($H318),1))</f>
        <v/>
      </c>
      <c r="N318" s="26">
        <f>IF($H318="","",TODAY()-$H318)</f>
        <v/>
      </c>
      <c r="O318" s="15" t="n"/>
      <c r="P318" s="15" t="n"/>
      <c r="Q318" s="15" t="n"/>
      <c r="R318" s="25" t="n"/>
      <c r="S318" s="26">
        <f>IF($A318="","",AND(OR('Assignment Builder'!$B$5="",$B318='Assignment Builder'!$B$5),OR('Assignment Builder'!$B$6="",ISNUMBER(SEARCH('Assignment Builder'!$B$6,$C318))),OR('Assignment Builder'!$B$7="",'Assignment Builder'!$B$7=IFERROR(INDEX('Category Dictionary'!$C$5:$C$135,MATCH($L318,'Category Dictionary'!$D$5:$D$135,0)),"")),OR('Assignment Builder'!$B$8="",$D318='Assignment Builder'!$B$8),OR('Assignment Builder'!$B$9="",$F318='Assignment Builder'!$B$9),OR('Assignment Builder'!$B$10="",$O318='Assignment Builder'!$B$10),OR('Assignment Builder'!$B$11="",$H318&gt;='Assignment Builder'!$B$11),OR('Assignment Builder'!$B$12="",N($Q318)&lt;='Assignment Builder'!$B$12)))</f>
        <v/>
      </c>
      <c r="T318" s="23" t="n"/>
    </row>
    <row r="319">
      <c r="A319" s="23" t="n"/>
      <c r="B319" s="23" t="n"/>
      <c r="C319" s="24" t="n"/>
      <c r="D319" s="15" t="n"/>
      <c r="E319" s="23" t="n"/>
      <c r="F319" s="15" t="n"/>
      <c r="G319" s="23" t="n"/>
      <c r="H319" s="25" t="n"/>
      <c r="I319" s="15" t="n"/>
      <c r="J319" s="26">
        <f>IF($A319="","",LEN($C319)-LEN(SUBSTITUTE($C319,",",""))+1)</f>
        <v/>
      </c>
      <c r="K319" s="26">
        <f>IF($A319="","",SUMPRODUCT(--ISNUMBER(SEARCH('Category Dictionary'!$D$5:$D$135&amp;"",$C319)),--('Category Dictionary'!$D$5:$D$135&lt;&gt;"")))</f>
        <v/>
      </c>
      <c r="L319" s="27">
        <f>IF($A319="","",TRIM(IF(ISERROR(FIND(",",$C319)),$C319,LEFT($C319,FIND(",",$C319)-1))))</f>
        <v/>
      </c>
      <c r="M319" s="28">
        <f>IF($H319="","",DATE(YEAR($H319),MONTH($H319),1))</f>
        <v/>
      </c>
      <c r="N319" s="26">
        <f>IF($H319="","",TODAY()-$H319)</f>
        <v/>
      </c>
      <c r="O319" s="15" t="n"/>
      <c r="P319" s="15" t="n"/>
      <c r="Q319" s="15" t="n"/>
      <c r="R319" s="25" t="n"/>
      <c r="S319" s="26">
        <f>IF($A319="","",AND(OR('Assignment Builder'!$B$5="",$B319='Assignment Builder'!$B$5),OR('Assignment Builder'!$B$6="",ISNUMBER(SEARCH('Assignment Builder'!$B$6,$C319))),OR('Assignment Builder'!$B$7="",'Assignment Builder'!$B$7=IFERROR(INDEX('Category Dictionary'!$C$5:$C$135,MATCH($L319,'Category Dictionary'!$D$5:$D$135,0)),"")),OR('Assignment Builder'!$B$8="",$D319='Assignment Builder'!$B$8),OR('Assignment Builder'!$B$9="",$F319='Assignment Builder'!$B$9),OR('Assignment Builder'!$B$10="",$O319='Assignment Builder'!$B$10),OR('Assignment Builder'!$B$11="",$H319&gt;='Assignment Builder'!$B$11),OR('Assignment Builder'!$B$12="",N($Q319)&lt;='Assignment Builder'!$B$12)))</f>
        <v/>
      </c>
      <c r="T319" s="23" t="n"/>
    </row>
    <row r="320">
      <c r="A320" s="23" t="n"/>
      <c r="B320" s="23" t="n"/>
      <c r="C320" s="24" t="n"/>
      <c r="D320" s="15" t="n"/>
      <c r="E320" s="23" t="n"/>
      <c r="F320" s="15" t="n"/>
      <c r="G320" s="23" t="n"/>
      <c r="H320" s="25" t="n"/>
      <c r="I320" s="15" t="n"/>
      <c r="J320" s="26">
        <f>IF($A320="","",LEN($C320)-LEN(SUBSTITUTE($C320,",",""))+1)</f>
        <v/>
      </c>
      <c r="K320" s="26">
        <f>IF($A320="","",SUMPRODUCT(--ISNUMBER(SEARCH('Category Dictionary'!$D$5:$D$135&amp;"",$C320)),--('Category Dictionary'!$D$5:$D$135&lt;&gt;"")))</f>
        <v/>
      </c>
      <c r="L320" s="27">
        <f>IF($A320="","",TRIM(IF(ISERROR(FIND(",",$C320)),$C320,LEFT($C320,FIND(",",$C320)-1))))</f>
        <v/>
      </c>
      <c r="M320" s="28">
        <f>IF($H320="","",DATE(YEAR($H320),MONTH($H320),1))</f>
        <v/>
      </c>
      <c r="N320" s="26">
        <f>IF($H320="","",TODAY()-$H320)</f>
        <v/>
      </c>
      <c r="O320" s="15" t="n"/>
      <c r="P320" s="15" t="n"/>
      <c r="Q320" s="15" t="n"/>
      <c r="R320" s="25" t="n"/>
      <c r="S320" s="26">
        <f>IF($A320="","",AND(OR('Assignment Builder'!$B$5="",$B320='Assignment Builder'!$B$5),OR('Assignment Builder'!$B$6="",ISNUMBER(SEARCH('Assignment Builder'!$B$6,$C320))),OR('Assignment Builder'!$B$7="",'Assignment Builder'!$B$7=IFERROR(INDEX('Category Dictionary'!$C$5:$C$135,MATCH($L320,'Category Dictionary'!$D$5:$D$135,0)),"")),OR('Assignment Builder'!$B$8="",$D320='Assignment Builder'!$B$8),OR('Assignment Builder'!$B$9="",$F320='Assignment Builder'!$B$9),OR('Assignment Builder'!$B$10="",$O320='Assignment Builder'!$B$10),OR('Assignment Builder'!$B$11="",$H320&gt;='Assignment Builder'!$B$11),OR('Assignment Builder'!$B$12="",N($Q320)&lt;='Assignment Builder'!$B$12)))</f>
        <v/>
      </c>
      <c r="T320" s="23" t="n"/>
    </row>
    <row r="321">
      <c r="A321" s="23" t="n"/>
      <c r="B321" s="23" t="n"/>
      <c r="C321" s="24" t="n"/>
      <c r="D321" s="15" t="n"/>
      <c r="E321" s="23" t="n"/>
      <c r="F321" s="15" t="n"/>
      <c r="G321" s="23" t="n"/>
      <c r="H321" s="25" t="n"/>
      <c r="I321" s="15" t="n"/>
      <c r="J321" s="26">
        <f>IF($A321="","",LEN($C321)-LEN(SUBSTITUTE($C321,",",""))+1)</f>
        <v/>
      </c>
      <c r="K321" s="26">
        <f>IF($A321="","",SUMPRODUCT(--ISNUMBER(SEARCH('Category Dictionary'!$D$5:$D$135&amp;"",$C321)),--('Category Dictionary'!$D$5:$D$135&lt;&gt;"")))</f>
        <v/>
      </c>
      <c r="L321" s="27">
        <f>IF($A321="","",TRIM(IF(ISERROR(FIND(",",$C321)),$C321,LEFT($C321,FIND(",",$C321)-1))))</f>
        <v/>
      </c>
      <c r="M321" s="28">
        <f>IF($H321="","",DATE(YEAR($H321),MONTH($H321),1))</f>
        <v/>
      </c>
      <c r="N321" s="26">
        <f>IF($H321="","",TODAY()-$H321)</f>
        <v/>
      </c>
      <c r="O321" s="15" t="n"/>
      <c r="P321" s="15" t="n"/>
      <c r="Q321" s="15" t="n"/>
      <c r="R321" s="25" t="n"/>
      <c r="S321" s="26">
        <f>IF($A321="","",AND(OR('Assignment Builder'!$B$5="",$B321='Assignment Builder'!$B$5),OR('Assignment Builder'!$B$6="",ISNUMBER(SEARCH('Assignment Builder'!$B$6,$C321))),OR('Assignment Builder'!$B$7="",'Assignment Builder'!$B$7=IFERROR(INDEX('Category Dictionary'!$C$5:$C$135,MATCH($L321,'Category Dictionary'!$D$5:$D$135,0)),"")),OR('Assignment Builder'!$B$8="",$D321='Assignment Builder'!$B$8),OR('Assignment Builder'!$B$9="",$F321='Assignment Builder'!$B$9),OR('Assignment Builder'!$B$10="",$O321='Assignment Builder'!$B$10),OR('Assignment Builder'!$B$11="",$H321&gt;='Assignment Builder'!$B$11),OR('Assignment Builder'!$B$12="",N($Q321)&lt;='Assignment Builder'!$B$12)))</f>
        <v/>
      </c>
      <c r="T321" s="23" t="n"/>
    </row>
    <row r="322">
      <c r="A322" s="23" t="n"/>
      <c r="B322" s="23" t="n"/>
      <c r="C322" s="24" t="n"/>
      <c r="D322" s="15" t="n"/>
      <c r="E322" s="23" t="n"/>
      <c r="F322" s="15" t="n"/>
      <c r="G322" s="23" t="n"/>
      <c r="H322" s="25" t="n"/>
      <c r="I322" s="15" t="n"/>
      <c r="J322" s="26">
        <f>IF($A322="","",LEN($C322)-LEN(SUBSTITUTE($C322,",",""))+1)</f>
        <v/>
      </c>
      <c r="K322" s="26">
        <f>IF($A322="","",SUMPRODUCT(--ISNUMBER(SEARCH('Category Dictionary'!$D$5:$D$135&amp;"",$C322)),--('Category Dictionary'!$D$5:$D$135&lt;&gt;"")))</f>
        <v/>
      </c>
      <c r="L322" s="27">
        <f>IF($A322="","",TRIM(IF(ISERROR(FIND(",",$C322)),$C322,LEFT($C322,FIND(",",$C322)-1))))</f>
        <v/>
      </c>
      <c r="M322" s="28">
        <f>IF($H322="","",DATE(YEAR($H322),MONTH($H322),1))</f>
        <v/>
      </c>
      <c r="N322" s="26">
        <f>IF($H322="","",TODAY()-$H322)</f>
        <v/>
      </c>
      <c r="O322" s="15" t="n"/>
      <c r="P322" s="15" t="n"/>
      <c r="Q322" s="15" t="n"/>
      <c r="R322" s="25" t="n"/>
      <c r="S322" s="26">
        <f>IF($A322="","",AND(OR('Assignment Builder'!$B$5="",$B322='Assignment Builder'!$B$5),OR('Assignment Builder'!$B$6="",ISNUMBER(SEARCH('Assignment Builder'!$B$6,$C322))),OR('Assignment Builder'!$B$7="",'Assignment Builder'!$B$7=IFERROR(INDEX('Category Dictionary'!$C$5:$C$135,MATCH($L322,'Category Dictionary'!$D$5:$D$135,0)),"")),OR('Assignment Builder'!$B$8="",$D322='Assignment Builder'!$B$8),OR('Assignment Builder'!$B$9="",$F322='Assignment Builder'!$B$9),OR('Assignment Builder'!$B$10="",$O322='Assignment Builder'!$B$10),OR('Assignment Builder'!$B$11="",$H322&gt;='Assignment Builder'!$B$11),OR('Assignment Builder'!$B$12="",N($Q322)&lt;='Assignment Builder'!$B$12)))</f>
        <v/>
      </c>
      <c r="T322" s="23" t="n"/>
    </row>
    <row r="323">
      <c r="A323" s="23" t="n"/>
      <c r="B323" s="23" t="n"/>
      <c r="C323" s="24" t="n"/>
      <c r="D323" s="15" t="n"/>
      <c r="E323" s="23" t="n"/>
      <c r="F323" s="15" t="n"/>
      <c r="G323" s="23" t="n"/>
      <c r="H323" s="25" t="n"/>
      <c r="I323" s="15" t="n"/>
      <c r="J323" s="26">
        <f>IF($A323="","",LEN($C323)-LEN(SUBSTITUTE($C323,",",""))+1)</f>
        <v/>
      </c>
      <c r="K323" s="26">
        <f>IF($A323="","",SUMPRODUCT(--ISNUMBER(SEARCH('Category Dictionary'!$D$5:$D$135&amp;"",$C323)),--('Category Dictionary'!$D$5:$D$135&lt;&gt;"")))</f>
        <v/>
      </c>
      <c r="L323" s="27">
        <f>IF($A323="","",TRIM(IF(ISERROR(FIND(",",$C323)),$C323,LEFT($C323,FIND(",",$C323)-1))))</f>
        <v/>
      </c>
      <c r="M323" s="28">
        <f>IF($H323="","",DATE(YEAR($H323),MONTH($H323),1))</f>
        <v/>
      </c>
      <c r="N323" s="26">
        <f>IF($H323="","",TODAY()-$H323)</f>
        <v/>
      </c>
      <c r="O323" s="15" t="n"/>
      <c r="P323" s="15" t="n"/>
      <c r="Q323" s="15" t="n"/>
      <c r="R323" s="25" t="n"/>
      <c r="S323" s="26">
        <f>IF($A323="","",AND(OR('Assignment Builder'!$B$5="",$B323='Assignment Builder'!$B$5),OR('Assignment Builder'!$B$6="",ISNUMBER(SEARCH('Assignment Builder'!$B$6,$C323))),OR('Assignment Builder'!$B$7="",'Assignment Builder'!$B$7=IFERROR(INDEX('Category Dictionary'!$C$5:$C$135,MATCH($L323,'Category Dictionary'!$D$5:$D$135,0)),"")),OR('Assignment Builder'!$B$8="",$D323='Assignment Builder'!$B$8),OR('Assignment Builder'!$B$9="",$F323='Assignment Builder'!$B$9),OR('Assignment Builder'!$B$10="",$O323='Assignment Builder'!$B$10),OR('Assignment Builder'!$B$11="",$H323&gt;='Assignment Builder'!$B$11),OR('Assignment Builder'!$B$12="",N($Q323)&lt;='Assignment Builder'!$B$12)))</f>
        <v/>
      </c>
      <c r="T323" s="23" t="n"/>
    </row>
    <row r="324">
      <c r="A324" s="23" t="n"/>
      <c r="B324" s="23" t="n"/>
      <c r="C324" s="24" t="n"/>
      <c r="D324" s="15" t="n"/>
      <c r="E324" s="23" t="n"/>
      <c r="F324" s="15" t="n"/>
      <c r="G324" s="23" t="n"/>
      <c r="H324" s="25" t="n"/>
      <c r="I324" s="15" t="n"/>
      <c r="J324" s="26">
        <f>IF($A324="","",LEN($C324)-LEN(SUBSTITUTE($C324,",",""))+1)</f>
        <v/>
      </c>
      <c r="K324" s="26">
        <f>IF($A324="","",SUMPRODUCT(--ISNUMBER(SEARCH('Category Dictionary'!$D$5:$D$135&amp;"",$C324)),--('Category Dictionary'!$D$5:$D$135&lt;&gt;"")))</f>
        <v/>
      </c>
      <c r="L324" s="27">
        <f>IF($A324="","",TRIM(IF(ISERROR(FIND(",",$C324)),$C324,LEFT($C324,FIND(",",$C324)-1))))</f>
        <v/>
      </c>
      <c r="M324" s="28">
        <f>IF($H324="","",DATE(YEAR($H324),MONTH($H324),1))</f>
        <v/>
      </c>
      <c r="N324" s="26">
        <f>IF($H324="","",TODAY()-$H324)</f>
        <v/>
      </c>
      <c r="O324" s="15" t="n"/>
      <c r="P324" s="15" t="n"/>
      <c r="Q324" s="15" t="n"/>
      <c r="R324" s="25" t="n"/>
      <c r="S324" s="26">
        <f>IF($A324="","",AND(OR('Assignment Builder'!$B$5="",$B324='Assignment Builder'!$B$5),OR('Assignment Builder'!$B$6="",ISNUMBER(SEARCH('Assignment Builder'!$B$6,$C324))),OR('Assignment Builder'!$B$7="",'Assignment Builder'!$B$7=IFERROR(INDEX('Category Dictionary'!$C$5:$C$135,MATCH($L324,'Category Dictionary'!$D$5:$D$135,0)),"")),OR('Assignment Builder'!$B$8="",$D324='Assignment Builder'!$B$8),OR('Assignment Builder'!$B$9="",$F324='Assignment Builder'!$B$9),OR('Assignment Builder'!$B$10="",$O324='Assignment Builder'!$B$10),OR('Assignment Builder'!$B$11="",$H324&gt;='Assignment Builder'!$B$11),OR('Assignment Builder'!$B$12="",N($Q324)&lt;='Assignment Builder'!$B$12)))</f>
        <v/>
      </c>
      <c r="T324" s="23" t="n"/>
    </row>
    <row r="325">
      <c r="A325" s="23" t="n"/>
      <c r="B325" s="23" t="n"/>
      <c r="C325" s="24" t="n"/>
      <c r="D325" s="15" t="n"/>
      <c r="E325" s="23" t="n"/>
      <c r="F325" s="15" t="n"/>
      <c r="G325" s="23" t="n"/>
      <c r="H325" s="25" t="n"/>
      <c r="I325" s="15" t="n"/>
      <c r="J325" s="26">
        <f>IF($A325="","",LEN($C325)-LEN(SUBSTITUTE($C325,",",""))+1)</f>
        <v/>
      </c>
      <c r="K325" s="26">
        <f>IF($A325="","",SUMPRODUCT(--ISNUMBER(SEARCH('Category Dictionary'!$D$5:$D$135&amp;"",$C325)),--('Category Dictionary'!$D$5:$D$135&lt;&gt;"")))</f>
        <v/>
      </c>
      <c r="L325" s="27">
        <f>IF($A325="","",TRIM(IF(ISERROR(FIND(",",$C325)),$C325,LEFT($C325,FIND(",",$C325)-1))))</f>
        <v/>
      </c>
      <c r="M325" s="28">
        <f>IF($H325="","",DATE(YEAR($H325),MONTH($H325),1))</f>
        <v/>
      </c>
      <c r="N325" s="26">
        <f>IF($H325="","",TODAY()-$H325)</f>
        <v/>
      </c>
      <c r="O325" s="15" t="n"/>
      <c r="P325" s="15" t="n"/>
      <c r="Q325" s="15" t="n"/>
      <c r="R325" s="25" t="n"/>
      <c r="S325" s="26">
        <f>IF($A325="","",AND(OR('Assignment Builder'!$B$5="",$B325='Assignment Builder'!$B$5),OR('Assignment Builder'!$B$6="",ISNUMBER(SEARCH('Assignment Builder'!$B$6,$C325))),OR('Assignment Builder'!$B$7="",'Assignment Builder'!$B$7=IFERROR(INDEX('Category Dictionary'!$C$5:$C$135,MATCH($L325,'Category Dictionary'!$D$5:$D$135,0)),"")),OR('Assignment Builder'!$B$8="",$D325='Assignment Builder'!$B$8),OR('Assignment Builder'!$B$9="",$F325='Assignment Builder'!$B$9),OR('Assignment Builder'!$B$10="",$O325='Assignment Builder'!$B$10),OR('Assignment Builder'!$B$11="",$H325&gt;='Assignment Builder'!$B$11),OR('Assignment Builder'!$B$12="",N($Q325)&lt;='Assignment Builder'!$B$12)))</f>
        <v/>
      </c>
      <c r="T325" s="23" t="n"/>
    </row>
    <row r="326">
      <c r="A326" s="23" t="n"/>
      <c r="B326" s="23" t="n"/>
      <c r="C326" s="24" t="n"/>
      <c r="D326" s="15" t="n"/>
      <c r="E326" s="23" t="n"/>
      <c r="F326" s="15" t="n"/>
      <c r="G326" s="23" t="n"/>
      <c r="H326" s="25" t="n"/>
      <c r="I326" s="15" t="n"/>
      <c r="J326" s="26">
        <f>IF($A326="","",LEN($C326)-LEN(SUBSTITUTE($C326,",",""))+1)</f>
        <v/>
      </c>
      <c r="K326" s="26">
        <f>IF($A326="","",SUMPRODUCT(--ISNUMBER(SEARCH('Category Dictionary'!$D$5:$D$135&amp;"",$C326)),--('Category Dictionary'!$D$5:$D$135&lt;&gt;"")))</f>
        <v/>
      </c>
      <c r="L326" s="27">
        <f>IF($A326="","",TRIM(IF(ISERROR(FIND(",",$C326)),$C326,LEFT($C326,FIND(",",$C326)-1))))</f>
        <v/>
      </c>
      <c r="M326" s="28">
        <f>IF($H326="","",DATE(YEAR($H326),MONTH($H326),1))</f>
        <v/>
      </c>
      <c r="N326" s="26">
        <f>IF($H326="","",TODAY()-$H326)</f>
        <v/>
      </c>
      <c r="O326" s="15" t="n"/>
      <c r="P326" s="15" t="n"/>
      <c r="Q326" s="15" t="n"/>
      <c r="R326" s="25" t="n"/>
      <c r="S326" s="26">
        <f>IF($A326="","",AND(OR('Assignment Builder'!$B$5="",$B326='Assignment Builder'!$B$5),OR('Assignment Builder'!$B$6="",ISNUMBER(SEARCH('Assignment Builder'!$B$6,$C326))),OR('Assignment Builder'!$B$7="",'Assignment Builder'!$B$7=IFERROR(INDEX('Category Dictionary'!$C$5:$C$135,MATCH($L326,'Category Dictionary'!$D$5:$D$135,0)),"")),OR('Assignment Builder'!$B$8="",$D326='Assignment Builder'!$B$8),OR('Assignment Builder'!$B$9="",$F326='Assignment Builder'!$B$9),OR('Assignment Builder'!$B$10="",$O326='Assignment Builder'!$B$10),OR('Assignment Builder'!$B$11="",$H326&gt;='Assignment Builder'!$B$11),OR('Assignment Builder'!$B$12="",N($Q326)&lt;='Assignment Builder'!$B$12)))</f>
        <v/>
      </c>
      <c r="T326" s="23" t="n"/>
    </row>
    <row r="327">
      <c r="A327" s="23" t="n"/>
      <c r="B327" s="23" t="n"/>
      <c r="C327" s="24" t="n"/>
      <c r="D327" s="15" t="n"/>
      <c r="E327" s="23" t="n"/>
      <c r="F327" s="15" t="n"/>
      <c r="G327" s="23" t="n"/>
      <c r="H327" s="25" t="n"/>
      <c r="I327" s="15" t="n"/>
      <c r="J327" s="26">
        <f>IF($A327="","",LEN($C327)-LEN(SUBSTITUTE($C327,",",""))+1)</f>
        <v/>
      </c>
      <c r="K327" s="26">
        <f>IF($A327="","",SUMPRODUCT(--ISNUMBER(SEARCH('Category Dictionary'!$D$5:$D$135&amp;"",$C327)),--('Category Dictionary'!$D$5:$D$135&lt;&gt;"")))</f>
        <v/>
      </c>
      <c r="L327" s="27">
        <f>IF($A327="","",TRIM(IF(ISERROR(FIND(",",$C327)),$C327,LEFT($C327,FIND(",",$C327)-1))))</f>
        <v/>
      </c>
      <c r="M327" s="28">
        <f>IF($H327="","",DATE(YEAR($H327),MONTH($H327),1))</f>
        <v/>
      </c>
      <c r="N327" s="26">
        <f>IF($H327="","",TODAY()-$H327)</f>
        <v/>
      </c>
      <c r="O327" s="15" t="n"/>
      <c r="P327" s="15" t="n"/>
      <c r="Q327" s="15" t="n"/>
      <c r="R327" s="25" t="n"/>
      <c r="S327" s="26">
        <f>IF($A327="","",AND(OR('Assignment Builder'!$B$5="",$B327='Assignment Builder'!$B$5),OR('Assignment Builder'!$B$6="",ISNUMBER(SEARCH('Assignment Builder'!$B$6,$C327))),OR('Assignment Builder'!$B$7="",'Assignment Builder'!$B$7=IFERROR(INDEX('Category Dictionary'!$C$5:$C$135,MATCH($L327,'Category Dictionary'!$D$5:$D$135,0)),"")),OR('Assignment Builder'!$B$8="",$D327='Assignment Builder'!$B$8),OR('Assignment Builder'!$B$9="",$F327='Assignment Builder'!$B$9),OR('Assignment Builder'!$B$10="",$O327='Assignment Builder'!$B$10),OR('Assignment Builder'!$B$11="",$H327&gt;='Assignment Builder'!$B$11),OR('Assignment Builder'!$B$12="",N($Q327)&lt;='Assignment Builder'!$B$12)))</f>
        <v/>
      </c>
      <c r="T327" s="23" t="n"/>
    </row>
    <row r="328">
      <c r="A328" s="23" t="n"/>
      <c r="B328" s="23" t="n"/>
      <c r="C328" s="24" t="n"/>
      <c r="D328" s="15" t="n"/>
      <c r="E328" s="23" t="n"/>
      <c r="F328" s="15" t="n"/>
      <c r="G328" s="23" t="n"/>
      <c r="H328" s="25" t="n"/>
      <c r="I328" s="15" t="n"/>
      <c r="J328" s="26">
        <f>IF($A328="","",LEN($C328)-LEN(SUBSTITUTE($C328,",",""))+1)</f>
        <v/>
      </c>
      <c r="K328" s="26">
        <f>IF($A328="","",SUMPRODUCT(--ISNUMBER(SEARCH('Category Dictionary'!$D$5:$D$135&amp;"",$C328)),--('Category Dictionary'!$D$5:$D$135&lt;&gt;"")))</f>
        <v/>
      </c>
      <c r="L328" s="27">
        <f>IF($A328="","",TRIM(IF(ISERROR(FIND(",",$C328)),$C328,LEFT($C328,FIND(",",$C328)-1))))</f>
        <v/>
      </c>
      <c r="M328" s="28">
        <f>IF($H328="","",DATE(YEAR($H328),MONTH($H328),1))</f>
        <v/>
      </c>
      <c r="N328" s="26">
        <f>IF($H328="","",TODAY()-$H328)</f>
        <v/>
      </c>
      <c r="O328" s="15" t="n"/>
      <c r="P328" s="15" t="n"/>
      <c r="Q328" s="15" t="n"/>
      <c r="R328" s="25" t="n"/>
      <c r="S328" s="26">
        <f>IF($A328="","",AND(OR('Assignment Builder'!$B$5="",$B328='Assignment Builder'!$B$5),OR('Assignment Builder'!$B$6="",ISNUMBER(SEARCH('Assignment Builder'!$B$6,$C328))),OR('Assignment Builder'!$B$7="",'Assignment Builder'!$B$7=IFERROR(INDEX('Category Dictionary'!$C$5:$C$135,MATCH($L328,'Category Dictionary'!$D$5:$D$135,0)),"")),OR('Assignment Builder'!$B$8="",$D328='Assignment Builder'!$B$8),OR('Assignment Builder'!$B$9="",$F328='Assignment Builder'!$B$9),OR('Assignment Builder'!$B$10="",$O328='Assignment Builder'!$B$10),OR('Assignment Builder'!$B$11="",$H328&gt;='Assignment Builder'!$B$11),OR('Assignment Builder'!$B$12="",N($Q328)&lt;='Assignment Builder'!$B$12)))</f>
        <v/>
      </c>
      <c r="T328" s="23" t="n"/>
    </row>
    <row r="329">
      <c r="A329" s="23" t="n"/>
      <c r="B329" s="23" t="n"/>
      <c r="C329" s="24" t="n"/>
      <c r="D329" s="15" t="n"/>
      <c r="E329" s="23" t="n"/>
      <c r="F329" s="15" t="n"/>
      <c r="G329" s="23" t="n"/>
      <c r="H329" s="25" t="n"/>
      <c r="I329" s="15" t="n"/>
      <c r="J329" s="26">
        <f>IF($A329="","",LEN($C329)-LEN(SUBSTITUTE($C329,",",""))+1)</f>
        <v/>
      </c>
      <c r="K329" s="26">
        <f>IF($A329="","",SUMPRODUCT(--ISNUMBER(SEARCH('Category Dictionary'!$D$5:$D$135&amp;"",$C329)),--('Category Dictionary'!$D$5:$D$135&lt;&gt;"")))</f>
        <v/>
      </c>
      <c r="L329" s="27">
        <f>IF($A329="","",TRIM(IF(ISERROR(FIND(",",$C329)),$C329,LEFT($C329,FIND(",",$C329)-1))))</f>
        <v/>
      </c>
      <c r="M329" s="28">
        <f>IF($H329="","",DATE(YEAR($H329),MONTH($H329),1))</f>
        <v/>
      </c>
      <c r="N329" s="26">
        <f>IF($H329="","",TODAY()-$H329)</f>
        <v/>
      </c>
      <c r="O329" s="15" t="n"/>
      <c r="P329" s="15" t="n"/>
      <c r="Q329" s="15" t="n"/>
      <c r="R329" s="25" t="n"/>
      <c r="S329" s="26">
        <f>IF($A329="","",AND(OR('Assignment Builder'!$B$5="",$B329='Assignment Builder'!$B$5),OR('Assignment Builder'!$B$6="",ISNUMBER(SEARCH('Assignment Builder'!$B$6,$C329))),OR('Assignment Builder'!$B$7="",'Assignment Builder'!$B$7=IFERROR(INDEX('Category Dictionary'!$C$5:$C$135,MATCH($L329,'Category Dictionary'!$D$5:$D$135,0)),"")),OR('Assignment Builder'!$B$8="",$D329='Assignment Builder'!$B$8),OR('Assignment Builder'!$B$9="",$F329='Assignment Builder'!$B$9),OR('Assignment Builder'!$B$10="",$O329='Assignment Builder'!$B$10),OR('Assignment Builder'!$B$11="",$H329&gt;='Assignment Builder'!$B$11),OR('Assignment Builder'!$B$12="",N($Q329)&lt;='Assignment Builder'!$B$12)))</f>
        <v/>
      </c>
      <c r="T329" s="23" t="n"/>
    </row>
    <row r="330">
      <c r="A330" s="23" t="n"/>
      <c r="B330" s="23" t="n"/>
      <c r="C330" s="24" t="n"/>
      <c r="D330" s="15" t="n"/>
      <c r="E330" s="23" t="n"/>
      <c r="F330" s="15" t="n"/>
      <c r="G330" s="23" t="n"/>
      <c r="H330" s="25" t="n"/>
      <c r="I330" s="15" t="n"/>
      <c r="J330" s="26">
        <f>IF($A330="","",LEN($C330)-LEN(SUBSTITUTE($C330,",",""))+1)</f>
        <v/>
      </c>
      <c r="K330" s="26">
        <f>IF($A330="","",SUMPRODUCT(--ISNUMBER(SEARCH('Category Dictionary'!$D$5:$D$135&amp;"",$C330)),--('Category Dictionary'!$D$5:$D$135&lt;&gt;"")))</f>
        <v/>
      </c>
      <c r="L330" s="27">
        <f>IF($A330="","",TRIM(IF(ISERROR(FIND(",",$C330)),$C330,LEFT($C330,FIND(",",$C330)-1))))</f>
        <v/>
      </c>
      <c r="M330" s="28">
        <f>IF($H330="","",DATE(YEAR($H330),MONTH($H330),1))</f>
        <v/>
      </c>
      <c r="N330" s="26">
        <f>IF($H330="","",TODAY()-$H330)</f>
        <v/>
      </c>
      <c r="O330" s="15" t="n"/>
      <c r="P330" s="15" t="n"/>
      <c r="Q330" s="15" t="n"/>
      <c r="R330" s="25" t="n"/>
      <c r="S330" s="26">
        <f>IF($A330="","",AND(OR('Assignment Builder'!$B$5="",$B330='Assignment Builder'!$B$5),OR('Assignment Builder'!$B$6="",ISNUMBER(SEARCH('Assignment Builder'!$B$6,$C330))),OR('Assignment Builder'!$B$7="",'Assignment Builder'!$B$7=IFERROR(INDEX('Category Dictionary'!$C$5:$C$135,MATCH($L330,'Category Dictionary'!$D$5:$D$135,0)),"")),OR('Assignment Builder'!$B$8="",$D330='Assignment Builder'!$B$8),OR('Assignment Builder'!$B$9="",$F330='Assignment Builder'!$B$9),OR('Assignment Builder'!$B$10="",$O330='Assignment Builder'!$B$10),OR('Assignment Builder'!$B$11="",$H330&gt;='Assignment Builder'!$B$11),OR('Assignment Builder'!$B$12="",N($Q330)&lt;='Assignment Builder'!$B$12)))</f>
        <v/>
      </c>
      <c r="T330" s="23" t="n"/>
    </row>
    <row r="331">
      <c r="A331" s="23" t="n"/>
      <c r="B331" s="23" t="n"/>
      <c r="C331" s="24" t="n"/>
      <c r="D331" s="15" t="n"/>
      <c r="E331" s="23" t="n"/>
      <c r="F331" s="15" t="n"/>
      <c r="G331" s="23" t="n"/>
      <c r="H331" s="25" t="n"/>
      <c r="I331" s="15" t="n"/>
      <c r="J331" s="26">
        <f>IF($A331="","",LEN($C331)-LEN(SUBSTITUTE($C331,",",""))+1)</f>
        <v/>
      </c>
      <c r="K331" s="26">
        <f>IF($A331="","",SUMPRODUCT(--ISNUMBER(SEARCH('Category Dictionary'!$D$5:$D$135&amp;"",$C331)),--('Category Dictionary'!$D$5:$D$135&lt;&gt;"")))</f>
        <v/>
      </c>
      <c r="L331" s="27">
        <f>IF($A331="","",TRIM(IF(ISERROR(FIND(",",$C331)),$C331,LEFT($C331,FIND(",",$C331)-1))))</f>
        <v/>
      </c>
      <c r="M331" s="28">
        <f>IF($H331="","",DATE(YEAR($H331),MONTH($H331),1))</f>
        <v/>
      </c>
      <c r="N331" s="26">
        <f>IF($H331="","",TODAY()-$H331)</f>
        <v/>
      </c>
      <c r="O331" s="15" t="n"/>
      <c r="P331" s="15" t="n"/>
      <c r="Q331" s="15" t="n"/>
      <c r="R331" s="25" t="n"/>
      <c r="S331" s="26">
        <f>IF($A331="","",AND(OR('Assignment Builder'!$B$5="",$B331='Assignment Builder'!$B$5),OR('Assignment Builder'!$B$6="",ISNUMBER(SEARCH('Assignment Builder'!$B$6,$C331))),OR('Assignment Builder'!$B$7="",'Assignment Builder'!$B$7=IFERROR(INDEX('Category Dictionary'!$C$5:$C$135,MATCH($L331,'Category Dictionary'!$D$5:$D$135,0)),"")),OR('Assignment Builder'!$B$8="",$D331='Assignment Builder'!$B$8),OR('Assignment Builder'!$B$9="",$F331='Assignment Builder'!$B$9),OR('Assignment Builder'!$B$10="",$O331='Assignment Builder'!$B$10),OR('Assignment Builder'!$B$11="",$H331&gt;='Assignment Builder'!$B$11),OR('Assignment Builder'!$B$12="",N($Q331)&lt;='Assignment Builder'!$B$12)))</f>
        <v/>
      </c>
      <c r="T331" s="23" t="n"/>
    </row>
    <row r="332">
      <c r="A332" s="23" t="n"/>
      <c r="B332" s="23" t="n"/>
      <c r="C332" s="24" t="n"/>
      <c r="D332" s="15" t="n"/>
      <c r="E332" s="23" t="n"/>
      <c r="F332" s="15" t="n"/>
      <c r="G332" s="23" t="n"/>
      <c r="H332" s="25" t="n"/>
      <c r="I332" s="15" t="n"/>
      <c r="J332" s="26">
        <f>IF($A332="","",LEN($C332)-LEN(SUBSTITUTE($C332,",",""))+1)</f>
        <v/>
      </c>
      <c r="K332" s="26">
        <f>IF($A332="","",SUMPRODUCT(--ISNUMBER(SEARCH('Category Dictionary'!$D$5:$D$135&amp;"",$C332)),--('Category Dictionary'!$D$5:$D$135&lt;&gt;"")))</f>
        <v/>
      </c>
      <c r="L332" s="27">
        <f>IF($A332="","",TRIM(IF(ISERROR(FIND(",",$C332)),$C332,LEFT($C332,FIND(",",$C332)-1))))</f>
        <v/>
      </c>
      <c r="M332" s="28">
        <f>IF($H332="","",DATE(YEAR($H332),MONTH($H332),1))</f>
        <v/>
      </c>
      <c r="N332" s="26">
        <f>IF($H332="","",TODAY()-$H332)</f>
        <v/>
      </c>
      <c r="O332" s="15" t="n"/>
      <c r="P332" s="15" t="n"/>
      <c r="Q332" s="15" t="n"/>
      <c r="R332" s="25" t="n"/>
      <c r="S332" s="26">
        <f>IF($A332="","",AND(OR('Assignment Builder'!$B$5="",$B332='Assignment Builder'!$B$5),OR('Assignment Builder'!$B$6="",ISNUMBER(SEARCH('Assignment Builder'!$B$6,$C332))),OR('Assignment Builder'!$B$7="",'Assignment Builder'!$B$7=IFERROR(INDEX('Category Dictionary'!$C$5:$C$135,MATCH($L332,'Category Dictionary'!$D$5:$D$135,0)),"")),OR('Assignment Builder'!$B$8="",$D332='Assignment Builder'!$B$8),OR('Assignment Builder'!$B$9="",$F332='Assignment Builder'!$B$9),OR('Assignment Builder'!$B$10="",$O332='Assignment Builder'!$B$10),OR('Assignment Builder'!$B$11="",$H332&gt;='Assignment Builder'!$B$11),OR('Assignment Builder'!$B$12="",N($Q332)&lt;='Assignment Builder'!$B$12)))</f>
        <v/>
      </c>
      <c r="T332" s="23" t="n"/>
    </row>
    <row r="333">
      <c r="A333" s="23" t="n"/>
      <c r="B333" s="23" t="n"/>
      <c r="C333" s="24" t="n"/>
      <c r="D333" s="15" t="n"/>
      <c r="E333" s="23" t="n"/>
      <c r="F333" s="15" t="n"/>
      <c r="G333" s="23" t="n"/>
      <c r="H333" s="25" t="n"/>
      <c r="I333" s="15" t="n"/>
      <c r="J333" s="26">
        <f>IF($A333="","",LEN($C333)-LEN(SUBSTITUTE($C333,",",""))+1)</f>
        <v/>
      </c>
      <c r="K333" s="26">
        <f>IF($A333="","",SUMPRODUCT(--ISNUMBER(SEARCH('Category Dictionary'!$D$5:$D$135&amp;"",$C333)),--('Category Dictionary'!$D$5:$D$135&lt;&gt;"")))</f>
        <v/>
      </c>
      <c r="L333" s="27">
        <f>IF($A333="","",TRIM(IF(ISERROR(FIND(",",$C333)),$C333,LEFT($C333,FIND(",",$C333)-1))))</f>
        <v/>
      </c>
      <c r="M333" s="28">
        <f>IF($H333="","",DATE(YEAR($H333),MONTH($H333),1))</f>
        <v/>
      </c>
      <c r="N333" s="26">
        <f>IF($H333="","",TODAY()-$H333)</f>
        <v/>
      </c>
      <c r="O333" s="15" t="n"/>
      <c r="P333" s="15" t="n"/>
      <c r="Q333" s="15" t="n"/>
      <c r="R333" s="25" t="n"/>
      <c r="S333" s="26">
        <f>IF($A333="","",AND(OR('Assignment Builder'!$B$5="",$B333='Assignment Builder'!$B$5),OR('Assignment Builder'!$B$6="",ISNUMBER(SEARCH('Assignment Builder'!$B$6,$C333))),OR('Assignment Builder'!$B$7="",'Assignment Builder'!$B$7=IFERROR(INDEX('Category Dictionary'!$C$5:$C$135,MATCH($L333,'Category Dictionary'!$D$5:$D$135,0)),"")),OR('Assignment Builder'!$B$8="",$D333='Assignment Builder'!$B$8),OR('Assignment Builder'!$B$9="",$F333='Assignment Builder'!$B$9),OR('Assignment Builder'!$B$10="",$O333='Assignment Builder'!$B$10),OR('Assignment Builder'!$B$11="",$H333&gt;='Assignment Builder'!$B$11),OR('Assignment Builder'!$B$12="",N($Q333)&lt;='Assignment Builder'!$B$12)))</f>
        <v/>
      </c>
      <c r="T333" s="23" t="n"/>
    </row>
    <row r="334">
      <c r="A334" s="23" t="n"/>
      <c r="B334" s="23" t="n"/>
      <c r="C334" s="24" t="n"/>
      <c r="D334" s="15" t="n"/>
      <c r="E334" s="23" t="n"/>
      <c r="F334" s="15" t="n"/>
      <c r="G334" s="23" t="n"/>
      <c r="H334" s="25" t="n"/>
      <c r="I334" s="15" t="n"/>
      <c r="J334" s="26">
        <f>IF($A334="","",LEN($C334)-LEN(SUBSTITUTE($C334,",",""))+1)</f>
        <v/>
      </c>
      <c r="K334" s="26">
        <f>IF($A334="","",SUMPRODUCT(--ISNUMBER(SEARCH('Category Dictionary'!$D$5:$D$135&amp;"",$C334)),--('Category Dictionary'!$D$5:$D$135&lt;&gt;"")))</f>
        <v/>
      </c>
      <c r="L334" s="27">
        <f>IF($A334="","",TRIM(IF(ISERROR(FIND(",",$C334)),$C334,LEFT($C334,FIND(",",$C334)-1))))</f>
        <v/>
      </c>
      <c r="M334" s="28">
        <f>IF($H334="","",DATE(YEAR($H334),MONTH($H334),1))</f>
        <v/>
      </c>
      <c r="N334" s="26">
        <f>IF($H334="","",TODAY()-$H334)</f>
        <v/>
      </c>
      <c r="O334" s="15" t="n"/>
      <c r="P334" s="15" t="n"/>
      <c r="Q334" s="15" t="n"/>
      <c r="R334" s="25" t="n"/>
      <c r="S334" s="26">
        <f>IF($A334="","",AND(OR('Assignment Builder'!$B$5="",$B334='Assignment Builder'!$B$5),OR('Assignment Builder'!$B$6="",ISNUMBER(SEARCH('Assignment Builder'!$B$6,$C334))),OR('Assignment Builder'!$B$7="",'Assignment Builder'!$B$7=IFERROR(INDEX('Category Dictionary'!$C$5:$C$135,MATCH($L334,'Category Dictionary'!$D$5:$D$135,0)),"")),OR('Assignment Builder'!$B$8="",$D334='Assignment Builder'!$B$8),OR('Assignment Builder'!$B$9="",$F334='Assignment Builder'!$B$9),OR('Assignment Builder'!$B$10="",$O334='Assignment Builder'!$B$10),OR('Assignment Builder'!$B$11="",$H334&gt;='Assignment Builder'!$B$11),OR('Assignment Builder'!$B$12="",N($Q334)&lt;='Assignment Builder'!$B$12)))</f>
        <v/>
      </c>
      <c r="T334" s="23" t="n"/>
    </row>
    <row r="335">
      <c r="A335" s="23" t="n"/>
      <c r="B335" s="23" t="n"/>
      <c r="C335" s="24" t="n"/>
      <c r="D335" s="15" t="n"/>
      <c r="E335" s="23" t="n"/>
      <c r="F335" s="15" t="n"/>
      <c r="G335" s="23" t="n"/>
      <c r="H335" s="25" t="n"/>
      <c r="I335" s="15" t="n"/>
      <c r="J335" s="26">
        <f>IF($A335="","",LEN($C335)-LEN(SUBSTITUTE($C335,",",""))+1)</f>
        <v/>
      </c>
      <c r="K335" s="26">
        <f>IF($A335="","",SUMPRODUCT(--ISNUMBER(SEARCH('Category Dictionary'!$D$5:$D$135&amp;"",$C335)),--('Category Dictionary'!$D$5:$D$135&lt;&gt;"")))</f>
        <v/>
      </c>
      <c r="L335" s="27">
        <f>IF($A335="","",TRIM(IF(ISERROR(FIND(",",$C335)),$C335,LEFT($C335,FIND(",",$C335)-1))))</f>
        <v/>
      </c>
      <c r="M335" s="28">
        <f>IF($H335="","",DATE(YEAR($H335),MONTH($H335),1))</f>
        <v/>
      </c>
      <c r="N335" s="26">
        <f>IF($H335="","",TODAY()-$H335)</f>
        <v/>
      </c>
      <c r="O335" s="15" t="n"/>
      <c r="P335" s="15" t="n"/>
      <c r="Q335" s="15" t="n"/>
      <c r="R335" s="25" t="n"/>
      <c r="S335" s="26">
        <f>IF($A335="","",AND(OR('Assignment Builder'!$B$5="",$B335='Assignment Builder'!$B$5),OR('Assignment Builder'!$B$6="",ISNUMBER(SEARCH('Assignment Builder'!$B$6,$C335))),OR('Assignment Builder'!$B$7="",'Assignment Builder'!$B$7=IFERROR(INDEX('Category Dictionary'!$C$5:$C$135,MATCH($L335,'Category Dictionary'!$D$5:$D$135,0)),"")),OR('Assignment Builder'!$B$8="",$D335='Assignment Builder'!$B$8),OR('Assignment Builder'!$B$9="",$F335='Assignment Builder'!$B$9),OR('Assignment Builder'!$B$10="",$O335='Assignment Builder'!$B$10),OR('Assignment Builder'!$B$11="",$H335&gt;='Assignment Builder'!$B$11),OR('Assignment Builder'!$B$12="",N($Q335)&lt;='Assignment Builder'!$B$12)))</f>
        <v/>
      </c>
      <c r="T335" s="23" t="n"/>
    </row>
    <row r="336">
      <c r="A336" s="23" t="n"/>
      <c r="B336" s="23" t="n"/>
      <c r="C336" s="24" t="n"/>
      <c r="D336" s="15" t="n"/>
      <c r="E336" s="23" t="n"/>
      <c r="F336" s="15" t="n"/>
      <c r="G336" s="23" t="n"/>
      <c r="H336" s="25" t="n"/>
      <c r="I336" s="15" t="n"/>
      <c r="J336" s="26">
        <f>IF($A336="","",LEN($C336)-LEN(SUBSTITUTE($C336,",",""))+1)</f>
        <v/>
      </c>
      <c r="K336" s="26">
        <f>IF($A336="","",SUMPRODUCT(--ISNUMBER(SEARCH('Category Dictionary'!$D$5:$D$135&amp;"",$C336)),--('Category Dictionary'!$D$5:$D$135&lt;&gt;"")))</f>
        <v/>
      </c>
      <c r="L336" s="27">
        <f>IF($A336="","",TRIM(IF(ISERROR(FIND(",",$C336)),$C336,LEFT($C336,FIND(",",$C336)-1))))</f>
        <v/>
      </c>
      <c r="M336" s="28">
        <f>IF($H336="","",DATE(YEAR($H336),MONTH($H336),1))</f>
        <v/>
      </c>
      <c r="N336" s="26">
        <f>IF($H336="","",TODAY()-$H336)</f>
        <v/>
      </c>
      <c r="O336" s="15" t="n"/>
      <c r="P336" s="15" t="n"/>
      <c r="Q336" s="15" t="n"/>
      <c r="R336" s="25" t="n"/>
      <c r="S336" s="26">
        <f>IF($A336="","",AND(OR('Assignment Builder'!$B$5="",$B336='Assignment Builder'!$B$5),OR('Assignment Builder'!$B$6="",ISNUMBER(SEARCH('Assignment Builder'!$B$6,$C336))),OR('Assignment Builder'!$B$7="",'Assignment Builder'!$B$7=IFERROR(INDEX('Category Dictionary'!$C$5:$C$135,MATCH($L336,'Category Dictionary'!$D$5:$D$135,0)),"")),OR('Assignment Builder'!$B$8="",$D336='Assignment Builder'!$B$8),OR('Assignment Builder'!$B$9="",$F336='Assignment Builder'!$B$9),OR('Assignment Builder'!$B$10="",$O336='Assignment Builder'!$B$10),OR('Assignment Builder'!$B$11="",$H336&gt;='Assignment Builder'!$B$11),OR('Assignment Builder'!$B$12="",N($Q336)&lt;='Assignment Builder'!$B$12)))</f>
        <v/>
      </c>
      <c r="T336" s="23" t="n"/>
    </row>
    <row r="337">
      <c r="A337" s="23" t="n"/>
      <c r="B337" s="23" t="n"/>
      <c r="C337" s="24" t="n"/>
      <c r="D337" s="15" t="n"/>
      <c r="E337" s="23" t="n"/>
      <c r="F337" s="15" t="n"/>
      <c r="G337" s="23" t="n"/>
      <c r="H337" s="25" t="n"/>
      <c r="I337" s="15" t="n"/>
      <c r="J337" s="26">
        <f>IF($A337="","",LEN($C337)-LEN(SUBSTITUTE($C337,",",""))+1)</f>
        <v/>
      </c>
      <c r="K337" s="26">
        <f>IF($A337="","",SUMPRODUCT(--ISNUMBER(SEARCH('Category Dictionary'!$D$5:$D$135&amp;"",$C337)),--('Category Dictionary'!$D$5:$D$135&lt;&gt;"")))</f>
        <v/>
      </c>
      <c r="L337" s="27">
        <f>IF($A337="","",TRIM(IF(ISERROR(FIND(",",$C337)),$C337,LEFT($C337,FIND(",",$C337)-1))))</f>
        <v/>
      </c>
      <c r="M337" s="28">
        <f>IF($H337="","",DATE(YEAR($H337),MONTH($H337),1))</f>
        <v/>
      </c>
      <c r="N337" s="26">
        <f>IF($H337="","",TODAY()-$H337)</f>
        <v/>
      </c>
      <c r="O337" s="15" t="n"/>
      <c r="P337" s="15" t="n"/>
      <c r="Q337" s="15" t="n"/>
      <c r="R337" s="25" t="n"/>
      <c r="S337" s="26">
        <f>IF($A337="","",AND(OR('Assignment Builder'!$B$5="",$B337='Assignment Builder'!$B$5),OR('Assignment Builder'!$B$6="",ISNUMBER(SEARCH('Assignment Builder'!$B$6,$C337))),OR('Assignment Builder'!$B$7="",'Assignment Builder'!$B$7=IFERROR(INDEX('Category Dictionary'!$C$5:$C$135,MATCH($L337,'Category Dictionary'!$D$5:$D$135,0)),"")),OR('Assignment Builder'!$B$8="",$D337='Assignment Builder'!$B$8),OR('Assignment Builder'!$B$9="",$F337='Assignment Builder'!$B$9),OR('Assignment Builder'!$B$10="",$O337='Assignment Builder'!$B$10),OR('Assignment Builder'!$B$11="",$H337&gt;='Assignment Builder'!$B$11),OR('Assignment Builder'!$B$12="",N($Q337)&lt;='Assignment Builder'!$B$12)))</f>
        <v/>
      </c>
      <c r="T337" s="23" t="n"/>
    </row>
    <row r="338">
      <c r="A338" s="23" t="n"/>
      <c r="B338" s="23" t="n"/>
      <c r="C338" s="24" t="n"/>
      <c r="D338" s="15" t="n"/>
      <c r="E338" s="23" t="n"/>
      <c r="F338" s="15" t="n"/>
      <c r="G338" s="23" t="n"/>
      <c r="H338" s="25" t="n"/>
      <c r="I338" s="15" t="n"/>
      <c r="J338" s="26">
        <f>IF($A338="","",LEN($C338)-LEN(SUBSTITUTE($C338,",",""))+1)</f>
        <v/>
      </c>
      <c r="K338" s="26">
        <f>IF($A338="","",SUMPRODUCT(--ISNUMBER(SEARCH('Category Dictionary'!$D$5:$D$135&amp;"",$C338)),--('Category Dictionary'!$D$5:$D$135&lt;&gt;"")))</f>
        <v/>
      </c>
      <c r="L338" s="27">
        <f>IF($A338="","",TRIM(IF(ISERROR(FIND(",",$C338)),$C338,LEFT($C338,FIND(",",$C338)-1))))</f>
        <v/>
      </c>
      <c r="M338" s="28">
        <f>IF($H338="","",DATE(YEAR($H338),MONTH($H338),1))</f>
        <v/>
      </c>
      <c r="N338" s="26">
        <f>IF($H338="","",TODAY()-$H338)</f>
        <v/>
      </c>
      <c r="O338" s="15" t="n"/>
      <c r="P338" s="15" t="n"/>
      <c r="Q338" s="15" t="n"/>
      <c r="R338" s="25" t="n"/>
      <c r="S338" s="26">
        <f>IF($A338="","",AND(OR('Assignment Builder'!$B$5="",$B338='Assignment Builder'!$B$5),OR('Assignment Builder'!$B$6="",ISNUMBER(SEARCH('Assignment Builder'!$B$6,$C338))),OR('Assignment Builder'!$B$7="",'Assignment Builder'!$B$7=IFERROR(INDEX('Category Dictionary'!$C$5:$C$135,MATCH($L338,'Category Dictionary'!$D$5:$D$135,0)),"")),OR('Assignment Builder'!$B$8="",$D338='Assignment Builder'!$B$8),OR('Assignment Builder'!$B$9="",$F338='Assignment Builder'!$B$9),OR('Assignment Builder'!$B$10="",$O338='Assignment Builder'!$B$10),OR('Assignment Builder'!$B$11="",$H338&gt;='Assignment Builder'!$B$11),OR('Assignment Builder'!$B$12="",N($Q338)&lt;='Assignment Builder'!$B$12)))</f>
        <v/>
      </c>
      <c r="T338" s="23" t="n"/>
    </row>
    <row r="339">
      <c r="A339" s="23" t="n"/>
      <c r="B339" s="23" t="n"/>
      <c r="C339" s="24" t="n"/>
      <c r="D339" s="15" t="n"/>
      <c r="E339" s="23" t="n"/>
      <c r="F339" s="15" t="n"/>
      <c r="G339" s="23" t="n"/>
      <c r="H339" s="25" t="n"/>
      <c r="I339" s="15" t="n"/>
      <c r="J339" s="26">
        <f>IF($A339="","",LEN($C339)-LEN(SUBSTITUTE($C339,",",""))+1)</f>
        <v/>
      </c>
      <c r="K339" s="26">
        <f>IF($A339="","",SUMPRODUCT(--ISNUMBER(SEARCH('Category Dictionary'!$D$5:$D$135&amp;"",$C339)),--('Category Dictionary'!$D$5:$D$135&lt;&gt;"")))</f>
        <v/>
      </c>
      <c r="L339" s="27">
        <f>IF($A339="","",TRIM(IF(ISERROR(FIND(",",$C339)),$C339,LEFT($C339,FIND(",",$C339)-1))))</f>
        <v/>
      </c>
      <c r="M339" s="28">
        <f>IF($H339="","",DATE(YEAR($H339),MONTH($H339),1))</f>
        <v/>
      </c>
      <c r="N339" s="26">
        <f>IF($H339="","",TODAY()-$H339)</f>
        <v/>
      </c>
      <c r="O339" s="15" t="n"/>
      <c r="P339" s="15" t="n"/>
      <c r="Q339" s="15" t="n"/>
      <c r="R339" s="25" t="n"/>
      <c r="S339" s="26">
        <f>IF($A339="","",AND(OR('Assignment Builder'!$B$5="",$B339='Assignment Builder'!$B$5),OR('Assignment Builder'!$B$6="",ISNUMBER(SEARCH('Assignment Builder'!$B$6,$C339))),OR('Assignment Builder'!$B$7="",'Assignment Builder'!$B$7=IFERROR(INDEX('Category Dictionary'!$C$5:$C$135,MATCH($L339,'Category Dictionary'!$D$5:$D$135,0)),"")),OR('Assignment Builder'!$B$8="",$D339='Assignment Builder'!$B$8),OR('Assignment Builder'!$B$9="",$F339='Assignment Builder'!$B$9),OR('Assignment Builder'!$B$10="",$O339='Assignment Builder'!$B$10),OR('Assignment Builder'!$B$11="",$H339&gt;='Assignment Builder'!$B$11),OR('Assignment Builder'!$B$12="",N($Q339)&lt;='Assignment Builder'!$B$12)))</f>
        <v/>
      </c>
      <c r="T339" s="23" t="n"/>
    </row>
    <row r="340">
      <c r="A340" s="23" t="n"/>
      <c r="B340" s="23" t="n"/>
      <c r="C340" s="24" t="n"/>
      <c r="D340" s="15" t="n"/>
      <c r="E340" s="23" t="n"/>
      <c r="F340" s="15" t="n"/>
      <c r="G340" s="23" t="n"/>
      <c r="H340" s="25" t="n"/>
      <c r="I340" s="15" t="n"/>
      <c r="J340" s="26">
        <f>IF($A340="","",LEN($C340)-LEN(SUBSTITUTE($C340,",",""))+1)</f>
        <v/>
      </c>
      <c r="K340" s="26">
        <f>IF($A340="","",SUMPRODUCT(--ISNUMBER(SEARCH('Category Dictionary'!$D$5:$D$135&amp;"",$C340)),--('Category Dictionary'!$D$5:$D$135&lt;&gt;"")))</f>
        <v/>
      </c>
      <c r="L340" s="27">
        <f>IF($A340="","",TRIM(IF(ISERROR(FIND(",",$C340)),$C340,LEFT($C340,FIND(",",$C340)-1))))</f>
        <v/>
      </c>
      <c r="M340" s="28">
        <f>IF($H340="","",DATE(YEAR($H340),MONTH($H340),1))</f>
        <v/>
      </c>
      <c r="N340" s="26">
        <f>IF($H340="","",TODAY()-$H340)</f>
        <v/>
      </c>
      <c r="O340" s="15" t="n"/>
      <c r="P340" s="15" t="n"/>
      <c r="Q340" s="15" t="n"/>
      <c r="R340" s="25" t="n"/>
      <c r="S340" s="26">
        <f>IF($A340="","",AND(OR('Assignment Builder'!$B$5="",$B340='Assignment Builder'!$B$5),OR('Assignment Builder'!$B$6="",ISNUMBER(SEARCH('Assignment Builder'!$B$6,$C340))),OR('Assignment Builder'!$B$7="",'Assignment Builder'!$B$7=IFERROR(INDEX('Category Dictionary'!$C$5:$C$135,MATCH($L340,'Category Dictionary'!$D$5:$D$135,0)),"")),OR('Assignment Builder'!$B$8="",$D340='Assignment Builder'!$B$8),OR('Assignment Builder'!$B$9="",$F340='Assignment Builder'!$B$9),OR('Assignment Builder'!$B$10="",$O340='Assignment Builder'!$B$10),OR('Assignment Builder'!$B$11="",$H340&gt;='Assignment Builder'!$B$11),OR('Assignment Builder'!$B$12="",N($Q340)&lt;='Assignment Builder'!$B$12)))</f>
        <v/>
      </c>
      <c r="T340" s="23" t="n"/>
    </row>
    <row r="341">
      <c r="A341" s="23" t="n"/>
      <c r="B341" s="23" t="n"/>
      <c r="C341" s="24" t="n"/>
      <c r="D341" s="15" t="n"/>
      <c r="E341" s="23" t="n"/>
      <c r="F341" s="15" t="n"/>
      <c r="G341" s="23" t="n"/>
      <c r="H341" s="25" t="n"/>
      <c r="I341" s="15" t="n"/>
      <c r="J341" s="26">
        <f>IF($A341="","",LEN($C341)-LEN(SUBSTITUTE($C341,",",""))+1)</f>
        <v/>
      </c>
      <c r="K341" s="26">
        <f>IF($A341="","",SUMPRODUCT(--ISNUMBER(SEARCH('Category Dictionary'!$D$5:$D$135&amp;"",$C341)),--('Category Dictionary'!$D$5:$D$135&lt;&gt;"")))</f>
        <v/>
      </c>
      <c r="L341" s="27">
        <f>IF($A341="","",TRIM(IF(ISERROR(FIND(",",$C341)),$C341,LEFT($C341,FIND(",",$C341)-1))))</f>
        <v/>
      </c>
      <c r="M341" s="28">
        <f>IF($H341="","",DATE(YEAR($H341),MONTH($H341),1))</f>
        <v/>
      </c>
      <c r="N341" s="26">
        <f>IF($H341="","",TODAY()-$H341)</f>
        <v/>
      </c>
      <c r="O341" s="15" t="n"/>
      <c r="P341" s="15" t="n"/>
      <c r="Q341" s="15" t="n"/>
      <c r="R341" s="25" t="n"/>
      <c r="S341" s="26">
        <f>IF($A341="","",AND(OR('Assignment Builder'!$B$5="",$B341='Assignment Builder'!$B$5),OR('Assignment Builder'!$B$6="",ISNUMBER(SEARCH('Assignment Builder'!$B$6,$C341))),OR('Assignment Builder'!$B$7="",'Assignment Builder'!$B$7=IFERROR(INDEX('Category Dictionary'!$C$5:$C$135,MATCH($L341,'Category Dictionary'!$D$5:$D$135,0)),"")),OR('Assignment Builder'!$B$8="",$D341='Assignment Builder'!$B$8),OR('Assignment Builder'!$B$9="",$F341='Assignment Builder'!$B$9),OR('Assignment Builder'!$B$10="",$O341='Assignment Builder'!$B$10),OR('Assignment Builder'!$B$11="",$H341&gt;='Assignment Builder'!$B$11),OR('Assignment Builder'!$B$12="",N($Q341)&lt;='Assignment Builder'!$B$12)))</f>
        <v/>
      </c>
      <c r="T341" s="23" t="n"/>
    </row>
    <row r="342">
      <c r="A342" s="23" t="n"/>
      <c r="B342" s="23" t="n"/>
      <c r="C342" s="24" t="n"/>
      <c r="D342" s="15" t="n"/>
      <c r="E342" s="23" t="n"/>
      <c r="F342" s="15" t="n"/>
      <c r="G342" s="23" t="n"/>
      <c r="H342" s="25" t="n"/>
      <c r="I342" s="15" t="n"/>
      <c r="J342" s="26">
        <f>IF($A342="","",LEN($C342)-LEN(SUBSTITUTE($C342,",",""))+1)</f>
        <v/>
      </c>
      <c r="K342" s="26">
        <f>IF($A342="","",SUMPRODUCT(--ISNUMBER(SEARCH('Category Dictionary'!$D$5:$D$135&amp;"",$C342)),--('Category Dictionary'!$D$5:$D$135&lt;&gt;"")))</f>
        <v/>
      </c>
      <c r="L342" s="27">
        <f>IF($A342="","",TRIM(IF(ISERROR(FIND(",",$C342)),$C342,LEFT($C342,FIND(",",$C342)-1))))</f>
        <v/>
      </c>
      <c r="M342" s="28">
        <f>IF($H342="","",DATE(YEAR($H342),MONTH($H342),1))</f>
        <v/>
      </c>
      <c r="N342" s="26">
        <f>IF($H342="","",TODAY()-$H342)</f>
        <v/>
      </c>
      <c r="O342" s="15" t="n"/>
      <c r="P342" s="15" t="n"/>
      <c r="Q342" s="15" t="n"/>
      <c r="R342" s="25" t="n"/>
      <c r="S342" s="26">
        <f>IF($A342="","",AND(OR('Assignment Builder'!$B$5="",$B342='Assignment Builder'!$B$5),OR('Assignment Builder'!$B$6="",ISNUMBER(SEARCH('Assignment Builder'!$B$6,$C342))),OR('Assignment Builder'!$B$7="",'Assignment Builder'!$B$7=IFERROR(INDEX('Category Dictionary'!$C$5:$C$135,MATCH($L342,'Category Dictionary'!$D$5:$D$135,0)),"")),OR('Assignment Builder'!$B$8="",$D342='Assignment Builder'!$B$8),OR('Assignment Builder'!$B$9="",$F342='Assignment Builder'!$B$9),OR('Assignment Builder'!$B$10="",$O342='Assignment Builder'!$B$10),OR('Assignment Builder'!$B$11="",$H342&gt;='Assignment Builder'!$B$11),OR('Assignment Builder'!$B$12="",N($Q342)&lt;='Assignment Builder'!$B$12)))</f>
        <v/>
      </c>
      <c r="T342" s="23" t="n"/>
    </row>
    <row r="343">
      <c r="A343" s="23" t="n"/>
      <c r="B343" s="23" t="n"/>
      <c r="C343" s="24" t="n"/>
      <c r="D343" s="15" t="n"/>
      <c r="E343" s="23" t="n"/>
      <c r="F343" s="15" t="n"/>
      <c r="G343" s="23" t="n"/>
      <c r="H343" s="25" t="n"/>
      <c r="I343" s="15" t="n"/>
      <c r="J343" s="26">
        <f>IF($A343="","",LEN($C343)-LEN(SUBSTITUTE($C343,",",""))+1)</f>
        <v/>
      </c>
      <c r="K343" s="26">
        <f>IF($A343="","",SUMPRODUCT(--ISNUMBER(SEARCH('Category Dictionary'!$D$5:$D$135&amp;"",$C343)),--('Category Dictionary'!$D$5:$D$135&lt;&gt;"")))</f>
        <v/>
      </c>
      <c r="L343" s="27">
        <f>IF($A343="","",TRIM(IF(ISERROR(FIND(",",$C343)),$C343,LEFT($C343,FIND(",",$C343)-1))))</f>
        <v/>
      </c>
      <c r="M343" s="28">
        <f>IF($H343="","",DATE(YEAR($H343),MONTH($H343),1))</f>
        <v/>
      </c>
      <c r="N343" s="26">
        <f>IF($H343="","",TODAY()-$H343)</f>
        <v/>
      </c>
      <c r="O343" s="15" t="n"/>
      <c r="P343" s="15" t="n"/>
      <c r="Q343" s="15" t="n"/>
      <c r="R343" s="25" t="n"/>
      <c r="S343" s="26">
        <f>IF($A343="","",AND(OR('Assignment Builder'!$B$5="",$B343='Assignment Builder'!$B$5),OR('Assignment Builder'!$B$6="",ISNUMBER(SEARCH('Assignment Builder'!$B$6,$C343))),OR('Assignment Builder'!$B$7="",'Assignment Builder'!$B$7=IFERROR(INDEX('Category Dictionary'!$C$5:$C$135,MATCH($L343,'Category Dictionary'!$D$5:$D$135,0)),"")),OR('Assignment Builder'!$B$8="",$D343='Assignment Builder'!$B$8),OR('Assignment Builder'!$B$9="",$F343='Assignment Builder'!$B$9),OR('Assignment Builder'!$B$10="",$O343='Assignment Builder'!$B$10),OR('Assignment Builder'!$B$11="",$H343&gt;='Assignment Builder'!$B$11),OR('Assignment Builder'!$B$12="",N($Q343)&lt;='Assignment Builder'!$B$12)))</f>
        <v/>
      </c>
      <c r="T343" s="23" t="n"/>
    </row>
    <row r="344">
      <c r="A344" s="23" t="n"/>
      <c r="B344" s="23" t="n"/>
      <c r="C344" s="24" t="n"/>
      <c r="D344" s="15" t="n"/>
      <c r="E344" s="23" t="n"/>
      <c r="F344" s="15" t="n"/>
      <c r="G344" s="23" t="n"/>
      <c r="H344" s="25" t="n"/>
      <c r="I344" s="15" t="n"/>
      <c r="J344" s="26">
        <f>IF($A344="","",LEN($C344)-LEN(SUBSTITUTE($C344,",",""))+1)</f>
        <v/>
      </c>
      <c r="K344" s="26">
        <f>IF($A344="","",SUMPRODUCT(--ISNUMBER(SEARCH('Category Dictionary'!$D$5:$D$135&amp;"",$C344)),--('Category Dictionary'!$D$5:$D$135&lt;&gt;"")))</f>
        <v/>
      </c>
      <c r="L344" s="27">
        <f>IF($A344="","",TRIM(IF(ISERROR(FIND(",",$C344)),$C344,LEFT($C344,FIND(",",$C344)-1))))</f>
        <v/>
      </c>
      <c r="M344" s="28">
        <f>IF($H344="","",DATE(YEAR($H344),MONTH($H344),1))</f>
        <v/>
      </c>
      <c r="N344" s="26">
        <f>IF($H344="","",TODAY()-$H344)</f>
        <v/>
      </c>
      <c r="O344" s="15" t="n"/>
      <c r="P344" s="15" t="n"/>
      <c r="Q344" s="15" t="n"/>
      <c r="R344" s="25" t="n"/>
      <c r="S344" s="26">
        <f>IF($A344="","",AND(OR('Assignment Builder'!$B$5="",$B344='Assignment Builder'!$B$5),OR('Assignment Builder'!$B$6="",ISNUMBER(SEARCH('Assignment Builder'!$B$6,$C344))),OR('Assignment Builder'!$B$7="",'Assignment Builder'!$B$7=IFERROR(INDEX('Category Dictionary'!$C$5:$C$135,MATCH($L344,'Category Dictionary'!$D$5:$D$135,0)),"")),OR('Assignment Builder'!$B$8="",$D344='Assignment Builder'!$B$8),OR('Assignment Builder'!$B$9="",$F344='Assignment Builder'!$B$9),OR('Assignment Builder'!$B$10="",$O344='Assignment Builder'!$B$10),OR('Assignment Builder'!$B$11="",$H344&gt;='Assignment Builder'!$B$11),OR('Assignment Builder'!$B$12="",N($Q344)&lt;='Assignment Builder'!$B$12)))</f>
        <v/>
      </c>
      <c r="T344" s="23" t="n"/>
    </row>
    <row r="345">
      <c r="A345" s="23" t="n"/>
      <c r="B345" s="23" t="n"/>
      <c r="C345" s="24" t="n"/>
      <c r="D345" s="15" t="n"/>
      <c r="E345" s="23" t="n"/>
      <c r="F345" s="15" t="n"/>
      <c r="G345" s="23" t="n"/>
      <c r="H345" s="25" t="n"/>
      <c r="I345" s="15" t="n"/>
      <c r="J345" s="26">
        <f>IF($A345="","",LEN($C345)-LEN(SUBSTITUTE($C345,",",""))+1)</f>
        <v/>
      </c>
      <c r="K345" s="26">
        <f>IF($A345="","",SUMPRODUCT(--ISNUMBER(SEARCH('Category Dictionary'!$D$5:$D$135&amp;"",$C345)),--('Category Dictionary'!$D$5:$D$135&lt;&gt;"")))</f>
        <v/>
      </c>
      <c r="L345" s="27">
        <f>IF($A345="","",TRIM(IF(ISERROR(FIND(",",$C345)),$C345,LEFT($C345,FIND(",",$C345)-1))))</f>
        <v/>
      </c>
      <c r="M345" s="28">
        <f>IF($H345="","",DATE(YEAR($H345),MONTH($H345),1))</f>
        <v/>
      </c>
      <c r="N345" s="26">
        <f>IF($H345="","",TODAY()-$H345)</f>
        <v/>
      </c>
      <c r="O345" s="15" t="n"/>
      <c r="P345" s="15" t="n"/>
      <c r="Q345" s="15" t="n"/>
      <c r="R345" s="25" t="n"/>
      <c r="S345" s="26">
        <f>IF($A345="","",AND(OR('Assignment Builder'!$B$5="",$B345='Assignment Builder'!$B$5),OR('Assignment Builder'!$B$6="",ISNUMBER(SEARCH('Assignment Builder'!$B$6,$C345))),OR('Assignment Builder'!$B$7="",'Assignment Builder'!$B$7=IFERROR(INDEX('Category Dictionary'!$C$5:$C$135,MATCH($L345,'Category Dictionary'!$D$5:$D$135,0)),"")),OR('Assignment Builder'!$B$8="",$D345='Assignment Builder'!$B$8),OR('Assignment Builder'!$B$9="",$F345='Assignment Builder'!$B$9),OR('Assignment Builder'!$B$10="",$O345='Assignment Builder'!$B$10),OR('Assignment Builder'!$B$11="",$H345&gt;='Assignment Builder'!$B$11),OR('Assignment Builder'!$B$12="",N($Q345)&lt;='Assignment Builder'!$B$12)))</f>
        <v/>
      </c>
      <c r="T345" s="23" t="n"/>
    </row>
    <row r="346">
      <c r="A346" s="23" t="n"/>
      <c r="B346" s="23" t="n"/>
      <c r="C346" s="24" t="n"/>
      <c r="D346" s="15" t="n"/>
      <c r="E346" s="23" t="n"/>
      <c r="F346" s="15" t="n"/>
      <c r="G346" s="23" t="n"/>
      <c r="H346" s="25" t="n"/>
      <c r="I346" s="15" t="n"/>
      <c r="J346" s="26">
        <f>IF($A346="","",LEN($C346)-LEN(SUBSTITUTE($C346,",",""))+1)</f>
        <v/>
      </c>
      <c r="K346" s="26">
        <f>IF($A346="","",SUMPRODUCT(--ISNUMBER(SEARCH('Category Dictionary'!$D$5:$D$135&amp;"",$C346)),--('Category Dictionary'!$D$5:$D$135&lt;&gt;"")))</f>
        <v/>
      </c>
      <c r="L346" s="27">
        <f>IF($A346="","",TRIM(IF(ISERROR(FIND(",",$C346)),$C346,LEFT($C346,FIND(",",$C346)-1))))</f>
        <v/>
      </c>
      <c r="M346" s="28">
        <f>IF($H346="","",DATE(YEAR($H346),MONTH($H346),1))</f>
        <v/>
      </c>
      <c r="N346" s="26">
        <f>IF($H346="","",TODAY()-$H346)</f>
        <v/>
      </c>
      <c r="O346" s="15" t="n"/>
      <c r="P346" s="15" t="n"/>
      <c r="Q346" s="15" t="n"/>
      <c r="R346" s="25" t="n"/>
      <c r="S346" s="26">
        <f>IF($A346="","",AND(OR('Assignment Builder'!$B$5="",$B346='Assignment Builder'!$B$5),OR('Assignment Builder'!$B$6="",ISNUMBER(SEARCH('Assignment Builder'!$B$6,$C346))),OR('Assignment Builder'!$B$7="",'Assignment Builder'!$B$7=IFERROR(INDEX('Category Dictionary'!$C$5:$C$135,MATCH($L346,'Category Dictionary'!$D$5:$D$135,0)),"")),OR('Assignment Builder'!$B$8="",$D346='Assignment Builder'!$B$8),OR('Assignment Builder'!$B$9="",$F346='Assignment Builder'!$B$9),OR('Assignment Builder'!$B$10="",$O346='Assignment Builder'!$B$10),OR('Assignment Builder'!$B$11="",$H346&gt;='Assignment Builder'!$B$11),OR('Assignment Builder'!$B$12="",N($Q346)&lt;='Assignment Builder'!$B$12)))</f>
        <v/>
      </c>
      <c r="T346" s="23" t="n"/>
    </row>
    <row r="347">
      <c r="A347" s="23" t="n"/>
      <c r="B347" s="23" t="n"/>
      <c r="C347" s="24" t="n"/>
      <c r="D347" s="15" t="n"/>
      <c r="E347" s="23" t="n"/>
      <c r="F347" s="15" t="n"/>
      <c r="G347" s="23" t="n"/>
      <c r="H347" s="25" t="n"/>
      <c r="I347" s="15" t="n"/>
      <c r="J347" s="26">
        <f>IF($A347="","",LEN($C347)-LEN(SUBSTITUTE($C347,",",""))+1)</f>
        <v/>
      </c>
      <c r="K347" s="26">
        <f>IF($A347="","",SUMPRODUCT(--ISNUMBER(SEARCH('Category Dictionary'!$D$5:$D$135&amp;"",$C347)),--('Category Dictionary'!$D$5:$D$135&lt;&gt;"")))</f>
        <v/>
      </c>
      <c r="L347" s="27">
        <f>IF($A347="","",TRIM(IF(ISERROR(FIND(",",$C347)),$C347,LEFT($C347,FIND(",",$C347)-1))))</f>
        <v/>
      </c>
      <c r="M347" s="28">
        <f>IF($H347="","",DATE(YEAR($H347),MONTH($H347),1))</f>
        <v/>
      </c>
      <c r="N347" s="26">
        <f>IF($H347="","",TODAY()-$H347)</f>
        <v/>
      </c>
      <c r="O347" s="15" t="n"/>
      <c r="P347" s="15" t="n"/>
      <c r="Q347" s="15" t="n"/>
      <c r="R347" s="25" t="n"/>
      <c r="S347" s="26">
        <f>IF($A347="","",AND(OR('Assignment Builder'!$B$5="",$B347='Assignment Builder'!$B$5),OR('Assignment Builder'!$B$6="",ISNUMBER(SEARCH('Assignment Builder'!$B$6,$C347))),OR('Assignment Builder'!$B$7="",'Assignment Builder'!$B$7=IFERROR(INDEX('Category Dictionary'!$C$5:$C$135,MATCH($L347,'Category Dictionary'!$D$5:$D$135,0)),"")),OR('Assignment Builder'!$B$8="",$D347='Assignment Builder'!$B$8),OR('Assignment Builder'!$B$9="",$F347='Assignment Builder'!$B$9),OR('Assignment Builder'!$B$10="",$O347='Assignment Builder'!$B$10),OR('Assignment Builder'!$B$11="",$H347&gt;='Assignment Builder'!$B$11),OR('Assignment Builder'!$B$12="",N($Q347)&lt;='Assignment Builder'!$B$12)))</f>
        <v/>
      </c>
      <c r="T347" s="23" t="n"/>
    </row>
    <row r="348">
      <c r="A348" s="23" t="n"/>
      <c r="B348" s="23" t="n"/>
      <c r="C348" s="24" t="n"/>
      <c r="D348" s="15" t="n"/>
      <c r="E348" s="23" t="n"/>
      <c r="F348" s="15" t="n"/>
      <c r="G348" s="23" t="n"/>
      <c r="H348" s="25" t="n"/>
      <c r="I348" s="15" t="n"/>
      <c r="J348" s="26">
        <f>IF($A348="","",LEN($C348)-LEN(SUBSTITUTE($C348,",",""))+1)</f>
        <v/>
      </c>
      <c r="K348" s="26">
        <f>IF($A348="","",SUMPRODUCT(--ISNUMBER(SEARCH('Category Dictionary'!$D$5:$D$135&amp;"",$C348)),--('Category Dictionary'!$D$5:$D$135&lt;&gt;"")))</f>
        <v/>
      </c>
      <c r="L348" s="27">
        <f>IF($A348="","",TRIM(IF(ISERROR(FIND(",",$C348)),$C348,LEFT($C348,FIND(",",$C348)-1))))</f>
        <v/>
      </c>
      <c r="M348" s="28">
        <f>IF($H348="","",DATE(YEAR($H348),MONTH($H348),1))</f>
        <v/>
      </c>
      <c r="N348" s="26">
        <f>IF($H348="","",TODAY()-$H348)</f>
        <v/>
      </c>
      <c r="O348" s="15" t="n"/>
      <c r="P348" s="15" t="n"/>
      <c r="Q348" s="15" t="n"/>
      <c r="R348" s="25" t="n"/>
      <c r="S348" s="26">
        <f>IF($A348="","",AND(OR('Assignment Builder'!$B$5="",$B348='Assignment Builder'!$B$5),OR('Assignment Builder'!$B$6="",ISNUMBER(SEARCH('Assignment Builder'!$B$6,$C348))),OR('Assignment Builder'!$B$7="",'Assignment Builder'!$B$7=IFERROR(INDEX('Category Dictionary'!$C$5:$C$135,MATCH($L348,'Category Dictionary'!$D$5:$D$135,0)),"")),OR('Assignment Builder'!$B$8="",$D348='Assignment Builder'!$B$8),OR('Assignment Builder'!$B$9="",$F348='Assignment Builder'!$B$9),OR('Assignment Builder'!$B$10="",$O348='Assignment Builder'!$B$10),OR('Assignment Builder'!$B$11="",$H348&gt;='Assignment Builder'!$B$11),OR('Assignment Builder'!$B$12="",N($Q348)&lt;='Assignment Builder'!$B$12)))</f>
        <v/>
      </c>
      <c r="T348" s="23" t="n"/>
    </row>
    <row r="349">
      <c r="A349" s="23" t="n"/>
      <c r="B349" s="23" t="n"/>
      <c r="C349" s="24" t="n"/>
      <c r="D349" s="15" t="n"/>
      <c r="E349" s="23" t="n"/>
      <c r="F349" s="15" t="n"/>
      <c r="G349" s="23" t="n"/>
      <c r="H349" s="25" t="n"/>
      <c r="I349" s="15" t="n"/>
      <c r="J349" s="26">
        <f>IF($A349="","",LEN($C349)-LEN(SUBSTITUTE($C349,",",""))+1)</f>
        <v/>
      </c>
      <c r="K349" s="26">
        <f>IF($A349="","",SUMPRODUCT(--ISNUMBER(SEARCH('Category Dictionary'!$D$5:$D$135&amp;"",$C349)),--('Category Dictionary'!$D$5:$D$135&lt;&gt;"")))</f>
        <v/>
      </c>
      <c r="L349" s="27">
        <f>IF($A349="","",TRIM(IF(ISERROR(FIND(",",$C349)),$C349,LEFT($C349,FIND(",",$C349)-1))))</f>
        <v/>
      </c>
      <c r="M349" s="28">
        <f>IF($H349="","",DATE(YEAR($H349),MONTH($H349),1))</f>
        <v/>
      </c>
      <c r="N349" s="26">
        <f>IF($H349="","",TODAY()-$H349)</f>
        <v/>
      </c>
      <c r="O349" s="15" t="n"/>
      <c r="P349" s="15" t="n"/>
      <c r="Q349" s="15" t="n"/>
      <c r="R349" s="25" t="n"/>
      <c r="S349" s="26">
        <f>IF($A349="","",AND(OR('Assignment Builder'!$B$5="",$B349='Assignment Builder'!$B$5),OR('Assignment Builder'!$B$6="",ISNUMBER(SEARCH('Assignment Builder'!$B$6,$C349))),OR('Assignment Builder'!$B$7="",'Assignment Builder'!$B$7=IFERROR(INDEX('Category Dictionary'!$C$5:$C$135,MATCH($L349,'Category Dictionary'!$D$5:$D$135,0)),"")),OR('Assignment Builder'!$B$8="",$D349='Assignment Builder'!$B$8),OR('Assignment Builder'!$B$9="",$F349='Assignment Builder'!$B$9),OR('Assignment Builder'!$B$10="",$O349='Assignment Builder'!$B$10),OR('Assignment Builder'!$B$11="",$H349&gt;='Assignment Builder'!$B$11),OR('Assignment Builder'!$B$12="",N($Q349)&lt;='Assignment Builder'!$B$12)))</f>
        <v/>
      </c>
      <c r="T349" s="23" t="n"/>
    </row>
    <row r="350">
      <c r="A350" s="23" t="n"/>
      <c r="B350" s="23" t="n"/>
      <c r="C350" s="24" t="n"/>
      <c r="D350" s="15" t="n"/>
      <c r="E350" s="23" t="n"/>
      <c r="F350" s="15" t="n"/>
      <c r="G350" s="23" t="n"/>
      <c r="H350" s="25" t="n"/>
      <c r="I350" s="15" t="n"/>
      <c r="J350" s="26">
        <f>IF($A350="","",LEN($C350)-LEN(SUBSTITUTE($C350,",",""))+1)</f>
        <v/>
      </c>
      <c r="K350" s="26">
        <f>IF($A350="","",SUMPRODUCT(--ISNUMBER(SEARCH('Category Dictionary'!$D$5:$D$135&amp;"",$C350)),--('Category Dictionary'!$D$5:$D$135&lt;&gt;"")))</f>
        <v/>
      </c>
      <c r="L350" s="27">
        <f>IF($A350="","",TRIM(IF(ISERROR(FIND(",",$C350)),$C350,LEFT($C350,FIND(",",$C350)-1))))</f>
        <v/>
      </c>
      <c r="M350" s="28">
        <f>IF($H350="","",DATE(YEAR($H350),MONTH($H350),1))</f>
        <v/>
      </c>
      <c r="N350" s="26">
        <f>IF($H350="","",TODAY()-$H350)</f>
        <v/>
      </c>
      <c r="O350" s="15" t="n"/>
      <c r="P350" s="15" t="n"/>
      <c r="Q350" s="15" t="n"/>
      <c r="R350" s="25" t="n"/>
      <c r="S350" s="26">
        <f>IF($A350="","",AND(OR('Assignment Builder'!$B$5="",$B350='Assignment Builder'!$B$5),OR('Assignment Builder'!$B$6="",ISNUMBER(SEARCH('Assignment Builder'!$B$6,$C350))),OR('Assignment Builder'!$B$7="",'Assignment Builder'!$B$7=IFERROR(INDEX('Category Dictionary'!$C$5:$C$135,MATCH($L350,'Category Dictionary'!$D$5:$D$135,0)),"")),OR('Assignment Builder'!$B$8="",$D350='Assignment Builder'!$B$8),OR('Assignment Builder'!$B$9="",$F350='Assignment Builder'!$B$9),OR('Assignment Builder'!$B$10="",$O350='Assignment Builder'!$B$10),OR('Assignment Builder'!$B$11="",$H350&gt;='Assignment Builder'!$B$11),OR('Assignment Builder'!$B$12="",N($Q350)&lt;='Assignment Builder'!$B$12)))</f>
        <v/>
      </c>
      <c r="T350" s="23" t="n"/>
    </row>
    <row r="351">
      <c r="A351" s="23" t="n"/>
      <c r="B351" s="23" t="n"/>
      <c r="C351" s="24" t="n"/>
      <c r="D351" s="15" t="n"/>
      <c r="E351" s="23" t="n"/>
      <c r="F351" s="15" t="n"/>
      <c r="G351" s="23" t="n"/>
      <c r="H351" s="25" t="n"/>
      <c r="I351" s="15" t="n"/>
      <c r="J351" s="26">
        <f>IF($A351="","",LEN($C351)-LEN(SUBSTITUTE($C351,",",""))+1)</f>
        <v/>
      </c>
      <c r="K351" s="26">
        <f>IF($A351="","",SUMPRODUCT(--ISNUMBER(SEARCH('Category Dictionary'!$D$5:$D$135&amp;"",$C351)),--('Category Dictionary'!$D$5:$D$135&lt;&gt;"")))</f>
        <v/>
      </c>
      <c r="L351" s="27">
        <f>IF($A351="","",TRIM(IF(ISERROR(FIND(",",$C351)),$C351,LEFT($C351,FIND(",",$C351)-1))))</f>
        <v/>
      </c>
      <c r="M351" s="28">
        <f>IF($H351="","",DATE(YEAR($H351),MONTH($H351),1))</f>
        <v/>
      </c>
      <c r="N351" s="26">
        <f>IF($H351="","",TODAY()-$H351)</f>
        <v/>
      </c>
      <c r="O351" s="15" t="n"/>
      <c r="P351" s="15" t="n"/>
      <c r="Q351" s="15" t="n"/>
      <c r="R351" s="25" t="n"/>
      <c r="S351" s="26">
        <f>IF($A351="","",AND(OR('Assignment Builder'!$B$5="",$B351='Assignment Builder'!$B$5),OR('Assignment Builder'!$B$6="",ISNUMBER(SEARCH('Assignment Builder'!$B$6,$C351))),OR('Assignment Builder'!$B$7="",'Assignment Builder'!$B$7=IFERROR(INDEX('Category Dictionary'!$C$5:$C$135,MATCH($L351,'Category Dictionary'!$D$5:$D$135,0)),"")),OR('Assignment Builder'!$B$8="",$D351='Assignment Builder'!$B$8),OR('Assignment Builder'!$B$9="",$F351='Assignment Builder'!$B$9),OR('Assignment Builder'!$B$10="",$O351='Assignment Builder'!$B$10),OR('Assignment Builder'!$B$11="",$H351&gt;='Assignment Builder'!$B$11),OR('Assignment Builder'!$B$12="",N($Q351)&lt;='Assignment Builder'!$B$12)))</f>
        <v/>
      </c>
      <c r="T351" s="23" t="n"/>
    </row>
    <row r="352">
      <c r="A352" s="23" t="n"/>
      <c r="B352" s="23" t="n"/>
      <c r="C352" s="24" t="n"/>
      <c r="D352" s="15" t="n"/>
      <c r="E352" s="23" t="n"/>
      <c r="F352" s="15" t="n"/>
      <c r="G352" s="23" t="n"/>
      <c r="H352" s="25" t="n"/>
      <c r="I352" s="15" t="n"/>
      <c r="J352" s="26">
        <f>IF($A352="","",LEN($C352)-LEN(SUBSTITUTE($C352,",",""))+1)</f>
        <v/>
      </c>
      <c r="K352" s="26">
        <f>IF($A352="","",SUMPRODUCT(--ISNUMBER(SEARCH('Category Dictionary'!$D$5:$D$135&amp;"",$C352)),--('Category Dictionary'!$D$5:$D$135&lt;&gt;"")))</f>
        <v/>
      </c>
      <c r="L352" s="27">
        <f>IF($A352="","",TRIM(IF(ISERROR(FIND(",",$C352)),$C352,LEFT($C352,FIND(",",$C352)-1))))</f>
        <v/>
      </c>
      <c r="M352" s="28">
        <f>IF($H352="","",DATE(YEAR($H352),MONTH($H352),1))</f>
        <v/>
      </c>
      <c r="N352" s="26">
        <f>IF($H352="","",TODAY()-$H352)</f>
        <v/>
      </c>
      <c r="O352" s="15" t="n"/>
      <c r="P352" s="15" t="n"/>
      <c r="Q352" s="15" t="n"/>
      <c r="R352" s="25" t="n"/>
      <c r="S352" s="26">
        <f>IF($A352="","",AND(OR('Assignment Builder'!$B$5="",$B352='Assignment Builder'!$B$5),OR('Assignment Builder'!$B$6="",ISNUMBER(SEARCH('Assignment Builder'!$B$6,$C352))),OR('Assignment Builder'!$B$7="",'Assignment Builder'!$B$7=IFERROR(INDEX('Category Dictionary'!$C$5:$C$135,MATCH($L352,'Category Dictionary'!$D$5:$D$135,0)),"")),OR('Assignment Builder'!$B$8="",$D352='Assignment Builder'!$B$8),OR('Assignment Builder'!$B$9="",$F352='Assignment Builder'!$B$9),OR('Assignment Builder'!$B$10="",$O352='Assignment Builder'!$B$10),OR('Assignment Builder'!$B$11="",$H352&gt;='Assignment Builder'!$B$11),OR('Assignment Builder'!$B$12="",N($Q352)&lt;='Assignment Builder'!$B$12)))</f>
        <v/>
      </c>
      <c r="T352" s="23" t="n"/>
    </row>
    <row r="353">
      <c r="A353" s="23" t="n"/>
      <c r="B353" s="23" t="n"/>
      <c r="C353" s="24" t="n"/>
      <c r="D353" s="15" t="n"/>
      <c r="E353" s="23" t="n"/>
      <c r="F353" s="15" t="n"/>
      <c r="G353" s="23" t="n"/>
      <c r="H353" s="25" t="n"/>
      <c r="I353" s="15" t="n"/>
      <c r="J353" s="26">
        <f>IF($A353="","",LEN($C353)-LEN(SUBSTITUTE($C353,",",""))+1)</f>
        <v/>
      </c>
      <c r="K353" s="26">
        <f>IF($A353="","",SUMPRODUCT(--ISNUMBER(SEARCH('Category Dictionary'!$D$5:$D$135&amp;"",$C353)),--('Category Dictionary'!$D$5:$D$135&lt;&gt;"")))</f>
        <v/>
      </c>
      <c r="L353" s="27">
        <f>IF($A353="","",TRIM(IF(ISERROR(FIND(",",$C353)),$C353,LEFT($C353,FIND(",",$C353)-1))))</f>
        <v/>
      </c>
      <c r="M353" s="28">
        <f>IF($H353="","",DATE(YEAR($H353),MONTH($H353),1))</f>
        <v/>
      </c>
      <c r="N353" s="26">
        <f>IF($H353="","",TODAY()-$H353)</f>
        <v/>
      </c>
      <c r="O353" s="15" t="n"/>
      <c r="P353" s="15" t="n"/>
      <c r="Q353" s="15" t="n"/>
      <c r="R353" s="25" t="n"/>
      <c r="S353" s="26">
        <f>IF($A353="","",AND(OR('Assignment Builder'!$B$5="",$B353='Assignment Builder'!$B$5),OR('Assignment Builder'!$B$6="",ISNUMBER(SEARCH('Assignment Builder'!$B$6,$C353))),OR('Assignment Builder'!$B$7="",'Assignment Builder'!$B$7=IFERROR(INDEX('Category Dictionary'!$C$5:$C$135,MATCH($L353,'Category Dictionary'!$D$5:$D$135,0)),"")),OR('Assignment Builder'!$B$8="",$D353='Assignment Builder'!$B$8),OR('Assignment Builder'!$B$9="",$F353='Assignment Builder'!$B$9),OR('Assignment Builder'!$B$10="",$O353='Assignment Builder'!$B$10),OR('Assignment Builder'!$B$11="",$H353&gt;='Assignment Builder'!$B$11),OR('Assignment Builder'!$B$12="",N($Q353)&lt;='Assignment Builder'!$B$12)))</f>
        <v/>
      </c>
      <c r="T353" s="23" t="n"/>
    </row>
    <row r="354">
      <c r="A354" s="23" t="n"/>
      <c r="B354" s="23" t="n"/>
      <c r="C354" s="24" t="n"/>
      <c r="D354" s="15" t="n"/>
      <c r="E354" s="23" t="n"/>
      <c r="F354" s="15" t="n"/>
      <c r="G354" s="23" t="n"/>
      <c r="H354" s="25" t="n"/>
      <c r="I354" s="15" t="n"/>
      <c r="J354" s="26">
        <f>IF($A354="","",LEN($C354)-LEN(SUBSTITUTE($C354,",",""))+1)</f>
        <v/>
      </c>
      <c r="K354" s="26">
        <f>IF($A354="","",SUMPRODUCT(--ISNUMBER(SEARCH('Category Dictionary'!$D$5:$D$135&amp;"",$C354)),--('Category Dictionary'!$D$5:$D$135&lt;&gt;"")))</f>
        <v/>
      </c>
      <c r="L354" s="27">
        <f>IF($A354="","",TRIM(IF(ISERROR(FIND(",",$C354)),$C354,LEFT($C354,FIND(",",$C354)-1))))</f>
        <v/>
      </c>
      <c r="M354" s="28">
        <f>IF($H354="","",DATE(YEAR($H354),MONTH($H354),1))</f>
        <v/>
      </c>
      <c r="N354" s="26">
        <f>IF($H354="","",TODAY()-$H354)</f>
        <v/>
      </c>
      <c r="O354" s="15" t="n"/>
      <c r="P354" s="15" t="n"/>
      <c r="Q354" s="15" t="n"/>
      <c r="R354" s="25" t="n"/>
      <c r="S354" s="26">
        <f>IF($A354="","",AND(OR('Assignment Builder'!$B$5="",$B354='Assignment Builder'!$B$5),OR('Assignment Builder'!$B$6="",ISNUMBER(SEARCH('Assignment Builder'!$B$6,$C354))),OR('Assignment Builder'!$B$7="",'Assignment Builder'!$B$7=IFERROR(INDEX('Category Dictionary'!$C$5:$C$135,MATCH($L354,'Category Dictionary'!$D$5:$D$135,0)),"")),OR('Assignment Builder'!$B$8="",$D354='Assignment Builder'!$B$8),OR('Assignment Builder'!$B$9="",$F354='Assignment Builder'!$B$9),OR('Assignment Builder'!$B$10="",$O354='Assignment Builder'!$B$10),OR('Assignment Builder'!$B$11="",$H354&gt;='Assignment Builder'!$B$11),OR('Assignment Builder'!$B$12="",N($Q354)&lt;='Assignment Builder'!$B$12)))</f>
        <v/>
      </c>
      <c r="T354" s="23" t="n"/>
    </row>
    <row r="355">
      <c r="A355" s="23" t="n"/>
      <c r="B355" s="23" t="n"/>
      <c r="C355" s="24" t="n"/>
      <c r="D355" s="15" t="n"/>
      <c r="E355" s="23" t="n"/>
      <c r="F355" s="15" t="n"/>
      <c r="G355" s="23" t="n"/>
      <c r="H355" s="25" t="n"/>
      <c r="I355" s="15" t="n"/>
      <c r="J355" s="26">
        <f>IF($A355="","",LEN($C355)-LEN(SUBSTITUTE($C355,",",""))+1)</f>
        <v/>
      </c>
      <c r="K355" s="26">
        <f>IF($A355="","",SUMPRODUCT(--ISNUMBER(SEARCH('Category Dictionary'!$D$5:$D$135&amp;"",$C355)),--('Category Dictionary'!$D$5:$D$135&lt;&gt;"")))</f>
        <v/>
      </c>
      <c r="L355" s="27">
        <f>IF($A355="","",TRIM(IF(ISERROR(FIND(",",$C355)),$C355,LEFT($C355,FIND(",",$C355)-1))))</f>
        <v/>
      </c>
      <c r="M355" s="28">
        <f>IF($H355="","",DATE(YEAR($H355),MONTH($H355),1))</f>
        <v/>
      </c>
      <c r="N355" s="26">
        <f>IF($H355="","",TODAY()-$H355)</f>
        <v/>
      </c>
      <c r="O355" s="15" t="n"/>
      <c r="P355" s="15" t="n"/>
      <c r="Q355" s="15" t="n"/>
      <c r="R355" s="25" t="n"/>
      <c r="S355" s="26">
        <f>IF($A355="","",AND(OR('Assignment Builder'!$B$5="",$B355='Assignment Builder'!$B$5),OR('Assignment Builder'!$B$6="",ISNUMBER(SEARCH('Assignment Builder'!$B$6,$C355))),OR('Assignment Builder'!$B$7="",'Assignment Builder'!$B$7=IFERROR(INDEX('Category Dictionary'!$C$5:$C$135,MATCH($L355,'Category Dictionary'!$D$5:$D$135,0)),"")),OR('Assignment Builder'!$B$8="",$D355='Assignment Builder'!$B$8),OR('Assignment Builder'!$B$9="",$F355='Assignment Builder'!$B$9),OR('Assignment Builder'!$B$10="",$O355='Assignment Builder'!$B$10),OR('Assignment Builder'!$B$11="",$H355&gt;='Assignment Builder'!$B$11),OR('Assignment Builder'!$B$12="",N($Q355)&lt;='Assignment Builder'!$B$12)))</f>
        <v/>
      </c>
      <c r="T355" s="23" t="n"/>
    </row>
    <row r="356">
      <c r="A356" s="23" t="n"/>
      <c r="B356" s="23" t="n"/>
      <c r="C356" s="24" t="n"/>
      <c r="D356" s="15" t="n"/>
      <c r="E356" s="23" t="n"/>
      <c r="F356" s="15" t="n"/>
      <c r="G356" s="23" t="n"/>
      <c r="H356" s="25" t="n"/>
      <c r="I356" s="15" t="n"/>
      <c r="J356" s="26">
        <f>IF($A356="","",LEN($C356)-LEN(SUBSTITUTE($C356,",",""))+1)</f>
        <v/>
      </c>
      <c r="K356" s="26">
        <f>IF($A356="","",SUMPRODUCT(--ISNUMBER(SEARCH('Category Dictionary'!$D$5:$D$135&amp;"",$C356)),--('Category Dictionary'!$D$5:$D$135&lt;&gt;"")))</f>
        <v/>
      </c>
      <c r="L356" s="27">
        <f>IF($A356="","",TRIM(IF(ISERROR(FIND(",",$C356)),$C356,LEFT($C356,FIND(",",$C356)-1))))</f>
        <v/>
      </c>
      <c r="M356" s="28">
        <f>IF($H356="","",DATE(YEAR($H356),MONTH($H356),1))</f>
        <v/>
      </c>
      <c r="N356" s="26">
        <f>IF($H356="","",TODAY()-$H356)</f>
        <v/>
      </c>
      <c r="O356" s="15" t="n"/>
      <c r="P356" s="15" t="n"/>
      <c r="Q356" s="15" t="n"/>
      <c r="R356" s="25" t="n"/>
      <c r="S356" s="26">
        <f>IF($A356="","",AND(OR('Assignment Builder'!$B$5="",$B356='Assignment Builder'!$B$5),OR('Assignment Builder'!$B$6="",ISNUMBER(SEARCH('Assignment Builder'!$B$6,$C356))),OR('Assignment Builder'!$B$7="",'Assignment Builder'!$B$7=IFERROR(INDEX('Category Dictionary'!$C$5:$C$135,MATCH($L356,'Category Dictionary'!$D$5:$D$135,0)),"")),OR('Assignment Builder'!$B$8="",$D356='Assignment Builder'!$B$8),OR('Assignment Builder'!$B$9="",$F356='Assignment Builder'!$B$9),OR('Assignment Builder'!$B$10="",$O356='Assignment Builder'!$B$10),OR('Assignment Builder'!$B$11="",$H356&gt;='Assignment Builder'!$B$11),OR('Assignment Builder'!$B$12="",N($Q356)&lt;='Assignment Builder'!$B$12)))</f>
        <v/>
      </c>
      <c r="T356" s="23" t="n"/>
    </row>
    <row r="357">
      <c r="A357" s="23" t="n"/>
      <c r="B357" s="23" t="n"/>
      <c r="C357" s="24" t="n"/>
      <c r="D357" s="15" t="n"/>
      <c r="E357" s="23" t="n"/>
      <c r="F357" s="15" t="n"/>
      <c r="G357" s="23" t="n"/>
      <c r="H357" s="25" t="n"/>
      <c r="I357" s="15" t="n"/>
      <c r="J357" s="26">
        <f>IF($A357="","",LEN($C357)-LEN(SUBSTITUTE($C357,",",""))+1)</f>
        <v/>
      </c>
      <c r="K357" s="26">
        <f>IF($A357="","",SUMPRODUCT(--ISNUMBER(SEARCH('Category Dictionary'!$D$5:$D$135&amp;"",$C357)),--('Category Dictionary'!$D$5:$D$135&lt;&gt;"")))</f>
        <v/>
      </c>
      <c r="L357" s="27">
        <f>IF($A357="","",TRIM(IF(ISERROR(FIND(",",$C357)),$C357,LEFT($C357,FIND(",",$C357)-1))))</f>
        <v/>
      </c>
      <c r="M357" s="28">
        <f>IF($H357="","",DATE(YEAR($H357),MONTH($H357),1))</f>
        <v/>
      </c>
      <c r="N357" s="26">
        <f>IF($H357="","",TODAY()-$H357)</f>
        <v/>
      </c>
      <c r="O357" s="15" t="n"/>
      <c r="P357" s="15" t="n"/>
      <c r="Q357" s="15" t="n"/>
      <c r="R357" s="25" t="n"/>
      <c r="S357" s="26">
        <f>IF($A357="","",AND(OR('Assignment Builder'!$B$5="",$B357='Assignment Builder'!$B$5),OR('Assignment Builder'!$B$6="",ISNUMBER(SEARCH('Assignment Builder'!$B$6,$C357))),OR('Assignment Builder'!$B$7="",'Assignment Builder'!$B$7=IFERROR(INDEX('Category Dictionary'!$C$5:$C$135,MATCH($L357,'Category Dictionary'!$D$5:$D$135,0)),"")),OR('Assignment Builder'!$B$8="",$D357='Assignment Builder'!$B$8),OR('Assignment Builder'!$B$9="",$F357='Assignment Builder'!$B$9),OR('Assignment Builder'!$B$10="",$O357='Assignment Builder'!$B$10),OR('Assignment Builder'!$B$11="",$H357&gt;='Assignment Builder'!$B$11),OR('Assignment Builder'!$B$12="",N($Q357)&lt;='Assignment Builder'!$B$12)))</f>
        <v/>
      </c>
      <c r="T357" s="23" t="n"/>
    </row>
    <row r="358">
      <c r="A358" s="23" t="n"/>
      <c r="B358" s="23" t="n"/>
      <c r="C358" s="24" t="n"/>
      <c r="D358" s="15" t="n"/>
      <c r="E358" s="23" t="n"/>
      <c r="F358" s="15" t="n"/>
      <c r="G358" s="23" t="n"/>
      <c r="H358" s="25" t="n"/>
      <c r="I358" s="15" t="n"/>
      <c r="J358" s="26">
        <f>IF($A358="","",LEN($C358)-LEN(SUBSTITUTE($C358,",",""))+1)</f>
        <v/>
      </c>
      <c r="K358" s="26">
        <f>IF($A358="","",SUMPRODUCT(--ISNUMBER(SEARCH('Category Dictionary'!$D$5:$D$135&amp;"",$C358)),--('Category Dictionary'!$D$5:$D$135&lt;&gt;"")))</f>
        <v/>
      </c>
      <c r="L358" s="27">
        <f>IF($A358="","",TRIM(IF(ISERROR(FIND(",",$C358)),$C358,LEFT($C358,FIND(",",$C358)-1))))</f>
        <v/>
      </c>
      <c r="M358" s="28">
        <f>IF($H358="","",DATE(YEAR($H358),MONTH($H358),1))</f>
        <v/>
      </c>
      <c r="N358" s="26">
        <f>IF($H358="","",TODAY()-$H358)</f>
        <v/>
      </c>
      <c r="O358" s="15" t="n"/>
      <c r="P358" s="15" t="n"/>
      <c r="Q358" s="15" t="n"/>
      <c r="R358" s="25" t="n"/>
      <c r="S358" s="26">
        <f>IF($A358="","",AND(OR('Assignment Builder'!$B$5="",$B358='Assignment Builder'!$B$5),OR('Assignment Builder'!$B$6="",ISNUMBER(SEARCH('Assignment Builder'!$B$6,$C358))),OR('Assignment Builder'!$B$7="",'Assignment Builder'!$B$7=IFERROR(INDEX('Category Dictionary'!$C$5:$C$135,MATCH($L358,'Category Dictionary'!$D$5:$D$135,0)),"")),OR('Assignment Builder'!$B$8="",$D358='Assignment Builder'!$B$8),OR('Assignment Builder'!$B$9="",$F358='Assignment Builder'!$B$9),OR('Assignment Builder'!$B$10="",$O358='Assignment Builder'!$B$10),OR('Assignment Builder'!$B$11="",$H358&gt;='Assignment Builder'!$B$11),OR('Assignment Builder'!$B$12="",N($Q358)&lt;='Assignment Builder'!$B$12)))</f>
        <v/>
      </c>
      <c r="T358" s="23" t="n"/>
    </row>
    <row r="359">
      <c r="A359" s="23" t="n"/>
      <c r="B359" s="23" t="n"/>
      <c r="C359" s="24" t="n"/>
      <c r="D359" s="15" t="n"/>
      <c r="E359" s="23" t="n"/>
      <c r="F359" s="15" t="n"/>
      <c r="G359" s="23" t="n"/>
      <c r="H359" s="25" t="n"/>
      <c r="I359" s="15" t="n"/>
      <c r="J359" s="26">
        <f>IF($A359="","",LEN($C359)-LEN(SUBSTITUTE($C359,",",""))+1)</f>
        <v/>
      </c>
      <c r="K359" s="26">
        <f>IF($A359="","",SUMPRODUCT(--ISNUMBER(SEARCH('Category Dictionary'!$D$5:$D$135&amp;"",$C359)),--('Category Dictionary'!$D$5:$D$135&lt;&gt;"")))</f>
        <v/>
      </c>
      <c r="L359" s="27">
        <f>IF($A359="","",TRIM(IF(ISERROR(FIND(",",$C359)),$C359,LEFT($C359,FIND(",",$C359)-1))))</f>
        <v/>
      </c>
      <c r="M359" s="28">
        <f>IF($H359="","",DATE(YEAR($H359),MONTH($H359),1))</f>
        <v/>
      </c>
      <c r="N359" s="26">
        <f>IF($H359="","",TODAY()-$H359)</f>
        <v/>
      </c>
      <c r="O359" s="15" t="n"/>
      <c r="P359" s="15" t="n"/>
      <c r="Q359" s="15" t="n"/>
      <c r="R359" s="25" t="n"/>
      <c r="S359" s="26">
        <f>IF($A359="","",AND(OR('Assignment Builder'!$B$5="",$B359='Assignment Builder'!$B$5),OR('Assignment Builder'!$B$6="",ISNUMBER(SEARCH('Assignment Builder'!$B$6,$C359))),OR('Assignment Builder'!$B$7="",'Assignment Builder'!$B$7=IFERROR(INDEX('Category Dictionary'!$C$5:$C$135,MATCH($L359,'Category Dictionary'!$D$5:$D$135,0)),"")),OR('Assignment Builder'!$B$8="",$D359='Assignment Builder'!$B$8),OR('Assignment Builder'!$B$9="",$F359='Assignment Builder'!$B$9),OR('Assignment Builder'!$B$10="",$O359='Assignment Builder'!$B$10),OR('Assignment Builder'!$B$11="",$H359&gt;='Assignment Builder'!$B$11),OR('Assignment Builder'!$B$12="",N($Q359)&lt;='Assignment Builder'!$B$12)))</f>
        <v/>
      </c>
      <c r="T359" s="23" t="n"/>
    </row>
    <row r="360">
      <c r="A360" s="23" t="n"/>
      <c r="B360" s="23" t="n"/>
      <c r="C360" s="24" t="n"/>
      <c r="D360" s="15" t="n"/>
      <c r="E360" s="23" t="n"/>
      <c r="F360" s="15" t="n"/>
      <c r="G360" s="23" t="n"/>
      <c r="H360" s="25" t="n"/>
      <c r="I360" s="15" t="n"/>
      <c r="J360" s="26">
        <f>IF($A360="","",LEN($C360)-LEN(SUBSTITUTE($C360,",",""))+1)</f>
        <v/>
      </c>
      <c r="K360" s="26">
        <f>IF($A360="","",SUMPRODUCT(--ISNUMBER(SEARCH('Category Dictionary'!$D$5:$D$135&amp;"",$C360)),--('Category Dictionary'!$D$5:$D$135&lt;&gt;"")))</f>
        <v/>
      </c>
      <c r="L360" s="27">
        <f>IF($A360="","",TRIM(IF(ISERROR(FIND(",",$C360)),$C360,LEFT($C360,FIND(",",$C360)-1))))</f>
        <v/>
      </c>
      <c r="M360" s="28">
        <f>IF($H360="","",DATE(YEAR($H360),MONTH($H360),1))</f>
        <v/>
      </c>
      <c r="N360" s="26">
        <f>IF($H360="","",TODAY()-$H360)</f>
        <v/>
      </c>
      <c r="O360" s="15" t="n"/>
      <c r="P360" s="15" t="n"/>
      <c r="Q360" s="15" t="n"/>
      <c r="R360" s="25" t="n"/>
      <c r="S360" s="26">
        <f>IF($A360="","",AND(OR('Assignment Builder'!$B$5="",$B360='Assignment Builder'!$B$5),OR('Assignment Builder'!$B$6="",ISNUMBER(SEARCH('Assignment Builder'!$B$6,$C360))),OR('Assignment Builder'!$B$7="",'Assignment Builder'!$B$7=IFERROR(INDEX('Category Dictionary'!$C$5:$C$135,MATCH($L360,'Category Dictionary'!$D$5:$D$135,0)),"")),OR('Assignment Builder'!$B$8="",$D360='Assignment Builder'!$B$8),OR('Assignment Builder'!$B$9="",$F360='Assignment Builder'!$B$9),OR('Assignment Builder'!$B$10="",$O360='Assignment Builder'!$B$10),OR('Assignment Builder'!$B$11="",$H360&gt;='Assignment Builder'!$B$11),OR('Assignment Builder'!$B$12="",N($Q360)&lt;='Assignment Builder'!$B$12)))</f>
        <v/>
      </c>
      <c r="T360" s="23" t="n"/>
    </row>
    <row r="361">
      <c r="A361" s="23" t="n"/>
      <c r="B361" s="23" t="n"/>
      <c r="C361" s="24" t="n"/>
      <c r="D361" s="15" t="n"/>
      <c r="E361" s="23" t="n"/>
      <c r="F361" s="15" t="n"/>
      <c r="G361" s="23" t="n"/>
      <c r="H361" s="25" t="n"/>
      <c r="I361" s="15" t="n"/>
      <c r="J361" s="26">
        <f>IF($A361="","",LEN($C361)-LEN(SUBSTITUTE($C361,",",""))+1)</f>
        <v/>
      </c>
      <c r="K361" s="26">
        <f>IF($A361="","",SUMPRODUCT(--ISNUMBER(SEARCH('Category Dictionary'!$D$5:$D$135&amp;"",$C361)),--('Category Dictionary'!$D$5:$D$135&lt;&gt;"")))</f>
        <v/>
      </c>
      <c r="L361" s="27">
        <f>IF($A361="","",TRIM(IF(ISERROR(FIND(",",$C361)),$C361,LEFT($C361,FIND(",",$C361)-1))))</f>
        <v/>
      </c>
      <c r="M361" s="28">
        <f>IF($H361="","",DATE(YEAR($H361),MONTH($H361),1))</f>
        <v/>
      </c>
      <c r="N361" s="26">
        <f>IF($H361="","",TODAY()-$H361)</f>
        <v/>
      </c>
      <c r="O361" s="15" t="n"/>
      <c r="P361" s="15" t="n"/>
      <c r="Q361" s="15" t="n"/>
      <c r="R361" s="25" t="n"/>
      <c r="S361" s="26">
        <f>IF($A361="","",AND(OR('Assignment Builder'!$B$5="",$B361='Assignment Builder'!$B$5),OR('Assignment Builder'!$B$6="",ISNUMBER(SEARCH('Assignment Builder'!$B$6,$C361))),OR('Assignment Builder'!$B$7="",'Assignment Builder'!$B$7=IFERROR(INDEX('Category Dictionary'!$C$5:$C$135,MATCH($L361,'Category Dictionary'!$D$5:$D$135,0)),"")),OR('Assignment Builder'!$B$8="",$D361='Assignment Builder'!$B$8),OR('Assignment Builder'!$B$9="",$F361='Assignment Builder'!$B$9),OR('Assignment Builder'!$B$10="",$O361='Assignment Builder'!$B$10),OR('Assignment Builder'!$B$11="",$H361&gt;='Assignment Builder'!$B$11),OR('Assignment Builder'!$B$12="",N($Q361)&lt;='Assignment Builder'!$B$12)))</f>
        <v/>
      </c>
      <c r="T361" s="23" t="n"/>
    </row>
    <row r="362">
      <c r="A362" s="23" t="n"/>
      <c r="B362" s="23" t="n"/>
      <c r="C362" s="24" t="n"/>
      <c r="D362" s="15" t="n"/>
      <c r="E362" s="23" t="n"/>
      <c r="F362" s="15" t="n"/>
      <c r="G362" s="23" t="n"/>
      <c r="H362" s="25" t="n"/>
      <c r="I362" s="15" t="n"/>
      <c r="J362" s="26">
        <f>IF($A362="","",LEN($C362)-LEN(SUBSTITUTE($C362,",",""))+1)</f>
        <v/>
      </c>
      <c r="K362" s="26">
        <f>IF($A362="","",SUMPRODUCT(--ISNUMBER(SEARCH('Category Dictionary'!$D$5:$D$135&amp;"",$C362)),--('Category Dictionary'!$D$5:$D$135&lt;&gt;"")))</f>
        <v/>
      </c>
      <c r="L362" s="27">
        <f>IF($A362="","",TRIM(IF(ISERROR(FIND(",",$C362)),$C362,LEFT($C362,FIND(",",$C362)-1))))</f>
        <v/>
      </c>
      <c r="M362" s="28">
        <f>IF($H362="","",DATE(YEAR($H362),MONTH($H362),1))</f>
        <v/>
      </c>
      <c r="N362" s="26">
        <f>IF($H362="","",TODAY()-$H362)</f>
        <v/>
      </c>
      <c r="O362" s="15" t="n"/>
      <c r="P362" s="15" t="n"/>
      <c r="Q362" s="15" t="n"/>
      <c r="R362" s="25" t="n"/>
      <c r="S362" s="26">
        <f>IF($A362="","",AND(OR('Assignment Builder'!$B$5="",$B362='Assignment Builder'!$B$5),OR('Assignment Builder'!$B$6="",ISNUMBER(SEARCH('Assignment Builder'!$B$6,$C362))),OR('Assignment Builder'!$B$7="",'Assignment Builder'!$B$7=IFERROR(INDEX('Category Dictionary'!$C$5:$C$135,MATCH($L362,'Category Dictionary'!$D$5:$D$135,0)),"")),OR('Assignment Builder'!$B$8="",$D362='Assignment Builder'!$B$8),OR('Assignment Builder'!$B$9="",$F362='Assignment Builder'!$B$9),OR('Assignment Builder'!$B$10="",$O362='Assignment Builder'!$B$10),OR('Assignment Builder'!$B$11="",$H362&gt;='Assignment Builder'!$B$11),OR('Assignment Builder'!$B$12="",N($Q362)&lt;='Assignment Builder'!$B$12)))</f>
        <v/>
      </c>
      <c r="T362" s="23" t="n"/>
    </row>
    <row r="363">
      <c r="A363" s="23" t="n"/>
      <c r="B363" s="23" t="n"/>
      <c r="C363" s="24" t="n"/>
      <c r="D363" s="15" t="n"/>
      <c r="E363" s="23" t="n"/>
      <c r="F363" s="15" t="n"/>
      <c r="G363" s="23" t="n"/>
      <c r="H363" s="25" t="n"/>
      <c r="I363" s="15" t="n"/>
      <c r="J363" s="26">
        <f>IF($A363="","",LEN($C363)-LEN(SUBSTITUTE($C363,",",""))+1)</f>
        <v/>
      </c>
      <c r="K363" s="26">
        <f>IF($A363="","",SUMPRODUCT(--ISNUMBER(SEARCH('Category Dictionary'!$D$5:$D$135&amp;"",$C363)),--('Category Dictionary'!$D$5:$D$135&lt;&gt;"")))</f>
        <v/>
      </c>
      <c r="L363" s="27">
        <f>IF($A363="","",TRIM(IF(ISERROR(FIND(",",$C363)),$C363,LEFT($C363,FIND(",",$C363)-1))))</f>
        <v/>
      </c>
      <c r="M363" s="28">
        <f>IF($H363="","",DATE(YEAR($H363),MONTH($H363),1))</f>
        <v/>
      </c>
      <c r="N363" s="26">
        <f>IF($H363="","",TODAY()-$H363)</f>
        <v/>
      </c>
      <c r="O363" s="15" t="n"/>
      <c r="P363" s="15" t="n"/>
      <c r="Q363" s="15" t="n"/>
      <c r="R363" s="25" t="n"/>
      <c r="S363" s="26">
        <f>IF($A363="","",AND(OR('Assignment Builder'!$B$5="",$B363='Assignment Builder'!$B$5),OR('Assignment Builder'!$B$6="",ISNUMBER(SEARCH('Assignment Builder'!$B$6,$C363))),OR('Assignment Builder'!$B$7="",'Assignment Builder'!$B$7=IFERROR(INDEX('Category Dictionary'!$C$5:$C$135,MATCH($L363,'Category Dictionary'!$D$5:$D$135,0)),"")),OR('Assignment Builder'!$B$8="",$D363='Assignment Builder'!$B$8),OR('Assignment Builder'!$B$9="",$F363='Assignment Builder'!$B$9),OR('Assignment Builder'!$B$10="",$O363='Assignment Builder'!$B$10),OR('Assignment Builder'!$B$11="",$H363&gt;='Assignment Builder'!$B$11),OR('Assignment Builder'!$B$12="",N($Q363)&lt;='Assignment Builder'!$B$12)))</f>
        <v/>
      </c>
      <c r="T363" s="23" t="n"/>
    </row>
    <row r="364">
      <c r="A364" s="23" t="n"/>
      <c r="B364" s="23" t="n"/>
      <c r="C364" s="24" t="n"/>
      <c r="D364" s="15" t="n"/>
      <c r="E364" s="23" t="n"/>
      <c r="F364" s="15" t="n"/>
      <c r="G364" s="23" t="n"/>
      <c r="H364" s="25" t="n"/>
      <c r="I364" s="15" t="n"/>
      <c r="J364" s="26">
        <f>IF($A364="","",LEN($C364)-LEN(SUBSTITUTE($C364,",",""))+1)</f>
        <v/>
      </c>
      <c r="K364" s="26">
        <f>IF($A364="","",SUMPRODUCT(--ISNUMBER(SEARCH('Category Dictionary'!$D$5:$D$135&amp;"",$C364)),--('Category Dictionary'!$D$5:$D$135&lt;&gt;"")))</f>
        <v/>
      </c>
      <c r="L364" s="27">
        <f>IF($A364="","",TRIM(IF(ISERROR(FIND(",",$C364)),$C364,LEFT($C364,FIND(",",$C364)-1))))</f>
        <v/>
      </c>
      <c r="M364" s="28">
        <f>IF($H364="","",DATE(YEAR($H364),MONTH($H364),1))</f>
        <v/>
      </c>
      <c r="N364" s="26">
        <f>IF($H364="","",TODAY()-$H364)</f>
        <v/>
      </c>
      <c r="O364" s="15" t="n"/>
      <c r="P364" s="15" t="n"/>
      <c r="Q364" s="15" t="n"/>
      <c r="R364" s="25" t="n"/>
      <c r="S364" s="26">
        <f>IF($A364="","",AND(OR('Assignment Builder'!$B$5="",$B364='Assignment Builder'!$B$5),OR('Assignment Builder'!$B$6="",ISNUMBER(SEARCH('Assignment Builder'!$B$6,$C364))),OR('Assignment Builder'!$B$7="",'Assignment Builder'!$B$7=IFERROR(INDEX('Category Dictionary'!$C$5:$C$135,MATCH($L364,'Category Dictionary'!$D$5:$D$135,0)),"")),OR('Assignment Builder'!$B$8="",$D364='Assignment Builder'!$B$8),OR('Assignment Builder'!$B$9="",$F364='Assignment Builder'!$B$9),OR('Assignment Builder'!$B$10="",$O364='Assignment Builder'!$B$10),OR('Assignment Builder'!$B$11="",$H364&gt;='Assignment Builder'!$B$11),OR('Assignment Builder'!$B$12="",N($Q364)&lt;='Assignment Builder'!$B$12)))</f>
        <v/>
      </c>
      <c r="T364" s="23" t="n"/>
    </row>
    <row r="365">
      <c r="A365" s="23" t="n"/>
      <c r="B365" s="23" t="n"/>
      <c r="C365" s="24" t="n"/>
      <c r="D365" s="15" t="n"/>
      <c r="E365" s="23" t="n"/>
      <c r="F365" s="15" t="n"/>
      <c r="G365" s="23" t="n"/>
      <c r="H365" s="25" t="n"/>
      <c r="I365" s="15" t="n"/>
      <c r="J365" s="26">
        <f>IF($A365="","",LEN($C365)-LEN(SUBSTITUTE($C365,",",""))+1)</f>
        <v/>
      </c>
      <c r="K365" s="26">
        <f>IF($A365="","",SUMPRODUCT(--ISNUMBER(SEARCH('Category Dictionary'!$D$5:$D$135&amp;"",$C365)),--('Category Dictionary'!$D$5:$D$135&lt;&gt;"")))</f>
        <v/>
      </c>
      <c r="L365" s="27">
        <f>IF($A365="","",TRIM(IF(ISERROR(FIND(",",$C365)),$C365,LEFT($C365,FIND(",",$C365)-1))))</f>
        <v/>
      </c>
      <c r="M365" s="28">
        <f>IF($H365="","",DATE(YEAR($H365),MONTH($H365),1))</f>
        <v/>
      </c>
      <c r="N365" s="26">
        <f>IF($H365="","",TODAY()-$H365)</f>
        <v/>
      </c>
      <c r="O365" s="15" t="n"/>
      <c r="P365" s="15" t="n"/>
      <c r="Q365" s="15" t="n"/>
      <c r="R365" s="25" t="n"/>
      <c r="S365" s="26">
        <f>IF($A365="","",AND(OR('Assignment Builder'!$B$5="",$B365='Assignment Builder'!$B$5),OR('Assignment Builder'!$B$6="",ISNUMBER(SEARCH('Assignment Builder'!$B$6,$C365))),OR('Assignment Builder'!$B$7="",'Assignment Builder'!$B$7=IFERROR(INDEX('Category Dictionary'!$C$5:$C$135,MATCH($L365,'Category Dictionary'!$D$5:$D$135,0)),"")),OR('Assignment Builder'!$B$8="",$D365='Assignment Builder'!$B$8),OR('Assignment Builder'!$B$9="",$F365='Assignment Builder'!$B$9),OR('Assignment Builder'!$B$10="",$O365='Assignment Builder'!$B$10),OR('Assignment Builder'!$B$11="",$H365&gt;='Assignment Builder'!$B$11),OR('Assignment Builder'!$B$12="",N($Q365)&lt;='Assignment Builder'!$B$12)))</f>
        <v/>
      </c>
      <c r="T365" s="23" t="n"/>
    </row>
    <row r="366">
      <c r="A366" s="23" t="n"/>
      <c r="B366" s="23" t="n"/>
      <c r="C366" s="24" t="n"/>
      <c r="D366" s="15" t="n"/>
      <c r="E366" s="23" t="n"/>
      <c r="F366" s="15" t="n"/>
      <c r="G366" s="23" t="n"/>
      <c r="H366" s="25" t="n"/>
      <c r="I366" s="15" t="n"/>
      <c r="J366" s="26">
        <f>IF($A366="","",LEN($C366)-LEN(SUBSTITUTE($C366,",",""))+1)</f>
        <v/>
      </c>
      <c r="K366" s="26">
        <f>IF($A366="","",SUMPRODUCT(--ISNUMBER(SEARCH('Category Dictionary'!$D$5:$D$135&amp;"",$C366)),--('Category Dictionary'!$D$5:$D$135&lt;&gt;"")))</f>
        <v/>
      </c>
      <c r="L366" s="27">
        <f>IF($A366="","",TRIM(IF(ISERROR(FIND(",",$C366)),$C366,LEFT($C366,FIND(",",$C366)-1))))</f>
        <v/>
      </c>
      <c r="M366" s="28">
        <f>IF($H366="","",DATE(YEAR($H366),MONTH($H366),1))</f>
        <v/>
      </c>
      <c r="N366" s="26">
        <f>IF($H366="","",TODAY()-$H366)</f>
        <v/>
      </c>
      <c r="O366" s="15" t="n"/>
      <c r="P366" s="15" t="n"/>
      <c r="Q366" s="15" t="n"/>
      <c r="R366" s="25" t="n"/>
      <c r="S366" s="26">
        <f>IF($A366="","",AND(OR('Assignment Builder'!$B$5="",$B366='Assignment Builder'!$B$5),OR('Assignment Builder'!$B$6="",ISNUMBER(SEARCH('Assignment Builder'!$B$6,$C366))),OR('Assignment Builder'!$B$7="",'Assignment Builder'!$B$7=IFERROR(INDEX('Category Dictionary'!$C$5:$C$135,MATCH($L366,'Category Dictionary'!$D$5:$D$135,0)),"")),OR('Assignment Builder'!$B$8="",$D366='Assignment Builder'!$B$8),OR('Assignment Builder'!$B$9="",$F366='Assignment Builder'!$B$9),OR('Assignment Builder'!$B$10="",$O366='Assignment Builder'!$B$10),OR('Assignment Builder'!$B$11="",$H366&gt;='Assignment Builder'!$B$11),OR('Assignment Builder'!$B$12="",N($Q366)&lt;='Assignment Builder'!$B$12)))</f>
        <v/>
      </c>
      <c r="T366" s="23" t="n"/>
    </row>
    <row r="367">
      <c r="A367" s="23" t="n"/>
      <c r="B367" s="23" t="n"/>
      <c r="C367" s="24" t="n"/>
      <c r="D367" s="15" t="n"/>
      <c r="E367" s="23" t="n"/>
      <c r="F367" s="15" t="n"/>
      <c r="G367" s="23" t="n"/>
      <c r="H367" s="25" t="n"/>
      <c r="I367" s="15" t="n"/>
      <c r="J367" s="26">
        <f>IF($A367="","",LEN($C367)-LEN(SUBSTITUTE($C367,",",""))+1)</f>
        <v/>
      </c>
      <c r="K367" s="26">
        <f>IF($A367="","",SUMPRODUCT(--ISNUMBER(SEARCH('Category Dictionary'!$D$5:$D$135&amp;"",$C367)),--('Category Dictionary'!$D$5:$D$135&lt;&gt;"")))</f>
        <v/>
      </c>
      <c r="L367" s="27">
        <f>IF($A367="","",TRIM(IF(ISERROR(FIND(",",$C367)),$C367,LEFT($C367,FIND(",",$C367)-1))))</f>
        <v/>
      </c>
      <c r="M367" s="28">
        <f>IF($H367="","",DATE(YEAR($H367),MONTH($H367),1))</f>
        <v/>
      </c>
      <c r="N367" s="26">
        <f>IF($H367="","",TODAY()-$H367)</f>
        <v/>
      </c>
      <c r="O367" s="15" t="n"/>
      <c r="P367" s="15" t="n"/>
      <c r="Q367" s="15" t="n"/>
      <c r="R367" s="25" t="n"/>
      <c r="S367" s="26">
        <f>IF($A367="","",AND(OR('Assignment Builder'!$B$5="",$B367='Assignment Builder'!$B$5),OR('Assignment Builder'!$B$6="",ISNUMBER(SEARCH('Assignment Builder'!$B$6,$C367))),OR('Assignment Builder'!$B$7="",'Assignment Builder'!$B$7=IFERROR(INDEX('Category Dictionary'!$C$5:$C$135,MATCH($L367,'Category Dictionary'!$D$5:$D$135,0)),"")),OR('Assignment Builder'!$B$8="",$D367='Assignment Builder'!$B$8),OR('Assignment Builder'!$B$9="",$F367='Assignment Builder'!$B$9),OR('Assignment Builder'!$B$10="",$O367='Assignment Builder'!$B$10),OR('Assignment Builder'!$B$11="",$H367&gt;='Assignment Builder'!$B$11),OR('Assignment Builder'!$B$12="",N($Q367)&lt;='Assignment Builder'!$B$12)))</f>
        <v/>
      </c>
      <c r="T367" s="23" t="n"/>
    </row>
    <row r="368">
      <c r="A368" s="23" t="n"/>
      <c r="B368" s="23" t="n"/>
      <c r="C368" s="24" t="n"/>
      <c r="D368" s="15" t="n"/>
      <c r="E368" s="23" t="n"/>
      <c r="F368" s="15" t="n"/>
      <c r="G368" s="23" t="n"/>
      <c r="H368" s="25" t="n"/>
      <c r="I368" s="15" t="n"/>
      <c r="J368" s="26">
        <f>IF($A368="","",LEN($C368)-LEN(SUBSTITUTE($C368,",",""))+1)</f>
        <v/>
      </c>
      <c r="K368" s="26">
        <f>IF($A368="","",SUMPRODUCT(--ISNUMBER(SEARCH('Category Dictionary'!$D$5:$D$135&amp;"",$C368)),--('Category Dictionary'!$D$5:$D$135&lt;&gt;"")))</f>
        <v/>
      </c>
      <c r="L368" s="27">
        <f>IF($A368="","",TRIM(IF(ISERROR(FIND(",",$C368)),$C368,LEFT($C368,FIND(",",$C368)-1))))</f>
        <v/>
      </c>
      <c r="M368" s="28">
        <f>IF($H368="","",DATE(YEAR($H368),MONTH($H368),1))</f>
        <v/>
      </c>
      <c r="N368" s="26">
        <f>IF($H368="","",TODAY()-$H368)</f>
        <v/>
      </c>
      <c r="O368" s="15" t="n"/>
      <c r="P368" s="15" t="n"/>
      <c r="Q368" s="15" t="n"/>
      <c r="R368" s="25" t="n"/>
      <c r="S368" s="26">
        <f>IF($A368="","",AND(OR('Assignment Builder'!$B$5="",$B368='Assignment Builder'!$B$5),OR('Assignment Builder'!$B$6="",ISNUMBER(SEARCH('Assignment Builder'!$B$6,$C368))),OR('Assignment Builder'!$B$7="",'Assignment Builder'!$B$7=IFERROR(INDEX('Category Dictionary'!$C$5:$C$135,MATCH($L368,'Category Dictionary'!$D$5:$D$135,0)),"")),OR('Assignment Builder'!$B$8="",$D368='Assignment Builder'!$B$8),OR('Assignment Builder'!$B$9="",$F368='Assignment Builder'!$B$9),OR('Assignment Builder'!$B$10="",$O368='Assignment Builder'!$B$10),OR('Assignment Builder'!$B$11="",$H368&gt;='Assignment Builder'!$B$11),OR('Assignment Builder'!$B$12="",N($Q368)&lt;='Assignment Builder'!$B$12)))</f>
        <v/>
      </c>
      <c r="T368" s="23" t="n"/>
    </row>
    <row r="369">
      <c r="A369" s="23" t="n"/>
      <c r="B369" s="23" t="n"/>
      <c r="C369" s="24" t="n"/>
      <c r="D369" s="15" t="n"/>
      <c r="E369" s="23" t="n"/>
      <c r="F369" s="15" t="n"/>
      <c r="G369" s="23" t="n"/>
      <c r="H369" s="25" t="n"/>
      <c r="I369" s="15" t="n"/>
      <c r="J369" s="26">
        <f>IF($A369="","",LEN($C369)-LEN(SUBSTITUTE($C369,",",""))+1)</f>
        <v/>
      </c>
      <c r="K369" s="26">
        <f>IF($A369="","",SUMPRODUCT(--ISNUMBER(SEARCH('Category Dictionary'!$D$5:$D$135&amp;"",$C369)),--('Category Dictionary'!$D$5:$D$135&lt;&gt;"")))</f>
        <v/>
      </c>
      <c r="L369" s="27">
        <f>IF($A369="","",TRIM(IF(ISERROR(FIND(",",$C369)),$C369,LEFT($C369,FIND(",",$C369)-1))))</f>
        <v/>
      </c>
      <c r="M369" s="28">
        <f>IF($H369="","",DATE(YEAR($H369),MONTH($H369),1))</f>
        <v/>
      </c>
      <c r="N369" s="26">
        <f>IF($H369="","",TODAY()-$H369)</f>
        <v/>
      </c>
      <c r="O369" s="15" t="n"/>
      <c r="P369" s="15" t="n"/>
      <c r="Q369" s="15" t="n"/>
      <c r="R369" s="25" t="n"/>
      <c r="S369" s="26">
        <f>IF($A369="","",AND(OR('Assignment Builder'!$B$5="",$B369='Assignment Builder'!$B$5),OR('Assignment Builder'!$B$6="",ISNUMBER(SEARCH('Assignment Builder'!$B$6,$C369))),OR('Assignment Builder'!$B$7="",'Assignment Builder'!$B$7=IFERROR(INDEX('Category Dictionary'!$C$5:$C$135,MATCH($L369,'Category Dictionary'!$D$5:$D$135,0)),"")),OR('Assignment Builder'!$B$8="",$D369='Assignment Builder'!$B$8),OR('Assignment Builder'!$B$9="",$F369='Assignment Builder'!$B$9),OR('Assignment Builder'!$B$10="",$O369='Assignment Builder'!$B$10),OR('Assignment Builder'!$B$11="",$H369&gt;='Assignment Builder'!$B$11),OR('Assignment Builder'!$B$12="",N($Q369)&lt;='Assignment Builder'!$B$12)))</f>
        <v/>
      </c>
      <c r="T369" s="23" t="n"/>
    </row>
    <row r="370">
      <c r="A370" s="23" t="n"/>
      <c r="B370" s="23" t="n"/>
      <c r="C370" s="24" t="n"/>
      <c r="D370" s="15" t="n"/>
      <c r="E370" s="23" t="n"/>
      <c r="F370" s="15" t="n"/>
      <c r="G370" s="23" t="n"/>
      <c r="H370" s="25" t="n"/>
      <c r="I370" s="15" t="n"/>
      <c r="J370" s="26">
        <f>IF($A370="","",LEN($C370)-LEN(SUBSTITUTE($C370,",",""))+1)</f>
        <v/>
      </c>
      <c r="K370" s="26">
        <f>IF($A370="","",SUMPRODUCT(--ISNUMBER(SEARCH('Category Dictionary'!$D$5:$D$135&amp;"",$C370)),--('Category Dictionary'!$D$5:$D$135&lt;&gt;"")))</f>
        <v/>
      </c>
      <c r="L370" s="27">
        <f>IF($A370="","",TRIM(IF(ISERROR(FIND(",",$C370)),$C370,LEFT($C370,FIND(",",$C370)-1))))</f>
        <v/>
      </c>
      <c r="M370" s="28">
        <f>IF($H370="","",DATE(YEAR($H370),MONTH($H370),1))</f>
        <v/>
      </c>
      <c r="N370" s="26">
        <f>IF($H370="","",TODAY()-$H370)</f>
        <v/>
      </c>
      <c r="O370" s="15" t="n"/>
      <c r="P370" s="15" t="n"/>
      <c r="Q370" s="15" t="n"/>
      <c r="R370" s="25" t="n"/>
      <c r="S370" s="26">
        <f>IF($A370="","",AND(OR('Assignment Builder'!$B$5="",$B370='Assignment Builder'!$B$5),OR('Assignment Builder'!$B$6="",ISNUMBER(SEARCH('Assignment Builder'!$B$6,$C370))),OR('Assignment Builder'!$B$7="",'Assignment Builder'!$B$7=IFERROR(INDEX('Category Dictionary'!$C$5:$C$135,MATCH($L370,'Category Dictionary'!$D$5:$D$135,0)),"")),OR('Assignment Builder'!$B$8="",$D370='Assignment Builder'!$B$8),OR('Assignment Builder'!$B$9="",$F370='Assignment Builder'!$B$9),OR('Assignment Builder'!$B$10="",$O370='Assignment Builder'!$B$10),OR('Assignment Builder'!$B$11="",$H370&gt;='Assignment Builder'!$B$11),OR('Assignment Builder'!$B$12="",N($Q370)&lt;='Assignment Builder'!$B$12)))</f>
        <v/>
      </c>
      <c r="T370" s="23" t="n"/>
    </row>
    <row r="371">
      <c r="A371" s="23" t="n"/>
      <c r="B371" s="23" t="n"/>
      <c r="C371" s="24" t="n"/>
      <c r="D371" s="15" t="n"/>
      <c r="E371" s="23" t="n"/>
      <c r="F371" s="15" t="n"/>
      <c r="G371" s="23" t="n"/>
      <c r="H371" s="25" t="n"/>
      <c r="I371" s="15" t="n"/>
      <c r="J371" s="26">
        <f>IF($A371="","",LEN($C371)-LEN(SUBSTITUTE($C371,",",""))+1)</f>
        <v/>
      </c>
      <c r="K371" s="26">
        <f>IF($A371="","",SUMPRODUCT(--ISNUMBER(SEARCH('Category Dictionary'!$D$5:$D$135&amp;"",$C371)),--('Category Dictionary'!$D$5:$D$135&lt;&gt;"")))</f>
        <v/>
      </c>
      <c r="L371" s="27">
        <f>IF($A371="","",TRIM(IF(ISERROR(FIND(",",$C371)),$C371,LEFT($C371,FIND(",",$C371)-1))))</f>
        <v/>
      </c>
      <c r="M371" s="28">
        <f>IF($H371="","",DATE(YEAR($H371),MONTH($H371),1))</f>
        <v/>
      </c>
      <c r="N371" s="26">
        <f>IF($H371="","",TODAY()-$H371)</f>
        <v/>
      </c>
      <c r="O371" s="15" t="n"/>
      <c r="P371" s="15" t="n"/>
      <c r="Q371" s="15" t="n"/>
      <c r="R371" s="25" t="n"/>
      <c r="S371" s="26">
        <f>IF($A371="","",AND(OR('Assignment Builder'!$B$5="",$B371='Assignment Builder'!$B$5),OR('Assignment Builder'!$B$6="",ISNUMBER(SEARCH('Assignment Builder'!$B$6,$C371))),OR('Assignment Builder'!$B$7="",'Assignment Builder'!$B$7=IFERROR(INDEX('Category Dictionary'!$C$5:$C$135,MATCH($L371,'Category Dictionary'!$D$5:$D$135,0)),"")),OR('Assignment Builder'!$B$8="",$D371='Assignment Builder'!$B$8),OR('Assignment Builder'!$B$9="",$F371='Assignment Builder'!$B$9),OR('Assignment Builder'!$B$10="",$O371='Assignment Builder'!$B$10),OR('Assignment Builder'!$B$11="",$H371&gt;='Assignment Builder'!$B$11),OR('Assignment Builder'!$B$12="",N($Q371)&lt;='Assignment Builder'!$B$12)))</f>
        <v/>
      </c>
      <c r="T371" s="23" t="n"/>
    </row>
    <row r="372">
      <c r="A372" s="23" t="n"/>
      <c r="B372" s="23" t="n"/>
      <c r="C372" s="24" t="n"/>
      <c r="D372" s="15" t="n"/>
      <c r="E372" s="23" t="n"/>
      <c r="F372" s="15" t="n"/>
      <c r="G372" s="23" t="n"/>
      <c r="H372" s="25" t="n"/>
      <c r="I372" s="15" t="n"/>
      <c r="J372" s="26">
        <f>IF($A372="","",LEN($C372)-LEN(SUBSTITUTE($C372,",",""))+1)</f>
        <v/>
      </c>
      <c r="K372" s="26">
        <f>IF($A372="","",SUMPRODUCT(--ISNUMBER(SEARCH('Category Dictionary'!$D$5:$D$135&amp;"",$C372)),--('Category Dictionary'!$D$5:$D$135&lt;&gt;"")))</f>
        <v/>
      </c>
      <c r="L372" s="27">
        <f>IF($A372="","",TRIM(IF(ISERROR(FIND(",",$C372)),$C372,LEFT($C372,FIND(",",$C372)-1))))</f>
        <v/>
      </c>
      <c r="M372" s="28">
        <f>IF($H372="","",DATE(YEAR($H372),MONTH($H372),1))</f>
        <v/>
      </c>
      <c r="N372" s="26">
        <f>IF($H372="","",TODAY()-$H372)</f>
        <v/>
      </c>
      <c r="O372" s="15" t="n"/>
      <c r="P372" s="15" t="n"/>
      <c r="Q372" s="15" t="n"/>
      <c r="R372" s="25" t="n"/>
      <c r="S372" s="26">
        <f>IF($A372="","",AND(OR('Assignment Builder'!$B$5="",$B372='Assignment Builder'!$B$5),OR('Assignment Builder'!$B$6="",ISNUMBER(SEARCH('Assignment Builder'!$B$6,$C372))),OR('Assignment Builder'!$B$7="",'Assignment Builder'!$B$7=IFERROR(INDEX('Category Dictionary'!$C$5:$C$135,MATCH($L372,'Category Dictionary'!$D$5:$D$135,0)),"")),OR('Assignment Builder'!$B$8="",$D372='Assignment Builder'!$B$8),OR('Assignment Builder'!$B$9="",$F372='Assignment Builder'!$B$9),OR('Assignment Builder'!$B$10="",$O372='Assignment Builder'!$B$10),OR('Assignment Builder'!$B$11="",$H372&gt;='Assignment Builder'!$B$11),OR('Assignment Builder'!$B$12="",N($Q372)&lt;='Assignment Builder'!$B$12)))</f>
        <v/>
      </c>
      <c r="T372" s="23" t="n"/>
    </row>
    <row r="373">
      <c r="A373" s="23" t="n"/>
      <c r="B373" s="23" t="n"/>
      <c r="C373" s="24" t="n"/>
      <c r="D373" s="15" t="n"/>
      <c r="E373" s="23" t="n"/>
      <c r="F373" s="15" t="n"/>
      <c r="G373" s="23" t="n"/>
      <c r="H373" s="25" t="n"/>
      <c r="I373" s="15" t="n"/>
      <c r="J373" s="26">
        <f>IF($A373="","",LEN($C373)-LEN(SUBSTITUTE($C373,",",""))+1)</f>
        <v/>
      </c>
      <c r="K373" s="26">
        <f>IF($A373="","",SUMPRODUCT(--ISNUMBER(SEARCH('Category Dictionary'!$D$5:$D$135&amp;"",$C373)),--('Category Dictionary'!$D$5:$D$135&lt;&gt;"")))</f>
        <v/>
      </c>
      <c r="L373" s="27">
        <f>IF($A373="","",TRIM(IF(ISERROR(FIND(",",$C373)),$C373,LEFT($C373,FIND(",",$C373)-1))))</f>
        <v/>
      </c>
      <c r="M373" s="28">
        <f>IF($H373="","",DATE(YEAR($H373),MONTH($H373),1))</f>
        <v/>
      </c>
      <c r="N373" s="26">
        <f>IF($H373="","",TODAY()-$H373)</f>
        <v/>
      </c>
      <c r="O373" s="15" t="n"/>
      <c r="P373" s="15" t="n"/>
      <c r="Q373" s="15" t="n"/>
      <c r="R373" s="25" t="n"/>
      <c r="S373" s="26">
        <f>IF($A373="","",AND(OR('Assignment Builder'!$B$5="",$B373='Assignment Builder'!$B$5),OR('Assignment Builder'!$B$6="",ISNUMBER(SEARCH('Assignment Builder'!$B$6,$C373))),OR('Assignment Builder'!$B$7="",'Assignment Builder'!$B$7=IFERROR(INDEX('Category Dictionary'!$C$5:$C$135,MATCH($L373,'Category Dictionary'!$D$5:$D$135,0)),"")),OR('Assignment Builder'!$B$8="",$D373='Assignment Builder'!$B$8),OR('Assignment Builder'!$B$9="",$F373='Assignment Builder'!$B$9),OR('Assignment Builder'!$B$10="",$O373='Assignment Builder'!$B$10),OR('Assignment Builder'!$B$11="",$H373&gt;='Assignment Builder'!$B$11),OR('Assignment Builder'!$B$12="",N($Q373)&lt;='Assignment Builder'!$B$12)))</f>
        <v/>
      </c>
      <c r="T373" s="23" t="n"/>
    </row>
    <row r="374">
      <c r="A374" s="23" t="n"/>
      <c r="B374" s="23" t="n"/>
      <c r="C374" s="24" t="n"/>
      <c r="D374" s="15" t="n"/>
      <c r="E374" s="23" t="n"/>
      <c r="F374" s="15" t="n"/>
      <c r="G374" s="23" t="n"/>
      <c r="H374" s="25" t="n"/>
      <c r="I374" s="15" t="n"/>
      <c r="J374" s="26">
        <f>IF($A374="","",LEN($C374)-LEN(SUBSTITUTE($C374,",",""))+1)</f>
        <v/>
      </c>
      <c r="K374" s="26">
        <f>IF($A374="","",SUMPRODUCT(--ISNUMBER(SEARCH('Category Dictionary'!$D$5:$D$135&amp;"",$C374)),--('Category Dictionary'!$D$5:$D$135&lt;&gt;"")))</f>
        <v/>
      </c>
      <c r="L374" s="27">
        <f>IF($A374="","",TRIM(IF(ISERROR(FIND(",",$C374)),$C374,LEFT($C374,FIND(",",$C374)-1))))</f>
        <v/>
      </c>
      <c r="M374" s="28">
        <f>IF($H374="","",DATE(YEAR($H374),MONTH($H374),1))</f>
        <v/>
      </c>
      <c r="N374" s="26">
        <f>IF($H374="","",TODAY()-$H374)</f>
        <v/>
      </c>
      <c r="O374" s="15" t="n"/>
      <c r="P374" s="15" t="n"/>
      <c r="Q374" s="15" t="n"/>
      <c r="R374" s="25" t="n"/>
      <c r="S374" s="26">
        <f>IF($A374="","",AND(OR('Assignment Builder'!$B$5="",$B374='Assignment Builder'!$B$5),OR('Assignment Builder'!$B$6="",ISNUMBER(SEARCH('Assignment Builder'!$B$6,$C374))),OR('Assignment Builder'!$B$7="",'Assignment Builder'!$B$7=IFERROR(INDEX('Category Dictionary'!$C$5:$C$135,MATCH($L374,'Category Dictionary'!$D$5:$D$135,0)),"")),OR('Assignment Builder'!$B$8="",$D374='Assignment Builder'!$B$8),OR('Assignment Builder'!$B$9="",$F374='Assignment Builder'!$B$9),OR('Assignment Builder'!$B$10="",$O374='Assignment Builder'!$B$10),OR('Assignment Builder'!$B$11="",$H374&gt;='Assignment Builder'!$B$11),OR('Assignment Builder'!$B$12="",N($Q374)&lt;='Assignment Builder'!$B$12)))</f>
        <v/>
      </c>
      <c r="T374" s="23" t="n"/>
    </row>
    <row r="375">
      <c r="A375" s="23" t="n"/>
      <c r="B375" s="23" t="n"/>
      <c r="C375" s="24" t="n"/>
      <c r="D375" s="15" t="n"/>
      <c r="E375" s="23" t="n"/>
      <c r="F375" s="15" t="n"/>
      <c r="G375" s="23" t="n"/>
      <c r="H375" s="25" t="n"/>
      <c r="I375" s="15" t="n"/>
      <c r="J375" s="26">
        <f>IF($A375="","",LEN($C375)-LEN(SUBSTITUTE($C375,",",""))+1)</f>
        <v/>
      </c>
      <c r="K375" s="26">
        <f>IF($A375="","",SUMPRODUCT(--ISNUMBER(SEARCH('Category Dictionary'!$D$5:$D$135&amp;"",$C375)),--('Category Dictionary'!$D$5:$D$135&lt;&gt;"")))</f>
        <v/>
      </c>
      <c r="L375" s="27">
        <f>IF($A375="","",TRIM(IF(ISERROR(FIND(",",$C375)),$C375,LEFT($C375,FIND(",",$C375)-1))))</f>
        <v/>
      </c>
      <c r="M375" s="28">
        <f>IF($H375="","",DATE(YEAR($H375),MONTH($H375),1))</f>
        <v/>
      </c>
      <c r="N375" s="26">
        <f>IF($H375="","",TODAY()-$H375)</f>
        <v/>
      </c>
      <c r="O375" s="15" t="n"/>
      <c r="P375" s="15" t="n"/>
      <c r="Q375" s="15" t="n"/>
      <c r="R375" s="25" t="n"/>
      <c r="S375" s="26">
        <f>IF($A375="","",AND(OR('Assignment Builder'!$B$5="",$B375='Assignment Builder'!$B$5),OR('Assignment Builder'!$B$6="",ISNUMBER(SEARCH('Assignment Builder'!$B$6,$C375))),OR('Assignment Builder'!$B$7="",'Assignment Builder'!$B$7=IFERROR(INDEX('Category Dictionary'!$C$5:$C$135,MATCH($L375,'Category Dictionary'!$D$5:$D$135,0)),"")),OR('Assignment Builder'!$B$8="",$D375='Assignment Builder'!$B$8),OR('Assignment Builder'!$B$9="",$F375='Assignment Builder'!$B$9),OR('Assignment Builder'!$B$10="",$O375='Assignment Builder'!$B$10),OR('Assignment Builder'!$B$11="",$H375&gt;='Assignment Builder'!$B$11),OR('Assignment Builder'!$B$12="",N($Q375)&lt;='Assignment Builder'!$B$12)))</f>
        <v/>
      </c>
      <c r="T375" s="23" t="n"/>
    </row>
    <row r="376">
      <c r="A376" s="23" t="n"/>
      <c r="B376" s="23" t="n"/>
      <c r="C376" s="24" t="n"/>
      <c r="D376" s="15" t="n"/>
      <c r="E376" s="23" t="n"/>
      <c r="F376" s="15" t="n"/>
      <c r="G376" s="23" t="n"/>
      <c r="H376" s="25" t="n"/>
      <c r="I376" s="15" t="n"/>
      <c r="J376" s="26">
        <f>IF($A376="","",LEN($C376)-LEN(SUBSTITUTE($C376,",",""))+1)</f>
        <v/>
      </c>
      <c r="K376" s="26">
        <f>IF($A376="","",SUMPRODUCT(--ISNUMBER(SEARCH('Category Dictionary'!$D$5:$D$135&amp;"",$C376)),--('Category Dictionary'!$D$5:$D$135&lt;&gt;"")))</f>
        <v/>
      </c>
      <c r="L376" s="27">
        <f>IF($A376="","",TRIM(IF(ISERROR(FIND(",",$C376)),$C376,LEFT($C376,FIND(",",$C376)-1))))</f>
        <v/>
      </c>
      <c r="M376" s="28">
        <f>IF($H376="","",DATE(YEAR($H376),MONTH($H376),1))</f>
        <v/>
      </c>
      <c r="N376" s="26">
        <f>IF($H376="","",TODAY()-$H376)</f>
        <v/>
      </c>
      <c r="O376" s="15" t="n"/>
      <c r="P376" s="15" t="n"/>
      <c r="Q376" s="15" t="n"/>
      <c r="R376" s="25" t="n"/>
      <c r="S376" s="26">
        <f>IF($A376="","",AND(OR('Assignment Builder'!$B$5="",$B376='Assignment Builder'!$B$5),OR('Assignment Builder'!$B$6="",ISNUMBER(SEARCH('Assignment Builder'!$B$6,$C376))),OR('Assignment Builder'!$B$7="",'Assignment Builder'!$B$7=IFERROR(INDEX('Category Dictionary'!$C$5:$C$135,MATCH($L376,'Category Dictionary'!$D$5:$D$135,0)),"")),OR('Assignment Builder'!$B$8="",$D376='Assignment Builder'!$B$8),OR('Assignment Builder'!$B$9="",$F376='Assignment Builder'!$B$9),OR('Assignment Builder'!$B$10="",$O376='Assignment Builder'!$B$10),OR('Assignment Builder'!$B$11="",$H376&gt;='Assignment Builder'!$B$11),OR('Assignment Builder'!$B$12="",N($Q376)&lt;='Assignment Builder'!$B$12)))</f>
        <v/>
      </c>
      <c r="T376" s="23" t="n"/>
    </row>
    <row r="377">
      <c r="A377" s="23" t="n"/>
      <c r="B377" s="23" t="n"/>
      <c r="C377" s="24" t="n"/>
      <c r="D377" s="15" t="n"/>
      <c r="E377" s="23" t="n"/>
      <c r="F377" s="15" t="n"/>
      <c r="G377" s="23" t="n"/>
      <c r="H377" s="25" t="n"/>
      <c r="I377" s="15" t="n"/>
      <c r="J377" s="26">
        <f>IF($A377="","",LEN($C377)-LEN(SUBSTITUTE($C377,",",""))+1)</f>
        <v/>
      </c>
      <c r="K377" s="26">
        <f>IF($A377="","",SUMPRODUCT(--ISNUMBER(SEARCH('Category Dictionary'!$D$5:$D$135&amp;"",$C377)),--('Category Dictionary'!$D$5:$D$135&lt;&gt;"")))</f>
        <v/>
      </c>
      <c r="L377" s="27">
        <f>IF($A377="","",TRIM(IF(ISERROR(FIND(",",$C377)),$C377,LEFT($C377,FIND(",",$C377)-1))))</f>
        <v/>
      </c>
      <c r="M377" s="28">
        <f>IF($H377="","",DATE(YEAR($H377),MONTH($H377),1))</f>
        <v/>
      </c>
      <c r="N377" s="26">
        <f>IF($H377="","",TODAY()-$H377)</f>
        <v/>
      </c>
      <c r="O377" s="15" t="n"/>
      <c r="P377" s="15" t="n"/>
      <c r="Q377" s="15" t="n"/>
      <c r="R377" s="25" t="n"/>
      <c r="S377" s="26">
        <f>IF($A377="","",AND(OR('Assignment Builder'!$B$5="",$B377='Assignment Builder'!$B$5),OR('Assignment Builder'!$B$6="",ISNUMBER(SEARCH('Assignment Builder'!$B$6,$C377))),OR('Assignment Builder'!$B$7="",'Assignment Builder'!$B$7=IFERROR(INDEX('Category Dictionary'!$C$5:$C$135,MATCH($L377,'Category Dictionary'!$D$5:$D$135,0)),"")),OR('Assignment Builder'!$B$8="",$D377='Assignment Builder'!$B$8),OR('Assignment Builder'!$B$9="",$F377='Assignment Builder'!$B$9),OR('Assignment Builder'!$B$10="",$O377='Assignment Builder'!$B$10),OR('Assignment Builder'!$B$11="",$H377&gt;='Assignment Builder'!$B$11),OR('Assignment Builder'!$B$12="",N($Q377)&lt;='Assignment Builder'!$B$12)))</f>
        <v/>
      </c>
      <c r="T377" s="23" t="n"/>
    </row>
    <row r="378">
      <c r="A378" s="23" t="n"/>
      <c r="B378" s="23" t="n"/>
      <c r="C378" s="24" t="n"/>
      <c r="D378" s="15" t="n"/>
      <c r="E378" s="23" t="n"/>
      <c r="F378" s="15" t="n"/>
      <c r="G378" s="23" t="n"/>
      <c r="H378" s="25" t="n"/>
      <c r="I378" s="15" t="n"/>
      <c r="J378" s="26">
        <f>IF($A378="","",LEN($C378)-LEN(SUBSTITUTE($C378,",",""))+1)</f>
        <v/>
      </c>
      <c r="K378" s="26">
        <f>IF($A378="","",SUMPRODUCT(--ISNUMBER(SEARCH('Category Dictionary'!$D$5:$D$135&amp;"",$C378)),--('Category Dictionary'!$D$5:$D$135&lt;&gt;"")))</f>
        <v/>
      </c>
      <c r="L378" s="27">
        <f>IF($A378="","",TRIM(IF(ISERROR(FIND(",",$C378)),$C378,LEFT($C378,FIND(",",$C378)-1))))</f>
        <v/>
      </c>
      <c r="M378" s="28">
        <f>IF($H378="","",DATE(YEAR($H378),MONTH($H378),1))</f>
        <v/>
      </c>
      <c r="N378" s="26">
        <f>IF($H378="","",TODAY()-$H378)</f>
        <v/>
      </c>
      <c r="O378" s="15" t="n"/>
      <c r="P378" s="15" t="n"/>
      <c r="Q378" s="15" t="n"/>
      <c r="R378" s="25" t="n"/>
      <c r="S378" s="26">
        <f>IF($A378="","",AND(OR('Assignment Builder'!$B$5="",$B378='Assignment Builder'!$B$5),OR('Assignment Builder'!$B$6="",ISNUMBER(SEARCH('Assignment Builder'!$B$6,$C378))),OR('Assignment Builder'!$B$7="",'Assignment Builder'!$B$7=IFERROR(INDEX('Category Dictionary'!$C$5:$C$135,MATCH($L378,'Category Dictionary'!$D$5:$D$135,0)),"")),OR('Assignment Builder'!$B$8="",$D378='Assignment Builder'!$B$8),OR('Assignment Builder'!$B$9="",$F378='Assignment Builder'!$B$9),OR('Assignment Builder'!$B$10="",$O378='Assignment Builder'!$B$10),OR('Assignment Builder'!$B$11="",$H378&gt;='Assignment Builder'!$B$11),OR('Assignment Builder'!$B$12="",N($Q378)&lt;='Assignment Builder'!$B$12)))</f>
        <v/>
      </c>
      <c r="T378" s="23" t="n"/>
    </row>
    <row r="379">
      <c r="A379" s="23" t="n"/>
      <c r="B379" s="23" t="n"/>
      <c r="C379" s="24" t="n"/>
      <c r="D379" s="15" t="n"/>
      <c r="E379" s="23" t="n"/>
      <c r="F379" s="15" t="n"/>
      <c r="G379" s="23" t="n"/>
      <c r="H379" s="25" t="n"/>
      <c r="I379" s="15" t="n"/>
      <c r="J379" s="26">
        <f>IF($A379="","",LEN($C379)-LEN(SUBSTITUTE($C379,",",""))+1)</f>
        <v/>
      </c>
      <c r="K379" s="26">
        <f>IF($A379="","",SUMPRODUCT(--ISNUMBER(SEARCH('Category Dictionary'!$D$5:$D$135&amp;"",$C379)),--('Category Dictionary'!$D$5:$D$135&lt;&gt;"")))</f>
        <v/>
      </c>
      <c r="L379" s="27">
        <f>IF($A379="","",TRIM(IF(ISERROR(FIND(",",$C379)),$C379,LEFT($C379,FIND(",",$C379)-1))))</f>
        <v/>
      </c>
      <c r="M379" s="28">
        <f>IF($H379="","",DATE(YEAR($H379),MONTH($H379),1))</f>
        <v/>
      </c>
      <c r="N379" s="26">
        <f>IF($H379="","",TODAY()-$H379)</f>
        <v/>
      </c>
      <c r="O379" s="15" t="n"/>
      <c r="P379" s="15" t="n"/>
      <c r="Q379" s="15" t="n"/>
      <c r="R379" s="25" t="n"/>
      <c r="S379" s="26">
        <f>IF($A379="","",AND(OR('Assignment Builder'!$B$5="",$B379='Assignment Builder'!$B$5),OR('Assignment Builder'!$B$6="",ISNUMBER(SEARCH('Assignment Builder'!$B$6,$C379))),OR('Assignment Builder'!$B$7="",'Assignment Builder'!$B$7=IFERROR(INDEX('Category Dictionary'!$C$5:$C$135,MATCH($L379,'Category Dictionary'!$D$5:$D$135,0)),"")),OR('Assignment Builder'!$B$8="",$D379='Assignment Builder'!$B$8),OR('Assignment Builder'!$B$9="",$F379='Assignment Builder'!$B$9),OR('Assignment Builder'!$B$10="",$O379='Assignment Builder'!$B$10),OR('Assignment Builder'!$B$11="",$H379&gt;='Assignment Builder'!$B$11),OR('Assignment Builder'!$B$12="",N($Q379)&lt;='Assignment Builder'!$B$12)))</f>
        <v/>
      </c>
      <c r="T379" s="23" t="n"/>
    </row>
    <row r="380">
      <c r="A380" s="23" t="n"/>
      <c r="B380" s="23" t="n"/>
      <c r="C380" s="24" t="n"/>
      <c r="D380" s="15" t="n"/>
      <c r="E380" s="23" t="n"/>
      <c r="F380" s="15" t="n"/>
      <c r="G380" s="23" t="n"/>
      <c r="H380" s="25" t="n"/>
      <c r="I380" s="15" t="n"/>
      <c r="J380" s="26">
        <f>IF($A380="","",LEN($C380)-LEN(SUBSTITUTE($C380,",",""))+1)</f>
        <v/>
      </c>
      <c r="K380" s="26">
        <f>IF($A380="","",SUMPRODUCT(--ISNUMBER(SEARCH('Category Dictionary'!$D$5:$D$135&amp;"",$C380)),--('Category Dictionary'!$D$5:$D$135&lt;&gt;"")))</f>
        <v/>
      </c>
      <c r="L380" s="27">
        <f>IF($A380="","",TRIM(IF(ISERROR(FIND(",",$C380)),$C380,LEFT($C380,FIND(",",$C380)-1))))</f>
        <v/>
      </c>
      <c r="M380" s="28">
        <f>IF($H380="","",DATE(YEAR($H380),MONTH($H380),1))</f>
        <v/>
      </c>
      <c r="N380" s="26">
        <f>IF($H380="","",TODAY()-$H380)</f>
        <v/>
      </c>
      <c r="O380" s="15" t="n"/>
      <c r="P380" s="15" t="n"/>
      <c r="Q380" s="15" t="n"/>
      <c r="R380" s="25" t="n"/>
      <c r="S380" s="26">
        <f>IF($A380="","",AND(OR('Assignment Builder'!$B$5="",$B380='Assignment Builder'!$B$5),OR('Assignment Builder'!$B$6="",ISNUMBER(SEARCH('Assignment Builder'!$B$6,$C380))),OR('Assignment Builder'!$B$7="",'Assignment Builder'!$B$7=IFERROR(INDEX('Category Dictionary'!$C$5:$C$135,MATCH($L380,'Category Dictionary'!$D$5:$D$135,0)),"")),OR('Assignment Builder'!$B$8="",$D380='Assignment Builder'!$B$8),OR('Assignment Builder'!$B$9="",$F380='Assignment Builder'!$B$9),OR('Assignment Builder'!$B$10="",$O380='Assignment Builder'!$B$10),OR('Assignment Builder'!$B$11="",$H380&gt;='Assignment Builder'!$B$11),OR('Assignment Builder'!$B$12="",N($Q380)&lt;='Assignment Builder'!$B$12)))</f>
        <v/>
      </c>
      <c r="T380" s="23" t="n"/>
    </row>
    <row r="381">
      <c r="A381" s="23" t="n"/>
      <c r="B381" s="23" t="n"/>
      <c r="C381" s="24" t="n"/>
      <c r="D381" s="15" t="n"/>
      <c r="E381" s="23" t="n"/>
      <c r="F381" s="15" t="n"/>
      <c r="G381" s="23" t="n"/>
      <c r="H381" s="25" t="n"/>
      <c r="I381" s="15" t="n"/>
      <c r="J381" s="26">
        <f>IF($A381="","",LEN($C381)-LEN(SUBSTITUTE($C381,",",""))+1)</f>
        <v/>
      </c>
      <c r="K381" s="26">
        <f>IF($A381="","",SUMPRODUCT(--ISNUMBER(SEARCH('Category Dictionary'!$D$5:$D$135&amp;"",$C381)),--('Category Dictionary'!$D$5:$D$135&lt;&gt;"")))</f>
        <v/>
      </c>
      <c r="L381" s="27">
        <f>IF($A381="","",TRIM(IF(ISERROR(FIND(",",$C381)),$C381,LEFT($C381,FIND(",",$C381)-1))))</f>
        <v/>
      </c>
      <c r="M381" s="28">
        <f>IF($H381="","",DATE(YEAR($H381),MONTH($H381),1))</f>
        <v/>
      </c>
      <c r="N381" s="26">
        <f>IF($H381="","",TODAY()-$H381)</f>
        <v/>
      </c>
      <c r="O381" s="15" t="n"/>
      <c r="P381" s="15" t="n"/>
      <c r="Q381" s="15" t="n"/>
      <c r="R381" s="25" t="n"/>
      <c r="S381" s="26">
        <f>IF($A381="","",AND(OR('Assignment Builder'!$B$5="",$B381='Assignment Builder'!$B$5),OR('Assignment Builder'!$B$6="",ISNUMBER(SEARCH('Assignment Builder'!$B$6,$C381))),OR('Assignment Builder'!$B$7="",'Assignment Builder'!$B$7=IFERROR(INDEX('Category Dictionary'!$C$5:$C$135,MATCH($L381,'Category Dictionary'!$D$5:$D$135,0)),"")),OR('Assignment Builder'!$B$8="",$D381='Assignment Builder'!$B$8),OR('Assignment Builder'!$B$9="",$F381='Assignment Builder'!$B$9),OR('Assignment Builder'!$B$10="",$O381='Assignment Builder'!$B$10),OR('Assignment Builder'!$B$11="",$H381&gt;='Assignment Builder'!$B$11),OR('Assignment Builder'!$B$12="",N($Q381)&lt;='Assignment Builder'!$B$12)))</f>
        <v/>
      </c>
      <c r="T381" s="23" t="n"/>
    </row>
    <row r="382">
      <c r="A382" s="23" t="n"/>
      <c r="B382" s="23" t="n"/>
      <c r="C382" s="24" t="n"/>
      <c r="D382" s="15" t="n"/>
      <c r="E382" s="23" t="n"/>
      <c r="F382" s="15" t="n"/>
      <c r="G382" s="23" t="n"/>
      <c r="H382" s="25" t="n"/>
      <c r="I382" s="15" t="n"/>
      <c r="J382" s="26">
        <f>IF($A382="","",LEN($C382)-LEN(SUBSTITUTE($C382,",",""))+1)</f>
        <v/>
      </c>
      <c r="K382" s="26">
        <f>IF($A382="","",SUMPRODUCT(--ISNUMBER(SEARCH('Category Dictionary'!$D$5:$D$135&amp;"",$C382)),--('Category Dictionary'!$D$5:$D$135&lt;&gt;"")))</f>
        <v/>
      </c>
      <c r="L382" s="27">
        <f>IF($A382="","",TRIM(IF(ISERROR(FIND(",",$C382)),$C382,LEFT($C382,FIND(",",$C382)-1))))</f>
        <v/>
      </c>
      <c r="M382" s="28">
        <f>IF($H382="","",DATE(YEAR($H382),MONTH($H382),1))</f>
        <v/>
      </c>
      <c r="N382" s="26">
        <f>IF($H382="","",TODAY()-$H382)</f>
        <v/>
      </c>
      <c r="O382" s="15" t="n"/>
      <c r="P382" s="15" t="n"/>
      <c r="Q382" s="15" t="n"/>
      <c r="R382" s="25" t="n"/>
      <c r="S382" s="26">
        <f>IF($A382="","",AND(OR('Assignment Builder'!$B$5="",$B382='Assignment Builder'!$B$5),OR('Assignment Builder'!$B$6="",ISNUMBER(SEARCH('Assignment Builder'!$B$6,$C382))),OR('Assignment Builder'!$B$7="",'Assignment Builder'!$B$7=IFERROR(INDEX('Category Dictionary'!$C$5:$C$135,MATCH($L382,'Category Dictionary'!$D$5:$D$135,0)),"")),OR('Assignment Builder'!$B$8="",$D382='Assignment Builder'!$B$8),OR('Assignment Builder'!$B$9="",$F382='Assignment Builder'!$B$9),OR('Assignment Builder'!$B$10="",$O382='Assignment Builder'!$B$10),OR('Assignment Builder'!$B$11="",$H382&gt;='Assignment Builder'!$B$11),OR('Assignment Builder'!$B$12="",N($Q382)&lt;='Assignment Builder'!$B$12)))</f>
        <v/>
      </c>
      <c r="T382" s="23" t="n"/>
    </row>
    <row r="383">
      <c r="A383" s="23" t="n"/>
      <c r="B383" s="23" t="n"/>
      <c r="C383" s="24" t="n"/>
      <c r="D383" s="15" t="n"/>
      <c r="E383" s="23" t="n"/>
      <c r="F383" s="15" t="n"/>
      <c r="G383" s="23" t="n"/>
      <c r="H383" s="25" t="n"/>
      <c r="I383" s="15" t="n"/>
      <c r="J383" s="26">
        <f>IF($A383="","",LEN($C383)-LEN(SUBSTITUTE($C383,",",""))+1)</f>
        <v/>
      </c>
      <c r="K383" s="26">
        <f>IF($A383="","",SUMPRODUCT(--ISNUMBER(SEARCH('Category Dictionary'!$D$5:$D$135&amp;"",$C383)),--('Category Dictionary'!$D$5:$D$135&lt;&gt;"")))</f>
        <v/>
      </c>
      <c r="L383" s="27">
        <f>IF($A383="","",TRIM(IF(ISERROR(FIND(",",$C383)),$C383,LEFT($C383,FIND(",",$C383)-1))))</f>
        <v/>
      </c>
      <c r="M383" s="28">
        <f>IF($H383="","",DATE(YEAR($H383),MONTH($H383),1))</f>
        <v/>
      </c>
      <c r="N383" s="26">
        <f>IF($H383="","",TODAY()-$H383)</f>
        <v/>
      </c>
      <c r="O383" s="15" t="n"/>
      <c r="P383" s="15" t="n"/>
      <c r="Q383" s="15" t="n"/>
      <c r="R383" s="25" t="n"/>
      <c r="S383" s="26">
        <f>IF($A383="","",AND(OR('Assignment Builder'!$B$5="",$B383='Assignment Builder'!$B$5),OR('Assignment Builder'!$B$6="",ISNUMBER(SEARCH('Assignment Builder'!$B$6,$C383))),OR('Assignment Builder'!$B$7="",'Assignment Builder'!$B$7=IFERROR(INDEX('Category Dictionary'!$C$5:$C$135,MATCH($L383,'Category Dictionary'!$D$5:$D$135,0)),"")),OR('Assignment Builder'!$B$8="",$D383='Assignment Builder'!$B$8),OR('Assignment Builder'!$B$9="",$F383='Assignment Builder'!$B$9),OR('Assignment Builder'!$B$10="",$O383='Assignment Builder'!$B$10),OR('Assignment Builder'!$B$11="",$H383&gt;='Assignment Builder'!$B$11),OR('Assignment Builder'!$B$12="",N($Q383)&lt;='Assignment Builder'!$B$12)))</f>
        <v/>
      </c>
      <c r="T383" s="23" t="n"/>
    </row>
    <row r="384">
      <c r="A384" s="23" t="n"/>
      <c r="B384" s="23" t="n"/>
      <c r="C384" s="24" t="n"/>
      <c r="D384" s="15" t="n"/>
      <c r="E384" s="23" t="n"/>
      <c r="F384" s="15" t="n"/>
      <c r="G384" s="23" t="n"/>
      <c r="H384" s="25" t="n"/>
      <c r="I384" s="15" t="n"/>
      <c r="J384" s="26">
        <f>IF($A384="","",LEN($C384)-LEN(SUBSTITUTE($C384,",",""))+1)</f>
        <v/>
      </c>
      <c r="K384" s="26">
        <f>IF($A384="","",SUMPRODUCT(--ISNUMBER(SEARCH('Category Dictionary'!$D$5:$D$135&amp;"",$C384)),--('Category Dictionary'!$D$5:$D$135&lt;&gt;"")))</f>
        <v/>
      </c>
      <c r="L384" s="27">
        <f>IF($A384="","",TRIM(IF(ISERROR(FIND(",",$C384)),$C384,LEFT($C384,FIND(",",$C384)-1))))</f>
        <v/>
      </c>
      <c r="M384" s="28">
        <f>IF($H384="","",DATE(YEAR($H384),MONTH($H384),1))</f>
        <v/>
      </c>
      <c r="N384" s="26">
        <f>IF($H384="","",TODAY()-$H384)</f>
        <v/>
      </c>
      <c r="O384" s="15" t="n"/>
      <c r="P384" s="15" t="n"/>
      <c r="Q384" s="15" t="n"/>
      <c r="R384" s="25" t="n"/>
      <c r="S384" s="26">
        <f>IF($A384="","",AND(OR('Assignment Builder'!$B$5="",$B384='Assignment Builder'!$B$5),OR('Assignment Builder'!$B$6="",ISNUMBER(SEARCH('Assignment Builder'!$B$6,$C384))),OR('Assignment Builder'!$B$7="",'Assignment Builder'!$B$7=IFERROR(INDEX('Category Dictionary'!$C$5:$C$135,MATCH($L384,'Category Dictionary'!$D$5:$D$135,0)),"")),OR('Assignment Builder'!$B$8="",$D384='Assignment Builder'!$B$8),OR('Assignment Builder'!$B$9="",$F384='Assignment Builder'!$B$9),OR('Assignment Builder'!$B$10="",$O384='Assignment Builder'!$B$10),OR('Assignment Builder'!$B$11="",$H384&gt;='Assignment Builder'!$B$11),OR('Assignment Builder'!$B$12="",N($Q384)&lt;='Assignment Builder'!$B$12)))</f>
        <v/>
      </c>
      <c r="T384" s="23" t="n"/>
    </row>
    <row r="385">
      <c r="A385" s="23" t="n"/>
      <c r="B385" s="23" t="n"/>
      <c r="C385" s="24" t="n"/>
      <c r="D385" s="15" t="n"/>
      <c r="E385" s="23" t="n"/>
      <c r="F385" s="15" t="n"/>
      <c r="G385" s="23" t="n"/>
      <c r="H385" s="25" t="n"/>
      <c r="I385" s="15" t="n"/>
      <c r="J385" s="26">
        <f>IF($A385="","",LEN($C385)-LEN(SUBSTITUTE($C385,",",""))+1)</f>
        <v/>
      </c>
      <c r="K385" s="26">
        <f>IF($A385="","",SUMPRODUCT(--ISNUMBER(SEARCH('Category Dictionary'!$D$5:$D$135&amp;"",$C385)),--('Category Dictionary'!$D$5:$D$135&lt;&gt;"")))</f>
        <v/>
      </c>
      <c r="L385" s="27">
        <f>IF($A385="","",TRIM(IF(ISERROR(FIND(",",$C385)),$C385,LEFT($C385,FIND(",",$C385)-1))))</f>
        <v/>
      </c>
      <c r="M385" s="28">
        <f>IF($H385="","",DATE(YEAR($H385),MONTH($H385),1))</f>
        <v/>
      </c>
      <c r="N385" s="26">
        <f>IF($H385="","",TODAY()-$H385)</f>
        <v/>
      </c>
      <c r="O385" s="15" t="n"/>
      <c r="P385" s="15" t="n"/>
      <c r="Q385" s="15" t="n"/>
      <c r="R385" s="25" t="n"/>
      <c r="S385" s="26">
        <f>IF($A385="","",AND(OR('Assignment Builder'!$B$5="",$B385='Assignment Builder'!$B$5),OR('Assignment Builder'!$B$6="",ISNUMBER(SEARCH('Assignment Builder'!$B$6,$C385))),OR('Assignment Builder'!$B$7="",'Assignment Builder'!$B$7=IFERROR(INDEX('Category Dictionary'!$C$5:$C$135,MATCH($L385,'Category Dictionary'!$D$5:$D$135,0)),"")),OR('Assignment Builder'!$B$8="",$D385='Assignment Builder'!$B$8),OR('Assignment Builder'!$B$9="",$F385='Assignment Builder'!$B$9),OR('Assignment Builder'!$B$10="",$O385='Assignment Builder'!$B$10),OR('Assignment Builder'!$B$11="",$H385&gt;='Assignment Builder'!$B$11),OR('Assignment Builder'!$B$12="",N($Q385)&lt;='Assignment Builder'!$B$12)))</f>
        <v/>
      </c>
      <c r="T385" s="23" t="n"/>
    </row>
    <row r="386">
      <c r="A386" s="23" t="n"/>
      <c r="B386" s="23" t="n"/>
      <c r="C386" s="24" t="n"/>
      <c r="D386" s="15" t="n"/>
      <c r="E386" s="23" t="n"/>
      <c r="F386" s="15" t="n"/>
      <c r="G386" s="23" t="n"/>
      <c r="H386" s="25" t="n"/>
      <c r="I386" s="15" t="n"/>
      <c r="J386" s="26">
        <f>IF($A386="","",LEN($C386)-LEN(SUBSTITUTE($C386,",",""))+1)</f>
        <v/>
      </c>
      <c r="K386" s="26">
        <f>IF($A386="","",SUMPRODUCT(--ISNUMBER(SEARCH('Category Dictionary'!$D$5:$D$135&amp;"",$C386)),--('Category Dictionary'!$D$5:$D$135&lt;&gt;"")))</f>
        <v/>
      </c>
      <c r="L386" s="27">
        <f>IF($A386="","",TRIM(IF(ISERROR(FIND(",",$C386)),$C386,LEFT($C386,FIND(",",$C386)-1))))</f>
        <v/>
      </c>
      <c r="M386" s="28">
        <f>IF($H386="","",DATE(YEAR($H386),MONTH($H386),1))</f>
        <v/>
      </c>
      <c r="N386" s="26">
        <f>IF($H386="","",TODAY()-$H386)</f>
        <v/>
      </c>
      <c r="O386" s="15" t="n"/>
      <c r="P386" s="15" t="n"/>
      <c r="Q386" s="15" t="n"/>
      <c r="R386" s="25" t="n"/>
      <c r="S386" s="26">
        <f>IF($A386="","",AND(OR('Assignment Builder'!$B$5="",$B386='Assignment Builder'!$B$5),OR('Assignment Builder'!$B$6="",ISNUMBER(SEARCH('Assignment Builder'!$B$6,$C386))),OR('Assignment Builder'!$B$7="",'Assignment Builder'!$B$7=IFERROR(INDEX('Category Dictionary'!$C$5:$C$135,MATCH($L386,'Category Dictionary'!$D$5:$D$135,0)),"")),OR('Assignment Builder'!$B$8="",$D386='Assignment Builder'!$B$8),OR('Assignment Builder'!$B$9="",$F386='Assignment Builder'!$B$9),OR('Assignment Builder'!$B$10="",$O386='Assignment Builder'!$B$10),OR('Assignment Builder'!$B$11="",$H386&gt;='Assignment Builder'!$B$11),OR('Assignment Builder'!$B$12="",N($Q386)&lt;='Assignment Builder'!$B$12)))</f>
        <v/>
      </c>
      <c r="T386" s="23" t="n"/>
    </row>
    <row r="387">
      <c r="A387" s="23" t="n"/>
      <c r="B387" s="23" t="n"/>
      <c r="C387" s="24" t="n"/>
      <c r="D387" s="15" t="n"/>
      <c r="E387" s="23" t="n"/>
      <c r="F387" s="15" t="n"/>
      <c r="G387" s="23" t="n"/>
      <c r="H387" s="25" t="n"/>
      <c r="I387" s="15" t="n"/>
      <c r="J387" s="26">
        <f>IF($A387="","",LEN($C387)-LEN(SUBSTITUTE($C387,",",""))+1)</f>
        <v/>
      </c>
      <c r="K387" s="26">
        <f>IF($A387="","",SUMPRODUCT(--ISNUMBER(SEARCH('Category Dictionary'!$D$5:$D$135&amp;"",$C387)),--('Category Dictionary'!$D$5:$D$135&lt;&gt;"")))</f>
        <v/>
      </c>
      <c r="L387" s="27">
        <f>IF($A387="","",TRIM(IF(ISERROR(FIND(",",$C387)),$C387,LEFT($C387,FIND(",",$C387)-1))))</f>
        <v/>
      </c>
      <c r="M387" s="28">
        <f>IF($H387="","",DATE(YEAR($H387),MONTH($H387),1))</f>
        <v/>
      </c>
      <c r="N387" s="26">
        <f>IF($H387="","",TODAY()-$H387)</f>
        <v/>
      </c>
      <c r="O387" s="15" t="n"/>
      <c r="P387" s="15" t="n"/>
      <c r="Q387" s="15" t="n"/>
      <c r="R387" s="25" t="n"/>
      <c r="S387" s="26">
        <f>IF($A387="","",AND(OR('Assignment Builder'!$B$5="",$B387='Assignment Builder'!$B$5),OR('Assignment Builder'!$B$6="",ISNUMBER(SEARCH('Assignment Builder'!$B$6,$C387))),OR('Assignment Builder'!$B$7="",'Assignment Builder'!$B$7=IFERROR(INDEX('Category Dictionary'!$C$5:$C$135,MATCH($L387,'Category Dictionary'!$D$5:$D$135,0)),"")),OR('Assignment Builder'!$B$8="",$D387='Assignment Builder'!$B$8),OR('Assignment Builder'!$B$9="",$F387='Assignment Builder'!$B$9),OR('Assignment Builder'!$B$10="",$O387='Assignment Builder'!$B$10),OR('Assignment Builder'!$B$11="",$H387&gt;='Assignment Builder'!$B$11),OR('Assignment Builder'!$B$12="",N($Q387)&lt;='Assignment Builder'!$B$12)))</f>
        <v/>
      </c>
      <c r="T387" s="23" t="n"/>
    </row>
    <row r="388">
      <c r="A388" s="23" t="n"/>
      <c r="B388" s="23" t="n"/>
      <c r="C388" s="24" t="n"/>
      <c r="D388" s="15" t="n"/>
      <c r="E388" s="23" t="n"/>
      <c r="F388" s="15" t="n"/>
      <c r="G388" s="23" t="n"/>
      <c r="H388" s="25" t="n"/>
      <c r="I388" s="15" t="n"/>
      <c r="J388" s="26">
        <f>IF($A388="","",LEN($C388)-LEN(SUBSTITUTE($C388,",",""))+1)</f>
        <v/>
      </c>
      <c r="K388" s="26">
        <f>IF($A388="","",SUMPRODUCT(--ISNUMBER(SEARCH('Category Dictionary'!$D$5:$D$135&amp;"",$C388)),--('Category Dictionary'!$D$5:$D$135&lt;&gt;"")))</f>
        <v/>
      </c>
      <c r="L388" s="27">
        <f>IF($A388="","",TRIM(IF(ISERROR(FIND(",",$C388)),$C388,LEFT($C388,FIND(",",$C388)-1))))</f>
        <v/>
      </c>
      <c r="M388" s="28">
        <f>IF($H388="","",DATE(YEAR($H388),MONTH($H388),1))</f>
        <v/>
      </c>
      <c r="N388" s="26">
        <f>IF($H388="","",TODAY()-$H388)</f>
        <v/>
      </c>
      <c r="O388" s="15" t="n"/>
      <c r="P388" s="15" t="n"/>
      <c r="Q388" s="15" t="n"/>
      <c r="R388" s="25" t="n"/>
      <c r="S388" s="26">
        <f>IF($A388="","",AND(OR('Assignment Builder'!$B$5="",$B388='Assignment Builder'!$B$5),OR('Assignment Builder'!$B$6="",ISNUMBER(SEARCH('Assignment Builder'!$B$6,$C388))),OR('Assignment Builder'!$B$7="",'Assignment Builder'!$B$7=IFERROR(INDEX('Category Dictionary'!$C$5:$C$135,MATCH($L388,'Category Dictionary'!$D$5:$D$135,0)),"")),OR('Assignment Builder'!$B$8="",$D388='Assignment Builder'!$B$8),OR('Assignment Builder'!$B$9="",$F388='Assignment Builder'!$B$9),OR('Assignment Builder'!$B$10="",$O388='Assignment Builder'!$B$10),OR('Assignment Builder'!$B$11="",$H388&gt;='Assignment Builder'!$B$11),OR('Assignment Builder'!$B$12="",N($Q388)&lt;='Assignment Builder'!$B$12)))</f>
        <v/>
      </c>
      <c r="T388" s="23" t="n"/>
    </row>
    <row r="389">
      <c r="A389" s="23" t="n"/>
      <c r="B389" s="23" t="n"/>
      <c r="C389" s="24" t="n"/>
      <c r="D389" s="15" t="n"/>
      <c r="E389" s="23" t="n"/>
      <c r="F389" s="15" t="n"/>
      <c r="G389" s="23" t="n"/>
      <c r="H389" s="25" t="n"/>
      <c r="I389" s="15" t="n"/>
      <c r="J389" s="26">
        <f>IF($A389="","",LEN($C389)-LEN(SUBSTITUTE($C389,",",""))+1)</f>
        <v/>
      </c>
      <c r="K389" s="26">
        <f>IF($A389="","",SUMPRODUCT(--ISNUMBER(SEARCH('Category Dictionary'!$D$5:$D$135&amp;"",$C389)),--('Category Dictionary'!$D$5:$D$135&lt;&gt;"")))</f>
        <v/>
      </c>
      <c r="L389" s="27">
        <f>IF($A389="","",TRIM(IF(ISERROR(FIND(",",$C389)),$C389,LEFT($C389,FIND(",",$C389)-1))))</f>
        <v/>
      </c>
      <c r="M389" s="28">
        <f>IF($H389="","",DATE(YEAR($H389),MONTH($H389),1))</f>
        <v/>
      </c>
      <c r="N389" s="26">
        <f>IF($H389="","",TODAY()-$H389)</f>
        <v/>
      </c>
      <c r="O389" s="15" t="n"/>
      <c r="P389" s="15" t="n"/>
      <c r="Q389" s="15" t="n"/>
      <c r="R389" s="25" t="n"/>
      <c r="S389" s="26">
        <f>IF($A389="","",AND(OR('Assignment Builder'!$B$5="",$B389='Assignment Builder'!$B$5),OR('Assignment Builder'!$B$6="",ISNUMBER(SEARCH('Assignment Builder'!$B$6,$C389))),OR('Assignment Builder'!$B$7="",'Assignment Builder'!$B$7=IFERROR(INDEX('Category Dictionary'!$C$5:$C$135,MATCH($L389,'Category Dictionary'!$D$5:$D$135,0)),"")),OR('Assignment Builder'!$B$8="",$D389='Assignment Builder'!$B$8),OR('Assignment Builder'!$B$9="",$F389='Assignment Builder'!$B$9),OR('Assignment Builder'!$B$10="",$O389='Assignment Builder'!$B$10),OR('Assignment Builder'!$B$11="",$H389&gt;='Assignment Builder'!$B$11),OR('Assignment Builder'!$B$12="",N($Q389)&lt;='Assignment Builder'!$B$12)))</f>
        <v/>
      </c>
      <c r="T389" s="23" t="n"/>
    </row>
    <row r="390">
      <c r="A390" s="23" t="n"/>
      <c r="B390" s="23" t="n"/>
      <c r="C390" s="24" t="n"/>
      <c r="D390" s="15" t="n"/>
      <c r="E390" s="23" t="n"/>
      <c r="F390" s="15" t="n"/>
      <c r="G390" s="23" t="n"/>
      <c r="H390" s="25" t="n"/>
      <c r="I390" s="15" t="n"/>
      <c r="J390" s="26">
        <f>IF($A390="","",LEN($C390)-LEN(SUBSTITUTE($C390,",",""))+1)</f>
        <v/>
      </c>
      <c r="K390" s="26">
        <f>IF($A390="","",SUMPRODUCT(--ISNUMBER(SEARCH('Category Dictionary'!$D$5:$D$135&amp;"",$C390)),--('Category Dictionary'!$D$5:$D$135&lt;&gt;"")))</f>
        <v/>
      </c>
      <c r="L390" s="27">
        <f>IF($A390="","",TRIM(IF(ISERROR(FIND(",",$C390)),$C390,LEFT($C390,FIND(",",$C390)-1))))</f>
        <v/>
      </c>
      <c r="M390" s="28">
        <f>IF($H390="","",DATE(YEAR($H390),MONTH($H390),1))</f>
        <v/>
      </c>
      <c r="N390" s="26">
        <f>IF($H390="","",TODAY()-$H390)</f>
        <v/>
      </c>
      <c r="O390" s="15" t="n"/>
      <c r="P390" s="15" t="n"/>
      <c r="Q390" s="15" t="n"/>
      <c r="R390" s="25" t="n"/>
      <c r="S390" s="26">
        <f>IF($A390="","",AND(OR('Assignment Builder'!$B$5="",$B390='Assignment Builder'!$B$5),OR('Assignment Builder'!$B$6="",ISNUMBER(SEARCH('Assignment Builder'!$B$6,$C390))),OR('Assignment Builder'!$B$7="",'Assignment Builder'!$B$7=IFERROR(INDEX('Category Dictionary'!$C$5:$C$135,MATCH($L390,'Category Dictionary'!$D$5:$D$135,0)),"")),OR('Assignment Builder'!$B$8="",$D390='Assignment Builder'!$B$8),OR('Assignment Builder'!$B$9="",$F390='Assignment Builder'!$B$9),OR('Assignment Builder'!$B$10="",$O390='Assignment Builder'!$B$10),OR('Assignment Builder'!$B$11="",$H390&gt;='Assignment Builder'!$B$11),OR('Assignment Builder'!$B$12="",N($Q390)&lt;='Assignment Builder'!$B$12)))</f>
        <v/>
      </c>
      <c r="T390" s="23" t="n"/>
    </row>
    <row r="391">
      <c r="A391" s="23" t="n"/>
      <c r="B391" s="23" t="n"/>
      <c r="C391" s="24" t="n"/>
      <c r="D391" s="15" t="n"/>
      <c r="E391" s="23" t="n"/>
      <c r="F391" s="15" t="n"/>
      <c r="G391" s="23" t="n"/>
      <c r="H391" s="25" t="n"/>
      <c r="I391" s="15" t="n"/>
      <c r="J391" s="26">
        <f>IF($A391="","",LEN($C391)-LEN(SUBSTITUTE($C391,",",""))+1)</f>
        <v/>
      </c>
      <c r="K391" s="26">
        <f>IF($A391="","",SUMPRODUCT(--ISNUMBER(SEARCH('Category Dictionary'!$D$5:$D$135&amp;"",$C391)),--('Category Dictionary'!$D$5:$D$135&lt;&gt;"")))</f>
        <v/>
      </c>
      <c r="L391" s="27">
        <f>IF($A391="","",TRIM(IF(ISERROR(FIND(",",$C391)),$C391,LEFT($C391,FIND(",",$C391)-1))))</f>
        <v/>
      </c>
      <c r="M391" s="28">
        <f>IF($H391="","",DATE(YEAR($H391),MONTH($H391),1))</f>
        <v/>
      </c>
      <c r="N391" s="26">
        <f>IF($H391="","",TODAY()-$H391)</f>
        <v/>
      </c>
      <c r="O391" s="15" t="n"/>
      <c r="P391" s="15" t="n"/>
      <c r="Q391" s="15" t="n"/>
      <c r="R391" s="25" t="n"/>
      <c r="S391" s="26">
        <f>IF($A391="","",AND(OR('Assignment Builder'!$B$5="",$B391='Assignment Builder'!$B$5),OR('Assignment Builder'!$B$6="",ISNUMBER(SEARCH('Assignment Builder'!$B$6,$C391))),OR('Assignment Builder'!$B$7="",'Assignment Builder'!$B$7=IFERROR(INDEX('Category Dictionary'!$C$5:$C$135,MATCH($L391,'Category Dictionary'!$D$5:$D$135,0)),"")),OR('Assignment Builder'!$B$8="",$D391='Assignment Builder'!$B$8),OR('Assignment Builder'!$B$9="",$F391='Assignment Builder'!$B$9),OR('Assignment Builder'!$B$10="",$O391='Assignment Builder'!$B$10),OR('Assignment Builder'!$B$11="",$H391&gt;='Assignment Builder'!$B$11),OR('Assignment Builder'!$B$12="",N($Q391)&lt;='Assignment Builder'!$B$12)))</f>
        <v/>
      </c>
      <c r="T391" s="23" t="n"/>
    </row>
    <row r="392">
      <c r="A392" s="23" t="n"/>
      <c r="B392" s="23" t="n"/>
      <c r="C392" s="24" t="n"/>
      <c r="D392" s="15" t="n"/>
      <c r="E392" s="23" t="n"/>
      <c r="F392" s="15" t="n"/>
      <c r="G392" s="23" t="n"/>
      <c r="H392" s="25" t="n"/>
      <c r="I392" s="15" t="n"/>
      <c r="J392" s="26">
        <f>IF($A392="","",LEN($C392)-LEN(SUBSTITUTE($C392,",",""))+1)</f>
        <v/>
      </c>
      <c r="K392" s="26">
        <f>IF($A392="","",SUMPRODUCT(--ISNUMBER(SEARCH('Category Dictionary'!$D$5:$D$135&amp;"",$C392)),--('Category Dictionary'!$D$5:$D$135&lt;&gt;"")))</f>
        <v/>
      </c>
      <c r="L392" s="27">
        <f>IF($A392="","",TRIM(IF(ISERROR(FIND(",",$C392)),$C392,LEFT($C392,FIND(",",$C392)-1))))</f>
        <v/>
      </c>
      <c r="M392" s="28">
        <f>IF($H392="","",DATE(YEAR($H392),MONTH($H392),1))</f>
        <v/>
      </c>
      <c r="N392" s="26">
        <f>IF($H392="","",TODAY()-$H392)</f>
        <v/>
      </c>
      <c r="O392" s="15" t="n"/>
      <c r="P392" s="15" t="n"/>
      <c r="Q392" s="15" t="n"/>
      <c r="R392" s="25" t="n"/>
      <c r="S392" s="26">
        <f>IF($A392="","",AND(OR('Assignment Builder'!$B$5="",$B392='Assignment Builder'!$B$5),OR('Assignment Builder'!$B$6="",ISNUMBER(SEARCH('Assignment Builder'!$B$6,$C392))),OR('Assignment Builder'!$B$7="",'Assignment Builder'!$B$7=IFERROR(INDEX('Category Dictionary'!$C$5:$C$135,MATCH($L392,'Category Dictionary'!$D$5:$D$135,0)),"")),OR('Assignment Builder'!$B$8="",$D392='Assignment Builder'!$B$8),OR('Assignment Builder'!$B$9="",$F392='Assignment Builder'!$B$9),OR('Assignment Builder'!$B$10="",$O392='Assignment Builder'!$B$10),OR('Assignment Builder'!$B$11="",$H392&gt;='Assignment Builder'!$B$11),OR('Assignment Builder'!$B$12="",N($Q392)&lt;='Assignment Builder'!$B$12)))</f>
        <v/>
      </c>
      <c r="T392" s="23" t="n"/>
    </row>
    <row r="393">
      <c r="A393" s="23" t="n"/>
      <c r="B393" s="23" t="n"/>
      <c r="C393" s="24" t="n"/>
      <c r="D393" s="15" t="n"/>
      <c r="E393" s="23" t="n"/>
      <c r="F393" s="15" t="n"/>
      <c r="G393" s="23" t="n"/>
      <c r="H393" s="25" t="n"/>
      <c r="I393" s="15" t="n"/>
      <c r="J393" s="26">
        <f>IF($A393="","",LEN($C393)-LEN(SUBSTITUTE($C393,",",""))+1)</f>
        <v/>
      </c>
      <c r="K393" s="26">
        <f>IF($A393="","",SUMPRODUCT(--ISNUMBER(SEARCH('Category Dictionary'!$D$5:$D$135&amp;"",$C393)),--('Category Dictionary'!$D$5:$D$135&lt;&gt;"")))</f>
        <v/>
      </c>
      <c r="L393" s="27">
        <f>IF($A393="","",TRIM(IF(ISERROR(FIND(",",$C393)),$C393,LEFT($C393,FIND(",",$C393)-1))))</f>
        <v/>
      </c>
      <c r="M393" s="28">
        <f>IF($H393="","",DATE(YEAR($H393),MONTH($H393),1))</f>
        <v/>
      </c>
      <c r="N393" s="26">
        <f>IF($H393="","",TODAY()-$H393)</f>
        <v/>
      </c>
      <c r="O393" s="15" t="n"/>
      <c r="P393" s="15" t="n"/>
      <c r="Q393" s="15" t="n"/>
      <c r="R393" s="25" t="n"/>
      <c r="S393" s="26">
        <f>IF($A393="","",AND(OR('Assignment Builder'!$B$5="",$B393='Assignment Builder'!$B$5),OR('Assignment Builder'!$B$6="",ISNUMBER(SEARCH('Assignment Builder'!$B$6,$C393))),OR('Assignment Builder'!$B$7="",'Assignment Builder'!$B$7=IFERROR(INDEX('Category Dictionary'!$C$5:$C$135,MATCH($L393,'Category Dictionary'!$D$5:$D$135,0)),"")),OR('Assignment Builder'!$B$8="",$D393='Assignment Builder'!$B$8),OR('Assignment Builder'!$B$9="",$F393='Assignment Builder'!$B$9),OR('Assignment Builder'!$B$10="",$O393='Assignment Builder'!$B$10),OR('Assignment Builder'!$B$11="",$H393&gt;='Assignment Builder'!$B$11),OR('Assignment Builder'!$B$12="",N($Q393)&lt;='Assignment Builder'!$B$12)))</f>
        <v/>
      </c>
      <c r="T393" s="23" t="n"/>
    </row>
    <row r="394">
      <c r="A394" s="23" t="n"/>
      <c r="B394" s="23" t="n"/>
      <c r="C394" s="24" t="n"/>
      <c r="D394" s="15" t="n"/>
      <c r="E394" s="23" t="n"/>
      <c r="F394" s="15" t="n"/>
      <c r="G394" s="23" t="n"/>
      <c r="H394" s="25" t="n"/>
      <c r="I394" s="15" t="n"/>
      <c r="J394" s="26">
        <f>IF($A394="","",LEN($C394)-LEN(SUBSTITUTE($C394,",",""))+1)</f>
        <v/>
      </c>
      <c r="K394" s="26">
        <f>IF($A394="","",SUMPRODUCT(--ISNUMBER(SEARCH('Category Dictionary'!$D$5:$D$135&amp;"",$C394)),--('Category Dictionary'!$D$5:$D$135&lt;&gt;"")))</f>
        <v/>
      </c>
      <c r="L394" s="27">
        <f>IF($A394="","",TRIM(IF(ISERROR(FIND(",",$C394)),$C394,LEFT($C394,FIND(",",$C394)-1))))</f>
        <v/>
      </c>
      <c r="M394" s="28">
        <f>IF($H394="","",DATE(YEAR($H394),MONTH($H394),1))</f>
        <v/>
      </c>
      <c r="N394" s="26">
        <f>IF($H394="","",TODAY()-$H394)</f>
        <v/>
      </c>
      <c r="O394" s="15" t="n"/>
      <c r="P394" s="15" t="n"/>
      <c r="Q394" s="15" t="n"/>
      <c r="R394" s="25" t="n"/>
      <c r="S394" s="26">
        <f>IF($A394="","",AND(OR('Assignment Builder'!$B$5="",$B394='Assignment Builder'!$B$5),OR('Assignment Builder'!$B$6="",ISNUMBER(SEARCH('Assignment Builder'!$B$6,$C394))),OR('Assignment Builder'!$B$7="",'Assignment Builder'!$B$7=IFERROR(INDEX('Category Dictionary'!$C$5:$C$135,MATCH($L394,'Category Dictionary'!$D$5:$D$135,0)),"")),OR('Assignment Builder'!$B$8="",$D394='Assignment Builder'!$B$8),OR('Assignment Builder'!$B$9="",$F394='Assignment Builder'!$B$9),OR('Assignment Builder'!$B$10="",$O394='Assignment Builder'!$B$10),OR('Assignment Builder'!$B$11="",$H394&gt;='Assignment Builder'!$B$11),OR('Assignment Builder'!$B$12="",N($Q394)&lt;='Assignment Builder'!$B$12)))</f>
        <v/>
      </c>
      <c r="T394" s="23" t="n"/>
    </row>
    <row r="395">
      <c r="A395" s="23" t="n"/>
      <c r="B395" s="23" t="n"/>
      <c r="C395" s="24" t="n"/>
      <c r="D395" s="15" t="n"/>
      <c r="E395" s="23" t="n"/>
      <c r="F395" s="15" t="n"/>
      <c r="G395" s="23" t="n"/>
      <c r="H395" s="25" t="n"/>
      <c r="I395" s="15" t="n"/>
      <c r="J395" s="26">
        <f>IF($A395="","",LEN($C395)-LEN(SUBSTITUTE($C395,",",""))+1)</f>
        <v/>
      </c>
      <c r="K395" s="26">
        <f>IF($A395="","",SUMPRODUCT(--ISNUMBER(SEARCH('Category Dictionary'!$D$5:$D$135&amp;"",$C395)),--('Category Dictionary'!$D$5:$D$135&lt;&gt;"")))</f>
        <v/>
      </c>
      <c r="L395" s="27">
        <f>IF($A395="","",TRIM(IF(ISERROR(FIND(",",$C395)),$C395,LEFT($C395,FIND(",",$C395)-1))))</f>
        <v/>
      </c>
      <c r="M395" s="28">
        <f>IF($H395="","",DATE(YEAR($H395),MONTH($H395),1))</f>
        <v/>
      </c>
      <c r="N395" s="26">
        <f>IF($H395="","",TODAY()-$H395)</f>
        <v/>
      </c>
      <c r="O395" s="15" t="n"/>
      <c r="P395" s="15" t="n"/>
      <c r="Q395" s="15" t="n"/>
      <c r="R395" s="25" t="n"/>
      <c r="S395" s="26">
        <f>IF($A395="","",AND(OR('Assignment Builder'!$B$5="",$B395='Assignment Builder'!$B$5),OR('Assignment Builder'!$B$6="",ISNUMBER(SEARCH('Assignment Builder'!$B$6,$C395))),OR('Assignment Builder'!$B$7="",'Assignment Builder'!$B$7=IFERROR(INDEX('Category Dictionary'!$C$5:$C$135,MATCH($L395,'Category Dictionary'!$D$5:$D$135,0)),"")),OR('Assignment Builder'!$B$8="",$D395='Assignment Builder'!$B$8),OR('Assignment Builder'!$B$9="",$F395='Assignment Builder'!$B$9),OR('Assignment Builder'!$B$10="",$O395='Assignment Builder'!$B$10),OR('Assignment Builder'!$B$11="",$H395&gt;='Assignment Builder'!$B$11),OR('Assignment Builder'!$B$12="",N($Q395)&lt;='Assignment Builder'!$B$12)))</f>
        <v/>
      </c>
      <c r="T395" s="23" t="n"/>
    </row>
    <row r="396">
      <c r="A396" s="23" t="n"/>
      <c r="B396" s="23" t="n"/>
      <c r="C396" s="24" t="n"/>
      <c r="D396" s="15" t="n"/>
      <c r="E396" s="23" t="n"/>
      <c r="F396" s="15" t="n"/>
      <c r="G396" s="23" t="n"/>
      <c r="H396" s="25" t="n"/>
      <c r="I396" s="15" t="n"/>
      <c r="J396" s="26">
        <f>IF($A396="","",LEN($C396)-LEN(SUBSTITUTE($C396,",",""))+1)</f>
        <v/>
      </c>
      <c r="K396" s="26">
        <f>IF($A396="","",SUMPRODUCT(--ISNUMBER(SEARCH('Category Dictionary'!$D$5:$D$135&amp;"",$C396)),--('Category Dictionary'!$D$5:$D$135&lt;&gt;"")))</f>
        <v/>
      </c>
      <c r="L396" s="27">
        <f>IF($A396="","",TRIM(IF(ISERROR(FIND(",",$C396)),$C396,LEFT($C396,FIND(",",$C396)-1))))</f>
        <v/>
      </c>
      <c r="M396" s="28">
        <f>IF($H396="","",DATE(YEAR($H396),MONTH($H396),1))</f>
        <v/>
      </c>
      <c r="N396" s="26">
        <f>IF($H396="","",TODAY()-$H396)</f>
        <v/>
      </c>
      <c r="O396" s="15" t="n"/>
      <c r="P396" s="15" t="n"/>
      <c r="Q396" s="15" t="n"/>
      <c r="R396" s="25" t="n"/>
      <c r="S396" s="26">
        <f>IF($A396="","",AND(OR('Assignment Builder'!$B$5="",$B396='Assignment Builder'!$B$5),OR('Assignment Builder'!$B$6="",ISNUMBER(SEARCH('Assignment Builder'!$B$6,$C396))),OR('Assignment Builder'!$B$7="",'Assignment Builder'!$B$7=IFERROR(INDEX('Category Dictionary'!$C$5:$C$135,MATCH($L396,'Category Dictionary'!$D$5:$D$135,0)),"")),OR('Assignment Builder'!$B$8="",$D396='Assignment Builder'!$B$8),OR('Assignment Builder'!$B$9="",$F396='Assignment Builder'!$B$9),OR('Assignment Builder'!$B$10="",$O396='Assignment Builder'!$B$10),OR('Assignment Builder'!$B$11="",$H396&gt;='Assignment Builder'!$B$11),OR('Assignment Builder'!$B$12="",N($Q396)&lt;='Assignment Builder'!$B$12)))</f>
        <v/>
      </c>
      <c r="T396" s="23" t="n"/>
    </row>
    <row r="397">
      <c r="A397" s="23" t="n"/>
      <c r="B397" s="23" t="n"/>
      <c r="C397" s="24" t="n"/>
      <c r="D397" s="15" t="n"/>
      <c r="E397" s="23" t="n"/>
      <c r="F397" s="15" t="n"/>
      <c r="G397" s="23" t="n"/>
      <c r="H397" s="25" t="n"/>
      <c r="I397" s="15" t="n"/>
      <c r="J397" s="26">
        <f>IF($A397="","",LEN($C397)-LEN(SUBSTITUTE($C397,",",""))+1)</f>
        <v/>
      </c>
      <c r="K397" s="26">
        <f>IF($A397="","",SUMPRODUCT(--ISNUMBER(SEARCH('Category Dictionary'!$D$5:$D$135&amp;"",$C397)),--('Category Dictionary'!$D$5:$D$135&lt;&gt;"")))</f>
        <v/>
      </c>
      <c r="L397" s="27">
        <f>IF($A397="","",TRIM(IF(ISERROR(FIND(",",$C397)),$C397,LEFT($C397,FIND(",",$C397)-1))))</f>
        <v/>
      </c>
      <c r="M397" s="28">
        <f>IF($H397="","",DATE(YEAR($H397),MONTH($H397),1))</f>
        <v/>
      </c>
      <c r="N397" s="26">
        <f>IF($H397="","",TODAY()-$H397)</f>
        <v/>
      </c>
      <c r="O397" s="15" t="n"/>
      <c r="P397" s="15" t="n"/>
      <c r="Q397" s="15" t="n"/>
      <c r="R397" s="25" t="n"/>
      <c r="S397" s="26">
        <f>IF($A397="","",AND(OR('Assignment Builder'!$B$5="",$B397='Assignment Builder'!$B$5),OR('Assignment Builder'!$B$6="",ISNUMBER(SEARCH('Assignment Builder'!$B$6,$C397))),OR('Assignment Builder'!$B$7="",'Assignment Builder'!$B$7=IFERROR(INDEX('Category Dictionary'!$C$5:$C$135,MATCH($L397,'Category Dictionary'!$D$5:$D$135,0)),"")),OR('Assignment Builder'!$B$8="",$D397='Assignment Builder'!$B$8),OR('Assignment Builder'!$B$9="",$F397='Assignment Builder'!$B$9),OR('Assignment Builder'!$B$10="",$O397='Assignment Builder'!$B$10),OR('Assignment Builder'!$B$11="",$H397&gt;='Assignment Builder'!$B$11),OR('Assignment Builder'!$B$12="",N($Q397)&lt;='Assignment Builder'!$B$12)))</f>
        <v/>
      </c>
      <c r="T397" s="23" t="n"/>
    </row>
    <row r="398">
      <c r="A398" s="23" t="n"/>
      <c r="B398" s="23" t="n"/>
      <c r="C398" s="24" t="n"/>
      <c r="D398" s="15" t="n"/>
      <c r="E398" s="23" t="n"/>
      <c r="F398" s="15" t="n"/>
      <c r="G398" s="23" t="n"/>
      <c r="H398" s="25" t="n"/>
      <c r="I398" s="15" t="n"/>
      <c r="J398" s="26">
        <f>IF($A398="","",LEN($C398)-LEN(SUBSTITUTE($C398,",",""))+1)</f>
        <v/>
      </c>
      <c r="K398" s="26">
        <f>IF($A398="","",SUMPRODUCT(--ISNUMBER(SEARCH('Category Dictionary'!$D$5:$D$135&amp;"",$C398)),--('Category Dictionary'!$D$5:$D$135&lt;&gt;"")))</f>
        <v/>
      </c>
      <c r="L398" s="27">
        <f>IF($A398="","",TRIM(IF(ISERROR(FIND(",",$C398)),$C398,LEFT($C398,FIND(",",$C398)-1))))</f>
        <v/>
      </c>
      <c r="M398" s="28">
        <f>IF($H398="","",DATE(YEAR($H398),MONTH($H398),1))</f>
        <v/>
      </c>
      <c r="N398" s="26">
        <f>IF($H398="","",TODAY()-$H398)</f>
        <v/>
      </c>
      <c r="O398" s="15" t="n"/>
      <c r="P398" s="15" t="n"/>
      <c r="Q398" s="15" t="n"/>
      <c r="R398" s="25" t="n"/>
      <c r="S398" s="26">
        <f>IF($A398="","",AND(OR('Assignment Builder'!$B$5="",$B398='Assignment Builder'!$B$5),OR('Assignment Builder'!$B$6="",ISNUMBER(SEARCH('Assignment Builder'!$B$6,$C398))),OR('Assignment Builder'!$B$7="",'Assignment Builder'!$B$7=IFERROR(INDEX('Category Dictionary'!$C$5:$C$135,MATCH($L398,'Category Dictionary'!$D$5:$D$135,0)),"")),OR('Assignment Builder'!$B$8="",$D398='Assignment Builder'!$B$8),OR('Assignment Builder'!$B$9="",$F398='Assignment Builder'!$B$9),OR('Assignment Builder'!$B$10="",$O398='Assignment Builder'!$B$10),OR('Assignment Builder'!$B$11="",$H398&gt;='Assignment Builder'!$B$11),OR('Assignment Builder'!$B$12="",N($Q398)&lt;='Assignment Builder'!$B$12)))</f>
        <v/>
      </c>
      <c r="T398" s="23" t="n"/>
    </row>
    <row r="399">
      <c r="A399" s="23" t="n"/>
      <c r="B399" s="23" t="n"/>
      <c r="C399" s="24" t="n"/>
      <c r="D399" s="15" t="n"/>
      <c r="E399" s="23" t="n"/>
      <c r="F399" s="15" t="n"/>
      <c r="G399" s="23" t="n"/>
      <c r="H399" s="25" t="n"/>
      <c r="I399" s="15" t="n"/>
      <c r="J399" s="26">
        <f>IF($A399="","",LEN($C399)-LEN(SUBSTITUTE($C399,",",""))+1)</f>
        <v/>
      </c>
      <c r="K399" s="26">
        <f>IF($A399="","",SUMPRODUCT(--ISNUMBER(SEARCH('Category Dictionary'!$D$5:$D$135&amp;"",$C399)),--('Category Dictionary'!$D$5:$D$135&lt;&gt;"")))</f>
        <v/>
      </c>
      <c r="L399" s="27">
        <f>IF($A399="","",TRIM(IF(ISERROR(FIND(",",$C399)),$C399,LEFT($C399,FIND(",",$C399)-1))))</f>
        <v/>
      </c>
      <c r="M399" s="28">
        <f>IF($H399="","",DATE(YEAR($H399),MONTH($H399),1))</f>
        <v/>
      </c>
      <c r="N399" s="26">
        <f>IF($H399="","",TODAY()-$H399)</f>
        <v/>
      </c>
      <c r="O399" s="15" t="n"/>
      <c r="P399" s="15" t="n"/>
      <c r="Q399" s="15" t="n"/>
      <c r="R399" s="25" t="n"/>
      <c r="S399" s="26">
        <f>IF($A399="","",AND(OR('Assignment Builder'!$B$5="",$B399='Assignment Builder'!$B$5),OR('Assignment Builder'!$B$6="",ISNUMBER(SEARCH('Assignment Builder'!$B$6,$C399))),OR('Assignment Builder'!$B$7="",'Assignment Builder'!$B$7=IFERROR(INDEX('Category Dictionary'!$C$5:$C$135,MATCH($L399,'Category Dictionary'!$D$5:$D$135,0)),"")),OR('Assignment Builder'!$B$8="",$D399='Assignment Builder'!$B$8),OR('Assignment Builder'!$B$9="",$F399='Assignment Builder'!$B$9),OR('Assignment Builder'!$B$10="",$O399='Assignment Builder'!$B$10),OR('Assignment Builder'!$B$11="",$H399&gt;='Assignment Builder'!$B$11),OR('Assignment Builder'!$B$12="",N($Q399)&lt;='Assignment Builder'!$B$12)))</f>
        <v/>
      </c>
      <c r="T399" s="23" t="n"/>
    </row>
    <row r="400">
      <c r="A400" s="23" t="n"/>
      <c r="B400" s="23" t="n"/>
      <c r="C400" s="24" t="n"/>
      <c r="D400" s="15" t="n"/>
      <c r="E400" s="23" t="n"/>
      <c r="F400" s="15" t="n"/>
      <c r="G400" s="23" t="n"/>
      <c r="H400" s="25" t="n"/>
      <c r="I400" s="15" t="n"/>
      <c r="J400" s="26">
        <f>IF($A400="","",LEN($C400)-LEN(SUBSTITUTE($C400,",",""))+1)</f>
        <v/>
      </c>
      <c r="K400" s="26">
        <f>IF($A400="","",SUMPRODUCT(--ISNUMBER(SEARCH('Category Dictionary'!$D$5:$D$135&amp;"",$C400)),--('Category Dictionary'!$D$5:$D$135&lt;&gt;"")))</f>
        <v/>
      </c>
      <c r="L400" s="27">
        <f>IF($A400="","",TRIM(IF(ISERROR(FIND(",",$C400)),$C400,LEFT($C400,FIND(",",$C400)-1))))</f>
        <v/>
      </c>
      <c r="M400" s="28">
        <f>IF($H400="","",DATE(YEAR($H400),MONTH($H400),1))</f>
        <v/>
      </c>
      <c r="N400" s="26">
        <f>IF($H400="","",TODAY()-$H400)</f>
        <v/>
      </c>
      <c r="O400" s="15" t="n"/>
      <c r="P400" s="15" t="n"/>
      <c r="Q400" s="15" t="n"/>
      <c r="R400" s="25" t="n"/>
      <c r="S400" s="26">
        <f>IF($A400="","",AND(OR('Assignment Builder'!$B$5="",$B400='Assignment Builder'!$B$5),OR('Assignment Builder'!$B$6="",ISNUMBER(SEARCH('Assignment Builder'!$B$6,$C400))),OR('Assignment Builder'!$B$7="",'Assignment Builder'!$B$7=IFERROR(INDEX('Category Dictionary'!$C$5:$C$135,MATCH($L400,'Category Dictionary'!$D$5:$D$135,0)),"")),OR('Assignment Builder'!$B$8="",$D400='Assignment Builder'!$B$8),OR('Assignment Builder'!$B$9="",$F400='Assignment Builder'!$B$9),OR('Assignment Builder'!$B$10="",$O400='Assignment Builder'!$B$10),OR('Assignment Builder'!$B$11="",$H400&gt;='Assignment Builder'!$B$11),OR('Assignment Builder'!$B$12="",N($Q400)&lt;='Assignment Builder'!$B$12)))</f>
        <v/>
      </c>
      <c r="T400" s="23" t="n"/>
    </row>
    <row r="401">
      <c r="A401" s="23" t="n"/>
      <c r="B401" s="23" t="n"/>
      <c r="C401" s="24" t="n"/>
      <c r="D401" s="15" t="n"/>
      <c r="E401" s="23" t="n"/>
      <c r="F401" s="15" t="n"/>
      <c r="G401" s="23" t="n"/>
      <c r="H401" s="25" t="n"/>
      <c r="I401" s="15" t="n"/>
      <c r="J401" s="26">
        <f>IF($A401="","",LEN($C401)-LEN(SUBSTITUTE($C401,",",""))+1)</f>
        <v/>
      </c>
      <c r="K401" s="26">
        <f>IF($A401="","",SUMPRODUCT(--ISNUMBER(SEARCH('Category Dictionary'!$D$5:$D$135&amp;"",$C401)),--('Category Dictionary'!$D$5:$D$135&lt;&gt;"")))</f>
        <v/>
      </c>
      <c r="L401" s="27">
        <f>IF($A401="","",TRIM(IF(ISERROR(FIND(",",$C401)),$C401,LEFT($C401,FIND(",",$C401)-1))))</f>
        <v/>
      </c>
      <c r="M401" s="28">
        <f>IF($H401="","",DATE(YEAR($H401),MONTH($H401),1))</f>
        <v/>
      </c>
      <c r="N401" s="26">
        <f>IF($H401="","",TODAY()-$H401)</f>
        <v/>
      </c>
      <c r="O401" s="15" t="n"/>
      <c r="P401" s="15" t="n"/>
      <c r="Q401" s="15" t="n"/>
      <c r="R401" s="25" t="n"/>
      <c r="S401" s="26">
        <f>IF($A401="","",AND(OR('Assignment Builder'!$B$5="",$B401='Assignment Builder'!$B$5),OR('Assignment Builder'!$B$6="",ISNUMBER(SEARCH('Assignment Builder'!$B$6,$C401))),OR('Assignment Builder'!$B$7="",'Assignment Builder'!$B$7=IFERROR(INDEX('Category Dictionary'!$C$5:$C$135,MATCH($L401,'Category Dictionary'!$D$5:$D$135,0)),"")),OR('Assignment Builder'!$B$8="",$D401='Assignment Builder'!$B$8),OR('Assignment Builder'!$B$9="",$F401='Assignment Builder'!$B$9),OR('Assignment Builder'!$B$10="",$O401='Assignment Builder'!$B$10),OR('Assignment Builder'!$B$11="",$H401&gt;='Assignment Builder'!$B$11),OR('Assignment Builder'!$B$12="",N($Q401)&lt;='Assignment Builder'!$B$12)))</f>
        <v/>
      </c>
      <c r="T401" s="23" t="n"/>
    </row>
    <row r="402">
      <c r="A402" s="23" t="n"/>
      <c r="B402" s="23" t="n"/>
      <c r="C402" s="24" t="n"/>
      <c r="D402" s="15" t="n"/>
      <c r="E402" s="23" t="n"/>
      <c r="F402" s="15" t="n"/>
      <c r="G402" s="23" t="n"/>
      <c r="H402" s="25" t="n"/>
      <c r="I402" s="15" t="n"/>
      <c r="J402" s="26">
        <f>IF($A402="","",LEN($C402)-LEN(SUBSTITUTE($C402,",",""))+1)</f>
        <v/>
      </c>
      <c r="K402" s="26">
        <f>IF($A402="","",SUMPRODUCT(--ISNUMBER(SEARCH('Category Dictionary'!$D$5:$D$135&amp;"",$C402)),--('Category Dictionary'!$D$5:$D$135&lt;&gt;"")))</f>
        <v/>
      </c>
      <c r="L402" s="27">
        <f>IF($A402="","",TRIM(IF(ISERROR(FIND(",",$C402)),$C402,LEFT($C402,FIND(",",$C402)-1))))</f>
        <v/>
      </c>
      <c r="M402" s="28">
        <f>IF($H402="","",DATE(YEAR($H402),MONTH($H402),1))</f>
        <v/>
      </c>
      <c r="N402" s="26">
        <f>IF($H402="","",TODAY()-$H402)</f>
        <v/>
      </c>
      <c r="O402" s="15" t="n"/>
      <c r="P402" s="15" t="n"/>
      <c r="Q402" s="15" t="n"/>
      <c r="R402" s="25" t="n"/>
      <c r="S402" s="26">
        <f>IF($A402="","",AND(OR('Assignment Builder'!$B$5="",$B402='Assignment Builder'!$B$5),OR('Assignment Builder'!$B$6="",ISNUMBER(SEARCH('Assignment Builder'!$B$6,$C402))),OR('Assignment Builder'!$B$7="",'Assignment Builder'!$B$7=IFERROR(INDEX('Category Dictionary'!$C$5:$C$135,MATCH($L402,'Category Dictionary'!$D$5:$D$135,0)),"")),OR('Assignment Builder'!$B$8="",$D402='Assignment Builder'!$B$8),OR('Assignment Builder'!$B$9="",$F402='Assignment Builder'!$B$9),OR('Assignment Builder'!$B$10="",$O402='Assignment Builder'!$B$10),OR('Assignment Builder'!$B$11="",$H402&gt;='Assignment Builder'!$B$11),OR('Assignment Builder'!$B$12="",N($Q402)&lt;='Assignment Builder'!$B$12)))</f>
        <v/>
      </c>
      <c r="T402" s="23" t="n"/>
    </row>
    <row r="403">
      <c r="A403" s="23" t="n"/>
      <c r="B403" s="23" t="n"/>
      <c r="C403" s="24" t="n"/>
      <c r="D403" s="15" t="n"/>
      <c r="E403" s="23" t="n"/>
      <c r="F403" s="15" t="n"/>
      <c r="G403" s="23" t="n"/>
      <c r="H403" s="25" t="n"/>
      <c r="I403" s="15" t="n"/>
      <c r="J403" s="26">
        <f>IF($A403="","",LEN($C403)-LEN(SUBSTITUTE($C403,",",""))+1)</f>
        <v/>
      </c>
      <c r="K403" s="26">
        <f>IF($A403="","",SUMPRODUCT(--ISNUMBER(SEARCH('Category Dictionary'!$D$5:$D$135&amp;"",$C403)),--('Category Dictionary'!$D$5:$D$135&lt;&gt;"")))</f>
        <v/>
      </c>
      <c r="L403" s="27">
        <f>IF($A403="","",TRIM(IF(ISERROR(FIND(",",$C403)),$C403,LEFT($C403,FIND(",",$C403)-1))))</f>
        <v/>
      </c>
      <c r="M403" s="28">
        <f>IF($H403="","",DATE(YEAR($H403),MONTH($H403),1))</f>
        <v/>
      </c>
      <c r="N403" s="26">
        <f>IF($H403="","",TODAY()-$H403)</f>
        <v/>
      </c>
      <c r="O403" s="15" t="n"/>
      <c r="P403" s="15" t="n"/>
      <c r="Q403" s="15" t="n"/>
      <c r="R403" s="25" t="n"/>
      <c r="S403" s="26">
        <f>IF($A403="","",AND(OR('Assignment Builder'!$B$5="",$B403='Assignment Builder'!$B$5),OR('Assignment Builder'!$B$6="",ISNUMBER(SEARCH('Assignment Builder'!$B$6,$C403))),OR('Assignment Builder'!$B$7="",'Assignment Builder'!$B$7=IFERROR(INDEX('Category Dictionary'!$C$5:$C$135,MATCH($L403,'Category Dictionary'!$D$5:$D$135,0)),"")),OR('Assignment Builder'!$B$8="",$D403='Assignment Builder'!$B$8),OR('Assignment Builder'!$B$9="",$F403='Assignment Builder'!$B$9),OR('Assignment Builder'!$B$10="",$O403='Assignment Builder'!$B$10),OR('Assignment Builder'!$B$11="",$H403&gt;='Assignment Builder'!$B$11),OR('Assignment Builder'!$B$12="",N($Q403)&lt;='Assignment Builder'!$B$12)))</f>
        <v/>
      </c>
      <c r="T403" s="23" t="n"/>
    </row>
    <row r="404">
      <c r="A404" s="23" t="n"/>
      <c r="B404" s="23" t="n"/>
      <c r="C404" s="24" t="n"/>
      <c r="D404" s="15" t="n"/>
      <c r="E404" s="23" t="n"/>
      <c r="F404" s="15" t="n"/>
      <c r="G404" s="23" t="n"/>
      <c r="H404" s="25" t="n"/>
      <c r="I404" s="15" t="n"/>
      <c r="J404" s="26">
        <f>IF($A404="","",LEN($C404)-LEN(SUBSTITUTE($C404,",",""))+1)</f>
        <v/>
      </c>
      <c r="K404" s="26">
        <f>IF($A404="","",SUMPRODUCT(--ISNUMBER(SEARCH('Category Dictionary'!$D$5:$D$135&amp;"",$C404)),--('Category Dictionary'!$D$5:$D$135&lt;&gt;"")))</f>
        <v/>
      </c>
      <c r="L404" s="27">
        <f>IF($A404="","",TRIM(IF(ISERROR(FIND(",",$C404)),$C404,LEFT($C404,FIND(",",$C404)-1))))</f>
        <v/>
      </c>
      <c r="M404" s="28">
        <f>IF($H404="","",DATE(YEAR($H404),MONTH($H404),1))</f>
        <v/>
      </c>
      <c r="N404" s="26">
        <f>IF($H404="","",TODAY()-$H404)</f>
        <v/>
      </c>
      <c r="O404" s="15" t="n"/>
      <c r="P404" s="15" t="n"/>
      <c r="Q404" s="15" t="n"/>
      <c r="R404" s="25" t="n"/>
      <c r="S404" s="26">
        <f>IF($A404="","",AND(OR('Assignment Builder'!$B$5="",$B404='Assignment Builder'!$B$5),OR('Assignment Builder'!$B$6="",ISNUMBER(SEARCH('Assignment Builder'!$B$6,$C404))),OR('Assignment Builder'!$B$7="",'Assignment Builder'!$B$7=IFERROR(INDEX('Category Dictionary'!$C$5:$C$135,MATCH($L404,'Category Dictionary'!$D$5:$D$135,0)),"")),OR('Assignment Builder'!$B$8="",$D404='Assignment Builder'!$B$8),OR('Assignment Builder'!$B$9="",$F404='Assignment Builder'!$B$9),OR('Assignment Builder'!$B$10="",$O404='Assignment Builder'!$B$10),OR('Assignment Builder'!$B$11="",$H404&gt;='Assignment Builder'!$B$11),OR('Assignment Builder'!$B$12="",N($Q404)&lt;='Assignment Builder'!$B$12)))</f>
        <v/>
      </c>
      <c r="T404" s="23" t="n"/>
    </row>
    <row r="405">
      <c r="A405" s="23" t="n"/>
      <c r="B405" s="23" t="n"/>
      <c r="C405" s="24" t="n"/>
      <c r="D405" s="15" t="n"/>
      <c r="E405" s="23" t="n"/>
      <c r="F405" s="15" t="n"/>
      <c r="G405" s="23" t="n"/>
      <c r="H405" s="25" t="n"/>
      <c r="I405" s="15" t="n"/>
      <c r="J405" s="26">
        <f>IF($A405="","",LEN($C405)-LEN(SUBSTITUTE($C405,",",""))+1)</f>
        <v/>
      </c>
      <c r="K405" s="26">
        <f>IF($A405="","",SUMPRODUCT(--ISNUMBER(SEARCH('Category Dictionary'!$D$5:$D$135&amp;"",$C405)),--('Category Dictionary'!$D$5:$D$135&lt;&gt;"")))</f>
        <v/>
      </c>
      <c r="L405" s="27">
        <f>IF($A405="","",TRIM(IF(ISERROR(FIND(",",$C405)),$C405,LEFT($C405,FIND(",",$C405)-1))))</f>
        <v/>
      </c>
      <c r="M405" s="28">
        <f>IF($H405="","",DATE(YEAR($H405),MONTH($H405),1))</f>
        <v/>
      </c>
      <c r="N405" s="26">
        <f>IF($H405="","",TODAY()-$H405)</f>
        <v/>
      </c>
      <c r="O405" s="15" t="n"/>
      <c r="P405" s="15" t="n"/>
      <c r="Q405" s="15" t="n"/>
      <c r="R405" s="25" t="n"/>
      <c r="S405" s="26">
        <f>IF($A405="","",AND(OR('Assignment Builder'!$B$5="",$B405='Assignment Builder'!$B$5),OR('Assignment Builder'!$B$6="",ISNUMBER(SEARCH('Assignment Builder'!$B$6,$C405))),OR('Assignment Builder'!$B$7="",'Assignment Builder'!$B$7=IFERROR(INDEX('Category Dictionary'!$C$5:$C$135,MATCH($L405,'Category Dictionary'!$D$5:$D$135,0)),"")),OR('Assignment Builder'!$B$8="",$D405='Assignment Builder'!$B$8),OR('Assignment Builder'!$B$9="",$F405='Assignment Builder'!$B$9),OR('Assignment Builder'!$B$10="",$O405='Assignment Builder'!$B$10),OR('Assignment Builder'!$B$11="",$H405&gt;='Assignment Builder'!$B$11),OR('Assignment Builder'!$B$12="",N($Q405)&lt;='Assignment Builder'!$B$12)))</f>
        <v/>
      </c>
      <c r="T405" s="23" t="n"/>
    </row>
    <row r="406">
      <c r="A406" s="23" t="n"/>
      <c r="B406" s="23" t="n"/>
      <c r="C406" s="24" t="n"/>
      <c r="D406" s="15" t="n"/>
      <c r="E406" s="23" t="n"/>
      <c r="F406" s="15" t="n"/>
      <c r="G406" s="23" t="n"/>
      <c r="H406" s="25" t="n"/>
      <c r="I406" s="15" t="n"/>
      <c r="J406" s="26">
        <f>IF($A406="","",LEN($C406)-LEN(SUBSTITUTE($C406,",",""))+1)</f>
        <v/>
      </c>
      <c r="K406" s="26">
        <f>IF($A406="","",SUMPRODUCT(--ISNUMBER(SEARCH('Category Dictionary'!$D$5:$D$135&amp;"",$C406)),--('Category Dictionary'!$D$5:$D$135&lt;&gt;"")))</f>
        <v/>
      </c>
      <c r="L406" s="27">
        <f>IF($A406="","",TRIM(IF(ISERROR(FIND(",",$C406)),$C406,LEFT($C406,FIND(",",$C406)-1))))</f>
        <v/>
      </c>
      <c r="M406" s="28">
        <f>IF($H406="","",DATE(YEAR($H406),MONTH($H406),1))</f>
        <v/>
      </c>
      <c r="N406" s="26">
        <f>IF($H406="","",TODAY()-$H406)</f>
        <v/>
      </c>
      <c r="O406" s="15" t="n"/>
      <c r="P406" s="15" t="n"/>
      <c r="Q406" s="15" t="n"/>
      <c r="R406" s="25" t="n"/>
      <c r="S406" s="26">
        <f>IF($A406="","",AND(OR('Assignment Builder'!$B$5="",$B406='Assignment Builder'!$B$5),OR('Assignment Builder'!$B$6="",ISNUMBER(SEARCH('Assignment Builder'!$B$6,$C406))),OR('Assignment Builder'!$B$7="",'Assignment Builder'!$B$7=IFERROR(INDEX('Category Dictionary'!$C$5:$C$135,MATCH($L406,'Category Dictionary'!$D$5:$D$135,0)),"")),OR('Assignment Builder'!$B$8="",$D406='Assignment Builder'!$B$8),OR('Assignment Builder'!$B$9="",$F406='Assignment Builder'!$B$9),OR('Assignment Builder'!$B$10="",$O406='Assignment Builder'!$B$10),OR('Assignment Builder'!$B$11="",$H406&gt;='Assignment Builder'!$B$11),OR('Assignment Builder'!$B$12="",N($Q406)&lt;='Assignment Builder'!$B$12)))</f>
        <v/>
      </c>
      <c r="T406" s="23" t="n"/>
    </row>
    <row r="407">
      <c r="A407" s="23" t="n"/>
      <c r="B407" s="23" t="n"/>
      <c r="C407" s="24" t="n"/>
      <c r="D407" s="15" t="n"/>
      <c r="E407" s="23" t="n"/>
      <c r="F407" s="15" t="n"/>
      <c r="G407" s="23" t="n"/>
      <c r="H407" s="25" t="n"/>
      <c r="I407" s="15" t="n"/>
      <c r="J407" s="26">
        <f>IF($A407="","",LEN($C407)-LEN(SUBSTITUTE($C407,",",""))+1)</f>
        <v/>
      </c>
      <c r="K407" s="26">
        <f>IF($A407="","",SUMPRODUCT(--ISNUMBER(SEARCH('Category Dictionary'!$D$5:$D$135&amp;"",$C407)),--('Category Dictionary'!$D$5:$D$135&lt;&gt;"")))</f>
        <v/>
      </c>
      <c r="L407" s="27">
        <f>IF($A407="","",TRIM(IF(ISERROR(FIND(",",$C407)),$C407,LEFT($C407,FIND(",",$C407)-1))))</f>
        <v/>
      </c>
      <c r="M407" s="28">
        <f>IF($H407="","",DATE(YEAR($H407),MONTH($H407),1))</f>
        <v/>
      </c>
      <c r="N407" s="26">
        <f>IF($H407="","",TODAY()-$H407)</f>
        <v/>
      </c>
      <c r="O407" s="15" t="n"/>
      <c r="P407" s="15" t="n"/>
      <c r="Q407" s="15" t="n"/>
      <c r="R407" s="25" t="n"/>
      <c r="S407" s="26">
        <f>IF($A407="","",AND(OR('Assignment Builder'!$B$5="",$B407='Assignment Builder'!$B$5),OR('Assignment Builder'!$B$6="",ISNUMBER(SEARCH('Assignment Builder'!$B$6,$C407))),OR('Assignment Builder'!$B$7="",'Assignment Builder'!$B$7=IFERROR(INDEX('Category Dictionary'!$C$5:$C$135,MATCH($L407,'Category Dictionary'!$D$5:$D$135,0)),"")),OR('Assignment Builder'!$B$8="",$D407='Assignment Builder'!$B$8),OR('Assignment Builder'!$B$9="",$F407='Assignment Builder'!$B$9),OR('Assignment Builder'!$B$10="",$O407='Assignment Builder'!$B$10),OR('Assignment Builder'!$B$11="",$H407&gt;='Assignment Builder'!$B$11),OR('Assignment Builder'!$B$12="",N($Q407)&lt;='Assignment Builder'!$B$12)))</f>
        <v/>
      </c>
      <c r="T407" s="23" t="n"/>
    </row>
    <row r="408">
      <c r="A408" s="23" t="n"/>
      <c r="B408" s="23" t="n"/>
      <c r="C408" s="24" t="n"/>
      <c r="D408" s="15" t="n"/>
      <c r="E408" s="23" t="n"/>
      <c r="F408" s="15" t="n"/>
      <c r="G408" s="23" t="n"/>
      <c r="H408" s="25" t="n"/>
      <c r="I408" s="15" t="n"/>
      <c r="J408" s="26">
        <f>IF($A408="","",LEN($C408)-LEN(SUBSTITUTE($C408,",",""))+1)</f>
        <v/>
      </c>
      <c r="K408" s="26">
        <f>IF($A408="","",SUMPRODUCT(--ISNUMBER(SEARCH('Category Dictionary'!$D$5:$D$135&amp;"",$C408)),--('Category Dictionary'!$D$5:$D$135&lt;&gt;"")))</f>
        <v/>
      </c>
      <c r="L408" s="27">
        <f>IF($A408="","",TRIM(IF(ISERROR(FIND(",",$C408)),$C408,LEFT($C408,FIND(",",$C408)-1))))</f>
        <v/>
      </c>
      <c r="M408" s="28">
        <f>IF($H408="","",DATE(YEAR($H408),MONTH($H408),1))</f>
        <v/>
      </c>
      <c r="N408" s="26">
        <f>IF($H408="","",TODAY()-$H408)</f>
        <v/>
      </c>
      <c r="O408" s="15" t="n"/>
      <c r="P408" s="15" t="n"/>
      <c r="Q408" s="15" t="n"/>
      <c r="R408" s="25" t="n"/>
      <c r="S408" s="26">
        <f>IF($A408="","",AND(OR('Assignment Builder'!$B$5="",$B408='Assignment Builder'!$B$5),OR('Assignment Builder'!$B$6="",ISNUMBER(SEARCH('Assignment Builder'!$B$6,$C408))),OR('Assignment Builder'!$B$7="",'Assignment Builder'!$B$7=IFERROR(INDEX('Category Dictionary'!$C$5:$C$135,MATCH($L408,'Category Dictionary'!$D$5:$D$135,0)),"")),OR('Assignment Builder'!$B$8="",$D408='Assignment Builder'!$B$8),OR('Assignment Builder'!$B$9="",$F408='Assignment Builder'!$B$9),OR('Assignment Builder'!$B$10="",$O408='Assignment Builder'!$B$10),OR('Assignment Builder'!$B$11="",$H408&gt;='Assignment Builder'!$B$11),OR('Assignment Builder'!$B$12="",N($Q408)&lt;='Assignment Builder'!$B$12)))</f>
        <v/>
      </c>
      <c r="T408" s="23" t="n"/>
    </row>
    <row r="409">
      <c r="A409" s="23" t="n"/>
      <c r="B409" s="23" t="n"/>
      <c r="C409" s="24" t="n"/>
      <c r="D409" s="15" t="n"/>
      <c r="E409" s="23" t="n"/>
      <c r="F409" s="15" t="n"/>
      <c r="G409" s="23" t="n"/>
      <c r="H409" s="25" t="n"/>
      <c r="I409" s="15" t="n"/>
      <c r="J409" s="26">
        <f>IF($A409="","",LEN($C409)-LEN(SUBSTITUTE($C409,",",""))+1)</f>
        <v/>
      </c>
      <c r="K409" s="26">
        <f>IF($A409="","",SUMPRODUCT(--ISNUMBER(SEARCH('Category Dictionary'!$D$5:$D$135&amp;"",$C409)),--('Category Dictionary'!$D$5:$D$135&lt;&gt;"")))</f>
        <v/>
      </c>
      <c r="L409" s="27">
        <f>IF($A409="","",TRIM(IF(ISERROR(FIND(",",$C409)),$C409,LEFT($C409,FIND(",",$C409)-1))))</f>
        <v/>
      </c>
      <c r="M409" s="28">
        <f>IF($H409="","",DATE(YEAR($H409),MONTH($H409),1))</f>
        <v/>
      </c>
      <c r="N409" s="26">
        <f>IF($H409="","",TODAY()-$H409)</f>
        <v/>
      </c>
      <c r="O409" s="15" t="n"/>
      <c r="P409" s="15" t="n"/>
      <c r="Q409" s="15" t="n"/>
      <c r="R409" s="25" t="n"/>
      <c r="S409" s="26">
        <f>IF($A409="","",AND(OR('Assignment Builder'!$B$5="",$B409='Assignment Builder'!$B$5),OR('Assignment Builder'!$B$6="",ISNUMBER(SEARCH('Assignment Builder'!$B$6,$C409))),OR('Assignment Builder'!$B$7="",'Assignment Builder'!$B$7=IFERROR(INDEX('Category Dictionary'!$C$5:$C$135,MATCH($L409,'Category Dictionary'!$D$5:$D$135,0)),"")),OR('Assignment Builder'!$B$8="",$D409='Assignment Builder'!$B$8),OR('Assignment Builder'!$B$9="",$F409='Assignment Builder'!$B$9),OR('Assignment Builder'!$B$10="",$O409='Assignment Builder'!$B$10),OR('Assignment Builder'!$B$11="",$H409&gt;='Assignment Builder'!$B$11),OR('Assignment Builder'!$B$12="",N($Q409)&lt;='Assignment Builder'!$B$12)))</f>
        <v/>
      </c>
      <c r="T409" s="23" t="n"/>
    </row>
    <row r="410">
      <c r="A410" s="23" t="n"/>
      <c r="B410" s="23" t="n"/>
      <c r="C410" s="24" t="n"/>
      <c r="D410" s="15" t="n"/>
      <c r="E410" s="23" t="n"/>
      <c r="F410" s="15" t="n"/>
      <c r="G410" s="23" t="n"/>
      <c r="H410" s="25" t="n"/>
      <c r="I410" s="15" t="n"/>
      <c r="J410" s="26">
        <f>IF($A410="","",LEN($C410)-LEN(SUBSTITUTE($C410,",",""))+1)</f>
        <v/>
      </c>
      <c r="K410" s="26">
        <f>IF($A410="","",SUMPRODUCT(--ISNUMBER(SEARCH('Category Dictionary'!$D$5:$D$135&amp;"",$C410)),--('Category Dictionary'!$D$5:$D$135&lt;&gt;"")))</f>
        <v/>
      </c>
      <c r="L410" s="27">
        <f>IF($A410="","",TRIM(IF(ISERROR(FIND(",",$C410)),$C410,LEFT($C410,FIND(",",$C410)-1))))</f>
        <v/>
      </c>
      <c r="M410" s="28">
        <f>IF($H410="","",DATE(YEAR($H410),MONTH($H410),1))</f>
        <v/>
      </c>
      <c r="N410" s="26">
        <f>IF($H410="","",TODAY()-$H410)</f>
        <v/>
      </c>
      <c r="O410" s="15" t="n"/>
      <c r="P410" s="15" t="n"/>
      <c r="Q410" s="15" t="n"/>
      <c r="R410" s="25" t="n"/>
      <c r="S410" s="26">
        <f>IF($A410="","",AND(OR('Assignment Builder'!$B$5="",$B410='Assignment Builder'!$B$5),OR('Assignment Builder'!$B$6="",ISNUMBER(SEARCH('Assignment Builder'!$B$6,$C410))),OR('Assignment Builder'!$B$7="",'Assignment Builder'!$B$7=IFERROR(INDEX('Category Dictionary'!$C$5:$C$135,MATCH($L410,'Category Dictionary'!$D$5:$D$135,0)),"")),OR('Assignment Builder'!$B$8="",$D410='Assignment Builder'!$B$8),OR('Assignment Builder'!$B$9="",$F410='Assignment Builder'!$B$9),OR('Assignment Builder'!$B$10="",$O410='Assignment Builder'!$B$10),OR('Assignment Builder'!$B$11="",$H410&gt;='Assignment Builder'!$B$11),OR('Assignment Builder'!$B$12="",N($Q410)&lt;='Assignment Builder'!$B$12)))</f>
        <v/>
      </c>
      <c r="T410" s="23" t="n"/>
    </row>
    <row r="411">
      <c r="A411" s="23" t="n"/>
      <c r="B411" s="23" t="n"/>
      <c r="C411" s="24" t="n"/>
      <c r="D411" s="15" t="n"/>
      <c r="E411" s="23" t="n"/>
      <c r="F411" s="15" t="n"/>
      <c r="G411" s="23" t="n"/>
      <c r="H411" s="25" t="n"/>
      <c r="I411" s="15" t="n"/>
      <c r="J411" s="26">
        <f>IF($A411="","",LEN($C411)-LEN(SUBSTITUTE($C411,",",""))+1)</f>
        <v/>
      </c>
      <c r="K411" s="26">
        <f>IF($A411="","",SUMPRODUCT(--ISNUMBER(SEARCH('Category Dictionary'!$D$5:$D$135&amp;"",$C411)),--('Category Dictionary'!$D$5:$D$135&lt;&gt;"")))</f>
        <v/>
      </c>
      <c r="L411" s="27">
        <f>IF($A411="","",TRIM(IF(ISERROR(FIND(",",$C411)),$C411,LEFT($C411,FIND(",",$C411)-1))))</f>
        <v/>
      </c>
      <c r="M411" s="28">
        <f>IF($H411="","",DATE(YEAR($H411),MONTH($H411),1))</f>
        <v/>
      </c>
      <c r="N411" s="26">
        <f>IF($H411="","",TODAY()-$H411)</f>
        <v/>
      </c>
      <c r="O411" s="15" t="n"/>
      <c r="P411" s="15" t="n"/>
      <c r="Q411" s="15" t="n"/>
      <c r="R411" s="25" t="n"/>
      <c r="S411" s="26">
        <f>IF($A411="","",AND(OR('Assignment Builder'!$B$5="",$B411='Assignment Builder'!$B$5),OR('Assignment Builder'!$B$6="",ISNUMBER(SEARCH('Assignment Builder'!$B$6,$C411))),OR('Assignment Builder'!$B$7="",'Assignment Builder'!$B$7=IFERROR(INDEX('Category Dictionary'!$C$5:$C$135,MATCH($L411,'Category Dictionary'!$D$5:$D$135,0)),"")),OR('Assignment Builder'!$B$8="",$D411='Assignment Builder'!$B$8),OR('Assignment Builder'!$B$9="",$F411='Assignment Builder'!$B$9),OR('Assignment Builder'!$B$10="",$O411='Assignment Builder'!$B$10),OR('Assignment Builder'!$B$11="",$H411&gt;='Assignment Builder'!$B$11),OR('Assignment Builder'!$B$12="",N($Q411)&lt;='Assignment Builder'!$B$12)))</f>
        <v/>
      </c>
      <c r="T411" s="23" t="n"/>
    </row>
    <row r="412">
      <c r="A412" s="23" t="n"/>
      <c r="B412" s="23" t="n"/>
      <c r="C412" s="24" t="n"/>
      <c r="D412" s="15" t="n"/>
      <c r="E412" s="23" t="n"/>
      <c r="F412" s="15" t="n"/>
      <c r="G412" s="23" t="n"/>
      <c r="H412" s="25" t="n"/>
      <c r="I412" s="15" t="n"/>
      <c r="J412" s="26">
        <f>IF($A412="","",LEN($C412)-LEN(SUBSTITUTE($C412,",",""))+1)</f>
        <v/>
      </c>
      <c r="K412" s="26">
        <f>IF($A412="","",SUMPRODUCT(--ISNUMBER(SEARCH('Category Dictionary'!$D$5:$D$135&amp;"",$C412)),--('Category Dictionary'!$D$5:$D$135&lt;&gt;"")))</f>
        <v/>
      </c>
      <c r="L412" s="27">
        <f>IF($A412="","",TRIM(IF(ISERROR(FIND(",",$C412)),$C412,LEFT($C412,FIND(",",$C412)-1))))</f>
        <v/>
      </c>
      <c r="M412" s="28">
        <f>IF($H412="","",DATE(YEAR($H412),MONTH($H412),1))</f>
        <v/>
      </c>
      <c r="N412" s="26">
        <f>IF($H412="","",TODAY()-$H412)</f>
        <v/>
      </c>
      <c r="O412" s="15" t="n"/>
      <c r="P412" s="15" t="n"/>
      <c r="Q412" s="15" t="n"/>
      <c r="R412" s="25" t="n"/>
      <c r="S412" s="26">
        <f>IF($A412="","",AND(OR('Assignment Builder'!$B$5="",$B412='Assignment Builder'!$B$5),OR('Assignment Builder'!$B$6="",ISNUMBER(SEARCH('Assignment Builder'!$B$6,$C412))),OR('Assignment Builder'!$B$7="",'Assignment Builder'!$B$7=IFERROR(INDEX('Category Dictionary'!$C$5:$C$135,MATCH($L412,'Category Dictionary'!$D$5:$D$135,0)),"")),OR('Assignment Builder'!$B$8="",$D412='Assignment Builder'!$B$8),OR('Assignment Builder'!$B$9="",$F412='Assignment Builder'!$B$9),OR('Assignment Builder'!$B$10="",$O412='Assignment Builder'!$B$10),OR('Assignment Builder'!$B$11="",$H412&gt;='Assignment Builder'!$B$11),OR('Assignment Builder'!$B$12="",N($Q412)&lt;='Assignment Builder'!$B$12)))</f>
        <v/>
      </c>
      <c r="T412" s="23" t="n"/>
    </row>
    <row r="413">
      <c r="A413" s="23" t="n"/>
      <c r="B413" s="23" t="n"/>
      <c r="C413" s="24" t="n"/>
      <c r="D413" s="15" t="n"/>
      <c r="E413" s="23" t="n"/>
      <c r="F413" s="15" t="n"/>
      <c r="G413" s="23" t="n"/>
      <c r="H413" s="25" t="n"/>
      <c r="I413" s="15" t="n"/>
      <c r="J413" s="26">
        <f>IF($A413="","",LEN($C413)-LEN(SUBSTITUTE($C413,",",""))+1)</f>
        <v/>
      </c>
      <c r="K413" s="26">
        <f>IF($A413="","",SUMPRODUCT(--ISNUMBER(SEARCH('Category Dictionary'!$D$5:$D$135&amp;"",$C413)),--('Category Dictionary'!$D$5:$D$135&lt;&gt;"")))</f>
        <v/>
      </c>
      <c r="L413" s="27">
        <f>IF($A413="","",TRIM(IF(ISERROR(FIND(",",$C413)),$C413,LEFT($C413,FIND(",",$C413)-1))))</f>
        <v/>
      </c>
      <c r="M413" s="28">
        <f>IF($H413="","",DATE(YEAR($H413),MONTH($H413),1))</f>
        <v/>
      </c>
      <c r="N413" s="26">
        <f>IF($H413="","",TODAY()-$H413)</f>
        <v/>
      </c>
      <c r="O413" s="15" t="n"/>
      <c r="P413" s="15" t="n"/>
      <c r="Q413" s="15" t="n"/>
      <c r="R413" s="25" t="n"/>
      <c r="S413" s="26">
        <f>IF($A413="","",AND(OR('Assignment Builder'!$B$5="",$B413='Assignment Builder'!$B$5),OR('Assignment Builder'!$B$6="",ISNUMBER(SEARCH('Assignment Builder'!$B$6,$C413))),OR('Assignment Builder'!$B$7="",'Assignment Builder'!$B$7=IFERROR(INDEX('Category Dictionary'!$C$5:$C$135,MATCH($L413,'Category Dictionary'!$D$5:$D$135,0)),"")),OR('Assignment Builder'!$B$8="",$D413='Assignment Builder'!$B$8),OR('Assignment Builder'!$B$9="",$F413='Assignment Builder'!$B$9),OR('Assignment Builder'!$B$10="",$O413='Assignment Builder'!$B$10),OR('Assignment Builder'!$B$11="",$H413&gt;='Assignment Builder'!$B$11),OR('Assignment Builder'!$B$12="",N($Q413)&lt;='Assignment Builder'!$B$12)))</f>
        <v/>
      </c>
      <c r="T413" s="23" t="n"/>
    </row>
    <row r="414">
      <c r="A414" s="23" t="n"/>
      <c r="B414" s="23" t="n"/>
      <c r="C414" s="24" t="n"/>
      <c r="D414" s="15" t="n"/>
      <c r="E414" s="23" t="n"/>
      <c r="F414" s="15" t="n"/>
      <c r="G414" s="23" t="n"/>
      <c r="H414" s="25" t="n"/>
      <c r="I414" s="15" t="n"/>
      <c r="J414" s="26">
        <f>IF($A414="","",LEN($C414)-LEN(SUBSTITUTE($C414,",",""))+1)</f>
        <v/>
      </c>
      <c r="K414" s="26">
        <f>IF($A414="","",SUMPRODUCT(--ISNUMBER(SEARCH('Category Dictionary'!$D$5:$D$135&amp;"",$C414)),--('Category Dictionary'!$D$5:$D$135&lt;&gt;"")))</f>
        <v/>
      </c>
      <c r="L414" s="27">
        <f>IF($A414="","",TRIM(IF(ISERROR(FIND(",",$C414)),$C414,LEFT($C414,FIND(",",$C414)-1))))</f>
        <v/>
      </c>
      <c r="M414" s="28">
        <f>IF($H414="","",DATE(YEAR($H414),MONTH($H414),1))</f>
        <v/>
      </c>
      <c r="N414" s="26">
        <f>IF($H414="","",TODAY()-$H414)</f>
        <v/>
      </c>
      <c r="O414" s="15" t="n"/>
      <c r="P414" s="15" t="n"/>
      <c r="Q414" s="15" t="n"/>
      <c r="R414" s="25" t="n"/>
      <c r="S414" s="26">
        <f>IF($A414="","",AND(OR('Assignment Builder'!$B$5="",$B414='Assignment Builder'!$B$5),OR('Assignment Builder'!$B$6="",ISNUMBER(SEARCH('Assignment Builder'!$B$6,$C414))),OR('Assignment Builder'!$B$7="",'Assignment Builder'!$B$7=IFERROR(INDEX('Category Dictionary'!$C$5:$C$135,MATCH($L414,'Category Dictionary'!$D$5:$D$135,0)),"")),OR('Assignment Builder'!$B$8="",$D414='Assignment Builder'!$B$8),OR('Assignment Builder'!$B$9="",$F414='Assignment Builder'!$B$9),OR('Assignment Builder'!$B$10="",$O414='Assignment Builder'!$B$10),OR('Assignment Builder'!$B$11="",$H414&gt;='Assignment Builder'!$B$11),OR('Assignment Builder'!$B$12="",N($Q414)&lt;='Assignment Builder'!$B$12)))</f>
        <v/>
      </c>
      <c r="T414" s="23" t="n"/>
    </row>
    <row r="415">
      <c r="A415" s="23" t="n"/>
      <c r="B415" s="23" t="n"/>
      <c r="C415" s="24" t="n"/>
      <c r="D415" s="15" t="n"/>
      <c r="E415" s="23" t="n"/>
      <c r="F415" s="15" t="n"/>
      <c r="G415" s="23" t="n"/>
      <c r="H415" s="25" t="n"/>
      <c r="I415" s="15" t="n"/>
      <c r="J415" s="26">
        <f>IF($A415="","",LEN($C415)-LEN(SUBSTITUTE($C415,",",""))+1)</f>
        <v/>
      </c>
      <c r="K415" s="26">
        <f>IF($A415="","",SUMPRODUCT(--ISNUMBER(SEARCH('Category Dictionary'!$D$5:$D$135&amp;"",$C415)),--('Category Dictionary'!$D$5:$D$135&lt;&gt;"")))</f>
        <v/>
      </c>
      <c r="L415" s="27">
        <f>IF($A415="","",TRIM(IF(ISERROR(FIND(",",$C415)),$C415,LEFT($C415,FIND(",",$C415)-1))))</f>
        <v/>
      </c>
      <c r="M415" s="28">
        <f>IF($H415="","",DATE(YEAR($H415),MONTH($H415),1))</f>
        <v/>
      </c>
      <c r="N415" s="26">
        <f>IF($H415="","",TODAY()-$H415)</f>
        <v/>
      </c>
      <c r="O415" s="15" t="n"/>
      <c r="P415" s="15" t="n"/>
      <c r="Q415" s="15" t="n"/>
      <c r="R415" s="25" t="n"/>
      <c r="S415" s="26">
        <f>IF($A415="","",AND(OR('Assignment Builder'!$B$5="",$B415='Assignment Builder'!$B$5),OR('Assignment Builder'!$B$6="",ISNUMBER(SEARCH('Assignment Builder'!$B$6,$C415))),OR('Assignment Builder'!$B$7="",'Assignment Builder'!$B$7=IFERROR(INDEX('Category Dictionary'!$C$5:$C$135,MATCH($L415,'Category Dictionary'!$D$5:$D$135,0)),"")),OR('Assignment Builder'!$B$8="",$D415='Assignment Builder'!$B$8),OR('Assignment Builder'!$B$9="",$F415='Assignment Builder'!$B$9),OR('Assignment Builder'!$B$10="",$O415='Assignment Builder'!$B$10),OR('Assignment Builder'!$B$11="",$H415&gt;='Assignment Builder'!$B$11),OR('Assignment Builder'!$B$12="",N($Q415)&lt;='Assignment Builder'!$B$12)))</f>
        <v/>
      </c>
      <c r="T415" s="23" t="n"/>
    </row>
    <row r="416">
      <c r="A416" s="23" t="n"/>
      <c r="B416" s="23" t="n"/>
      <c r="C416" s="24" t="n"/>
      <c r="D416" s="15" t="n"/>
      <c r="E416" s="23" t="n"/>
      <c r="F416" s="15" t="n"/>
      <c r="G416" s="23" t="n"/>
      <c r="H416" s="25" t="n"/>
      <c r="I416" s="15" t="n"/>
      <c r="J416" s="26">
        <f>IF($A416="","",LEN($C416)-LEN(SUBSTITUTE($C416,",",""))+1)</f>
        <v/>
      </c>
      <c r="K416" s="26">
        <f>IF($A416="","",SUMPRODUCT(--ISNUMBER(SEARCH('Category Dictionary'!$D$5:$D$135&amp;"",$C416)),--('Category Dictionary'!$D$5:$D$135&lt;&gt;"")))</f>
        <v/>
      </c>
      <c r="L416" s="27">
        <f>IF($A416="","",TRIM(IF(ISERROR(FIND(",",$C416)),$C416,LEFT($C416,FIND(",",$C416)-1))))</f>
        <v/>
      </c>
      <c r="M416" s="28">
        <f>IF($H416="","",DATE(YEAR($H416),MONTH($H416),1))</f>
        <v/>
      </c>
      <c r="N416" s="26">
        <f>IF($H416="","",TODAY()-$H416)</f>
        <v/>
      </c>
      <c r="O416" s="15" t="n"/>
      <c r="P416" s="15" t="n"/>
      <c r="Q416" s="15" t="n"/>
      <c r="R416" s="25" t="n"/>
      <c r="S416" s="26">
        <f>IF($A416="","",AND(OR('Assignment Builder'!$B$5="",$B416='Assignment Builder'!$B$5),OR('Assignment Builder'!$B$6="",ISNUMBER(SEARCH('Assignment Builder'!$B$6,$C416))),OR('Assignment Builder'!$B$7="",'Assignment Builder'!$B$7=IFERROR(INDEX('Category Dictionary'!$C$5:$C$135,MATCH($L416,'Category Dictionary'!$D$5:$D$135,0)),"")),OR('Assignment Builder'!$B$8="",$D416='Assignment Builder'!$B$8),OR('Assignment Builder'!$B$9="",$F416='Assignment Builder'!$B$9),OR('Assignment Builder'!$B$10="",$O416='Assignment Builder'!$B$10),OR('Assignment Builder'!$B$11="",$H416&gt;='Assignment Builder'!$B$11),OR('Assignment Builder'!$B$12="",N($Q416)&lt;='Assignment Builder'!$B$12)))</f>
        <v/>
      </c>
      <c r="T416" s="23" t="n"/>
    </row>
    <row r="417">
      <c r="A417" s="23" t="n"/>
      <c r="B417" s="23" t="n"/>
      <c r="C417" s="24" t="n"/>
      <c r="D417" s="15" t="n"/>
      <c r="E417" s="23" t="n"/>
      <c r="F417" s="15" t="n"/>
      <c r="G417" s="23" t="n"/>
      <c r="H417" s="25" t="n"/>
      <c r="I417" s="15" t="n"/>
      <c r="J417" s="26">
        <f>IF($A417="","",LEN($C417)-LEN(SUBSTITUTE($C417,",",""))+1)</f>
        <v/>
      </c>
      <c r="K417" s="26">
        <f>IF($A417="","",SUMPRODUCT(--ISNUMBER(SEARCH('Category Dictionary'!$D$5:$D$135&amp;"",$C417)),--('Category Dictionary'!$D$5:$D$135&lt;&gt;"")))</f>
        <v/>
      </c>
      <c r="L417" s="27">
        <f>IF($A417="","",TRIM(IF(ISERROR(FIND(",",$C417)),$C417,LEFT($C417,FIND(",",$C417)-1))))</f>
        <v/>
      </c>
      <c r="M417" s="28">
        <f>IF($H417="","",DATE(YEAR($H417),MONTH($H417),1))</f>
        <v/>
      </c>
      <c r="N417" s="26">
        <f>IF($H417="","",TODAY()-$H417)</f>
        <v/>
      </c>
      <c r="O417" s="15" t="n"/>
      <c r="P417" s="15" t="n"/>
      <c r="Q417" s="15" t="n"/>
      <c r="R417" s="25" t="n"/>
      <c r="S417" s="26">
        <f>IF($A417="","",AND(OR('Assignment Builder'!$B$5="",$B417='Assignment Builder'!$B$5),OR('Assignment Builder'!$B$6="",ISNUMBER(SEARCH('Assignment Builder'!$B$6,$C417))),OR('Assignment Builder'!$B$7="",'Assignment Builder'!$B$7=IFERROR(INDEX('Category Dictionary'!$C$5:$C$135,MATCH($L417,'Category Dictionary'!$D$5:$D$135,0)),"")),OR('Assignment Builder'!$B$8="",$D417='Assignment Builder'!$B$8),OR('Assignment Builder'!$B$9="",$F417='Assignment Builder'!$B$9),OR('Assignment Builder'!$B$10="",$O417='Assignment Builder'!$B$10),OR('Assignment Builder'!$B$11="",$H417&gt;='Assignment Builder'!$B$11),OR('Assignment Builder'!$B$12="",N($Q417)&lt;='Assignment Builder'!$B$12)))</f>
        <v/>
      </c>
      <c r="T417" s="23" t="n"/>
    </row>
    <row r="418">
      <c r="A418" s="23" t="n"/>
      <c r="B418" s="23" t="n"/>
      <c r="C418" s="24" t="n"/>
      <c r="D418" s="15" t="n"/>
      <c r="E418" s="23" t="n"/>
      <c r="F418" s="15" t="n"/>
      <c r="G418" s="23" t="n"/>
      <c r="H418" s="25" t="n"/>
      <c r="I418" s="15" t="n"/>
      <c r="J418" s="26">
        <f>IF($A418="","",LEN($C418)-LEN(SUBSTITUTE($C418,",",""))+1)</f>
        <v/>
      </c>
      <c r="K418" s="26">
        <f>IF($A418="","",SUMPRODUCT(--ISNUMBER(SEARCH('Category Dictionary'!$D$5:$D$135&amp;"",$C418)),--('Category Dictionary'!$D$5:$D$135&lt;&gt;"")))</f>
        <v/>
      </c>
      <c r="L418" s="27">
        <f>IF($A418="","",TRIM(IF(ISERROR(FIND(",",$C418)),$C418,LEFT($C418,FIND(",",$C418)-1))))</f>
        <v/>
      </c>
      <c r="M418" s="28">
        <f>IF($H418="","",DATE(YEAR($H418),MONTH($H418),1))</f>
        <v/>
      </c>
      <c r="N418" s="26">
        <f>IF($H418="","",TODAY()-$H418)</f>
        <v/>
      </c>
      <c r="O418" s="15" t="n"/>
      <c r="P418" s="15" t="n"/>
      <c r="Q418" s="15" t="n"/>
      <c r="R418" s="25" t="n"/>
      <c r="S418" s="26">
        <f>IF($A418="","",AND(OR('Assignment Builder'!$B$5="",$B418='Assignment Builder'!$B$5),OR('Assignment Builder'!$B$6="",ISNUMBER(SEARCH('Assignment Builder'!$B$6,$C418))),OR('Assignment Builder'!$B$7="",'Assignment Builder'!$B$7=IFERROR(INDEX('Category Dictionary'!$C$5:$C$135,MATCH($L418,'Category Dictionary'!$D$5:$D$135,0)),"")),OR('Assignment Builder'!$B$8="",$D418='Assignment Builder'!$B$8),OR('Assignment Builder'!$B$9="",$F418='Assignment Builder'!$B$9),OR('Assignment Builder'!$B$10="",$O418='Assignment Builder'!$B$10),OR('Assignment Builder'!$B$11="",$H418&gt;='Assignment Builder'!$B$11),OR('Assignment Builder'!$B$12="",N($Q418)&lt;='Assignment Builder'!$B$12)))</f>
        <v/>
      </c>
      <c r="T418" s="23" t="n"/>
    </row>
    <row r="419">
      <c r="A419" s="23" t="n"/>
      <c r="B419" s="23" t="n"/>
      <c r="C419" s="24" t="n"/>
      <c r="D419" s="15" t="n"/>
      <c r="E419" s="23" t="n"/>
      <c r="F419" s="15" t="n"/>
      <c r="G419" s="23" t="n"/>
      <c r="H419" s="25" t="n"/>
      <c r="I419" s="15" t="n"/>
      <c r="J419" s="26">
        <f>IF($A419="","",LEN($C419)-LEN(SUBSTITUTE($C419,",",""))+1)</f>
        <v/>
      </c>
      <c r="K419" s="26">
        <f>IF($A419="","",SUMPRODUCT(--ISNUMBER(SEARCH('Category Dictionary'!$D$5:$D$135&amp;"",$C419)),--('Category Dictionary'!$D$5:$D$135&lt;&gt;"")))</f>
        <v/>
      </c>
      <c r="L419" s="27">
        <f>IF($A419="","",TRIM(IF(ISERROR(FIND(",",$C419)),$C419,LEFT($C419,FIND(",",$C419)-1))))</f>
        <v/>
      </c>
      <c r="M419" s="28">
        <f>IF($H419="","",DATE(YEAR($H419),MONTH($H419),1))</f>
        <v/>
      </c>
      <c r="N419" s="26">
        <f>IF($H419="","",TODAY()-$H419)</f>
        <v/>
      </c>
      <c r="O419" s="15" t="n"/>
      <c r="P419" s="15" t="n"/>
      <c r="Q419" s="15" t="n"/>
      <c r="R419" s="25" t="n"/>
      <c r="S419" s="26">
        <f>IF($A419="","",AND(OR('Assignment Builder'!$B$5="",$B419='Assignment Builder'!$B$5),OR('Assignment Builder'!$B$6="",ISNUMBER(SEARCH('Assignment Builder'!$B$6,$C419))),OR('Assignment Builder'!$B$7="",'Assignment Builder'!$B$7=IFERROR(INDEX('Category Dictionary'!$C$5:$C$135,MATCH($L419,'Category Dictionary'!$D$5:$D$135,0)),"")),OR('Assignment Builder'!$B$8="",$D419='Assignment Builder'!$B$8),OR('Assignment Builder'!$B$9="",$F419='Assignment Builder'!$B$9),OR('Assignment Builder'!$B$10="",$O419='Assignment Builder'!$B$10),OR('Assignment Builder'!$B$11="",$H419&gt;='Assignment Builder'!$B$11),OR('Assignment Builder'!$B$12="",N($Q419)&lt;='Assignment Builder'!$B$12)))</f>
        <v/>
      </c>
      <c r="T419" s="23" t="n"/>
    </row>
    <row r="420">
      <c r="A420" s="23" t="n"/>
      <c r="B420" s="23" t="n"/>
      <c r="C420" s="24" t="n"/>
      <c r="D420" s="15" t="n"/>
      <c r="E420" s="23" t="n"/>
      <c r="F420" s="15" t="n"/>
      <c r="G420" s="23" t="n"/>
      <c r="H420" s="25" t="n"/>
      <c r="I420" s="15" t="n"/>
      <c r="J420" s="26">
        <f>IF($A420="","",LEN($C420)-LEN(SUBSTITUTE($C420,",",""))+1)</f>
        <v/>
      </c>
      <c r="K420" s="26">
        <f>IF($A420="","",SUMPRODUCT(--ISNUMBER(SEARCH('Category Dictionary'!$D$5:$D$135&amp;"",$C420)),--('Category Dictionary'!$D$5:$D$135&lt;&gt;"")))</f>
        <v/>
      </c>
      <c r="L420" s="27">
        <f>IF($A420="","",TRIM(IF(ISERROR(FIND(",",$C420)),$C420,LEFT($C420,FIND(",",$C420)-1))))</f>
        <v/>
      </c>
      <c r="M420" s="28">
        <f>IF($H420="","",DATE(YEAR($H420),MONTH($H420),1))</f>
        <v/>
      </c>
      <c r="N420" s="26">
        <f>IF($H420="","",TODAY()-$H420)</f>
        <v/>
      </c>
      <c r="O420" s="15" t="n"/>
      <c r="P420" s="15" t="n"/>
      <c r="Q420" s="15" t="n"/>
      <c r="R420" s="25" t="n"/>
      <c r="S420" s="26">
        <f>IF($A420="","",AND(OR('Assignment Builder'!$B$5="",$B420='Assignment Builder'!$B$5),OR('Assignment Builder'!$B$6="",ISNUMBER(SEARCH('Assignment Builder'!$B$6,$C420))),OR('Assignment Builder'!$B$7="",'Assignment Builder'!$B$7=IFERROR(INDEX('Category Dictionary'!$C$5:$C$135,MATCH($L420,'Category Dictionary'!$D$5:$D$135,0)),"")),OR('Assignment Builder'!$B$8="",$D420='Assignment Builder'!$B$8),OR('Assignment Builder'!$B$9="",$F420='Assignment Builder'!$B$9),OR('Assignment Builder'!$B$10="",$O420='Assignment Builder'!$B$10),OR('Assignment Builder'!$B$11="",$H420&gt;='Assignment Builder'!$B$11),OR('Assignment Builder'!$B$12="",N($Q420)&lt;='Assignment Builder'!$B$12)))</f>
        <v/>
      </c>
      <c r="T420" s="23" t="n"/>
    </row>
    <row r="421">
      <c r="A421" s="23" t="n"/>
      <c r="B421" s="23" t="n"/>
      <c r="C421" s="24" t="n"/>
      <c r="D421" s="15" t="n"/>
      <c r="E421" s="23" t="n"/>
      <c r="F421" s="15" t="n"/>
      <c r="G421" s="23" t="n"/>
      <c r="H421" s="25" t="n"/>
      <c r="I421" s="15" t="n"/>
      <c r="J421" s="26">
        <f>IF($A421="","",LEN($C421)-LEN(SUBSTITUTE($C421,",",""))+1)</f>
        <v/>
      </c>
      <c r="K421" s="26">
        <f>IF($A421="","",SUMPRODUCT(--ISNUMBER(SEARCH('Category Dictionary'!$D$5:$D$135&amp;"",$C421)),--('Category Dictionary'!$D$5:$D$135&lt;&gt;"")))</f>
        <v/>
      </c>
      <c r="L421" s="27">
        <f>IF($A421="","",TRIM(IF(ISERROR(FIND(",",$C421)),$C421,LEFT($C421,FIND(",",$C421)-1))))</f>
        <v/>
      </c>
      <c r="M421" s="28">
        <f>IF($H421="","",DATE(YEAR($H421),MONTH($H421),1))</f>
        <v/>
      </c>
      <c r="N421" s="26">
        <f>IF($H421="","",TODAY()-$H421)</f>
        <v/>
      </c>
      <c r="O421" s="15" t="n"/>
      <c r="P421" s="15" t="n"/>
      <c r="Q421" s="15" t="n"/>
      <c r="R421" s="25" t="n"/>
      <c r="S421" s="26">
        <f>IF($A421="","",AND(OR('Assignment Builder'!$B$5="",$B421='Assignment Builder'!$B$5),OR('Assignment Builder'!$B$6="",ISNUMBER(SEARCH('Assignment Builder'!$B$6,$C421))),OR('Assignment Builder'!$B$7="",'Assignment Builder'!$B$7=IFERROR(INDEX('Category Dictionary'!$C$5:$C$135,MATCH($L421,'Category Dictionary'!$D$5:$D$135,0)),"")),OR('Assignment Builder'!$B$8="",$D421='Assignment Builder'!$B$8),OR('Assignment Builder'!$B$9="",$F421='Assignment Builder'!$B$9),OR('Assignment Builder'!$B$10="",$O421='Assignment Builder'!$B$10),OR('Assignment Builder'!$B$11="",$H421&gt;='Assignment Builder'!$B$11),OR('Assignment Builder'!$B$12="",N($Q421)&lt;='Assignment Builder'!$B$12)))</f>
        <v/>
      </c>
      <c r="T421" s="23" t="n"/>
    </row>
    <row r="422">
      <c r="A422" s="23" t="n"/>
      <c r="B422" s="23" t="n"/>
      <c r="C422" s="24" t="n"/>
      <c r="D422" s="15" t="n"/>
      <c r="E422" s="23" t="n"/>
      <c r="F422" s="15" t="n"/>
      <c r="G422" s="23" t="n"/>
      <c r="H422" s="25" t="n"/>
      <c r="I422" s="15" t="n"/>
      <c r="J422" s="26">
        <f>IF($A422="","",LEN($C422)-LEN(SUBSTITUTE($C422,",",""))+1)</f>
        <v/>
      </c>
      <c r="K422" s="26">
        <f>IF($A422="","",SUMPRODUCT(--ISNUMBER(SEARCH('Category Dictionary'!$D$5:$D$135&amp;"",$C422)),--('Category Dictionary'!$D$5:$D$135&lt;&gt;"")))</f>
        <v/>
      </c>
      <c r="L422" s="27">
        <f>IF($A422="","",TRIM(IF(ISERROR(FIND(",",$C422)),$C422,LEFT($C422,FIND(",",$C422)-1))))</f>
        <v/>
      </c>
      <c r="M422" s="28">
        <f>IF($H422="","",DATE(YEAR($H422),MONTH($H422),1))</f>
        <v/>
      </c>
      <c r="N422" s="26">
        <f>IF($H422="","",TODAY()-$H422)</f>
        <v/>
      </c>
      <c r="O422" s="15" t="n"/>
      <c r="P422" s="15" t="n"/>
      <c r="Q422" s="15" t="n"/>
      <c r="R422" s="25" t="n"/>
      <c r="S422" s="26">
        <f>IF($A422="","",AND(OR('Assignment Builder'!$B$5="",$B422='Assignment Builder'!$B$5),OR('Assignment Builder'!$B$6="",ISNUMBER(SEARCH('Assignment Builder'!$B$6,$C422))),OR('Assignment Builder'!$B$7="",'Assignment Builder'!$B$7=IFERROR(INDEX('Category Dictionary'!$C$5:$C$135,MATCH($L422,'Category Dictionary'!$D$5:$D$135,0)),"")),OR('Assignment Builder'!$B$8="",$D422='Assignment Builder'!$B$8),OR('Assignment Builder'!$B$9="",$F422='Assignment Builder'!$B$9),OR('Assignment Builder'!$B$10="",$O422='Assignment Builder'!$B$10),OR('Assignment Builder'!$B$11="",$H422&gt;='Assignment Builder'!$B$11),OR('Assignment Builder'!$B$12="",N($Q422)&lt;='Assignment Builder'!$B$12)))</f>
        <v/>
      </c>
      <c r="T422" s="23" t="n"/>
    </row>
    <row r="423">
      <c r="A423" s="23" t="n"/>
      <c r="B423" s="23" t="n"/>
      <c r="C423" s="24" t="n"/>
      <c r="D423" s="15" t="n"/>
      <c r="E423" s="23" t="n"/>
      <c r="F423" s="15" t="n"/>
      <c r="G423" s="23" t="n"/>
      <c r="H423" s="25" t="n"/>
      <c r="I423" s="15" t="n"/>
      <c r="J423" s="26">
        <f>IF($A423="","",LEN($C423)-LEN(SUBSTITUTE($C423,",",""))+1)</f>
        <v/>
      </c>
      <c r="K423" s="26">
        <f>IF($A423="","",SUMPRODUCT(--ISNUMBER(SEARCH('Category Dictionary'!$D$5:$D$135&amp;"",$C423)),--('Category Dictionary'!$D$5:$D$135&lt;&gt;"")))</f>
        <v/>
      </c>
      <c r="L423" s="27">
        <f>IF($A423="","",TRIM(IF(ISERROR(FIND(",",$C423)),$C423,LEFT($C423,FIND(",",$C423)-1))))</f>
        <v/>
      </c>
      <c r="M423" s="28">
        <f>IF($H423="","",DATE(YEAR($H423),MONTH($H423),1))</f>
        <v/>
      </c>
      <c r="N423" s="26">
        <f>IF($H423="","",TODAY()-$H423)</f>
        <v/>
      </c>
      <c r="O423" s="15" t="n"/>
      <c r="P423" s="15" t="n"/>
      <c r="Q423" s="15" t="n"/>
      <c r="R423" s="25" t="n"/>
      <c r="S423" s="26">
        <f>IF($A423="","",AND(OR('Assignment Builder'!$B$5="",$B423='Assignment Builder'!$B$5),OR('Assignment Builder'!$B$6="",ISNUMBER(SEARCH('Assignment Builder'!$B$6,$C423))),OR('Assignment Builder'!$B$7="",'Assignment Builder'!$B$7=IFERROR(INDEX('Category Dictionary'!$C$5:$C$135,MATCH($L423,'Category Dictionary'!$D$5:$D$135,0)),"")),OR('Assignment Builder'!$B$8="",$D423='Assignment Builder'!$B$8),OR('Assignment Builder'!$B$9="",$F423='Assignment Builder'!$B$9),OR('Assignment Builder'!$B$10="",$O423='Assignment Builder'!$B$10),OR('Assignment Builder'!$B$11="",$H423&gt;='Assignment Builder'!$B$11),OR('Assignment Builder'!$B$12="",N($Q423)&lt;='Assignment Builder'!$B$12)))</f>
        <v/>
      </c>
      <c r="T423" s="23" t="n"/>
    </row>
    <row r="424">
      <c r="A424" s="23" t="n"/>
      <c r="B424" s="23" t="n"/>
      <c r="C424" s="24" t="n"/>
      <c r="D424" s="15" t="n"/>
      <c r="E424" s="23" t="n"/>
      <c r="F424" s="15" t="n"/>
      <c r="G424" s="23" t="n"/>
      <c r="H424" s="25" t="n"/>
      <c r="I424" s="15" t="n"/>
      <c r="J424" s="26">
        <f>IF($A424="","",LEN($C424)-LEN(SUBSTITUTE($C424,",",""))+1)</f>
        <v/>
      </c>
      <c r="K424" s="26">
        <f>IF($A424="","",SUMPRODUCT(--ISNUMBER(SEARCH('Category Dictionary'!$D$5:$D$135&amp;"",$C424)),--('Category Dictionary'!$D$5:$D$135&lt;&gt;"")))</f>
        <v/>
      </c>
      <c r="L424" s="27">
        <f>IF($A424="","",TRIM(IF(ISERROR(FIND(",",$C424)),$C424,LEFT($C424,FIND(",",$C424)-1))))</f>
        <v/>
      </c>
      <c r="M424" s="28">
        <f>IF($H424="","",DATE(YEAR($H424),MONTH($H424),1))</f>
        <v/>
      </c>
      <c r="N424" s="26">
        <f>IF($H424="","",TODAY()-$H424)</f>
        <v/>
      </c>
      <c r="O424" s="15" t="n"/>
      <c r="P424" s="15" t="n"/>
      <c r="Q424" s="15" t="n"/>
      <c r="R424" s="25" t="n"/>
      <c r="S424" s="26">
        <f>IF($A424="","",AND(OR('Assignment Builder'!$B$5="",$B424='Assignment Builder'!$B$5),OR('Assignment Builder'!$B$6="",ISNUMBER(SEARCH('Assignment Builder'!$B$6,$C424))),OR('Assignment Builder'!$B$7="",'Assignment Builder'!$B$7=IFERROR(INDEX('Category Dictionary'!$C$5:$C$135,MATCH($L424,'Category Dictionary'!$D$5:$D$135,0)),"")),OR('Assignment Builder'!$B$8="",$D424='Assignment Builder'!$B$8),OR('Assignment Builder'!$B$9="",$F424='Assignment Builder'!$B$9),OR('Assignment Builder'!$B$10="",$O424='Assignment Builder'!$B$10),OR('Assignment Builder'!$B$11="",$H424&gt;='Assignment Builder'!$B$11),OR('Assignment Builder'!$B$12="",N($Q424)&lt;='Assignment Builder'!$B$12)))</f>
        <v/>
      </c>
      <c r="T424" s="23" t="n"/>
    </row>
    <row r="425">
      <c r="A425" s="23" t="n"/>
      <c r="B425" s="23" t="n"/>
      <c r="C425" s="24" t="n"/>
      <c r="D425" s="15" t="n"/>
      <c r="E425" s="23" t="n"/>
      <c r="F425" s="15" t="n"/>
      <c r="G425" s="23" t="n"/>
      <c r="H425" s="25" t="n"/>
      <c r="I425" s="15" t="n"/>
      <c r="J425" s="26">
        <f>IF($A425="","",LEN($C425)-LEN(SUBSTITUTE($C425,",",""))+1)</f>
        <v/>
      </c>
      <c r="K425" s="26">
        <f>IF($A425="","",SUMPRODUCT(--ISNUMBER(SEARCH('Category Dictionary'!$D$5:$D$135&amp;"",$C425)),--('Category Dictionary'!$D$5:$D$135&lt;&gt;"")))</f>
        <v/>
      </c>
      <c r="L425" s="27">
        <f>IF($A425="","",TRIM(IF(ISERROR(FIND(",",$C425)),$C425,LEFT($C425,FIND(",",$C425)-1))))</f>
        <v/>
      </c>
      <c r="M425" s="28">
        <f>IF($H425="","",DATE(YEAR($H425),MONTH($H425),1))</f>
        <v/>
      </c>
      <c r="N425" s="26">
        <f>IF($H425="","",TODAY()-$H425)</f>
        <v/>
      </c>
      <c r="O425" s="15" t="n"/>
      <c r="P425" s="15" t="n"/>
      <c r="Q425" s="15" t="n"/>
      <c r="R425" s="25" t="n"/>
      <c r="S425" s="26">
        <f>IF($A425="","",AND(OR('Assignment Builder'!$B$5="",$B425='Assignment Builder'!$B$5),OR('Assignment Builder'!$B$6="",ISNUMBER(SEARCH('Assignment Builder'!$B$6,$C425))),OR('Assignment Builder'!$B$7="",'Assignment Builder'!$B$7=IFERROR(INDEX('Category Dictionary'!$C$5:$C$135,MATCH($L425,'Category Dictionary'!$D$5:$D$135,0)),"")),OR('Assignment Builder'!$B$8="",$D425='Assignment Builder'!$B$8),OR('Assignment Builder'!$B$9="",$F425='Assignment Builder'!$B$9),OR('Assignment Builder'!$B$10="",$O425='Assignment Builder'!$B$10),OR('Assignment Builder'!$B$11="",$H425&gt;='Assignment Builder'!$B$11),OR('Assignment Builder'!$B$12="",N($Q425)&lt;='Assignment Builder'!$B$12)))</f>
        <v/>
      </c>
      <c r="T425" s="23" t="n"/>
    </row>
    <row r="426">
      <c r="A426" s="23" t="n"/>
      <c r="B426" s="23" t="n"/>
      <c r="C426" s="24" t="n"/>
      <c r="D426" s="15" t="n"/>
      <c r="E426" s="23" t="n"/>
      <c r="F426" s="15" t="n"/>
      <c r="G426" s="23" t="n"/>
      <c r="H426" s="25" t="n"/>
      <c r="I426" s="15" t="n"/>
      <c r="J426" s="26">
        <f>IF($A426="","",LEN($C426)-LEN(SUBSTITUTE($C426,",",""))+1)</f>
        <v/>
      </c>
      <c r="K426" s="26">
        <f>IF($A426="","",SUMPRODUCT(--ISNUMBER(SEARCH('Category Dictionary'!$D$5:$D$135&amp;"",$C426)),--('Category Dictionary'!$D$5:$D$135&lt;&gt;"")))</f>
        <v/>
      </c>
      <c r="L426" s="27">
        <f>IF($A426="","",TRIM(IF(ISERROR(FIND(",",$C426)),$C426,LEFT($C426,FIND(",",$C426)-1))))</f>
        <v/>
      </c>
      <c r="M426" s="28">
        <f>IF($H426="","",DATE(YEAR($H426),MONTH($H426),1))</f>
        <v/>
      </c>
      <c r="N426" s="26">
        <f>IF($H426="","",TODAY()-$H426)</f>
        <v/>
      </c>
      <c r="O426" s="15" t="n"/>
      <c r="P426" s="15" t="n"/>
      <c r="Q426" s="15" t="n"/>
      <c r="R426" s="25" t="n"/>
      <c r="S426" s="26">
        <f>IF($A426="","",AND(OR('Assignment Builder'!$B$5="",$B426='Assignment Builder'!$B$5),OR('Assignment Builder'!$B$6="",ISNUMBER(SEARCH('Assignment Builder'!$B$6,$C426))),OR('Assignment Builder'!$B$7="",'Assignment Builder'!$B$7=IFERROR(INDEX('Category Dictionary'!$C$5:$C$135,MATCH($L426,'Category Dictionary'!$D$5:$D$135,0)),"")),OR('Assignment Builder'!$B$8="",$D426='Assignment Builder'!$B$8),OR('Assignment Builder'!$B$9="",$F426='Assignment Builder'!$B$9),OR('Assignment Builder'!$B$10="",$O426='Assignment Builder'!$B$10),OR('Assignment Builder'!$B$11="",$H426&gt;='Assignment Builder'!$B$11),OR('Assignment Builder'!$B$12="",N($Q426)&lt;='Assignment Builder'!$B$12)))</f>
        <v/>
      </c>
      <c r="T426" s="23" t="n"/>
    </row>
    <row r="427">
      <c r="A427" s="23" t="n"/>
      <c r="B427" s="23" t="n"/>
      <c r="C427" s="24" t="n"/>
      <c r="D427" s="15" t="n"/>
      <c r="E427" s="23" t="n"/>
      <c r="F427" s="15" t="n"/>
      <c r="G427" s="23" t="n"/>
      <c r="H427" s="25" t="n"/>
      <c r="I427" s="15" t="n"/>
      <c r="J427" s="26">
        <f>IF($A427="","",LEN($C427)-LEN(SUBSTITUTE($C427,",",""))+1)</f>
        <v/>
      </c>
      <c r="K427" s="26">
        <f>IF($A427="","",SUMPRODUCT(--ISNUMBER(SEARCH('Category Dictionary'!$D$5:$D$135&amp;"",$C427)),--('Category Dictionary'!$D$5:$D$135&lt;&gt;"")))</f>
        <v/>
      </c>
      <c r="L427" s="27">
        <f>IF($A427="","",TRIM(IF(ISERROR(FIND(",",$C427)),$C427,LEFT($C427,FIND(",",$C427)-1))))</f>
        <v/>
      </c>
      <c r="M427" s="28">
        <f>IF($H427="","",DATE(YEAR($H427),MONTH($H427),1))</f>
        <v/>
      </c>
      <c r="N427" s="26">
        <f>IF($H427="","",TODAY()-$H427)</f>
        <v/>
      </c>
      <c r="O427" s="15" t="n"/>
      <c r="P427" s="15" t="n"/>
      <c r="Q427" s="15" t="n"/>
      <c r="R427" s="25" t="n"/>
      <c r="S427" s="26">
        <f>IF($A427="","",AND(OR('Assignment Builder'!$B$5="",$B427='Assignment Builder'!$B$5),OR('Assignment Builder'!$B$6="",ISNUMBER(SEARCH('Assignment Builder'!$B$6,$C427))),OR('Assignment Builder'!$B$7="",'Assignment Builder'!$B$7=IFERROR(INDEX('Category Dictionary'!$C$5:$C$135,MATCH($L427,'Category Dictionary'!$D$5:$D$135,0)),"")),OR('Assignment Builder'!$B$8="",$D427='Assignment Builder'!$B$8),OR('Assignment Builder'!$B$9="",$F427='Assignment Builder'!$B$9),OR('Assignment Builder'!$B$10="",$O427='Assignment Builder'!$B$10),OR('Assignment Builder'!$B$11="",$H427&gt;='Assignment Builder'!$B$11),OR('Assignment Builder'!$B$12="",N($Q427)&lt;='Assignment Builder'!$B$12)))</f>
        <v/>
      </c>
      <c r="T427" s="23" t="n"/>
    </row>
    <row r="428">
      <c r="A428" s="23" t="n"/>
      <c r="B428" s="23" t="n"/>
      <c r="C428" s="24" t="n"/>
      <c r="D428" s="15" t="n"/>
      <c r="E428" s="23" t="n"/>
      <c r="F428" s="15" t="n"/>
      <c r="G428" s="23" t="n"/>
      <c r="H428" s="25" t="n"/>
      <c r="I428" s="15" t="n"/>
      <c r="J428" s="26">
        <f>IF($A428="","",LEN($C428)-LEN(SUBSTITUTE($C428,",",""))+1)</f>
        <v/>
      </c>
      <c r="K428" s="26">
        <f>IF($A428="","",SUMPRODUCT(--ISNUMBER(SEARCH('Category Dictionary'!$D$5:$D$135&amp;"",$C428)),--('Category Dictionary'!$D$5:$D$135&lt;&gt;"")))</f>
        <v/>
      </c>
      <c r="L428" s="27">
        <f>IF($A428="","",TRIM(IF(ISERROR(FIND(",",$C428)),$C428,LEFT($C428,FIND(",",$C428)-1))))</f>
        <v/>
      </c>
      <c r="M428" s="28">
        <f>IF($H428="","",DATE(YEAR($H428),MONTH($H428),1))</f>
        <v/>
      </c>
      <c r="N428" s="26">
        <f>IF($H428="","",TODAY()-$H428)</f>
        <v/>
      </c>
      <c r="O428" s="15" t="n"/>
      <c r="P428" s="15" t="n"/>
      <c r="Q428" s="15" t="n"/>
      <c r="R428" s="25" t="n"/>
      <c r="S428" s="26">
        <f>IF($A428="","",AND(OR('Assignment Builder'!$B$5="",$B428='Assignment Builder'!$B$5),OR('Assignment Builder'!$B$6="",ISNUMBER(SEARCH('Assignment Builder'!$B$6,$C428))),OR('Assignment Builder'!$B$7="",'Assignment Builder'!$B$7=IFERROR(INDEX('Category Dictionary'!$C$5:$C$135,MATCH($L428,'Category Dictionary'!$D$5:$D$135,0)),"")),OR('Assignment Builder'!$B$8="",$D428='Assignment Builder'!$B$8),OR('Assignment Builder'!$B$9="",$F428='Assignment Builder'!$B$9),OR('Assignment Builder'!$B$10="",$O428='Assignment Builder'!$B$10),OR('Assignment Builder'!$B$11="",$H428&gt;='Assignment Builder'!$B$11),OR('Assignment Builder'!$B$12="",N($Q428)&lt;='Assignment Builder'!$B$12)))</f>
        <v/>
      </c>
      <c r="T428" s="23" t="n"/>
    </row>
    <row r="429">
      <c r="A429" s="23" t="n"/>
      <c r="B429" s="23" t="n"/>
      <c r="C429" s="24" t="n"/>
      <c r="D429" s="15" t="n"/>
      <c r="E429" s="23" t="n"/>
      <c r="F429" s="15" t="n"/>
      <c r="G429" s="23" t="n"/>
      <c r="H429" s="25" t="n"/>
      <c r="I429" s="15" t="n"/>
      <c r="J429" s="26">
        <f>IF($A429="","",LEN($C429)-LEN(SUBSTITUTE($C429,",",""))+1)</f>
        <v/>
      </c>
      <c r="K429" s="26">
        <f>IF($A429="","",SUMPRODUCT(--ISNUMBER(SEARCH('Category Dictionary'!$D$5:$D$135&amp;"",$C429)),--('Category Dictionary'!$D$5:$D$135&lt;&gt;"")))</f>
        <v/>
      </c>
      <c r="L429" s="27">
        <f>IF($A429="","",TRIM(IF(ISERROR(FIND(",",$C429)),$C429,LEFT($C429,FIND(",",$C429)-1))))</f>
        <v/>
      </c>
      <c r="M429" s="28">
        <f>IF($H429="","",DATE(YEAR($H429),MONTH($H429),1))</f>
        <v/>
      </c>
      <c r="N429" s="26">
        <f>IF($H429="","",TODAY()-$H429)</f>
        <v/>
      </c>
      <c r="O429" s="15" t="n"/>
      <c r="P429" s="15" t="n"/>
      <c r="Q429" s="15" t="n"/>
      <c r="R429" s="25" t="n"/>
      <c r="S429" s="26">
        <f>IF($A429="","",AND(OR('Assignment Builder'!$B$5="",$B429='Assignment Builder'!$B$5),OR('Assignment Builder'!$B$6="",ISNUMBER(SEARCH('Assignment Builder'!$B$6,$C429))),OR('Assignment Builder'!$B$7="",'Assignment Builder'!$B$7=IFERROR(INDEX('Category Dictionary'!$C$5:$C$135,MATCH($L429,'Category Dictionary'!$D$5:$D$135,0)),"")),OR('Assignment Builder'!$B$8="",$D429='Assignment Builder'!$B$8),OR('Assignment Builder'!$B$9="",$F429='Assignment Builder'!$B$9),OR('Assignment Builder'!$B$10="",$O429='Assignment Builder'!$B$10),OR('Assignment Builder'!$B$11="",$H429&gt;='Assignment Builder'!$B$11),OR('Assignment Builder'!$B$12="",N($Q429)&lt;='Assignment Builder'!$B$12)))</f>
        <v/>
      </c>
      <c r="T429" s="23" t="n"/>
    </row>
    <row r="430">
      <c r="A430" s="23" t="n"/>
      <c r="B430" s="23" t="n"/>
      <c r="C430" s="24" t="n"/>
      <c r="D430" s="15" t="n"/>
      <c r="E430" s="23" t="n"/>
      <c r="F430" s="15" t="n"/>
      <c r="G430" s="23" t="n"/>
      <c r="H430" s="25" t="n"/>
      <c r="I430" s="15" t="n"/>
      <c r="J430" s="26">
        <f>IF($A430="","",LEN($C430)-LEN(SUBSTITUTE($C430,",",""))+1)</f>
        <v/>
      </c>
      <c r="K430" s="26">
        <f>IF($A430="","",SUMPRODUCT(--ISNUMBER(SEARCH('Category Dictionary'!$D$5:$D$135&amp;"",$C430)),--('Category Dictionary'!$D$5:$D$135&lt;&gt;"")))</f>
        <v/>
      </c>
      <c r="L430" s="27">
        <f>IF($A430="","",TRIM(IF(ISERROR(FIND(",",$C430)),$C430,LEFT($C430,FIND(",",$C430)-1))))</f>
        <v/>
      </c>
      <c r="M430" s="28">
        <f>IF($H430="","",DATE(YEAR($H430),MONTH($H430),1))</f>
        <v/>
      </c>
      <c r="N430" s="26">
        <f>IF($H430="","",TODAY()-$H430)</f>
        <v/>
      </c>
      <c r="O430" s="15" t="n"/>
      <c r="P430" s="15" t="n"/>
      <c r="Q430" s="15" t="n"/>
      <c r="R430" s="25" t="n"/>
      <c r="S430" s="26">
        <f>IF($A430="","",AND(OR('Assignment Builder'!$B$5="",$B430='Assignment Builder'!$B$5),OR('Assignment Builder'!$B$6="",ISNUMBER(SEARCH('Assignment Builder'!$B$6,$C430))),OR('Assignment Builder'!$B$7="",'Assignment Builder'!$B$7=IFERROR(INDEX('Category Dictionary'!$C$5:$C$135,MATCH($L430,'Category Dictionary'!$D$5:$D$135,0)),"")),OR('Assignment Builder'!$B$8="",$D430='Assignment Builder'!$B$8),OR('Assignment Builder'!$B$9="",$F430='Assignment Builder'!$B$9),OR('Assignment Builder'!$B$10="",$O430='Assignment Builder'!$B$10),OR('Assignment Builder'!$B$11="",$H430&gt;='Assignment Builder'!$B$11),OR('Assignment Builder'!$B$12="",N($Q430)&lt;='Assignment Builder'!$B$12)))</f>
        <v/>
      </c>
      <c r="T430" s="23" t="n"/>
    </row>
    <row r="431">
      <c r="A431" s="23" t="n"/>
      <c r="B431" s="23" t="n"/>
      <c r="C431" s="24" t="n"/>
      <c r="D431" s="15" t="n"/>
      <c r="E431" s="23" t="n"/>
      <c r="F431" s="15" t="n"/>
      <c r="G431" s="23" t="n"/>
      <c r="H431" s="25" t="n"/>
      <c r="I431" s="15" t="n"/>
      <c r="J431" s="26">
        <f>IF($A431="","",LEN($C431)-LEN(SUBSTITUTE($C431,",",""))+1)</f>
        <v/>
      </c>
      <c r="K431" s="26">
        <f>IF($A431="","",SUMPRODUCT(--ISNUMBER(SEARCH('Category Dictionary'!$D$5:$D$135&amp;"",$C431)),--('Category Dictionary'!$D$5:$D$135&lt;&gt;"")))</f>
        <v/>
      </c>
      <c r="L431" s="27">
        <f>IF($A431="","",TRIM(IF(ISERROR(FIND(",",$C431)),$C431,LEFT($C431,FIND(",",$C431)-1))))</f>
        <v/>
      </c>
      <c r="M431" s="28">
        <f>IF($H431="","",DATE(YEAR($H431),MONTH($H431),1))</f>
        <v/>
      </c>
      <c r="N431" s="26">
        <f>IF($H431="","",TODAY()-$H431)</f>
        <v/>
      </c>
      <c r="O431" s="15" t="n"/>
      <c r="P431" s="15" t="n"/>
      <c r="Q431" s="15" t="n"/>
      <c r="R431" s="25" t="n"/>
      <c r="S431" s="26">
        <f>IF($A431="","",AND(OR('Assignment Builder'!$B$5="",$B431='Assignment Builder'!$B$5),OR('Assignment Builder'!$B$6="",ISNUMBER(SEARCH('Assignment Builder'!$B$6,$C431))),OR('Assignment Builder'!$B$7="",'Assignment Builder'!$B$7=IFERROR(INDEX('Category Dictionary'!$C$5:$C$135,MATCH($L431,'Category Dictionary'!$D$5:$D$135,0)),"")),OR('Assignment Builder'!$B$8="",$D431='Assignment Builder'!$B$8),OR('Assignment Builder'!$B$9="",$F431='Assignment Builder'!$B$9),OR('Assignment Builder'!$B$10="",$O431='Assignment Builder'!$B$10),OR('Assignment Builder'!$B$11="",$H431&gt;='Assignment Builder'!$B$11),OR('Assignment Builder'!$B$12="",N($Q431)&lt;='Assignment Builder'!$B$12)))</f>
        <v/>
      </c>
      <c r="T431" s="23" t="n"/>
    </row>
    <row r="432">
      <c r="A432" s="23" t="n"/>
      <c r="B432" s="23" t="n"/>
      <c r="C432" s="24" t="n"/>
      <c r="D432" s="15" t="n"/>
      <c r="E432" s="23" t="n"/>
      <c r="F432" s="15" t="n"/>
      <c r="G432" s="23" t="n"/>
      <c r="H432" s="25" t="n"/>
      <c r="I432" s="15" t="n"/>
      <c r="J432" s="26">
        <f>IF($A432="","",LEN($C432)-LEN(SUBSTITUTE($C432,",",""))+1)</f>
        <v/>
      </c>
      <c r="K432" s="26">
        <f>IF($A432="","",SUMPRODUCT(--ISNUMBER(SEARCH('Category Dictionary'!$D$5:$D$135&amp;"",$C432)),--('Category Dictionary'!$D$5:$D$135&lt;&gt;"")))</f>
        <v/>
      </c>
      <c r="L432" s="27">
        <f>IF($A432="","",TRIM(IF(ISERROR(FIND(",",$C432)),$C432,LEFT($C432,FIND(",",$C432)-1))))</f>
        <v/>
      </c>
      <c r="M432" s="28">
        <f>IF($H432="","",DATE(YEAR($H432),MONTH($H432),1))</f>
        <v/>
      </c>
      <c r="N432" s="26">
        <f>IF($H432="","",TODAY()-$H432)</f>
        <v/>
      </c>
      <c r="O432" s="15" t="n"/>
      <c r="P432" s="15" t="n"/>
      <c r="Q432" s="15" t="n"/>
      <c r="R432" s="25" t="n"/>
      <c r="S432" s="26">
        <f>IF($A432="","",AND(OR('Assignment Builder'!$B$5="",$B432='Assignment Builder'!$B$5),OR('Assignment Builder'!$B$6="",ISNUMBER(SEARCH('Assignment Builder'!$B$6,$C432))),OR('Assignment Builder'!$B$7="",'Assignment Builder'!$B$7=IFERROR(INDEX('Category Dictionary'!$C$5:$C$135,MATCH($L432,'Category Dictionary'!$D$5:$D$135,0)),"")),OR('Assignment Builder'!$B$8="",$D432='Assignment Builder'!$B$8),OR('Assignment Builder'!$B$9="",$F432='Assignment Builder'!$B$9),OR('Assignment Builder'!$B$10="",$O432='Assignment Builder'!$B$10),OR('Assignment Builder'!$B$11="",$H432&gt;='Assignment Builder'!$B$11),OR('Assignment Builder'!$B$12="",N($Q432)&lt;='Assignment Builder'!$B$12)))</f>
        <v/>
      </c>
      <c r="T432" s="23" t="n"/>
    </row>
    <row r="433">
      <c r="A433" s="23" t="n"/>
      <c r="B433" s="23" t="n"/>
      <c r="C433" s="24" t="n"/>
      <c r="D433" s="15" t="n"/>
      <c r="E433" s="23" t="n"/>
      <c r="F433" s="15" t="n"/>
      <c r="G433" s="23" t="n"/>
      <c r="H433" s="25" t="n"/>
      <c r="I433" s="15" t="n"/>
      <c r="J433" s="26">
        <f>IF($A433="","",LEN($C433)-LEN(SUBSTITUTE($C433,",",""))+1)</f>
        <v/>
      </c>
      <c r="K433" s="26">
        <f>IF($A433="","",SUMPRODUCT(--ISNUMBER(SEARCH('Category Dictionary'!$D$5:$D$135&amp;"",$C433)),--('Category Dictionary'!$D$5:$D$135&lt;&gt;"")))</f>
        <v/>
      </c>
      <c r="L433" s="27">
        <f>IF($A433="","",TRIM(IF(ISERROR(FIND(",",$C433)),$C433,LEFT($C433,FIND(",",$C433)-1))))</f>
        <v/>
      </c>
      <c r="M433" s="28">
        <f>IF($H433="","",DATE(YEAR($H433),MONTH($H433),1))</f>
        <v/>
      </c>
      <c r="N433" s="26">
        <f>IF($H433="","",TODAY()-$H433)</f>
        <v/>
      </c>
      <c r="O433" s="15" t="n"/>
      <c r="P433" s="15" t="n"/>
      <c r="Q433" s="15" t="n"/>
      <c r="R433" s="25" t="n"/>
      <c r="S433" s="26">
        <f>IF($A433="","",AND(OR('Assignment Builder'!$B$5="",$B433='Assignment Builder'!$B$5),OR('Assignment Builder'!$B$6="",ISNUMBER(SEARCH('Assignment Builder'!$B$6,$C433))),OR('Assignment Builder'!$B$7="",'Assignment Builder'!$B$7=IFERROR(INDEX('Category Dictionary'!$C$5:$C$135,MATCH($L433,'Category Dictionary'!$D$5:$D$135,0)),"")),OR('Assignment Builder'!$B$8="",$D433='Assignment Builder'!$B$8),OR('Assignment Builder'!$B$9="",$F433='Assignment Builder'!$B$9),OR('Assignment Builder'!$B$10="",$O433='Assignment Builder'!$B$10),OR('Assignment Builder'!$B$11="",$H433&gt;='Assignment Builder'!$B$11),OR('Assignment Builder'!$B$12="",N($Q433)&lt;='Assignment Builder'!$B$12)))</f>
        <v/>
      </c>
      <c r="T433" s="23" t="n"/>
    </row>
    <row r="434">
      <c r="A434" s="23" t="n"/>
      <c r="B434" s="23" t="n"/>
      <c r="C434" s="24" t="n"/>
      <c r="D434" s="15" t="n"/>
      <c r="E434" s="23" t="n"/>
      <c r="F434" s="15" t="n"/>
      <c r="G434" s="23" t="n"/>
      <c r="H434" s="25" t="n"/>
      <c r="I434" s="15" t="n"/>
      <c r="J434" s="26">
        <f>IF($A434="","",LEN($C434)-LEN(SUBSTITUTE($C434,",",""))+1)</f>
        <v/>
      </c>
      <c r="K434" s="26">
        <f>IF($A434="","",SUMPRODUCT(--ISNUMBER(SEARCH('Category Dictionary'!$D$5:$D$135&amp;"",$C434)),--('Category Dictionary'!$D$5:$D$135&lt;&gt;"")))</f>
        <v/>
      </c>
      <c r="L434" s="27">
        <f>IF($A434="","",TRIM(IF(ISERROR(FIND(",",$C434)),$C434,LEFT($C434,FIND(",",$C434)-1))))</f>
        <v/>
      </c>
      <c r="M434" s="28">
        <f>IF($H434="","",DATE(YEAR($H434),MONTH($H434),1))</f>
        <v/>
      </c>
      <c r="N434" s="26">
        <f>IF($H434="","",TODAY()-$H434)</f>
        <v/>
      </c>
      <c r="O434" s="15" t="n"/>
      <c r="P434" s="15" t="n"/>
      <c r="Q434" s="15" t="n"/>
      <c r="R434" s="25" t="n"/>
      <c r="S434" s="26">
        <f>IF($A434="","",AND(OR('Assignment Builder'!$B$5="",$B434='Assignment Builder'!$B$5),OR('Assignment Builder'!$B$6="",ISNUMBER(SEARCH('Assignment Builder'!$B$6,$C434))),OR('Assignment Builder'!$B$7="",'Assignment Builder'!$B$7=IFERROR(INDEX('Category Dictionary'!$C$5:$C$135,MATCH($L434,'Category Dictionary'!$D$5:$D$135,0)),"")),OR('Assignment Builder'!$B$8="",$D434='Assignment Builder'!$B$8),OR('Assignment Builder'!$B$9="",$F434='Assignment Builder'!$B$9),OR('Assignment Builder'!$B$10="",$O434='Assignment Builder'!$B$10),OR('Assignment Builder'!$B$11="",$H434&gt;='Assignment Builder'!$B$11),OR('Assignment Builder'!$B$12="",N($Q434)&lt;='Assignment Builder'!$B$12)))</f>
        <v/>
      </c>
      <c r="T434" s="23" t="n"/>
    </row>
    <row r="435">
      <c r="A435" s="23" t="n"/>
      <c r="B435" s="23" t="n"/>
      <c r="C435" s="24" t="n"/>
      <c r="D435" s="15" t="n"/>
      <c r="E435" s="23" t="n"/>
      <c r="F435" s="15" t="n"/>
      <c r="G435" s="23" t="n"/>
      <c r="H435" s="25" t="n"/>
      <c r="I435" s="15" t="n"/>
      <c r="J435" s="26">
        <f>IF($A435="","",LEN($C435)-LEN(SUBSTITUTE($C435,",",""))+1)</f>
        <v/>
      </c>
      <c r="K435" s="26">
        <f>IF($A435="","",SUMPRODUCT(--ISNUMBER(SEARCH('Category Dictionary'!$D$5:$D$135&amp;"",$C435)),--('Category Dictionary'!$D$5:$D$135&lt;&gt;"")))</f>
        <v/>
      </c>
      <c r="L435" s="27">
        <f>IF($A435="","",TRIM(IF(ISERROR(FIND(",",$C435)),$C435,LEFT($C435,FIND(",",$C435)-1))))</f>
        <v/>
      </c>
      <c r="M435" s="28">
        <f>IF($H435="","",DATE(YEAR($H435),MONTH($H435),1))</f>
        <v/>
      </c>
      <c r="N435" s="26">
        <f>IF($H435="","",TODAY()-$H435)</f>
        <v/>
      </c>
      <c r="O435" s="15" t="n"/>
      <c r="P435" s="15" t="n"/>
      <c r="Q435" s="15" t="n"/>
      <c r="R435" s="25" t="n"/>
      <c r="S435" s="26">
        <f>IF($A435="","",AND(OR('Assignment Builder'!$B$5="",$B435='Assignment Builder'!$B$5),OR('Assignment Builder'!$B$6="",ISNUMBER(SEARCH('Assignment Builder'!$B$6,$C435))),OR('Assignment Builder'!$B$7="",'Assignment Builder'!$B$7=IFERROR(INDEX('Category Dictionary'!$C$5:$C$135,MATCH($L435,'Category Dictionary'!$D$5:$D$135,0)),"")),OR('Assignment Builder'!$B$8="",$D435='Assignment Builder'!$B$8),OR('Assignment Builder'!$B$9="",$F435='Assignment Builder'!$B$9),OR('Assignment Builder'!$B$10="",$O435='Assignment Builder'!$B$10),OR('Assignment Builder'!$B$11="",$H435&gt;='Assignment Builder'!$B$11),OR('Assignment Builder'!$B$12="",N($Q435)&lt;='Assignment Builder'!$B$12)))</f>
        <v/>
      </c>
      <c r="T435" s="23" t="n"/>
    </row>
    <row r="436">
      <c r="A436" s="23" t="n"/>
      <c r="B436" s="23" t="n"/>
      <c r="C436" s="24" t="n"/>
      <c r="D436" s="15" t="n"/>
      <c r="E436" s="23" t="n"/>
      <c r="F436" s="15" t="n"/>
      <c r="G436" s="23" t="n"/>
      <c r="H436" s="25" t="n"/>
      <c r="I436" s="15" t="n"/>
      <c r="J436" s="26">
        <f>IF($A436="","",LEN($C436)-LEN(SUBSTITUTE($C436,",",""))+1)</f>
        <v/>
      </c>
      <c r="K436" s="26">
        <f>IF($A436="","",SUMPRODUCT(--ISNUMBER(SEARCH('Category Dictionary'!$D$5:$D$135&amp;"",$C436)),--('Category Dictionary'!$D$5:$D$135&lt;&gt;"")))</f>
        <v/>
      </c>
      <c r="L436" s="27">
        <f>IF($A436="","",TRIM(IF(ISERROR(FIND(",",$C436)),$C436,LEFT($C436,FIND(",",$C436)-1))))</f>
        <v/>
      </c>
      <c r="M436" s="28">
        <f>IF($H436="","",DATE(YEAR($H436),MONTH($H436),1))</f>
        <v/>
      </c>
      <c r="N436" s="26">
        <f>IF($H436="","",TODAY()-$H436)</f>
        <v/>
      </c>
      <c r="O436" s="15" t="n"/>
      <c r="P436" s="15" t="n"/>
      <c r="Q436" s="15" t="n"/>
      <c r="R436" s="25" t="n"/>
      <c r="S436" s="26">
        <f>IF($A436="","",AND(OR('Assignment Builder'!$B$5="",$B436='Assignment Builder'!$B$5),OR('Assignment Builder'!$B$6="",ISNUMBER(SEARCH('Assignment Builder'!$B$6,$C436))),OR('Assignment Builder'!$B$7="",'Assignment Builder'!$B$7=IFERROR(INDEX('Category Dictionary'!$C$5:$C$135,MATCH($L436,'Category Dictionary'!$D$5:$D$135,0)),"")),OR('Assignment Builder'!$B$8="",$D436='Assignment Builder'!$B$8),OR('Assignment Builder'!$B$9="",$F436='Assignment Builder'!$B$9),OR('Assignment Builder'!$B$10="",$O436='Assignment Builder'!$B$10),OR('Assignment Builder'!$B$11="",$H436&gt;='Assignment Builder'!$B$11),OR('Assignment Builder'!$B$12="",N($Q436)&lt;='Assignment Builder'!$B$12)))</f>
        <v/>
      </c>
      <c r="T436" s="23" t="n"/>
    </row>
    <row r="437">
      <c r="A437" s="23" t="n"/>
      <c r="B437" s="23" t="n"/>
      <c r="C437" s="24" t="n"/>
      <c r="D437" s="15" t="n"/>
      <c r="E437" s="23" t="n"/>
      <c r="F437" s="15" t="n"/>
      <c r="G437" s="23" t="n"/>
      <c r="H437" s="25" t="n"/>
      <c r="I437" s="15" t="n"/>
      <c r="J437" s="26">
        <f>IF($A437="","",LEN($C437)-LEN(SUBSTITUTE($C437,",",""))+1)</f>
        <v/>
      </c>
      <c r="K437" s="26">
        <f>IF($A437="","",SUMPRODUCT(--ISNUMBER(SEARCH('Category Dictionary'!$D$5:$D$135&amp;"",$C437)),--('Category Dictionary'!$D$5:$D$135&lt;&gt;"")))</f>
        <v/>
      </c>
      <c r="L437" s="27">
        <f>IF($A437="","",TRIM(IF(ISERROR(FIND(",",$C437)),$C437,LEFT($C437,FIND(",",$C437)-1))))</f>
        <v/>
      </c>
      <c r="M437" s="28">
        <f>IF($H437="","",DATE(YEAR($H437),MONTH($H437),1))</f>
        <v/>
      </c>
      <c r="N437" s="26">
        <f>IF($H437="","",TODAY()-$H437)</f>
        <v/>
      </c>
      <c r="O437" s="15" t="n"/>
      <c r="P437" s="15" t="n"/>
      <c r="Q437" s="15" t="n"/>
      <c r="R437" s="25" t="n"/>
      <c r="S437" s="26">
        <f>IF($A437="","",AND(OR('Assignment Builder'!$B$5="",$B437='Assignment Builder'!$B$5),OR('Assignment Builder'!$B$6="",ISNUMBER(SEARCH('Assignment Builder'!$B$6,$C437))),OR('Assignment Builder'!$B$7="",'Assignment Builder'!$B$7=IFERROR(INDEX('Category Dictionary'!$C$5:$C$135,MATCH($L437,'Category Dictionary'!$D$5:$D$135,0)),"")),OR('Assignment Builder'!$B$8="",$D437='Assignment Builder'!$B$8),OR('Assignment Builder'!$B$9="",$F437='Assignment Builder'!$B$9),OR('Assignment Builder'!$B$10="",$O437='Assignment Builder'!$B$10),OR('Assignment Builder'!$B$11="",$H437&gt;='Assignment Builder'!$B$11),OR('Assignment Builder'!$B$12="",N($Q437)&lt;='Assignment Builder'!$B$12)))</f>
        <v/>
      </c>
      <c r="T437" s="23" t="n"/>
    </row>
    <row r="438">
      <c r="A438" s="23" t="n"/>
      <c r="B438" s="23" t="n"/>
      <c r="C438" s="24" t="n"/>
      <c r="D438" s="15" t="n"/>
      <c r="E438" s="23" t="n"/>
      <c r="F438" s="15" t="n"/>
      <c r="G438" s="23" t="n"/>
      <c r="H438" s="25" t="n"/>
      <c r="I438" s="15" t="n"/>
      <c r="J438" s="26">
        <f>IF($A438="","",LEN($C438)-LEN(SUBSTITUTE($C438,",",""))+1)</f>
        <v/>
      </c>
      <c r="K438" s="26">
        <f>IF($A438="","",SUMPRODUCT(--ISNUMBER(SEARCH('Category Dictionary'!$D$5:$D$135&amp;"",$C438)),--('Category Dictionary'!$D$5:$D$135&lt;&gt;"")))</f>
        <v/>
      </c>
      <c r="L438" s="27">
        <f>IF($A438="","",TRIM(IF(ISERROR(FIND(",",$C438)),$C438,LEFT($C438,FIND(",",$C438)-1))))</f>
        <v/>
      </c>
      <c r="M438" s="28">
        <f>IF($H438="","",DATE(YEAR($H438),MONTH($H438),1))</f>
        <v/>
      </c>
      <c r="N438" s="26">
        <f>IF($H438="","",TODAY()-$H438)</f>
        <v/>
      </c>
      <c r="O438" s="15" t="n"/>
      <c r="P438" s="15" t="n"/>
      <c r="Q438" s="15" t="n"/>
      <c r="R438" s="25" t="n"/>
      <c r="S438" s="26">
        <f>IF($A438="","",AND(OR('Assignment Builder'!$B$5="",$B438='Assignment Builder'!$B$5),OR('Assignment Builder'!$B$6="",ISNUMBER(SEARCH('Assignment Builder'!$B$6,$C438))),OR('Assignment Builder'!$B$7="",'Assignment Builder'!$B$7=IFERROR(INDEX('Category Dictionary'!$C$5:$C$135,MATCH($L438,'Category Dictionary'!$D$5:$D$135,0)),"")),OR('Assignment Builder'!$B$8="",$D438='Assignment Builder'!$B$8),OR('Assignment Builder'!$B$9="",$F438='Assignment Builder'!$B$9),OR('Assignment Builder'!$B$10="",$O438='Assignment Builder'!$B$10),OR('Assignment Builder'!$B$11="",$H438&gt;='Assignment Builder'!$B$11),OR('Assignment Builder'!$B$12="",N($Q438)&lt;='Assignment Builder'!$B$12)))</f>
        <v/>
      </c>
      <c r="T438" s="23" t="n"/>
    </row>
    <row r="439">
      <c r="A439" s="23" t="n"/>
      <c r="B439" s="23" t="n"/>
      <c r="C439" s="24" t="n"/>
      <c r="D439" s="15" t="n"/>
      <c r="E439" s="23" t="n"/>
      <c r="F439" s="15" t="n"/>
      <c r="G439" s="23" t="n"/>
      <c r="H439" s="25" t="n"/>
      <c r="I439" s="15" t="n"/>
      <c r="J439" s="26">
        <f>IF($A439="","",LEN($C439)-LEN(SUBSTITUTE($C439,",",""))+1)</f>
        <v/>
      </c>
      <c r="K439" s="26">
        <f>IF($A439="","",SUMPRODUCT(--ISNUMBER(SEARCH('Category Dictionary'!$D$5:$D$135&amp;"",$C439)),--('Category Dictionary'!$D$5:$D$135&lt;&gt;"")))</f>
        <v/>
      </c>
      <c r="L439" s="27">
        <f>IF($A439="","",TRIM(IF(ISERROR(FIND(",",$C439)),$C439,LEFT($C439,FIND(",",$C439)-1))))</f>
        <v/>
      </c>
      <c r="M439" s="28">
        <f>IF($H439="","",DATE(YEAR($H439),MONTH($H439),1))</f>
        <v/>
      </c>
      <c r="N439" s="26">
        <f>IF($H439="","",TODAY()-$H439)</f>
        <v/>
      </c>
      <c r="O439" s="15" t="n"/>
      <c r="P439" s="15" t="n"/>
      <c r="Q439" s="15" t="n"/>
      <c r="R439" s="25" t="n"/>
      <c r="S439" s="26">
        <f>IF($A439="","",AND(OR('Assignment Builder'!$B$5="",$B439='Assignment Builder'!$B$5),OR('Assignment Builder'!$B$6="",ISNUMBER(SEARCH('Assignment Builder'!$B$6,$C439))),OR('Assignment Builder'!$B$7="",'Assignment Builder'!$B$7=IFERROR(INDEX('Category Dictionary'!$C$5:$C$135,MATCH($L439,'Category Dictionary'!$D$5:$D$135,0)),"")),OR('Assignment Builder'!$B$8="",$D439='Assignment Builder'!$B$8),OR('Assignment Builder'!$B$9="",$F439='Assignment Builder'!$B$9),OR('Assignment Builder'!$B$10="",$O439='Assignment Builder'!$B$10),OR('Assignment Builder'!$B$11="",$H439&gt;='Assignment Builder'!$B$11),OR('Assignment Builder'!$B$12="",N($Q439)&lt;='Assignment Builder'!$B$12)))</f>
        <v/>
      </c>
      <c r="T439" s="23" t="n"/>
    </row>
    <row r="440">
      <c r="A440" s="23" t="n"/>
      <c r="B440" s="23" t="n"/>
      <c r="C440" s="24" t="n"/>
      <c r="D440" s="15" t="n"/>
      <c r="E440" s="23" t="n"/>
      <c r="F440" s="15" t="n"/>
      <c r="G440" s="23" t="n"/>
      <c r="H440" s="25" t="n"/>
      <c r="I440" s="15" t="n"/>
      <c r="J440" s="26">
        <f>IF($A440="","",LEN($C440)-LEN(SUBSTITUTE($C440,",",""))+1)</f>
        <v/>
      </c>
      <c r="K440" s="26">
        <f>IF($A440="","",SUMPRODUCT(--ISNUMBER(SEARCH('Category Dictionary'!$D$5:$D$135&amp;"",$C440)),--('Category Dictionary'!$D$5:$D$135&lt;&gt;"")))</f>
        <v/>
      </c>
      <c r="L440" s="27">
        <f>IF($A440="","",TRIM(IF(ISERROR(FIND(",",$C440)),$C440,LEFT($C440,FIND(",",$C440)-1))))</f>
        <v/>
      </c>
      <c r="M440" s="28">
        <f>IF($H440="","",DATE(YEAR($H440),MONTH($H440),1))</f>
        <v/>
      </c>
      <c r="N440" s="26">
        <f>IF($H440="","",TODAY()-$H440)</f>
        <v/>
      </c>
      <c r="O440" s="15" t="n"/>
      <c r="P440" s="15" t="n"/>
      <c r="Q440" s="15" t="n"/>
      <c r="R440" s="25" t="n"/>
      <c r="S440" s="26">
        <f>IF($A440="","",AND(OR('Assignment Builder'!$B$5="",$B440='Assignment Builder'!$B$5),OR('Assignment Builder'!$B$6="",ISNUMBER(SEARCH('Assignment Builder'!$B$6,$C440))),OR('Assignment Builder'!$B$7="",'Assignment Builder'!$B$7=IFERROR(INDEX('Category Dictionary'!$C$5:$C$135,MATCH($L440,'Category Dictionary'!$D$5:$D$135,0)),"")),OR('Assignment Builder'!$B$8="",$D440='Assignment Builder'!$B$8),OR('Assignment Builder'!$B$9="",$F440='Assignment Builder'!$B$9),OR('Assignment Builder'!$B$10="",$O440='Assignment Builder'!$B$10),OR('Assignment Builder'!$B$11="",$H440&gt;='Assignment Builder'!$B$11),OR('Assignment Builder'!$B$12="",N($Q440)&lt;='Assignment Builder'!$B$12)))</f>
        <v/>
      </c>
      <c r="T440" s="23" t="n"/>
    </row>
    <row r="441">
      <c r="A441" s="23" t="n"/>
      <c r="B441" s="23" t="n"/>
      <c r="C441" s="24" t="n"/>
      <c r="D441" s="15" t="n"/>
      <c r="E441" s="23" t="n"/>
      <c r="F441" s="15" t="n"/>
      <c r="G441" s="23" t="n"/>
      <c r="H441" s="25" t="n"/>
      <c r="I441" s="15" t="n"/>
      <c r="J441" s="26">
        <f>IF($A441="","",LEN($C441)-LEN(SUBSTITUTE($C441,",",""))+1)</f>
        <v/>
      </c>
      <c r="K441" s="26">
        <f>IF($A441="","",SUMPRODUCT(--ISNUMBER(SEARCH('Category Dictionary'!$D$5:$D$135&amp;"",$C441)),--('Category Dictionary'!$D$5:$D$135&lt;&gt;"")))</f>
        <v/>
      </c>
      <c r="L441" s="27">
        <f>IF($A441="","",TRIM(IF(ISERROR(FIND(",",$C441)),$C441,LEFT($C441,FIND(",",$C441)-1))))</f>
        <v/>
      </c>
      <c r="M441" s="28">
        <f>IF($H441="","",DATE(YEAR($H441),MONTH($H441),1))</f>
        <v/>
      </c>
      <c r="N441" s="26">
        <f>IF($H441="","",TODAY()-$H441)</f>
        <v/>
      </c>
      <c r="O441" s="15" t="n"/>
      <c r="P441" s="15" t="n"/>
      <c r="Q441" s="15" t="n"/>
      <c r="R441" s="25" t="n"/>
      <c r="S441" s="26">
        <f>IF($A441="","",AND(OR('Assignment Builder'!$B$5="",$B441='Assignment Builder'!$B$5),OR('Assignment Builder'!$B$6="",ISNUMBER(SEARCH('Assignment Builder'!$B$6,$C441))),OR('Assignment Builder'!$B$7="",'Assignment Builder'!$B$7=IFERROR(INDEX('Category Dictionary'!$C$5:$C$135,MATCH($L441,'Category Dictionary'!$D$5:$D$135,0)),"")),OR('Assignment Builder'!$B$8="",$D441='Assignment Builder'!$B$8),OR('Assignment Builder'!$B$9="",$F441='Assignment Builder'!$B$9),OR('Assignment Builder'!$B$10="",$O441='Assignment Builder'!$B$10),OR('Assignment Builder'!$B$11="",$H441&gt;='Assignment Builder'!$B$11),OR('Assignment Builder'!$B$12="",N($Q441)&lt;='Assignment Builder'!$B$12)))</f>
        <v/>
      </c>
      <c r="T441" s="23" t="n"/>
    </row>
    <row r="442">
      <c r="A442" s="23" t="n"/>
      <c r="B442" s="23" t="n"/>
      <c r="C442" s="24" t="n"/>
      <c r="D442" s="15" t="n"/>
      <c r="E442" s="23" t="n"/>
      <c r="F442" s="15" t="n"/>
      <c r="G442" s="23" t="n"/>
      <c r="H442" s="25" t="n"/>
      <c r="I442" s="15" t="n"/>
      <c r="J442" s="26">
        <f>IF($A442="","",LEN($C442)-LEN(SUBSTITUTE($C442,",",""))+1)</f>
        <v/>
      </c>
      <c r="K442" s="26">
        <f>IF($A442="","",SUMPRODUCT(--ISNUMBER(SEARCH('Category Dictionary'!$D$5:$D$135&amp;"",$C442)),--('Category Dictionary'!$D$5:$D$135&lt;&gt;"")))</f>
        <v/>
      </c>
      <c r="L442" s="27">
        <f>IF($A442="","",TRIM(IF(ISERROR(FIND(",",$C442)),$C442,LEFT($C442,FIND(",",$C442)-1))))</f>
        <v/>
      </c>
      <c r="M442" s="28">
        <f>IF($H442="","",DATE(YEAR($H442),MONTH($H442),1))</f>
        <v/>
      </c>
      <c r="N442" s="26">
        <f>IF($H442="","",TODAY()-$H442)</f>
        <v/>
      </c>
      <c r="O442" s="15" t="n"/>
      <c r="P442" s="15" t="n"/>
      <c r="Q442" s="15" t="n"/>
      <c r="R442" s="25" t="n"/>
      <c r="S442" s="26">
        <f>IF($A442="","",AND(OR('Assignment Builder'!$B$5="",$B442='Assignment Builder'!$B$5),OR('Assignment Builder'!$B$6="",ISNUMBER(SEARCH('Assignment Builder'!$B$6,$C442))),OR('Assignment Builder'!$B$7="",'Assignment Builder'!$B$7=IFERROR(INDEX('Category Dictionary'!$C$5:$C$135,MATCH($L442,'Category Dictionary'!$D$5:$D$135,0)),"")),OR('Assignment Builder'!$B$8="",$D442='Assignment Builder'!$B$8),OR('Assignment Builder'!$B$9="",$F442='Assignment Builder'!$B$9),OR('Assignment Builder'!$B$10="",$O442='Assignment Builder'!$B$10),OR('Assignment Builder'!$B$11="",$H442&gt;='Assignment Builder'!$B$11),OR('Assignment Builder'!$B$12="",N($Q442)&lt;='Assignment Builder'!$B$12)))</f>
        <v/>
      </c>
      <c r="T442" s="23" t="n"/>
    </row>
    <row r="443">
      <c r="A443" s="23" t="n"/>
      <c r="B443" s="23" t="n"/>
      <c r="C443" s="24" t="n"/>
      <c r="D443" s="15" t="n"/>
      <c r="E443" s="23" t="n"/>
      <c r="F443" s="15" t="n"/>
      <c r="G443" s="23" t="n"/>
      <c r="H443" s="25" t="n"/>
      <c r="I443" s="15" t="n"/>
      <c r="J443" s="26">
        <f>IF($A443="","",LEN($C443)-LEN(SUBSTITUTE($C443,",",""))+1)</f>
        <v/>
      </c>
      <c r="K443" s="26">
        <f>IF($A443="","",SUMPRODUCT(--ISNUMBER(SEARCH('Category Dictionary'!$D$5:$D$135&amp;"",$C443)),--('Category Dictionary'!$D$5:$D$135&lt;&gt;"")))</f>
        <v/>
      </c>
      <c r="L443" s="27">
        <f>IF($A443="","",TRIM(IF(ISERROR(FIND(",",$C443)),$C443,LEFT($C443,FIND(",",$C443)-1))))</f>
        <v/>
      </c>
      <c r="M443" s="28">
        <f>IF($H443="","",DATE(YEAR($H443),MONTH($H443),1))</f>
        <v/>
      </c>
      <c r="N443" s="26">
        <f>IF($H443="","",TODAY()-$H443)</f>
        <v/>
      </c>
      <c r="O443" s="15" t="n"/>
      <c r="P443" s="15" t="n"/>
      <c r="Q443" s="15" t="n"/>
      <c r="R443" s="25" t="n"/>
      <c r="S443" s="26">
        <f>IF($A443="","",AND(OR('Assignment Builder'!$B$5="",$B443='Assignment Builder'!$B$5),OR('Assignment Builder'!$B$6="",ISNUMBER(SEARCH('Assignment Builder'!$B$6,$C443))),OR('Assignment Builder'!$B$7="",'Assignment Builder'!$B$7=IFERROR(INDEX('Category Dictionary'!$C$5:$C$135,MATCH($L443,'Category Dictionary'!$D$5:$D$135,0)),"")),OR('Assignment Builder'!$B$8="",$D443='Assignment Builder'!$B$8),OR('Assignment Builder'!$B$9="",$F443='Assignment Builder'!$B$9),OR('Assignment Builder'!$B$10="",$O443='Assignment Builder'!$B$10),OR('Assignment Builder'!$B$11="",$H443&gt;='Assignment Builder'!$B$11),OR('Assignment Builder'!$B$12="",N($Q443)&lt;='Assignment Builder'!$B$12)))</f>
        <v/>
      </c>
      <c r="T443" s="23" t="n"/>
    </row>
    <row r="444">
      <c r="A444" s="23" t="n"/>
      <c r="B444" s="23" t="n"/>
      <c r="C444" s="24" t="n"/>
      <c r="D444" s="15" t="n"/>
      <c r="E444" s="23" t="n"/>
      <c r="F444" s="15" t="n"/>
      <c r="G444" s="23" t="n"/>
      <c r="H444" s="25" t="n"/>
      <c r="I444" s="15" t="n"/>
      <c r="J444" s="26">
        <f>IF($A444="","",LEN($C444)-LEN(SUBSTITUTE($C444,",",""))+1)</f>
        <v/>
      </c>
      <c r="K444" s="26">
        <f>IF($A444="","",SUMPRODUCT(--ISNUMBER(SEARCH('Category Dictionary'!$D$5:$D$135&amp;"",$C444)),--('Category Dictionary'!$D$5:$D$135&lt;&gt;"")))</f>
        <v/>
      </c>
      <c r="L444" s="27">
        <f>IF($A444="","",TRIM(IF(ISERROR(FIND(",",$C444)),$C444,LEFT($C444,FIND(",",$C444)-1))))</f>
        <v/>
      </c>
      <c r="M444" s="28">
        <f>IF($H444="","",DATE(YEAR($H444),MONTH($H444),1))</f>
        <v/>
      </c>
      <c r="N444" s="26">
        <f>IF($H444="","",TODAY()-$H444)</f>
        <v/>
      </c>
      <c r="O444" s="15" t="n"/>
      <c r="P444" s="15" t="n"/>
      <c r="Q444" s="15" t="n"/>
      <c r="R444" s="25" t="n"/>
      <c r="S444" s="26">
        <f>IF($A444="","",AND(OR('Assignment Builder'!$B$5="",$B444='Assignment Builder'!$B$5),OR('Assignment Builder'!$B$6="",ISNUMBER(SEARCH('Assignment Builder'!$B$6,$C444))),OR('Assignment Builder'!$B$7="",'Assignment Builder'!$B$7=IFERROR(INDEX('Category Dictionary'!$C$5:$C$135,MATCH($L444,'Category Dictionary'!$D$5:$D$135,0)),"")),OR('Assignment Builder'!$B$8="",$D444='Assignment Builder'!$B$8),OR('Assignment Builder'!$B$9="",$F444='Assignment Builder'!$B$9),OR('Assignment Builder'!$B$10="",$O444='Assignment Builder'!$B$10),OR('Assignment Builder'!$B$11="",$H444&gt;='Assignment Builder'!$B$11),OR('Assignment Builder'!$B$12="",N($Q444)&lt;='Assignment Builder'!$B$12)))</f>
        <v/>
      </c>
      <c r="T444" s="23" t="n"/>
    </row>
    <row r="445">
      <c r="A445" s="23" t="n"/>
      <c r="B445" s="23" t="n"/>
      <c r="C445" s="24" t="n"/>
      <c r="D445" s="15" t="n"/>
      <c r="E445" s="23" t="n"/>
      <c r="F445" s="15" t="n"/>
      <c r="G445" s="23" t="n"/>
      <c r="H445" s="25" t="n"/>
      <c r="I445" s="15" t="n"/>
      <c r="J445" s="26">
        <f>IF($A445="","",LEN($C445)-LEN(SUBSTITUTE($C445,",",""))+1)</f>
        <v/>
      </c>
      <c r="K445" s="26">
        <f>IF($A445="","",SUMPRODUCT(--ISNUMBER(SEARCH('Category Dictionary'!$D$5:$D$135&amp;"",$C445)),--('Category Dictionary'!$D$5:$D$135&lt;&gt;"")))</f>
        <v/>
      </c>
      <c r="L445" s="27">
        <f>IF($A445="","",TRIM(IF(ISERROR(FIND(",",$C445)),$C445,LEFT($C445,FIND(",",$C445)-1))))</f>
        <v/>
      </c>
      <c r="M445" s="28">
        <f>IF($H445="","",DATE(YEAR($H445),MONTH($H445),1))</f>
        <v/>
      </c>
      <c r="N445" s="26">
        <f>IF($H445="","",TODAY()-$H445)</f>
        <v/>
      </c>
      <c r="O445" s="15" t="n"/>
      <c r="P445" s="15" t="n"/>
      <c r="Q445" s="15" t="n"/>
      <c r="R445" s="25" t="n"/>
      <c r="S445" s="26">
        <f>IF($A445="","",AND(OR('Assignment Builder'!$B$5="",$B445='Assignment Builder'!$B$5),OR('Assignment Builder'!$B$6="",ISNUMBER(SEARCH('Assignment Builder'!$B$6,$C445))),OR('Assignment Builder'!$B$7="",'Assignment Builder'!$B$7=IFERROR(INDEX('Category Dictionary'!$C$5:$C$135,MATCH($L445,'Category Dictionary'!$D$5:$D$135,0)),"")),OR('Assignment Builder'!$B$8="",$D445='Assignment Builder'!$B$8),OR('Assignment Builder'!$B$9="",$F445='Assignment Builder'!$B$9),OR('Assignment Builder'!$B$10="",$O445='Assignment Builder'!$B$10),OR('Assignment Builder'!$B$11="",$H445&gt;='Assignment Builder'!$B$11),OR('Assignment Builder'!$B$12="",N($Q445)&lt;='Assignment Builder'!$B$12)))</f>
        <v/>
      </c>
      <c r="T445" s="23" t="n"/>
    </row>
    <row r="446">
      <c r="A446" s="23" t="n"/>
      <c r="B446" s="23" t="n"/>
      <c r="C446" s="24" t="n"/>
      <c r="D446" s="15" t="n"/>
      <c r="E446" s="23" t="n"/>
      <c r="F446" s="15" t="n"/>
      <c r="G446" s="23" t="n"/>
      <c r="H446" s="25" t="n"/>
      <c r="I446" s="15" t="n"/>
      <c r="J446" s="26">
        <f>IF($A446="","",LEN($C446)-LEN(SUBSTITUTE($C446,",",""))+1)</f>
        <v/>
      </c>
      <c r="K446" s="26">
        <f>IF($A446="","",SUMPRODUCT(--ISNUMBER(SEARCH('Category Dictionary'!$D$5:$D$135&amp;"",$C446)),--('Category Dictionary'!$D$5:$D$135&lt;&gt;"")))</f>
        <v/>
      </c>
      <c r="L446" s="27">
        <f>IF($A446="","",TRIM(IF(ISERROR(FIND(",",$C446)),$C446,LEFT($C446,FIND(",",$C446)-1))))</f>
        <v/>
      </c>
      <c r="M446" s="28">
        <f>IF($H446="","",DATE(YEAR($H446),MONTH($H446),1))</f>
        <v/>
      </c>
      <c r="N446" s="26">
        <f>IF($H446="","",TODAY()-$H446)</f>
        <v/>
      </c>
      <c r="O446" s="15" t="n"/>
      <c r="P446" s="15" t="n"/>
      <c r="Q446" s="15" t="n"/>
      <c r="R446" s="25" t="n"/>
      <c r="S446" s="26">
        <f>IF($A446="","",AND(OR('Assignment Builder'!$B$5="",$B446='Assignment Builder'!$B$5),OR('Assignment Builder'!$B$6="",ISNUMBER(SEARCH('Assignment Builder'!$B$6,$C446))),OR('Assignment Builder'!$B$7="",'Assignment Builder'!$B$7=IFERROR(INDEX('Category Dictionary'!$C$5:$C$135,MATCH($L446,'Category Dictionary'!$D$5:$D$135,0)),"")),OR('Assignment Builder'!$B$8="",$D446='Assignment Builder'!$B$8),OR('Assignment Builder'!$B$9="",$F446='Assignment Builder'!$B$9),OR('Assignment Builder'!$B$10="",$O446='Assignment Builder'!$B$10),OR('Assignment Builder'!$B$11="",$H446&gt;='Assignment Builder'!$B$11),OR('Assignment Builder'!$B$12="",N($Q446)&lt;='Assignment Builder'!$B$12)))</f>
        <v/>
      </c>
      <c r="T446" s="23" t="n"/>
    </row>
    <row r="447">
      <c r="A447" s="23" t="n"/>
      <c r="B447" s="23" t="n"/>
      <c r="C447" s="24" t="n"/>
      <c r="D447" s="15" t="n"/>
      <c r="E447" s="23" t="n"/>
      <c r="F447" s="15" t="n"/>
      <c r="G447" s="23" t="n"/>
      <c r="H447" s="25" t="n"/>
      <c r="I447" s="15" t="n"/>
      <c r="J447" s="26">
        <f>IF($A447="","",LEN($C447)-LEN(SUBSTITUTE($C447,",",""))+1)</f>
        <v/>
      </c>
      <c r="K447" s="26">
        <f>IF($A447="","",SUMPRODUCT(--ISNUMBER(SEARCH('Category Dictionary'!$D$5:$D$135&amp;"",$C447)),--('Category Dictionary'!$D$5:$D$135&lt;&gt;"")))</f>
        <v/>
      </c>
      <c r="L447" s="27">
        <f>IF($A447="","",TRIM(IF(ISERROR(FIND(",",$C447)),$C447,LEFT($C447,FIND(",",$C447)-1))))</f>
        <v/>
      </c>
      <c r="M447" s="28">
        <f>IF($H447="","",DATE(YEAR($H447),MONTH($H447),1))</f>
        <v/>
      </c>
      <c r="N447" s="26">
        <f>IF($H447="","",TODAY()-$H447)</f>
        <v/>
      </c>
      <c r="O447" s="15" t="n"/>
      <c r="P447" s="15" t="n"/>
      <c r="Q447" s="15" t="n"/>
      <c r="R447" s="25" t="n"/>
      <c r="S447" s="26">
        <f>IF($A447="","",AND(OR('Assignment Builder'!$B$5="",$B447='Assignment Builder'!$B$5),OR('Assignment Builder'!$B$6="",ISNUMBER(SEARCH('Assignment Builder'!$B$6,$C447))),OR('Assignment Builder'!$B$7="",'Assignment Builder'!$B$7=IFERROR(INDEX('Category Dictionary'!$C$5:$C$135,MATCH($L447,'Category Dictionary'!$D$5:$D$135,0)),"")),OR('Assignment Builder'!$B$8="",$D447='Assignment Builder'!$B$8),OR('Assignment Builder'!$B$9="",$F447='Assignment Builder'!$B$9),OR('Assignment Builder'!$B$10="",$O447='Assignment Builder'!$B$10),OR('Assignment Builder'!$B$11="",$H447&gt;='Assignment Builder'!$B$11),OR('Assignment Builder'!$B$12="",N($Q447)&lt;='Assignment Builder'!$B$12)))</f>
        <v/>
      </c>
      <c r="T447" s="23" t="n"/>
    </row>
    <row r="448">
      <c r="A448" s="23" t="n"/>
      <c r="B448" s="23" t="n"/>
      <c r="C448" s="24" t="n"/>
      <c r="D448" s="15" t="n"/>
      <c r="E448" s="23" t="n"/>
      <c r="F448" s="15" t="n"/>
      <c r="G448" s="23" t="n"/>
      <c r="H448" s="25" t="n"/>
      <c r="I448" s="15" t="n"/>
      <c r="J448" s="26">
        <f>IF($A448="","",LEN($C448)-LEN(SUBSTITUTE($C448,",",""))+1)</f>
        <v/>
      </c>
      <c r="K448" s="26">
        <f>IF($A448="","",SUMPRODUCT(--ISNUMBER(SEARCH('Category Dictionary'!$D$5:$D$135&amp;"",$C448)),--('Category Dictionary'!$D$5:$D$135&lt;&gt;"")))</f>
        <v/>
      </c>
      <c r="L448" s="27">
        <f>IF($A448="","",TRIM(IF(ISERROR(FIND(",",$C448)),$C448,LEFT($C448,FIND(",",$C448)-1))))</f>
        <v/>
      </c>
      <c r="M448" s="28">
        <f>IF($H448="","",DATE(YEAR($H448),MONTH($H448),1))</f>
        <v/>
      </c>
      <c r="N448" s="26">
        <f>IF($H448="","",TODAY()-$H448)</f>
        <v/>
      </c>
      <c r="O448" s="15" t="n"/>
      <c r="P448" s="15" t="n"/>
      <c r="Q448" s="15" t="n"/>
      <c r="R448" s="25" t="n"/>
      <c r="S448" s="26">
        <f>IF($A448="","",AND(OR('Assignment Builder'!$B$5="",$B448='Assignment Builder'!$B$5),OR('Assignment Builder'!$B$6="",ISNUMBER(SEARCH('Assignment Builder'!$B$6,$C448))),OR('Assignment Builder'!$B$7="",'Assignment Builder'!$B$7=IFERROR(INDEX('Category Dictionary'!$C$5:$C$135,MATCH($L448,'Category Dictionary'!$D$5:$D$135,0)),"")),OR('Assignment Builder'!$B$8="",$D448='Assignment Builder'!$B$8),OR('Assignment Builder'!$B$9="",$F448='Assignment Builder'!$B$9),OR('Assignment Builder'!$B$10="",$O448='Assignment Builder'!$B$10),OR('Assignment Builder'!$B$11="",$H448&gt;='Assignment Builder'!$B$11),OR('Assignment Builder'!$B$12="",N($Q448)&lt;='Assignment Builder'!$B$12)))</f>
        <v/>
      </c>
      <c r="T448" s="23" t="n"/>
    </row>
    <row r="449">
      <c r="A449" s="23" t="n"/>
      <c r="B449" s="23" t="n"/>
      <c r="C449" s="24" t="n"/>
      <c r="D449" s="15" t="n"/>
      <c r="E449" s="23" t="n"/>
      <c r="F449" s="15" t="n"/>
      <c r="G449" s="23" t="n"/>
      <c r="H449" s="25" t="n"/>
      <c r="I449" s="15" t="n"/>
      <c r="J449" s="26">
        <f>IF($A449="","",LEN($C449)-LEN(SUBSTITUTE($C449,",",""))+1)</f>
        <v/>
      </c>
      <c r="K449" s="26">
        <f>IF($A449="","",SUMPRODUCT(--ISNUMBER(SEARCH('Category Dictionary'!$D$5:$D$135&amp;"",$C449)),--('Category Dictionary'!$D$5:$D$135&lt;&gt;"")))</f>
        <v/>
      </c>
      <c r="L449" s="27">
        <f>IF($A449="","",TRIM(IF(ISERROR(FIND(",",$C449)),$C449,LEFT($C449,FIND(",",$C449)-1))))</f>
        <v/>
      </c>
      <c r="M449" s="28">
        <f>IF($H449="","",DATE(YEAR($H449),MONTH($H449),1))</f>
        <v/>
      </c>
      <c r="N449" s="26">
        <f>IF($H449="","",TODAY()-$H449)</f>
        <v/>
      </c>
      <c r="O449" s="15" t="n"/>
      <c r="P449" s="15" t="n"/>
      <c r="Q449" s="15" t="n"/>
      <c r="R449" s="25" t="n"/>
      <c r="S449" s="26">
        <f>IF($A449="","",AND(OR('Assignment Builder'!$B$5="",$B449='Assignment Builder'!$B$5),OR('Assignment Builder'!$B$6="",ISNUMBER(SEARCH('Assignment Builder'!$B$6,$C449))),OR('Assignment Builder'!$B$7="",'Assignment Builder'!$B$7=IFERROR(INDEX('Category Dictionary'!$C$5:$C$135,MATCH($L449,'Category Dictionary'!$D$5:$D$135,0)),"")),OR('Assignment Builder'!$B$8="",$D449='Assignment Builder'!$B$8),OR('Assignment Builder'!$B$9="",$F449='Assignment Builder'!$B$9),OR('Assignment Builder'!$B$10="",$O449='Assignment Builder'!$B$10),OR('Assignment Builder'!$B$11="",$H449&gt;='Assignment Builder'!$B$11),OR('Assignment Builder'!$B$12="",N($Q449)&lt;='Assignment Builder'!$B$12)))</f>
        <v/>
      </c>
      <c r="T449" s="23" t="n"/>
    </row>
    <row r="450">
      <c r="A450" s="23" t="n"/>
      <c r="B450" s="23" t="n"/>
      <c r="C450" s="24" t="n"/>
      <c r="D450" s="15" t="n"/>
      <c r="E450" s="23" t="n"/>
      <c r="F450" s="15" t="n"/>
      <c r="G450" s="23" t="n"/>
      <c r="H450" s="25" t="n"/>
      <c r="I450" s="15" t="n"/>
      <c r="J450" s="26">
        <f>IF($A450="","",LEN($C450)-LEN(SUBSTITUTE($C450,",",""))+1)</f>
        <v/>
      </c>
      <c r="K450" s="26">
        <f>IF($A450="","",SUMPRODUCT(--ISNUMBER(SEARCH('Category Dictionary'!$D$5:$D$135&amp;"",$C450)),--('Category Dictionary'!$D$5:$D$135&lt;&gt;"")))</f>
        <v/>
      </c>
      <c r="L450" s="27">
        <f>IF($A450="","",TRIM(IF(ISERROR(FIND(",",$C450)),$C450,LEFT($C450,FIND(",",$C450)-1))))</f>
        <v/>
      </c>
      <c r="M450" s="28">
        <f>IF($H450="","",DATE(YEAR($H450),MONTH($H450),1))</f>
        <v/>
      </c>
      <c r="N450" s="26">
        <f>IF($H450="","",TODAY()-$H450)</f>
        <v/>
      </c>
      <c r="O450" s="15" t="n"/>
      <c r="P450" s="15" t="n"/>
      <c r="Q450" s="15" t="n"/>
      <c r="R450" s="25" t="n"/>
      <c r="S450" s="26">
        <f>IF($A450="","",AND(OR('Assignment Builder'!$B$5="",$B450='Assignment Builder'!$B$5),OR('Assignment Builder'!$B$6="",ISNUMBER(SEARCH('Assignment Builder'!$B$6,$C450))),OR('Assignment Builder'!$B$7="",'Assignment Builder'!$B$7=IFERROR(INDEX('Category Dictionary'!$C$5:$C$135,MATCH($L450,'Category Dictionary'!$D$5:$D$135,0)),"")),OR('Assignment Builder'!$B$8="",$D450='Assignment Builder'!$B$8),OR('Assignment Builder'!$B$9="",$F450='Assignment Builder'!$B$9),OR('Assignment Builder'!$B$10="",$O450='Assignment Builder'!$B$10),OR('Assignment Builder'!$B$11="",$H450&gt;='Assignment Builder'!$B$11),OR('Assignment Builder'!$B$12="",N($Q450)&lt;='Assignment Builder'!$B$12)))</f>
        <v/>
      </c>
      <c r="T450" s="23" t="n"/>
    </row>
    <row r="451">
      <c r="A451" s="23" t="n"/>
      <c r="B451" s="23" t="n"/>
      <c r="C451" s="24" t="n"/>
      <c r="D451" s="15" t="n"/>
      <c r="E451" s="23" t="n"/>
      <c r="F451" s="15" t="n"/>
      <c r="G451" s="23" t="n"/>
      <c r="H451" s="25" t="n"/>
      <c r="I451" s="15" t="n"/>
      <c r="J451" s="26">
        <f>IF($A451="","",LEN($C451)-LEN(SUBSTITUTE($C451,",",""))+1)</f>
        <v/>
      </c>
      <c r="K451" s="26">
        <f>IF($A451="","",SUMPRODUCT(--ISNUMBER(SEARCH('Category Dictionary'!$D$5:$D$135&amp;"",$C451)),--('Category Dictionary'!$D$5:$D$135&lt;&gt;"")))</f>
        <v/>
      </c>
      <c r="L451" s="27">
        <f>IF($A451="","",TRIM(IF(ISERROR(FIND(",",$C451)),$C451,LEFT($C451,FIND(",",$C451)-1))))</f>
        <v/>
      </c>
      <c r="M451" s="28">
        <f>IF($H451="","",DATE(YEAR($H451),MONTH($H451),1))</f>
        <v/>
      </c>
      <c r="N451" s="26">
        <f>IF($H451="","",TODAY()-$H451)</f>
        <v/>
      </c>
      <c r="O451" s="15" t="n"/>
      <c r="P451" s="15" t="n"/>
      <c r="Q451" s="15" t="n"/>
      <c r="R451" s="25" t="n"/>
      <c r="S451" s="26">
        <f>IF($A451="","",AND(OR('Assignment Builder'!$B$5="",$B451='Assignment Builder'!$B$5),OR('Assignment Builder'!$B$6="",ISNUMBER(SEARCH('Assignment Builder'!$B$6,$C451))),OR('Assignment Builder'!$B$7="",'Assignment Builder'!$B$7=IFERROR(INDEX('Category Dictionary'!$C$5:$C$135,MATCH($L451,'Category Dictionary'!$D$5:$D$135,0)),"")),OR('Assignment Builder'!$B$8="",$D451='Assignment Builder'!$B$8),OR('Assignment Builder'!$B$9="",$F451='Assignment Builder'!$B$9),OR('Assignment Builder'!$B$10="",$O451='Assignment Builder'!$B$10),OR('Assignment Builder'!$B$11="",$H451&gt;='Assignment Builder'!$B$11),OR('Assignment Builder'!$B$12="",N($Q451)&lt;='Assignment Builder'!$B$12)))</f>
        <v/>
      </c>
      <c r="T451" s="23" t="n"/>
    </row>
    <row r="452">
      <c r="A452" s="23" t="n"/>
      <c r="B452" s="23" t="n"/>
      <c r="C452" s="24" t="n"/>
      <c r="D452" s="15" t="n"/>
      <c r="E452" s="23" t="n"/>
      <c r="F452" s="15" t="n"/>
      <c r="G452" s="23" t="n"/>
      <c r="H452" s="25" t="n"/>
      <c r="I452" s="15" t="n"/>
      <c r="J452" s="26">
        <f>IF($A452="","",LEN($C452)-LEN(SUBSTITUTE($C452,",",""))+1)</f>
        <v/>
      </c>
      <c r="K452" s="26">
        <f>IF($A452="","",SUMPRODUCT(--ISNUMBER(SEARCH('Category Dictionary'!$D$5:$D$135&amp;"",$C452)),--('Category Dictionary'!$D$5:$D$135&lt;&gt;"")))</f>
        <v/>
      </c>
      <c r="L452" s="27">
        <f>IF($A452="","",TRIM(IF(ISERROR(FIND(",",$C452)),$C452,LEFT($C452,FIND(",",$C452)-1))))</f>
        <v/>
      </c>
      <c r="M452" s="28">
        <f>IF($H452="","",DATE(YEAR($H452),MONTH($H452),1))</f>
        <v/>
      </c>
      <c r="N452" s="26">
        <f>IF($H452="","",TODAY()-$H452)</f>
        <v/>
      </c>
      <c r="O452" s="15" t="n"/>
      <c r="P452" s="15" t="n"/>
      <c r="Q452" s="15" t="n"/>
      <c r="R452" s="25" t="n"/>
      <c r="S452" s="26">
        <f>IF($A452="","",AND(OR('Assignment Builder'!$B$5="",$B452='Assignment Builder'!$B$5),OR('Assignment Builder'!$B$6="",ISNUMBER(SEARCH('Assignment Builder'!$B$6,$C452))),OR('Assignment Builder'!$B$7="",'Assignment Builder'!$B$7=IFERROR(INDEX('Category Dictionary'!$C$5:$C$135,MATCH($L452,'Category Dictionary'!$D$5:$D$135,0)),"")),OR('Assignment Builder'!$B$8="",$D452='Assignment Builder'!$B$8),OR('Assignment Builder'!$B$9="",$F452='Assignment Builder'!$B$9),OR('Assignment Builder'!$B$10="",$O452='Assignment Builder'!$B$10),OR('Assignment Builder'!$B$11="",$H452&gt;='Assignment Builder'!$B$11),OR('Assignment Builder'!$B$12="",N($Q452)&lt;='Assignment Builder'!$B$12)))</f>
        <v/>
      </c>
      <c r="T452" s="23" t="n"/>
    </row>
    <row r="453">
      <c r="A453" s="23" t="n"/>
      <c r="B453" s="23" t="n"/>
      <c r="C453" s="24" t="n"/>
      <c r="D453" s="15" t="n"/>
      <c r="E453" s="23" t="n"/>
      <c r="F453" s="15" t="n"/>
      <c r="G453" s="23" t="n"/>
      <c r="H453" s="25" t="n"/>
      <c r="I453" s="15" t="n"/>
      <c r="J453" s="26">
        <f>IF($A453="","",LEN($C453)-LEN(SUBSTITUTE($C453,",",""))+1)</f>
        <v/>
      </c>
      <c r="K453" s="26">
        <f>IF($A453="","",SUMPRODUCT(--ISNUMBER(SEARCH('Category Dictionary'!$D$5:$D$135&amp;"",$C453)),--('Category Dictionary'!$D$5:$D$135&lt;&gt;"")))</f>
        <v/>
      </c>
      <c r="L453" s="27">
        <f>IF($A453="","",TRIM(IF(ISERROR(FIND(",",$C453)),$C453,LEFT($C453,FIND(",",$C453)-1))))</f>
        <v/>
      </c>
      <c r="M453" s="28">
        <f>IF($H453="","",DATE(YEAR($H453),MONTH($H453),1))</f>
        <v/>
      </c>
      <c r="N453" s="26">
        <f>IF($H453="","",TODAY()-$H453)</f>
        <v/>
      </c>
      <c r="O453" s="15" t="n"/>
      <c r="P453" s="15" t="n"/>
      <c r="Q453" s="15" t="n"/>
      <c r="R453" s="25" t="n"/>
      <c r="S453" s="26">
        <f>IF($A453="","",AND(OR('Assignment Builder'!$B$5="",$B453='Assignment Builder'!$B$5),OR('Assignment Builder'!$B$6="",ISNUMBER(SEARCH('Assignment Builder'!$B$6,$C453))),OR('Assignment Builder'!$B$7="",'Assignment Builder'!$B$7=IFERROR(INDEX('Category Dictionary'!$C$5:$C$135,MATCH($L453,'Category Dictionary'!$D$5:$D$135,0)),"")),OR('Assignment Builder'!$B$8="",$D453='Assignment Builder'!$B$8),OR('Assignment Builder'!$B$9="",$F453='Assignment Builder'!$B$9),OR('Assignment Builder'!$B$10="",$O453='Assignment Builder'!$B$10),OR('Assignment Builder'!$B$11="",$H453&gt;='Assignment Builder'!$B$11),OR('Assignment Builder'!$B$12="",N($Q453)&lt;='Assignment Builder'!$B$12)))</f>
        <v/>
      </c>
      <c r="T453" s="23" t="n"/>
    </row>
    <row r="454">
      <c r="A454" s="23" t="n"/>
      <c r="B454" s="23" t="n"/>
      <c r="C454" s="24" t="n"/>
      <c r="D454" s="15" t="n"/>
      <c r="E454" s="23" t="n"/>
      <c r="F454" s="15" t="n"/>
      <c r="G454" s="23" t="n"/>
      <c r="H454" s="25" t="n"/>
      <c r="I454" s="15" t="n"/>
      <c r="J454" s="26">
        <f>IF($A454="","",LEN($C454)-LEN(SUBSTITUTE($C454,",",""))+1)</f>
        <v/>
      </c>
      <c r="K454" s="26">
        <f>IF($A454="","",SUMPRODUCT(--ISNUMBER(SEARCH('Category Dictionary'!$D$5:$D$135&amp;"",$C454)),--('Category Dictionary'!$D$5:$D$135&lt;&gt;"")))</f>
        <v/>
      </c>
      <c r="L454" s="27">
        <f>IF($A454="","",TRIM(IF(ISERROR(FIND(",",$C454)),$C454,LEFT($C454,FIND(",",$C454)-1))))</f>
        <v/>
      </c>
      <c r="M454" s="28">
        <f>IF($H454="","",DATE(YEAR($H454),MONTH($H454),1))</f>
        <v/>
      </c>
      <c r="N454" s="26">
        <f>IF($H454="","",TODAY()-$H454)</f>
        <v/>
      </c>
      <c r="O454" s="15" t="n"/>
      <c r="P454" s="15" t="n"/>
      <c r="Q454" s="15" t="n"/>
      <c r="R454" s="25" t="n"/>
      <c r="S454" s="26">
        <f>IF($A454="","",AND(OR('Assignment Builder'!$B$5="",$B454='Assignment Builder'!$B$5),OR('Assignment Builder'!$B$6="",ISNUMBER(SEARCH('Assignment Builder'!$B$6,$C454))),OR('Assignment Builder'!$B$7="",'Assignment Builder'!$B$7=IFERROR(INDEX('Category Dictionary'!$C$5:$C$135,MATCH($L454,'Category Dictionary'!$D$5:$D$135,0)),"")),OR('Assignment Builder'!$B$8="",$D454='Assignment Builder'!$B$8),OR('Assignment Builder'!$B$9="",$F454='Assignment Builder'!$B$9),OR('Assignment Builder'!$B$10="",$O454='Assignment Builder'!$B$10),OR('Assignment Builder'!$B$11="",$H454&gt;='Assignment Builder'!$B$11),OR('Assignment Builder'!$B$12="",N($Q454)&lt;='Assignment Builder'!$B$12)))</f>
        <v/>
      </c>
      <c r="T454" s="23" t="n"/>
    </row>
    <row r="455">
      <c r="A455" s="23" t="n"/>
      <c r="B455" s="23" t="n"/>
      <c r="C455" s="24" t="n"/>
      <c r="D455" s="15" t="n"/>
      <c r="E455" s="23" t="n"/>
      <c r="F455" s="15" t="n"/>
      <c r="G455" s="23" t="n"/>
      <c r="H455" s="25" t="n"/>
      <c r="I455" s="15" t="n"/>
      <c r="J455" s="26">
        <f>IF($A455="","",LEN($C455)-LEN(SUBSTITUTE($C455,",",""))+1)</f>
        <v/>
      </c>
      <c r="K455" s="26">
        <f>IF($A455="","",SUMPRODUCT(--ISNUMBER(SEARCH('Category Dictionary'!$D$5:$D$135&amp;"",$C455)),--('Category Dictionary'!$D$5:$D$135&lt;&gt;"")))</f>
        <v/>
      </c>
      <c r="L455" s="27">
        <f>IF($A455="","",TRIM(IF(ISERROR(FIND(",",$C455)),$C455,LEFT($C455,FIND(",",$C455)-1))))</f>
        <v/>
      </c>
      <c r="M455" s="28">
        <f>IF($H455="","",DATE(YEAR($H455),MONTH($H455),1))</f>
        <v/>
      </c>
      <c r="N455" s="26">
        <f>IF($H455="","",TODAY()-$H455)</f>
        <v/>
      </c>
      <c r="O455" s="15" t="n"/>
      <c r="P455" s="15" t="n"/>
      <c r="Q455" s="15" t="n"/>
      <c r="R455" s="25" t="n"/>
      <c r="S455" s="26">
        <f>IF($A455="","",AND(OR('Assignment Builder'!$B$5="",$B455='Assignment Builder'!$B$5),OR('Assignment Builder'!$B$6="",ISNUMBER(SEARCH('Assignment Builder'!$B$6,$C455))),OR('Assignment Builder'!$B$7="",'Assignment Builder'!$B$7=IFERROR(INDEX('Category Dictionary'!$C$5:$C$135,MATCH($L455,'Category Dictionary'!$D$5:$D$135,0)),"")),OR('Assignment Builder'!$B$8="",$D455='Assignment Builder'!$B$8),OR('Assignment Builder'!$B$9="",$F455='Assignment Builder'!$B$9),OR('Assignment Builder'!$B$10="",$O455='Assignment Builder'!$B$10),OR('Assignment Builder'!$B$11="",$H455&gt;='Assignment Builder'!$B$11),OR('Assignment Builder'!$B$12="",N($Q455)&lt;='Assignment Builder'!$B$12)))</f>
        <v/>
      </c>
      <c r="T455" s="23" t="n"/>
    </row>
    <row r="456">
      <c r="A456" s="23" t="n"/>
      <c r="B456" s="23" t="n"/>
      <c r="C456" s="24" t="n"/>
      <c r="D456" s="15" t="n"/>
      <c r="E456" s="23" t="n"/>
      <c r="F456" s="15" t="n"/>
      <c r="G456" s="23" t="n"/>
      <c r="H456" s="25" t="n"/>
      <c r="I456" s="15" t="n"/>
      <c r="J456" s="26">
        <f>IF($A456="","",LEN($C456)-LEN(SUBSTITUTE($C456,",",""))+1)</f>
        <v/>
      </c>
      <c r="K456" s="26">
        <f>IF($A456="","",SUMPRODUCT(--ISNUMBER(SEARCH('Category Dictionary'!$D$5:$D$135&amp;"",$C456)),--('Category Dictionary'!$D$5:$D$135&lt;&gt;"")))</f>
        <v/>
      </c>
      <c r="L456" s="27">
        <f>IF($A456="","",TRIM(IF(ISERROR(FIND(",",$C456)),$C456,LEFT($C456,FIND(",",$C456)-1))))</f>
        <v/>
      </c>
      <c r="M456" s="28">
        <f>IF($H456="","",DATE(YEAR($H456),MONTH($H456),1))</f>
        <v/>
      </c>
      <c r="N456" s="26">
        <f>IF($H456="","",TODAY()-$H456)</f>
        <v/>
      </c>
      <c r="O456" s="15" t="n"/>
      <c r="P456" s="15" t="n"/>
      <c r="Q456" s="15" t="n"/>
      <c r="R456" s="25" t="n"/>
      <c r="S456" s="26">
        <f>IF($A456="","",AND(OR('Assignment Builder'!$B$5="",$B456='Assignment Builder'!$B$5),OR('Assignment Builder'!$B$6="",ISNUMBER(SEARCH('Assignment Builder'!$B$6,$C456))),OR('Assignment Builder'!$B$7="",'Assignment Builder'!$B$7=IFERROR(INDEX('Category Dictionary'!$C$5:$C$135,MATCH($L456,'Category Dictionary'!$D$5:$D$135,0)),"")),OR('Assignment Builder'!$B$8="",$D456='Assignment Builder'!$B$8),OR('Assignment Builder'!$B$9="",$F456='Assignment Builder'!$B$9),OR('Assignment Builder'!$B$10="",$O456='Assignment Builder'!$B$10),OR('Assignment Builder'!$B$11="",$H456&gt;='Assignment Builder'!$B$11),OR('Assignment Builder'!$B$12="",N($Q456)&lt;='Assignment Builder'!$B$12)))</f>
        <v/>
      </c>
      <c r="T456" s="23" t="n"/>
    </row>
    <row r="457">
      <c r="A457" s="23" t="n"/>
      <c r="B457" s="23" t="n"/>
      <c r="C457" s="24" t="n"/>
      <c r="D457" s="15" t="n"/>
      <c r="E457" s="23" t="n"/>
      <c r="F457" s="15" t="n"/>
      <c r="G457" s="23" t="n"/>
      <c r="H457" s="25" t="n"/>
      <c r="I457" s="15" t="n"/>
      <c r="J457" s="26">
        <f>IF($A457="","",LEN($C457)-LEN(SUBSTITUTE($C457,",",""))+1)</f>
        <v/>
      </c>
      <c r="K457" s="26">
        <f>IF($A457="","",SUMPRODUCT(--ISNUMBER(SEARCH('Category Dictionary'!$D$5:$D$135&amp;"",$C457)),--('Category Dictionary'!$D$5:$D$135&lt;&gt;"")))</f>
        <v/>
      </c>
      <c r="L457" s="27">
        <f>IF($A457="","",TRIM(IF(ISERROR(FIND(",",$C457)),$C457,LEFT($C457,FIND(",",$C457)-1))))</f>
        <v/>
      </c>
      <c r="M457" s="28">
        <f>IF($H457="","",DATE(YEAR($H457),MONTH($H457),1))</f>
        <v/>
      </c>
      <c r="N457" s="26">
        <f>IF($H457="","",TODAY()-$H457)</f>
        <v/>
      </c>
      <c r="O457" s="15" t="n"/>
      <c r="P457" s="15" t="n"/>
      <c r="Q457" s="15" t="n"/>
      <c r="R457" s="25" t="n"/>
      <c r="S457" s="26">
        <f>IF($A457="","",AND(OR('Assignment Builder'!$B$5="",$B457='Assignment Builder'!$B$5),OR('Assignment Builder'!$B$6="",ISNUMBER(SEARCH('Assignment Builder'!$B$6,$C457))),OR('Assignment Builder'!$B$7="",'Assignment Builder'!$B$7=IFERROR(INDEX('Category Dictionary'!$C$5:$C$135,MATCH($L457,'Category Dictionary'!$D$5:$D$135,0)),"")),OR('Assignment Builder'!$B$8="",$D457='Assignment Builder'!$B$8),OR('Assignment Builder'!$B$9="",$F457='Assignment Builder'!$B$9),OR('Assignment Builder'!$B$10="",$O457='Assignment Builder'!$B$10),OR('Assignment Builder'!$B$11="",$H457&gt;='Assignment Builder'!$B$11),OR('Assignment Builder'!$B$12="",N($Q457)&lt;='Assignment Builder'!$B$12)))</f>
        <v/>
      </c>
      <c r="T457" s="23" t="n"/>
    </row>
    <row r="458">
      <c r="A458" s="23" t="n"/>
      <c r="B458" s="23" t="n"/>
      <c r="C458" s="24" t="n"/>
      <c r="D458" s="15" t="n"/>
      <c r="E458" s="23" t="n"/>
      <c r="F458" s="15" t="n"/>
      <c r="G458" s="23" t="n"/>
      <c r="H458" s="25" t="n"/>
      <c r="I458" s="15" t="n"/>
      <c r="J458" s="26">
        <f>IF($A458="","",LEN($C458)-LEN(SUBSTITUTE($C458,",",""))+1)</f>
        <v/>
      </c>
      <c r="K458" s="26">
        <f>IF($A458="","",SUMPRODUCT(--ISNUMBER(SEARCH('Category Dictionary'!$D$5:$D$135&amp;"",$C458)),--('Category Dictionary'!$D$5:$D$135&lt;&gt;"")))</f>
        <v/>
      </c>
      <c r="L458" s="27">
        <f>IF($A458="","",TRIM(IF(ISERROR(FIND(",",$C458)),$C458,LEFT($C458,FIND(",",$C458)-1))))</f>
        <v/>
      </c>
      <c r="M458" s="28">
        <f>IF($H458="","",DATE(YEAR($H458),MONTH($H458),1))</f>
        <v/>
      </c>
      <c r="N458" s="26">
        <f>IF($H458="","",TODAY()-$H458)</f>
        <v/>
      </c>
      <c r="O458" s="15" t="n"/>
      <c r="P458" s="15" t="n"/>
      <c r="Q458" s="15" t="n"/>
      <c r="R458" s="25" t="n"/>
      <c r="S458" s="26">
        <f>IF($A458="","",AND(OR('Assignment Builder'!$B$5="",$B458='Assignment Builder'!$B$5),OR('Assignment Builder'!$B$6="",ISNUMBER(SEARCH('Assignment Builder'!$B$6,$C458))),OR('Assignment Builder'!$B$7="",'Assignment Builder'!$B$7=IFERROR(INDEX('Category Dictionary'!$C$5:$C$135,MATCH($L458,'Category Dictionary'!$D$5:$D$135,0)),"")),OR('Assignment Builder'!$B$8="",$D458='Assignment Builder'!$B$8),OR('Assignment Builder'!$B$9="",$F458='Assignment Builder'!$B$9),OR('Assignment Builder'!$B$10="",$O458='Assignment Builder'!$B$10),OR('Assignment Builder'!$B$11="",$H458&gt;='Assignment Builder'!$B$11),OR('Assignment Builder'!$B$12="",N($Q458)&lt;='Assignment Builder'!$B$12)))</f>
        <v/>
      </c>
      <c r="T458" s="23" t="n"/>
    </row>
    <row r="459">
      <c r="A459" s="23" t="n"/>
      <c r="B459" s="23" t="n"/>
      <c r="C459" s="24" t="n"/>
      <c r="D459" s="15" t="n"/>
      <c r="E459" s="23" t="n"/>
      <c r="F459" s="15" t="n"/>
      <c r="G459" s="23" t="n"/>
      <c r="H459" s="25" t="n"/>
      <c r="I459" s="15" t="n"/>
      <c r="J459" s="26">
        <f>IF($A459="","",LEN($C459)-LEN(SUBSTITUTE($C459,",",""))+1)</f>
        <v/>
      </c>
      <c r="K459" s="26">
        <f>IF($A459="","",SUMPRODUCT(--ISNUMBER(SEARCH('Category Dictionary'!$D$5:$D$135&amp;"",$C459)),--('Category Dictionary'!$D$5:$D$135&lt;&gt;"")))</f>
        <v/>
      </c>
      <c r="L459" s="27">
        <f>IF($A459="","",TRIM(IF(ISERROR(FIND(",",$C459)),$C459,LEFT($C459,FIND(",",$C459)-1))))</f>
        <v/>
      </c>
      <c r="M459" s="28">
        <f>IF($H459="","",DATE(YEAR($H459),MONTH($H459),1))</f>
        <v/>
      </c>
      <c r="N459" s="26">
        <f>IF($H459="","",TODAY()-$H459)</f>
        <v/>
      </c>
      <c r="O459" s="15" t="n"/>
      <c r="P459" s="15" t="n"/>
      <c r="Q459" s="15" t="n"/>
      <c r="R459" s="25" t="n"/>
      <c r="S459" s="26">
        <f>IF($A459="","",AND(OR('Assignment Builder'!$B$5="",$B459='Assignment Builder'!$B$5),OR('Assignment Builder'!$B$6="",ISNUMBER(SEARCH('Assignment Builder'!$B$6,$C459))),OR('Assignment Builder'!$B$7="",'Assignment Builder'!$B$7=IFERROR(INDEX('Category Dictionary'!$C$5:$C$135,MATCH($L459,'Category Dictionary'!$D$5:$D$135,0)),"")),OR('Assignment Builder'!$B$8="",$D459='Assignment Builder'!$B$8),OR('Assignment Builder'!$B$9="",$F459='Assignment Builder'!$B$9),OR('Assignment Builder'!$B$10="",$O459='Assignment Builder'!$B$10),OR('Assignment Builder'!$B$11="",$H459&gt;='Assignment Builder'!$B$11),OR('Assignment Builder'!$B$12="",N($Q459)&lt;='Assignment Builder'!$B$12)))</f>
        <v/>
      </c>
      <c r="T459" s="23" t="n"/>
    </row>
    <row r="460">
      <c r="A460" s="23" t="n"/>
      <c r="B460" s="23" t="n"/>
      <c r="C460" s="24" t="n"/>
      <c r="D460" s="15" t="n"/>
      <c r="E460" s="23" t="n"/>
      <c r="F460" s="15" t="n"/>
      <c r="G460" s="23" t="n"/>
      <c r="H460" s="25" t="n"/>
      <c r="I460" s="15" t="n"/>
      <c r="J460" s="26">
        <f>IF($A460="","",LEN($C460)-LEN(SUBSTITUTE($C460,",",""))+1)</f>
        <v/>
      </c>
      <c r="K460" s="26">
        <f>IF($A460="","",SUMPRODUCT(--ISNUMBER(SEARCH('Category Dictionary'!$D$5:$D$135&amp;"",$C460)),--('Category Dictionary'!$D$5:$D$135&lt;&gt;"")))</f>
        <v/>
      </c>
      <c r="L460" s="27">
        <f>IF($A460="","",TRIM(IF(ISERROR(FIND(",",$C460)),$C460,LEFT($C460,FIND(",",$C460)-1))))</f>
        <v/>
      </c>
      <c r="M460" s="28">
        <f>IF($H460="","",DATE(YEAR($H460),MONTH($H460),1))</f>
        <v/>
      </c>
      <c r="N460" s="26">
        <f>IF($H460="","",TODAY()-$H460)</f>
        <v/>
      </c>
      <c r="O460" s="15" t="n"/>
      <c r="P460" s="15" t="n"/>
      <c r="Q460" s="15" t="n"/>
      <c r="R460" s="25" t="n"/>
      <c r="S460" s="26">
        <f>IF($A460="","",AND(OR('Assignment Builder'!$B$5="",$B460='Assignment Builder'!$B$5),OR('Assignment Builder'!$B$6="",ISNUMBER(SEARCH('Assignment Builder'!$B$6,$C460))),OR('Assignment Builder'!$B$7="",'Assignment Builder'!$B$7=IFERROR(INDEX('Category Dictionary'!$C$5:$C$135,MATCH($L460,'Category Dictionary'!$D$5:$D$135,0)),"")),OR('Assignment Builder'!$B$8="",$D460='Assignment Builder'!$B$8),OR('Assignment Builder'!$B$9="",$F460='Assignment Builder'!$B$9),OR('Assignment Builder'!$B$10="",$O460='Assignment Builder'!$B$10),OR('Assignment Builder'!$B$11="",$H460&gt;='Assignment Builder'!$B$11),OR('Assignment Builder'!$B$12="",N($Q460)&lt;='Assignment Builder'!$B$12)))</f>
        <v/>
      </c>
      <c r="T460" s="23" t="n"/>
    </row>
    <row r="461">
      <c r="A461" s="23" t="n"/>
      <c r="B461" s="23" t="n"/>
      <c r="C461" s="24" t="n"/>
      <c r="D461" s="15" t="n"/>
      <c r="E461" s="23" t="n"/>
      <c r="F461" s="15" t="n"/>
      <c r="G461" s="23" t="n"/>
      <c r="H461" s="25" t="n"/>
      <c r="I461" s="15" t="n"/>
      <c r="J461" s="26">
        <f>IF($A461="","",LEN($C461)-LEN(SUBSTITUTE($C461,",",""))+1)</f>
        <v/>
      </c>
      <c r="K461" s="26">
        <f>IF($A461="","",SUMPRODUCT(--ISNUMBER(SEARCH('Category Dictionary'!$D$5:$D$135&amp;"",$C461)),--('Category Dictionary'!$D$5:$D$135&lt;&gt;"")))</f>
        <v/>
      </c>
      <c r="L461" s="27">
        <f>IF($A461="","",TRIM(IF(ISERROR(FIND(",",$C461)),$C461,LEFT($C461,FIND(",",$C461)-1))))</f>
        <v/>
      </c>
      <c r="M461" s="28">
        <f>IF($H461="","",DATE(YEAR($H461),MONTH($H461),1))</f>
        <v/>
      </c>
      <c r="N461" s="26">
        <f>IF($H461="","",TODAY()-$H461)</f>
        <v/>
      </c>
      <c r="O461" s="15" t="n"/>
      <c r="P461" s="15" t="n"/>
      <c r="Q461" s="15" t="n"/>
      <c r="R461" s="25" t="n"/>
      <c r="S461" s="26">
        <f>IF($A461="","",AND(OR('Assignment Builder'!$B$5="",$B461='Assignment Builder'!$B$5),OR('Assignment Builder'!$B$6="",ISNUMBER(SEARCH('Assignment Builder'!$B$6,$C461))),OR('Assignment Builder'!$B$7="",'Assignment Builder'!$B$7=IFERROR(INDEX('Category Dictionary'!$C$5:$C$135,MATCH($L461,'Category Dictionary'!$D$5:$D$135,0)),"")),OR('Assignment Builder'!$B$8="",$D461='Assignment Builder'!$B$8),OR('Assignment Builder'!$B$9="",$F461='Assignment Builder'!$B$9),OR('Assignment Builder'!$B$10="",$O461='Assignment Builder'!$B$10),OR('Assignment Builder'!$B$11="",$H461&gt;='Assignment Builder'!$B$11),OR('Assignment Builder'!$B$12="",N($Q461)&lt;='Assignment Builder'!$B$12)))</f>
        <v/>
      </c>
      <c r="T461" s="23" t="n"/>
    </row>
    <row r="462">
      <c r="A462" s="23" t="n"/>
      <c r="B462" s="23" t="n"/>
      <c r="C462" s="24" t="n"/>
      <c r="D462" s="15" t="n"/>
      <c r="E462" s="23" t="n"/>
      <c r="F462" s="15" t="n"/>
      <c r="G462" s="23" t="n"/>
      <c r="H462" s="25" t="n"/>
      <c r="I462" s="15" t="n"/>
      <c r="J462" s="26">
        <f>IF($A462="","",LEN($C462)-LEN(SUBSTITUTE($C462,",",""))+1)</f>
        <v/>
      </c>
      <c r="K462" s="26">
        <f>IF($A462="","",SUMPRODUCT(--ISNUMBER(SEARCH('Category Dictionary'!$D$5:$D$135&amp;"",$C462)),--('Category Dictionary'!$D$5:$D$135&lt;&gt;"")))</f>
        <v/>
      </c>
      <c r="L462" s="27">
        <f>IF($A462="","",TRIM(IF(ISERROR(FIND(",",$C462)),$C462,LEFT($C462,FIND(",",$C462)-1))))</f>
        <v/>
      </c>
      <c r="M462" s="28">
        <f>IF($H462="","",DATE(YEAR($H462),MONTH($H462),1))</f>
        <v/>
      </c>
      <c r="N462" s="26">
        <f>IF($H462="","",TODAY()-$H462)</f>
        <v/>
      </c>
      <c r="O462" s="15" t="n"/>
      <c r="P462" s="15" t="n"/>
      <c r="Q462" s="15" t="n"/>
      <c r="R462" s="25" t="n"/>
      <c r="S462" s="26">
        <f>IF($A462="","",AND(OR('Assignment Builder'!$B$5="",$B462='Assignment Builder'!$B$5),OR('Assignment Builder'!$B$6="",ISNUMBER(SEARCH('Assignment Builder'!$B$6,$C462))),OR('Assignment Builder'!$B$7="",'Assignment Builder'!$B$7=IFERROR(INDEX('Category Dictionary'!$C$5:$C$135,MATCH($L462,'Category Dictionary'!$D$5:$D$135,0)),"")),OR('Assignment Builder'!$B$8="",$D462='Assignment Builder'!$B$8),OR('Assignment Builder'!$B$9="",$F462='Assignment Builder'!$B$9),OR('Assignment Builder'!$B$10="",$O462='Assignment Builder'!$B$10),OR('Assignment Builder'!$B$11="",$H462&gt;='Assignment Builder'!$B$11),OR('Assignment Builder'!$B$12="",N($Q462)&lt;='Assignment Builder'!$B$12)))</f>
        <v/>
      </c>
      <c r="T462" s="23" t="n"/>
    </row>
    <row r="463">
      <c r="A463" s="23" t="n"/>
      <c r="B463" s="23" t="n"/>
      <c r="C463" s="24" t="n"/>
      <c r="D463" s="15" t="n"/>
      <c r="E463" s="23" t="n"/>
      <c r="F463" s="15" t="n"/>
      <c r="G463" s="23" t="n"/>
      <c r="H463" s="25" t="n"/>
      <c r="I463" s="15" t="n"/>
      <c r="J463" s="26">
        <f>IF($A463="","",LEN($C463)-LEN(SUBSTITUTE($C463,",",""))+1)</f>
        <v/>
      </c>
      <c r="K463" s="26">
        <f>IF($A463="","",SUMPRODUCT(--ISNUMBER(SEARCH('Category Dictionary'!$D$5:$D$135&amp;"",$C463)),--('Category Dictionary'!$D$5:$D$135&lt;&gt;"")))</f>
        <v/>
      </c>
      <c r="L463" s="27">
        <f>IF($A463="","",TRIM(IF(ISERROR(FIND(",",$C463)),$C463,LEFT($C463,FIND(",",$C463)-1))))</f>
        <v/>
      </c>
      <c r="M463" s="28">
        <f>IF($H463="","",DATE(YEAR($H463),MONTH($H463),1))</f>
        <v/>
      </c>
      <c r="N463" s="26">
        <f>IF($H463="","",TODAY()-$H463)</f>
        <v/>
      </c>
      <c r="O463" s="15" t="n"/>
      <c r="P463" s="15" t="n"/>
      <c r="Q463" s="15" t="n"/>
      <c r="R463" s="25" t="n"/>
      <c r="S463" s="26">
        <f>IF($A463="","",AND(OR('Assignment Builder'!$B$5="",$B463='Assignment Builder'!$B$5),OR('Assignment Builder'!$B$6="",ISNUMBER(SEARCH('Assignment Builder'!$B$6,$C463))),OR('Assignment Builder'!$B$7="",'Assignment Builder'!$B$7=IFERROR(INDEX('Category Dictionary'!$C$5:$C$135,MATCH($L463,'Category Dictionary'!$D$5:$D$135,0)),"")),OR('Assignment Builder'!$B$8="",$D463='Assignment Builder'!$B$8),OR('Assignment Builder'!$B$9="",$F463='Assignment Builder'!$B$9),OR('Assignment Builder'!$B$10="",$O463='Assignment Builder'!$B$10),OR('Assignment Builder'!$B$11="",$H463&gt;='Assignment Builder'!$B$11),OR('Assignment Builder'!$B$12="",N($Q463)&lt;='Assignment Builder'!$B$12)))</f>
        <v/>
      </c>
      <c r="T463" s="23" t="n"/>
    </row>
    <row r="464">
      <c r="A464" s="23" t="n"/>
      <c r="B464" s="23" t="n"/>
      <c r="C464" s="24" t="n"/>
      <c r="D464" s="15" t="n"/>
      <c r="E464" s="23" t="n"/>
      <c r="F464" s="15" t="n"/>
      <c r="G464" s="23" t="n"/>
      <c r="H464" s="25" t="n"/>
      <c r="I464" s="15" t="n"/>
      <c r="J464" s="26">
        <f>IF($A464="","",LEN($C464)-LEN(SUBSTITUTE($C464,",",""))+1)</f>
        <v/>
      </c>
      <c r="K464" s="26">
        <f>IF($A464="","",SUMPRODUCT(--ISNUMBER(SEARCH('Category Dictionary'!$D$5:$D$135&amp;"",$C464)),--('Category Dictionary'!$D$5:$D$135&lt;&gt;"")))</f>
        <v/>
      </c>
      <c r="L464" s="27">
        <f>IF($A464="","",TRIM(IF(ISERROR(FIND(",",$C464)),$C464,LEFT($C464,FIND(",",$C464)-1))))</f>
        <v/>
      </c>
      <c r="M464" s="28">
        <f>IF($H464="","",DATE(YEAR($H464),MONTH($H464),1))</f>
        <v/>
      </c>
      <c r="N464" s="26">
        <f>IF($H464="","",TODAY()-$H464)</f>
        <v/>
      </c>
      <c r="O464" s="15" t="n"/>
      <c r="P464" s="15" t="n"/>
      <c r="Q464" s="15" t="n"/>
      <c r="R464" s="25" t="n"/>
      <c r="S464" s="26">
        <f>IF($A464="","",AND(OR('Assignment Builder'!$B$5="",$B464='Assignment Builder'!$B$5),OR('Assignment Builder'!$B$6="",ISNUMBER(SEARCH('Assignment Builder'!$B$6,$C464))),OR('Assignment Builder'!$B$7="",'Assignment Builder'!$B$7=IFERROR(INDEX('Category Dictionary'!$C$5:$C$135,MATCH($L464,'Category Dictionary'!$D$5:$D$135,0)),"")),OR('Assignment Builder'!$B$8="",$D464='Assignment Builder'!$B$8),OR('Assignment Builder'!$B$9="",$F464='Assignment Builder'!$B$9),OR('Assignment Builder'!$B$10="",$O464='Assignment Builder'!$B$10),OR('Assignment Builder'!$B$11="",$H464&gt;='Assignment Builder'!$B$11),OR('Assignment Builder'!$B$12="",N($Q464)&lt;='Assignment Builder'!$B$12)))</f>
        <v/>
      </c>
      <c r="T464" s="23" t="n"/>
    </row>
    <row r="465">
      <c r="A465" s="23" t="n"/>
      <c r="B465" s="23" t="n"/>
      <c r="C465" s="24" t="n"/>
      <c r="D465" s="15" t="n"/>
      <c r="E465" s="23" t="n"/>
      <c r="F465" s="15" t="n"/>
      <c r="G465" s="23" t="n"/>
      <c r="H465" s="25" t="n"/>
      <c r="I465" s="15" t="n"/>
      <c r="J465" s="26">
        <f>IF($A465="","",LEN($C465)-LEN(SUBSTITUTE($C465,",",""))+1)</f>
        <v/>
      </c>
      <c r="K465" s="26">
        <f>IF($A465="","",SUMPRODUCT(--ISNUMBER(SEARCH('Category Dictionary'!$D$5:$D$135&amp;"",$C465)),--('Category Dictionary'!$D$5:$D$135&lt;&gt;"")))</f>
        <v/>
      </c>
      <c r="L465" s="27">
        <f>IF($A465="","",TRIM(IF(ISERROR(FIND(",",$C465)),$C465,LEFT($C465,FIND(",",$C465)-1))))</f>
        <v/>
      </c>
      <c r="M465" s="28">
        <f>IF($H465="","",DATE(YEAR($H465),MONTH($H465),1))</f>
        <v/>
      </c>
      <c r="N465" s="26">
        <f>IF($H465="","",TODAY()-$H465)</f>
        <v/>
      </c>
      <c r="O465" s="15" t="n"/>
      <c r="P465" s="15" t="n"/>
      <c r="Q465" s="15" t="n"/>
      <c r="R465" s="25" t="n"/>
      <c r="S465" s="26">
        <f>IF($A465="","",AND(OR('Assignment Builder'!$B$5="",$B465='Assignment Builder'!$B$5),OR('Assignment Builder'!$B$6="",ISNUMBER(SEARCH('Assignment Builder'!$B$6,$C465))),OR('Assignment Builder'!$B$7="",'Assignment Builder'!$B$7=IFERROR(INDEX('Category Dictionary'!$C$5:$C$135,MATCH($L465,'Category Dictionary'!$D$5:$D$135,0)),"")),OR('Assignment Builder'!$B$8="",$D465='Assignment Builder'!$B$8),OR('Assignment Builder'!$B$9="",$F465='Assignment Builder'!$B$9),OR('Assignment Builder'!$B$10="",$O465='Assignment Builder'!$B$10),OR('Assignment Builder'!$B$11="",$H465&gt;='Assignment Builder'!$B$11),OR('Assignment Builder'!$B$12="",N($Q465)&lt;='Assignment Builder'!$B$12)))</f>
        <v/>
      </c>
      <c r="T465" s="23" t="n"/>
    </row>
    <row r="466">
      <c r="A466" s="23" t="n"/>
      <c r="B466" s="23" t="n"/>
      <c r="C466" s="24" t="n"/>
      <c r="D466" s="15" t="n"/>
      <c r="E466" s="23" t="n"/>
      <c r="F466" s="15" t="n"/>
      <c r="G466" s="23" t="n"/>
      <c r="H466" s="25" t="n"/>
      <c r="I466" s="15" t="n"/>
      <c r="J466" s="26">
        <f>IF($A466="","",LEN($C466)-LEN(SUBSTITUTE($C466,",",""))+1)</f>
        <v/>
      </c>
      <c r="K466" s="26">
        <f>IF($A466="","",SUMPRODUCT(--ISNUMBER(SEARCH('Category Dictionary'!$D$5:$D$135&amp;"",$C466)),--('Category Dictionary'!$D$5:$D$135&lt;&gt;"")))</f>
        <v/>
      </c>
      <c r="L466" s="27">
        <f>IF($A466="","",TRIM(IF(ISERROR(FIND(",",$C466)),$C466,LEFT($C466,FIND(",",$C466)-1))))</f>
        <v/>
      </c>
      <c r="M466" s="28">
        <f>IF($H466="","",DATE(YEAR($H466),MONTH($H466),1))</f>
        <v/>
      </c>
      <c r="N466" s="26">
        <f>IF($H466="","",TODAY()-$H466)</f>
        <v/>
      </c>
      <c r="O466" s="15" t="n"/>
      <c r="P466" s="15" t="n"/>
      <c r="Q466" s="15" t="n"/>
      <c r="R466" s="25" t="n"/>
      <c r="S466" s="26">
        <f>IF($A466="","",AND(OR('Assignment Builder'!$B$5="",$B466='Assignment Builder'!$B$5),OR('Assignment Builder'!$B$6="",ISNUMBER(SEARCH('Assignment Builder'!$B$6,$C466))),OR('Assignment Builder'!$B$7="",'Assignment Builder'!$B$7=IFERROR(INDEX('Category Dictionary'!$C$5:$C$135,MATCH($L466,'Category Dictionary'!$D$5:$D$135,0)),"")),OR('Assignment Builder'!$B$8="",$D466='Assignment Builder'!$B$8),OR('Assignment Builder'!$B$9="",$F466='Assignment Builder'!$B$9),OR('Assignment Builder'!$B$10="",$O466='Assignment Builder'!$B$10),OR('Assignment Builder'!$B$11="",$H466&gt;='Assignment Builder'!$B$11),OR('Assignment Builder'!$B$12="",N($Q466)&lt;='Assignment Builder'!$B$12)))</f>
        <v/>
      </c>
      <c r="T466" s="23" t="n"/>
    </row>
    <row r="467">
      <c r="A467" s="23" t="n"/>
      <c r="B467" s="23" t="n"/>
      <c r="C467" s="24" t="n"/>
      <c r="D467" s="15" t="n"/>
      <c r="E467" s="23" t="n"/>
      <c r="F467" s="15" t="n"/>
      <c r="G467" s="23" t="n"/>
      <c r="H467" s="25" t="n"/>
      <c r="I467" s="15" t="n"/>
      <c r="J467" s="26">
        <f>IF($A467="","",LEN($C467)-LEN(SUBSTITUTE($C467,",",""))+1)</f>
        <v/>
      </c>
      <c r="K467" s="26">
        <f>IF($A467="","",SUMPRODUCT(--ISNUMBER(SEARCH('Category Dictionary'!$D$5:$D$135&amp;"",$C467)),--('Category Dictionary'!$D$5:$D$135&lt;&gt;"")))</f>
        <v/>
      </c>
      <c r="L467" s="27">
        <f>IF($A467="","",TRIM(IF(ISERROR(FIND(",",$C467)),$C467,LEFT($C467,FIND(",",$C467)-1))))</f>
        <v/>
      </c>
      <c r="M467" s="28">
        <f>IF($H467="","",DATE(YEAR($H467),MONTH($H467),1))</f>
        <v/>
      </c>
      <c r="N467" s="26">
        <f>IF($H467="","",TODAY()-$H467)</f>
        <v/>
      </c>
      <c r="O467" s="15" t="n"/>
      <c r="P467" s="15" t="n"/>
      <c r="Q467" s="15" t="n"/>
      <c r="R467" s="25" t="n"/>
      <c r="S467" s="26">
        <f>IF($A467="","",AND(OR('Assignment Builder'!$B$5="",$B467='Assignment Builder'!$B$5),OR('Assignment Builder'!$B$6="",ISNUMBER(SEARCH('Assignment Builder'!$B$6,$C467))),OR('Assignment Builder'!$B$7="",'Assignment Builder'!$B$7=IFERROR(INDEX('Category Dictionary'!$C$5:$C$135,MATCH($L467,'Category Dictionary'!$D$5:$D$135,0)),"")),OR('Assignment Builder'!$B$8="",$D467='Assignment Builder'!$B$8),OR('Assignment Builder'!$B$9="",$F467='Assignment Builder'!$B$9),OR('Assignment Builder'!$B$10="",$O467='Assignment Builder'!$B$10),OR('Assignment Builder'!$B$11="",$H467&gt;='Assignment Builder'!$B$11),OR('Assignment Builder'!$B$12="",N($Q467)&lt;='Assignment Builder'!$B$12)))</f>
        <v/>
      </c>
      <c r="T467" s="23" t="n"/>
    </row>
    <row r="468">
      <c r="A468" s="23" t="n"/>
      <c r="B468" s="23" t="n"/>
      <c r="C468" s="24" t="n"/>
      <c r="D468" s="15" t="n"/>
      <c r="E468" s="23" t="n"/>
      <c r="F468" s="15" t="n"/>
      <c r="G468" s="23" t="n"/>
      <c r="H468" s="25" t="n"/>
      <c r="I468" s="15" t="n"/>
      <c r="J468" s="26">
        <f>IF($A468="","",LEN($C468)-LEN(SUBSTITUTE($C468,",",""))+1)</f>
        <v/>
      </c>
      <c r="K468" s="26">
        <f>IF($A468="","",SUMPRODUCT(--ISNUMBER(SEARCH('Category Dictionary'!$D$5:$D$135&amp;"",$C468)),--('Category Dictionary'!$D$5:$D$135&lt;&gt;"")))</f>
        <v/>
      </c>
      <c r="L468" s="27">
        <f>IF($A468="","",TRIM(IF(ISERROR(FIND(",",$C468)),$C468,LEFT($C468,FIND(",",$C468)-1))))</f>
        <v/>
      </c>
      <c r="M468" s="28">
        <f>IF($H468="","",DATE(YEAR($H468),MONTH($H468),1))</f>
        <v/>
      </c>
      <c r="N468" s="26">
        <f>IF($H468="","",TODAY()-$H468)</f>
        <v/>
      </c>
      <c r="O468" s="15" t="n"/>
      <c r="P468" s="15" t="n"/>
      <c r="Q468" s="15" t="n"/>
      <c r="R468" s="25" t="n"/>
      <c r="S468" s="26">
        <f>IF($A468="","",AND(OR('Assignment Builder'!$B$5="",$B468='Assignment Builder'!$B$5),OR('Assignment Builder'!$B$6="",ISNUMBER(SEARCH('Assignment Builder'!$B$6,$C468))),OR('Assignment Builder'!$B$7="",'Assignment Builder'!$B$7=IFERROR(INDEX('Category Dictionary'!$C$5:$C$135,MATCH($L468,'Category Dictionary'!$D$5:$D$135,0)),"")),OR('Assignment Builder'!$B$8="",$D468='Assignment Builder'!$B$8),OR('Assignment Builder'!$B$9="",$F468='Assignment Builder'!$B$9),OR('Assignment Builder'!$B$10="",$O468='Assignment Builder'!$B$10),OR('Assignment Builder'!$B$11="",$H468&gt;='Assignment Builder'!$B$11),OR('Assignment Builder'!$B$12="",N($Q468)&lt;='Assignment Builder'!$B$12)))</f>
        <v/>
      </c>
      <c r="T468" s="23" t="n"/>
    </row>
    <row r="469">
      <c r="A469" s="23" t="n"/>
      <c r="B469" s="23" t="n"/>
      <c r="C469" s="24" t="n"/>
      <c r="D469" s="15" t="n"/>
      <c r="E469" s="23" t="n"/>
      <c r="F469" s="15" t="n"/>
      <c r="G469" s="23" t="n"/>
      <c r="H469" s="25" t="n"/>
      <c r="I469" s="15" t="n"/>
      <c r="J469" s="26">
        <f>IF($A469="","",LEN($C469)-LEN(SUBSTITUTE($C469,",",""))+1)</f>
        <v/>
      </c>
      <c r="K469" s="26">
        <f>IF($A469="","",SUMPRODUCT(--ISNUMBER(SEARCH('Category Dictionary'!$D$5:$D$135&amp;"",$C469)),--('Category Dictionary'!$D$5:$D$135&lt;&gt;"")))</f>
        <v/>
      </c>
      <c r="L469" s="27">
        <f>IF($A469="","",TRIM(IF(ISERROR(FIND(",",$C469)),$C469,LEFT($C469,FIND(",",$C469)-1))))</f>
        <v/>
      </c>
      <c r="M469" s="28">
        <f>IF($H469="","",DATE(YEAR($H469),MONTH($H469),1))</f>
        <v/>
      </c>
      <c r="N469" s="26">
        <f>IF($H469="","",TODAY()-$H469)</f>
        <v/>
      </c>
      <c r="O469" s="15" t="n"/>
      <c r="P469" s="15" t="n"/>
      <c r="Q469" s="15" t="n"/>
      <c r="R469" s="25" t="n"/>
      <c r="S469" s="26">
        <f>IF($A469="","",AND(OR('Assignment Builder'!$B$5="",$B469='Assignment Builder'!$B$5),OR('Assignment Builder'!$B$6="",ISNUMBER(SEARCH('Assignment Builder'!$B$6,$C469))),OR('Assignment Builder'!$B$7="",'Assignment Builder'!$B$7=IFERROR(INDEX('Category Dictionary'!$C$5:$C$135,MATCH($L469,'Category Dictionary'!$D$5:$D$135,0)),"")),OR('Assignment Builder'!$B$8="",$D469='Assignment Builder'!$B$8),OR('Assignment Builder'!$B$9="",$F469='Assignment Builder'!$B$9),OR('Assignment Builder'!$B$10="",$O469='Assignment Builder'!$B$10),OR('Assignment Builder'!$B$11="",$H469&gt;='Assignment Builder'!$B$11),OR('Assignment Builder'!$B$12="",N($Q469)&lt;='Assignment Builder'!$B$12)))</f>
        <v/>
      </c>
      <c r="T469" s="23" t="n"/>
    </row>
    <row r="470">
      <c r="A470" s="23" t="n"/>
      <c r="B470" s="23" t="n"/>
      <c r="C470" s="24" t="n"/>
      <c r="D470" s="15" t="n"/>
      <c r="E470" s="23" t="n"/>
      <c r="F470" s="15" t="n"/>
      <c r="G470" s="23" t="n"/>
      <c r="H470" s="25" t="n"/>
      <c r="I470" s="15" t="n"/>
      <c r="J470" s="26">
        <f>IF($A470="","",LEN($C470)-LEN(SUBSTITUTE($C470,",",""))+1)</f>
        <v/>
      </c>
      <c r="K470" s="26">
        <f>IF($A470="","",SUMPRODUCT(--ISNUMBER(SEARCH('Category Dictionary'!$D$5:$D$135&amp;"",$C470)),--('Category Dictionary'!$D$5:$D$135&lt;&gt;"")))</f>
        <v/>
      </c>
      <c r="L470" s="27">
        <f>IF($A470="","",TRIM(IF(ISERROR(FIND(",",$C470)),$C470,LEFT($C470,FIND(",",$C470)-1))))</f>
        <v/>
      </c>
      <c r="M470" s="28">
        <f>IF($H470="","",DATE(YEAR($H470),MONTH($H470),1))</f>
        <v/>
      </c>
      <c r="N470" s="26">
        <f>IF($H470="","",TODAY()-$H470)</f>
        <v/>
      </c>
      <c r="O470" s="15" t="n"/>
      <c r="P470" s="15" t="n"/>
      <c r="Q470" s="15" t="n"/>
      <c r="R470" s="25" t="n"/>
      <c r="S470" s="26">
        <f>IF($A470="","",AND(OR('Assignment Builder'!$B$5="",$B470='Assignment Builder'!$B$5),OR('Assignment Builder'!$B$6="",ISNUMBER(SEARCH('Assignment Builder'!$B$6,$C470))),OR('Assignment Builder'!$B$7="",'Assignment Builder'!$B$7=IFERROR(INDEX('Category Dictionary'!$C$5:$C$135,MATCH($L470,'Category Dictionary'!$D$5:$D$135,0)),"")),OR('Assignment Builder'!$B$8="",$D470='Assignment Builder'!$B$8),OR('Assignment Builder'!$B$9="",$F470='Assignment Builder'!$B$9),OR('Assignment Builder'!$B$10="",$O470='Assignment Builder'!$B$10),OR('Assignment Builder'!$B$11="",$H470&gt;='Assignment Builder'!$B$11),OR('Assignment Builder'!$B$12="",N($Q470)&lt;='Assignment Builder'!$B$12)))</f>
        <v/>
      </c>
      <c r="T470" s="23" t="n"/>
    </row>
    <row r="471">
      <c r="A471" s="23" t="n"/>
      <c r="B471" s="23" t="n"/>
      <c r="C471" s="24" t="n"/>
      <c r="D471" s="15" t="n"/>
      <c r="E471" s="23" t="n"/>
      <c r="F471" s="15" t="n"/>
      <c r="G471" s="23" t="n"/>
      <c r="H471" s="25" t="n"/>
      <c r="I471" s="15" t="n"/>
      <c r="J471" s="26">
        <f>IF($A471="","",LEN($C471)-LEN(SUBSTITUTE($C471,",",""))+1)</f>
        <v/>
      </c>
      <c r="K471" s="26">
        <f>IF($A471="","",SUMPRODUCT(--ISNUMBER(SEARCH('Category Dictionary'!$D$5:$D$135&amp;"",$C471)),--('Category Dictionary'!$D$5:$D$135&lt;&gt;"")))</f>
        <v/>
      </c>
      <c r="L471" s="27">
        <f>IF($A471="","",TRIM(IF(ISERROR(FIND(",",$C471)),$C471,LEFT($C471,FIND(",",$C471)-1))))</f>
        <v/>
      </c>
      <c r="M471" s="28">
        <f>IF($H471="","",DATE(YEAR($H471),MONTH($H471),1))</f>
        <v/>
      </c>
      <c r="N471" s="26">
        <f>IF($H471="","",TODAY()-$H471)</f>
        <v/>
      </c>
      <c r="O471" s="15" t="n"/>
      <c r="P471" s="15" t="n"/>
      <c r="Q471" s="15" t="n"/>
      <c r="R471" s="25" t="n"/>
      <c r="S471" s="26">
        <f>IF($A471="","",AND(OR('Assignment Builder'!$B$5="",$B471='Assignment Builder'!$B$5),OR('Assignment Builder'!$B$6="",ISNUMBER(SEARCH('Assignment Builder'!$B$6,$C471))),OR('Assignment Builder'!$B$7="",'Assignment Builder'!$B$7=IFERROR(INDEX('Category Dictionary'!$C$5:$C$135,MATCH($L471,'Category Dictionary'!$D$5:$D$135,0)),"")),OR('Assignment Builder'!$B$8="",$D471='Assignment Builder'!$B$8),OR('Assignment Builder'!$B$9="",$F471='Assignment Builder'!$B$9),OR('Assignment Builder'!$B$10="",$O471='Assignment Builder'!$B$10),OR('Assignment Builder'!$B$11="",$H471&gt;='Assignment Builder'!$B$11),OR('Assignment Builder'!$B$12="",N($Q471)&lt;='Assignment Builder'!$B$12)))</f>
        <v/>
      </c>
      <c r="T471" s="23" t="n"/>
    </row>
    <row r="472">
      <c r="A472" s="23" t="n"/>
      <c r="B472" s="23" t="n"/>
      <c r="C472" s="24" t="n"/>
      <c r="D472" s="15" t="n"/>
      <c r="E472" s="23" t="n"/>
      <c r="F472" s="15" t="n"/>
      <c r="G472" s="23" t="n"/>
      <c r="H472" s="25" t="n"/>
      <c r="I472" s="15" t="n"/>
      <c r="J472" s="26">
        <f>IF($A472="","",LEN($C472)-LEN(SUBSTITUTE($C472,",",""))+1)</f>
        <v/>
      </c>
      <c r="K472" s="26">
        <f>IF($A472="","",SUMPRODUCT(--ISNUMBER(SEARCH('Category Dictionary'!$D$5:$D$135&amp;"",$C472)),--('Category Dictionary'!$D$5:$D$135&lt;&gt;"")))</f>
        <v/>
      </c>
      <c r="L472" s="27">
        <f>IF($A472="","",TRIM(IF(ISERROR(FIND(",",$C472)),$C472,LEFT($C472,FIND(",",$C472)-1))))</f>
        <v/>
      </c>
      <c r="M472" s="28">
        <f>IF($H472="","",DATE(YEAR($H472),MONTH($H472),1))</f>
        <v/>
      </c>
      <c r="N472" s="26">
        <f>IF($H472="","",TODAY()-$H472)</f>
        <v/>
      </c>
      <c r="O472" s="15" t="n"/>
      <c r="P472" s="15" t="n"/>
      <c r="Q472" s="15" t="n"/>
      <c r="R472" s="25" t="n"/>
      <c r="S472" s="26">
        <f>IF($A472="","",AND(OR('Assignment Builder'!$B$5="",$B472='Assignment Builder'!$B$5),OR('Assignment Builder'!$B$6="",ISNUMBER(SEARCH('Assignment Builder'!$B$6,$C472))),OR('Assignment Builder'!$B$7="",'Assignment Builder'!$B$7=IFERROR(INDEX('Category Dictionary'!$C$5:$C$135,MATCH($L472,'Category Dictionary'!$D$5:$D$135,0)),"")),OR('Assignment Builder'!$B$8="",$D472='Assignment Builder'!$B$8),OR('Assignment Builder'!$B$9="",$F472='Assignment Builder'!$B$9),OR('Assignment Builder'!$B$10="",$O472='Assignment Builder'!$B$10),OR('Assignment Builder'!$B$11="",$H472&gt;='Assignment Builder'!$B$11),OR('Assignment Builder'!$B$12="",N($Q472)&lt;='Assignment Builder'!$B$12)))</f>
        <v/>
      </c>
      <c r="T472" s="23" t="n"/>
    </row>
    <row r="473">
      <c r="A473" s="23" t="n"/>
      <c r="B473" s="23" t="n"/>
      <c r="C473" s="24" t="n"/>
      <c r="D473" s="15" t="n"/>
      <c r="E473" s="23" t="n"/>
      <c r="F473" s="15" t="n"/>
      <c r="G473" s="23" t="n"/>
      <c r="H473" s="25" t="n"/>
      <c r="I473" s="15" t="n"/>
      <c r="J473" s="26">
        <f>IF($A473="","",LEN($C473)-LEN(SUBSTITUTE($C473,",",""))+1)</f>
        <v/>
      </c>
      <c r="K473" s="26">
        <f>IF($A473="","",SUMPRODUCT(--ISNUMBER(SEARCH('Category Dictionary'!$D$5:$D$135&amp;"",$C473)),--('Category Dictionary'!$D$5:$D$135&lt;&gt;"")))</f>
        <v/>
      </c>
      <c r="L473" s="27">
        <f>IF($A473="","",TRIM(IF(ISERROR(FIND(",",$C473)),$C473,LEFT($C473,FIND(",",$C473)-1))))</f>
        <v/>
      </c>
      <c r="M473" s="28">
        <f>IF($H473="","",DATE(YEAR($H473),MONTH($H473),1))</f>
        <v/>
      </c>
      <c r="N473" s="26">
        <f>IF($H473="","",TODAY()-$H473)</f>
        <v/>
      </c>
      <c r="O473" s="15" t="n"/>
      <c r="P473" s="15" t="n"/>
      <c r="Q473" s="15" t="n"/>
      <c r="R473" s="25" t="n"/>
      <c r="S473" s="26">
        <f>IF($A473="","",AND(OR('Assignment Builder'!$B$5="",$B473='Assignment Builder'!$B$5),OR('Assignment Builder'!$B$6="",ISNUMBER(SEARCH('Assignment Builder'!$B$6,$C473))),OR('Assignment Builder'!$B$7="",'Assignment Builder'!$B$7=IFERROR(INDEX('Category Dictionary'!$C$5:$C$135,MATCH($L473,'Category Dictionary'!$D$5:$D$135,0)),"")),OR('Assignment Builder'!$B$8="",$D473='Assignment Builder'!$B$8),OR('Assignment Builder'!$B$9="",$F473='Assignment Builder'!$B$9),OR('Assignment Builder'!$B$10="",$O473='Assignment Builder'!$B$10),OR('Assignment Builder'!$B$11="",$H473&gt;='Assignment Builder'!$B$11),OR('Assignment Builder'!$B$12="",N($Q473)&lt;='Assignment Builder'!$B$12)))</f>
        <v/>
      </c>
      <c r="T473" s="23" t="n"/>
    </row>
    <row r="474">
      <c r="A474" s="23" t="n"/>
      <c r="B474" s="23" t="n"/>
      <c r="C474" s="24" t="n"/>
      <c r="D474" s="15" t="n"/>
      <c r="E474" s="23" t="n"/>
      <c r="F474" s="15" t="n"/>
      <c r="G474" s="23" t="n"/>
      <c r="H474" s="25" t="n"/>
      <c r="I474" s="15" t="n"/>
      <c r="J474" s="26">
        <f>IF($A474="","",LEN($C474)-LEN(SUBSTITUTE($C474,",",""))+1)</f>
        <v/>
      </c>
      <c r="K474" s="26">
        <f>IF($A474="","",SUMPRODUCT(--ISNUMBER(SEARCH('Category Dictionary'!$D$5:$D$135&amp;"",$C474)),--('Category Dictionary'!$D$5:$D$135&lt;&gt;"")))</f>
        <v/>
      </c>
      <c r="L474" s="27">
        <f>IF($A474="","",TRIM(IF(ISERROR(FIND(",",$C474)),$C474,LEFT($C474,FIND(",",$C474)-1))))</f>
        <v/>
      </c>
      <c r="M474" s="28">
        <f>IF($H474="","",DATE(YEAR($H474),MONTH($H474),1))</f>
        <v/>
      </c>
      <c r="N474" s="26">
        <f>IF($H474="","",TODAY()-$H474)</f>
        <v/>
      </c>
      <c r="O474" s="15" t="n"/>
      <c r="P474" s="15" t="n"/>
      <c r="Q474" s="15" t="n"/>
      <c r="R474" s="25" t="n"/>
      <c r="S474" s="26">
        <f>IF($A474="","",AND(OR('Assignment Builder'!$B$5="",$B474='Assignment Builder'!$B$5),OR('Assignment Builder'!$B$6="",ISNUMBER(SEARCH('Assignment Builder'!$B$6,$C474))),OR('Assignment Builder'!$B$7="",'Assignment Builder'!$B$7=IFERROR(INDEX('Category Dictionary'!$C$5:$C$135,MATCH($L474,'Category Dictionary'!$D$5:$D$135,0)),"")),OR('Assignment Builder'!$B$8="",$D474='Assignment Builder'!$B$8),OR('Assignment Builder'!$B$9="",$F474='Assignment Builder'!$B$9),OR('Assignment Builder'!$B$10="",$O474='Assignment Builder'!$B$10),OR('Assignment Builder'!$B$11="",$H474&gt;='Assignment Builder'!$B$11),OR('Assignment Builder'!$B$12="",N($Q474)&lt;='Assignment Builder'!$B$12)))</f>
        <v/>
      </c>
      <c r="T474" s="23" t="n"/>
    </row>
    <row r="475">
      <c r="A475" s="23" t="n"/>
      <c r="B475" s="23" t="n"/>
      <c r="C475" s="24" t="n"/>
      <c r="D475" s="15" t="n"/>
      <c r="E475" s="23" t="n"/>
      <c r="F475" s="15" t="n"/>
      <c r="G475" s="23" t="n"/>
      <c r="H475" s="25" t="n"/>
      <c r="I475" s="15" t="n"/>
      <c r="J475" s="26">
        <f>IF($A475="","",LEN($C475)-LEN(SUBSTITUTE($C475,",",""))+1)</f>
        <v/>
      </c>
      <c r="K475" s="26">
        <f>IF($A475="","",SUMPRODUCT(--ISNUMBER(SEARCH('Category Dictionary'!$D$5:$D$135&amp;"",$C475)),--('Category Dictionary'!$D$5:$D$135&lt;&gt;"")))</f>
        <v/>
      </c>
      <c r="L475" s="27">
        <f>IF($A475="","",TRIM(IF(ISERROR(FIND(",",$C475)),$C475,LEFT($C475,FIND(",",$C475)-1))))</f>
        <v/>
      </c>
      <c r="M475" s="28">
        <f>IF($H475="","",DATE(YEAR($H475),MONTH($H475),1))</f>
        <v/>
      </c>
      <c r="N475" s="26">
        <f>IF($H475="","",TODAY()-$H475)</f>
        <v/>
      </c>
      <c r="O475" s="15" t="n"/>
      <c r="P475" s="15" t="n"/>
      <c r="Q475" s="15" t="n"/>
      <c r="R475" s="25" t="n"/>
      <c r="S475" s="26">
        <f>IF($A475="","",AND(OR('Assignment Builder'!$B$5="",$B475='Assignment Builder'!$B$5),OR('Assignment Builder'!$B$6="",ISNUMBER(SEARCH('Assignment Builder'!$B$6,$C475))),OR('Assignment Builder'!$B$7="",'Assignment Builder'!$B$7=IFERROR(INDEX('Category Dictionary'!$C$5:$C$135,MATCH($L475,'Category Dictionary'!$D$5:$D$135,0)),"")),OR('Assignment Builder'!$B$8="",$D475='Assignment Builder'!$B$8),OR('Assignment Builder'!$B$9="",$F475='Assignment Builder'!$B$9),OR('Assignment Builder'!$B$10="",$O475='Assignment Builder'!$B$10),OR('Assignment Builder'!$B$11="",$H475&gt;='Assignment Builder'!$B$11),OR('Assignment Builder'!$B$12="",N($Q475)&lt;='Assignment Builder'!$B$12)))</f>
        <v/>
      </c>
      <c r="T475" s="23" t="n"/>
    </row>
    <row r="476">
      <c r="A476" s="23" t="n"/>
      <c r="B476" s="23" t="n"/>
      <c r="C476" s="24" t="n"/>
      <c r="D476" s="15" t="n"/>
      <c r="E476" s="23" t="n"/>
      <c r="F476" s="15" t="n"/>
      <c r="G476" s="23" t="n"/>
      <c r="H476" s="25" t="n"/>
      <c r="I476" s="15" t="n"/>
      <c r="J476" s="26">
        <f>IF($A476="","",LEN($C476)-LEN(SUBSTITUTE($C476,",",""))+1)</f>
        <v/>
      </c>
      <c r="K476" s="26">
        <f>IF($A476="","",SUMPRODUCT(--ISNUMBER(SEARCH('Category Dictionary'!$D$5:$D$135&amp;"",$C476)),--('Category Dictionary'!$D$5:$D$135&lt;&gt;"")))</f>
        <v/>
      </c>
      <c r="L476" s="27">
        <f>IF($A476="","",TRIM(IF(ISERROR(FIND(",",$C476)),$C476,LEFT($C476,FIND(",",$C476)-1))))</f>
        <v/>
      </c>
      <c r="M476" s="28">
        <f>IF($H476="","",DATE(YEAR($H476),MONTH($H476),1))</f>
        <v/>
      </c>
      <c r="N476" s="26">
        <f>IF($H476="","",TODAY()-$H476)</f>
        <v/>
      </c>
      <c r="O476" s="15" t="n"/>
      <c r="P476" s="15" t="n"/>
      <c r="Q476" s="15" t="n"/>
      <c r="R476" s="25" t="n"/>
      <c r="S476" s="26">
        <f>IF($A476="","",AND(OR('Assignment Builder'!$B$5="",$B476='Assignment Builder'!$B$5),OR('Assignment Builder'!$B$6="",ISNUMBER(SEARCH('Assignment Builder'!$B$6,$C476))),OR('Assignment Builder'!$B$7="",'Assignment Builder'!$B$7=IFERROR(INDEX('Category Dictionary'!$C$5:$C$135,MATCH($L476,'Category Dictionary'!$D$5:$D$135,0)),"")),OR('Assignment Builder'!$B$8="",$D476='Assignment Builder'!$B$8),OR('Assignment Builder'!$B$9="",$F476='Assignment Builder'!$B$9),OR('Assignment Builder'!$B$10="",$O476='Assignment Builder'!$B$10),OR('Assignment Builder'!$B$11="",$H476&gt;='Assignment Builder'!$B$11),OR('Assignment Builder'!$B$12="",N($Q476)&lt;='Assignment Builder'!$B$12)))</f>
        <v/>
      </c>
      <c r="T476" s="23" t="n"/>
    </row>
    <row r="477">
      <c r="A477" s="23" t="n"/>
      <c r="B477" s="23" t="n"/>
      <c r="C477" s="24" t="n"/>
      <c r="D477" s="15" t="n"/>
      <c r="E477" s="23" t="n"/>
      <c r="F477" s="15" t="n"/>
      <c r="G477" s="23" t="n"/>
      <c r="H477" s="25" t="n"/>
      <c r="I477" s="15" t="n"/>
      <c r="J477" s="26">
        <f>IF($A477="","",LEN($C477)-LEN(SUBSTITUTE($C477,",",""))+1)</f>
        <v/>
      </c>
      <c r="K477" s="26">
        <f>IF($A477="","",SUMPRODUCT(--ISNUMBER(SEARCH('Category Dictionary'!$D$5:$D$135&amp;"",$C477)),--('Category Dictionary'!$D$5:$D$135&lt;&gt;"")))</f>
        <v/>
      </c>
      <c r="L477" s="27">
        <f>IF($A477="","",TRIM(IF(ISERROR(FIND(",",$C477)),$C477,LEFT($C477,FIND(",",$C477)-1))))</f>
        <v/>
      </c>
      <c r="M477" s="28">
        <f>IF($H477="","",DATE(YEAR($H477),MONTH($H477),1))</f>
        <v/>
      </c>
      <c r="N477" s="26">
        <f>IF($H477="","",TODAY()-$H477)</f>
        <v/>
      </c>
      <c r="O477" s="15" t="n"/>
      <c r="P477" s="15" t="n"/>
      <c r="Q477" s="15" t="n"/>
      <c r="R477" s="25" t="n"/>
      <c r="S477" s="26">
        <f>IF($A477="","",AND(OR('Assignment Builder'!$B$5="",$B477='Assignment Builder'!$B$5),OR('Assignment Builder'!$B$6="",ISNUMBER(SEARCH('Assignment Builder'!$B$6,$C477))),OR('Assignment Builder'!$B$7="",'Assignment Builder'!$B$7=IFERROR(INDEX('Category Dictionary'!$C$5:$C$135,MATCH($L477,'Category Dictionary'!$D$5:$D$135,0)),"")),OR('Assignment Builder'!$B$8="",$D477='Assignment Builder'!$B$8),OR('Assignment Builder'!$B$9="",$F477='Assignment Builder'!$B$9),OR('Assignment Builder'!$B$10="",$O477='Assignment Builder'!$B$10),OR('Assignment Builder'!$B$11="",$H477&gt;='Assignment Builder'!$B$11),OR('Assignment Builder'!$B$12="",N($Q477)&lt;='Assignment Builder'!$B$12)))</f>
        <v/>
      </c>
      <c r="T477" s="23" t="n"/>
    </row>
    <row r="478">
      <c r="A478" s="23" t="n"/>
      <c r="B478" s="23" t="n"/>
      <c r="C478" s="24" t="n"/>
      <c r="D478" s="15" t="n"/>
      <c r="E478" s="23" t="n"/>
      <c r="F478" s="15" t="n"/>
      <c r="G478" s="23" t="n"/>
      <c r="H478" s="25" t="n"/>
      <c r="I478" s="15" t="n"/>
      <c r="J478" s="26">
        <f>IF($A478="","",LEN($C478)-LEN(SUBSTITUTE($C478,",",""))+1)</f>
        <v/>
      </c>
      <c r="K478" s="26">
        <f>IF($A478="","",SUMPRODUCT(--ISNUMBER(SEARCH('Category Dictionary'!$D$5:$D$135&amp;"",$C478)),--('Category Dictionary'!$D$5:$D$135&lt;&gt;"")))</f>
        <v/>
      </c>
      <c r="L478" s="27">
        <f>IF($A478="","",TRIM(IF(ISERROR(FIND(",",$C478)),$C478,LEFT($C478,FIND(",",$C478)-1))))</f>
        <v/>
      </c>
      <c r="M478" s="28">
        <f>IF($H478="","",DATE(YEAR($H478),MONTH($H478),1))</f>
        <v/>
      </c>
      <c r="N478" s="26">
        <f>IF($H478="","",TODAY()-$H478)</f>
        <v/>
      </c>
      <c r="O478" s="15" t="n"/>
      <c r="P478" s="15" t="n"/>
      <c r="Q478" s="15" t="n"/>
      <c r="R478" s="25" t="n"/>
      <c r="S478" s="26">
        <f>IF($A478="","",AND(OR('Assignment Builder'!$B$5="",$B478='Assignment Builder'!$B$5),OR('Assignment Builder'!$B$6="",ISNUMBER(SEARCH('Assignment Builder'!$B$6,$C478))),OR('Assignment Builder'!$B$7="",'Assignment Builder'!$B$7=IFERROR(INDEX('Category Dictionary'!$C$5:$C$135,MATCH($L478,'Category Dictionary'!$D$5:$D$135,0)),"")),OR('Assignment Builder'!$B$8="",$D478='Assignment Builder'!$B$8),OR('Assignment Builder'!$B$9="",$F478='Assignment Builder'!$B$9),OR('Assignment Builder'!$B$10="",$O478='Assignment Builder'!$B$10),OR('Assignment Builder'!$B$11="",$H478&gt;='Assignment Builder'!$B$11),OR('Assignment Builder'!$B$12="",N($Q478)&lt;='Assignment Builder'!$B$12)))</f>
        <v/>
      </c>
      <c r="T478" s="23" t="n"/>
    </row>
    <row r="479">
      <c r="A479" s="23" t="n"/>
      <c r="B479" s="23" t="n"/>
      <c r="C479" s="24" t="n"/>
      <c r="D479" s="15" t="n"/>
      <c r="E479" s="23" t="n"/>
      <c r="F479" s="15" t="n"/>
      <c r="G479" s="23" t="n"/>
      <c r="H479" s="25" t="n"/>
      <c r="I479" s="15" t="n"/>
      <c r="J479" s="26">
        <f>IF($A479="","",LEN($C479)-LEN(SUBSTITUTE($C479,",",""))+1)</f>
        <v/>
      </c>
      <c r="K479" s="26">
        <f>IF($A479="","",SUMPRODUCT(--ISNUMBER(SEARCH('Category Dictionary'!$D$5:$D$135&amp;"",$C479)),--('Category Dictionary'!$D$5:$D$135&lt;&gt;"")))</f>
        <v/>
      </c>
      <c r="L479" s="27">
        <f>IF($A479="","",TRIM(IF(ISERROR(FIND(",",$C479)),$C479,LEFT($C479,FIND(",",$C479)-1))))</f>
        <v/>
      </c>
      <c r="M479" s="28">
        <f>IF($H479="","",DATE(YEAR($H479),MONTH($H479),1))</f>
        <v/>
      </c>
      <c r="N479" s="26">
        <f>IF($H479="","",TODAY()-$H479)</f>
        <v/>
      </c>
      <c r="O479" s="15" t="n"/>
      <c r="P479" s="15" t="n"/>
      <c r="Q479" s="15" t="n"/>
      <c r="R479" s="25" t="n"/>
      <c r="S479" s="26">
        <f>IF($A479="","",AND(OR('Assignment Builder'!$B$5="",$B479='Assignment Builder'!$B$5),OR('Assignment Builder'!$B$6="",ISNUMBER(SEARCH('Assignment Builder'!$B$6,$C479))),OR('Assignment Builder'!$B$7="",'Assignment Builder'!$B$7=IFERROR(INDEX('Category Dictionary'!$C$5:$C$135,MATCH($L479,'Category Dictionary'!$D$5:$D$135,0)),"")),OR('Assignment Builder'!$B$8="",$D479='Assignment Builder'!$B$8),OR('Assignment Builder'!$B$9="",$F479='Assignment Builder'!$B$9),OR('Assignment Builder'!$B$10="",$O479='Assignment Builder'!$B$10),OR('Assignment Builder'!$B$11="",$H479&gt;='Assignment Builder'!$B$11),OR('Assignment Builder'!$B$12="",N($Q479)&lt;='Assignment Builder'!$B$12)))</f>
        <v/>
      </c>
      <c r="T479" s="23" t="n"/>
    </row>
    <row r="480">
      <c r="A480" s="23" t="n"/>
      <c r="B480" s="23" t="n"/>
      <c r="C480" s="24" t="n"/>
      <c r="D480" s="15" t="n"/>
      <c r="E480" s="23" t="n"/>
      <c r="F480" s="15" t="n"/>
      <c r="G480" s="23" t="n"/>
      <c r="H480" s="25" t="n"/>
      <c r="I480" s="15" t="n"/>
      <c r="J480" s="26">
        <f>IF($A480="","",LEN($C480)-LEN(SUBSTITUTE($C480,",",""))+1)</f>
        <v/>
      </c>
      <c r="K480" s="26">
        <f>IF($A480="","",SUMPRODUCT(--ISNUMBER(SEARCH('Category Dictionary'!$D$5:$D$135&amp;"",$C480)),--('Category Dictionary'!$D$5:$D$135&lt;&gt;"")))</f>
        <v/>
      </c>
      <c r="L480" s="27">
        <f>IF($A480="","",TRIM(IF(ISERROR(FIND(",",$C480)),$C480,LEFT($C480,FIND(",",$C480)-1))))</f>
        <v/>
      </c>
      <c r="M480" s="28">
        <f>IF($H480="","",DATE(YEAR($H480),MONTH($H480),1))</f>
        <v/>
      </c>
      <c r="N480" s="26">
        <f>IF($H480="","",TODAY()-$H480)</f>
        <v/>
      </c>
      <c r="O480" s="15" t="n"/>
      <c r="P480" s="15" t="n"/>
      <c r="Q480" s="15" t="n"/>
      <c r="R480" s="25" t="n"/>
      <c r="S480" s="26">
        <f>IF($A480="","",AND(OR('Assignment Builder'!$B$5="",$B480='Assignment Builder'!$B$5),OR('Assignment Builder'!$B$6="",ISNUMBER(SEARCH('Assignment Builder'!$B$6,$C480))),OR('Assignment Builder'!$B$7="",'Assignment Builder'!$B$7=IFERROR(INDEX('Category Dictionary'!$C$5:$C$135,MATCH($L480,'Category Dictionary'!$D$5:$D$135,0)),"")),OR('Assignment Builder'!$B$8="",$D480='Assignment Builder'!$B$8),OR('Assignment Builder'!$B$9="",$F480='Assignment Builder'!$B$9),OR('Assignment Builder'!$B$10="",$O480='Assignment Builder'!$B$10),OR('Assignment Builder'!$B$11="",$H480&gt;='Assignment Builder'!$B$11),OR('Assignment Builder'!$B$12="",N($Q480)&lt;='Assignment Builder'!$B$12)))</f>
        <v/>
      </c>
      <c r="T480" s="23" t="n"/>
    </row>
    <row r="481">
      <c r="A481" s="23" t="n"/>
      <c r="B481" s="23" t="n"/>
      <c r="C481" s="24" t="n"/>
      <c r="D481" s="15" t="n"/>
      <c r="E481" s="23" t="n"/>
      <c r="F481" s="15" t="n"/>
      <c r="G481" s="23" t="n"/>
      <c r="H481" s="25" t="n"/>
      <c r="I481" s="15" t="n"/>
      <c r="J481" s="26">
        <f>IF($A481="","",LEN($C481)-LEN(SUBSTITUTE($C481,",",""))+1)</f>
        <v/>
      </c>
      <c r="K481" s="26">
        <f>IF($A481="","",SUMPRODUCT(--ISNUMBER(SEARCH('Category Dictionary'!$D$5:$D$135&amp;"",$C481)),--('Category Dictionary'!$D$5:$D$135&lt;&gt;"")))</f>
        <v/>
      </c>
      <c r="L481" s="27">
        <f>IF($A481="","",TRIM(IF(ISERROR(FIND(",",$C481)),$C481,LEFT($C481,FIND(",",$C481)-1))))</f>
        <v/>
      </c>
      <c r="M481" s="28">
        <f>IF($H481="","",DATE(YEAR($H481),MONTH($H481),1))</f>
        <v/>
      </c>
      <c r="N481" s="26">
        <f>IF($H481="","",TODAY()-$H481)</f>
        <v/>
      </c>
      <c r="O481" s="15" t="n"/>
      <c r="P481" s="15" t="n"/>
      <c r="Q481" s="15" t="n"/>
      <c r="R481" s="25" t="n"/>
      <c r="S481" s="26">
        <f>IF($A481="","",AND(OR('Assignment Builder'!$B$5="",$B481='Assignment Builder'!$B$5),OR('Assignment Builder'!$B$6="",ISNUMBER(SEARCH('Assignment Builder'!$B$6,$C481))),OR('Assignment Builder'!$B$7="",'Assignment Builder'!$B$7=IFERROR(INDEX('Category Dictionary'!$C$5:$C$135,MATCH($L481,'Category Dictionary'!$D$5:$D$135,0)),"")),OR('Assignment Builder'!$B$8="",$D481='Assignment Builder'!$B$8),OR('Assignment Builder'!$B$9="",$F481='Assignment Builder'!$B$9),OR('Assignment Builder'!$B$10="",$O481='Assignment Builder'!$B$10),OR('Assignment Builder'!$B$11="",$H481&gt;='Assignment Builder'!$B$11),OR('Assignment Builder'!$B$12="",N($Q481)&lt;='Assignment Builder'!$B$12)))</f>
        <v/>
      </c>
      <c r="T481" s="23" t="n"/>
    </row>
    <row r="482">
      <c r="A482" s="23" t="n"/>
      <c r="B482" s="23" t="n"/>
      <c r="C482" s="24" t="n"/>
      <c r="D482" s="15" t="n"/>
      <c r="E482" s="23" t="n"/>
      <c r="F482" s="15" t="n"/>
      <c r="G482" s="23" t="n"/>
      <c r="H482" s="25" t="n"/>
      <c r="I482" s="15" t="n"/>
      <c r="J482" s="26">
        <f>IF($A482="","",LEN($C482)-LEN(SUBSTITUTE($C482,",",""))+1)</f>
        <v/>
      </c>
      <c r="K482" s="26">
        <f>IF($A482="","",SUMPRODUCT(--ISNUMBER(SEARCH('Category Dictionary'!$D$5:$D$135&amp;"",$C482)),--('Category Dictionary'!$D$5:$D$135&lt;&gt;"")))</f>
        <v/>
      </c>
      <c r="L482" s="27">
        <f>IF($A482="","",TRIM(IF(ISERROR(FIND(",",$C482)),$C482,LEFT($C482,FIND(",",$C482)-1))))</f>
        <v/>
      </c>
      <c r="M482" s="28">
        <f>IF($H482="","",DATE(YEAR($H482),MONTH($H482),1))</f>
        <v/>
      </c>
      <c r="N482" s="26">
        <f>IF($H482="","",TODAY()-$H482)</f>
        <v/>
      </c>
      <c r="O482" s="15" t="n"/>
      <c r="P482" s="15" t="n"/>
      <c r="Q482" s="15" t="n"/>
      <c r="R482" s="25" t="n"/>
      <c r="S482" s="26">
        <f>IF($A482="","",AND(OR('Assignment Builder'!$B$5="",$B482='Assignment Builder'!$B$5),OR('Assignment Builder'!$B$6="",ISNUMBER(SEARCH('Assignment Builder'!$B$6,$C482))),OR('Assignment Builder'!$B$7="",'Assignment Builder'!$B$7=IFERROR(INDEX('Category Dictionary'!$C$5:$C$135,MATCH($L482,'Category Dictionary'!$D$5:$D$135,0)),"")),OR('Assignment Builder'!$B$8="",$D482='Assignment Builder'!$B$8),OR('Assignment Builder'!$B$9="",$F482='Assignment Builder'!$B$9),OR('Assignment Builder'!$B$10="",$O482='Assignment Builder'!$B$10),OR('Assignment Builder'!$B$11="",$H482&gt;='Assignment Builder'!$B$11),OR('Assignment Builder'!$B$12="",N($Q482)&lt;='Assignment Builder'!$B$12)))</f>
        <v/>
      </c>
      <c r="T482" s="23" t="n"/>
    </row>
    <row r="483">
      <c r="A483" s="23" t="n"/>
      <c r="B483" s="23" t="n"/>
      <c r="C483" s="24" t="n"/>
      <c r="D483" s="15" t="n"/>
      <c r="E483" s="23" t="n"/>
      <c r="F483" s="15" t="n"/>
      <c r="G483" s="23" t="n"/>
      <c r="H483" s="25" t="n"/>
      <c r="I483" s="15" t="n"/>
      <c r="J483" s="26">
        <f>IF($A483="","",LEN($C483)-LEN(SUBSTITUTE($C483,",",""))+1)</f>
        <v/>
      </c>
      <c r="K483" s="26">
        <f>IF($A483="","",SUMPRODUCT(--ISNUMBER(SEARCH('Category Dictionary'!$D$5:$D$135&amp;"",$C483)),--('Category Dictionary'!$D$5:$D$135&lt;&gt;"")))</f>
        <v/>
      </c>
      <c r="L483" s="27">
        <f>IF($A483="","",TRIM(IF(ISERROR(FIND(",",$C483)),$C483,LEFT($C483,FIND(",",$C483)-1))))</f>
        <v/>
      </c>
      <c r="M483" s="28">
        <f>IF($H483="","",DATE(YEAR($H483),MONTH($H483),1))</f>
        <v/>
      </c>
      <c r="N483" s="26">
        <f>IF($H483="","",TODAY()-$H483)</f>
        <v/>
      </c>
      <c r="O483" s="15" t="n"/>
      <c r="P483" s="15" t="n"/>
      <c r="Q483" s="15" t="n"/>
      <c r="R483" s="25" t="n"/>
      <c r="S483" s="26">
        <f>IF($A483="","",AND(OR('Assignment Builder'!$B$5="",$B483='Assignment Builder'!$B$5),OR('Assignment Builder'!$B$6="",ISNUMBER(SEARCH('Assignment Builder'!$B$6,$C483))),OR('Assignment Builder'!$B$7="",'Assignment Builder'!$B$7=IFERROR(INDEX('Category Dictionary'!$C$5:$C$135,MATCH($L483,'Category Dictionary'!$D$5:$D$135,0)),"")),OR('Assignment Builder'!$B$8="",$D483='Assignment Builder'!$B$8),OR('Assignment Builder'!$B$9="",$F483='Assignment Builder'!$B$9),OR('Assignment Builder'!$B$10="",$O483='Assignment Builder'!$B$10),OR('Assignment Builder'!$B$11="",$H483&gt;='Assignment Builder'!$B$11),OR('Assignment Builder'!$B$12="",N($Q483)&lt;='Assignment Builder'!$B$12)))</f>
        <v/>
      </c>
      <c r="T483" s="23" t="n"/>
    </row>
    <row r="484">
      <c r="A484" s="23" t="n"/>
      <c r="B484" s="23" t="n"/>
      <c r="C484" s="24" t="n"/>
      <c r="D484" s="15" t="n"/>
      <c r="E484" s="23" t="n"/>
      <c r="F484" s="15" t="n"/>
      <c r="G484" s="23" t="n"/>
      <c r="H484" s="25" t="n"/>
      <c r="I484" s="15" t="n"/>
      <c r="J484" s="26">
        <f>IF($A484="","",LEN($C484)-LEN(SUBSTITUTE($C484,",",""))+1)</f>
        <v/>
      </c>
      <c r="K484" s="26">
        <f>IF($A484="","",SUMPRODUCT(--ISNUMBER(SEARCH('Category Dictionary'!$D$5:$D$135&amp;"",$C484)),--('Category Dictionary'!$D$5:$D$135&lt;&gt;"")))</f>
        <v/>
      </c>
      <c r="L484" s="27">
        <f>IF($A484="","",TRIM(IF(ISERROR(FIND(",",$C484)),$C484,LEFT($C484,FIND(",",$C484)-1))))</f>
        <v/>
      </c>
      <c r="M484" s="28">
        <f>IF($H484="","",DATE(YEAR($H484),MONTH($H484),1))</f>
        <v/>
      </c>
      <c r="N484" s="26">
        <f>IF($H484="","",TODAY()-$H484)</f>
        <v/>
      </c>
      <c r="O484" s="15" t="n"/>
      <c r="P484" s="15" t="n"/>
      <c r="Q484" s="15" t="n"/>
      <c r="R484" s="25" t="n"/>
      <c r="S484" s="26">
        <f>IF($A484="","",AND(OR('Assignment Builder'!$B$5="",$B484='Assignment Builder'!$B$5),OR('Assignment Builder'!$B$6="",ISNUMBER(SEARCH('Assignment Builder'!$B$6,$C484))),OR('Assignment Builder'!$B$7="",'Assignment Builder'!$B$7=IFERROR(INDEX('Category Dictionary'!$C$5:$C$135,MATCH($L484,'Category Dictionary'!$D$5:$D$135,0)),"")),OR('Assignment Builder'!$B$8="",$D484='Assignment Builder'!$B$8),OR('Assignment Builder'!$B$9="",$F484='Assignment Builder'!$B$9),OR('Assignment Builder'!$B$10="",$O484='Assignment Builder'!$B$10),OR('Assignment Builder'!$B$11="",$H484&gt;='Assignment Builder'!$B$11),OR('Assignment Builder'!$B$12="",N($Q484)&lt;='Assignment Builder'!$B$12)))</f>
        <v/>
      </c>
      <c r="T484" s="23" t="n"/>
    </row>
    <row r="485">
      <c r="A485" s="23" t="n"/>
      <c r="B485" s="23" t="n"/>
      <c r="C485" s="24" t="n"/>
      <c r="D485" s="15" t="n"/>
      <c r="E485" s="23" t="n"/>
      <c r="F485" s="15" t="n"/>
      <c r="G485" s="23" t="n"/>
      <c r="H485" s="25" t="n"/>
      <c r="I485" s="15" t="n"/>
      <c r="J485" s="26">
        <f>IF($A485="","",LEN($C485)-LEN(SUBSTITUTE($C485,",",""))+1)</f>
        <v/>
      </c>
      <c r="K485" s="26">
        <f>IF($A485="","",SUMPRODUCT(--ISNUMBER(SEARCH('Category Dictionary'!$D$5:$D$135&amp;"",$C485)),--('Category Dictionary'!$D$5:$D$135&lt;&gt;"")))</f>
        <v/>
      </c>
      <c r="L485" s="27">
        <f>IF($A485="","",TRIM(IF(ISERROR(FIND(",",$C485)),$C485,LEFT($C485,FIND(",",$C485)-1))))</f>
        <v/>
      </c>
      <c r="M485" s="28">
        <f>IF($H485="","",DATE(YEAR($H485),MONTH($H485),1))</f>
        <v/>
      </c>
      <c r="N485" s="26">
        <f>IF($H485="","",TODAY()-$H485)</f>
        <v/>
      </c>
      <c r="O485" s="15" t="n"/>
      <c r="P485" s="15" t="n"/>
      <c r="Q485" s="15" t="n"/>
      <c r="R485" s="25" t="n"/>
      <c r="S485" s="26">
        <f>IF($A485="","",AND(OR('Assignment Builder'!$B$5="",$B485='Assignment Builder'!$B$5),OR('Assignment Builder'!$B$6="",ISNUMBER(SEARCH('Assignment Builder'!$B$6,$C485))),OR('Assignment Builder'!$B$7="",'Assignment Builder'!$B$7=IFERROR(INDEX('Category Dictionary'!$C$5:$C$135,MATCH($L485,'Category Dictionary'!$D$5:$D$135,0)),"")),OR('Assignment Builder'!$B$8="",$D485='Assignment Builder'!$B$8),OR('Assignment Builder'!$B$9="",$F485='Assignment Builder'!$B$9),OR('Assignment Builder'!$B$10="",$O485='Assignment Builder'!$B$10),OR('Assignment Builder'!$B$11="",$H485&gt;='Assignment Builder'!$B$11),OR('Assignment Builder'!$B$12="",N($Q485)&lt;='Assignment Builder'!$B$12)))</f>
        <v/>
      </c>
      <c r="T485" s="23" t="n"/>
    </row>
    <row r="486">
      <c r="A486" s="23" t="n"/>
      <c r="B486" s="23" t="n"/>
      <c r="C486" s="24" t="n"/>
      <c r="D486" s="15" t="n"/>
      <c r="E486" s="23" t="n"/>
      <c r="F486" s="15" t="n"/>
      <c r="G486" s="23" t="n"/>
      <c r="H486" s="25" t="n"/>
      <c r="I486" s="15" t="n"/>
      <c r="J486" s="26">
        <f>IF($A486="","",LEN($C486)-LEN(SUBSTITUTE($C486,",",""))+1)</f>
        <v/>
      </c>
      <c r="K486" s="26">
        <f>IF($A486="","",SUMPRODUCT(--ISNUMBER(SEARCH('Category Dictionary'!$D$5:$D$135&amp;"",$C486)),--('Category Dictionary'!$D$5:$D$135&lt;&gt;"")))</f>
        <v/>
      </c>
      <c r="L486" s="27">
        <f>IF($A486="","",TRIM(IF(ISERROR(FIND(",",$C486)),$C486,LEFT($C486,FIND(",",$C486)-1))))</f>
        <v/>
      </c>
      <c r="M486" s="28">
        <f>IF($H486="","",DATE(YEAR($H486),MONTH($H486),1))</f>
        <v/>
      </c>
      <c r="N486" s="26">
        <f>IF($H486="","",TODAY()-$H486)</f>
        <v/>
      </c>
      <c r="O486" s="15" t="n"/>
      <c r="P486" s="15" t="n"/>
      <c r="Q486" s="15" t="n"/>
      <c r="R486" s="25" t="n"/>
      <c r="S486" s="26">
        <f>IF($A486="","",AND(OR('Assignment Builder'!$B$5="",$B486='Assignment Builder'!$B$5),OR('Assignment Builder'!$B$6="",ISNUMBER(SEARCH('Assignment Builder'!$B$6,$C486))),OR('Assignment Builder'!$B$7="",'Assignment Builder'!$B$7=IFERROR(INDEX('Category Dictionary'!$C$5:$C$135,MATCH($L486,'Category Dictionary'!$D$5:$D$135,0)),"")),OR('Assignment Builder'!$B$8="",$D486='Assignment Builder'!$B$8),OR('Assignment Builder'!$B$9="",$F486='Assignment Builder'!$B$9),OR('Assignment Builder'!$B$10="",$O486='Assignment Builder'!$B$10),OR('Assignment Builder'!$B$11="",$H486&gt;='Assignment Builder'!$B$11),OR('Assignment Builder'!$B$12="",N($Q486)&lt;='Assignment Builder'!$B$12)))</f>
        <v/>
      </c>
      <c r="T486" s="23" t="n"/>
    </row>
    <row r="487">
      <c r="A487" s="23" t="n"/>
      <c r="B487" s="23" t="n"/>
      <c r="C487" s="24" t="n"/>
      <c r="D487" s="15" t="n"/>
      <c r="E487" s="23" t="n"/>
      <c r="F487" s="15" t="n"/>
      <c r="G487" s="23" t="n"/>
      <c r="H487" s="25" t="n"/>
      <c r="I487" s="15" t="n"/>
      <c r="J487" s="26">
        <f>IF($A487="","",LEN($C487)-LEN(SUBSTITUTE($C487,",",""))+1)</f>
        <v/>
      </c>
      <c r="K487" s="26">
        <f>IF($A487="","",SUMPRODUCT(--ISNUMBER(SEARCH('Category Dictionary'!$D$5:$D$135&amp;"",$C487)),--('Category Dictionary'!$D$5:$D$135&lt;&gt;"")))</f>
        <v/>
      </c>
      <c r="L487" s="27">
        <f>IF($A487="","",TRIM(IF(ISERROR(FIND(",",$C487)),$C487,LEFT($C487,FIND(",",$C487)-1))))</f>
        <v/>
      </c>
      <c r="M487" s="28">
        <f>IF($H487="","",DATE(YEAR($H487),MONTH($H487),1))</f>
        <v/>
      </c>
      <c r="N487" s="26">
        <f>IF($H487="","",TODAY()-$H487)</f>
        <v/>
      </c>
      <c r="O487" s="15" t="n"/>
      <c r="P487" s="15" t="n"/>
      <c r="Q487" s="15" t="n"/>
      <c r="R487" s="25" t="n"/>
      <c r="S487" s="26">
        <f>IF($A487="","",AND(OR('Assignment Builder'!$B$5="",$B487='Assignment Builder'!$B$5),OR('Assignment Builder'!$B$6="",ISNUMBER(SEARCH('Assignment Builder'!$B$6,$C487))),OR('Assignment Builder'!$B$7="",'Assignment Builder'!$B$7=IFERROR(INDEX('Category Dictionary'!$C$5:$C$135,MATCH($L487,'Category Dictionary'!$D$5:$D$135,0)),"")),OR('Assignment Builder'!$B$8="",$D487='Assignment Builder'!$B$8),OR('Assignment Builder'!$B$9="",$F487='Assignment Builder'!$B$9),OR('Assignment Builder'!$B$10="",$O487='Assignment Builder'!$B$10),OR('Assignment Builder'!$B$11="",$H487&gt;='Assignment Builder'!$B$11),OR('Assignment Builder'!$B$12="",N($Q487)&lt;='Assignment Builder'!$B$12)))</f>
        <v/>
      </c>
      <c r="T487" s="23" t="n"/>
    </row>
    <row r="488">
      <c r="A488" s="23" t="n"/>
      <c r="B488" s="23" t="n"/>
      <c r="C488" s="24" t="n"/>
      <c r="D488" s="15" t="n"/>
      <c r="E488" s="23" t="n"/>
      <c r="F488" s="15" t="n"/>
      <c r="G488" s="23" t="n"/>
      <c r="H488" s="25" t="n"/>
      <c r="I488" s="15" t="n"/>
      <c r="J488" s="26">
        <f>IF($A488="","",LEN($C488)-LEN(SUBSTITUTE($C488,",",""))+1)</f>
        <v/>
      </c>
      <c r="K488" s="26">
        <f>IF($A488="","",SUMPRODUCT(--ISNUMBER(SEARCH('Category Dictionary'!$D$5:$D$135&amp;"",$C488)),--('Category Dictionary'!$D$5:$D$135&lt;&gt;"")))</f>
        <v/>
      </c>
      <c r="L488" s="27">
        <f>IF($A488="","",TRIM(IF(ISERROR(FIND(",",$C488)),$C488,LEFT($C488,FIND(",",$C488)-1))))</f>
        <v/>
      </c>
      <c r="M488" s="28">
        <f>IF($H488="","",DATE(YEAR($H488),MONTH($H488),1))</f>
        <v/>
      </c>
      <c r="N488" s="26">
        <f>IF($H488="","",TODAY()-$H488)</f>
        <v/>
      </c>
      <c r="O488" s="15" t="n"/>
      <c r="P488" s="15" t="n"/>
      <c r="Q488" s="15" t="n"/>
      <c r="R488" s="25" t="n"/>
      <c r="S488" s="26">
        <f>IF($A488="","",AND(OR('Assignment Builder'!$B$5="",$B488='Assignment Builder'!$B$5),OR('Assignment Builder'!$B$6="",ISNUMBER(SEARCH('Assignment Builder'!$B$6,$C488))),OR('Assignment Builder'!$B$7="",'Assignment Builder'!$B$7=IFERROR(INDEX('Category Dictionary'!$C$5:$C$135,MATCH($L488,'Category Dictionary'!$D$5:$D$135,0)),"")),OR('Assignment Builder'!$B$8="",$D488='Assignment Builder'!$B$8),OR('Assignment Builder'!$B$9="",$F488='Assignment Builder'!$B$9),OR('Assignment Builder'!$B$10="",$O488='Assignment Builder'!$B$10),OR('Assignment Builder'!$B$11="",$H488&gt;='Assignment Builder'!$B$11),OR('Assignment Builder'!$B$12="",N($Q488)&lt;='Assignment Builder'!$B$12)))</f>
        <v/>
      </c>
      <c r="T488" s="23" t="n"/>
    </row>
    <row r="489">
      <c r="A489" s="23" t="n"/>
      <c r="B489" s="23" t="n"/>
      <c r="C489" s="24" t="n"/>
      <c r="D489" s="15" t="n"/>
      <c r="E489" s="23" t="n"/>
      <c r="F489" s="15" t="n"/>
      <c r="G489" s="23" t="n"/>
      <c r="H489" s="25" t="n"/>
      <c r="I489" s="15" t="n"/>
      <c r="J489" s="26">
        <f>IF($A489="","",LEN($C489)-LEN(SUBSTITUTE($C489,",",""))+1)</f>
        <v/>
      </c>
      <c r="K489" s="26">
        <f>IF($A489="","",SUMPRODUCT(--ISNUMBER(SEARCH('Category Dictionary'!$D$5:$D$135&amp;"",$C489)),--('Category Dictionary'!$D$5:$D$135&lt;&gt;"")))</f>
        <v/>
      </c>
      <c r="L489" s="27">
        <f>IF($A489="","",TRIM(IF(ISERROR(FIND(",",$C489)),$C489,LEFT($C489,FIND(",",$C489)-1))))</f>
        <v/>
      </c>
      <c r="M489" s="28">
        <f>IF($H489="","",DATE(YEAR($H489),MONTH($H489),1))</f>
        <v/>
      </c>
      <c r="N489" s="26">
        <f>IF($H489="","",TODAY()-$H489)</f>
        <v/>
      </c>
      <c r="O489" s="15" t="n"/>
      <c r="P489" s="15" t="n"/>
      <c r="Q489" s="15" t="n"/>
      <c r="R489" s="25" t="n"/>
      <c r="S489" s="26">
        <f>IF($A489="","",AND(OR('Assignment Builder'!$B$5="",$B489='Assignment Builder'!$B$5),OR('Assignment Builder'!$B$6="",ISNUMBER(SEARCH('Assignment Builder'!$B$6,$C489))),OR('Assignment Builder'!$B$7="",'Assignment Builder'!$B$7=IFERROR(INDEX('Category Dictionary'!$C$5:$C$135,MATCH($L489,'Category Dictionary'!$D$5:$D$135,0)),"")),OR('Assignment Builder'!$B$8="",$D489='Assignment Builder'!$B$8),OR('Assignment Builder'!$B$9="",$F489='Assignment Builder'!$B$9),OR('Assignment Builder'!$B$10="",$O489='Assignment Builder'!$B$10),OR('Assignment Builder'!$B$11="",$H489&gt;='Assignment Builder'!$B$11),OR('Assignment Builder'!$B$12="",N($Q489)&lt;='Assignment Builder'!$B$12)))</f>
        <v/>
      </c>
      <c r="T489" s="23" t="n"/>
    </row>
    <row r="490">
      <c r="A490" s="23" t="n"/>
      <c r="B490" s="23" t="n"/>
      <c r="C490" s="24" t="n"/>
      <c r="D490" s="15" t="n"/>
      <c r="E490" s="23" t="n"/>
      <c r="F490" s="15" t="n"/>
      <c r="G490" s="23" t="n"/>
      <c r="H490" s="25" t="n"/>
      <c r="I490" s="15" t="n"/>
      <c r="J490" s="26">
        <f>IF($A490="","",LEN($C490)-LEN(SUBSTITUTE($C490,",",""))+1)</f>
        <v/>
      </c>
      <c r="K490" s="26">
        <f>IF($A490="","",SUMPRODUCT(--ISNUMBER(SEARCH('Category Dictionary'!$D$5:$D$135&amp;"",$C490)),--('Category Dictionary'!$D$5:$D$135&lt;&gt;"")))</f>
        <v/>
      </c>
      <c r="L490" s="27">
        <f>IF($A490="","",TRIM(IF(ISERROR(FIND(",",$C490)),$C490,LEFT($C490,FIND(",",$C490)-1))))</f>
        <v/>
      </c>
      <c r="M490" s="28">
        <f>IF($H490="","",DATE(YEAR($H490),MONTH($H490),1))</f>
        <v/>
      </c>
      <c r="N490" s="26">
        <f>IF($H490="","",TODAY()-$H490)</f>
        <v/>
      </c>
      <c r="O490" s="15" t="n"/>
      <c r="P490" s="15" t="n"/>
      <c r="Q490" s="15" t="n"/>
      <c r="R490" s="25" t="n"/>
      <c r="S490" s="26">
        <f>IF($A490="","",AND(OR('Assignment Builder'!$B$5="",$B490='Assignment Builder'!$B$5),OR('Assignment Builder'!$B$6="",ISNUMBER(SEARCH('Assignment Builder'!$B$6,$C490))),OR('Assignment Builder'!$B$7="",'Assignment Builder'!$B$7=IFERROR(INDEX('Category Dictionary'!$C$5:$C$135,MATCH($L490,'Category Dictionary'!$D$5:$D$135,0)),"")),OR('Assignment Builder'!$B$8="",$D490='Assignment Builder'!$B$8),OR('Assignment Builder'!$B$9="",$F490='Assignment Builder'!$B$9),OR('Assignment Builder'!$B$10="",$O490='Assignment Builder'!$B$10),OR('Assignment Builder'!$B$11="",$H490&gt;='Assignment Builder'!$B$11),OR('Assignment Builder'!$B$12="",N($Q490)&lt;='Assignment Builder'!$B$12)))</f>
        <v/>
      </c>
      <c r="T490" s="23" t="n"/>
    </row>
    <row r="491">
      <c r="A491" s="23" t="n"/>
      <c r="B491" s="23" t="n"/>
      <c r="C491" s="24" t="n"/>
      <c r="D491" s="15" t="n"/>
      <c r="E491" s="23" t="n"/>
      <c r="F491" s="15" t="n"/>
      <c r="G491" s="23" t="n"/>
      <c r="H491" s="25" t="n"/>
      <c r="I491" s="15" t="n"/>
      <c r="J491" s="26">
        <f>IF($A491="","",LEN($C491)-LEN(SUBSTITUTE($C491,",",""))+1)</f>
        <v/>
      </c>
      <c r="K491" s="26">
        <f>IF($A491="","",SUMPRODUCT(--ISNUMBER(SEARCH('Category Dictionary'!$D$5:$D$135&amp;"",$C491)),--('Category Dictionary'!$D$5:$D$135&lt;&gt;"")))</f>
        <v/>
      </c>
      <c r="L491" s="27">
        <f>IF($A491="","",TRIM(IF(ISERROR(FIND(",",$C491)),$C491,LEFT($C491,FIND(",",$C491)-1))))</f>
        <v/>
      </c>
      <c r="M491" s="28">
        <f>IF($H491="","",DATE(YEAR($H491),MONTH($H491),1))</f>
        <v/>
      </c>
      <c r="N491" s="26">
        <f>IF($H491="","",TODAY()-$H491)</f>
        <v/>
      </c>
      <c r="O491" s="15" t="n"/>
      <c r="P491" s="15" t="n"/>
      <c r="Q491" s="15" t="n"/>
      <c r="R491" s="25" t="n"/>
      <c r="S491" s="26">
        <f>IF($A491="","",AND(OR('Assignment Builder'!$B$5="",$B491='Assignment Builder'!$B$5),OR('Assignment Builder'!$B$6="",ISNUMBER(SEARCH('Assignment Builder'!$B$6,$C491))),OR('Assignment Builder'!$B$7="",'Assignment Builder'!$B$7=IFERROR(INDEX('Category Dictionary'!$C$5:$C$135,MATCH($L491,'Category Dictionary'!$D$5:$D$135,0)),"")),OR('Assignment Builder'!$B$8="",$D491='Assignment Builder'!$B$8),OR('Assignment Builder'!$B$9="",$F491='Assignment Builder'!$B$9),OR('Assignment Builder'!$B$10="",$O491='Assignment Builder'!$B$10),OR('Assignment Builder'!$B$11="",$H491&gt;='Assignment Builder'!$B$11),OR('Assignment Builder'!$B$12="",N($Q491)&lt;='Assignment Builder'!$B$12)))</f>
        <v/>
      </c>
      <c r="T491" s="23" t="n"/>
    </row>
    <row r="492">
      <c r="A492" s="23" t="n"/>
      <c r="B492" s="23" t="n"/>
      <c r="C492" s="24" t="n"/>
      <c r="D492" s="15" t="n"/>
      <c r="E492" s="23" t="n"/>
      <c r="F492" s="15" t="n"/>
      <c r="G492" s="23" t="n"/>
      <c r="H492" s="25" t="n"/>
      <c r="I492" s="15" t="n"/>
      <c r="J492" s="26">
        <f>IF($A492="","",LEN($C492)-LEN(SUBSTITUTE($C492,",",""))+1)</f>
        <v/>
      </c>
      <c r="K492" s="26">
        <f>IF($A492="","",SUMPRODUCT(--ISNUMBER(SEARCH('Category Dictionary'!$D$5:$D$135&amp;"",$C492)),--('Category Dictionary'!$D$5:$D$135&lt;&gt;"")))</f>
        <v/>
      </c>
      <c r="L492" s="27">
        <f>IF($A492="","",TRIM(IF(ISERROR(FIND(",",$C492)),$C492,LEFT($C492,FIND(",",$C492)-1))))</f>
        <v/>
      </c>
      <c r="M492" s="28">
        <f>IF($H492="","",DATE(YEAR($H492),MONTH($H492),1))</f>
        <v/>
      </c>
      <c r="N492" s="26">
        <f>IF($H492="","",TODAY()-$H492)</f>
        <v/>
      </c>
      <c r="O492" s="15" t="n"/>
      <c r="P492" s="15" t="n"/>
      <c r="Q492" s="15" t="n"/>
      <c r="R492" s="25" t="n"/>
      <c r="S492" s="26">
        <f>IF($A492="","",AND(OR('Assignment Builder'!$B$5="",$B492='Assignment Builder'!$B$5),OR('Assignment Builder'!$B$6="",ISNUMBER(SEARCH('Assignment Builder'!$B$6,$C492))),OR('Assignment Builder'!$B$7="",'Assignment Builder'!$B$7=IFERROR(INDEX('Category Dictionary'!$C$5:$C$135,MATCH($L492,'Category Dictionary'!$D$5:$D$135,0)),"")),OR('Assignment Builder'!$B$8="",$D492='Assignment Builder'!$B$8),OR('Assignment Builder'!$B$9="",$F492='Assignment Builder'!$B$9),OR('Assignment Builder'!$B$10="",$O492='Assignment Builder'!$B$10),OR('Assignment Builder'!$B$11="",$H492&gt;='Assignment Builder'!$B$11),OR('Assignment Builder'!$B$12="",N($Q492)&lt;='Assignment Builder'!$B$12)))</f>
        <v/>
      </c>
      <c r="T492" s="23" t="n"/>
    </row>
    <row r="493">
      <c r="A493" s="23" t="n"/>
      <c r="B493" s="23" t="n"/>
      <c r="C493" s="24" t="n"/>
      <c r="D493" s="15" t="n"/>
      <c r="E493" s="23" t="n"/>
      <c r="F493" s="15" t="n"/>
      <c r="G493" s="23" t="n"/>
      <c r="H493" s="25" t="n"/>
      <c r="I493" s="15" t="n"/>
      <c r="J493" s="26">
        <f>IF($A493="","",LEN($C493)-LEN(SUBSTITUTE($C493,",",""))+1)</f>
        <v/>
      </c>
      <c r="K493" s="26">
        <f>IF($A493="","",SUMPRODUCT(--ISNUMBER(SEARCH('Category Dictionary'!$D$5:$D$135&amp;"",$C493)),--('Category Dictionary'!$D$5:$D$135&lt;&gt;"")))</f>
        <v/>
      </c>
      <c r="L493" s="27">
        <f>IF($A493="","",TRIM(IF(ISERROR(FIND(",",$C493)),$C493,LEFT($C493,FIND(",",$C493)-1))))</f>
        <v/>
      </c>
      <c r="M493" s="28">
        <f>IF($H493="","",DATE(YEAR($H493),MONTH($H493),1))</f>
        <v/>
      </c>
      <c r="N493" s="26">
        <f>IF($H493="","",TODAY()-$H493)</f>
        <v/>
      </c>
      <c r="O493" s="15" t="n"/>
      <c r="P493" s="15" t="n"/>
      <c r="Q493" s="15" t="n"/>
      <c r="R493" s="25" t="n"/>
      <c r="S493" s="26">
        <f>IF($A493="","",AND(OR('Assignment Builder'!$B$5="",$B493='Assignment Builder'!$B$5),OR('Assignment Builder'!$B$6="",ISNUMBER(SEARCH('Assignment Builder'!$B$6,$C493))),OR('Assignment Builder'!$B$7="",'Assignment Builder'!$B$7=IFERROR(INDEX('Category Dictionary'!$C$5:$C$135,MATCH($L493,'Category Dictionary'!$D$5:$D$135,0)),"")),OR('Assignment Builder'!$B$8="",$D493='Assignment Builder'!$B$8),OR('Assignment Builder'!$B$9="",$F493='Assignment Builder'!$B$9),OR('Assignment Builder'!$B$10="",$O493='Assignment Builder'!$B$10),OR('Assignment Builder'!$B$11="",$H493&gt;='Assignment Builder'!$B$11),OR('Assignment Builder'!$B$12="",N($Q493)&lt;='Assignment Builder'!$B$12)))</f>
        <v/>
      </c>
      <c r="T493" s="23" t="n"/>
    </row>
    <row r="494">
      <c r="A494" s="23" t="n"/>
      <c r="B494" s="23" t="n"/>
      <c r="C494" s="24" t="n"/>
      <c r="D494" s="15" t="n"/>
      <c r="E494" s="23" t="n"/>
      <c r="F494" s="15" t="n"/>
      <c r="G494" s="23" t="n"/>
      <c r="H494" s="25" t="n"/>
      <c r="I494" s="15" t="n"/>
      <c r="J494" s="26">
        <f>IF($A494="","",LEN($C494)-LEN(SUBSTITUTE($C494,",",""))+1)</f>
        <v/>
      </c>
      <c r="K494" s="26">
        <f>IF($A494="","",SUMPRODUCT(--ISNUMBER(SEARCH('Category Dictionary'!$D$5:$D$135&amp;"",$C494)),--('Category Dictionary'!$D$5:$D$135&lt;&gt;"")))</f>
        <v/>
      </c>
      <c r="L494" s="27">
        <f>IF($A494="","",TRIM(IF(ISERROR(FIND(",",$C494)),$C494,LEFT($C494,FIND(",",$C494)-1))))</f>
        <v/>
      </c>
      <c r="M494" s="28">
        <f>IF($H494="","",DATE(YEAR($H494),MONTH($H494),1))</f>
        <v/>
      </c>
      <c r="N494" s="26">
        <f>IF($H494="","",TODAY()-$H494)</f>
        <v/>
      </c>
      <c r="O494" s="15" t="n"/>
      <c r="P494" s="15" t="n"/>
      <c r="Q494" s="15" t="n"/>
      <c r="R494" s="25" t="n"/>
      <c r="S494" s="26">
        <f>IF($A494="","",AND(OR('Assignment Builder'!$B$5="",$B494='Assignment Builder'!$B$5),OR('Assignment Builder'!$B$6="",ISNUMBER(SEARCH('Assignment Builder'!$B$6,$C494))),OR('Assignment Builder'!$B$7="",'Assignment Builder'!$B$7=IFERROR(INDEX('Category Dictionary'!$C$5:$C$135,MATCH($L494,'Category Dictionary'!$D$5:$D$135,0)),"")),OR('Assignment Builder'!$B$8="",$D494='Assignment Builder'!$B$8),OR('Assignment Builder'!$B$9="",$F494='Assignment Builder'!$B$9),OR('Assignment Builder'!$B$10="",$O494='Assignment Builder'!$B$10),OR('Assignment Builder'!$B$11="",$H494&gt;='Assignment Builder'!$B$11),OR('Assignment Builder'!$B$12="",N($Q494)&lt;='Assignment Builder'!$B$12)))</f>
        <v/>
      </c>
      <c r="T494" s="23" t="n"/>
    </row>
    <row r="495">
      <c r="A495" s="23" t="n"/>
      <c r="B495" s="23" t="n"/>
      <c r="C495" s="24" t="n"/>
      <c r="D495" s="15" t="n"/>
      <c r="E495" s="23" t="n"/>
      <c r="F495" s="15" t="n"/>
      <c r="G495" s="23" t="n"/>
      <c r="H495" s="25" t="n"/>
      <c r="I495" s="15" t="n"/>
      <c r="J495" s="26">
        <f>IF($A495="","",LEN($C495)-LEN(SUBSTITUTE($C495,",",""))+1)</f>
        <v/>
      </c>
      <c r="K495" s="26">
        <f>IF($A495="","",SUMPRODUCT(--ISNUMBER(SEARCH('Category Dictionary'!$D$5:$D$135&amp;"",$C495)),--('Category Dictionary'!$D$5:$D$135&lt;&gt;"")))</f>
        <v/>
      </c>
      <c r="L495" s="27">
        <f>IF($A495="","",TRIM(IF(ISERROR(FIND(",",$C495)),$C495,LEFT($C495,FIND(",",$C495)-1))))</f>
        <v/>
      </c>
      <c r="M495" s="28">
        <f>IF($H495="","",DATE(YEAR($H495),MONTH($H495),1))</f>
        <v/>
      </c>
      <c r="N495" s="26">
        <f>IF($H495="","",TODAY()-$H495)</f>
        <v/>
      </c>
      <c r="O495" s="15" t="n"/>
      <c r="P495" s="15" t="n"/>
      <c r="Q495" s="15" t="n"/>
      <c r="R495" s="25" t="n"/>
      <c r="S495" s="26">
        <f>IF($A495="","",AND(OR('Assignment Builder'!$B$5="",$B495='Assignment Builder'!$B$5),OR('Assignment Builder'!$B$6="",ISNUMBER(SEARCH('Assignment Builder'!$B$6,$C495))),OR('Assignment Builder'!$B$7="",'Assignment Builder'!$B$7=IFERROR(INDEX('Category Dictionary'!$C$5:$C$135,MATCH($L495,'Category Dictionary'!$D$5:$D$135,0)),"")),OR('Assignment Builder'!$B$8="",$D495='Assignment Builder'!$B$8),OR('Assignment Builder'!$B$9="",$F495='Assignment Builder'!$B$9),OR('Assignment Builder'!$B$10="",$O495='Assignment Builder'!$B$10),OR('Assignment Builder'!$B$11="",$H495&gt;='Assignment Builder'!$B$11),OR('Assignment Builder'!$B$12="",N($Q495)&lt;='Assignment Builder'!$B$12)))</f>
        <v/>
      </c>
      <c r="T495" s="23" t="n"/>
    </row>
    <row r="496">
      <c r="A496" s="23" t="n"/>
      <c r="B496" s="23" t="n"/>
      <c r="C496" s="24" t="n"/>
      <c r="D496" s="15" t="n"/>
      <c r="E496" s="23" t="n"/>
      <c r="F496" s="15" t="n"/>
      <c r="G496" s="23" t="n"/>
      <c r="H496" s="25" t="n"/>
      <c r="I496" s="15" t="n"/>
      <c r="J496" s="26">
        <f>IF($A496="","",LEN($C496)-LEN(SUBSTITUTE($C496,",",""))+1)</f>
        <v/>
      </c>
      <c r="K496" s="26">
        <f>IF($A496="","",SUMPRODUCT(--ISNUMBER(SEARCH('Category Dictionary'!$D$5:$D$135&amp;"",$C496)),--('Category Dictionary'!$D$5:$D$135&lt;&gt;"")))</f>
        <v/>
      </c>
      <c r="L496" s="27">
        <f>IF($A496="","",TRIM(IF(ISERROR(FIND(",",$C496)),$C496,LEFT($C496,FIND(",",$C496)-1))))</f>
        <v/>
      </c>
      <c r="M496" s="28">
        <f>IF($H496="","",DATE(YEAR($H496),MONTH($H496),1))</f>
        <v/>
      </c>
      <c r="N496" s="26">
        <f>IF($H496="","",TODAY()-$H496)</f>
        <v/>
      </c>
      <c r="O496" s="15" t="n"/>
      <c r="P496" s="15" t="n"/>
      <c r="Q496" s="15" t="n"/>
      <c r="R496" s="25" t="n"/>
      <c r="S496" s="26">
        <f>IF($A496="","",AND(OR('Assignment Builder'!$B$5="",$B496='Assignment Builder'!$B$5),OR('Assignment Builder'!$B$6="",ISNUMBER(SEARCH('Assignment Builder'!$B$6,$C496))),OR('Assignment Builder'!$B$7="",'Assignment Builder'!$B$7=IFERROR(INDEX('Category Dictionary'!$C$5:$C$135,MATCH($L496,'Category Dictionary'!$D$5:$D$135,0)),"")),OR('Assignment Builder'!$B$8="",$D496='Assignment Builder'!$B$8),OR('Assignment Builder'!$B$9="",$F496='Assignment Builder'!$B$9),OR('Assignment Builder'!$B$10="",$O496='Assignment Builder'!$B$10),OR('Assignment Builder'!$B$11="",$H496&gt;='Assignment Builder'!$B$11),OR('Assignment Builder'!$B$12="",N($Q496)&lt;='Assignment Builder'!$B$12)))</f>
        <v/>
      </c>
      <c r="T496" s="23" t="n"/>
    </row>
    <row r="497">
      <c r="A497" s="23" t="n"/>
      <c r="B497" s="23" t="n"/>
      <c r="C497" s="24" t="n"/>
      <c r="D497" s="15" t="n"/>
      <c r="E497" s="23" t="n"/>
      <c r="F497" s="15" t="n"/>
      <c r="G497" s="23" t="n"/>
      <c r="H497" s="25" t="n"/>
      <c r="I497" s="15" t="n"/>
      <c r="J497" s="26">
        <f>IF($A497="","",LEN($C497)-LEN(SUBSTITUTE($C497,",",""))+1)</f>
        <v/>
      </c>
      <c r="K497" s="26">
        <f>IF($A497="","",SUMPRODUCT(--ISNUMBER(SEARCH('Category Dictionary'!$D$5:$D$135&amp;"",$C497)),--('Category Dictionary'!$D$5:$D$135&lt;&gt;"")))</f>
        <v/>
      </c>
      <c r="L497" s="27">
        <f>IF($A497="","",TRIM(IF(ISERROR(FIND(",",$C497)),$C497,LEFT($C497,FIND(",",$C497)-1))))</f>
        <v/>
      </c>
      <c r="M497" s="28">
        <f>IF($H497="","",DATE(YEAR($H497),MONTH($H497),1))</f>
        <v/>
      </c>
      <c r="N497" s="26">
        <f>IF($H497="","",TODAY()-$H497)</f>
        <v/>
      </c>
      <c r="O497" s="15" t="n"/>
      <c r="P497" s="15" t="n"/>
      <c r="Q497" s="15" t="n"/>
      <c r="R497" s="25" t="n"/>
      <c r="S497" s="26">
        <f>IF($A497="","",AND(OR('Assignment Builder'!$B$5="",$B497='Assignment Builder'!$B$5),OR('Assignment Builder'!$B$6="",ISNUMBER(SEARCH('Assignment Builder'!$B$6,$C497))),OR('Assignment Builder'!$B$7="",'Assignment Builder'!$B$7=IFERROR(INDEX('Category Dictionary'!$C$5:$C$135,MATCH($L497,'Category Dictionary'!$D$5:$D$135,0)),"")),OR('Assignment Builder'!$B$8="",$D497='Assignment Builder'!$B$8),OR('Assignment Builder'!$B$9="",$F497='Assignment Builder'!$B$9),OR('Assignment Builder'!$B$10="",$O497='Assignment Builder'!$B$10),OR('Assignment Builder'!$B$11="",$H497&gt;='Assignment Builder'!$B$11),OR('Assignment Builder'!$B$12="",N($Q497)&lt;='Assignment Builder'!$B$12)))</f>
        <v/>
      </c>
      <c r="T497" s="23" t="n"/>
    </row>
    <row r="498">
      <c r="A498" s="23" t="n"/>
      <c r="B498" s="23" t="n"/>
      <c r="C498" s="24" t="n"/>
      <c r="D498" s="15" t="n"/>
      <c r="E498" s="23" t="n"/>
      <c r="F498" s="15" t="n"/>
      <c r="G498" s="23" t="n"/>
      <c r="H498" s="25" t="n"/>
      <c r="I498" s="15" t="n"/>
      <c r="J498" s="26">
        <f>IF($A498="","",LEN($C498)-LEN(SUBSTITUTE($C498,",",""))+1)</f>
        <v/>
      </c>
      <c r="K498" s="26">
        <f>IF($A498="","",SUMPRODUCT(--ISNUMBER(SEARCH('Category Dictionary'!$D$5:$D$135&amp;"",$C498)),--('Category Dictionary'!$D$5:$D$135&lt;&gt;"")))</f>
        <v/>
      </c>
      <c r="L498" s="27">
        <f>IF($A498="","",TRIM(IF(ISERROR(FIND(",",$C498)),$C498,LEFT($C498,FIND(",",$C498)-1))))</f>
        <v/>
      </c>
      <c r="M498" s="28">
        <f>IF($H498="","",DATE(YEAR($H498),MONTH($H498),1))</f>
        <v/>
      </c>
      <c r="N498" s="26">
        <f>IF($H498="","",TODAY()-$H498)</f>
        <v/>
      </c>
      <c r="O498" s="15" t="n"/>
      <c r="P498" s="15" t="n"/>
      <c r="Q498" s="15" t="n"/>
      <c r="R498" s="25" t="n"/>
      <c r="S498" s="26">
        <f>IF($A498="","",AND(OR('Assignment Builder'!$B$5="",$B498='Assignment Builder'!$B$5),OR('Assignment Builder'!$B$6="",ISNUMBER(SEARCH('Assignment Builder'!$B$6,$C498))),OR('Assignment Builder'!$B$7="",'Assignment Builder'!$B$7=IFERROR(INDEX('Category Dictionary'!$C$5:$C$135,MATCH($L498,'Category Dictionary'!$D$5:$D$135,0)),"")),OR('Assignment Builder'!$B$8="",$D498='Assignment Builder'!$B$8),OR('Assignment Builder'!$B$9="",$F498='Assignment Builder'!$B$9),OR('Assignment Builder'!$B$10="",$O498='Assignment Builder'!$B$10),OR('Assignment Builder'!$B$11="",$H498&gt;='Assignment Builder'!$B$11),OR('Assignment Builder'!$B$12="",N($Q498)&lt;='Assignment Builder'!$B$12)))</f>
        <v/>
      </c>
      <c r="T498" s="23" t="n"/>
    </row>
    <row r="499">
      <c r="A499" s="23" t="n"/>
      <c r="B499" s="23" t="n"/>
      <c r="C499" s="24" t="n"/>
      <c r="D499" s="15" t="n"/>
      <c r="E499" s="23" t="n"/>
      <c r="F499" s="15" t="n"/>
      <c r="G499" s="23" t="n"/>
      <c r="H499" s="25" t="n"/>
      <c r="I499" s="15" t="n"/>
      <c r="J499" s="26">
        <f>IF($A499="","",LEN($C499)-LEN(SUBSTITUTE($C499,",",""))+1)</f>
        <v/>
      </c>
      <c r="K499" s="26">
        <f>IF($A499="","",SUMPRODUCT(--ISNUMBER(SEARCH('Category Dictionary'!$D$5:$D$135&amp;"",$C499)),--('Category Dictionary'!$D$5:$D$135&lt;&gt;"")))</f>
        <v/>
      </c>
      <c r="L499" s="27">
        <f>IF($A499="","",TRIM(IF(ISERROR(FIND(",",$C499)),$C499,LEFT($C499,FIND(",",$C499)-1))))</f>
        <v/>
      </c>
      <c r="M499" s="28">
        <f>IF($H499="","",DATE(YEAR($H499),MONTH($H499),1))</f>
        <v/>
      </c>
      <c r="N499" s="26">
        <f>IF($H499="","",TODAY()-$H499)</f>
        <v/>
      </c>
      <c r="O499" s="15" t="n"/>
      <c r="P499" s="15" t="n"/>
      <c r="Q499" s="15" t="n"/>
      <c r="R499" s="25" t="n"/>
      <c r="S499" s="26">
        <f>IF($A499="","",AND(OR('Assignment Builder'!$B$5="",$B499='Assignment Builder'!$B$5),OR('Assignment Builder'!$B$6="",ISNUMBER(SEARCH('Assignment Builder'!$B$6,$C499))),OR('Assignment Builder'!$B$7="",'Assignment Builder'!$B$7=IFERROR(INDEX('Category Dictionary'!$C$5:$C$135,MATCH($L499,'Category Dictionary'!$D$5:$D$135,0)),"")),OR('Assignment Builder'!$B$8="",$D499='Assignment Builder'!$B$8),OR('Assignment Builder'!$B$9="",$F499='Assignment Builder'!$B$9),OR('Assignment Builder'!$B$10="",$O499='Assignment Builder'!$B$10),OR('Assignment Builder'!$B$11="",$H499&gt;='Assignment Builder'!$B$11),OR('Assignment Builder'!$B$12="",N($Q499)&lt;='Assignment Builder'!$B$12)))</f>
        <v/>
      </c>
      <c r="T499" s="23" t="n"/>
    </row>
    <row r="500">
      <c r="A500" s="23" t="n"/>
      <c r="B500" s="23" t="n"/>
      <c r="C500" s="24" t="n"/>
      <c r="D500" s="15" t="n"/>
      <c r="E500" s="23" t="n"/>
      <c r="F500" s="15" t="n"/>
      <c r="G500" s="23" t="n"/>
      <c r="H500" s="25" t="n"/>
      <c r="I500" s="15" t="n"/>
      <c r="J500" s="26">
        <f>IF($A500="","",LEN($C500)-LEN(SUBSTITUTE($C500,",",""))+1)</f>
        <v/>
      </c>
      <c r="K500" s="26">
        <f>IF($A500="","",SUMPRODUCT(--ISNUMBER(SEARCH('Category Dictionary'!$D$5:$D$135&amp;"",$C500)),--('Category Dictionary'!$D$5:$D$135&lt;&gt;"")))</f>
        <v/>
      </c>
      <c r="L500" s="27">
        <f>IF($A500="","",TRIM(IF(ISERROR(FIND(",",$C500)),$C500,LEFT($C500,FIND(",",$C500)-1))))</f>
        <v/>
      </c>
      <c r="M500" s="28">
        <f>IF($H500="","",DATE(YEAR($H500),MONTH($H500),1))</f>
        <v/>
      </c>
      <c r="N500" s="26">
        <f>IF($H500="","",TODAY()-$H500)</f>
        <v/>
      </c>
      <c r="O500" s="15" t="n"/>
      <c r="P500" s="15" t="n"/>
      <c r="Q500" s="15" t="n"/>
      <c r="R500" s="25" t="n"/>
      <c r="S500" s="26">
        <f>IF($A500="","",AND(OR('Assignment Builder'!$B$5="",$B500='Assignment Builder'!$B$5),OR('Assignment Builder'!$B$6="",ISNUMBER(SEARCH('Assignment Builder'!$B$6,$C500))),OR('Assignment Builder'!$B$7="",'Assignment Builder'!$B$7=IFERROR(INDEX('Category Dictionary'!$C$5:$C$135,MATCH($L500,'Category Dictionary'!$D$5:$D$135,0)),"")),OR('Assignment Builder'!$B$8="",$D500='Assignment Builder'!$B$8),OR('Assignment Builder'!$B$9="",$F500='Assignment Builder'!$B$9),OR('Assignment Builder'!$B$10="",$O500='Assignment Builder'!$B$10),OR('Assignment Builder'!$B$11="",$H500&gt;='Assignment Builder'!$B$11),OR('Assignment Builder'!$B$12="",N($Q500)&lt;='Assignment Builder'!$B$12)))</f>
        <v/>
      </c>
      <c r="T500" s="23" t="n"/>
    </row>
    <row r="501">
      <c r="A501" s="23" t="n"/>
      <c r="B501" s="23" t="n"/>
      <c r="C501" s="24" t="n"/>
      <c r="D501" s="15" t="n"/>
      <c r="E501" s="23" t="n"/>
      <c r="F501" s="15" t="n"/>
      <c r="G501" s="23" t="n"/>
      <c r="H501" s="25" t="n"/>
      <c r="I501" s="15" t="n"/>
      <c r="J501" s="26">
        <f>IF($A501="","",LEN($C501)-LEN(SUBSTITUTE($C501,",",""))+1)</f>
        <v/>
      </c>
      <c r="K501" s="26">
        <f>IF($A501="","",SUMPRODUCT(--ISNUMBER(SEARCH('Category Dictionary'!$D$5:$D$135&amp;"",$C501)),--('Category Dictionary'!$D$5:$D$135&lt;&gt;"")))</f>
        <v/>
      </c>
      <c r="L501" s="27">
        <f>IF($A501="","",TRIM(IF(ISERROR(FIND(",",$C501)),$C501,LEFT($C501,FIND(",",$C501)-1))))</f>
        <v/>
      </c>
      <c r="M501" s="28">
        <f>IF($H501="","",DATE(YEAR($H501),MONTH($H501),1))</f>
        <v/>
      </c>
      <c r="N501" s="26">
        <f>IF($H501="","",TODAY()-$H501)</f>
        <v/>
      </c>
      <c r="O501" s="15" t="n"/>
      <c r="P501" s="15" t="n"/>
      <c r="Q501" s="15" t="n"/>
      <c r="R501" s="25" t="n"/>
      <c r="S501" s="26">
        <f>IF($A501="","",AND(OR('Assignment Builder'!$B$5="",$B501='Assignment Builder'!$B$5),OR('Assignment Builder'!$B$6="",ISNUMBER(SEARCH('Assignment Builder'!$B$6,$C501))),OR('Assignment Builder'!$B$7="",'Assignment Builder'!$B$7=IFERROR(INDEX('Category Dictionary'!$C$5:$C$135,MATCH($L501,'Category Dictionary'!$D$5:$D$135,0)),"")),OR('Assignment Builder'!$B$8="",$D501='Assignment Builder'!$B$8),OR('Assignment Builder'!$B$9="",$F501='Assignment Builder'!$B$9),OR('Assignment Builder'!$B$10="",$O501='Assignment Builder'!$B$10),OR('Assignment Builder'!$B$11="",$H501&gt;='Assignment Builder'!$B$11),OR('Assignment Builder'!$B$12="",N($Q501)&lt;='Assignment Builder'!$B$12)))</f>
        <v/>
      </c>
      <c r="T501" s="23" t="n"/>
    </row>
    <row r="502">
      <c r="A502" s="23" t="n"/>
      <c r="B502" s="23" t="n"/>
      <c r="C502" s="24" t="n"/>
      <c r="D502" s="15" t="n"/>
      <c r="E502" s="23" t="n"/>
      <c r="F502" s="15" t="n"/>
      <c r="G502" s="23" t="n"/>
      <c r="H502" s="25" t="n"/>
      <c r="I502" s="15" t="n"/>
      <c r="J502" s="26">
        <f>IF($A502="","",LEN($C502)-LEN(SUBSTITUTE($C502,",",""))+1)</f>
        <v/>
      </c>
      <c r="K502" s="26">
        <f>IF($A502="","",SUMPRODUCT(--ISNUMBER(SEARCH('Category Dictionary'!$D$5:$D$135&amp;"",$C502)),--('Category Dictionary'!$D$5:$D$135&lt;&gt;"")))</f>
        <v/>
      </c>
      <c r="L502" s="27">
        <f>IF($A502="","",TRIM(IF(ISERROR(FIND(",",$C502)),$C502,LEFT($C502,FIND(",",$C502)-1))))</f>
        <v/>
      </c>
      <c r="M502" s="28">
        <f>IF($H502="","",DATE(YEAR($H502),MONTH($H502),1))</f>
        <v/>
      </c>
      <c r="N502" s="26">
        <f>IF($H502="","",TODAY()-$H502)</f>
        <v/>
      </c>
      <c r="O502" s="15" t="n"/>
      <c r="P502" s="15" t="n"/>
      <c r="Q502" s="15" t="n"/>
      <c r="R502" s="25" t="n"/>
      <c r="S502" s="26">
        <f>IF($A502="","",AND(OR('Assignment Builder'!$B$5="",$B502='Assignment Builder'!$B$5),OR('Assignment Builder'!$B$6="",ISNUMBER(SEARCH('Assignment Builder'!$B$6,$C502))),OR('Assignment Builder'!$B$7="",'Assignment Builder'!$B$7=IFERROR(INDEX('Category Dictionary'!$C$5:$C$135,MATCH($L502,'Category Dictionary'!$D$5:$D$135,0)),"")),OR('Assignment Builder'!$B$8="",$D502='Assignment Builder'!$B$8),OR('Assignment Builder'!$B$9="",$F502='Assignment Builder'!$B$9),OR('Assignment Builder'!$B$10="",$O502='Assignment Builder'!$B$10),OR('Assignment Builder'!$B$11="",$H502&gt;='Assignment Builder'!$B$11),OR('Assignment Builder'!$B$12="",N($Q502)&lt;='Assignment Builder'!$B$12)))</f>
        <v/>
      </c>
      <c r="T502" s="23" t="n"/>
    </row>
    <row r="503">
      <c r="A503" s="23" t="n"/>
      <c r="B503" s="23" t="n"/>
      <c r="C503" s="24" t="n"/>
      <c r="D503" s="15" t="n"/>
      <c r="E503" s="23" t="n"/>
      <c r="F503" s="15" t="n"/>
      <c r="G503" s="23" t="n"/>
      <c r="H503" s="25" t="n"/>
      <c r="I503" s="15" t="n"/>
      <c r="J503" s="26">
        <f>IF($A503="","",LEN($C503)-LEN(SUBSTITUTE($C503,",",""))+1)</f>
        <v/>
      </c>
      <c r="K503" s="26">
        <f>IF($A503="","",SUMPRODUCT(--ISNUMBER(SEARCH('Category Dictionary'!$D$5:$D$135&amp;"",$C503)),--('Category Dictionary'!$D$5:$D$135&lt;&gt;"")))</f>
        <v/>
      </c>
      <c r="L503" s="27">
        <f>IF($A503="","",TRIM(IF(ISERROR(FIND(",",$C503)),$C503,LEFT($C503,FIND(",",$C503)-1))))</f>
        <v/>
      </c>
      <c r="M503" s="28">
        <f>IF($H503="","",DATE(YEAR($H503),MONTH($H503),1))</f>
        <v/>
      </c>
      <c r="N503" s="26">
        <f>IF($H503="","",TODAY()-$H503)</f>
        <v/>
      </c>
      <c r="O503" s="15" t="n"/>
      <c r="P503" s="15" t="n"/>
      <c r="Q503" s="15" t="n"/>
      <c r="R503" s="25" t="n"/>
      <c r="S503" s="26">
        <f>IF($A503="","",AND(OR('Assignment Builder'!$B$5="",$B503='Assignment Builder'!$B$5),OR('Assignment Builder'!$B$6="",ISNUMBER(SEARCH('Assignment Builder'!$B$6,$C503))),OR('Assignment Builder'!$B$7="",'Assignment Builder'!$B$7=IFERROR(INDEX('Category Dictionary'!$C$5:$C$135,MATCH($L503,'Category Dictionary'!$D$5:$D$135,0)),"")),OR('Assignment Builder'!$B$8="",$D503='Assignment Builder'!$B$8),OR('Assignment Builder'!$B$9="",$F503='Assignment Builder'!$B$9),OR('Assignment Builder'!$B$10="",$O503='Assignment Builder'!$B$10),OR('Assignment Builder'!$B$11="",$H503&gt;='Assignment Builder'!$B$11),OR('Assignment Builder'!$B$12="",N($Q503)&lt;='Assignment Builder'!$B$12)))</f>
        <v/>
      </c>
      <c r="T503" s="23" t="n"/>
    </row>
    <row r="504">
      <c r="A504" s="23" t="n"/>
      <c r="B504" s="23" t="n"/>
      <c r="C504" s="24" t="n"/>
      <c r="D504" s="15" t="n"/>
      <c r="E504" s="23" t="n"/>
      <c r="F504" s="15" t="n"/>
      <c r="G504" s="23" t="n"/>
      <c r="H504" s="25" t="n"/>
      <c r="I504" s="15" t="n"/>
      <c r="J504" s="26">
        <f>IF($A504="","",LEN($C504)-LEN(SUBSTITUTE($C504,",",""))+1)</f>
        <v/>
      </c>
      <c r="K504" s="26">
        <f>IF($A504="","",SUMPRODUCT(--ISNUMBER(SEARCH('Category Dictionary'!$D$5:$D$135&amp;"",$C504)),--('Category Dictionary'!$D$5:$D$135&lt;&gt;"")))</f>
        <v/>
      </c>
      <c r="L504" s="27">
        <f>IF($A504="","",TRIM(IF(ISERROR(FIND(",",$C504)),$C504,LEFT($C504,FIND(",",$C504)-1))))</f>
        <v/>
      </c>
      <c r="M504" s="28">
        <f>IF($H504="","",DATE(YEAR($H504),MONTH($H504),1))</f>
        <v/>
      </c>
      <c r="N504" s="26">
        <f>IF($H504="","",TODAY()-$H504)</f>
        <v/>
      </c>
      <c r="O504" s="15" t="n"/>
      <c r="P504" s="15" t="n"/>
      <c r="Q504" s="15" t="n"/>
      <c r="R504" s="25" t="n"/>
      <c r="S504" s="26">
        <f>IF($A504="","",AND(OR('Assignment Builder'!$B$5="",$B504='Assignment Builder'!$B$5),OR('Assignment Builder'!$B$6="",ISNUMBER(SEARCH('Assignment Builder'!$B$6,$C504))),OR('Assignment Builder'!$B$7="",'Assignment Builder'!$B$7=IFERROR(INDEX('Category Dictionary'!$C$5:$C$135,MATCH($L504,'Category Dictionary'!$D$5:$D$135,0)),"")),OR('Assignment Builder'!$B$8="",$D504='Assignment Builder'!$B$8),OR('Assignment Builder'!$B$9="",$F504='Assignment Builder'!$B$9),OR('Assignment Builder'!$B$10="",$O504='Assignment Builder'!$B$10),OR('Assignment Builder'!$B$11="",$H504&gt;='Assignment Builder'!$B$11),OR('Assignment Builder'!$B$12="",N($Q504)&lt;='Assignment Builder'!$B$12)))</f>
        <v/>
      </c>
      <c r="T504" s="23" t="n"/>
    </row>
    <row r="505">
      <c r="A505" s="23" t="n"/>
      <c r="B505" s="23" t="n"/>
      <c r="C505" s="24" t="n"/>
      <c r="D505" s="15" t="n"/>
      <c r="E505" s="23" t="n"/>
      <c r="F505" s="15" t="n"/>
      <c r="G505" s="23" t="n"/>
      <c r="H505" s="25" t="n"/>
      <c r="I505" s="15" t="n"/>
      <c r="J505" s="26">
        <f>IF($A505="","",LEN($C505)-LEN(SUBSTITUTE($C505,",",""))+1)</f>
        <v/>
      </c>
      <c r="K505" s="26">
        <f>IF($A505="","",SUMPRODUCT(--ISNUMBER(SEARCH('Category Dictionary'!$D$5:$D$135&amp;"",$C505)),--('Category Dictionary'!$D$5:$D$135&lt;&gt;"")))</f>
        <v/>
      </c>
      <c r="L505" s="27">
        <f>IF($A505="","",TRIM(IF(ISERROR(FIND(",",$C505)),$C505,LEFT($C505,FIND(",",$C505)-1))))</f>
        <v/>
      </c>
      <c r="M505" s="28">
        <f>IF($H505="","",DATE(YEAR($H505),MONTH($H505),1))</f>
        <v/>
      </c>
      <c r="N505" s="26">
        <f>IF($H505="","",TODAY()-$H505)</f>
        <v/>
      </c>
      <c r="O505" s="15" t="n"/>
      <c r="P505" s="15" t="n"/>
      <c r="Q505" s="15" t="n"/>
      <c r="R505" s="25" t="n"/>
      <c r="S505" s="26">
        <f>IF($A505="","",AND(OR('Assignment Builder'!$B$5="",$B505='Assignment Builder'!$B$5),OR('Assignment Builder'!$B$6="",ISNUMBER(SEARCH('Assignment Builder'!$B$6,$C505))),OR('Assignment Builder'!$B$7="",'Assignment Builder'!$B$7=IFERROR(INDEX('Category Dictionary'!$C$5:$C$135,MATCH($L505,'Category Dictionary'!$D$5:$D$135,0)),"")),OR('Assignment Builder'!$B$8="",$D505='Assignment Builder'!$B$8),OR('Assignment Builder'!$B$9="",$F505='Assignment Builder'!$B$9),OR('Assignment Builder'!$B$10="",$O505='Assignment Builder'!$B$10),OR('Assignment Builder'!$B$11="",$H505&gt;='Assignment Builder'!$B$11),OR('Assignment Builder'!$B$12="",N($Q505)&lt;='Assignment Builder'!$B$12)))</f>
        <v/>
      </c>
      <c r="T505" s="23" t="n"/>
    </row>
    <row r="506">
      <c r="A506" s="23" t="n"/>
      <c r="B506" s="23" t="n"/>
      <c r="C506" s="24" t="n"/>
      <c r="D506" s="15" t="n"/>
      <c r="E506" s="23" t="n"/>
      <c r="F506" s="15" t="n"/>
      <c r="G506" s="23" t="n"/>
      <c r="H506" s="25" t="n"/>
      <c r="I506" s="15" t="n"/>
      <c r="J506" s="26">
        <f>IF($A506="","",LEN($C506)-LEN(SUBSTITUTE($C506,",",""))+1)</f>
        <v/>
      </c>
      <c r="K506" s="26">
        <f>IF($A506="","",SUMPRODUCT(--ISNUMBER(SEARCH('Category Dictionary'!$D$5:$D$135&amp;"",$C506)),--('Category Dictionary'!$D$5:$D$135&lt;&gt;"")))</f>
        <v/>
      </c>
      <c r="L506" s="27">
        <f>IF($A506="","",TRIM(IF(ISERROR(FIND(",",$C506)),$C506,LEFT($C506,FIND(",",$C506)-1))))</f>
        <v/>
      </c>
      <c r="M506" s="28">
        <f>IF($H506="","",DATE(YEAR($H506),MONTH($H506),1))</f>
        <v/>
      </c>
      <c r="N506" s="26">
        <f>IF($H506="","",TODAY()-$H506)</f>
        <v/>
      </c>
      <c r="O506" s="15" t="n"/>
      <c r="P506" s="15" t="n"/>
      <c r="Q506" s="15" t="n"/>
      <c r="R506" s="25" t="n"/>
      <c r="S506" s="26">
        <f>IF($A506="","",AND(OR('Assignment Builder'!$B$5="",$B506='Assignment Builder'!$B$5),OR('Assignment Builder'!$B$6="",ISNUMBER(SEARCH('Assignment Builder'!$B$6,$C506))),OR('Assignment Builder'!$B$7="",'Assignment Builder'!$B$7=IFERROR(INDEX('Category Dictionary'!$C$5:$C$135,MATCH($L506,'Category Dictionary'!$D$5:$D$135,0)),"")),OR('Assignment Builder'!$B$8="",$D506='Assignment Builder'!$B$8),OR('Assignment Builder'!$B$9="",$F506='Assignment Builder'!$B$9),OR('Assignment Builder'!$B$10="",$O506='Assignment Builder'!$B$10),OR('Assignment Builder'!$B$11="",$H506&gt;='Assignment Builder'!$B$11),OR('Assignment Builder'!$B$12="",N($Q506)&lt;='Assignment Builder'!$B$12)))</f>
        <v/>
      </c>
      <c r="T506" s="23" t="n"/>
    </row>
    <row r="507">
      <c r="A507" s="23" t="n"/>
      <c r="B507" s="23" t="n"/>
      <c r="C507" s="24" t="n"/>
      <c r="D507" s="15" t="n"/>
      <c r="E507" s="23" t="n"/>
      <c r="F507" s="15" t="n"/>
      <c r="G507" s="23" t="n"/>
      <c r="H507" s="25" t="n"/>
      <c r="I507" s="15" t="n"/>
      <c r="J507" s="26">
        <f>IF($A507="","",LEN($C507)-LEN(SUBSTITUTE($C507,",",""))+1)</f>
        <v/>
      </c>
      <c r="K507" s="26">
        <f>IF($A507="","",SUMPRODUCT(--ISNUMBER(SEARCH('Category Dictionary'!$D$5:$D$135&amp;"",$C507)),--('Category Dictionary'!$D$5:$D$135&lt;&gt;"")))</f>
        <v/>
      </c>
      <c r="L507" s="27">
        <f>IF($A507="","",TRIM(IF(ISERROR(FIND(",",$C507)),$C507,LEFT($C507,FIND(",",$C507)-1))))</f>
        <v/>
      </c>
      <c r="M507" s="28">
        <f>IF($H507="","",DATE(YEAR($H507),MONTH($H507),1))</f>
        <v/>
      </c>
      <c r="N507" s="26">
        <f>IF($H507="","",TODAY()-$H507)</f>
        <v/>
      </c>
      <c r="O507" s="15" t="n"/>
      <c r="P507" s="15" t="n"/>
      <c r="Q507" s="15" t="n"/>
      <c r="R507" s="25" t="n"/>
      <c r="S507" s="26">
        <f>IF($A507="","",AND(OR('Assignment Builder'!$B$5="",$B507='Assignment Builder'!$B$5),OR('Assignment Builder'!$B$6="",ISNUMBER(SEARCH('Assignment Builder'!$B$6,$C507))),OR('Assignment Builder'!$B$7="",'Assignment Builder'!$B$7=IFERROR(INDEX('Category Dictionary'!$C$5:$C$135,MATCH($L507,'Category Dictionary'!$D$5:$D$135,0)),"")),OR('Assignment Builder'!$B$8="",$D507='Assignment Builder'!$B$8),OR('Assignment Builder'!$B$9="",$F507='Assignment Builder'!$B$9),OR('Assignment Builder'!$B$10="",$O507='Assignment Builder'!$B$10),OR('Assignment Builder'!$B$11="",$H507&gt;='Assignment Builder'!$B$11),OR('Assignment Builder'!$B$12="",N($Q507)&lt;='Assignment Builder'!$B$12)))</f>
        <v/>
      </c>
      <c r="T507" s="23" t="n"/>
    </row>
    <row r="508">
      <c r="A508" s="23" t="n"/>
      <c r="B508" s="23" t="n"/>
      <c r="C508" s="24" t="n"/>
      <c r="D508" s="15" t="n"/>
      <c r="E508" s="23" t="n"/>
      <c r="F508" s="15" t="n"/>
      <c r="G508" s="23" t="n"/>
      <c r="H508" s="25" t="n"/>
      <c r="I508" s="15" t="n"/>
      <c r="J508" s="26">
        <f>IF($A508="","",LEN($C508)-LEN(SUBSTITUTE($C508,",",""))+1)</f>
        <v/>
      </c>
      <c r="K508" s="26">
        <f>IF($A508="","",SUMPRODUCT(--ISNUMBER(SEARCH('Category Dictionary'!$D$5:$D$135&amp;"",$C508)),--('Category Dictionary'!$D$5:$D$135&lt;&gt;"")))</f>
        <v/>
      </c>
      <c r="L508" s="27">
        <f>IF($A508="","",TRIM(IF(ISERROR(FIND(",",$C508)),$C508,LEFT($C508,FIND(",",$C508)-1))))</f>
        <v/>
      </c>
      <c r="M508" s="28">
        <f>IF($H508="","",DATE(YEAR($H508),MONTH($H508),1))</f>
        <v/>
      </c>
      <c r="N508" s="26">
        <f>IF($H508="","",TODAY()-$H508)</f>
        <v/>
      </c>
      <c r="O508" s="15" t="n"/>
      <c r="P508" s="15" t="n"/>
      <c r="Q508" s="15" t="n"/>
      <c r="R508" s="25" t="n"/>
      <c r="S508" s="26">
        <f>IF($A508="","",AND(OR('Assignment Builder'!$B$5="",$B508='Assignment Builder'!$B$5),OR('Assignment Builder'!$B$6="",ISNUMBER(SEARCH('Assignment Builder'!$B$6,$C508))),OR('Assignment Builder'!$B$7="",'Assignment Builder'!$B$7=IFERROR(INDEX('Category Dictionary'!$C$5:$C$135,MATCH($L508,'Category Dictionary'!$D$5:$D$135,0)),"")),OR('Assignment Builder'!$B$8="",$D508='Assignment Builder'!$B$8),OR('Assignment Builder'!$B$9="",$F508='Assignment Builder'!$B$9),OR('Assignment Builder'!$B$10="",$O508='Assignment Builder'!$B$10),OR('Assignment Builder'!$B$11="",$H508&gt;='Assignment Builder'!$B$11),OR('Assignment Builder'!$B$12="",N($Q508)&lt;='Assignment Builder'!$B$12)))</f>
        <v/>
      </c>
      <c r="T508" s="23" t="n"/>
    </row>
    <row r="509">
      <c r="A509" s="23" t="n"/>
      <c r="B509" s="23" t="n"/>
      <c r="C509" s="24" t="n"/>
      <c r="D509" s="15" t="n"/>
      <c r="E509" s="23" t="n"/>
      <c r="F509" s="15" t="n"/>
      <c r="G509" s="23" t="n"/>
      <c r="H509" s="25" t="n"/>
      <c r="I509" s="15" t="n"/>
      <c r="J509" s="26">
        <f>IF($A509="","",LEN($C509)-LEN(SUBSTITUTE($C509,",",""))+1)</f>
        <v/>
      </c>
      <c r="K509" s="26">
        <f>IF($A509="","",SUMPRODUCT(--ISNUMBER(SEARCH('Category Dictionary'!$D$5:$D$135&amp;"",$C509)),--('Category Dictionary'!$D$5:$D$135&lt;&gt;"")))</f>
        <v/>
      </c>
      <c r="L509" s="27">
        <f>IF($A509="","",TRIM(IF(ISERROR(FIND(",",$C509)),$C509,LEFT($C509,FIND(",",$C509)-1))))</f>
        <v/>
      </c>
      <c r="M509" s="28">
        <f>IF($H509="","",DATE(YEAR($H509),MONTH($H509),1))</f>
        <v/>
      </c>
      <c r="N509" s="26">
        <f>IF($H509="","",TODAY()-$H509)</f>
        <v/>
      </c>
      <c r="O509" s="15" t="n"/>
      <c r="P509" s="15" t="n"/>
      <c r="Q509" s="15" t="n"/>
      <c r="R509" s="25" t="n"/>
      <c r="S509" s="26">
        <f>IF($A509="","",AND(OR('Assignment Builder'!$B$5="",$B509='Assignment Builder'!$B$5),OR('Assignment Builder'!$B$6="",ISNUMBER(SEARCH('Assignment Builder'!$B$6,$C509))),OR('Assignment Builder'!$B$7="",'Assignment Builder'!$B$7=IFERROR(INDEX('Category Dictionary'!$C$5:$C$135,MATCH($L509,'Category Dictionary'!$D$5:$D$135,0)),"")),OR('Assignment Builder'!$B$8="",$D509='Assignment Builder'!$B$8),OR('Assignment Builder'!$B$9="",$F509='Assignment Builder'!$B$9),OR('Assignment Builder'!$B$10="",$O509='Assignment Builder'!$B$10),OR('Assignment Builder'!$B$11="",$H509&gt;='Assignment Builder'!$B$11),OR('Assignment Builder'!$B$12="",N($Q509)&lt;='Assignment Builder'!$B$12)))</f>
        <v/>
      </c>
      <c r="T509" s="23" t="n"/>
    </row>
    <row r="510">
      <c r="A510" s="23" t="n"/>
      <c r="B510" s="23" t="n"/>
      <c r="C510" s="24" t="n"/>
      <c r="D510" s="15" t="n"/>
      <c r="E510" s="23" t="n"/>
      <c r="F510" s="15" t="n"/>
      <c r="G510" s="23" t="n"/>
      <c r="H510" s="25" t="n"/>
      <c r="I510" s="15" t="n"/>
      <c r="J510" s="26">
        <f>IF($A510="","",LEN($C510)-LEN(SUBSTITUTE($C510,",",""))+1)</f>
        <v/>
      </c>
      <c r="K510" s="26">
        <f>IF($A510="","",SUMPRODUCT(--ISNUMBER(SEARCH('Category Dictionary'!$D$5:$D$135&amp;"",$C510)),--('Category Dictionary'!$D$5:$D$135&lt;&gt;"")))</f>
        <v/>
      </c>
      <c r="L510" s="27">
        <f>IF($A510="","",TRIM(IF(ISERROR(FIND(",",$C510)),$C510,LEFT($C510,FIND(",",$C510)-1))))</f>
        <v/>
      </c>
      <c r="M510" s="28">
        <f>IF($H510="","",DATE(YEAR($H510),MONTH($H510),1))</f>
        <v/>
      </c>
      <c r="N510" s="26">
        <f>IF($H510="","",TODAY()-$H510)</f>
        <v/>
      </c>
      <c r="O510" s="15" t="n"/>
      <c r="P510" s="15" t="n"/>
      <c r="Q510" s="15" t="n"/>
      <c r="R510" s="25" t="n"/>
      <c r="S510" s="26">
        <f>IF($A510="","",AND(OR('Assignment Builder'!$B$5="",$B510='Assignment Builder'!$B$5),OR('Assignment Builder'!$B$6="",ISNUMBER(SEARCH('Assignment Builder'!$B$6,$C510))),OR('Assignment Builder'!$B$7="",'Assignment Builder'!$B$7=IFERROR(INDEX('Category Dictionary'!$C$5:$C$135,MATCH($L510,'Category Dictionary'!$D$5:$D$135,0)),"")),OR('Assignment Builder'!$B$8="",$D510='Assignment Builder'!$B$8),OR('Assignment Builder'!$B$9="",$F510='Assignment Builder'!$B$9),OR('Assignment Builder'!$B$10="",$O510='Assignment Builder'!$B$10),OR('Assignment Builder'!$B$11="",$H510&gt;='Assignment Builder'!$B$11),OR('Assignment Builder'!$B$12="",N($Q510)&lt;='Assignment Builder'!$B$12)))</f>
        <v/>
      </c>
      <c r="T510" s="23" t="n"/>
    </row>
    <row r="511">
      <c r="A511" s="23" t="n"/>
      <c r="B511" s="23" t="n"/>
      <c r="C511" s="24" t="n"/>
      <c r="D511" s="15" t="n"/>
      <c r="E511" s="23" t="n"/>
      <c r="F511" s="15" t="n"/>
      <c r="G511" s="23" t="n"/>
      <c r="H511" s="25" t="n"/>
      <c r="I511" s="15" t="n"/>
      <c r="J511" s="26">
        <f>IF($A511="","",LEN($C511)-LEN(SUBSTITUTE($C511,",",""))+1)</f>
        <v/>
      </c>
      <c r="K511" s="26">
        <f>IF($A511="","",SUMPRODUCT(--ISNUMBER(SEARCH('Category Dictionary'!$D$5:$D$135&amp;"",$C511)),--('Category Dictionary'!$D$5:$D$135&lt;&gt;"")))</f>
        <v/>
      </c>
      <c r="L511" s="27">
        <f>IF($A511="","",TRIM(IF(ISERROR(FIND(",",$C511)),$C511,LEFT($C511,FIND(",",$C511)-1))))</f>
        <v/>
      </c>
      <c r="M511" s="28">
        <f>IF($H511="","",DATE(YEAR($H511),MONTH($H511),1))</f>
        <v/>
      </c>
      <c r="N511" s="26">
        <f>IF($H511="","",TODAY()-$H511)</f>
        <v/>
      </c>
      <c r="O511" s="15" t="n"/>
      <c r="P511" s="15" t="n"/>
      <c r="Q511" s="15" t="n"/>
      <c r="R511" s="25" t="n"/>
      <c r="S511" s="26">
        <f>IF($A511="","",AND(OR('Assignment Builder'!$B$5="",$B511='Assignment Builder'!$B$5),OR('Assignment Builder'!$B$6="",ISNUMBER(SEARCH('Assignment Builder'!$B$6,$C511))),OR('Assignment Builder'!$B$7="",'Assignment Builder'!$B$7=IFERROR(INDEX('Category Dictionary'!$C$5:$C$135,MATCH($L511,'Category Dictionary'!$D$5:$D$135,0)),"")),OR('Assignment Builder'!$B$8="",$D511='Assignment Builder'!$B$8),OR('Assignment Builder'!$B$9="",$F511='Assignment Builder'!$B$9),OR('Assignment Builder'!$B$10="",$O511='Assignment Builder'!$B$10),OR('Assignment Builder'!$B$11="",$H511&gt;='Assignment Builder'!$B$11),OR('Assignment Builder'!$B$12="",N($Q511)&lt;='Assignment Builder'!$B$12)))</f>
        <v/>
      </c>
      <c r="T511" s="23" t="n"/>
    </row>
    <row r="512">
      <c r="A512" s="23" t="n"/>
      <c r="B512" s="23" t="n"/>
      <c r="C512" s="24" t="n"/>
      <c r="D512" s="15" t="n"/>
      <c r="E512" s="23" t="n"/>
      <c r="F512" s="15" t="n"/>
      <c r="G512" s="23" t="n"/>
      <c r="H512" s="25" t="n"/>
      <c r="I512" s="15" t="n"/>
      <c r="J512" s="26">
        <f>IF($A512="","",LEN($C512)-LEN(SUBSTITUTE($C512,",",""))+1)</f>
        <v/>
      </c>
      <c r="K512" s="26">
        <f>IF($A512="","",SUMPRODUCT(--ISNUMBER(SEARCH('Category Dictionary'!$D$5:$D$135&amp;"",$C512)),--('Category Dictionary'!$D$5:$D$135&lt;&gt;"")))</f>
        <v/>
      </c>
      <c r="L512" s="27">
        <f>IF($A512="","",TRIM(IF(ISERROR(FIND(",",$C512)),$C512,LEFT($C512,FIND(",",$C512)-1))))</f>
        <v/>
      </c>
      <c r="M512" s="28">
        <f>IF($H512="","",DATE(YEAR($H512),MONTH($H512),1))</f>
        <v/>
      </c>
      <c r="N512" s="26">
        <f>IF($H512="","",TODAY()-$H512)</f>
        <v/>
      </c>
      <c r="O512" s="15" t="n"/>
      <c r="P512" s="15" t="n"/>
      <c r="Q512" s="15" t="n"/>
      <c r="R512" s="25" t="n"/>
      <c r="S512" s="26">
        <f>IF($A512="","",AND(OR('Assignment Builder'!$B$5="",$B512='Assignment Builder'!$B$5),OR('Assignment Builder'!$B$6="",ISNUMBER(SEARCH('Assignment Builder'!$B$6,$C512))),OR('Assignment Builder'!$B$7="",'Assignment Builder'!$B$7=IFERROR(INDEX('Category Dictionary'!$C$5:$C$135,MATCH($L512,'Category Dictionary'!$D$5:$D$135,0)),"")),OR('Assignment Builder'!$B$8="",$D512='Assignment Builder'!$B$8),OR('Assignment Builder'!$B$9="",$F512='Assignment Builder'!$B$9),OR('Assignment Builder'!$B$10="",$O512='Assignment Builder'!$B$10),OR('Assignment Builder'!$B$11="",$H512&gt;='Assignment Builder'!$B$11),OR('Assignment Builder'!$B$12="",N($Q512)&lt;='Assignment Builder'!$B$12)))</f>
        <v/>
      </c>
      <c r="T512" s="23" t="n"/>
    </row>
    <row r="513">
      <c r="A513" s="23" t="n"/>
      <c r="B513" s="23" t="n"/>
      <c r="C513" s="24" t="n"/>
      <c r="D513" s="15" t="n"/>
      <c r="E513" s="23" t="n"/>
      <c r="F513" s="15" t="n"/>
      <c r="G513" s="23" t="n"/>
      <c r="H513" s="25" t="n"/>
      <c r="I513" s="15" t="n"/>
      <c r="J513" s="26">
        <f>IF($A513="","",LEN($C513)-LEN(SUBSTITUTE($C513,",",""))+1)</f>
        <v/>
      </c>
      <c r="K513" s="26">
        <f>IF($A513="","",SUMPRODUCT(--ISNUMBER(SEARCH('Category Dictionary'!$D$5:$D$135&amp;"",$C513)),--('Category Dictionary'!$D$5:$D$135&lt;&gt;"")))</f>
        <v/>
      </c>
      <c r="L513" s="27">
        <f>IF($A513="","",TRIM(IF(ISERROR(FIND(",",$C513)),$C513,LEFT($C513,FIND(",",$C513)-1))))</f>
        <v/>
      </c>
      <c r="M513" s="28">
        <f>IF($H513="","",DATE(YEAR($H513),MONTH($H513),1))</f>
        <v/>
      </c>
      <c r="N513" s="26">
        <f>IF($H513="","",TODAY()-$H513)</f>
        <v/>
      </c>
      <c r="O513" s="15" t="n"/>
      <c r="P513" s="15" t="n"/>
      <c r="Q513" s="15" t="n"/>
      <c r="R513" s="25" t="n"/>
      <c r="S513" s="26">
        <f>IF($A513="","",AND(OR('Assignment Builder'!$B$5="",$B513='Assignment Builder'!$B$5),OR('Assignment Builder'!$B$6="",ISNUMBER(SEARCH('Assignment Builder'!$B$6,$C513))),OR('Assignment Builder'!$B$7="",'Assignment Builder'!$B$7=IFERROR(INDEX('Category Dictionary'!$C$5:$C$135,MATCH($L513,'Category Dictionary'!$D$5:$D$135,0)),"")),OR('Assignment Builder'!$B$8="",$D513='Assignment Builder'!$B$8),OR('Assignment Builder'!$B$9="",$F513='Assignment Builder'!$B$9),OR('Assignment Builder'!$B$10="",$O513='Assignment Builder'!$B$10),OR('Assignment Builder'!$B$11="",$H513&gt;='Assignment Builder'!$B$11),OR('Assignment Builder'!$B$12="",N($Q513)&lt;='Assignment Builder'!$B$12)))</f>
        <v/>
      </c>
      <c r="T513" s="23" t="n"/>
    </row>
    <row r="514">
      <c r="A514" s="23" t="n"/>
      <c r="B514" s="23" t="n"/>
      <c r="C514" s="24" t="n"/>
      <c r="D514" s="15" t="n"/>
      <c r="E514" s="23" t="n"/>
      <c r="F514" s="15" t="n"/>
      <c r="G514" s="23" t="n"/>
      <c r="H514" s="25" t="n"/>
      <c r="I514" s="15" t="n"/>
      <c r="J514" s="26">
        <f>IF($A514="","",LEN($C514)-LEN(SUBSTITUTE($C514,",",""))+1)</f>
        <v/>
      </c>
      <c r="K514" s="26">
        <f>IF($A514="","",SUMPRODUCT(--ISNUMBER(SEARCH('Category Dictionary'!$D$5:$D$135&amp;"",$C514)),--('Category Dictionary'!$D$5:$D$135&lt;&gt;"")))</f>
        <v/>
      </c>
      <c r="L514" s="27">
        <f>IF($A514="","",TRIM(IF(ISERROR(FIND(",",$C514)),$C514,LEFT($C514,FIND(",",$C514)-1))))</f>
        <v/>
      </c>
      <c r="M514" s="28">
        <f>IF($H514="","",DATE(YEAR($H514),MONTH($H514),1))</f>
        <v/>
      </c>
      <c r="N514" s="26">
        <f>IF($H514="","",TODAY()-$H514)</f>
        <v/>
      </c>
      <c r="O514" s="15" t="n"/>
      <c r="P514" s="15" t="n"/>
      <c r="Q514" s="15" t="n"/>
      <c r="R514" s="25" t="n"/>
      <c r="S514" s="26">
        <f>IF($A514="","",AND(OR('Assignment Builder'!$B$5="",$B514='Assignment Builder'!$B$5),OR('Assignment Builder'!$B$6="",ISNUMBER(SEARCH('Assignment Builder'!$B$6,$C514))),OR('Assignment Builder'!$B$7="",'Assignment Builder'!$B$7=IFERROR(INDEX('Category Dictionary'!$C$5:$C$135,MATCH($L514,'Category Dictionary'!$D$5:$D$135,0)),"")),OR('Assignment Builder'!$B$8="",$D514='Assignment Builder'!$B$8),OR('Assignment Builder'!$B$9="",$F514='Assignment Builder'!$B$9),OR('Assignment Builder'!$B$10="",$O514='Assignment Builder'!$B$10),OR('Assignment Builder'!$B$11="",$H514&gt;='Assignment Builder'!$B$11),OR('Assignment Builder'!$B$12="",N($Q514)&lt;='Assignment Builder'!$B$12)))</f>
        <v/>
      </c>
      <c r="T514" s="23" t="n"/>
    </row>
    <row r="515">
      <c r="A515" s="23" t="n"/>
      <c r="B515" s="23" t="n"/>
      <c r="C515" s="24" t="n"/>
      <c r="D515" s="15" t="n"/>
      <c r="E515" s="23" t="n"/>
      <c r="F515" s="15" t="n"/>
      <c r="G515" s="23" t="n"/>
      <c r="H515" s="25" t="n"/>
      <c r="I515" s="15" t="n"/>
      <c r="J515" s="26">
        <f>IF($A515="","",LEN($C515)-LEN(SUBSTITUTE($C515,",",""))+1)</f>
        <v/>
      </c>
      <c r="K515" s="26">
        <f>IF($A515="","",SUMPRODUCT(--ISNUMBER(SEARCH('Category Dictionary'!$D$5:$D$135&amp;"",$C515)),--('Category Dictionary'!$D$5:$D$135&lt;&gt;"")))</f>
        <v/>
      </c>
      <c r="L515" s="27">
        <f>IF($A515="","",TRIM(IF(ISERROR(FIND(",",$C515)),$C515,LEFT($C515,FIND(",",$C515)-1))))</f>
        <v/>
      </c>
      <c r="M515" s="28">
        <f>IF($H515="","",DATE(YEAR($H515),MONTH($H515),1))</f>
        <v/>
      </c>
      <c r="N515" s="26">
        <f>IF($H515="","",TODAY()-$H515)</f>
        <v/>
      </c>
      <c r="O515" s="15" t="n"/>
      <c r="P515" s="15" t="n"/>
      <c r="Q515" s="15" t="n"/>
      <c r="R515" s="25" t="n"/>
      <c r="S515" s="26">
        <f>IF($A515="","",AND(OR('Assignment Builder'!$B$5="",$B515='Assignment Builder'!$B$5),OR('Assignment Builder'!$B$6="",ISNUMBER(SEARCH('Assignment Builder'!$B$6,$C515))),OR('Assignment Builder'!$B$7="",'Assignment Builder'!$B$7=IFERROR(INDEX('Category Dictionary'!$C$5:$C$135,MATCH($L515,'Category Dictionary'!$D$5:$D$135,0)),"")),OR('Assignment Builder'!$B$8="",$D515='Assignment Builder'!$B$8),OR('Assignment Builder'!$B$9="",$F515='Assignment Builder'!$B$9),OR('Assignment Builder'!$B$10="",$O515='Assignment Builder'!$B$10),OR('Assignment Builder'!$B$11="",$H515&gt;='Assignment Builder'!$B$11),OR('Assignment Builder'!$B$12="",N($Q515)&lt;='Assignment Builder'!$B$12)))</f>
        <v/>
      </c>
      <c r="T515" s="23" t="n"/>
    </row>
    <row r="516">
      <c r="A516" s="23" t="n"/>
      <c r="B516" s="23" t="n"/>
      <c r="C516" s="24" t="n"/>
      <c r="D516" s="15" t="n"/>
      <c r="E516" s="23" t="n"/>
      <c r="F516" s="15" t="n"/>
      <c r="G516" s="23" t="n"/>
      <c r="H516" s="25" t="n"/>
      <c r="I516" s="15" t="n"/>
      <c r="J516" s="26">
        <f>IF($A516="","",LEN($C516)-LEN(SUBSTITUTE($C516,",",""))+1)</f>
        <v/>
      </c>
      <c r="K516" s="26">
        <f>IF($A516="","",SUMPRODUCT(--ISNUMBER(SEARCH('Category Dictionary'!$D$5:$D$135&amp;"",$C516)),--('Category Dictionary'!$D$5:$D$135&lt;&gt;"")))</f>
        <v/>
      </c>
      <c r="L516" s="27">
        <f>IF($A516="","",TRIM(IF(ISERROR(FIND(",",$C516)),$C516,LEFT($C516,FIND(",",$C516)-1))))</f>
        <v/>
      </c>
      <c r="M516" s="28">
        <f>IF($H516="","",DATE(YEAR($H516),MONTH($H516),1))</f>
        <v/>
      </c>
      <c r="N516" s="26">
        <f>IF($H516="","",TODAY()-$H516)</f>
        <v/>
      </c>
      <c r="O516" s="15" t="n"/>
      <c r="P516" s="15" t="n"/>
      <c r="Q516" s="15" t="n"/>
      <c r="R516" s="25" t="n"/>
      <c r="S516" s="26">
        <f>IF($A516="","",AND(OR('Assignment Builder'!$B$5="",$B516='Assignment Builder'!$B$5),OR('Assignment Builder'!$B$6="",ISNUMBER(SEARCH('Assignment Builder'!$B$6,$C516))),OR('Assignment Builder'!$B$7="",'Assignment Builder'!$B$7=IFERROR(INDEX('Category Dictionary'!$C$5:$C$135,MATCH($L516,'Category Dictionary'!$D$5:$D$135,0)),"")),OR('Assignment Builder'!$B$8="",$D516='Assignment Builder'!$B$8),OR('Assignment Builder'!$B$9="",$F516='Assignment Builder'!$B$9),OR('Assignment Builder'!$B$10="",$O516='Assignment Builder'!$B$10),OR('Assignment Builder'!$B$11="",$H516&gt;='Assignment Builder'!$B$11),OR('Assignment Builder'!$B$12="",N($Q516)&lt;='Assignment Builder'!$B$12)))</f>
        <v/>
      </c>
      <c r="T516" s="23" t="n"/>
    </row>
    <row r="517">
      <c r="A517" s="23" t="n"/>
      <c r="B517" s="23" t="n"/>
      <c r="C517" s="24" t="n"/>
      <c r="D517" s="15" t="n"/>
      <c r="E517" s="23" t="n"/>
      <c r="F517" s="15" t="n"/>
      <c r="G517" s="23" t="n"/>
      <c r="H517" s="25" t="n"/>
      <c r="I517" s="15" t="n"/>
      <c r="J517" s="26">
        <f>IF($A517="","",LEN($C517)-LEN(SUBSTITUTE($C517,",",""))+1)</f>
        <v/>
      </c>
      <c r="K517" s="26">
        <f>IF($A517="","",SUMPRODUCT(--ISNUMBER(SEARCH('Category Dictionary'!$D$5:$D$135&amp;"",$C517)),--('Category Dictionary'!$D$5:$D$135&lt;&gt;"")))</f>
        <v/>
      </c>
      <c r="L517" s="27">
        <f>IF($A517="","",TRIM(IF(ISERROR(FIND(",",$C517)),$C517,LEFT($C517,FIND(",",$C517)-1))))</f>
        <v/>
      </c>
      <c r="M517" s="28">
        <f>IF($H517="","",DATE(YEAR($H517),MONTH($H517),1))</f>
        <v/>
      </c>
      <c r="N517" s="26">
        <f>IF($H517="","",TODAY()-$H517)</f>
        <v/>
      </c>
      <c r="O517" s="15" t="n"/>
      <c r="P517" s="15" t="n"/>
      <c r="Q517" s="15" t="n"/>
      <c r="R517" s="25" t="n"/>
      <c r="S517" s="26">
        <f>IF($A517="","",AND(OR('Assignment Builder'!$B$5="",$B517='Assignment Builder'!$B$5),OR('Assignment Builder'!$B$6="",ISNUMBER(SEARCH('Assignment Builder'!$B$6,$C517))),OR('Assignment Builder'!$B$7="",'Assignment Builder'!$B$7=IFERROR(INDEX('Category Dictionary'!$C$5:$C$135,MATCH($L517,'Category Dictionary'!$D$5:$D$135,0)),"")),OR('Assignment Builder'!$B$8="",$D517='Assignment Builder'!$B$8),OR('Assignment Builder'!$B$9="",$F517='Assignment Builder'!$B$9),OR('Assignment Builder'!$B$10="",$O517='Assignment Builder'!$B$10),OR('Assignment Builder'!$B$11="",$H517&gt;='Assignment Builder'!$B$11),OR('Assignment Builder'!$B$12="",N($Q517)&lt;='Assignment Builder'!$B$12)))</f>
        <v/>
      </c>
      <c r="T517" s="23" t="n"/>
    </row>
    <row r="518">
      <c r="A518" s="23" t="n"/>
      <c r="B518" s="23" t="n"/>
      <c r="C518" s="24" t="n"/>
      <c r="D518" s="15" t="n"/>
      <c r="E518" s="23" t="n"/>
      <c r="F518" s="15" t="n"/>
      <c r="G518" s="23" t="n"/>
      <c r="H518" s="25" t="n"/>
      <c r="I518" s="15" t="n"/>
      <c r="J518" s="26">
        <f>IF($A518="","",LEN($C518)-LEN(SUBSTITUTE($C518,",",""))+1)</f>
        <v/>
      </c>
      <c r="K518" s="26">
        <f>IF($A518="","",SUMPRODUCT(--ISNUMBER(SEARCH('Category Dictionary'!$D$5:$D$135&amp;"",$C518)),--('Category Dictionary'!$D$5:$D$135&lt;&gt;"")))</f>
        <v/>
      </c>
      <c r="L518" s="27">
        <f>IF($A518="","",TRIM(IF(ISERROR(FIND(",",$C518)),$C518,LEFT($C518,FIND(",",$C518)-1))))</f>
        <v/>
      </c>
      <c r="M518" s="28">
        <f>IF($H518="","",DATE(YEAR($H518),MONTH($H518),1))</f>
        <v/>
      </c>
      <c r="N518" s="26">
        <f>IF($H518="","",TODAY()-$H518)</f>
        <v/>
      </c>
      <c r="O518" s="15" t="n"/>
      <c r="P518" s="15" t="n"/>
      <c r="Q518" s="15" t="n"/>
      <c r="R518" s="25" t="n"/>
      <c r="S518" s="26">
        <f>IF($A518="","",AND(OR('Assignment Builder'!$B$5="",$B518='Assignment Builder'!$B$5),OR('Assignment Builder'!$B$6="",ISNUMBER(SEARCH('Assignment Builder'!$B$6,$C518))),OR('Assignment Builder'!$B$7="",'Assignment Builder'!$B$7=IFERROR(INDEX('Category Dictionary'!$C$5:$C$135,MATCH($L518,'Category Dictionary'!$D$5:$D$135,0)),"")),OR('Assignment Builder'!$B$8="",$D518='Assignment Builder'!$B$8),OR('Assignment Builder'!$B$9="",$F518='Assignment Builder'!$B$9),OR('Assignment Builder'!$B$10="",$O518='Assignment Builder'!$B$10),OR('Assignment Builder'!$B$11="",$H518&gt;='Assignment Builder'!$B$11),OR('Assignment Builder'!$B$12="",N($Q518)&lt;='Assignment Builder'!$B$12)))</f>
        <v/>
      </c>
      <c r="T518" s="23" t="n"/>
    </row>
    <row r="519">
      <c r="A519" s="23" t="n"/>
      <c r="B519" s="23" t="n"/>
      <c r="C519" s="24" t="n"/>
      <c r="D519" s="15" t="n"/>
      <c r="E519" s="23" t="n"/>
      <c r="F519" s="15" t="n"/>
      <c r="G519" s="23" t="n"/>
      <c r="H519" s="25" t="n"/>
      <c r="I519" s="15" t="n"/>
      <c r="J519" s="26">
        <f>IF($A519="","",LEN($C519)-LEN(SUBSTITUTE($C519,",",""))+1)</f>
        <v/>
      </c>
      <c r="K519" s="26">
        <f>IF($A519="","",SUMPRODUCT(--ISNUMBER(SEARCH('Category Dictionary'!$D$5:$D$135&amp;"",$C519)),--('Category Dictionary'!$D$5:$D$135&lt;&gt;"")))</f>
        <v/>
      </c>
      <c r="L519" s="27">
        <f>IF($A519="","",TRIM(IF(ISERROR(FIND(",",$C519)),$C519,LEFT($C519,FIND(",",$C519)-1))))</f>
        <v/>
      </c>
      <c r="M519" s="28">
        <f>IF($H519="","",DATE(YEAR($H519),MONTH($H519),1))</f>
        <v/>
      </c>
      <c r="N519" s="26">
        <f>IF($H519="","",TODAY()-$H519)</f>
        <v/>
      </c>
      <c r="O519" s="15" t="n"/>
      <c r="P519" s="15" t="n"/>
      <c r="Q519" s="15" t="n"/>
      <c r="R519" s="25" t="n"/>
      <c r="S519" s="26">
        <f>IF($A519="","",AND(OR('Assignment Builder'!$B$5="",$B519='Assignment Builder'!$B$5),OR('Assignment Builder'!$B$6="",ISNUMBER(SEARCH('Assignment Builder'!$B$6,$C519))),OR('Assignment Builder'!$B$7="",'Assignment Builder'!$B$7=IFERROR(INDEX('Category Dictionary'!$C$5:$C$135,MATCH($L519,'Category Dictionary'!$D$5:$D$135,0)),"")),OR('Assignment Builder'!$B$8="",$D519='Assignment Builder'!$B$8),OR('Assignment Builder'!$B$9="",$F519='Assignment Builder'!$B$9),OR('Assignment Builder'!$B$10="",$O519='Assignment Builder'!$B$10),OR('Assignment Builder'!$B$11="",$H519&gt;='Assignment Builder'!$B$11),OR('Assignment Builder'!$B$12="",N($Q519)&lt;='Assignment Builder'!$B$12)))</f>
        <v/>
      </c>
      <c r="T519" s="23" t="n"/>
    </row>
    <row r="520">
      <c r="A520" s="23" t="n"/>
      <c r="B520" s="23" t="n"/>
      <c r="C520" s="24" t="n"/>
      <c r="D520" s="15" t="n"/>
      <c r="E520" s="23" t="n"/>
      <c r="F520" s="15" t="n"/>
      <c r="G520" s="23" t="n"/>
      <c r="H520" s="25" t="n"/>
      <c r="I520" s="15" t="n"/>
      <c r="J520" s="26">
        <f>IF($A520="","",LEN($C520)-LEN(SUBSTITUTE($C520,",",""))+1)</f>
        <v/>
      </c>
      <c r="K520" s="26">
        <f>IF($A520="","",SUMPRODUCT(--ISNUMBER(SEARCH('Category Dictionary'!$D$5:$D$135&amp;"",$C520)),--('Category Dictionary'!$D$5:$D$135&lt;&gt;"")))</f>
        <v/>
      </c>
      <c r="L520" s="27">
        <f>IF($A520="","",TRIM(IF(ISERROR(FIND(",",$C520)),$C520,LEFT($C520,FIND(",",$C520)-1))))</f>
        <v/>
      </c>
      <c r="M520" s="28">
        <f>IF($H520="","",DATE(YEAR($H520),MONTH($H520),1))</f>
        <v/>
      </c>
      <c r="N520" s="26">
        <f>IF($H520="","",TODAY()-$H520)</f>
        <v/>
      </c>
      <c r="O520" s="15" t="n"/>
      <c r="P520" s="15" t="n"/>
      <c r="Q520" s="15" t="n"/>
      <c r="R520" s="25" t="n"/>
      <c r="S520" s="26">
        <f>IF($A520="","",AND(OR('Assignment Builder'!$B$5="",$B520='Assignment Builder'!$B$5),OR('Assignment Builder'!$B$6="",ISNUMBER(SEARCH('Assignment Builder'!$B$6,$C520))),OR('Assignment Builder'!$B$7="",'Assignment Builder'!$B$7=IFERROR(INDEX('Category Dictionary'!$C$5:$C$135,MATCH($L520,'Category Dictionary'!$D$5:$D$135,0)),"")),OR('Assignment Builder'!$B$8="",$D520='Assignment Builder'!$B$8),OR('Assignment Builder'!$B$9="",$F520='Assignment Builder'!$B$9),OR('Assignment Builder'!$B$10="",$O520='Assignment Builder'!$B$10),OR('Assignment Builder'!$B$11="",$H520&gt;='Assignment Builder'!$B$11),OR('Assignment Builder'!$B$12="",N($Q520)&lt;='Assignment Builder'!$B$12)))</f>
        <v/>
      </c>
      <c r="T520" s="23" t="n"/>
    </row>
    <row r="521">
      <c r="A521" s="23" t="n"/>
      <c r="B521" s="23" t="n"/>
      <c r="C521" s="24" t="n"/>
      <c r="D521" s="15" t="n"/>
      <c r="E521" s="23" t="n"/>
      <c r="F521" s="15" t="n"/>
      <c r="G521" s="23" t="n"/>
      <c r="H521" s="25" t="n"/>
      <c r="I521" s="15" t="n"/>
      <c r="J521" s="26">
        <f>IF($A521="","",LEN($C521)-LEN(SUBSTITUTE($C521,",",""))+1)</f>
        <v/>
      </c>
      <c r="K521" s="26">
        <f>IF($A521="","",SUMPRODUCT(--ISNUMBER(SEARCH('Category Dictionary'!$D$5:$D$135&amp;"",$C521)),--('Category Dictionary'!$D$5:$D$135&lt;&gt;"")))</f>
        <v/>
      </c>
      <c r="L521" s="27">
        <f>IF($A521="","",TRIM(IF(ISERROR(FIND(",",$C521)),$C521,LEFT($C521,FIND(",",$C521)-1))))</f>
        <v/>
      </c>
      <c r="M521" s="28">
        <f>IF($H521="","",DATE(YEAR($H521),MONTH($H521),1))</f>
        <v/>
      </c>
      <c r="N521" s="26">
        <f>IF($H521="","",TODAY()-$H521)</f>
        <v/>
      </c>
      <c r="O521" s="15" t="n"/>
      <c r="P521" s="15" t="n"/>
      <c r="Q521" s="15" t="n"/>
      <c r="R521" s="25" t="n"/>
      <c r="S521" s="26">
        <f>IF($A521="","",AND(OR('Assignment Builder'!$B$5="",$B521='Assignment Builder'!$B$5),OR('Assignment Builder'!$B$6="",ISNUMBER(SEARCH('Assignment Builder'!$B$6,$C521))),OR('Assignment Builder'!$B$7="",'Assignment Builder'!$B$7=IFERROR(INDEX('Category Dictionary'!$C$5:$C$135,MATCH($L521,'Category Dictionary'!$D$5:$D$135,0)),"")),OR('Assignment Builder'!$B$8="",$D521='Assignment Builder'!$B$8),OR('Assignment Builder'!$B$9="",$F521='Assignment Builder'!$B$9),OR('Assignment Builder'!$B$10="",$O521='Assignment Builder'!$B$10),OR('Assignment Builder'!$B$11="",$H521&gt;='Assignment Builder'!$B$11),OR('Assignment Builder'!$B$12="",N($Q521)&lt;='Assignment Builder'!$B$12)))</f>
        <v/>
      </c>
      <c r="T521" s="23" t="n"/>
    </row>
    <row r="522">
      <c r="A522" s="23" t="n"/>
      <c r="B522" s="23" t="n"/>
      <c r="C522" s="24" t="n"/>
      <c r="D522" s="15" t="n"/>
      <c r="E522" s="23" t="n"/>
      <c r="F522" s="15" t="n"/>
      <c r="G522" s="23" t="n"/>
      <c r="H522" s="25" t="n"/>
      <c r="I522" s="15" t="n"/>
      <c r="J522" s="26">
        <f>IF($A522="","",LEN($C522)-LEN(SUBSTITUTE($C522,",",""))+1)</f>
        <v/>
      </c>
      <c r="K522" s="26">
        <f>IF($A522="","",SUMPRODUCT(--ISNUMBER(SEARCH('Category Dictionary'!$D$5:$D$135&amp;"",$C522)),--('Category Dictionary'!$D$5:$D$135&lt;&gt;"")))</f>
        <v/>
      </c>
      <c r="L522" s="27">
        <f>IF($A522="","",TRIM(IF(ISERROR(FIND(",",$C522)),$C522,LEFT($C522,FIND(",",$C522)-1))))</f>
        <v/>
      </c>
      <c r="M522" s="28">
        <f>IF($H522="","",DATE(YEAR($H522),MONTH($H522),1))</f>
        <v/>
      </c>
      <c r="N522" s="26">
        <f>IF($H522="","",TODAY()-$H522)</f>
        <v/>
      </c>
      <c r="O522" s="15" t="n"/>
      <c r="P522" s="15" t="n"/>
      <c r="Q522" s="15" t="n"/>
      <c r="R522" s="25" t="n"/>
      <c r="S522" s="26">
        <f>IF($A522="","",AND(OR('Assignment Builder'!$B$5="",$B522='Assignment Builder'!$B$5),OR('Assignment Builder'!$B$6="",ISNUMBER(SEARCH('Assignment Builder'!$B$6,$C522))),OR('Assignment Builder'!$B$7="",'Assignment Builder'!$B$7=IFERROR(INDEX('Category Dictionary'!$C$5:$C$135,MATCH($L522,'Category Dictionary'!$D$5:$D$135,0)),"")),OR('Assignment Builder'!$B$8="",$D522='Assignment Builder'!$B$8),OR('Assignment Builder'!$B$9="",$F522='Assignment Builder'!$B$9),OR('Assignment Builder'!$B$10="",$O522='Assignment Builder'!$B$10),OR('Assignment Builder'!$B$11="",$H522&gt;='Assignment Builder'!$B$11),OR('Assignment Builder'!$B$12="",N($Q522)&lt;='Assignment Builder'!$B$12)))</f>
        <v/>
      </c>
      <c r="T522" s="23" t="n"/>
    </row>
    <row r="523">
      <c r="A523" s="23" t="n"/>
      <c r="B523" s="23" t="n"/>
      <c r="C523" s="24" t="n"/>
      <c r="D523" s="15" t="n"/>
      <c r="E523" s="23" t="n"/>
      <c r="F523" s="15" t="n"/>
      <c r="G523" s="23" t="n"/>
      <c r="H523" s="25" t="n"/>
      <c r="I523" s="15" t="n"/>
      <c r="J523" s="26">
        <f>IF($A523="","",LEN($C523)-LEN(SUBSTITUTE($C523,",",""))+1)</f>
        <v/>
      </c>
      <c r="K523" s="26">
        <f>IF($A523="","",SUMPRODUCT(--ISNUMBER(SEARCH('Category Dictionary'!$D$5:$D$135&amp;"",$C523)),--('Category Dictionary'!$D$5:$D$135&lt;&gt;"")))</f>
        <v/>
      </c>
      <c r="L523" s="27">
        <f>IF($A523="","",TRIM(IF(ISERROR(FIND(",",$C523)),$C523,LEFT($C523,FIND(",",$C523)-1))))</f>
        <v/>
      </c>
      <c r="M523" s="28">
        <f>IF($H523="","",DATE(YEAR($H523),MONTH($H523),1))</f>
        <v/>
      </c>
      <c r="N523" s="26">
        <f>IF($H523="","",TODAY()-$H523)</f>
        <v/>
      </c>
      <c r="O523" s="15" t="n"/>
      <c r="P523" s="15" t="n"/>
      <c r="Q523" s="15" t="n"/>
      <c r="R523" s="25" t="n"/>
      <c r="S523" s="26">
        <f>IF($A523="","",AND(OR('Assignment Builder'!$B$5="",$B523='Assignment Builder'!$B$5),OR('Assignment Builder'!$B$6="",ISNUMBER(SEARCH('Assignment Builder'!$B$6,$C523))),OR('Assignment Builder'!$B$7="",'Assignment Builder'!$B$7=IFERROR(INDEX('Category Dictionary'!$C$5:$C$135,MATCH($L523,'Category Dictionary'!$D$5:$D$135,0)),"")),OR('Assignment Builder'!$B$8="",$D523='Assignment Builder'!$B$8),OR('Assignment Builder'!$B$9="",$F523='Assignment Builder'!$B$9),OR('Assignment Builder'!$B$10="",$O523='Assignment Builder'!$B$10),OR('Assignment Builder'!$B$11="",$H523&gt;='Assignment Builder'!$B$11),OR('Assignment Builder'!$B$12="",N($Q523)&lt;='Assignment Builder'!$B$12)))</f>
        <v/>
      </c>
      <c r="T523" s="23" t="n"/>
    </row>
    <row r="524">
      <c r="A524" s="23" t="n"/>
      <c r="B524" s="23" t="n"/>
      <c r="C524" s="24" t="n"/>
      <c r="D524" s="15" t="n"/>
      <c r="E524" s="23" t="n"/>
      <c r="F524" s="15" t="n"/>
      <c r="G524" s="23" t="n"/>
      <c r="H524" s="25" t="n"/>
      <c r="I524" s="15" t="n"/>
      <c r="J524" s="26">
        <f>IF($A524="","",LEN($C524)-LEN(SUBSTITUTE($C524,",",""))+1)</f>
        <v/>
      </c>
      <c r="K524" s="26">
        <f>IF($A524="","",SUMPRODUCT(--ISNUMBER(SEARCH('Category Dictionary'!$D$5:$D$135&amp;"",$C524)),--('Category Dictionary'!$D$5:$D$135&lt;&gt;"")))</f>
        <v/>
      </c>
      <c r="L524" s="27">
        <f>IF($A524="","",TRIM(IF(ISERROR(FIND(",",$C524)),$C524,LEFT($C524,FIND(",",$C524)-1))))</f>
        <v/>
      </c>
      <c r="M524" s="28">
        <f>IF($H524="","",DATE(YEAR($H524),MONTH($H524),1))</f>
        <v/>
      </c>
      <c r="N524" s="26">
        <f>IF($H524="","",TODAY()-$H524)</f>
        <v/>
      </c>
      <c r="O524" s="15" t="n"/>
      <c r="P524" s="15" t="n"/>
      <c r="Q524" s="15" t="n"/>
      <c r="R524" s="25" t="n"/>
      <c r="S524" s="26">
        <f>IF($A524="","",AND(OR('Assignment Builder'!$B$5="",$B524='Assignment Builder'!$B$5),OR('Assignment Builder'!$B$6="",ISNUMBER(SEARCH('Assignment Builder'!$B$6,$C524))),OR('Assignment Builder'!$B$7="",'Assignment Builder'!$B$7=IFERROR(INDEX('Category Dictionary'!$C$5:$C$135,MATCH($L524,'Category Dictionary'!$D$5:$D$135,0)),"")),OR('Assignment Builder'!$B$8="",$D524='Assignment Builder'!$B$8),OR('Assignment Builder'!$B$9="",$F524='Assignment Builder'!$B$9),OR('Assignment Builder'!$B$10="",$O524='Assignment Builder'!$B$10),OR('Assignment Builder'!$B$11="",$H524&gt;='Assignment Builder'!$B$11),OR('Assignment Builder'!$B$12="",N($Q524)&lt;='Assignment Builder'!$B$12)))</f>
        <v/>
      </c>
      <c r="T524" s="23" t="n"/>
    </row>
    <row r="525">
      <c r="A525" s="23" t="n"/>
      <c r="B525" s="23" t="n"/>
      <c r="C525" s="24" t="n"/>
      <c r="D525" s="15" t="n"/>
      <c r="E525" s="23" t="n"/>
      <c r="F525" s="15" t="n"/>
      <c r="G525" s="23" t="n"/>
      <c r="H525" s="25" t="n"/>
      <c r="I525" s="15" t="n"/>
      <c r="J525" s="26">
        <f>IF($A525="","",LEN($C525)-LEN(SUBSTITUTE($C525,",",""))+1)</f>
        <v/>
      </c>
      <c r="K525" s="26">
        <f>IF($A525="","",SUMPRODUCT(--ISNUMBER(SEARCH('Category Dictionary'!$D$5:$D$135&amp;"",$C525)),--('Category Dictionary'!$D$5:$D$135&lt;&gt;"")))</f>
        <v/>
      </c>
      <c r="L525" s="27">
        <f>IF($A525="","",TRIM(IF(ISERROR(FIND(",",$C525)),$C525,LEFT($C525,FIND(",",$C525)-1))))</f>
        <v/>
      </c>
      <c r="M525" s="28">
        <f>IF($H525="","",DATE(YEAR($H525),MONTH($H525),1))</f>
        <v/>
      </c>
      <c r="N525" s="26">
        <f>IF($H525="","",TODAY()-$H525)</f>
        <v/>
      </c>
      <c r="O525" s="15" t="n"/>
      <c r="P525" s="15" t="n"/>
      <c r="Q525" s="15" t="n"/>
      <c r="R525" s="25" t="n"/>
      <c r="S525" s="26">
        <f>IF($A525="","",AND(OR('Assignment Builder'!$B$5="",$B525='Assignment Builder'!$B$5),OR('Assignment Builder'!$B$6="",ISNUMBER(SEARCH('Assignment Builder'!$B$6,$C525))),OR('Assignment Builder'!$B$7="",'Assignment Builder'!$B$7=IFERROR(INDEX('Category Dictionary'!$C$5:$C$135,MATCH($L525,'Category Dictionary'!$D$5:$D$135,0)),"")),OR('Assignment Builder'!$B$8="",$D525='Assignment Builder'!$B$8),OR('Assignment Builder'!$B$9="",$F525='Assignment Builder'!$B$9),OR('Assignment Builder'!$B$10="",$O525='Assignment Builder'!$B$10),OR('Assignment Builder'!$B$11="",$H525&gt;='Assignment Builder'!$B$11),OR('Assignment Builder'!$B$12="",N($Q525)&lt;='Assignment Builder'!$B$12)))</f>
        <v/>
      </c>
      <c r="T525" s="23" t="n"/>
    </row>
    <row r="526">
      <c r="A526" s="23" t="n"/>
      <c r="B526" s="23" t="n"/>
      <c r="C526" s="24" t="n"/>
      <c r="D526" s="15" t="n"/>
      <c r="E526" s="23" t="n"/>
      <c r="F526" s="15" t="n"/>
      <c r="G526" s="23" t="n"/>
      <c r="H526" s="25" t="n"/>
      <c r="I526" s="15" t="n"/>
      <c r="J526" s="26">
        <f>IF($A526="","",LEN($C526)-LEN(SUBSTITUTE($C526,",",""))+1)</f>
        <v/>
      </c>
      <c r="K526" s="26">
        <f>IF($A526="","",SUMPRODUCT(--ISNUMBER(SEARCH('Category Dictionary'!$D$5:$D$135&amp;"",$C526)),--('Category Dictionary'!$D$5:$D$135&lt;&gt;"")))</f>
        <v/>
      </c>
      <c r="L526" s="27">
        <f>IF($A526="","",TRIM(IF(ISERROR(FIND(",",$C526)),$C526,LEFT($C526,FIND(",",$C526)-1))))</f>
        <v/>
      </c>
      <c r="M526" s="28">
        <f>IF($H526="","",DATE(YEAR($H526),MONTH($H526),1))</f>
        <v/>
      </c>
      <c r="N526" s="26">
        <f>IF($H526="","",TODAY()-$H526)</f>
        <v/>
      </c>
      <c r="O526" s="15" t="n"/>
      <c r="P526" s="15" t="n"/>
      <c r="Q526" s="15" t="n"/>
      <c r="R526" s="25" t="n"/>
      <c r="S526" s="26">
        <f>IF($A526="","",AND(OR('Assignment Builder'!$B$5="",$B526='Assignment Builder'!$B$5),OR('Assignment Builder'!$B$6="",ISNUMBER(SEARCH('Assignment Builder'!$B$6,$C526))),OR('Assignment Builder'!$B$7="",'Assignment Builder'!$B$7=IFERROR(INDEX('Category Dictionary'!$C$5:$C$135,MATCH($L526,'Category Dictionary'!$D$5:$D$135,0)),"")),OR('Assignment Builder'!$B$8="",$D526='Assignment Builder'!$B$8),OR('Assignment Builder'!$B$9="",$F526='Assignment Builder'!$B$9),OR('Assignment Builder'!$B$10="",$O526='Assignment Builder'!$B$10),OR('Assignment Builder'!$B$11="",$H526&gt;='Assignment Builder'!$B$11),OR('Assignment Builder'!$B$12="",N($Q526)&lt;='Assignment Builder'!$B$12)))</f>
        <v/>
      </c>
      <c r="T526" s="23" t="n"/>
    </row>
    <row r="527">
      <c r="A527" s="23" t="n"/>
      <c r="B527" s="23" t="n"/>
      <c r="C527" s="24" t="n"/>
      <c r="D527" s="15" t="n"/>
      <c r="E527" s="23" t="n"/>
      <c r="F527" s="15" t="n"/>
      <c r="G527" s="23" t="n"/>
      <c r="H527" s="25" t="n"/>
      <c r="I527" s="15" t="n"/>
      <c r="J527" s="26">
        <f>IF($A527="","",LEN($C527)-LEN(SUBSTITUTE($C527,",",""))+1)</f>
        <v/>
      </c>
      <c r="K527" s="26">
        <f>IF($A527="","",SUMPRODUCT(--ISNUMBER(SEARCH('Category Dictionary'!$D$5:$D$135&amp;"",$C527)),--('Category Dictionary'!$D$5:$D$135&lt;&gt;"")))</f>
        <v/>
      </c>
      <c r="L527" s="27">
        <f>IF($A527="","",TRIM(IF(ISERROR(FIND(",",$C527)),$C527,LEFT($C527,FIND(",",$C527)-1))))</f>
        <v/>
      </c>
      <c r="M527" s="28">
        <f>IF($H527="","",DATE(YEAR($H527),MONTH($H527),1))</f>
        <v/>
      </c>
      <c r="N527" s="26">
        <f>IF($H527="","",TODAY()-$H527)</f>
        <v/>
      </c>
      <c r="O527" s="15" t="n"/>
      <c r="P527" s="15" t="n"/>
      <c r="Q527" s="15" t="n"/>
      <c r="R527" s="25" t="n"/>
      <c r="S527" s="26">
        <f>IF($A527="","",AND(OR('Assignment Builder'!$B$5="",$B527='Assignment Builder'!$B$5),OR('Assignment Builder'!$B$6="",ISNUMBER(SEARCH('Assignment Builder'!$B$6,$C527))),OR('Assignment Builder'!$B$7="",'Assignment Builder'!$B$7=IFERROR(INDEX('Category Dictionary'!$C$5:$C$135,MATCH($L527,'Category Dictionary'!$D$5:$D$135,0)),"")),OR('Assignment Builder'!$B$8="",$D527='Assignment Builder'!$B$8),OR('Assignment Builder'!$B$9="",$F527='Assignment Builder'!$B$9),OR('Assignment Builder'!$B$10="",$O527='Assignment Builder'!$B$10),OR('Assignment Builder'!$B$11="",$H527&gt;='Assignment Builder'!$B$11),OR('Assignment Builder'!$B$12="",N($Q527)&lt;='Assignment Builder'!$B$12)))</f>
        <v/>
      </c>
      <c r="T527" s="23" t="n"/>
    </row>
    <row r="528">
      <c r="A528" s="23" t="n"/>
      <c r="B528" s="23" t="n"/>
      <c r="C528" s="24" t="n"/>
      <c r="D528" s="15" t="n"/>
      <c r="E528" s="23" t="n"/>
      <c r="F528" s="15" t="n"/>
      <c r="G528" s="23" t="n"/>
      <c r="H528" s="25" t="n"/>
      <c r="I528" s="15" t="n"/>
      <c r="J528" s="26">
        <f>IF($A528="","",LEN($C528)-LEN(SUBSTITUTE($C528,",",""))+1)</f>
        <v/>
      </c>
      <c r="K528" s="26">
        <f>IF($A528="","",SUMPRODUCT(--ISNUMBER(SEARCH('Category Dictionary'!$D$5:$D$135&amp;"",$C528)),--('Category Dictionary'!$D$5:$D$135&lt;&gt;"")))</f>
        <v/>
      </c>
      <c r="L528" s="27">
        <f>IF($A528="","",TRIM(IF(ISERROR(FIND(",",$C528)),$C528,LEFT($C528,FIND(",",$C528)-1))))</f>
        <v/>
      </c>
      <c r="M528" s="28">
        <f>IF($H528="","",DATE(YEAR($H528),MONTH($H528),1))</f>
        <v/>
      </c>
      <c r="N528" s="26">
        <f>IF($H528="","",TODAY()-$H528)</f>
        <v/>
      </c>
      <c r="O528" s="15" t="n"/>
      <c r="P528" s="15" t="n"/>
      <c r="Q528" s="15" t="n"/>
      <c r="R528" s="25" t="n"/>
      <c r="S528" s="26">
        <f>IF($A528="","",AND(OR('Assignment Builder'!$B$5="",$B528='Assignment Builder'!$B$5),OR('Assignment Builder'!$B$6="",ISNUMBER(SEARCH('Assignment Builder'!$B$6,$C528))),OR('Assignment Builder'!$B$7="",'Assignment Builder'!$B$7=IFERROR(INDEX('Category Dictionary'!$C$5:$C$135,MATCH($L528,'Category Dictionary'!$D$5:$D$135,0)),"")),OR('Assignment Builder'!$B$8="",$D528='Assignment Builder'!$B$8),OR('Assignment Builder'!$B$9="",$F528='Assignment Builder'!$B$9),OR('Assignment Builder'!$B$10="",$O528='Assignment Builder'!$B$10),OR('Assignment Builder'!$B$11="",$H528&gt;='Assignment Builder'!$B$11),OR('Assignment Builder'!$B$12="",N($Q528)&lt;='Assignment Builder'!$B$12)))</f>
        <v/>
      </c>
      <c r="T528" s="23" t="n"/>
    </row>
    <row r="529">
      <c r="A529" s="23" t="n"/>
      <c r="B529" s="23" t="n"/>
      <c r="C529" s="24" t="n"/>
      <c r="D529" s="15" t="n"/>
      <c r="E529" s="23" t="n"/>
      <c r="F529" s="15" t="n"/>
      <c r="G529" s="23" t="n"/>
      <c r="H529" s="25" t="n"/>
      <c r="I529" s="15" t="n"/>
      <c r="J529" s="26">
        <f>IF($A529="","",LEN($C529)-LEN(SUBSTITUTE($C529,",",""))+1)</f>
        <v/>
      </c>
      <c r="K529" s="26">
        <f>IF($A529="","",SUMPRODUCT(--ISNUMBER(SEARCH('Category Dictionary'!$D$5:$D$135&amp;"",$C529)),--('Category Dictionary'!$D$5:$D$135&lt;&gt;"")))</f>
        <v/>
      </c>
      <c r="L529" s="27">
        <f>IF($A529="","",TRIM(IF(ISERROR(FIND(",",$C529)),$C529,LEFT($C529,FIND(",",$C529)-1))))</f>
        <v/>
      </c>
      <c r="M529" s="28">
        <f>IF($H529="","",DATE(YEAR($H529),MONTH($H529),1))</f>
        <v/>
      </c>
      <c r="N529" s="26">
        <f>IF($H529="","",TODAY()-$H529)</f>
        <v/>
      </c>
      <c r="O529" s="15" t="n"/>
      <c r="P529" s="15" t="n"/>
      <c r="Q529" s="15" t="n"/>
      <c r="R529" s="25" t="n"/>
      <c r="S529" s="26">
        <f>IF($A529="","",AND(OR('Assignment Builder'!$B$5="",$B529='Assignment Builder'!$B$5),OR('Assignment Builder'!$B$6="",ISNUMBER(SEARCH('Assignment Builder'!$B$6,$C529))),OR('Assignment Builder'!$B$7="",'Assignment Builder'!$B$7=IFERROR(INDEX('Category Dictionary'!$C$5:$C$135,MATCH($L529,'Category Dictionary'!$D$5:$D$135,0)),"")),OR('Assignment Builder'!$B$8="",$D529='Assignment Builder'!$B$8),OR('Assignment Builder'!$B$9="",$F529='Assignment Builder'!$B$9),OR('Assignment Builder'!$B$10="",$O529='Assignment Builder'!$B$10),OR('Assignment Builder'!$B$11="",$H529&gt;='Assignment Builder'!$B$11),OR('Assignment Builder'!$B$12="",N($Q529)&lt;='Assignment Builder'!$B$12)))</f>
        <v/>
      </c>
      <c r="T529" s="23" t="n"/>
    </row>
    <row r="530">
      <c r="A530" s="23" t="n"/>
      <c r="B530" s="23" t="n"/>
      <c r="C530" s="24" t="n"/>
      <c r="D530" s="15" t="n"/>
      <c r="E530" s="23" t="n"/>
      <c r="F530" s="15" t="n"/>
      <c r="G530" s="23" t="n"/>
      <c r="H530" s="25" t="n"/>
      <c r="I530" s="15" t="n"/>
      <c r="J530" s="26">
        <f>IF($A530="","",LEN($C530)-LEN(SUBSTITUTE($C530,",",""))+1)</f>
        <v/>
      </c>
      <c r="K530" s="26">
        <f>IF($A530="","",SUMPRODUCT(--ISNUMBER(SEARCH('Category Dictionary'!$D$5:$D$135&amp;"",$C530)),--('Category Dictionary'!$D$5:$D$135&lt;&gt;"")))</f>
        <v/>
      </c>
      <c r="L530" s="27">
        <f>IF($A530="","",TRIM(IF(ISERROR(FIND(",",$C530)),$C530,LEFT($C530,FIND(",",$C530)-1))))</f>
        <v/>
      </c>
      <c r="M530" s="28">
        <f>IF($H530="","",DATE(YEAR($H530),MONTH($H530),1))</f>
        <v/>
      </c>
      <c r="N530" s="26">
        <f>IF($H530="","",TODAY()-$H530)</f>
        <v/>
      </c>
      <c r="O530" s="15" t="n"/>
      <c r="P530" s="15" t="n"/>
      <c r="Q530" s="15" t="n"/>
      <c r="R530" s="25" t="n"/>
      <c r="S530" s="26">
        <f>IF($A530="","",AND(OR('Assignment Builder'!$B$5="",$B530='Assignment Builder'!$B$5),OR('Assignment Builder'!$B$6="",ISNUMBER(SEARCH('Assignment Builder'!$B$6,$C530))),OR('Assignment Builder'!$B$7="",'Assignment Builder'!$B$7=IFERROR(INDEX('Category Dictionary'!$C$5:$C$135,MATCH($L530,'Category Dictionary'!$D$5:$D$135,0)),"")),OR('Assignment Builder'!$B$8="",$D530='Assignment Builder'!$B$8),OR('Assignment Builder'!$B$9="",$F530='Assignment Builder'!$B$9),OR('Assignment Builder'!$B$10="",$O530='Assignment Builder'!$B$10),OR('Assignment Builder'!$B$11="",$H530&gt;='Assignment Builder'!$B$11),OR('Assignment Builder'!$B$12="",N($Q530)&lt;='Assignment Builder'!$B$12)))</f>
        <v/>
      </c>
      <c r="T530" s="23" t="n"/>
    </row>
    <row r="531">
      <c r="A531" s="23" t="n"/>
      <c r="B531" s="23" t="n"/>
      <c r="C531" s="24" t="n"/>
      <c r="D531" s="15" t="n"/>
      <c r="E531" s="23" t="n"/>
      <c r="F531" s="15" t="n"/>
      <c r="G531" s="23" t="n"/>
      <c r="H531" s="25" t="n"/>
      <c r="I531" s="15" t="n"/>
      <c r="J531" s="26">
        <f>IF($A531="","",LEN($C531)-LEN(SUBSTITUTE($C531,",",""))+1)</f>
        <v/>
      </c>
      <c r="K531" s="26">
        <f>IF($A531="","",SUMPRODUCT(--ISNUMBER(SEARCH('Category Dictionary'!$D$5:$D$135&amp;"",$C531)),--('Category Dictionary'!$D$5:$D$135&lt;&gt;"")))</f>
        <v/>
      </c>
      <c r="L531" s="27">
        <f>IF($A531="","",TRIM(IF(ISERROR(FIND(",",$C531)),$C531,LEFT($C531,FIND(",",$C531)-1))))</f>
        <v/>
      </c>
      <c r="M531" s="28">
        <f>IF($H531="","",DATE(YEAR($H531),MONTH($H531),1))</f>
        <v/>
      </c>
      <c r="N531" s="26">
        <f>IF($H531="","",TODAY()-$H531)</f>
        <v/>
      </c>
      <c r="O531" s="15" t="n"/>
      <c r="P531" s="15" t="n"/>
      <c r="Q531" s="15" t="n"/>
      <c r="R531" s="25" t="n"/>
      <c r="S531" s="26">
        <f>IF($A531="","",AND(OR('Assignment Builder'!$B$5="",$B531='Assignment Builder'!$B$5),OR('Assignment Builder'!$B$6="",ISNUMBER(SEARCH('Assignment Builder'!$B$6,$C531))),OR('Assignment Builder'!$B$7="",'Assignment Builder'!$B$7=IFERROR(INDEX('Category Dictionary'!$C$5:$C$135,MATCH($L531,'Category Dictionary'!$D$5:$D$135,0)),"")),OR('Assignment Builder'!$B$8="",$D531='Assignment Builder'!$B$8),OR('Assignment Builder'!$B$9="",$F531='Assignment Builder'!$B$9),OR('Assignment Builder'!$B$10="",$O531='Assignment Builder'!$B$10),OR('Assignment Builder'!$B$11="",$H531&gt;='Assignment Builder'!$B$11),OR('Assignment Builder'!$B$12="",N($Q531)&lt;='Assignment Builder'!$B$12)))</f>
        <v/>
      </c>
      <c r="T531" s="23" t="n"/>
    </row>
    <row r="532">
      <c r="A532" s="23" t="n"/>
      <c r="B532" s="23" t="n"/>
      <c r="C532" s="24" t="n"/>
      <c r="D532" s="15" t="n"/>
      <c r="E532" s="23" t="n"/>
      <c r="F532" s="15" t="n"/>
      <c r="G532" s="23" t="n"/>
      <c r="H532" s="25" t="n"/>
      <c r="I532" s="15" t="n"/>
      <c r="J532" s="26">
        <f>IF($A532="","",LEN($C532)-LEN(SUBSTITUTE($C532,",",""))+1)</f>
        <v/>
      </c>
      <c r="K532" s="26">
        <f>IF($A532="","",SUMPRODUCT(--ISNUMBER(SEARCH('Category Dictionary'!$D$5:$D$135&amp;"",$C532)),--('Category Dictionary'!$D$5:$D$135&lt;&gt;"")))</f>
        <v/>
      </c>
      <c r="L532" s="27">
        <f>IF($A532="","",TRIM(IF(ISERROR(FIND(",",$C532)),$C532,LEFT($C532,FIND(",",$C532)-1))))</f>
        <v/>
      </c>
      <c r="M532" s="28">
        <f>IF($H532="","",DATE(YEAR($H532),MONTH($H532),1))</f>
        <v/>
      </c>
      <c r="N532" s="26">
        <f>IF($H532="","",TODAY()-$H532)</f>
        <v/>
      </c>
      <c r="O532" s="15" t="n"/>
      <c r="P532" s="15" t="n"/>
      <c r="Q532" s="15" t="n"/>
      <c r="R532" s="25" t="n"/>
      <c r="S532" s="26">
        <f>IF($A532="","",AND(OR('Assignment Builder'!$B$5="",$B532='Assignment Builder'!$B$5),OR('Assignment Builder'!$B$6="",ISNUMBER(SEARCH('Assignment Builder'!$B$6,$C532))),OR('Assignment Builder'!$B$7="",'Assignment Builder'!$B$7=IFERROR(INDEX('Category Dictionary'!$C$5:$C$135,MATCH($L532,'Category Dictionary'!$D$5:$D$135,0)),"")),OR('Assignment Builder'!$B$8="",$D532='Assignment Builder'!$B$8),OR('Assignment Builder'!$B$9="",$F532='Assignment Builder'!$B$9),OR('Assignment Builder'!$B$10="",$O532='Assignment Builder'!$B$10),OR('Assignment Builder'!$B$11="",$H532&gt;='Assignment Builder'!$B$11),OR('Assignment Builder'!$B$12="",N($Q532)&lt;='Assignment Builder'!$B$12)))</f>
        <v/>
      </c>
      <c r="T532" s="23" t="n"/>
    </row>
    <row r="533">
      <c r="A533" s="23" t="n"/>
      <c r="B533" s="23" t="n"/>
      <c r="C533" s="24" t="n"/>
      <c r="D533" s="15" t="n"/>
      <c r="E533" s="23" t="n"/>
      <c r="F533" s="15" t="n"/>
      <c r="G533" s="23" t="n"/>
      <c r="H533" s="25" t="n"/>
      <c r="I533" s="15" t="n"/>
      <c r="J533" s="26">
        <f>IF($A533="","",LEN($C533)-LEN(SUBSTITUTE($C533,",",""))+1)</f>
        <v/>
      </c>
      <c r="K533" s="26">
        <f>IF($A533="","",SUMPRODUCT(--ISNUMBER(SEARCH('Category Dictionary'!$D$5:$D$135&amp;"",$C533)),--('Category Dictionary'!$D$5:$D$135&lt;&gt;"")))</f>
        <v/>
      </c>
      <c r="L533" s="27">
        <f>IF($A533="","",TRIM(IF(ISERROR(FIND(",",$C533)),$C533,LEFT($C533,FIND(",",$C533)-1))))</f>
        <v/>
      </c>
      <c r="M533" s="28">
        <f>IF($H533="","",DATE(YEAR($H533),MONTH($H533),1))</f>
        <v/>
      </c>
      <c r="N533" s="26">
        <f>IF($H533="","",TODAY()-$H533)</f>
        <v/>
      </c>
      <c r="O533" s="15" t="n"/>
      <c r="P533" s="15" t="n"/>
      <c r="Q533" s="15" t="n"/>
      <c r="R533" s="25" t="n"/>
      <c r="S533" s="26">
        <f>IF($A533="","",AND(OR('Assignment Builder'!$B$5="",$B533='Assignment Builder'!$B$5),OR('Assignment Builder'!$B$6="",ISNUMBER(SEARCH('Assignment Builder'!$B$6,$C533))),OR('Assignment Builder'!$B$7="",'Assignment Builder'!$B$7=IFERROR(INDEX('Category Dictionary'!$C$5:$C$135,MATCH($L533,'Category Dictionary'!$D$5:$D$135,0)),"")),OR('Assignment Builder'!$B$8="",$D533='Assignment Builder'!$B$8),OR('Assignment Builder'!$B$9="",$F533='Assignment Builder'!$B$9),OR('Assignment Builder'!$B$10="",$O533='Assignment Builder'!$B$10),OR('Assignment Builder'!$B$11="",$H533&gt;='Assignment Builder'!$B$11),OR('Assignment Builder'!$B$12="",N($Q533)&lt;='Assignment Builder'!$B$12)))</f>
        <v/>
      </c>
      <c r="T533" s="23" t="n"/>
    </row>
    <row r="534">
      <c r="A534" s="23" t="n"/>
      <c r="B534" s="23" t="n"/>
      <c r="C534" s="24" t="n"/>
      <c r="D534" s="15" t="n"/>
      <c r="E534" s="23" t="n"/>
      <c r="F534" s="15" t="n"/>
      <c r="G534" s="23" t="n"/>
      <c r="H534" s="25" t="n"/>
      <c r="I534" s="15" t="n"/>
      <c r="J534" s="26">
        <f>IF($A534="","",LEN($C534)-LEN(SUBSTITUTE($C534,",",""))+1)</f>
        <v/>
      </c>
      <c r="K534" s="26">
        <f>IF($A534="","",SUMPRODUCT(--ISNUMBER(SEARCH('Category Dictionary'!$D$5:$D$135&amp;"",$C534)),--('Category Dictionary'!$D$5:$D$135&lt;&gt;"")))</f>
        <v/>
      </c>
      <c r="L534" s="27">
        <f>IF($A534="","",TRIM(IF(ISERROR(FIND(",",$C534)),$C534,LEFT($C534,FIND(",",$C534)-1))))</f>
        <v/>
      </c>
      <c r="M534" s="28">
        <f>IF($H534="","",DATE(YEAR($H534),MONTH($H534),1))</f>
        <v/>
      </c>
      <c r="N534" s="26">
        <f>IF($H534="","",TODAY()-$H534)</f>
        <v/>
      </c>
      <c r="O534" s="15" t="n"/>
      <c r="P534" s="15" t="n"/>
      <c r="Q534" s="15" t="n"/>
      <c r="R534" s="25" t="n"/>
      <c r="S534" s="26">
        <f>IF($A534="","",AND(OR('Assignment Builder'!$B$5="",$B534='Assignment Builder'!$B$5),OR('Assignment Builder'!$B$6="",ISNUMBER(SEARCH('Assignment Builder'!$B$6,$C534))),OR('Assignment Builder'!$B$7="",'Assignment Builder'!$B$7=IFERROR(INDEX('Category Dictionary'!$C$5:$C$135,MATCH($L534,'Category Dictionary'!$D$5:$D$135,0)),"")),OR('Assignment Builder'!$B$8="",$D534='Assignment Builder'!$B$8),OR('Assignment Builder'!$B$9="",$F534='Assignment Builder'!$B$9),OR('Assignment Builder'!$B$10="",$O534='Assignment Builder'!$B$10),OR('Assignment Builder'!$B$11="",$H534&gt;='Assignment Builder'!$B$11),OR('Assignment Builder'!$B$12="",N($Q534)&lt;='Assignment Builder'!$B$12)))</f>
        <v/>
      </c>
      <c r="T534" s="23" t="n"/>
    </row>
    <row r="535">
      <c r="A535" s="23" t="n"/>
      <c r="B535" s="23" t="n"/>
      <c r="C535" s="24" t="n"/>
      <c r="D535" s="15" t="n"/>
      <c r="E535" s="23" t="n"/>
      <c r="F535" s="15" t="n"/>
      <c r="G535" s="23" t="n"/>
      <c r="H535" s="25" t="n"/>
      <c r="I535" s="15" t="n"/>
      <c r="J535" s="26">
        <f>IF($A535="","",LEN($C535)-LEN(SUBSTITUTE($C535,",",""))+1)</f>
        <v/>
      </c>
      <c r="K535" s="26">
        <f>IF($A535="","",SUMPRODUCT(--ISNUMBER(SEARCH('Category Dictionary'!$D$5:$D$135&amp;"",$C535)),--('Category Dictionary'!$D$5:$D$135&lt;&gt;"")))</f>
        <v/>
      </c>
      <c r="L535" s="27">
        <f>IF($A535="","",TRIM(IF(ISERROR(FIND(",",$C535)),$C535,LEFT($C535,FIND(",",$C535)-1))))</f>
        <v/>
      </c>
      <c r="M535" s="28">
        <f>IF($H535="","",DATE(YEAR($H535),MONTH($H535),1))</f>
        <v/>
      </c>
      <c r="N535" s="26">
        <f>IF($H535="","",TODAY()-$H535)</f>
        <v/>
      </c>
      <c r="O535" s="15" t="n"/>
      <c r="P535" s="15" t="n"/>
      <c r="Q535" s="15" t="n"/>
      <c r="R535" s="25" t="n"/>
      <c r="S535" s="26">
        <f>IF($A535="","",AND(OR('Assignment Builder'!$B$5="",$B535='Assignment Builder'!$B$5),OR('Assignment Builder'!$B$6="",ISNUMBER(SEARCH('Assignment Builder'!$B$6,$C535))),OR('Assignment Builder'!$B$7="",'Assignment Builder'!$B$7=IFERROR(INDEX('Category Dictionary'!$C$5:$C$135,MATCH($L535,'Category Dictionary'!$D$5:$D$135,0)),"")),OR('Assignment Builder'!$B$8="",$D535='Assignment Builder'!$B$8),OR('Assignment Builder'!$B$9="",$F535='Assignment Builder'!$B$9),OR('Assignment Builder'!$B$10="",$O535='Assignment Builder'!$B$10),OR('Assignment Builder'!$B$11="",$H535&gt;='Assignment Builder'!$B$11),OR('Assignment Builder'!$B$12="",N($Q535)&lt;='Assignment Builder'!$B$12)))</f>
        <v/>
      </c>
      <c r="T535" s="23" t="n"/>
    </row>
    <row r="536">
      <c r="A536" s="23" t="n"/>
      <c r="B536" s="23" t="n"/>
      <c r="C536" s="24" t="n"/>
      <c r="D536" s="15" t="n"/>
      <c r="E536" s="23" t="n"/>
      <c r="F536" s="15" t="n"/>
      <c r="G536" s="23" t="n"/>
      <c r="H536" s="25" t="n"/>
      <c r="I536" s="15" t="n"/>
      <c r="J536" s="26">
        <f>IF($A536="","",LEN($C536)-LEN(SUBSTITUTE($C536,",",""))+1)</f>
        <v/>
      </c>
      <c r="K536" s="26">
        <f>IF($A536="","",SUMPRODUCT(--ISNUMBER(SEARCH('Category Dictionary'!$D$5:$D$135&amp;"",$C536)),--('Category Dictionary'!$D$5:$D$135&lt;&gt;"")))</f>
        <v/>
      </c>
      <c r="L536" s="27">
        <f>IF($A536="","",TRIM(IF(ISERROR(FIND(",",$C536)),$C536,LEFT($C536,FIND(",",$C536)-1))))</f>
        <v/>
      </c>
      <c r="M536" s="28">
        <f>IF($H536="","",DATE(YEAR($H536),MONTH($H536),1))</f>
        <v/>
      </c>
      <c r="N536" s="26">
        <f>IF($H536="","",TODAY()-$H536)</f>
        <v/>
      </c>
      <c r="O536" s="15" t="n"/>
      <c r="P536" s="15" t="n"/>
      <c r="Q536" s="15" t="n"/>
      <c r="R536" s="25" t="n"/>
      <c r="S536" s="26">
        <f>IF($A536="","",AND(OR('Assignment Builder'!$B$5="",$B536='Assignment Builder'!$B$5),OR('Assignment Builder'!$B$6="",ISNUMBER(SEARCH('Assignment Builder'!$B$6,$C536))),OR('Assignment Builder'!$B$7="",'Assignment Builder'!$B$7=IFERROR(INDEX('Category Dictionary'!$C$5:$C$135,MATCH($L536,'Category Dictionary'!$D$5:$D$135,0)),"")),OR('Assignment Builder'!$B$8="",$D536='Assignment Builder'!$B$8),OR('Assignment Builder'!$B$9="",$F536='Assignment Builder'!$B$9),OR('Assignment Builder'!$B$10="",$O536='Assignment Builder'!$B$10),OR('Assignment Builder'!$B$11="",$H536&gt;='Assignment Builder'!$B$11),OR('Assignment Builder'!$B$12="",N($Q536)&lt;='Assignment Builder'!$B$12)))</f>
        <v/>
      </c>
      <c r="T536" s="23" t="n"/>
    </row>
    <row r="537">
      <c r="A537" s="23" t="n"/>
      <c r="B537" s="23" t="n"/>
      <c r="C537" s="24" t="n"/>
      <c r="D537" s="15" t="n"/>
      <c r="E537" s="23" t="n"/>
      <c r="F537" s="15" t="n"/>
      <c r="G537" s="23" t="n"/>
      <c r="H537" s="25" t="n"/>
      <c r="I537" s="15" t="n"/>
      <c r="J537" s="26">
        <f>IF($A537="","",LEN($C537)-LEN(SUBSTITUTE($C537,",",""))+1)</f>
        <v/>
      </c>
      <c r="K537" s="26">
        <f>IF($A537="","",SUMPRODUCT(--ISNUMBER(SEARCH('Category Dictionary'!$D$5:$D$135&amp;"",$C537)),--('Category Dictionary'!$D$5:$D$135&lt;&gt;"")))</f>
        <v/>
      </c>
      <c r="L537" s="27">
        <f>IF($A537="","",TRIM(IF(ISERROR(FIND(",",$C537)),$C537,LEFT($C537,FIND(",",$C537)-1))))</f>
        <v/>
      </c>
      <c r="M537" s="28">
        <f>IF($H537="","",DATE(YEAR($H537),MONTH($H537),1))</f>
        <v/>
      </c>
      <c r="N537" s="26">
        <f>IF($H537="","",TODAY()-$H537)</f>
        <v/>
      </c>
      <c r="O537" s="15" t="n"/>
      <c r="P537" s="15" t="n"/>
      <c r="Q537" s="15" t="n"/>
      <c r="R537" s="25" t="n"/>
      <c r="S537" s="26">
        <f>IF($A537="","",AND(OR('Assignment Builder'!$B$5="",$B537='Assignment Builder'!$B$5),OR('Assignment Builder'!$B$6="",ISNUMBER(SEARCH('Assignment Builder'!$B$6,$C537))),OR('Assignment Builder'!$B$7="",'Assignment Builder'!$B$7=IFERROR(INDEX('Category Dictionary'!$C$5:$C$135,MATCH($L537,'Category Dictionary'!$D$5:$D$135,0)),"")),OR('Assignment Builder'!$B$8="",$D537='Assignment Builder'!$B$8),OR('Assignment Builder'!$B$9="",$F537='Assignment Builder'!$B$9),OR('Assignment Builder'!$B$10="",$O537='Assignment Builder'!$B$10),OR('Assignment Builder'!$B$11="",$H537&gt;='Assignment Builder'!$B$11),OR('Assignment Builder'!$B$12="",N($Q537)&lt;='Assignment Builder'!$B$12)))</f>
        <v/>
      </c>
      <c r="T537" s="23" t="n"/>
    </row>
    <row r="538">
      <c r="A538" s="23" t="n"/>
      <c r="B538" s="23" t="n"/>
      <c r="C538" s="24" t="n"/>
      <c r="D538" s="15" t="n"/>
      <c r="E538" s="23" t="n"/>
      <c r="F538" s="15" t="n"/>
      <c r="G538" s="23" t="n"/>
      <c r="H538" s="25" t="n"/>
      <c r="I538" s="15" t="n"/>
      <c r="J538" s="26">
        <f>IF($A538="","",LEN($C538)-LEN(SUBSTITUTE($C538,",",""))+1)</f>
        <v/>
      </c>
      <c r="K538" s="26">
        <f>IF($A538="","",SUMPRODUCT(--ISNUMBER(SEARCH('Category Dictionary'!$D$5:$D$135&amp;"",$C538)),--('Category Dictionary'!$D$5:$D$135&lt;&gt;"")))</f>
        <v/>
      </c>
      <c r="L538" s="27">
        <f>IF($A538="","",TRIM(IF(ISERROR(FIND(",",$C538)),$C538,LEFT($C538,FIND(",",$C538)-1))))</f>
        <v/>
      </c>
      <c r="M538" s="28">
        <f>IF($H538="","",DATE(YEAR($H538),MONTH($H538),1))</f>
        <v/>
      </c>
      <c r="N538" s="26">
        <f>IF($H538="","",TODAY()-$H538)</f>
        <v/>
      </c>
      <c r="O538" s="15" t="n"/>
      <c r="P538" s="15" t="n"/>
      <c r="Q538" s="15" t="n"/>
      <c r="R538" s="25" t="n"/>
      <c r="S538" s="26">
        <f>IF($A538="","",AND(OR('Assignment Builder'!$B$5="",$B538='Assignment Builder'!$B$5),OR('Assignment Builder'!$B$6="",ISNUMBER(SEARCH('Assignment Builder'!$B$6,$C538))),OR('Assignment Builder'!$B$7="",'Assignment Builder'!$B$7=IFERROR(INDEX('Category Dictionary'!$C$5:$C$135,MATCH($L538,'Category Dictionary'!$D$5:$D$135,0)),"")),OR('Assignment Builder'!$B$8="",$D538='Assignment Builder'!$B$8),OR('Assignment Builder'!$B$9="",$F538='Assignment Builder'!$B$9),OR('Assignment Builder'!$B$10="",$O538='Assignment Builder'!$B$10),OR('Assignment Builder'!$B$11="",$H538&gt;='Assignment Builder'!$B$11),OR('Assignment Builder'!$B$12="",N($Q538)&lt;='Assignment Builder'!$B$12)))</f>
        <v/>
      </c>
      <c r="T538" s="23" t="n"/>
    </row>
    <row r="539">
      <c r="A539" s="23" t="n"/>
      <c r="B539" s="23" t="n"/>
      <c r="C539" s="24" t="n"/>
      <c r="D539" s="15" t="n"/>
      <c r="E539" s="23" t="n"/>
      <c r="F539" s="15" t="n"/>
      <c r="G539" s="23" t="n"/>
      <c r="H539" s="25" t="n"/>
      <c r="I539" s="15" t="n"/>
      <c r="J539" s="26">
        <f>IF($A539="","",LEN($C539)-LEN(SUBSTITUTE($C539,",",""))+1)</f>
        <v/>
      </c>
      <c r="K539" s="26">
        <f>IF($A539="","",SUMPRODUCT(--ISNUMBER(SEARCH('Category Dictionary'!$D$5:$D$135&amp;"",$C539)),--('Category Dictionary'!$D$5:$D$135&lt;&gt;"")))</f>
        <v/>
      </c>
      <c r="L539" s="27">
        <f>IF($A539="","",TRIM(IF(ISERROR(FIND(",",$C539)),$C539,LEFT($C539,FIND(",",$C539)-1))))</f>
        <v/>
      </c>
      <c r="M539" s="28">
        <f>IF($H539="","",DATE(YEAR($H539),MONTH($H539),1))</f>
        <v/>
      </c>
      <c r="N539" s="26">
        <f>IF($H539="","",TODAY()-$H539)</f>
        <v/>
      </c>
      <c r="O539" s="15" t="n"/>
      <c r="P539" s="15" t="n"/>
      <c r="Q539" s="15" t="n"/>
      <c r="R539" s="25" t="n"/>
      <c r="S539" s="26">
        <f>IF($A539="","",AND(OR('Assignment Builder'!$B$5="",$B539='Assignment Builder'!$B$5),OR('Assignment Builder'!$B$6="",ISNUMBER(SEARCH('Assignment Builder'!$B$6,$C539))),OR('Assignment Builder'!$B$7="",'Assignment Builder'!$B$7=IFERROR(INDEX('Category Dictionary'!$C$5:$C$135,MATCH($L539,'Category Dictionary'!$D$5:$D$135,0)),"")),OR('Assignment Builder'!$B$8="",$D539='Assignment Builder'!$B$8),OR('Assignment Builder'!$B$9="",$F539='Assignment Builder'!$B$9),OR('Assignment Builder'!$B$10="",$O539='Assignment Builder'!$B$10),OR('Assignment Builder'!$B$11="",$H539&gt;='Assignment Builder'!$B$11),OR('Assignment Builder'!$B$12="",N($Q539)&lt;='Assignment Builder'!$B$12)))</f>
        <v/>
      </c>
      <c r="T539" s="23" t="n"/>
    </row>
    <row r="540">
      <c r="A540" s="23" t="n"/>
      <c r="B540" s="23" t="n"/>
      <c r="C540" s="24" t="n"/>
      <c r="D540" s="15" t="n"/>
      <c r="E540" s="23" t="n"/>
      <c r="F540" s="15" t="n"/>
      <c r="G540" s="23" t="n"/>
      <c r="H540" s="25" t="n"/>
      <c r="I540" s="15" t="n"/>
      <c r="J540" s="26">
        <f>IF($A540="","",LEN($C540)-LEN(SUBSTITUTE($C540,",",""))+1)</f>
        <v/>
      </c>
      <c r="K540" s="26">
        <f>IF($A540="","",SUMPRODUCT(--ISNUMBER(SEARCH('Category Dictionary'!$D$5:$D$135&amp;"",$C540)),--('Category Dictionary'!$D$5:$D$135&lt;&gt;"")))</f>
        <v/>
      </c>
      <c r="L540" s="27">
        <f>IF($A540="","",TRIM(IF(ISERROR(FIND(",",$C540)),$C540,LEFT($C540,FIND(",",$C540)-1))))</f>
        <v/>
      </c>
      <c r="M540" s="28">
        <f>IF($H540="","",DATE(YEAR($H540),MONTH($H540),1))</f>
        <v/>
      </c>
      <c r="N540" s="26">
        <f>IF($H540="","",TODAY()-$H540)</f>
        <v/>
      </c>
      <c r="O540" s="15" t="n"/>
      <c r="P540" s="15" t="n"/>
      <c r="Q540" s="15" t="n"/>
      <c r="R540" s="25" t="n"/>
      <c r="S540" s="26">
        <f>IF($A540="","",AND(OR('Assignment Builder'!$B$5="",$B540='Assignment Builder'!$B$5),OR('Assignment Builder'!$B$6="",ISNUMBER(SEARCH('Assignment Builder'!$B$6,$C540))),OR('Assignment Builder'!$B$7="",'Assignment Builder'!$B$7=IFERROR(INDEX('Category Dictionary'!$C$5:$C$135,MATCH($L540,'Category Dictionary'!$D$5:$D$135,0)),"")),OR('Assignment Builder'!$B$8="",$D540='Assignment Builder'!$B$8),OR('Assignment Builder'!$B$9="",$F540='Assignment Builder'!$B$9),OR('Assignment Builder'!$B$10="",$O540='Assignment Builder'!$B$10),OR('Assignment Builder'!$B$11="",$H540&gt;='Assignment Builder'!$B$11),OR('Assignment Builder'!$B$12="",N($Q540)&lt;='Assignment Builder'!$B$12)))</f>
        <v/>
      </c>
      <c r="T540" s="23" t="n"/>
    </row>
    <row r="541">
      <c r="A541" s="23" t="n"/>
      <c r="B541" s="23" t="n"/>
      <c r="C541" s="24" t="n"/>
      <c r="D541" s="15" t="n"/>
      <c r="E541" s="23" t="n"/>
      <c r="F541" s="15" t="n"/>
      <c r="G541" s="23" t="n"/>
      <c r="H541" s="25" t="n"/>
      <c r="I541" s="15" t="n"/>
      <c r="J541" s="26">
        <f>IF($A541="","",LEN($C541)-LEN(SUBSTITUTE($C541,",",""))+1)</f>
        <v/>
      </c>
      <c r="K541" s="26">
        <f>IF($A541="","",SUMPRODUCT(--ISNUMBER(SEARCH('Category Dictionary'!$D$5:$D$135&amp;"",$C541)),--('Category Dictionary'!$D$5:$D$135&lt;&gt;"")))</f>
        <v/>
      </c>
      <c r="L541" s="27">
        <f>IF($A541="","",TRIM(IF(ISERROR(FIND(",",$C541)),$C541,LEFT($C541,FIND(",",$C541)-1))))</f>
        <v/>
      </c>
      <c r="M541" s="28">
        <f>IF($H541="","",DATE(YEAR($H541),MONTH($H541),1))</f>
        <v/>
      </c>
      <c r="N541" s="26">
        <f>IF($H541="","",TODAY()-$H541)</f>
        <v/>
      </c>
      <c r="O541" s="15" t="n"/>
      <c r="P541" s="15" t="n"/>
      <c r="Q541" s="15" t="n"/>
      <c r="R541" s="25" t="n"/>
      <c r="S541" s="26">
        <f>IF($A541="","",AND(OR('Assignment Builder'!$B$5="",$B541='Assignment Builder'!$B$5),OR('Assignment Builder'!$B$6="",ISNUMBER(SEARCH('Assignment Builder'!$B$6,$C541))),OR('Assignment Builder'!$B$7="",'Assignment Builder'!$B$7=IFERROR(INDEX('Category Dictionary'!$C$5:$C$135,MATCH($L541,'Category Dictionary'!$D$5:$D$135,0)),"")),OR('Assignment Builder'!$B$8="",$D541='Assignment Builder'!$B$8),OR('Assignment Builder'!$B$9="",$F541='Assignment Builder'!$B$9),OR('Assignment Builder'!$B$10="",$O541='Assignment Builder'!$B$10),OR('Assignment Builder'!$B$11="",$H541&gt;='Assignment Builder'!$B$11),OR('Assignment Builder'!$B$12="",N($Q541)&lt;='Assignment Builder'!$B$12)))</f>
        <v/>
      </c>
      <c r="T541" s="23" t="n"/>
    </row>
    <row r="542">
      <c r="A542" s="23" t="n"/>
      <c r="B542" s="23" t="n"/>
      <c r="C542" s="24" t="n"/>
      <c r="D542" s="15" t="n"/>
      <c r="E542" s="23" t="n"/>
      <c r="F542" s="15" t="n"/>
      <c r="G542" s="23" t="n"/>
      <c r="H542" s="25" t="n"/>
      <c r="I542" s="15" t="n"/>
      <c r="J542" s="26">
        <f>IF($A542="","",LEN($C542)-LEN(SUBSTITUTE($C542,",",""))+1)</f>
        <v/>
      </c>
      <c r="K542" s="26">
        <f>IF($A542="","",SUMPRODUCT(--ISNUMBER(SEARCH('Category Dictionary'!$D$5:$D$135&amp;"",$C542)),--('Category Dictionary'!$D$5:$D$135&lt;&gt;"")))</f>
        <v/>
      </c>
      <c r="L542" s="27">
        <f>IF($A542="","",TRIM(IF(ISERROR(FIND(",",$C542)),$C542,LEFT($C542,FIND(",",$C542)-1))))</f>
        <v/>
      </c>
      <c r="M542" s="28">
        <f>IF($H542="","",DATE(YEAR($H542),MONTH($H542),1))</f>
        <v/>
      </c>
      <c r="N542" s="26">
        <f>IF($H542="","",TODAY()-$H542)</f>
        <v/>
      </c>
      <c r="O542" s="15" t="n"/>
      <c r="P542" s="15" t="n"/>
      <c r="Q542" s="15" t="n"/>
      <c r="R542" s="25" t="n"/>
      <c r="S542" s="26">
        <f>IF($A542="","",AND(OR('Assignment Builder'!$B$5="",$B542='Assignment Builder'!$B$5),OR('Assignment Builder'!$B$6="",ISNUMBER(SEARCH('Assignment Builder'!$B$6,$C542))),OR('Assignment Builder'!$B$7="",'Assignment Builder'!$B$7=IFERROR(INDEX('Category Dictionary'!$C$5:$C$135,MATCH($L542,'Category Dictionary'!$D$5:$D$135,0)),"")),OR('Assignment Builder'!$B$8="",$D542='Assignment Builder'!$B$8),OR('Assignment Builder'!$B$9="",$F542='Assignment Builder'!$B$9),OR('Assignment Builder'!$B$10="",$O542='Assignment Builder'!$B$10),OR('Assignment Builder'!$B$11="",$H542&gt;='Assignment Builder'!$B$11),OR('Assignment Builder'!$B$12="",N($Q542)&lt;='Assignment Builder'!$B$12)))</f>
        <v/>
      </c>
      <c r="T542" s="23" t="n"/>
    </row>
    <row r="543">
      <c r="A543" s="23" t="n"/>
      <c r="B543" s="23" t="n"/>
      <c r="C543" s="24" t="n"/>
      <c r="D543" s="15" t="n"/>
      <c r="E543" s="23" t="n"/>
      <c r="F543" s="15" t="n"/>
      <c r="G543" s="23" t="n"/>
      <c r="H543" s="25" t="n"/>
      <c r="I543" s="15" t="n"/>
      <c r="J543" s="26">
        <f>IF($A543="","",LEN($C543)-LEN(SUBSTITUTE($C543,",",""))+1)</f>
        <v/>
      </c>
      <c r="K543" s="26">
        <f>IF($A543="","",SUMPRODUCT(--ISNUMBER(SEARCH('Category Dictionary'!$D$5:$D$135&amp;"",$C543)),--('Category Dictionary'!$D$5:$D$135&lt;&gt;"")))</f>
        <v/>
      </c>
      <c r="L543" s="27">
        <f>IF($A543="","",TRIM(IF(ISERROR(FIND(",",$C543)),$C543,LEFT($C543,FIND(",",$C543)-1))))</f>
        <v/>
      </c>
      <c r="M543" s="28">
        <f>IF($H543="","",DATE(YEAR($H543),MONTH($H543),1))</f>
        <v/>
      </c>
      <c r="N543" s="26">
        <f>IF($H543="","",TODAY()-$H543)</f>
        <v/>
      </c>
      <c r="O543" s="15" t="n"/>
      <c r="P543" s="15" t="n"/>
      <c r="Q543" s="15" t="n"/>
      <c r="R543" s="25" t="n"/>
      <c r="S543" s="26">
        <f>IF($A543="","",AND(OR('Assignment Builder'!$B$5="",$B543='Assignment Builder'!$B$5),OR('Assignment Builder'!$B$6="",ISNUMBER(SEARCH('Assignment Builder'!$B$6,$C543))),OR('Assignment Builder'!$B$7="",'Assignment Builder'!$B$7=IFERROR(INDEX('Category Dictionary'!$C$5:$C$135,MATCH($L543,'Category Dictionary'!$D$5:$D$135,0)),"")),OR('Assignment Builder'!$B$8="",$D543='Assignment Builder'!$B$8),OR('Assignment Builder'!$B$9="",$F543='Assignment Builder'!$B$9),OR('Assignment Builder'!$B$10="",$O543='Assignment Builder'!$B$10),OR('Assignment Builder'!$B$11="",$H543&gt;='Assignment Builder'!$B$11),OR('Assignment Builder'!$B$12="",N($Q543)&lt;='Assignment Builder'!$B$12)))</f>
        <v/>
      </c>
      <c r="T543" s="23" t="n"/>
    </row>
    <row r="544">
      <c r="A544" s="23" t="n"/>
      <c r="B544" s="23" t="n"/>
      <c r="C544" s="24" t="n"/>
      <c r="D544" s="15" t="n"/>
      <c r="E544" s="23" t="n"/>
      <c r="F544" s="15" t="n"/>
      <c r="G544" s="23" t="n"/>
      <c r="H544" s="25" t="n"/>
      <c r="I544" s="15" t="n"/>
      <c r="J544" s="26">
        <f>IF($A544="","",LEN($C544)-LEN(SUBSTITUTE($C544,",",""))+1)</f>
        <v/>
      </c>
      <c r="K544" s="26">
        <f>IF($A544="","",SUMPRODUCT(--ISNUMBER(SEARCH('Category Dictionary'!$D$5:$D$135&amp;"",$C544)),--('Category Dictionary'!$D$5:$D$135&lt;&gt;"")))</f>
        <v/>
      </c>
      <c r="L544" s="27">
        <f>IF($A544="","",TRIM(IF(ISERROR(FIND(",",$C544)),$C544,LEFT($C544,FIND(",",$C544)-1))))</f>
        <v/>
      </c>
      <c r="M544" s="28">
        <f>IF($H544="","",DATE(YEAR($H544),MONTH($H544),1))</f>
        <v/>
      </c>
      <c r="N544" s="26">
        <f>IF($H544="","",TODAY()-$H544)</f>
        <v/>
      </c>
      <c r="O544" s="15" t="n"/>
      <c r="P544" s="15" t="n"/>
      <c r="Q544" s="15" t="n"/>
      <c r="R544" s="25" t="n"/>
      <c r="S544" s="26">
        <f>IF($A544="","",AND(OR('Assignment Builder'!$B$5="",$B544='Assignment Builder'!$B$5),OR('Assignment Builder'!$B$6="",ISNUMBER(SEARCH('Assignment Builder'!$B$6,$C544))),OR('Assignment Builder'!$B$7="",'Assignment Builder'!$B$7=IFERROR(INDEX('Category Dictionary'!$C$5:$C$135,MATCH($L544,'Category Dictionary'!$D$5:$D$135,0)),"")),OR('Assignment Builder'!$B$8="",$D544='Assignment Builder'!$B$8),OR('Assignment Builder'!$B$9="",$F544='Assignment Builder'!$B$9),OR('Assignment Builder'!$B$10="",$O544='Assignment Builder'!$B$10),OR('Assignment Builder'!$B$11="",$H544&gt;='Assignment Builder'!$B$11),OR('Assignment Builder'!$B$12="",N($Q544)&lt;='Assignment Builder'!$B$12)))</f>
        <v/>
      </c>
      <c r="T544" s="23" t="n"/>
    </row>
    <row r="545">
      <c r="A545" s="23" t="n"/>
      <c r="B545" s="23" t="n"/>
      <c r="C545" s="24" t="n"/>
      <c r="D545" s="15" t="n"/>
      <c r="E545" s="23" t="n"/>
      <c r="F545" s="15" t="n"/>
      <c r="G545" s="23" t="n"/>
      <c r="H545" s="25" t="n"/>
      <c r="I545" s="15" t="n"/>
      <c r="J545" s="26">
        <f>IF($A545="","",LEN($C545)-LEN(SUBSTITUTE($C545,",",""))+1)</f>
        <v/>
      </c>
      <c r="K545" s="26">
        <f>IF($A545="","",SUMPRODUCT(--ISNUMBER(SEARCH('Category Dictionary'!$D$5:$D$135&amp;"",$C545)),--('Category Dictionary'!$D$5:$D$135&lt;&gt;"")))</f>
        <v/>
      </c>
      <c r="L545" s="27">
        <f>IF($A545="","",TRIM(IF(ISERROR(FIND(",",$C545)),$C545,LEFT($C545,FIND(",",$C545)-1))))</f>
        <v/>
      </c>
      <c r="M545" s="28">
        <f>IF($H545="","",DATE(YEAR($H545),MONTH($H545),1))</f>
        <v/>
      </c>
      <c r="N545" s="26">
        <f>IF($H545="","",TODAY()-$H545)</f>
        <v/>
      </c>
      <c r="O545" s="15" t="n"/>
      <c r="P545" s="15" t="n"/>
      <c r="Q545" s="15" t="n"/>
      <c r="R545" s="25" t="n"/>
      <c r="S545" s="26">
        <f>IF($A545="","",AND(OR('Assignment Builder'!$B$5="",$B545='Assignment Builder'!$B$5),OR('Assignment Builder'!$B$6="",ISNUMBER(SEARCH('Assignment Builder'!$B$6,$C545))),OR('Assignment Builder'!$B$7="",'Assignment Builder'!$B$7=IFERROR(INDEX('Category Dictionary'!$C$5:$C$135,MATCH($L545,'Category Dictionary'!$D$5:$D$135,0)),"")),OR('Assignment Builder'!$B$8="",$D545='Assignment Builder'!$B$8),OR('Assignment Builder'!$B$9="",$F545='Assignment Builder'!$B$9),OR('Assignment Builder'!$B$10="",$O545='Assignment Builder'!$B$10),OR('Assignment Builder'!$B$11="",$H545&gt;='Assignment Builder'!$B$11),OR('Assignment Builder'!$B$12="",N($Q545)&lt;='Assignment Builder'!$B$12)))</f>
        <v/>
      </c>
      <c r="T545" s="23" t="n"/>
    </row>
    <row r="546">
      <c r="A546" s="23" t="n"/>
      <c r="B546" s="23" t="n"/>
      <c r="C546" s="24" t="n"/>
      <c r="D546" s="15" t="n"/>
      <c r="E546" s="23" t="n"/>
      <c r="F546" s="15" t="n"/>
      <c r="G546" s="23" t="n"/>
      <c r="H546" s="25" t="n"/>
      <c r="I546" s="15" t="n"/>
      <c r="J546" s="26">
        <f>IF($A546="","",LEN($C546)-LEN(SUBSTITUTE($C546,",",""))+1)</f>
        <v/>
      </c>
      <c r="K546" s="26">
        <f>IF($A546="","",SUMPRODUCT(--ISNUMBER(SEARCH('Category Dictionary'!$D$5:$D$135&amp;"",$C546)),--('Category Dictionary'!$D$5:$D$135&lt;&gt;"")))</f>
        <v/>
      </c>
      <c r="L546" s="27">
        <f>IF($A546="","",TRIM(IF(ISERROR(FIND(",",$C546)),$C546,LEFT($C546,FIND(",",$C546)-1))))</f>
        <v/>
      </c>
      <c r="M546" s="28">
        <f>IF($H546="","",DATE(YEAR($H546),MONTH($H546),1))</f>
        <v/>
      </c>
      <c r="N546" s="26">
        <f>IF($H546="","",TODAY()-$H546)</f>
        <v/>
      </c>
      <c r="O546" s="15" t="n"/>
      <c r="P546" s="15" t="n"/>
      <c r="Q546" s="15" t="n"/>
      <c r="R546" s="25" t="n"/>
      <c r="S546" s="26">
        <f>IF($A546="","",AND(OR('Assignment Builder'!$B$5="",$B546='Assignment Builder'!$B$5),OR('Assignment Builder'!$B$6="",ISNUMBER(SEARCH('Assignment Builder'!$B$6,$C546))),OR('Assignment Builder'!$B$7="",'Assignment Builder'!$B$7=IFERROR(INDEX('Category Dictionary'!$C$5:$C$135,MATCH($L546,'Category Dictionary'!$D$5:$D$135,0)),"")),OR('Assignment Builder'!$B$8="",$D546='Assignment Builder'!$B$8),OR('Assignment Builder'!$B$9="",$F546='Assignment Builder'!$B$9),OR('Assignment Builder'!$B$10="",$O546='Assignment Builder'!$B$10),OR('Assignment Builder'!$B$11="",$H546&gt;='Assignment Builder'!$B$11),OR('Assignment Builder'!$B$12="",N($Q546)&lt;='Assignment Builder'!$B$12)))</f>
        <v/>
      </c>
      <c r="T546" s="23" t="n"/>
    </row>
    <row r="547">
      <c r="A547" s="23" t="n"/>
      <c r="B547" s="23" t="n"/>
      <c r="C547" s="24" t="n"/>
      <c r="D547" s="15" t="n"/>
      <c r="E547" s="23" t="n"/>
      <c r="F547" s="15" t="n"/>
      <c r="G547" s="23" t="n"/>
      <c r="H547" s="25" t="n"/>
      <c r="I547" s="15" t="n"/>
      <c r="J547" s="26">
        <f>IF($A547="","",LEN($C547)-LEN(SUBSTITUTE($C547,",",""))+1)</f>
        <v/>
      </c>
      <c r="K547" s="26">
        <f>IF($A547="","",SUMPRODUCT(--ISNUMBER(SEARCH('Category Dictionary'!$D$5:$D$135&amp;"",$C547)),--('Category Dictionary'!$D$5:$D$135&lt;&gt;"")))</f>
        <v/>
      </c>
      <c r="L547" s="27">
        <f>IF($A547="","",TRIM(IF(ISERROR(FIND(",",$C547)),$C547,LEFT($C547,FIND(",",$C547)-1))))</f>
        <v/>
      </c>
      <c r="M547" s="28">
        <f>IF($H547="","",DATE(YEAR($H547),MONTH($H547),1))</f>
        <v/>
      </c>
      <c r="N547" s="26">
        <f>IF($H547="","",TODAY()-$H547)</f>
        <v/>
      </c>
      <c r="O547" s="15" t="n"/>
      <c r="P547" s="15" t="n"/>
      <c r="Q547" s="15" t="n"/>
      <c r="R547" s="25" t="n"/>
      <c r="S547" s="26">
        <f>IF($A547="","",AND(OR('Assignment Builder'!$B$5="",$B547='Assignment Builder'!$B$5),OR('Assignment Builder'!$B$6="",ISNUMBER(SEARCH('Assignment Builder'!$B$6,$C547))),OR('Assignment Builder'!$B$7="",'Assignment Builder'!$B$7=IFERROR(INDEX('Category Dictionary'!$C$5:$C$135,MATCH($L547,'Category Dictionary'!$D$5:$D$135,0)),"")),OR('Assignment Builder'!$B$8="",$D547='Assignment Builder'!$B$8),OR('Assignment Builder'!$B$9="",$F547='Assignment Builder'!$B$9),OR('Assignment Builder'!$B$10="",$O547='Assignment Builder'!$B$10),OR('Assignment Builder'!$B$11="",$H547&gt;='Assignment Builder'!$B$11),OR('Assignment Builder'!$B$12="",N($Q547)&lt;='Assignment Builder'!$B$12)))</f>
        <v/>
      </c>
      <c r="T547" s="23" t="n"/>
    </row>
    <row r="548">
      <c r="A548" s="23" t="n"/>
      <c r="B548" s="23" t="n"/>
      <c r="C548" s="24" t="n"/>
      <c r="D548" s="15" t="n"/>
      <c r="E548" s="23" t="n"/>
      <c r="F548" s="15" t="n"/>
      <c r="G548" s="23" t="n"/>
      <c r="H548" s="25" t="n"/>
      <c r="I548" s="15" t="n"/>
      <c r="J548" s="26">
        <f>IF($A548="","",LEN($C548)-LEN(SUBSTITUTE($C548,",",""))+1)</f>
        <v/>
      </c>
      <c r="K548" s="26">
        <f>IF($A548="","",SUMPRODUCT(--ISNUMBER(SEARCH('Category Dictionary'!$D$5:$D$135&amp;"",$C548)),--('Category Dictionary'!$D$5:$D$135&lt;&gt;"")))</f>
        <v/>
      </c>
      <c r="L548" s="27">
        <f>IF($A548="","",TRIM(IF(ISERROR(FIND(",",$C548)),$C548,LEFT($C548,FIND(",",$C548)-1))))</f>
        <v/>
      </c>
      <c r="M548" s="28">
        <f>IF($H548="","",DATE(YEAR($H548),MONTH($H548),1))</f>
        <v/>
      </c>
      <c r="N548" s="26">
        <f>IF($H548="","",TODAY()-$H548)</f>
        <v/>
      </c>
      <c r="O548" s="15" t="n"/>
      <c r="P548" s="15" t="n"/>
      <c r="Q548" s="15" t="n"/>
      <c r="R548" s="25" t="n"/>
      <c r="S548" s="26">
        <f>IF($A548="","",AND(OR('Assignment Builder'!$B$5="",$B548='Assignment Builder'!$B$5),OR('Assignment Builder'!$B$6="",ISNUMBER(SEARCH('Assignment Builder'!$B$6,$C548))),OR('Assignment Builder'!$B$7="",'Assignment Builder'!$B$7=IFERROR(INDEX('Category Dictionary'!$C$5:$C$135,MATCH($L548,'Category Dictionary'!$D$5:$D$135,0)),"")),OR('Assignment Builder'!$B$8="",$D548='Assignment Builder'!$B$8),OR('Assignment Builder'!$B$9="",$F548='Assignment Builder'!$B$9),OR('Assignment Builder'!$B$10="",$O548='Assignment Builder'!$B$10),OR('Assignment Builder'!$B$11="",$H548&gt;='Assignment Builder'!$B$11),OR('Assignment Builder'!$B$12="",N($Q548)&lt;='Assignment Builder'!$B$12)))</f>
        <v/>
      </c>
      <c r="T548" s="23" t="n"/>
    </row>
    <row r="549">
      <c r="A549" s="23" t="n"/>
      <c r="B549" s="23" t="n"/>
      <c r="C549" s="24" t="n"/>
      <c r="D549" s="15" t="n"/>
      <c r="E549" s="23" t="n"/>
      <c r="F549" s="15" t="n"/>
      <c r="G549" s="23" t="n"/>
      <c r="H549" s="25" t="n"/>
      <c r="I549" s="15" t="n"/>
      <c r="J549" s="26">
        <f>IF($A549="","",LEN($C549)-LEN(SUBSTITUTE($C549,",",""))+1)</f>
        <v/>
      </c>
      <c r="K549" s="26">
        <f>IF($A549="","",SUMPRODUCT(--ISNUMBER(SEARCH('Category Dictionary'!$D$5:$D$135&amp;"",$C549)),--('Category Dictionary'!$D$5:$D$135&lt;&gt;"")))</f>
        <v/>
      </c>
      <c r="L549" s="27">
        <f>IF($A549="","",TRIM(IF(ISERROR(FIND(",",$C549)),$C549,LEFT($C549,FIND(",",$C549)-1))))</f>
        <v/>
      </c>
      <c r="M549" s="28">
        <f>IF($H549="","",DATE(YEAR($H549),MONTH($H549),1))</f>
        <v/>
      </c>
      <c r="N549" s="26">
        <f>IF($H549="","",TODAY()-$H549)</f>
        <v/>
      </c>
      <c r="O549" s="15" t="n"/>
      <c r="P549" s="15" t="n"/>
      <c r="Q549" s="15" t="n"/>
      <c r="R549" s="25" t="n"/>
      <c r="S549" s="26">
        <f>IF($A549="","",AND(OR('Assignment Builder'!$B$5="",$B549='Assignment Builder'!$B$5),OR('Assignment Builder'!$B$6="",ISNUMBER(SEARCH('Assignment Builder'!$B$6,$C549))),OR('Assignment Builder'!$B$7="",'Assignment Builder'!$B$7=IFERROR(INDEX('Category Dictionary'!$C$5:$C$135,MATCH($L549,'Category Dictionary'!$D$5:$D$135,0)),"")),OR('Assignment Builder'!$B$8="",$D549='Assignment Builder'!$B$8),OR('Assignment Builder'!$B$9="",$F549='Assignment Builder'!$B$9),OR('Assignment Builder'!$B$10="",$O549='Assignment Builder'!$B$10),OR('Assignment Builder'!$B$11="",$H549&gt;='Assignment Builder'!$B$11),OR('Assignment Builder'!$B$12="",N($Q549)&lt;='Assignment Builder'!$B$12)))</f>
        <v/>
      </c>
      <c r="T549" s="23" t="n"/>
    </row>
    <row r="550">
      <c r="A550" s="23" t="n"/>
      <c r="B550" s="23" t="n"/>
      <c r="C550" s="24" t="n"/>
      <c r="D550" s="15" t="n"/>
      <c r="E550" s="23" t="n"/>
      <c r="F550" s="15" t="n"/>
      <c r="G550" s="23" t="n"/>
      <c r="H550" s="25" t="n"/>
      <c r="I550" s="15" t="n"/>
      <c r="J550" s="26">
        <f>IF($A550="","",LEN($C550)-LEN(SUBSTITUTE($C550,",",""))+1)</f>
        <v/>
      </c>
      <c r="K550" s="26">
        <f>IF($A550="","",SUMPRODUCT(--ISNUMBER(SEARCH('Category Dictionary'!$D$5:$D$135&amp;"",$C550)),--('Category Dictionary'!$D$5:$D$135&lt;&gt;"")))</f>
        <v/>
      </c>
      <c r="L550" s="27">
        <f>IF($A550="","",TRIM(IF(ISERROR(FIND(",",$C550)),$C550,LEFT($C550,FIND(",",$C550)-1))))</f>
        <v/>
      </c>
      <c r="M550" s="28">
        <f>IF($H550="","",DATE(YEAR($H550),MONTH($H550),1))</f>
        <v/>
      </c>
      <c r="N550" s="26">
        <f>IF($H550="","",TODAY()-$H550)</f>
        <v/>
      </c>
      <c r="O550" s="15" t="n"/>
      <c r="P550" s="15" t="n"/>
      <c r="Q550" s="15" t="n"/>
      <c r="R550" s="25" t="n"/>
      <c r="S550" s="26">
        <f>IF($A550="","",AND(OR('Assignment Builder'!$B$5="",$B550='Assignment Builder'!$B$5),OR('Assignment Builder'!$B$6="",ISNUMBER(SEARCH('Assignment Builder'!$B$6,$C550))),OR('Assignment Builder'!$B$7="",'Assignment Builder'!$B$7=IFERROR(INDEX('Category Dictionary'!$C$5:$C$135,MATCH($L550,'Category Dictionary'!$D$5:$D$135,0)),"")),OR('Assignment Builder'!$B$8="",$D550='Assignment Builder'!$B$8),OR('Assignment Builder'!$B$9="",$F550='Assignment Builder'!$B$9),OR('Assignment Builder'!$B$10="",$O550='Assignment Builder'!$B$10),OR('Assignment Builder'!$B$11="",$H550&gt;='Assignment Builder'!$B$11),OR('Assignment Builder'!$B$12="",N($Q550)&lt;='Assignment Builder'!$B$12)))</f>
        <v/>
      </c>
      <c r="T550" s="23" t="n"/>
    </row>
    <row r="551">
      <c r="A551" s="23" t="n"/>
      <c r="B551" s="23" t="n"/>
      <c r="C551" s="24" t="n"/>
      <c r="D551" s="15" t="n"/>
      <c r="E551" s="23" t="n"/>
      <c r="F551" s="15" t="n"/>
      <c r="G551" s="23" t="n"/>
      <c r="H551" s="25" t="n"/>
      <c r="I551" s="15" t="n"/>
      <c r="J551" s="26">
        <f>IF($A551="","",LEN($C551)-LEN(SUBSTITUTE($C551,",",""))+1)</f>
        <v/>
      </c>
      <c r="K551" s="26">
        <f>IF($A551="","",SUMPRODUCT(--ISNUMBER(SEARCH('Category Dictionary'!$D$5:$D$135&amp;"",$C551)),--('Category Dictionary'!$D$5:$D$135&lt;&gt;"")))</f>
        <v/>
      </c>
      <c r="L551" s="27">
        <f>IF($A551="","",TRIM(IF(ISERROR(FIND(",",$C551)),$C551,LEFT($C551,FIND(",",$C551)-1))))</f>
        <v/>
      </c>
      <c r="M551" s="28">
        <f>IF($H551="","",DATE(YEAR($H551),MONTH($H551),1))</f>
        <v/>
      </c>
      <c r="N551" s="26">
        <f>IF($H551="","",TODAY()-$H551)</f>
        <v/>
      </c>
      <c r="O551" s="15" t="n"/>
      <c r="P551" s="15" t="n"/>
      <c r="Q551" s="15" t="n"/>
      <c r="R551" s="25" t="n"/>
      <c r="S551" s="26">
        <f>IF($A551="","",AND(OR('Assignment Builder'!$B$5="",$B551='Assignment Builder'!$B$5),OR('Assignment Builder'!$B$6="",ISNUMBER(SEARCH('Assignment Builder'!$B$6,$C551))),OR('Assignment Builder'!$B$7="",'Assignment Builder'!$B$7=IFERROR(INDEX('Category Dictionary'!$C$5:$C$135,MATCH($L551,'Category Dictionary'!$D$5:$D$135,0)),"")),OR('Assignment Builder'!$B$8="",$D551='Assignment Builder'!$B$8),OR('Assignment Builder'!$B$9="",$F551='Assignment Builder'!$B$9),OR('Assignment Builder'!$B$10="",$O551='Assignment Builder'!$B$10),OR('Assignment Builder'!$B$11="",$H551&gt;='Assignment Builder'!$B$11),OR('Assignment Builder'!$B$12="",N($Q551)&lt;='Assignment Builder'!$B$12)))</f>
        <v/>
      </c>
      <c r="T551" s="23" t="n"/>
    </row>
    <row r="552">
      <c r="A552" s="23" t="n"/>
      <c r="B552" s="23" t="n"/>
      <c r="C552" s="24" t="n"/>
      <c r="D552" s="15" t="n"/>
      <c r="E552" s="23" t="n"/>
      <c r="F552" s="15" t="n"/>
      <c r="G552" s="23" t="n"/>
      <c r="H552" s="25" t="n"/>
      <c r="I552" s="15" t="n"/>
      <c r="J552" s="26">
        <f>IF($A552="","",LEN($C552)-LEN(SUBSTITUTE($C552,",",""))+1)</f>
        <v/>
      </c>
      <c r="K552" s="26">
        <f>IF($A552="","",SUMPRODUCT(--ISNUMBER(SEARCH('Category Dictionary'!$D$5:$D$135&amp;"",$C552)),--('Category Dictionary'!$D$5:$D$135&lt;&gt;"")))</f>
        <v/>
      </c>
      <c r="L552" s="27">
        <f>IF($A552="","",TRIM(IF(ISERROR(FIND(",",$C552)),$C552,LEFT($C552,FIND(",",$C552)-1))))</f>
        <v/>
      </c>
      <c r="M552" s="28">
        <f>IF($H552="","",DATE(YEAR($H552),MONTH($H552),1))</f>
        <v/>
      </c>
      <c r="N552" s="26">
        <f>IF($H552="","",TODAY()-$H552)</f>
        <v/>
      </c>
      <c r="O552" s="15" t="n"/>
      <c r="P552" s="15" t="n"/>
      <c r="Q552" s="15" t="n"/>
      <c r="R552" s="25" t="n"/>
      <c r="S552" s="26">
        <f>IF($A552="","",AND(OR('Assignment Builder'!$B$5="",$B552='Assignment Builder'!$B$5),OR('Assignment Builder'!$B$6="",ISNUMBER(SEARCH('Assignment Builder'!$B$6,$C552))),OR('Assignment Builder'!$B$7="",'Assignment Builder'!$B$7=IFERROR(INDEX('Category Dictionary'!$C$5:$C$135,MATCH($L552,'Category Dictionary'!$D$5:$D$135,0)),"")),OR('Assignment Builder'!$B$8="",$D552='Assignment Builder'!$B$8),OR('Assignment Builder'!$B$9="",$F552='Assignment Builder'!$B$9),OR('Assignment Builder'!$B$10="",$O552='Assignment Builder'!$B$10),OR('Assignment Builder'!$B$11="",$H552&gt;='Assignment Builder'!$B$11),OR('Assignment Builder'!$B$12="",N($Q552)&lt;='Assignment Builder'!$B$12)))</f>
        <v/>
      </c>
      <c r="T552" s="23" t="n"/>
    </row>
    <row r="553">
      <c r="A553" s="23" t="n"/>
      <c r="B553" s="23" t="n"/>
      <c r="C553" s="24" t="n"/>
      <c r="D553" s="15" t="n"/>
      <c r="E553" s="23" t="n"/>
      <c r="F553" s="15" t="n"/>
      <c r="G553" s="23" t="n"/>
      <c r="H553" s="25" t="n"/>
      <c r="I553" s="15" t="n"/>
      <c r="J553" s="26">
        <f>IF($A553="","",LEN($C553)-LEN(SUBSTITUTE($C553,",",""))+1)</f>
        <v/>
      </c>
      <c r="K553" s="26">
        <f>IF($A553="","",SUMPRODUCT(--ISNUMBER(SEARCH('Category Dictionary'!$D$5:$D$135&amp;"",$C553)),--('Category Dictionary'!$D$5:$D$135&lt;&gt;"")))</f>
        <v/>
      </c>
      <c r="L553" s="27">
        <f>IF($A553="","",TRIM(IF(ISERROR(FIND(",",$C553)),$C553,LEFT($C553,FIND(",",$C553)-1))))</f>
        <v/>
      </c>
      <c r="M553" s="28">
        <f>IF($H553="","",DATE(YEAR($H553),MONTH($H553),1))</f>
        <v/>
      </c>
      <c r="N553" s="26">
        <f>IF($H553="","",TODAY()-$H553)</f>
        <v/>
      </c>
      <c r="O553" s="15" t="n"/>
      <c r="P553" s="15" t="n"/>
      <c r="Q553" s="15" t="n"/>
      <c r="R553" s="25" t="n"/>
      <c r="S553" s="26">
        <f>IF($A553="","",AND(OR('Assignment Builder'!$B$5="",$B553='Assignment Builder'!$B$5),OR('Assignment Builder'!$B$6="",ISNUMBER(SEARCH('Assignment Builder'!$B$6,$C553))),OR('Assignment Builder'!$B$7="",'Assignment Builder'!$B$7=IFERROR(INDEX('Category Dictionary'!$C$5:$C$135,MATCH($L553,'Category Dictionary'!$D$5:$D$135,0)),"")),OR('Assignment Builder'!$B$8="",$D553='Assignment Builder'!$B$8),OR('Assignment Builder'!$B$9="",$F553='Assignment Builder'!$B$9),OR('Assignment Builder'!$B$10="",$O553='Assignment Builder'!$B$10),OR('Assignment Builder'!$B$11="",$H553&gt;='Assignment Builder'!$B$11),OR('Assignment Builder'!$B$12="",N($Q553)&lt;='Assignment Builder'!$B$12)))</f>
        <v/>
      </c>
      <c r="T553" s="23" t="n"/>
    </row>
    <row r="554">
      <c r="A554" s="23" t="n"/>
      <c r="B554" s="23" t="n"/>
      <c r="C554" s="24" t="n"/>
      <c r="D554" s="15" t="n"/>
      <c r="E554" s="23" t="n"/>
      <c r="F554" s="15" t="n"/>
      <c r="G554" s="23" t="n"/>
      <c r="H554" s="25" t="n"/>
      <c r="I554" s="15" t="n"/>
      <c r="J554" s="26">
        <f>IF($A554="","",LEN($C554)-LEN(SUBSTITUTE($C554,",",""))+1)</f>
        <v/>
      </c>
      <c r="K554" s="26">
        <f>IF($A554="","",SUMPRODUCT(--ISNUMBER(SEARCH('Category Dictionary'!$D$5:$D$135&amp;"",$C554)),--('Category Dictionary'!$D$5:$D$135&lt;&gt;"")))</f>
        <v/>
      </c>
      <c r="L554" s="27">
        <f>IF($A554="","",TRIM(IF(ISERROR(FIND(",",$C554)),$C554,LEFT($C554,FIND(",",$C554)-1))))</f>
        <v/>
      </c>
      <c r="M554" s="28">
        <f>IF($H554="","",DATE(YEAR($H554),MONTH($H554),1))</f>
        <v/>
      </c>
      <c r="N554" s="26">
        <f>IF($H554="","",TODAY()-$H554)</f>
        <v/>
      </c>
      <c r="O554" s="15" t="n"/>
      <c r="P554" s="15" t="n"/>
      <c r="Q554" s="15" t="n"/>
      <c r="R554" s="25" t="n"/>
      <c r="S554" s="26">
        <f>IF($A554="","",AND(OR('Assignment Builder'!$B$5="",$B554='Assignment Builder'!$B$5),OR('Assignment Builder'!$B$6="",ISNUMBER(SEARCH('Assignment Builder'!$B$6,$C554))),OR('Assignment Builder'!$B$7="",'Assignment Builder'!$B$7=IFERROR(INDEX('Category Dictionary'!$C$5:$C$135,MATCH($L554,'Category Dictionary'!$D$5:$D$135,0)),"")),OR('Assignment Builder'!$B$8="",$D554='Assignment Builder'!$B$8),OR('Assignment Builder'!$B$9="",$F554='Assignment Builder'!$B$9),OR('Assignment Builder'!$B$10="",$O554='Assignment Builder'!$B$10),OR('Assignment Builder'!$B$11="",$H554&gt;='Assignment Builder'!$B$11),OR('Assignment Builder'!$B$12="",N($Q554)&lt;='Assignment Builder'!$B$12)))</f>
        <v/>
      </c>
      <c r="T554" s="23" t="n"/>
    </row>
    <row r="555">
      <c r="A555" s="23" t="n"/>
      <c r="B555" s="23" t="n"/>
      <c r="C555" s="24" t="n"/>
      <c r="D555" s="15" t="n"/>
      <c r="E555" s="23" t="n"/>
      <c r="F555" s="15" t="n"/>
      <c r="G555" s="23" t="n"/>
      <c r="H555" s="25" t="n"/>
      <c r="I555" s="15" t="n"/>
      <c r="J555" s="26">
        <f>IF($A555="","",LEN($C555)-LEN(SUBSTITUTE($C555,",",""))+1)</f>
        <v/>
      </c>
      <c r="K555" s="26">
        <f>IF($A555="","",SUMPRODUCT(--ISNUMBER(SEARCH('Category Dictionary'!$D$5:$D$135&amp;"",$C555)),--('Category Dictionary'!$D$5:$D$135&lt;&gt;"")))</f>
        <v/>
      </c>
      <c r="L555" s="27">
        <f>IF($A555="","",TRIM(IF(ISERROR(FIND(",",$C555)),$C555,LEFT($C555,FIND(",",$C555)-1))))</f>
        <v/>
      </c>
      <c r="M555" s="28">
        <f>IF($H555="","",DATE(YEAR($H555),MONTH($H555),1))</f>
        <v/>
      </c>
      <c r="N555" s="26">
        <f>IF($H555="","",TODAY()-$H555)</f>
        <v/>
      </c>
      <c r="O555" s="15" t="n"/>
      <c r="P555" s="15" t="n"/>
      <c r="Q555" s="15" t="n"/>
      <c r="R555" s="25" t="n"/>
      <c r="S555" s="26">
        <f>IF($A555="","",AND(OR('Assignment Builder'!$B$5="",$B555='Assignment Builder'!$B$5),OR('Assignment Builder'!$B$6="",ISNUMBER(SEARCH('Assignment Builder'!$B$6,$C555))),OR('Assignment Builder'!$B$7="",'Assignment Builder'!$B$7=IFERROR(INDEX('Category Dictionary'!$C$5:$C$135,MATCH($L555,'Category Dictionary'!$D$5:$D$135,0)),"")),OR('Assignment Builder'!$B$8="",$D555='Assignment Builder'!$B$8),OR('Assignment Builder'!$B$9="",$F555='Assignment Builder'!$B$9),OR('Assignment Builder'!$B$10="",$O555='Assignment Builder'!$B$10),OR('Assignment Builder'!$B$11="",$H555&gt;='Assignment Builder'!$B$11),OR('Assignment Builder'!$B$12="",N($Q555)&lt;='Assignment Builder'!$B$12)))</f>
        <v/>
      </c>
      <c r="T555" s="23" t="n"/>
    </row>
    <row r="556">
      <c r="A556" s="23" t="n"/>
      <c r="B556" s="23" t="n"/>
      <c r="C556" s="24" t="n"/>
      <c r="D556" s="15" t="n"/>
      <c r="E556" s="23" t="n"/>
      <c r="F556" s="15" t="n"/>
      <c r="G556" s="23" t="n"/>
      <c r="H556" s="25" t="n"/>
      <c r="I556" s="15" t="n"/>
      <c r="J556" s="26">
        <f>IF($A556="","",LEN($C556)-LEN(SUBSTITUTE($C556,",",""))+1)</f>
        <v/>
      </c>
      <c r="K556" s="26">
        <f>IF($A556="","",SUMPRODUCT(--ISNUMBER(SEARCH('Category Dictionary'!$D$5:$D$135&amp;"",$C556)),--('Category Dictionary'!$D$5:$D$135&lt;&gt;"")))</f>
        <v/>
      </c>
      <c r="L556" s="27">
        <f>IF($A556="","",TRIM(IF(ISERROR(FIND(",",$C556)),$C556,LEFT($C556,FIND(",",$C556)-1))))</f>
        <v/>
      </c>
      <c r="M556" s="28">
        <f>IF($H556="","",DATE(YEAR($H556),MONTH($H556),1))</f>
        <v/>
      </c>
      <c r="N556" s="26">
        <f>IF($H556="","",TODAY()-$H556)</f>
        <v/>
      </c>
      <c r="O556" s="15" t="n"/>
      <c r="P556" s="15" t="n"/>
      <c r="Q556" s="15" t="n"/>
      <c r="R556" s="25" t="n"/>
      <c r="S556" s="26">
        <f>IF($A556="","",AND(OR('Assignment Builder'!$B$5="",$B556='Assignment Builder'!$B$5),OR('Assignment Builder'!$B$6="",ISNUMBER(SEARCH('Assignment Builder'!$B$6,$C556))),OR('Assignment Builder'!$B$7="",'Assignment Builder'!$B$7=IFERROR(INDEX('Category Dictionary'!$C$5:$C$135,MATCH($L556,'Category Dictionary'!$D$5:$D$135,0)),"")),OR('Assignment Builder'!$B$8="",$D556='Assignment Builder'!$B$8),OR('Assignment Builder'!$B$9="",$F556='Assignment Builder'!$B$9),OR('Assignment Builder'!$B$10="",$O556='Assignment Builder'!$B$10),OR('Assignment Builder'!$B$11="",$H556&gt;='Assignment Builder'!$B$11),OR('Assignment Builder'!$B$12="",N($Q556)&lt;='Assignment Builder'!$B$12)))</f>
        <v/>
      </c>
      <c r="T556" s="23" t="n"/>
    </row>
    <row r="557">
      <c r="A557" s="23" t="n"/>
      <c r="B557" s="23" t="n"/>
      <c r="C557" s="24" t="n"/>
      <c r="D557" s="15" t="n"/>
      <c r="E557" s="23" t="n"/>
      <c r="F557" s="15" t="n"/>
      <c r="G557" s="23" t="n"/>
      <c r="H557" s="25" t="n"/>
      <c r="I557" s="15" t="n"/>
      <c r="J557" s="26">
        <f>IF($A557="","",LEN($C557)-LEN(SUBSTITUTE($C557,",",""))+1)</f>
        <v/>
      </c>
      <c r="K557" s="26">
        <f>IF($A557="","",SUMPRODUCT(--ISNUMBER(SEARCH('Category Dictionary'!$D$5:$D$135&amp;"",$C557)),--('Category Dictionary'!$D$5:$D$135&lt;&gt;"")))</f>
        <v/>
      </c>
      <c r="L557" s="27">
        <f>IF($A557="","",TRIM(IF(ISERROR(FIND(",",$C557)),$C557,LEFT($C557,FIND(",",$C557)-1))))</f>
        <v/>
      </c>
      <c r="M557" s="28">
        <f>IF($H557="","",DATE(YEAR($H557),MONTH($H557),1))</f>
        <v/>
      </c>
      <c r="N557" s="26">
        <f>IF($H557="","",TODAY()-$H557)</f>
        <v/>
      </c>
      <c r="O557" s="15" t="n"/>
      <c r="P557" s="15" t="n"/>
      <c r="Q557" s="15" t="n"/>
      <c r="R557" s="25" t="n"/>
      <c r="S557" s="26">
        <f>IF($A557="","",AND(OR('Assignment Builder'!$B$5="",$B557='Assignment Builder'!$B$5),OR('Assignment Builder'!$B$6="",ISNUMBER(SEARCH('Assignment Builder'!$B$6,$C557))),OR('Assignment Builder'!$B$7="",'Assignment Builder'!$B$7=IFERROR(INDEX('Category Dictionary'!$C$5:$C$135,MATCH($L557,'Category Dictionary'!$D$5:$D$135,0)),"")),OR('Assignment Builder'!$B$8="",$D557='Assignment Builder'!$B$8),OR('Assignment Builder'!$B$9="",$F557='Assignment Builder'!$B$9),OR('Assignment Builder'!$B$10="",$O557='Assignment Builder'!$B$10),OR('Assignment Builder'!$B$11="",$H557&gt;='Assignment Builder'!$B$11),OR('Assignment Builder'!$B$12="",N($Q557)&lt;='Assignment Builder'!$B$12)))</f>
        <v/>
      </c>
      <c r="T557" s="23" t="n"/>
    </row>
    <row r="558">
      <c r="A558" s="23" t="n"/>
      <c r="B558" s="23" t="n"/>
      <c r="C558" s="24" t="n"/>
      <c r="D558" s="15" t="n"/>
      <c r="E558" s="23" t="n"/>
      <c r="F558" s="15" t="n"/>
      <c r="G558" s="23" t="n"/>
      <c r="H558" s="25" t="n"/>
      <c r="I558" s="15" t="n"/>
      <c r="J558" s="26">
        <f>IF($A558="","",LEN($C558)-LEN(SUBSTITUTE($C558,",",""))+1)</f>
        <v/>
      </c>
      <c r="K558" s="26">
        <f>IF($A558="","",SUMPRODUCT(--ISNUMBER(SEARCH('Category Dictionary'!$D$5:$D$135&amp;"",$C558)),--('Category Dictionary'!$D$5:$D$135&lt;&gt;"")))</f>
        <v/>
      </c>
      <c r="L558" s="27">
        <f>IF($A558="","",TRIM(IF(ISERROR(FIND(",",$C558)),$C558,LEFT($C558,FIND(",",$C558)-1))))</f>
        <v/>
      </c>
      <c r="M558" s="28">
        <f>IF($H558="","",DATE(YEAR($H558),MONTH($H558),1))</f>
        <v/>
      </c>
      <c r="N558" s="26">
        <f>IF($H558="","",TODAY()-$H558)</f>
        <v/>
      </c>
      <c r="O558" s="15" t="n"/>
      <c r="P558" s="15" t="n"/>
      <c r="Q558" s="15" t="n"/>
      <c r="R558" s="25" t="n"/>
      <c r="S558" s="26">
        <f>IF($A558="","",AND(OR('Assignment Builder'!$B$5="",$B558='Assignment Builder'!$B$5),OR('Assignment Builder'!$B$6="",ISNUMBER(SEARCH('Assignment Builder'!$B$6,$C558))),OR('Assignment Builder'!$B$7="",'Assignment Builder'!$B$7=IFERROR(INDEX('Category Dictionary'!$C$5:$C$135,MATCH($L558,'Category Dictionary'!$D$5:$D$135,0)),"")),OR('Assignment Builder'!$B$8="",$D558='Assignment Builder'!$B$8),OR('Assignment Builder'!$B$9="",$F558='Assignment Builder'!$B$9),OR('Assignment Builder'!$B$10="",$O558='Assignment Builder'!$B$10),OR('Assignment Builder'!$B$11="",$H558&gt;='Assignment Builder'!$B$11),OR('Assignment Builder'!$B$12="",N($Q558)&lt;='Assignment Builder'!$B$12)))</f>
        <v/>
      </c>
      <c r="T558" s="23" t="n"/>
    </row>
    <row r="559">
      <c r="A559" s="23" t="n"/>
      <c r="B559" s="23" t="n"/>
      <c r="C559" s="24" t="n"/>
      <c r="D559" s="15" t="n"/>
      <c r="E559" s="23" t="n"/>
      <c r="F559" s="15" t="n"/>
      <c r="G559" s="23" t="n"/>
      <c r="H559" s="25" t="n"/>
      <c r="I559" s="15" t="n"/>
      <c r="J559" s="26">
        <f>IF($A559="","",LEN($C559)-LEN(SUBSTITUTE($C559,",",""))+1)</f>
        <v/>
      </c>
      <c r="K559" s="26">
        <f>IF($A559="","",SUMPRODUCT(--ISNUMBER(SEARCH('Category Dictionary'!$D$5:$D$135&amp;"",$C559)),--('Category Dictionary'!$D$5:$D$135&lt;&gt;"")))</f>
        <v/>
      </c>
      <c r="L559" s="27">
        <f>IF($A559="","",TRIM(IF(ISERROR(FIND(",",$C559)),$C559,LEFT($C559,FIND(",",$C559)-1))))</f>
        <v/>
      </c>
      <c r="M559" s="28">
        <f>IF($H559="","",DATE(YEAR($H559),MONTH($H559),1))</f>
        <v/>
      </c>
      <c r="N559" s="26">
        <f>IF($H559="","",TODAY()-$H559)</f>
        <v/>
      </c>
      <c r="O559" s="15" t="n"/>
      <c r="P559" s="15" t="n"/>
      <c r="Q559" s="15" t="n"/>
      <c r="R559" s="25" t="n"/>
      <c r="S559" s="26">
        <f>IF($A559="","",AND(OR('Assignment Builder'!$B$5="",$B559='Assignment Builder'!$B$5),OR('Assignment Builder'!$B$6="",ISNUMBER(SEARCH('Assignment Builder'!$B$6,$C559))),OR('Assignment Builder'!$B$7="",'Assignment Builder'!$B$7=IFERROR(INDEX('Category Dictionary'!$C$5:$C$135,MATCH($L559,'Category Dictionary'!$D$5:$D$135,0)),"")),OR('Assignment Builder'!$B$8="",$D559='Assignment Builder'!$B$8),OR('Assignment Builder'!$B$9="",$F559='Assignment Builder'!$B$9),OR('Assignment Builder'!$B$10="",$O559='Assignment Builder'!$B$10),OR('Assignment Builder'!$B$11="",$H559&gt;='Assignment Builder'!$B$11),OR('Assignment Builder'!$B$12="",N($Q559)&lt;='Assignment Builder'!$B$12)))</f>
        <v/>
      </c>
      <c r="T559" s="23" t="n"/>
    </row>
    <row r="560">
      <c r="A560" s="23" t="n"/>
      <c r="B560" s="23" t="n"/>
      <c r="C560" s="24" t="n"/>
      <c r="D560" s="15" t="n"/>
      <c r="E560" s="23" t="n"/>
      <c r="F560" s="15" t="n"/>
      <c r="G560" s="23" t="n"/>
      <c r="H560" s="25" t="n"/>
      <c r="I560" s="15" t="n"/>
      <c r="J560" s="26">
        <f>IF($A560="","",LEN($C560)-LEN(SUBSTITUTE($C560,",",""))+1)</f>
        <v/>
      </c>
      <c r="K560" s="26">
        <f>IF($A560="","",SUMPRODUCT(--ISNUMBER(SEARCH('Category Dictionary'!$D$5:$D$135&amp;"",$C560)),--('Category Dictionary'!$D$5:$D$135&lt;&gt;"")))</f>
        <v/>
      </c>
      <c r="L560" s="27">
        <f>IF($A560="","",TRIM(IF(ISERROR(FIND(",",$C560)),$C560,LEFT($C560,FIND(",",$C560)-1))))</f>
        <v/>
      </c>
      <c r="M560" s="28">
        <f>IF($H560="","",DATE(YEAR($H560),MONTH($H560),1))</f>
        <v/>
      </c>
      <c r="N560" s="26">
        <f>IF($H560="","",TODAY()-$H560)</f>
        <v/>
      </c>
      <c r="O560" s="15" t="n"/>
      <c r="P560" s="15" t="n"/>
      <c r="Q560" s="15" t="n"/>
      <c r="R560" s="25" t="n"/>
      <c r="S560" s="26">
        <f>IF($A560="","",AND(OR('Assignment Builder'!$B$5="",$B560='Assignment Builder'!$B$5),OR('Assignment Builder'!$B$6="",ISNUMBER(SEARCH('Assignment Builder'!$B$6,$C560))),OR('Assignment Builder'!$B$7="",'Assignment Builder'!$B$7=IFERROR(INDEX('Category Dictionary'!$C$5:$C$135,MATCH($L560,'Category Dictionary'!$D$5:$D$135,0)),"")),OR('Assignment Builder'!$B$8="",$D560='Assignment Builder'!$B$8),OR('Assignment Builder'!$B$9="",$F560='Assignment Builder'!$B$9),OR('Assignment Builder'!$B$10="",$O560='Assignment Builder'!$B$10),OR('Assignment Builder'!$B$11="",$H560&gt;='Assignment Builder'!$B$11),OR('Assignment Builder'!$B$12="",N($Q560)&lt;='Assignment Builder'!$B$12)))</f>
        <v/>
      </c>
      <c r="T560" s="23" t="n"/>
    </row>
    <row r="561">
      <c r="A561" s="23" t="n"/>
      <c r="B561" s="23" t="n"/>
      <c r="C561" s="24" t="n"/>
      <c r="D561" s="15" t="n"/>
      <c r="E561" s="23" t="n"/>
      <c r="F561" s="15" t="n"/>
      <c r="G561" s="23" t="n"/>
      <c r="H561" s="25" t="n"/>
      <c r="I561" s="15" t="n"/>
      <c r="J561" s="26">
        <f>IF($A561="","",LEN($C561)-LEN(SUBSTITUTE($C561,",",""))+1)</f>
        <v/>
      </c>
      <c r="K561" s="26">
        <f>IF($A561="","",SUMPRODUCT(--ISNUMBER(SEARCH('Category Dictionary'!$D$5:$D$135&amp;"",$C561)),--('Category Dictionary'!$D$5:$D$135&lt;&gt;"")))</f>
        <v/>
      </c>
      <c r="L561" s="27">
        <f>IF($A561="","",TRIM(IF(ISERROR(FIND(",",$C561)),$C561,LEFT($C561,FIND(",",$C561)-1))))</f>
        <v/>
      </c>
      <c r="M561" s="28">
        <f>IF($H561="","",DATE(YEAR($H561),MONTH($H561),1))</f>
        <v/>
      </c>
      <c r="N561" s="26">
        <f>IF($H561="","",TODAY()-$H561)</f>
        <v/>
      </c>
      <c r="O561" s="15" t="n"/>
      <c r="P561" s="15" t="n"/>
      <c r="Q561" s="15" t="n"/>
      <c r="R561" s="25" t="n"/>
      <c r="S561" s="26">
        <f>IF($A561="","",AND(OR('Assignment Builder'!$B$5="",$B561='Assignment Builder'!$B$5),OR('Assignment Builder'!$B$6="",ISNUMBER(SEARCH('Assignment Builder'!$B$6,$C561))),OR('Assignment Builder'!$B$7="",'Assignment Builder'!$B$7=IFERROR(INDEX('Category Dictionary'!$C$5:$C$135,MATCH($L561,'Category Dictionary'!$D$5:$D$135,0)),"")),OR('Assignment Builder'!$B$8="",$D561='Assignment Builder'!$B$8),OR('Assignment Builder'!$B$9="",$F561='Assignment Builder'!$B$9),OR('Assignment Builder'!$B$10="",$O561='Assignment Builder'!$B$10),OR('Assignment Builder'!$B$11="",$H561&gt;='Assignment Builder'!$B$11),OR('Assignment Builder'!$B$12="",N($Q561)&lt;='Assignment Builder'!$B$12)))</f>
        <v/>
      </c>
      <c r="T561" s="23" t="n"/>
    </row>
    <row r="562">
      <c r="A562" s="23" t="n"/>
      <c r="B562" s="23" t="n"/>
      <c r="C562" s="24" t="n"/>
      <c r="D562" s="15" t="n"/>
      <c r="E562" s="23" t="n"/>
      <c r="F562" s="15" t="n"/>
      <c r="G562" s="23" t="n"/>
      <c r="H562" s="25" t="n"/>
      <c r="I562" s="15" t="n"/>
      <c r="J562" s="26">
        <f>IF($A562="","",LEN($C562)-LEN(SUBSTITUTE($C562,",",""))+1)</f>
        <v/>
      </c>
      <c r="K562" s="26">
        <f>IF($A562="","",SUMPRODUCT(--ISNUMBER(SEARCH('Category Dictionary'!$D$5:$D$135&amp;"",$C562)),--('Category Dictionary'!$D$5:$D$135&lt;&gt;"")))</f>
        <v/>
      </c>
      <c r="L562" s="27">
        <f>IF($A562="","",TRIM(IF(ISERROR(FIND(",",$C562)),$C562,LEFT($C562,FIND(",",$C562)-1))))</f>
        <v/>
      </c>
      <c r="M562" s="28">
        <f>IF($H562="","",DATE(YEAR($H562),MONTH($H562),1))</f>
        <v/>
      </c>
      <c r="N562" s="26">
        <f>IF($H562="","",TODAY()-$H562)</f>
        <v/>
      </c>
      <c r="O562" s="15" t="n"/>
      <c r="P562" s="15" t="n"/>
      <c r="Q562" s="15" t="n"/>
      <c r="R562" s="25" t="n"/>
      <c r="S562" s="26">
        <f>IF($A562="","",AND(OR('Assignment Builder'!$B$5="",$B562='Assignment Builder'!$B$5),OR('Assignment Builder'!$B$6="",ISNUMBER(SEARCH('Assignment Builder'!$B$6,$C562))),OR('Assignment Builder'!$B$7="",'Assignment Builder'!$B$7=IFERROR(INDEX('Category Dictionary'!$C$5:$C$135,MATCH($L562,'Category Dictionary'!$D$5:$D$135,0)),"")),OR('Assignment Builder'!$B$8="",$D562='Assignment Builder'!$B$8),OR('Assignment Builder'!$B$9="",$F562='Assignment Builder'!$B$9),OR('Assignment Builder'!$B$10="",$O562='Assignment Builder'!$B$10),OR('Assignment Builder'!$B$11="",$H562&gt;='Assignment Builder'!$B$11),OR('Assignment Builder'!$B$12="",N($Q562)&lt;='Assignment Builder'!$B$12)))</f>
        <v/>
      </c>
      <c r="T562" s="23" t="n"/>
    </row>
    <row r="563">
      <c r="A563" s="23" t="n"/>
      <c r="B563" s="23" t="n"/>
      <c r="C563" s="24" t="n"/>
      <c r="D563" s="15" t="n"/>
      <c r="E563" s="23" t="n"/>
      <c r="F563" s="15" t="n"/>
      <c r="G563" s="23" t="n"/>
      <c r="H563" s="25" t="n"/>
      <c r="I563" s="15" t="n"/>
      <c r="J563" s="26">
        <f>IF($A563="","",LEN($C563)-LEN(SUBSTITUTE($C563,",",""))+1)</f>
        <v/>
      </c>
      <c r="K563" s="26">
        <f>IF($A563="","",SUMPRODUCT(--ISNUMBER(SEARCH('Category Dictionary'!$D$5:$D$135&amp;"",$C563)),--('Category Dictionary'!$D$5:$D$135&lt;&gt;"")))</f>
        <v/>
      </c>
      <c r="L563" s="27">
        <f>IF($A563="","",TRIM(IF(ISERROR(FIND(",",$C563)),$C563,LEFT($C563,FIND(",",$C563)-1))))</f>
        <v/>
      </c>
      <c r="M563" s="28">
        <f>IF($H563="","",DATE(YEAR($H563),MONTH($H563),1))</f>
        <v/>
      </c>
      <c r="N563" s="26">
        <f>IF($H563="","",TODAY()-$H563)</f>
        <v/>
      </c>
      <c r="O563" s="15" t="n"/>
      <c r="P563" s="15" t="n"/>
      <c r="Q563" s="15" t="n"/>
      <c r="R563" s="25" t="n"/>
      <c r="S563" s="26">
        <f>IF($A563="","",AND(OR('Assignment Builder'!$B$5="",$B563='Assignment Builder'!$B$5),OR('Assignment Builder'!$B$6="",ISNUMBER(SEARCH('Assignment Builder'!$B$6,$C563))),OR('Assignment Builder'!$B$7="",'Assignment Builder'!$B$7=IFERROR(INDEX('Category Dictionary'!$C$5:$C$135,MATCH($L563,'Category Dictionary'!$D$5:$D$135,0)),"")),OR('Assignment Builder'!$B$8="",$D563='Assignment Builder'!$B$8),OR('Assignment Builder'!$B$9="",$F563='Assignment Builder'!$B$9),OR('Assignment Builder'!$B$10="",$O563='Assignment Builder'!$B$10),OR('Assignment Builder'!$B$11="",$H563&gt;='Assignment Builder'!$B$11),OR('Assignment Builder'!$B$12="",N($Q563)&lt;='Assignment Builder'!$B$12)))</f>
        <v/>
      </c>
      <c r="T563" s="23" t="n"/>
    </row>
    <row r="564">
      <c r="A564" s="23" t="n"/>
      <c r="B564" s="23" t="n"/>
      <c r="C564" s="24" t="n"/>
      <c r="D564" s="15" t="n"/>
      <c r="E564" s="23" t="n"/>
      <c r="F564" s="15" t="n"/>
      <c r="G564" s="23" t="n"/>
      <c r="H564" s="25" t="n"/>
      <c r="I564" s="15" t="n"/>
      <c r="J564" s="26">
        <f>IF($A564="","",LEN($C564)-LEN(SUBSTITUTE($C564,",",""))+1)</f>
        <v/>
      </c>
      <c r="K564" s="26">
        <f>IF($A564="","",SUMPRODUCT(--ISNUMBER(SEARCH('Category Dictionary'!$D$5:$D$135&amp;"",$C564)),--('Category Dictionary'!$D$5:$D$135&lt;&gt;"")))</f>
        <v/>
      </c>
      <c r="L564" s="27">
        <f>IF($A564="","",TRIM(IF(ISERROR(FIND(",",$C564)),$C564,LEFT($C564,FIND(",",$C564)-1))))</f>
        <v/>
      </c>
      <c r="M564" s="28">
        <f>IF($H564="","",DATE(YEAR($H564),MONTH($H564),1))</f>
        <v/>
      </c>
      <c r="N564" s="26">
        <f>IF($H564="","",TODAY()-$H564)</f>
        <v/>
      </c>
      <c r="O564" s="15" t="n"/>
      <c r="P564" s="15" t="n"/>
      <c r="Q564" s="15" t="n"/>
      <c r="R564" s="25" t="n"/>
      <c r="S564" s="26">
        <f>IF($A564="","",AND(OR('Assignment Builder'!$B$5="",$B564='Assignment Builder'!$B$5),OR('Assignment Builder'!$B$6="",ISNUMBER(SEARCH('Assignment Builder'!$B$6,$C564))),OR('Assignment Builder'!$B$7="",'Assignment Builder'!$B$7=IFERROR(INDEX('Category Dictionary'!$C$5:$C$135,MATCH($L564,'Category Dictionary'!$D$5:$D$135,0)),"")),OR('Assignment Builder'!$B$8="",$D564='Assignment Builder'!$B$8),OR('Assignment Builder'!$B$9="",$F564='Assignment Builder'!$B$9),OR('Assignment Builder'!$B$10="",$O564='Assignment Builder'!$B$10),OR('Assignment Builder'!$B$11="",$H564&gt;='Assignment Builder'!$B$11),OR('Assignment Builder'!$B$12="",N($Q564)&lt;='Assignment Builder'!$B$12)))</f>
        <v/>
      </c>
      <c r="T564" s="23" t="n"/>
    </row>
    <row r="565">
      <c r="A565" s="23" t="n"/>
      <c r="B565" s="23" t="n"/>
      <c r="C565" s="24" t="n"/>
      <c r="D565" s="15" t="n"/>
      <c r="E565" s="23" t="n"/>
      <c r="F565" s="15" t="n"/>
      <c r="G565" s="23" t="n"/>
      <c r="H565" s="25" t="n"/>
      <c r="I565" s="15" t="n"/>
      <c r="J565" s="26">
        <f>IF($A565="","",LEN($C565)-LEN(SUBSTITUTE($C565,",",""))+1)</f>
        <v/>
      </c>
      <c r="K565" s="26">
        <f>IF($A565="","",SUMPRODUCT(--ISNUMBER(SEARCH('Category Dictionary'!$D$5:$D$135&amp;"",$C565)),--('Category Dictionary'!$D$5:$D$135&lt;&gt;"")))</f>
        <v/>
      </c>
      <c r="L565" s="27">
        <f>IF($A565="","",TRIM(IF(ISERROR(FIND(",",$C565)),$C565,LEFT($C565,FIND(",",$C565)-1))))</f>
        <v/>
      </c>
      <c r="M565" s="28">
        <f>IF($H565="","",DATE(YEAR($H565),MONTH($H565),1))</f>
        <v/>
      </c>
      <c r="N565" s="26">
        <f>IF($H565="","",TODAY()-$H565)</f>
        <v/>
      </c>
      <c r="O565" s="15" t="n"/>
      <c r="P565" s="15" t="n"/>
      <c r="Q565" s="15" t="n"/>
      <c r="R565" s="25" t="n"/>
      <c r="S565" s="26">
        <f>IF($A565="","",AND(OR('Assignment Builder'!$B$5="",$B565='Assignment Builder'!$B$5),OR('Assignment Builder'!$B$6="",ISNUMBER(SEARCH('Assignment Builder'!$B$6,$C565))),OR('Assignment Builder'!$B$7="",'Assignment Builder'!$B$7=IFERROR(INDEX('Category Dictionary'!$C$5:$C$135,MATCH($L565,'Category Dictionary'!$D$5:$D$135,0)),"")),OR('Assignment Builder'!$B$8="",$D565='Assignment Builder'!$B$8),OR('Assignment Builder'!$B$9="",$F565='Assignment Builder'!$B$9),OR('Assignment Builder'!$B$10="",$O565='Assignment Builder'!$B$10),OR('Assignment Builder'!$B$11="",$H565&gt;='Assignment Builder'!$B$11),OR('Assignment Builder'!$B$12="",N($Q565)&lt;='Assignment Builder'!$B$12)))</f>
        <v/>
      </c>
      <c r="T565" s="23" t="n"/>
    </row>
    <row r="566">
      <c r="A566" s="23" t="n"/>
      <c r="B566" s="23" t="n"/>
      <c r="C566" s="24" t="n"/>
      <c r="D566" s="15" t="n"/>
      <c r="E566" s="23" t="n"/>
      <c r="F566" s="15" t="n"/>
      <c r="G566" s="23" t="n"/>
      <c r="H566" s="25" t="n"/>
      <c r="I566" s="15" t="n"/>
      <c r="J566" s="26">
        <f>IF($A566="","",LEN($C566)-LEN(SUBSTITUTE($C566,",",""))+1)</f>
        <v/>
      </c>
      <c r="K566" s="26">
        <f>IF($A566="","",SUMPRODUCT(--ISNUMBER(SEARCH('Category Dictionary'!$D$5:$D$135&amp;"",$C566)),--('Category Dictionary'!$D$5:$D$135&lt;&gt;"")))</f>
        <v/>
      </c>
      <c r="L566" s="27">
        <f>IF($A566="","",TRIM(IF(ISERROR(FIND(",",$C566)),$C566,LEFT($C566,FIND(",",$C566)-1))))</f>
        <v/>
      </c>
      <c r="M566" s="28">
        <f>IF($H566="","",DATE(YEAR($H566),MONTH($H566),1))</f>
        <v/>
      </c>
      <c r="N566" s="26">
        <f>IF($H566="","",TODAY()-$H566)</f>
        <v/>
      </c>
      <c r="O566" s="15" t="n"/>
      <c r="P566" s="15" t="n"/>
      <c r="Q566" s="15" t="n"/>
      <c r="R566" s="25" t="n"/>
      <c r="S566" s="26">
        <f>IF($A566="","",AND(OR('Assignment Builder'!$B$5="",$B566='Assignment Builder'!$B$5),OR('Assignment Builder'!$B$6="",ISNUMBER(SEARCH('Assignment Builder'!$B$6,$C566))),OR('Assignment Builder'!$B$7="",'Assignment Builder'!$B$7=IFERROR(INDEX('Category Dictionary'!$C$5:$C$135,MATCH($L566,'Category Dictionary'!$D$5:$D$135,0)),"")),OR('Assignment Builder'!$B$8="",$D566='Assignment Builder'!$B$8),OR('Assignment Builder'!$B$9="",$F566='Assignment Builder'!$B$9),OR('Assignment Builder'!$B$10="",$O566='Assignment Builder'!$B$10),OR('Assignment Builder'!$B$11="",$H566&gt;='Assignment Builder'!$B$11),OR('Assignment Builder'!$B$12="",N($Q566)&lt;='Assignment Builder'!$B$12)))</f>
        <v/>
      </c>
      <c r="T566" s="23" t="n"/>
    </row>
    <row r="567">
      <c r="A567" s="23" t="n"/>
      <c r="B567" s="23" t="n"/>
      <c r="C567" s="24" t="n"/>
      <c r="D567" s="15" t="n"/>
      <c r="E567" s="23" t="n"/>
      <c r="F567" s="15" t="n"/>
      <c r="G567" s="23" t="n"/>
      <c r="H567" s="25" t="n"/>
      <c r="I567" s="15" t="n"/>
      <c r="J567" s="26">
        <f>IF($A567="","",LEN($C567)-LEN(SUBSTITUTE($C567,",",""))+1)</f>
        <v/>
      </c>
      <c r="K567" s="26">
        <f>IF($A567="","",SUMPRODUCT(--ISNUMBER(SEARCH('Category Dictionary'!$D$5:$D$135&amp;"",$C567)),--('Category Dictionary'!$D$5:$D$135&lt;&gt;"")))</f>
        <v/>
      </c>
      <c r="L567" s="27">
        <f>IF($A567="","",TRIM(IF(ISERROR(FIND(",",$C567)),$C567,LEFT($C567,FIND(",",$C567)-1))))</f>
        <v/>
      </c>
      <c r="M567" s="28">
        <f>IF($H567="","",DATE(YEAR($H567),MONTH($H567),1))</f>
        <v/>
      </c>
      <c r="N567" s="26">
        <f>IF($H567="","",TODAY()-$H567)</f>
        <v/>
      </c>
      <c r="O567" s="15" t="n"/>
      <c r="P567" s="15" t="n"/>
      <c r="Q567" s="15" t="n"/>
      <c r="R567" s="25" t="n"/>
      <c r="S567" s="26">
        <f>IF($A567="","",AND(OR('Assignment Builder'!$B$5="",$B567='Assignment Builder'!$B$5),OR('Assignment Builder'!$B$6="",ISNUMBER(SEARCH('Assignment Builder'!$B$6,$C567))),OR('Assignment Builder'!$B$7="",'Assignment Builder'!$B$7=IFERROR(INDEX('Category Dictionary'!$C$5:$C$135,MATCH($L567,'Category Dictionary'!$D$5:$D$135,0)),"")),OR('Assignment Builder'!$B$8="",$D567='Assignment Builder'!$B$8),OR('Assignment Builder'!$B$9="",$F567='Assignment Builder'!$B$9),OR('Assignment Builder'!$B$10="",$O567='Assignment Builder'!$B$10),OR('Assignment Builder'!$B$11="",$H567&gt;='Assignment Builder'!$B$11),OR('Assignment Builder'!$B$12="",N($Q567)&lt;='Assignment Builder'!$B$12)))</f>
        <v/>
      </c>
      <c r="T567" s="23" t="n"/>
    </row>
    <row r="568">
      <c r="A568" s="23" t="n"/>
      <c r="B568" s="23" t="n"/>
      <c r="C568" s="24" t="n"/>
      <c r="D568" s="15" t="n"/>
      <c r="E568" s="23" t="n"/>
      <c r="F568" s="15" t="n"/>
      <c r="G568" s="23" t="n"/>
      <c r="H568" s="25" t="n"/>
      <c r="I568" s="15" t="n"/>
      <c r="J568" s="26">
        <f>IF($A568="","",LEN($C568)-LEN(SUBSTITUTE($C568,",",""))+1)</f>
        <v/>
      </c>
      <c r="K568" s="26">
        <f>IF($A568="","",SUMPRODUCT(--ISNUMBER(SEARCH('Category Dictionary'!$D$5:$D$135&amp;"",$C568)),--('Category Dictionary'!$D$5:$D$135&lt;&gt;"")))</f>
        <v/>
      </c>
      <c r="L568" s="27">
        <f>IF($A568="","",TRIM(IF(ISERROR(FIND(",",$C568)),$C568,LEFT($C568,FIND(",",$C568)-1))))</f>
        <v/>
      </c>
      <c r="M568" s="28">
        <f>IF($H568="","",DATE(YEAR($H568),MONTH($H568),1))</f>
        <v/>
      </c>
      <c r="N568" s="26">
        <f>IF($H568="","",TODAY()-$H568)</f>
        <v/>
      </c>
      <c r="O568" s="15" t="n"/>
      <c r="P568" s="15" t="n"/>
      <c r="Q568" s="15" t="n"/>
      <c r="R568" s="25" t="n"/>
      <c r="S568" s="26">
        <f>IF($A568="","",AND(OR('Assignment Builder'!$B$5="",$B568='Assignment Builder'!$B$5),OR('Assignment Builder'!$B$6="",ISNUMBER(SEARCH('Assignment Builder'!$B$6,$C568))),OR('Assignment Builder'!$B$7="",'Assignment Builder'!$B$7=IFERROR(INDEX('Category Dictionary'!$C$5:$C$135,MATCH($L568,'Category Dictionary'!$D$5:$D$135,0)),"")),OR('Assignment Builder'!$B$8="",$D568='Assignment Builder'!$B$8),OR('Assignment Builder'!$B$9="",$F568='Assignment Builder'!$B$9),OR('Assignment Builder'!$B$10="",$O568='Assignment Builder'!$B$10),OR('Assignment Builder'!$B$11="",$H568&gt;='Assignment Builder'!$B$11),OR('Assignment Builder'!$B$12="",N($Q568)&lt;='Assignment Builder'!$B$12)))</f>
        <v/>
      </c>
      <c r="T568" s="23" t="n"/>
    </row>
    <row r="569">
      <c r="A569" s="23" t="n"/>
      <c r="B569" s="23" t="n"/>
      <c r="C569" s="24" t="n"/>
      <c r="D569" s="15" t="n"/>
      <c r="E569" s="23" t="n"/>
      <c r="F569" s="15" t="n"/>
      <c r="G569" s="23" t="n"/>
      <c r="H569" s="25" t="n"/>
      <c r="I569" s="15" t="n"/>
      <c r="J569" s="26">
        <f>IF($A569="","",LEN($C569)-LEN(SUBSTITUTE($C569,",",""))+1)</f>
        <v/>
      </c>
      <c r="K569" s="26">
        <f>IF($A569="","",SUMPRODUCT(--ISNUMBER(SEARCH('Category Dictionary'!$D$5:$D$135&amp;"",$C569)),--('Category Dictionary'!$D$5:$D$135&lt;&gt;"")))</f>
        <v/>
      </c>
      <c r="L569" s="27">
        <f>IF($A569="","",TRIM(IF(ISERROR(FIND(",",$C569)),$C569,LEFT($C569,FIND(",",$C569)-1))))</f>
        <v/>
      </c>
      <c r="M569" s="28">
        <f>IF($H569="","",DATE(YEAR($H569),MONTH($H569),1))</f>
        <v/>
      </c>
      <c r="N569" s="26">
        <f>IF($H569="","",TODAY()-$H569)</f>
        <v/>
      </c>
      <c r="O569" s="15" t="n"/>
      <c r="P569" s="15" t="n"/>
      <c r="Q569" s="15" t="n"/>
      <c r="R569" s="25" t="n"/>
      <c r="S569" s="26">
        <f>IF($A569="","",AND(OR('Assignment Builder'!$B$5="",$B569='Assignment Builder'!$B$5),OR('Assignment Builder'!$B$6="",ISNUMBER(SEARCH('Assignment Builder'!$B$6,$C569))),OR('Assignment Builder'!$B$7="",'Assignment Builder'!$B$7=IFERROR(INDEX('Category Dictionary'!$C$5:$C$135,MATCH($L569,'Category Dictionary'!$D$5:$D$135,0)),"")),OR('Assignment Builder'!$B$8="",$D569='Assignment Builder'!$B$8),OR('Assignment Builder'!$B$9="",$F569='Assignment Builder'!$B$9),OR('Assignment Builder'!$B$10="",$O569='Assignment Builder'!$B$10),OR('Assignment Builder'!$B$11="",$H569&gt;='Assignment Builder'!$B$11),OR('Assignment Builder'!$B$12="",N($Q569)&lt;='Assignment Builder'!$B$12)))</f>
        <v/>
      </c>
      <c r="T569" s="23" t="n"/>
    </row>
    <row r="570">
      <c r="A570" s="23" t="n"/>
      <c r="B570" s="23" t="n"/>
      <c r="C570" s="24" t="n"/>
      <c r="D570" s="15" t="n"/>
      <c r="E570" s="23" t="n"/>
      <c r="F570" s="15" t="n"/>
      <c r="G570" s="23" t="n"/>
      <c r="H570" s="25" t="n"/>
      <c r="I570" s="15" t="n"/>
      <c r="J570" s="26">
        <f>IF($A570="","",LEN($C570)-LEN(SUBSTITUTE($C570,",",""))+1)</f>
        <v/>
      </c>
      <c r="K570" s="26">
        <f>IF($A570="","",SUMPRODUCT(--ISNUMBER(SEARCH('Category Dictionary'!$D$5:$D$135&amp;"",$C570)),--('Category Dictionary'!$D$5:$D$135&lt;&gt;"")))</f>
        <v/>
      </c>
      <c r="L570" s="27">
        <f>IF($A570="","",TRIM(IF(ISERROR(FIND(",",$C570)),$C570,LEFT($C570,FIND(",",$C570)-1))))</f>
        <v/>
      </c>
      <c r="M570" s="28">
        <f>IF($H570="","",DATE(YEAR($H570),MONTH($H570),1))</f>
        <v/>
      </c>
      <c r="N570" s="26">
        <f>IF($H570="","",TODAY()-$H570)</f>
        <v/>
      </c>
      <c r="O570" s="15" t="n"/>
      <c r="P570" s="15" t="n"/>
      <c r="Q570" s="15" t="n"/>
      <c r="R570" s="25" t="n"/>
      <c r="S570" s="26">
        <f>IF($A570="","",AND(OR('Assignment Builder'!$B$5="",$B570='Assignment Builder'!$B$5),OR('Assignment Builder'!$B$6="",ISNUMBER(SEARCH('Assignment Builder'!$B$6,$C570))),OR('Assignment Builder'!$B$7="",'Assignment Builder'!$B$7=IFERROR(INDEX('Category Dictionary'!$C$5:$C$135,MATCH($L570,'Category Dictionary'!$D$5:$D$135,0)),"")),OR('Assignment Builder'!$B$8="",$D570='Assignment Builder'!$B$8),OR('Assignment Builder'!$B$9="",$F570='Assignment Builder'!$B$9),OR('Assignment Builder'!$B$10="",$O570='Assignment Builder'!$B$10),OR('Assignment Builder'!$B$11="",$H570&gt;='Assignment Builder'!$B$11),OR('Assignment Builder'!$B$12="",N($Q570)&lt;='Assignment Builder'!$B$12)))</f>
        <v/>
      </c>
      <c r="T570" s="23" t="n"/>
    </row>
    <row r="571">
      <c r="A571" s="23" t="n"/>
      <c r="B571" s="23" t="n"/>
      <c r="C571" s="24" t="n"/>
      <c r="D571" s="15" t="n"/>
      <c r="E571" s="23" t="n"/>
      <c r="F571" s="15" t="n"/>
      <c r="G571" s="23" t="n"/>
      <c r="H571" s="25" t="n"/>
      <c r="I571" s="15" t="n"/>
      <c r="J571" s="26">
        <f>IF($A571="","",LEN($C571)-LEN(SUBSTITUTE($C571,",",""))+1)</f>
        <v/>
      </c>
      <c r="K571" s="26">
        <f>IF($A571="","",SUMPRODUCT(--ISNUMBER(SEARCH('Category Dictionary'!$D$5:$D$135&amp;"",$C571)),--('Category Dictionary'!$D$5:$D$135&lt;&gt;"")))</f>
        <v/>
      </c>
      <c r="L571" s="27">
        <f>IF($A571="","",TRIM(IF(ISERROR(FIND(",",$C571)),$C571,LEFT($C571,FIND(",",$C571)-1))))</f>
        <v/>
      </c>
      <c r="M571" s="28">
        <f>IF($H571="","",DATE(YEAR($H571),MONTH($H571),1))</f>
        <v/>
      </c>
      <c r="N571" s="26">
        <f>IF($H571="","",TODAY()-$H571)</f>
        <v/>
      </c>
      <c r="O571" s="15" t="n"/>
      <c r="P571" s="15" t="n"/>
      <c r="Q571" s="15" t="n"/>
      <c r="R571" s="25" t="n"/>
      <c r="S571" s="26">
        <f>IF($A571="","",AND(OR('Assignment Builder'!$B$5="",$B571='Assignment Builder'!$B$5),OR('Assignment Builder'!$B$6="",ISNUMBER(SEARCH('Assignment Builder'!$B$6,$C571))),OR('Assignment Builder'!$B$7="",'Assignment Builder'!$B$7=IFERROR(INDEX('Category Dictionary'!$C$5:$C$135,MATCH($L571,'Category Dictionary'!$D$5:$D$135,0)),"")),OR('Assignment Builder'!$B$8="",$D571='Assignment Builder'!$B$8),OR('Assignment Builder'!$B$9="",$F571='Assignment Builder'!$B$9),OR('Assignment Builder'!$B$10="",$O571='Assignment Builder'!$B$10),OR('Assignment Builder'!$B$11="",$H571&gt;='Assignment Builder'!$B$11),OR('Assignment Builder'!$B$12="",N($Q571)&lt;='Assignment Builder'!$B$12)))</f>
        <v/>
      </c>
      <c r="T571" s="23" t="n"/>
    </row>
    <row r="572">
      <c r="A572" s="23" t="n"/>
      <c r="B572" s="23" t="n"/>
      <c r="C572" s="24" t="n"/>
      <c r="D572" s="15" t="n"/>
      <c r="E572" s="23" t="n"/>
      <c r="F572" s="15" t="n"/>
      <c r="G572" s="23" t="n"/>
      <c r="H572" s="25" t="n"/>
      <c r="I572" s="15" t="n"/>
      <c r="J572" s="26">
        <f>IF($A572="","",LEN($C572)-LEN(SUBSTITUTE($C572,",",""))+1)</f>
        <v/>
      </c>
      <c r="K572" s="26">
        <f>IF($A572="","",SUMPRODUCT(--ISNUMBER(SEARCH('Category Dictionary'!$D$5:$D$135&amp;"",$C572)),--('Category Dictionary'!$D$5:$D$135&lt;&gt;"")))</f>
        <v/>
      </c>
      <c r="L572" s="27">
        <f>IF($A572="","",TRIM(IF(ISERROR(FIND(",",$C572)),$C572,LEFT($C572,FIND(",",$C572)-1))))</f>
        <v/>
      </c>
      <c r="M572" s="28">
        <f>IF($H572="","",DATE(YEAR($H572),MONTH($H572),1))</f>
        <v/>
      </c>
      <c r="N572" s="26">
        <f>IF($H572="","",TODAY()-$H572)</f>
        <v/>
      </c>
      <c r="O572" s="15" t="n"/>
      <c r="P572" s="15" t="n"/>
      <c r="Q572" s="15" t="n"/>
      <c r="R572" s="25" t="n"/>
      <c r="S572" s="26">
        <f>IF($A572="","",AND(OR('Assignment Builder'!$B$5="",$B572='Assignment Builder'!$B$5),OR('Assignment Builder'!$B$6="",ISNUMBER(SEARCH('Assignment Builder'!$B$6,$C572))),OR('Assignment Builder'!$B$7="",'Assignment Builder'!$B$7=IFERROR(INDEX('Category Dictionary'!$C$5:$C$135,MATCH($L572,'Category Dictionary'!$D$5:$D$135,0)),"")),OR('Assignment Builder'!$B$8="",$D572='Assignment Builder'!$B$8),OR('Assignment Builder'!$B$9="",$F572='Assignment Builder'!$B$9),OR('Assignment Builder'!$B$10="",$O572='Assignment Builder'!$B$10),OR('Assignment Builder'!$B$11="",$H572&gt;='Assignment Builder'!$B$11),OR('Assignment Builder'!$B$12="",N($Q572)&lt;='Assignment Builder'!$B$12)))</f>
        <v/>
      </c>
      <c r="T572" s="23" t="n"/>
    </row>
    <row r="573">
      <c r="A573" s="23" t="n"/>
      <c r="B573" s="23" t="n"/>
      <c r="C573" s="24" t="n"/>
      <c r="D573" s="15" t="n"/>
      <c r="E573" s="23" t="n"/>
      <c r="F573" s="15" t="n"/>
      <c r="G573" s="23" t="n"/>
      <c r="H573" s="25" t="n"/>
      <c r="I573" s="15" t="n"/>
      <c r="J573" s="26">
        <f>IF($A573="","",LEN($C573)-LEN(SUBSTITUTE($C573,",",""))+1)</f>
        <v/>
      </c>
      <c r="K573" s="26">
        <f>IF($A573="","",SUMPRODUCT(--ISNUMBER(SEARCH('Category Dictionary'!$D$5:$D$135&amp;"",$C573)),--('Category Dictionary'!$D$5:$D$135&lt;&gt;"")))</f>
        <v/>
      </c>
      <c r="L573" s="27">
        <f>IF($A573="","",TRIM(IF(ISERROR(FIND(",",$C573)),$C573,LEFT($C573,FIND(",",$C573)-1))))</f>
        <v/>
      </c>
      <c r="M573" s="28">
        <f>IF($H573="","",DATE(YEAR($H573),MONTH($H573),1))</f>
        <v/>
      </c>
      <c r="N573" s="26">
        <f>IF($H573="","",TODAY()-$H573)</f>
        <v/>
      </c>
      <c r="O573" s="15" t="n"/>
      <c r="P573" s="15" t="n"/>
      <c r="Q573" s="15" t="n"/>
      <c r="R573" s="25" t="n"/>
      <c r="S573" s="26">
        <f>IF($A573="","",AND(OR('Assignment Builder'!$B$5="",$B573='Assignment Builder'!$B$5),OR('Assignment Builder'!$B$6="",ISNUMBER(SEARCH('Assignment Builder'!$B$6,$C573))),OR('Assignment Builder'!$B$7="",'Assignment Builder'!$B$7=IFERROR(INDEX('Category Dictionary'!$C$5:$C$135,MATCH($L573,'Category Dictionary'!$D$5:$D$135,0)),"")),OR('Assignment Builder'!$B$8="",$D573='Assignment Builder'!$B$8),OR('Assignment Builder'!$B$9="",$F573='Assignment Builder'!$B$9),OR('Assignment Builder'!$B$10="",$O573='Assignment Builder'!$B$10),OR('Assignment Builder'!$B$11="",$H573&gt;='Assignment Builder'!$B$11),OR('Assignment Builder'!$B$12="",N($Q573)&lt;='Assignment Builder'!$B$12)))</f>
        <v/>
      </c>
      <c r="T573" s="23" t="n"/>
    </row>
    <row r="574">
      <c r="A574" s="23" t="n"/>
      <c r="B574" s="23" t="n"/>
      <c r="C574" s="24" t="n"/>
      <c r="D574" s="15" t="n"/>
      <c r="E574" s="23" t="n"/>
      <c r="F574" s="15" t="n"/>
      <c r="G574" s="23" t="n"/>
      <c r="H574" s="25" t="n"/>
      <c r="I574" s="15" t="n"/>
      <c r="J574" s="26">
        <f>IF($A574="","",LEN($C574)-LEN(SUBSTITUTE($C574,",",""))+1)</f>
        <v/>
      </c>
      <c r="K574" s="26">
        <f>IF($A574="","",SUMPRODUCT(--ISNUMBER(SEARCH('Category Dictionary'!$D$5:$D$135&amp;"",$C574)),--('Category Dictionary'!$D$5:$D$135&lt;&gt;"")))</f>
        <v/>
      </c>
      <c r="L574" s="27">
        <f>IF($A574="","",TRIM(IF(ISERROR(FIND(",",$C574)),$C574,LEFT($C574,FIND(",",$C574)-1))))</f>
        <v/>
      </c>
      <c r="M574" s="28">
        <f>IF($H574="","",DATE(YEAR($H574),MONTH($H574),1))</f>
        <v/>
      </c>
      <c r="N574" s="26">
        <f>IF($H574="","",TODAY()-$H574)</f>
        <v/>
      </c>
      <c r="O574" s="15" t="n"/>
      <c r="P574" s="15" t="n"/>
      <c r="Q574" s="15" t="n"/>
      <c r="R574" s="25" t="n"/>
      <c r="S574" s="26">
        <f>IF($A574="","",AND(OR('Assignment Builder'!$B$5="",$B574='Assignment Builder'!$B$5),OR('Assignment Builder'!$B$6="",ISNUMBER(SEARCH('Assignment Builder'!$B$6,$C574))),OR('Assignment Builder'!$B$7="",'Assignment Builder'!$B$7=IFERROR(INDEX('Category Dictionary'!$C$5:$C$135,MATCH($L574,'Category Dictionary'!$D$5:$D$135,0)),"")),OR('Assignment Builder'!$B$8="",$D574='Assignment Builder'!$B$8),OR('Assignment Builder'!$B$9="",$F574='Assignment Builder'!$B$9),OR('Assignment Builder'!$B$10="",$O574='Assignment Builder'!$B$10),OR('Assignment Builder'!$B$11="",$H574&gt;='Assignment Builder'!$B$11),OR('Assignment Builder'!$B$12="",N($Q574)&lt;='Assignment Builder'!$B$12)))</f>
        <v/>
      </c>
      <c r="T574" s="23" t="n"/>
    </row>
    <row r="575">
      <c r="A575" s="23" t="n"/>
      <c r="B575" s="23" t="n"/>
      <c r="C575" s="24" t="n"/>
      <c r="D575" s="15" t="n"/>
      <c r="E575" s="23" t="n"/>
      <c r="F575" s="15" t="n"/>
      <c r="G575" s="23" t="n"/>
      <c r="H575" s="25" t="n"/>
      <c r="I575" s="15" t="n"/>
      <c r="J575" s="26">
        <f>IF($A575="","",LEN($C575)-LEN(SUBSTITUTE($C575,",",""))+1)</f>
        <v/>
      </c>
      <c r="K575" s="26">
        <f>IF($A575="","",SUMPRODUCT(--ISNUMBER(SEARCH('Category Dictionary'!$D$5:$D$135&amp;"",$C575)),--('Category Dictionary'!$D$5:$D$135&lt;&gt;"")))</f>
        <v/>
      </c>
      <c r="L575" s="27">
        <f>IF($A575="","",TRIM(IF(ISERROR(FIND(",",$C575)),$C575,LEFT($C575,FIND(",",$C575)-1))))</f>
        <v/>
      </c>
      <c r="M575" s="28">
        <f>IF($H575="","",DATE(YEAR($H575),MONTH($H575),1))</f>
        <v/>
      </c>
      <c r="N575" s="26">
        <f>IF($H575="","",TODAY()-$H575)</f>
        <v/>
      </c>
      <c r="O575" s="15" t="n"/>
      <c r="P575" s="15" t="n"/>
      <c r="Q575" s="15" t="n"/>
      <c r="R575" s="25" t="n"/>
      <c r="S575" s="26">
        <f>IF($A575="","",AND(OR('Assignment Builder'!$B$5="",$B575='Assignment Builder'!$B$5),OR('Assignment Builder'!$B$6="",ISNUMBER(SEARCH('Assignment Builder'!$B$6,$C575))),OR('Assignment Builder'!$B$7="",'Assignment Builder'!$B$7=IFERROR(INDEX('Category Dictionary'!$C$5:$C$135,MATCH($L575,'Category Dictionary'!$D$5:$D$135,0)),"")),OR('Assignment Builder'!$B$8="",$D575='Assignment Builder'!$B$8),OR('Assignment Builder'!$B$9="",$F575='Assignment Builder'!$B$9),OR('Assignment Builder'!$B$10="",$O575='Assignment Builder'!$B$10),OR('Assignment Builder'!$B$11="",$H575&gt;='Assignment Builder'!$B$11),OR('Assignment Builder'!$B$12="",N($Q575)&lt;='Assignment Builder'!$B$12)))</f>
        <v/>
      </c>
      <c r="T575" s="23" t="n"/>
    </row>
    <row r="576">
      <c r="A576" s="23" t="n"/>
      <c r="B576" s="23" t="n"/>
      <c r="C576" s="24" t="n"/>
      <c r="D576" s="15" t="n"/>
      <c r="E576" s="23" t="n"/>
      <c r="F576" s="15" t="n"/>
      <c r="G576" s="23" t="n"/>
      <c r="H576" s="25" t="n"/>
      <c r="I576" s="15" t="n"/>
      <c r="J576" s="26">
        <f>IF($A576="","",LEN($C576)-LEN(SUBSTITUTE($C576,",",""))+1)</f>
        <v/>
      </c>
      <c r="K576" s="26">
        <f>IF($A576="","",SUMPRODUCT(--ISNUMBER(SEARCH('Category Dictionary'!$D$5:$D$135&amp;"",$C576)),--('Category Dictionary'!$D$5:$D$135&lt;&gt;"")))</f>
        <v/>
      </c>
      <c r="L576" s="27">
        <f>IF($A576="","",TRIM(IF(ISERROR(FIND(",",$C576)),$C576,LEFT($C576,FIND(",",$C576)-1))))</f>
        <v/>
      </c>
      <c r="M576" s="28">
        <f>IF($H576="","",DATE(YEAR($H576),MONTH($H576),1))</f>
        <v/>
      </c>
      <c r="N576" s="26">
        <f>IF($H576="","",TODAY()-$H576)</f>
        <v/>
      </c>
      <c r="O576" s="15" t="n"/>
      <c r="P576" s="15" t="n"/>
      <c r="Q576" s="15" t="n"/>
      <c r="R576" s="25" t="n"/>
      <c r="S576" s="26">
        <f>IF($A576="","",AND(OR('Assignment Builder'!$B$5="",$B576='Assignment Builder'!$B$5),OR('Assignment Builder'!$B$6="",ISNUMBER(SEARCH('Assignment Builder'!$B$6,$C576))),OR('Assignment Builder'!$B$7="",'Assignment Builder'!$B$7=IFERROR(INDEX('Category Dictionary'!$C$5:$C$135,MATCH($L576,'Category Dictionary'!$D$5:$D$135,0)),"")),OR('Assignment Builder'!$B$8="",$D576='Assignment Builder'!$B$8),OR('Assignment Builder'!$B$9="",$F576='Assignment Builder'!$B$9),OR('Assignment Builder'!$B$10="",$O576='Assignment Builder'!$B$10),OR('Assignment Builder'!$B$11="",$H576&gt;='Assignment Builder'!$B$11),OR('Assignment Builder'!$B$12="",N($Q576)&lt;='Assignment Builder'!$B$12)))</f>
        <v/>
      </c>
      <c r="T576" s="23" t="n"/>
    </row>
    <row r="577">
      <c r="A577" s="23" t="n"/>
      <c r="B577" s="23" t="n"/>
      <c r="C577" s="24" t="n"/>
      <c r="D577" s="15" t="n"/>
      <c r="E577" s="23" t="n"/>
      <c r="F577" s="15" t="n"/>
      <c r="G577" s="23" t="n"/>
      <c r="H577" s="25" t="n"/>
      <c r="I577" s="15" t="n"/>
      <c r="J577" s="26">
        <f>IF($A577="","",LEN($C577)-LEN(SUBSTITUTE($C577,",",""))+1)</f>
        <v/>
      </c>
      <c r="K577" s="26">
        <f>IF($A577="","",SUMPRODUCT(--ISNUMBER(SEARCH('Category Dictionary'!$D$5:$D$135&amp;"",$C577)),--('Category Dictionary'!$D$5:$D$135&lt;&gt;"")))</f>
        <v/>
      </c>
      <c r="L577" s="27">
        <f>IF($A577="","",TRIM(IF(ISERROR(FIND(",",$C577)),$C577,LEFT($C577,FIND(",",$C577)-1))))</f>
        <v/>
      </c>
      <c r="M577" s="28">
        <f>IF($H577="","",DATE(YEAR($H577),MONTH($H577),1))</f>
        <v/>
      </c>
      <c r="N577" s="26">
        <f>IF($H577="","",TODAY()-$H577)</f>
        <v/>
      </c>
      <c r="O577" s="15" t="n"/>
      <c r="P577" s="15" t="n"/>
      <c r="Q577" s="15" t="n"/>
      <c r="R577" s="25" t="n"/>
      <c r="S577" s="26">
        <f>IF($A577="","",AND(OR('Assignment Builder'!$B$5="",$B577='Assignment Builder'!$B$5),OR('Assignment Builder'!$B$6="",ISNUMBER(SEARCH('Assignment Builder'!$B$6,$C577))),OR('Assignment Builder'!$B$7="",'Assignment Builder'!$B$7=IFERROR(INDEX('Category Dictionary'!$C$5:$C$135,MATCH($L577,'Category Dictionary'!$D$5:$D$135,0)),"")),OR('Assignment Builder'!$B$8="",$D577='Assignment Builder'!$B$8),OR('Assignment Builder'!$B$9="",$F577='Assignment Builder'!$B$9),OR('Assignment Builder'!$B$10="",$O577='Assignment Builder'!$B$10),OR('Assignment Builder'!$B$11="",$H577&gt;='Assignment Builder'!$B$11),OR('Assignment Builder'!$B$12="",N($Q577)&lt;='Assignment Builder'!$B$12)))</f>
        <v/>
      </c>
      <c r="T577" s="23" t="n"/>
    </row>
    <row r="578">
      <c r="A578" s="23" t="n"/>
      <c r="B578" s="23" t="n"/>
      <c r="C578" s="24" t="n"/>
      <c r="D578" s="15" t="n"/>
      <c r="E578" s="23" t="n"/>
      <c r="F578" s="15" t="n"/>
      <c r="G578" s="23" t="n"/>
      <c r="H578" s="25" t="n"/>
      <c r="I578" s="15" t="n"/>
      <c r="J578" s="26">
        <f>IF($A578="","",LEN($C578)-LEN(SUBSTITUTE($C578,",",""))+1)</f>
        <v/>
      </c>
      <c r="K578" s="26">
        <f>IF($A578="","",SUMPRODUCT(--ISNUMBER(SEARCH('Category Dictionary'!$D$5:$D$135&amp;"",$C578)),--('Category Dictionary'!$D$5:$D$135&lt;&gt;"")))</f>
        <v/>
      </c>
      <c r="L578" s="27">
        <f>IF($A578="","",TRIM(IF(ISERROR(FIND(",",$C578)),$C578,LEFT($C578,FIND(",",$C578)-1))))</f>
        <v/>
      </c>
      <c r="M578" s="28">
        <f>IF($H578="","",DATE(YEAR($H578),MONTH($H578),1))</f>
        <v/>
      </c>
      <c r="N578" s="26">
        <f>IF($H578="","",TODAY()-$H578)</f>
        <v/>
      </c>
      <c r="O578" s="15" t="n"/>
      <c r="P578" s="15" t="n"/>
      <c r="Q578" s="15" t="n"/>
      <c r="R578" s="25" t="n"/>
      <c r="S578" s="26">
        <f>IF($A578="","",AND(OR('Assignment Builder'!$B$5="",$B578='Assignment Builder'!$B$5),OR('Assignment Builder'!$B$6="",ISNUMBER(SEARCH('Assignment Builder'!$B$6,$C578))),OR('Assignment Builder'!$B$7="",'Assignment Builder'!$B$7=IFERROR(INDEX('Category Dictionary'!$C$5:$C$135,MATCH($L578,'Category Dictionary'!$D$5:$D$135,0)),"")),OR('Assignment Builder'!$B$8="",$D578='Assignment Builder'!$B$8),OR('Assignment Builder'!$B$9="",$F578='Assignment Builder'!$B$9),OR('Assignment Builder'!$B$10="",$O578='Assignment Builder'!$B$10),OR('Assignment Builder'!$B$11="",$H578&gt;='Assignment Builder'!$B$11),OR('Assignment Builder'!$B$12="",N($Q578)&lt;='Assignment Builder'!$B$12)))</f>
        <v/>
      </c>
      <c r="T578" s="23" t="n"/>
    </row>
    <row r="579">
      <c r="A579" s="23" t="n"/>
      <c r="B579" s="23" t="n"/>
      <c r="C579" s="24" t="n"/>
      <c r="D579" s="15" t="n"/>
      <c r="E579" s="23" t="n"/>
      <c r="F579" s="15" t="n"/>
      <c r="G579" s="23" t="n"/>
      <c r="H579" s="25" t="n"/>
      <c r="I579" s="15" t="n"/>
      <c r="J579" s="26">
        <f>IF($A579="","",LEN($C579)-LEN(SUBSTITUTE($C579,",",""))+1)</f>
        <v/>
      </c>
      <c r="K579" s="26">
        <f>IF($A579="","",SUMPRODUCT(--ISNUMBER(SEARCH('Category Dictionary'!$D$5:$D$135&amp;"",$C579)),--('Category Dictionary'!$D$5:$D$135&lt;&gt;"")))</f>
        <v/>
      </c>
      <c r="L579" s="27">
        <f>IF($A579="","",TRIM(IF(ISERROR(FIND(",",$C579)),$C579,LEFT($C579,FIND(",",$C579)-1))))</f>
        <v/>
      </c>
      <c r="M579" s="28">
        <f>IF($H579="","",DATE(YEAR($H579),MONTH($H579),1))</f>
        <v/>
      </c>
      <c r="N579" s="26">
        <f>IF($H579="","",TODAY()-$H579)</f>
        <v/>
      </c>
      <c r="O579" s="15" t="n"/>
      <c r="P579" s="15" t="n"/>
      <c r="Q579" s="15" t="n"/>
      <c r="R579" s="25" t="n"/>
      <c r="S579" s="26">
        <f>IF($A579="","",AND(OR('Assignment Builder'!$B$5="",$B579='Assignment Builder'!$B$5),OR('Assignment Builder'!$B$6="",ISNUMBER(SEARCH('Assignment Builder'!$B$6,$C579))),OR('Assignment Builder'!$B$7="",'Assignment Builder'!$B$7=IFERROR(INDEX('Category Dictionary'!$C$5:$C$135,MATCH($L579,'Category Dictionary'!$D$5:$D$135,0)),"")),OR('Assignment Builder'!$B$8="",$D579='Assignment Builder'!$B$8),OR('Assignment Builder'!$B$9="",$F579='Assignment Builder'!$B$9),OR('Assignment Builder'!$B$10="",$O579='Assignment Builder'!$B$10),OR('Assignment Builder'!$B$11="",$H579&gt;='Assignment Builder'!$B$11),OR('Assignment Builder'!$B$12="",N($Q579)&lt;='Assignment Builder'!$B$12)))</f>
        <v/>
      </c>
      <c r="T579" s="23" t="n"/>
    </row>
    <row r="580">
      <c r="A580" s="23" t="n"/>
      <c r="B580" s="23" t="n"/>
      <c r="C580" s="24" t="n"/>
      <c r="D580" s="15" t="n"/>
      <c r="E580" s="23" t="n"/>
      <c r="F580" s="15" t="n"/>
      <c r="G580" s="23" t="n"/>
      <c r="H580" s="25" t="n"/>
      <c r="I580" s="15" t="n"/>
      <c r="J580" s="26">
        <f>IF($A580="","",LEN($C580)-LEN(SUBSTITUTE($C580,",",""))+1)</f>
        <v/>
      </c>
      <c r="K580" s="26">
        <f>IF($A580="","",SUMPRODUCT(--ISNUMBER(SEARCH('Category Dictionary'!$D$5:$D$135&amp;"",$C580)),--('Category Dictionary'!$D$5:$D$135&lt;&gt;"")))</f>
        <v/>
      </c>
      <c r="L580" s="27">
        <f>IF($A580="","",TRIM(IF(ISERROR(FIND(",",$C580)),$C580,LEFT($C580,FIND(",",$C580)-1))))</f>
        <v/>
      </c>
      <c r="M580" s="28">
        <f>IF($H580="","",DATE(YEAR($H580),MONTH($H580),1))</f>
        <v/>
      </c>
      <c r="N580" s="26">
        <f>IF($H580="","",TODAY()-$H580)</f>
        <v/>
      </c>
      <c r="O580" s="15" t="n"/>
      <c r="P580" s="15" t="n"/>
      <c r="Q580" s="15" t="n"/>
      <c r="R580" s="25" t="n"/>
      <c r="S580" s="26">
        <f>IF($A580="","",AND(OR('Assignment Builder'!$B$5="",$B580='Assignment Builder'!$B$5),OR('Assignment Builder'!$B$6="",ISNUMBER(SEARCH('Assignment Builder'!$B$6,$C580))),OR('Assignment Builder'!$B$7="",'Assignment Builder'!$B$7=IFERROR(INDEX('Category Dictionary'!$C$5:$C$135,MATCH($L580,'Category Dictionary'!$D$5:$D$135,0)),"")),OR('Assignment Builder'!$B$8="",$D580='Assignment Builder'!$B$8),OR('Assignment Builder'!$B$9="",$F580='Assignment Builder'!$B$9),OR('Assignment Builder'!$B$10="",$O580='Assignment Builder'!$B$10),OR('Assignment Builder'!$B$11="",$H580&gt;='Assignment Builder'!$B$11),OR('Assignment Builder'!$B$12="",N($Q580)&lt;='Assignment Builder'!$B$12)))</f>
        <v/>
      </c>
      <c r="T580" s="23" t="n"/>
    </row>
    <row r="581">
      <c r="A581" s="23" t="n"/>
      <c r="B581" s="23" t="n"/>
      <c r="C581" s="24" t="n"/>
      <c r="D581" s="15" t="n"/>
      <c r="E581" s="23" t="n"/>
      <c r="F581" s="15" t="n"/>
      <c r="G581" s="23" t="n"/>
      <c r="H581" s="25" t="n"/>
      <c r="I581" s="15" t="n"/>
      <c r="J581" s="26">
        <f>IF($A581="","",LEN($C581)-LEN(SUBSTITUTE($C581,",",""))+1)</f>
        <v/>
      </c>
      <c r="K581" s="26">
        <f>IF($A581="","",SUMPRODUCT(--ISNUMBER(SEARCH('Category Dictionary'!$D$5:$D$135&amp;"",$C581)),--('Category Dictionary'!$D$5:$D$135&lt;&gt;"")))</f>
        <v/>
      </c>
      <c r="L581" s="27">
        <f>IF($A581="","",TRIM(IF(ISERROR(FIND(",",$C581)),$C581,LEFT($C581,FIND(",",$C581)-1))))</f>
        <v/>
      </c>
      <c r="M581" s="28">
        <f>IF($H581="","",DATE(YEAR($H581),MONTH($H581),1))</f>
        <v/>
      </c>
      <c r="N581" s="26">
        <f>IF($H581="","",TODAY()-$H581)</f>
        <v/>
      </c>
      <c r="O581" s="15" t="n"/>
      <c r="P581" s="15" t="n"/>
      <c r="Q581" s="15" t="n"/>
      <c r="R581" s="25" t="n"/>
      <c r="S581" s="26">
        <f>IF($A581="","",AND(OR('Assignment Builder'!$B$5="",$B581='Assignment Builder'!$B$5),OR('Assignment Builder'!$B$6="",ISNUMBER(SEARCH('Assignment Builder'!$B$6,$C581))),OR('Assignment Builder'!$B$7="",'Assignment Builder'!$B$7=IFERROR(INDEX('Category Dictionary'!$C$5:$C$135,MATCH($L581,'Category Dictionary'!$D$5:$D$135,0)),"")),OR('Assignment Builder'!$B$8="",$D581='Assignment Builder'!$B$8),OR('Assignment Builder'!$B$9="",$F581='Assignment Builder'!$B$9),OR('Assignment Builder'!$B$10="",$O581='Assignment Builder'!$B$10),OR('Assignment Builder'!$B$11="",$H581&gt;='Assignment Builder'!$B$11),OR('Assignment Builder'!$B$12="",N($Q581)&lt;='Assignment Builder'!$B$12)))</f>
        <v/>
      </c>
      <c r="T581" s="23" t="n"/>
    </row>
    <row r="582">
      <c r="A582" s="23" t="n"/>
      <c r="B582" s="23" t="n"/>
      <c r="C582" s="24" t="n"/>
      <c r="D582" s="15" t="n"/>
      <c r="E582" s="23" t="n"/>
      <c r="F582" s="15" t="n"/>
      <c r="G582" s="23" t="n"/>
      <c r="H582" s="25" t="n"/>
      <c r="I582" s="15" t="n"/>
      <c r="J582" s="26">
        <f>IF($A582="","",LEN($C582)-LEN(SUBSTITUTE($C582,",",""))+1)</f>
        <v/>
      </c>
      <c r="K582" s="26">
        <f>IF($A582="","",SUMPRODUCT(--ISNUMBER(SEARCH('Category Dictionary'!$D$5:$D$135&amp;"",$C582)),--('Category Dictionary'!$D$5:$D$135&lt;&gt;"")))</f>
        <v/>
      </c>
      <c r="L582" s="27">
        <f>IF($A582="","",TRIM(IF(ISERROR(FIND(",",$C582)),$C582,LEFT($C582,FIND(",",$C582)-1))))</f>
        <v/>
      </c>
      <c r="M582" s="28">
        <f>IF($H582="","",DATE(YEAR($H582),MONTH($H582),1))</f>
        <v/>
      </c>
      <c r="N582" s="26">
        <f>IF($H582="","",TODAY()-$H582)</f>
        <v/>
      </c>
      <c r="O582" s="15" t="n"/>
      <c r="P582" s="15" t="n"/>
      <c r="Q582" s="15" t="n"/>
      <c r="R582" s="25" t="n"/>
      <c r="S582" s="26">
        <f>IF($A582="","",AND(OR('Assignment Builder'!$B$5="",$B582='Assignment Builder'!$B$5),OR('Assignment Builder'!$B$6="",ISNUMBER(SEARCH('Assignment Builder'!$B$6,$C582))),OR('Assignment Builder'!$B$7="",'Assignment Builder'!$B$7=IFERROR(INDEX('Category Dictionary'!$C$5:$C$135,MATCH($L582,'Category Dictionary'!$D$5:$D$135,0)),"")),OR('Assignment Builder'!$B$8="",$D582='Assignment Builder'!$B$8),OR('Assignment Builder'!$B$9="",$F582='Assignment Builder'!$B$9),OR('Assignment Builder'!$B$10="",$O582='Assignment Builder'!$B$10),OR('Assignment Builder'!$B$11="",$H582&gt;='Assignment Builder'!$B$11),OR('Assignment Builder'!$B$12="",N($Q582)&lt;='Assignment Builder'!$B$12)))</f>
        <v/>
      </c>
      <c r="T582" s="23" t="n"/>
    </row>
    <row r="583">
      <c r="A583" s="23" t="n"/>
      <c r="B583" s="23" t="n"/>
      <c r="C583" s="24" t="n"/>
      <c r="D583" s="15" t="n"/>
      <c r="E583" s="23" t="n"/>
      <c r="F583" s="15" t="n"/>
      <c r="G583" s="23" t="n"/>
      <c r="H583" s="25" t="n"/>
      <c r="I583" s="15" t="n"/>
      <c r="J583" s="26">
        <f>IF($A583="","",LEN($C583)-LEN(SUBSTITUTE($C583,",",""))+1)</f>
        <v/>
      </c>
      <c r="K583" s="26">
        <f>IF($A583="","",SUMPRODUCT(--ISNUMBER(SEARCH('Category Dictionary'!$D$5:$D$135&amp;"",$C583)),--('Category Dictionary'!$D$5:$D$135&lt;&gt;"")))</f>
        <v/>
      </c>
      <c r="L583" s="27">
        <f>IF($A583="","",TRIM(IF(ISERROR(FIND(",",$C583)),$C583,LEFT($C583,FIND(",",$C583)-1))))</f>
        <v/>
      </c>
      <c r="M583" s="28">
        <f>IF($H583="","",DATE(YEAR($H583),MONTH($H583),1))</f>
        <v/>
      </c>
      <c r="N583" s="26">
        <f>IF($H583="","",TODAY()-$H583)</f>
        <v/>
      </c>
      <c r="O583" s="15" t="n"/>
      <c r="P583" s="15" t="n"/>
      <c r="Q583" s="15" t="n"/>
      <c r="R583" s="25" t="n"/>
      <c r="S583" s="26">
        <f>IF($A583="","",AND(OR('Assignment Builder'!$B$5="",$B583='Assignment Builder'!$B$5),OR('Assignment Builder'!$B$6="",ISNUMBER(SEARCH('Assignment Builder'!$B$6,$C583))),OR('Assignment Builder'!$B$7="",'Assignment Builder'!$B$7=IFERROR(INDEX('Category Dictionary'!$C$5:$C$135,MATCH($L583,'Category Dictionary'!$D$5:$D$135,0)),"")),OR('Assignment Builder'!$B$8="",$D583='Assignment Builder'!$B$8),OR('Assignment Builder'!$B$9="",$F583='Assignment Builder'!$B$9),OR('Assignment Builder'!$B$10="",$O583='Assignment Builder'!$B$10),OR('Assignment Builder'!$B$11="",$H583&gt;='Assignment Builder'!$B$11),OR('Assignment Builder'!$B$12="",N($Q583)&lt;='Assignment Builder'!$B$12)))</f>
        <v/>
      </c>
      <c r="T583" s="23" t="n"/>
    </row>
    <row r="584">
      <c r="A584" s="23" t="n"/>
      <c r="B584" s="23" t="n"/>
      <c r="C584" s="24" t="n"/>
      <c r="D584" s="15" t="n"/>
      <c r="E584" s="23" t="n"/>
      <c r="F584" s="15" t="n"/>
      <c r="G584" s="23" t="n"/>
      <c r="H584" s="25" t="n"/>
      <c r="I584" s="15" t="n"/>
      <c r="J584" s="26">
        <f>IF($A584="","",LEN($C584)-LEN(SUBSTITUTE($C584,",",""))+1)</f>
        <v/>
      </c>
      <c r="K584" s="26">
        <f>IF($A584="","",SUMPRODUCT(--ISNUMBER(SEARCH('Category Dictionary'!$D$5:$D$135&amp;"",$C584)),--('Category Dictionary'!$D$5:$D$135&lt;&gt;"")))</f>
        <v/>
      </c>
      <c r="L584" s="27">
        <f>IF($A584="","",TRIM(IF(ISERROR(FIND(",",$C584)),$C584,LEFT($C584,FIND(",",$C584)-1))))</f>
        <v/>
      </c>
      <c r="M584" s="28">
        <f>IF($H584="","",DATE(YEAR($H584),MONTH($H584),1))</f>
        <v/>
      </c>
      <c r="N584" s="26">
        <f>IF($H584="","",TODAY()-$H584)</f>
        <v/>
      </c>
      <c r="O584" s="15" t="n"/>
      <c r="P584" s="15" t="n"/>
      <c r="Q584" s="15" t="n"/>
      <c r="R584" s="25" t="n"/>
      <c r="S584" s="26">
        <f>IF($A584="","",AND(OR('Assignment Builder'!$B$5="",$B584='Assignment Builder'!$B$5),OR('Assignment Builder'!$B$6="",ISNUMBER(SEARCH('Assignment Builder'!$B$6,$C584))),OR('Assignment Builder'!$B$7="",'Assignment Builder'!$B$7=IFERROR(INDEX('Category Dictionary'!$C$5:$C$135,MATCH($L584,'Category Dictionary'!$D$5:$D$135,0)),"")),OR('Assignment Builder'!$B$8="",$D584='Assignment Builder'!$B$8),OR('Assignment Builder'!$B$9="",$F584='Assignment Builder'!$B$9),OR('Assignment Builder'!$B$10="",$O584='Assignment Builder'!$B$10),OR('Assignment Builder'!$B$11="",$H584&gt;='Assignment Builder'!$B$11),OR('Assignment Builder'!$B$12="",N($Q584)&lt;='Assignment Builder'!$B$12)))</f>
        <v/>
      </c>
      <c r="T584" s="23" t="n"/>
    </row>
    <row r="585">
      <c r="A585" s="23" t="n"/>
      <c r="B585" s="23" t="n"/>
      <c r="C585" s="24" t="n"/>
      <c r="D585" s="15" t="n"/>
      <c r="E585" s="23" t="n"/>
      <c r="F585" s="15" t="n"/>
      <c r="G585" s="23" t="n"/>
      <c r="H585" s="25" t="n"/>
      <c r="I585" s="15" t="n"/>
      <c r="J585" s="26">
        <f>IF($A585="","",LEN($C585)-LEN(SUBSTITUTE($C585,",",""))+1)</f>
        <v/>
      </c>
      <c r="K585" s="26">
        <f>IF($A585="","",SUMPRODUCT(--ISNUMBER(SEARCH('Category Dictionary'!$D$5:$D$135&amp;"",$C585)),--('Category Dictionary'!$D$5:$D$135&lt;&gt;"")))</f>
        <v/>
      </c>
      <c r="L585" s="27">
        <f>IF($A585="","",TRIM(IF(ISERROR(FIND(",",$C585)),$C585,LEFT($C585,FIND(",",$C585)-1))))</f>
        <v/>
      </c>
      <c r="M585" s="28">
        <f>IF($H585="","",DATE(YEAR($H585),MONTH($H585),1))</f>
        <v/>
      </c>
      <c r="N585" s="26">
        <f>IF($H585="","",TODAY()-$H585)</f>
        <v/>
      </c>
      <c r="O585" s="15" t="n"/>
      <c r="P585" s="15" t="n"/>
      <c r="Q585" s="15" t="n"/>
      <c r="R585" s="25" t="n"/>
      <c r="S585" s="26">
        <f>IF($A585="","",AND(OR('Assignment Builder'!$B$5="",$B585='Assignment Builder'!$B$5),OR('Assignment Builder'!$B$6="",ISNUMBER(SEARCH('Assignment Builder'!$B$6,$C585))),OR('Assignment Builder'!$B$7="",'Assignment Builder'!$B$7=IFERROR(INDEX('Category Dictionary'!$C$5:$C$135,MATCH($L585,'Category Dictionary'!$D$5:$D$135,0)),"")),OR('Assignment Builder'!$B$8="",$D585='Assignment Builder'!$B$8),OR('Assignment Builder'!$B$9="",$F585='Assignment Builder'!$B$9),OR('Assignment Builder'!$B$10="",$O585='Assignment Builder'!$B$10),OR('Assignment Builder'!$B$11="",$H585&gt;='Assignment Builder'!$B$11),OR('Assignment Builder'!$B$12="",N($Q585)&lt;='Assignment Builder'!$B$12)))</f>
        <v/>
      </c>
      <c r="T585" s="23" t="n"/>
    </row>
    <row r="586">
      <c r="A586" s="23" t="n"/>
      <c r="B586" s="23" t="n"/>
      <c r="C586" s="24" t="n"/>
      <c r="D586" s="15" t="n"/>
      <c r="E586" s="23" t="n"/>
      <c r="F586" s="15" t="n"/>
      <c r="G586" s="23" t="n"/>
      <c r="H586" s="25" t="n"/>
      <c r="I586" s="15" t="n"/>
      <c r="J586" s="26">
        <f>IF($A586="","",LEN($C586)-LEN(SUBSTITUTE($C586,",",""))+1)</f>
        <v/>
      </c>
      <c r="K586" s="26">
        <f>IF($A586="","",SUMPRODUCT(--ISNUMBER(SEARCH('Category Dictionary'!$D$5:$D$135&amp;"",$C586)),--('Category Dictionary'!$D$5:$D$135&lt;&gt;"")))</f>
        <v/>
      </c>
      <c r="L586" s="27">
        <f>IF($A586="","",TRIM(IF(ISERROR(FIND(",",$C586)),$C586,LEFT($C586,FIND(",",$C586)-1))))</f>
        <v/>
      </c>
      <c r="M586" s="28">
        <f>IF($H586="","",DATE(YEAR($H586),MONTH($H586),1))</f>
        <v/>
      </c>
      <c r="N586" s="26">
        <f>IF($H586="","",TODAY()-$H586)</f>
        <v/>
      </c>
      <c r="O586" s="15" t="n"/>
      <c r="P586" s="15" t="n"/>
      <c r="Q586" s="15" t="n"/>
      <c r="R586" s="25" t="n"/>
      <c r="S586" s="26">
        <f>IF($A586="","",AND(OR('Assignment Builder'!$B$5="",$B586='Assignment Builder'!$B$5),OR('Assignment Builder'!$B$6="",ISNUMBER(SEARCH('Assignment Builder'!$B$6,$C586))),OR('Assignment Builder'!$B$7="",'Assignment Builder'!$B$7=IFERROR(INDEX('Category Dictionary'!$C$5:$C$135,MATCH($L586,'Category Dictionary'!$D$5:$D$135,0)),"")),OR('Assignment Builder'!$B$8="",$D586='Assignment Builder'!$B$8),OR('Assignment Builder'!$B$9="",$F586='Assignment Builder'!$B$9),OR('Assignment Builder'!$B$10="",$O586='Assignment Builder'!$B$10),OR('Assignment Builder'!$B$11="",$H586&gt;='Assignment Builder'!$B$11),OR('Assignment Builder'!$B$12="",N($Q586)&lt;='Assignment Builder'!$B$12)))</f>
        <v/>
      </c>
      <c r="T586" s="23" t="n"/>
    </row>
    <row r="587">
      <c r="A587" s="23" t="n"/>
      <c r="B587" s="23" t="n"/>
      <c r="C587" s="24" t="n"/>
      <c r="D587" s="15" t="n"/>
      <c r="E587" s="23" t="n"/>
      <c r="F587" s="15" t="n"/>
      <c r="G587" s="23" t="n"/>
      <c r="H587" s="25" t="n"/>
      <c r="I587" s="15" t="n"/>
      <c r="J587" s="26">
        <f>IF($A587="","",LEN($C587)-LEN(SUBSTITUTE($C587,",",""))+1)</f>
        <v/>
      </c>
      <c r="K587" s="26">
        <f>IF($A587="","",SUMPRODUCT(--ISNUMBER(SEARCH('Category Dictionary'!$D$5:$D$135&amp;"",$C587)),--('Category Dictionary'!$D$5:$D$135&lt;&gt;"")))</f>
        <v/>
      </c>
      <c r="L587" s="27">
        <f>IF($A587="","",TRIM(IF(ISERROR(FIND(",",$C587)),$C587,LEFT($C587,FIND(",",$C587)-1))))</f>
        <v/>
      </c>
      <c r="M587" s="28">
        <f>IF($H587="","",DATE(YEAR($H587),MONTH($H587),1))</f>
        <v/>
      </c>
      <c r="N587" s="26">
        <f>IF($H587="","",TODAY()-$H587)</f>
        <v/>
      </c>
      <c r="O587" s="15" t="n"/>
      <c r="P587" s="15" t="n"/>
      <c r="Q587" s="15" t="n"/>
      <c r="R587" s="25" t="n"/>
      <c r="S587" s="26">
        <f>IF($A587="","",AND(OR('Assignment Builder'!$B$5="",$B587='Assignment Builder'!$B$5),OR('Assignment Builder'!$B$6="",ISNUMBER(SEARCH('Assignment Builder'!$B$6,$C587))),OR('Assignment Builder'!$B$7="",'Assignment Builder'!$B$7=IFERROR(INDEX('Category Dictionary'!$C$5:$C$135,MATCH($L587,'Category Dictionary'!$D$5:$D$135,0)),"")),OR('Assignment Builder'!$B$8="",$D587='Assignment Builder'!$B$8),OR('Assignment Builder'!$B$9="",$F587='Assignment Builder'!$B$9),OR('Assignment Builder'!$B$10="",$O587='Assignment Builder'!$B$10),OR('Assignment Builder'!$B$11="",$H587&gt;='Assignment Builder'!$B$11),OR('Assignment Builder'!$B$12="",N($Q587)&lt;='Assignment Builder'!$B$12)))</f>
        <v/>
      </c>
      <c r="T587" s="23" t="n"/>
    </row>
    <row r="588">
      <c r="A588" s="23" t="n"/>
      <c r="B588" s="23" t="n"/>
      <c r="C588" s="24" t="n"/>
      <c r="D588" s="15" t="n"/>
      <c r="E588" s="23" t="n"/>
      <c r="F588" s="15" t="n"/>
      <c r="G588" s="23" t="n"/>
      <c r="H588" s="25" t="n"/>
      <c r="I588" s="15" t="n"/>
      <c r="J588" s="26">
        <f>IF($A588="","",LEN($C588)-LEN(SUBSTITUTE($C588,",",""))+1)</f>
        <v/>
      </c>
      <c r="K588" s="26">
        <f>IF($A588="","",SUMPRODUCT(--ISNUMBER(SEARCH('Category Dictionary'!$D$5:$D$135&amp;"",$C588)),--('Category Dictionary'!$D$5:$D$135&lt;&gt;"")))</f>
        <v/>
      </c>
      <c r="L588" s="27">
        <f>IF($A588="","",TRIM(IF(ISERROR(FIND(",",$C588)),$C588,LEFT($C588,FIND(",",$C588)-1))))</f>
        <v/>
      </c>
      <c r="M588" s="28">
        <f>IF($H588="","",DATE(YEAR($H588),MONTH($H588),1))</f>
        <v/>
      </c>
      <c r="N588" s="26">
        <f>IF($H588="","",TODAY()-$H588)</f>
        <v/>
      </c>
      <c r="O588" s="15" t="n"/>
      <c r="P588" s="15" t="n"/>
      <c r="Q588" s="15" t="n"/>
      <c r="R588" s="25" t="n"/>
      <c r="S588" s="26">
        <f>IF($A588="","",AND(OR('Assignment Builder'!$B$5="",$B588='Assignment Builder'!$B$5),OR('Assignment Builder'!$B$6="",ISNUMBER(SEARCH('Assignment Builder'!$B$6,$C588))),OR('Assignment Builder'!$B$7="",'Assignment Builder'!$B$7=IFERROR(INDEX('Category Dictionary'!$C$5:$C$135,MATCH($L588,'Category Dictionary'!$D$5:$D$135,0)),"")),OR('Assignment Builder'!$B$8="",$D588='Assignment Builder'!$B$8),OR('Assignment Builder'!$B$9="",$F588='Assignment Builder'!$B$9),OR('Assignment Builder'!$B$10="",$O588='Assignment Builder'!$B$10),OR('Assignment Builder'!$B$11="",$H588&gt;='Assignment Builder'!$B$11),OR('Assignment Builder'!$B$12="",N($Q588)&lt;='Assignment Builder'!$B$12)))</f>
        <v/>
      </c>
      <c r="T588" s="23" t="n"/>
    </row>
    <row r="589">
      <c r="A589" s="23" t="n"/>
      <c r="B589" s="23" t="n"/>
      <c r="C589" s="24" t="n"/>
      <c r="D589" s="15" t="n"/>
      <c r="E589" s="23" t="n"/>
      <c r="F589" s="15" t="n"/>
      <c r="G589" s="23" t="n"/>
      <c r="H589" s="25" t="n"/>
      <c r="I589" s="15" t="n"/>
      <c r="J589" s="26">
        <f>IF($A589="","",LEN($C589)-LEN(SUBSTITUTE($C589,",",""))+1)</f>
        <v/>
      </c>
      <c r="K589" s="26">
        <f>IF($A589="","",SUMPRODUCT(--ISNUMBER(SEARCH('Category Dictionary'!$D$5:$D$135&amp;"",$C589)),--('Category Dictionary'!$D$5:$D$135&lt;&gt;"")))</f>
        <v/>
      </c>
      <c r="L589" s="27">
        <f>IF($A589="","",TRIM(IF(ISERROR(FIND(",",$C589)),$C589,LEFT($C589,FIND(",",$C589)-1))))</f>
        <v/>
      </c>
      <c r="M589" s="28">
        <f>IF($H589="","",DATE(YEAR($H589),MONTH($H589),1))</f>
        <v/>
      </c>
      <c r="N589" s="26">
        <f>IF($H589="","",TODAY()-$H589)</f>
        <v/>
      </c>
      <c r="O589" s="15" t="n"/>
      <c r="P589" s="15" t="n"/>
      <c r="Q589" s="15" t="n"/>
      <c r="R589" s="25" t="n"/>
      <c r="S589" s="26">
        <f>IF($A589="","",AND(OR('Assignment Builder'!$B$5="",$B589='Assignment Builder'!$B$5),OR('Assignment Builder'!$B$6="",ISNUMBER(SEARCH('Assignment Builder'!$B$6,$C589))),OR('Assignment Builder'!$B$7="",'Assignment Builder'!$B$7=IFERROR(INDEX('Category Dictionary'!$C$5:$C$135,MATCH($L589,'Category Dictionary'!$D$5:$D$135,0)),"")),OR('Assignment Builder'!$B$8="",$D589='Assignment Builder'!$B$8),OR('Assignment Builder'!$B$9="",$F589='Assignment Builder'!$B$9),OR('Assignment Builder'!$B$10="",$O589='Assignment Builder'!$B$10),OR('Assignment Builder'!$B$11="",$H589&gt;='Assignment Builder'!$B$11),OR('Assignment Builder'!$B$12="",N($Q589)&lt;='Assignment Builder'!$B$12)))</f>
        <v/>
      </c>
      <c r="T589" s="23" t="n"/>
    </row>
    <row r="590">
      <c r="A590" s="23" t="n"/>
      <c r="B590" s="23" t="n"/>
      <c r="C590" s="24" t="n"/>
      <c r="D590" s="15" t="n"/>
      <c r="E590" s="23" t="n"/>
      <c r="F590" s="15" t="n"/>
      <c r="G590" s="23" t="n"/>
      <c r="H590" s="25" t="n"/>
      <c r="I590" s="15" t="n"/>
      <c r="J590" s="26">
        <f>IF($A590="","",LEN($C590)-LEN(SUBSTITUTE($C590,",",""))+1)</f>
        <v/>
      </c>
      <c r="K590" s="26">
        <f>IF($A590="","",SUMPRODUCT(--ISNUMBER(SEARCH('Category Dictionary'!$D$5:$D$135&amp;"",$C590)),--('Category Dictionary'!$D$5:$D$135&lt;&gt;"")))</f>
        <v/>
      </c>
      <c r="L590" s="27">
        <f>IF($A590="","",TRIM(IF(ISERROR(FIND(",",$C590)),$C590,LEFT($C590,FIND(",",$C590)-1))))</f>
        <v/>
      </c>
      <c r="M590" s="28">
        <f>IF($H590="","",DATE(YEAR($H590),MONTH($H590),1))</f>
        <v/>
      </c>
      <c r="N590" s="26">
        <f>IF($H590="","",TODAY()-$H590)</f>
        <v/>
      </c>
      <c r="O590" s="15" t="n"/>
      <c r="P590" s="15" t="n"/>
      <c r="Q590" s="15" t="n"/>
      <c r="R590" s="25" t="n"/>
      <c r="S590" s="26">
        <f>IF($A590="","",AND(OR('Assignment Builder'!$B$5="",$B590='Assignment Builder'!$B$5),OR('Assignment Builder'!$B$6="",ISNUMBER(SEARCH('Assignment Builder'!$B$6,$C590))),OR('Assignment Builder'!$B$7="",'Assignment Builder'!$B$7=IFERROR(INDEX('Category Dictionary'!$C$5:$C$135,MATCH($L590,'Category Dictionary'!$D$5:$D$135,0)),"")),OR('Assignment Builder'!$B$8="",$D590='Assignment Builder'!$B$8),OR('Assignment Builder'!$B$9="",$F590='Assignment Builder'!$B$9),OR('Assignment Builder'!$B$10="",$O590='Assignment Builder'!$B$10),OR('Assignment Builder'!$B$11="",$H590&gt;='Assignment Builder'!$B$11),OR('Assignment Builder'!$B$12="",N($Q590)&lt;='Assignment Builder'!$B$12)))</f>
        <v/>
      </c>
      <c r="T590" s="23" t="n"/>
    </row>
    <row r="591">
      <c r="A591" s="23" t="n"/>
      <c r="B591" s="23" t="n"/>
      <c r="C591" s="24" t="n"/>
      <c r="D591" s="15" t="n"/>
      <c r="E591" s="23" t="n"/>
      <c r="F591" s="15" t="n"/>
      <c r="G591" s="23" t="n"/>
      <c r="H591" s="25" t="n"/>
      <c r="I591" s="15" t="n"/>
      <c r="J591" s="26">
        <f>IF($A591="","",LEN($C591)-LEN(SUBSTITUTE($C591,",",""))+1)</f>
        <v/>
      </c>
      <c r="K591" s="26">
        <f>IF($A591="","",SUMPRODUCT(--ISNUMBER(SEARCH('Category Dictionary'!$D$5:$D$135&amp;"",$C591)),--('Category Dictionary'!$D$5:$D$135&lt;&gt;"")))</f>
        <v/>
      </c>
      <c r="L591" s="27">
        <f>IF($A591="","",TRIM(IF(ISERROR(FIND(",",$C591)),$C591,LEFT($C591,FIND(",",$C591)-1))))</f>
        <v/>
      </c>
      <c r="M591" s="28">
        <f>IF($H591="","",DATE(YEAR($H591),MONTH($H591),1))</f>
        <v/>
      </c>
      <c r="N591" s="26">
        <f>IF($H591="","",TODAY()-$H591)</f>
        <v/>
      </c>
      <c r="O591" s="15" t="n"/>
      <c r="P591" s="15" t="n"/>
      <c r="Q591" s="15" t="n"/>
      <c r="R591" s="25" t="n"/>
      <c r="S591" s="26">
        <f>IF($A591="","",AND(OR('Assignment Builder'!$B$5="",$B591='Assignment Builder'!$B$5),OR('Assignment Builder'!$B$6="",ISNUMBER(SEARCH('Assignment Builder'!$B$6,$C591))),OR('Assignment Builder'!$B$7="",'Assignment Builder'!$B$7=IFERROR(INDEX('Category Dictionary'!$C$5:$C$135,MATCH($L591,'Category Dictionary'!$D$5:$D$135,0)),"")),OR('Assignment Builder'!$B$8="",$D591='Assignment Builder'!$B$8),OR('Assignment Builder'!$B$9="",$F591='Assignment Builder'!$B$9),OR('Assignment Builder'!$B$10="",$O591='Assignment Builder'!$B$10),OR('Assignment Builder'!$B$11="",$H591&gt;='Assignment Builder'!$B$11),OR('Assignment Builder'!$B$12="",N($Q591)&lt;='Assignment Builder'!$B$12)))</f>
        <v/>
      </c>
      <c r="T591" s="23" t="n"/>
    </row>
    <row r="592">
      <c r="A592" s="23" t="n"/>
      <c r="B592" s="23" t="n"/>
      <c r="C592" s="24" t="n"/>
      <c r="D592" s="15" t="n"/>
      <c r="E592" s="23" t="n"/>
      <c r="F592" s="15" t="n"/>
      <c r="G592" s="23" t="n"/>
      <c r="H592" s="25" t="n"/>
      <c r="I592" s="15" t="n"/>
      <c r="J592" s="26">
        <f>IF($A592="","",LEN($C592)-LEN(SUBSTITUTE($C592,",",""))+1)</f>
        <v/>
      </c>
      <c r="K592" s="26">
        <f>IF($A592="","",SUMPRODUCT(--ISNUMBER(SEARCH('Category Dictionary'!$D$5:$D$135&amp;"",$C592)),--('Category Dictionary'!$D$5:$D$135&lt;&gt;"")))</f>
        <v/>
      </c>
      <c r="L592" s="27">
        <f>IF($A592="","",TRIM(IF(ISERROR(FIND(",",$C592)),$C592,LEFT($C592,FIND(",",$C592)-1))))</f>
        <v/>
      </c>
      <c r="M592" s="28">
        <f>IF($H592="","",DATE(YEAR($H592),MONTH($H592),1))</f>
        <v/>
      </c>
      <c r="N592" s="26">
        <f>IF($H592="","",TODAY()-$H592)</f>
        <v/>
      </c>
      <c r="O592" s="15" t="n"/>
      <c r="P592" s="15" t="n"/>
      <c r="Q592" s="15" t="n"/>
      <c r="R592" s="25" t="n"/>
      <c r="S592" s="26">
        <f>IF($A592="","",AND(OR('Assignment Builder'!$B$5="",$B592='Assignment Builder'!$B$5),OR('Assignment Builder'!$B$6="",ISNUMBER(SEARCH('Assignment Builder'!$B$6,$C592))),OR('Assignment Builder'!$B$7="",'Assignment Builder'!$B$7=IFERROR(INDEX('Category Dictionary'!$C$5:$C$135,MATCH($L592,'Category Dictionary'!$D$5:$D$135,0)),"")),OR('Assignment Builder'!$B$8="",$D592='Assignment Builder'!$B$8),OR('Assignment Builder'!$B$9="",$F592='Assignment Builder'!$B$9),OR('Assignment Builder'!$B$10="",$O592='Assignment Builder'!$B$10),OR('Assignment Builder'!$B$11="",$H592&gt;='Assignment Builder'!$B$11),OR('Assignment Builder'!$B$12="",N($Q592)&lt;='Assignment Builder'!$B$12)))</f>
        <v/>
      </c>
      <c r="T592" s="23" t="n"/>
    </row>
    <row r="593">
      <c r="A593" s="23" t="n"/>
      <c r="B593" s="23" t="n"/>
      <c r="C593" s="24" t="n"/>
      <c r="D593" s="15" t="n"/>
      <c r="E593" s="23" t="n"/>
      <c r="F593" s="15" t="n"/>
      <c r="G593" s="23" t="n"/>
      <c r="H593" s="25" t="n"/>
      <c r="I593" s="15" t="n"/>
      <c r="J593" s="26">
        <f>IF($A593="","",LEN($C593)-LEN(SUBSTITUTE($C593,",",""))+1)</f>
        <v/>
      </c>
      <c r="K593" s="26">
        <f>IF($A593="","",SUMPRODUCT(--ISNUMBER(SEARCH('Category Dictionary'!$D$5:$D$135&amp;"",$C593)),--('Category Dictionary'!$D$5:$D$135&lt;&gt;"")))</f>
        <v/>
      </c>
      <c r="L593" s="27">
        <f>IF($A593="","",TRIM(IF(ISERROR(FIND(",",$C593)),$C593,LEFT($C593,FIND(",",$C593)-1))))</f>
        <v/>
      </c>
      <c r="M593" s="28">
        <f>IF($H593="","",DATE(YEAR($H593),MONTH($H593),1))</f>
        <v/>
      </c>
      <c r="N593" s="26">
        <f>IF($H593="","",TODAY()-$H593)</f>
        <v/>
      </c>
      <c r="O593" s="15" t="n"/>
      <c r="P593" s="15" t="n"/>
      <c r="Q593" s="15" t="n"/>
      <c r="R593" s="25" t="n"/>
      <c r="S593" s="26">
        <f>IF($A593="","",AND(OR('Assignment Builder'!$B$5="",$B593='Assignment Builder'!$B$5),OR('Assignment Builder'!$B$6="",ISNUMBER(SEARCH('Assignment Builder'!$B$6,$C593))),OR('Assignment Builder'!$B$7="",'Assignment Builder'!$B$7=IFERROR(INDEX('Category Dictionary'!$C$5:$C$135,MATCH($L593,'Category Dictionary'!$D$5:$D$135,0)),"")),OR('Assignment Builder'!$B$8="",$D593='Assignment Builder'!$B$8),OR('Assignment Builder'!$B$9="",$F593='Assignment Builder'!$B$9),OR('Assignment Builder'!$B$10="",$O593='Assignment Builder'!$B$10),OR('Assignment Builder'!$B$11="",$H593&gt;='Assignment Builder'!$B$11),OR('Assignment Builder'!$B$12="",N($Q593)&lt;='Assignment Builder'!$B$12)))</f>
        <v/>
      </c>
      <c r="T593" s="23" t="n"/>
    </row>
    <row r="594">
      <c r="A594" s="23" t="n"/>
      <c r="B594" s="23" t="n"/>
      <c r="C594" s="24" t="n"/>
      <c r="D594" s="15" t="n"/>
      <c r="E594" s="23" t="n"/>
      <c r="F594" s="15" t="n"/>
      <c r="G594" s="23" t="n"/>
      <c r="H594" s="25" t="n"/>
      <c r="I594" s="15" t="n"/>
      <c r="J594" s="26">
        <f>IF($A594="","",LEN($C594)-LEN(SUBSTITUTE($C594,",",""))+1)</f>
        <v/>
      </c>
      <c r="K594" s="26">
        <f>IF($A594="","",SUMPRODUCT(--ISNUMBER(SEARCH('Category Dictionary'!$D$5:$D$135&amp;"",$C594)),--('Category Dictionary'!$D$5:$D$135&lt;&gt;"")))</f>
        <v/>
      </c>
      <c r="L594" s="27">
        <f>IF($A594="","",TRIM(IF(ISERROR(FIND(",",$C594)),$C594,LEFT($C594,FIND(",",$C594)-1))))</f>
        <v/>
      </c>
      <c r="M594" s="28">
        <f>IF($H594="","",DATE(YEAR($H594),MONTH($H594),1))</f>
        <v/>
      </c>
      <c r="N594" s="26">
        <f>IF($H594="","",TODAY()-$H594)</f>
        <v/>
      </c>
      <c r="O594" s="15" t="n"/>
      <c r="P594" s="15" t="n"/>
      <c r="Q594" s="15" t="n"/>
      <c r="R594" s="25" t="n"/>
      <c r="S594" s="26">
        <f>IF($A594="","",AND(OR('Assignment Builder'!$B$5="",$B594='Assignment Builder'!$B$5),OR('Assignment Builder'!$B$6="",ISNUMBER(SEARCH('Assignment Builder'!$B$6,$C594))),OR('Assignment Builder'!$B$7="",'Assignment Builder'!$B$7=IFERROR(INDEX('Category Dictionary'!$C$5:$C$135,MATCH($L594,'Category Dictionary'!$D$5:$D$135,0)),"")),OR('Assignment Builder'!$B$8="",$D594='Assignment Builder'!$B$8),OR('Assignment Builder'!$B$9="",$F594='Assignment Builder'!$B$9),OR('Assignment Builder'!$B$10="",$O594='Assignment Builder'!$B$10),OR('Assignment Builder'!$B$11="",$H594&gt;='Assignment Builder'!$B$11),OR('Assignment Builder'!$B$12="",N($Q594)&lt;='Assignment Builder'!$B$12)))</f>
        <v/>
      </c>
      <c r="T594" s="23" t="n"/>
    </row>
    <row r="595">
      <c r="A595" s="23" t="n"/>
      <c r="B595" s="23" t="n"/>
      <c r="C595" s="24" t="n"/>
      <c r="D595" s="15" t="n"/>
      <c r="E595" s="23" t="n"/>
      <c r="F595" s="15" t="n"/>
      <c r="G595" s="23" t="n"/>
      <c r="H595" s="25" t="n"/>
      <c r="I595" s="15" t="n"/>
      <c r="J595" s="26">
        <f>IF($A595="","",LEN($C595)-LEN(SUBSTITUTE($C595,",",""))+1)</f>
        <v/>
      </c>
      <c r="K595" s="26">
        <f>IF($A595="","",SUMPRODUCT(--ISNUMBER(SEARCH('Category Dictionary'!$D$5:$D$135&amp;"",$C595)),--('Category Dictionary'!$D$5:$D$135&lt;&gt;"")))</f>
        <v/>
      </c>
      <c r="L595" s="27">
        <f>IF($A595="","",TRIM(IF(ISERROR(FIND(",",$C595)),$C595,LEFT($C595,FIND(",",$C595)-1))))</f>
        <v/>
      </c>
      <c r="M595" s="28">
        <f>IF($H595="","",DATE(YEAR($H595),MONTH($H595),1))</f>
        <v/>
      </c>
      <c r="N595" s="26">
        <f>IF($H595="","",TODAY()-$H595)</f>
        <v/>
      </c>
      <c r="O595" s="15" t="n"/>
      <c r="P595" s="15" t="n"/>
      <c r="Q595" s="15" t="n"/>
      <c r="R595" s="25" t="n"/>
      <c r="S595" s="26">
        <f>IF($A595="","",AND(OR('Assignment Builder'!$B$5="",$B595='Assignment Builder'!$B$5),OR('Assignment Builder'!$B$6="",ISNUMBER(SEARCH('Assignment Builder'!$B$6,$C595))),OR('Assignment Builder'!$B$7="",'Assignment Builder'!$B$7=IFERROR(INDEX('Category Dictionary'!$C$5:$C$135,MATCH($L595,'Category Dictionary'!$D$5:$D$135,0)),"")),OR('Assignment Builder'!$B$8="",$D595='Assignment Builder'!$B$8),OR('Assignment Builder'!$B$9="",$F595='Assignment Builder'!$B$9),OR('Assignment Builder'!$B$10="",$O595='Assignment Builder'!$B$10),OR('Assignment Builder'!$B$11="",$H595&gt;='Assignment Builder'!$B$11),OR('Assignment Builder'!$B$12="",N($Q595)&lt;='Assignment Builder'!$B$12)))</f>
        <v/>
      </c>
      <c r="T595" s="23" t="n"/>
    </row>
    <row r="596">
      <c r="A596" s="23" t="n"/>
      <c r="B596" s="23" t="n"/>
      <c r="C596" s="24" t="n"/>
      <c r="D596" s="15" t="n"/>
      <c r="E596" s="23" t="n"/>
      <c r="F596" s="15" t="n"/>
      <c r="G596" s="23" t="n"/>
      <c r="H596" s="25" t="n"/>
      <c r="I596" s="15" t="n"/>
      <c r="J596" s="26">
        <f>IF($A596="","",LEN($C596)-LEN(SUBSTITUTE($C596,",",""))+1)</f>
        <v/>
      </c>
      <c r="K596" s="26">
        <f>IF($A596="","",SUMPRODUCT(--ISNUMBER(SEARCH('Category Dictionary'!$D$5:$D$135&amp;"",$C596)),--('Category Dictionary'!$D$5:$D$135&lt;&gt;"")))</f>
        <v/>
      </c>
      <c r="L596" s="27">
        <f>IF($A596="","",TRIM(IF(ISERROR(FIND(",",$C596)),$C596,LEFT($C596,FIND(",",$C596)-1))))</f>
        <v/>
      </c>
      <c r="M596" s="28">
        <f>IF($H596="","",DATE(YEAR($H596),MONTH($H596),1))</f>
        <v/>
      </c>
      <c r="N596" s="26">
        <f>IF($H596="","",TODAY()-$H596)</f>
        <v/>
      </c>
      <c r="O596" s="15" t="n"/>
      <c r="P596" s="15" t="n"/>
      <c r="Q596" s="15" t="n"/>
      <c r="R596" s="25" t="n"/>
      <c r="S596" s="26">
        <f>IF($A596="","",AND(OR('Assignment Builder'!$B$5="",$B596='Assignment Builder'!$B$5),OR('Assignment Builder'!$B$6="",ISNUMBER(SEARCH('Assignment Builder'!$B$6,$C596))),OR('Assignment Builder'!$B$7="",'Assignment Builder'!$B$7=IFERROR(INDEX('Category Dictionary'!$C$5:$C$135,MATCH($L596,'Category Dictionary'!$D$5:$D$135,0)),"")),OR('Assignment Builder'!$B$8="",$D596='Assignment Builder'!$B$8),OR('Assignment Builder'!$B$9="",$F596='Assignment Builder'!$B$9),OR('Assignment Builder'!$B$10="",$O596='Assignment Builder'!$B$10),OR('Assignment Builder'!$B$11="",$H596&gt;='Assignment Builder'!$B$11),OR('Assignment Builder'!$B$12="",N($Q596)&lt;='Assignment Builder'!$B$12)))</f>
        <v/>
      </c>
      <c r="T596" s="23" t="n"/>
    </row>
    <row r="597">
      <c r="A597" s="23" t="n"/>
      <c r="B597" s="23" t="n"/>
      <c r="C597" s="24" t="n"/>
      <c r="D597" s="15" t="n"/>
      <c r="E597" s="23" t="n"/>
      <c r="F597" s="15" t="n"/>
      <c r="G597" s="23" t="n"/>
      <c r="H597" s="25" t="n"/>
      <c r="I597" s="15" t="n"/>
      <c r="J597" s="26">
        <f>IF($A597="","",LEN($C597)-LEN(SUBSTITUTE($C597,",",""))+1)</f>
        <v/>
      </c>
      <c r="K597" s="26">
        <f>IF($A597="","",SUMPRODUCT(--ISNUMBER(SEARCH('Category Dictionary'!$D$5:$D$135&amp;"",$C597)),--('Category Dictionary'!$D$5:$D$135&lt;&gt;"")))</f>
        <v/>
      </c>
      <c r="L597" s="27">
        <f>IF($A597="","",TRIM(IF(ISERROR(FIND(",",$C597)),$C597,LEFT($C597,FIND(",",$C597)-1))))</f>
        <v/>
      </c>
      <c r="M597" s="28">
        <f>IF($H597="","",DATE(YEAR($H597),MONTH($H597),1))</f>
        <v/>
      </c>
      <c r="N597" s="26">
        <f>IF($H597="","",TODAY()-$H597)</f>
        <v/>
      </c>
      <c r="O597" s="15" t="n"/>
      <c r="P597" s="15" t="n"/>
      <c r="Q597" s="15" t="n"/>
      <c r="R597" s="25" t="n"/>
      <c r="S597" s="26">
        <f>IF($A597="","",AND(OR('Assignment Builder'!$B$5="",$B597='Assignment Builder'!$B$5),OR('Assignment Builder'!$B$6="",ISNUMBER(SEARCH('Assignment Builder'!$B$6,$C597))),OR('Assignment Builder'!$B$7="",'Assignment Builder'!$B$7=IFERROR(INDEX('Category Dictionary'!$C$5:$C$135,MATCH($L597,'Category Dictionary'!$D$5:$D$135,0)),"")),OR('Assignment Builder'!$B$8="",$D597='Assignment Builder'!$B$8),OR('Assignment Builder'!$B$9="",$F597='Assignment Builder'!$B$9),OR('Assignment Builder'!$B$10="",$O597='Assignment Builder'!$B$10),OR('Assignment Builder'!$B$11="",$H597&gt;='Assignment Builder'!$B$11),OR('Assignment Builder'!$B$12="",N($Q597)&lt;='Assignment Builder'!$B$12)))</f>
        <v/>
      </c>
      <c r="T597" s="23" t="n"/>
    </row>
    <row r="598">
      <c r="A598" s="23" t="n"/>
      <c r="B598" s="23" t="n"/>
      <c r="C598" s="24" t="n"/>
      <c r="D598" s="15" t="n"/>
      <c r="E598" s="23" t="n"/>
      <c r="F598" s="15" t="n"/>
      <c r="G598" s="23" t="n"/>
      <c r="H598" s="25" t="n"/>
      <c r="I598" s="15" t="n"/>
      <c r="J598" s="26">
        <f>IF($A598="","",LEN($C598)-LEN(SUBSTITUTE($C598,",",""))+1)</f>
        <v/>
      </c>
      <c r="K598" s="26">
        <f>IF($A598="","",SUMPRODUCT(--ISNUMBER(SEARCH('Category Dictionary'!$D$5:$D$135&amp;"",$C598)),--('Category Dictionary'!$D$5:$D$135&lt;&gt;"")))</f>
        <v/>
      </c>
      <c r="L598" s="27">
        <f>IF($A598="","",TRIM(IF(ISERROR(FIND(",",$C598)),$C598,LEFT($C598,FIND(",",$C598)-1))))</f>
        <v/>
      </c>
      <c r="M598" s="28">
        <f>IF($H598="","",DATE(YEAR($H598),MONTH($H598),1))</f>
        <v/>
      </c>
      <c r="N598" s="26">
        <f>IF($H598="","",TODAY()-$H598)</f>
        <v/>
      </c>
      <c r="O598" s="15" t="n"/>
      <c r="P598" s="15" t="n"/>
      <c r="Q598" s="15" t="n"/>
      <c r="R598" s="25" t="n"/>
      <c r="S598" s="26">
        <f>IF($A598="","",AND(OR('Assignment Builder'!$B$5="",$B598='Assignment Builder'!$B$5),OR('Assignment Builder'!$B$6="",ISNUMBER(SEARCH('Assignment Builder'!$B$6,$C598))),OR('Assignment Builder'!$B$7="",'Assignment Builder'!$B$7=IFERROR(INDEX('Category Dictionary'!$C$5:$C$135,MATCH($L598,'Category Dictionary'!$D$5:$D$135,0)),"")),OR('Assignment Builder'!$B$8="",$D598='Assignment Builder'!$B$8),OR('Assignment Builder'!$B$9="",$F598='Assignment Builder'!$B$9),OR('Assignment Builder'!$B$10="",$O598='Assignment Builder'!$B$10),OR('Assignment Builder'!$B$11="",$H598&gt;='Assignment Builder'!$B$11),OR('Assignment Builder'!$B$12="",N($Q598)&lt;='Assignment Builder'!$B$12)))</f>
        <v/>
      </c>
      <c r="T598" s="23" t="n"/>
    </row>
    <row r="599">
      <c r="A599" s="23" t="n"/>
      <c r="B599" s="23" t="n"/>
      <c r="C599" s="24" t="n"/>
      <c r="D599" s="15" t="n"/>
      <c r="E599" s="23" t="n"/>
      <c r="F599" s="15" t="n"/>
      <c r="G599" s="23" t="n"/>
      <c r="H599" s="25" t="n"/>
      <c r="I599" s="15" t="n"/>
      <c r="J599" s="26">
        <f>IF($A599="","",LEN($C599)-LEN(SUBSTITUTE($C599,",",""))+1)</f>
        <v/>
      </c>
      <c r="K599" s="26">
        <f>IF($A599="","",SUMPRODUCT(--ISNUMBER(SEARCH('Category Dictionary'!$D$5:$D$135&amp;"",$C599)),--('Category Dictionary'!$D$5:$D$135&lt;&gt;"")))</f>
        <v/>
      </c>
      <c r="L599" s="27">
        <f>IF($A599="","",TRIM(IF(ISERROR(FIND(",",$C599)),$C599,LEFT($C599,FIND(",",$C599)-1))))</f>
        <v/>
      </c>
      <c r="M599" s="28">
        <f>IF($H599="","",DATE(YEAR($H599),MONTH($H599),1))</f>
        <v/>
      </c>
      <c r="N599" s="26">
        <f>IF($H599="","",TODAY()-$H599)</f>
        <v/>
      </c>
      <c r="O599" s="15" t="n"/>
      <c r="P599" s="15" t="n"/>
      <c r="Q599" s="15" t="n"/>
      <c r="R599" s="25" t="n"/>
      <c r="S599" s="26">
        <f>IF($A599="","",AND(OR('Assignment Builder'!$B$5="",$B599='Assignment Builder'!$B$5),OR('Assignment Builder'!$B$6="",ISNUMBER(SEARCH('Assignment Builder'!$B$6,$C599))),OR('Assignment Builder'!$B$7="",'Assignment Builder'!$B$7=IFERROR(INDEX('Category Dictionary'!$C$5:$C$135,MATCH($L599,'Category Dictionary'!$D$5:$D$135,0)),"")),OR('Assignment Builder'!$B$8="",$D599='Assignment Builder'!$B$8),OR('Assignment Builder'!$B$9="",$F599='Assignment Builder'!$B$9),OR('Assignment Builder'!$B$10="",$O599='Assignment Builder'!$B$10),OR('Assignment Builder'!$B$11="",$H599&gt;='Assignment Builder'!$B$11),OR('Assignment Builder'!$B$12="",N($Q599)&lt;='Assignment Builder'!$B$12)))</f>
        <v/>
      </c>
      <c r="T599" s="23" t="n"/>
    </row>
    <row r="600">
      <c r="A600" s="23" t="n"/>
      <c r="B600" s="23" t="n"/>
      <c r="C600" s="24" t="n"/>
      <c r="D600" s="15" t="n"/>
      <c r="E600" s="23" t="n"/>
      <c r="F600" s="15" t="n"/>
      <c r="G600" s="23" t="n"/>
      <c r="H600" s="25" t="n"/>
      <c r="I600" s="15" t="n"/>
      <c r="J600" s="26">
        <f>IF($A600="","",LEN($C600)-LEN(SUBSTITUTE($C600,",",""))+1)</f>
        <v/>
      </c>
      <c r="K600" s="26">
        <f>IF($A600="","",SUMPRODUCT(--ISNUMBER(SEARCH('Category Dictionary'!$D$5:$D$135&amp;"",$C600)),--('Category Dictionary'!$D$5:$D$135&lt;&gt;"")))</f>
        <v/>
      </c>
      <c r="L600" s="27">
        <f>IF($A600="","",TRIM(IF(ISERROR(FIND(",",$C600)),$C600,LEFT($C600,FIND(",",$C600)-1))))</f>
        <v/>
      </c>
      <c r="M600" s="28">
        <f>IF($H600="","",DATE(YEAR($H600),MONTH($H600),1))</f>
        <v/>
      </c>
      <c r="N600" s="26">
        <f>IF($H600="","",TODAY()-$H600)</f>
        <v/>
      </c>
      <c r="O600" s="15" t="n"/>
      <c r="P600" s="15" t="n"/>
      <c r="Q600" s="15" t="n"/>
      <c r="R600" s="25" t="n"/>
      <c r="S600" s="26">
        <f>IF($A600="","",AND(OR('Assignment Builder'!$B$5="",$B600='Assignment Builder'!$B$5),OR('Assignment Builder'!$B$6="",ISNUMBER(SEARCH('Assignment Builder'!$B$6,$C600))),OR('Assignment Builder'!$B$7="",'Assignment Builder'!$B$7=IFERROR(INDEX('Category Dictionary'!$C$5:$C$135,MATCH($L600,'Category Dictionary'!$D$5:$D$135,0)),"")),OR('Assignment Builder'!$B$8="",$D600='Assignment Builder'!$B$8),OR('Assignment Builder'!$B$9="",$F600='Assignment Builder'!$B$9),OR('Assignment Builder'!$B$10="",$O600='Assignment Builder'!$B$10),OR('Assignment Builder'!$B$11="",$H600&gt;='Assignment Builder'!$B$11),OR('Assignment Builder'!$B$12="",N($Q600)&lt;='Assignment Builder'!$B$12)))</f>
        <v/>
      </c>
      <c r="T600" s="23" t="n"/>
    </row>
    <row r="601">
      <c r="A601" s="23" t="n"/>
      <c r="B601" s="23" t="n"/>
      <c r="C601" s="24" t="n"/>
      <c r="D601" s="15" t="n"/>
      <c r="E601" s="23" t="n"/>
      <c r="F601" s="15" t="n"/>
      <c r="G601" s="23" t="n"/>
      <c r="H601" s="25" t="n"/>
      <c r="I601" s="15" t="n"/>
      <c r="J601" s="26">
        <f>IF($A601="","",LEN($C601)-LEN(SUBSTITUTE($C601,",",""))+1)</f>
        <v/>
      </c>
      <c r="K601" s="26">
        <f>IF($A601="","",SUMPRODUCT(--ISNUMBER(SEARCH('Category Dictionary'!$D$5:$D$135&amp;"",$C601)),--('Category Dictionary'!$D$5:$D$135&lt;&gt;"")))</f>
        <v/>
      </c>
      <c r="L601" s="27">
        <f>IF($A601="","",TRIM(IF(ISERROR(FIND(",",$C601)),$C601,LEFT($C601,FIND(",",$C601)-1))))</f>
        <v/>
      </c>
      <c r="M601" s="28">
        <f>IF($H601="","",DATE(YEAR($H601),MONTH($H601),1))</f>
        <v/>
      </c>
      <c r="N601" s="26">
        <f>IF($H601="","",TODAY()-$H601)</f>
        <v/>
      </c>
      <c r="O601" s="15" t="n"/>
      <c r="P601" s="15" t="n"/>
      <c r="Q601" s="15" t="n"/>
      <c r="R601" s="25" t="n"/>
      <c r="S601" s="26">
        <f>IF($A601="","",AND(OR('Assignment Builder'!$B$5="",$B601='Assignment Builder'!$B$5),OR('Assignment Builder'!$B$6="",ISNUMBER(SEARCH('Assignment Builder'!$B$6,$C601))),OR('Assignment Builder'!$B$7="",'Assignment Builder'!$B$7=IFERROR(INDEX('Category Dictionary'!$C$5:$C$135,MATCH($L601,'Category Dictionary'!$D$5:$D$135,0)),"")),OR('Assignment Builder'!$B$8="",$D601='Assignment Builder'!$B$8),OR('Assignment Builder'!$B$9="",$F601='Assignment Builder'!$B$9),OR('Assignment Builder'!$B$10="",$O601='Assignment Builder'!$B$10),OR('Assignment Builder'!$B$11="",$H601&gt;='Assignment Builder'!$B$11),OR('Assignment Builder'!$B$12="",N($Q601)&lt;='Assignment Builder'!$B$12)))</f>
        <v/>
      </c>
      <c r="T601" s="23" t="n"/>
    </row>
    <row r="602">
      <c r="A602" s="23" t="n"/>
      <c r="B602" s="23" t="n"/>
      <c r="C602" s="24" t="n"/>
      <c r="D602" s="15" t="n"/>
      <c r="E602" s="23" t="n"/>
      <c r="F602" s="15" t="n"/>
      <c r="G602" s="23" t="n"/>
      <c r="H602" s="25" t="n"/>
      <c r="I602" s="15" t="n"/>
      <c r="J602" s="26">
        <f>IF($A602="","",LEN($C602)-LEN(SUBSTITUTE($C602,",",""))+1)</f>
        <v/>
      </c>
      <c r="K602" s="26">
        <f>IF($A602="","",SUMPRODUCT(--ISNUMBER(SEARCH('Category Dictionary'!$D$5:$D$135&amp;"",$C602)),--('Category Dictionary'!$D$5:$D$135&lt;&gt;"")))</f>
        <v/>
      </c>
      <c r="L602" s="27">
        <f>IF($A602="","",TRIM(IF(ISERROR(FIND(",",$C602)),$C602,LEFT($C602,FIND(",",$C602)-1))))</f>
        <v/>
      </c>
      <c r="M602" s="28">
        <f>IF($H602="","",DATE(YEAR($H602),MONTH($H602),1))</f>
        <v/>
      </c>
      <c r="N602" s="26">
        <f>IF($H602="","",TODAY()-$H602)</f>
        <v/>
      </c>
      <c r="O602" s="15" t="n"/>
      <c r="P602" s="15" t="n"/>
      <c r="Q602" s="15" t="n"/>
      <c r="R602" s="25" t="n"/>
      <c r="S602" s="26">
        <f>IF($A602="","",AND(OR('Assignment Builder'!$B$5="",$B602='Assignment Builder'!$B$5),OR('Assignment Builder'!$B$6="",ISNUMBER(SEARCH('Assignment Builder'!$B$6,$C602))),OR('Assignment Builder'!$B$7="",'Assignment Builder'!$B$7=IFERROR(INDEX('Category Dictionary'!$C$5:$C$135,MATCH($L602,'Category Dictionary'!$D$5:$D$135,0)),"")),OR('Assignment Builder'!$B$8="",$D602='Assignment Builder'!$B$8),OR('Assignment Builder'!$B$9="",$F602='Assignment Builder'!$B$9),OR('Assignment Builder'!$B$10="",$O602='Assignment Builder'!$B$10),OR('Assignment Builder'!$B$11="",$H602&gt;='Assignment Builder'!$B$11),OR('Assignment Builder'!$B$12="",N($Q602)&lt;='Assignment Builder'!$B$12)))</f>
        <v/>
      </c>
      <c r="T602" s="23" t="n"/>
    </row>
    <row r="603">
      <c r="A603" s="23" t="n"/>
      <c r="B603" s="23" t="n"/>
      <c r="C603" s="24" t="n"/>
      <c r="D603" s="15" t="n"/>
      <c r="E603" s="23" t="n"/>
      <c r="F603" s="15" t="n"/>
      <c r="G603" s="23" t="n"/>
      <c r="H603" s="25" t="n"/>
      <c r="I603" s="15" t="n"/>
      <c r="J603" s="26">
        <f>IF($A603="","",LEN($C603)-LEN(SUBSTITUTE($C603,",",""))+1)</f>
        <v/>
      </c>
      <c r="K603" s="26">
        <f>IF($A603="","",SUMPRODUCT(--ISNUMBER(SEARCH('Category Dictionary'!$D$5:$D$135&amp;"",$C603)),--('Category Dictionary'!$D$5:$D$135&lt;&gt;"")))</f>
        <v/>
      </c>
      <c r="L603" s="27">
        <f>IF($A603="","",TRIM(IF(ISERROR(FIND(",",$C603)),$C603,LEFT($C603,FIND(",",$C603)-1))))</f>
        <v/>
      </c>
      <c r="M603" s="28">
        <f>IF($H603="","",DATE(YEAR($H603),MONTH($H603),1))</f>
        <v/>
      </c>
      <c r="N603" s="26">
        <f>IF($H603="","",TODAY()-$H603)</f>
        <v/>
      </c>
      <c r="O603" s="15" t="n"/>
      <c r="P603" s="15" t="n"/>
      <c r="Q603" s="15" t="n"/>
      <c r="R603" s="25" t="n"/>
      <c r="S603" s="26">
        <f>IF($A603="","",AND(OR('Assignment Builder'!$B$5="",$B603='Assignment Builder'!$B$5),OR('Assignment Builder'!$B$6="",ISNUMBER(SEARCH('Assignment Builder'!$B$6,$C603))),OR('Assignment Builder'!$B$7="",'Assignment Builder'!$B$7=IFERROR(INDEX('Category Dictionary'!$C$5:$C$135,MATCH($L603,'Category Dictionary'!$D$5:$D$135,0)),"")),OR('Assignment Builder'!$B$8="",$D603='Assignment Builder'!$B$8),OR('Assignment Builder'!$B$9="",$F603='Assignment Builder'!$B$9),OR('Assignment Builder'!$B$10="",$O603='Assignment Builder'!$B$10),OR('Assignment Builder'!$B$11="",$H603&gt;='Assignment Builder'!$B$11),OR('Assignment Builder'!$B$12="",N($Q603)&lt;='Assignment Builder'!$B$12)))</f>
        <v/>
      </c>
      <c r="T603" s="23" t="n"/>
    </row>
    <row r="604">
      <c r="A604" s="23" t="n"/>
      <c r="B604" s="23" t="n"/>
      <c r="C604" s="24" t="n"/>
      <c r="D604" s="15" t="n"/>
      <c r="E604" s="23" t="n"/>
      <c r="F604" s="15" t="n"/>
      <c r="G604" s="23" t="n"/>
      <c r="H604" s="25" t="n"/>
      <c r="I604" s="15" t="n"/>
      <c r="J604" s="26">
        <f>IF($A604="","",LEN($C604)-LEN(SUBSTITUTE($C604,",",""))+1)</f>
        <v/>
      </c>
      <c r="K604" s="26">
        <f>IF($A604="","",SUMPRODUCT(--ISNUMBER(SEARCH('Category Dictionary'!$D$5:$D$135&amp;"",$C604)),--('Category Dictionary'!$D$5:$D$135&lt;&gt;"")))</f>
        <v/>
      </c>
      <c r="L604" s="27">
        <f>IF($A604="","",TRIM(IF(ISERROR(FIND(",",$C604)),$C604,LEFT($C604,FIND(",",$C604)-1))))</f>
        <v/>
      </c>
      <c r="M604" s="28">
        <f>IF($H604="","",DATE(YEAR($H604),MONTH($H604),1))</f>
        <v/>
      </c>
      <c r="N604" s="26">
        <f>IF($H604="","",TODAY()-$H604)</f>
        <v/>
      </c>
      <c r="O604" s="15" t="n"/>
      <c r="P604" s="15" t="n"/>
      <c r="Q604" s="15" t="n"/>
      <c r="R604" s="25" t="n"/>
      <c r="S604" s="26">
        <f>IF($A604="","",AND(OR('Assignment Builder'!$B$5="",$B604='Assignment Builder'!$B$5),OR('Assignment Builder'!$B$6="",ISNUMBER(SEARCH('Assignment Builder'!$B$6,$C604))),OR('Assignment Builder'!$B$7="",'Assignment Builder'!$B$7=IFERROR(INDEX('Category Dictionary'!$C$5:$C$135,MATCH($L604,'Category Dictionary'!$D$5:$D$135,0)),"")),OR('Assignment Builder'!$B$8="",$D604='Assignment Builder'!$B$8),OR('Assignment Builder'!$B$9="",$F604='Assignment Builder'!$B$9),OR('Assignment Builder'!$B$10="",$O604='Assignment Builder'!$B$10),OR('Assignment Builder'!$B$11="",$H604&gt;='Assignment Builder'!$B$11),OR('Assignment Builder'!$B$12="",N($Q604)&lt;='Assignment Builder'!$B$12)))</f>
        <v/>
      </c>
      <c r="T604" s="23" t="n"/>
    </row>
    <row r="605">
      <c r="A605" s="23" t="n"/>
      <c r="B605" s="23" t="n"/>
      <c r="C605" s="24" t="n"/>
      <c r="D605" s="15" t="n"/>
      <c r="E605" s="23" t="n"/>
      <c r="F605" s="15" t="n"/>
      <c r="G605" s="23" t="n"/>
      <c r="H605" s="25" t="n"/>
      <c r="I605" s="15" t="n"/>
      <c r="J605" s="26">
        <f>IF($A605="","",LEN($C605)-LEN(SUBSTITUTE($C605,",",""))+1)</f>
        <v/>
      </c>
      <c r="K605" s="26">
        <f>IF($A605="","",SUMPRODUCT(--ISNUMBER(SEARCH('Category Dictionary'!$D$5:$D$135&amp;"",$C605)),--('Category Dictionary'!$D$5:$D$135&lt;&gt;"")))</f>
        <v/>
      </c>
      <c r="L605" s="27">
        <f>IF($A605="","",TRIM(IF(ISERROR(FIND(",",$C605)),$C605,LEFT($C605,FIND(",",$C605)-1))))</f>
        <v/>
      </c>
      <c r="M605" s="28">
        <f>IF($H605="","",DATE(YEAR($H605),MONTH($H605),1))</f>
        <v/>
      </c>
      <c r="N605" s="26">
        <f>IF($H605="","",TODAY()-$H605)</f>
        <v/>
      </c>
      <c r="O605" s="15" t="n"/>
      <c r="P605" s="15" t="n"/>
      <c r="Q605" s="15" t="n"/>
      <c r="R605" s="25" t="n"/>
      <c r="S605" s="26">
        <f>IF($A605="","",AND(OR('Assignment Builder'!$B$5="",$B605='Assignment Builder'!$B$5),OR('Assignment Builder'!$B$6="",ISNUMBER(SEARCH('Assignment Builder'!$B$6,$C605))),OR('Assignment Builder'!$B$7="",'Assignment Builder'!$B$7=IFERROR(INDEX('Category Dictionary'!$C$5:$C$135,MATCH($L605,'Category Dictionary'!$D$5:$D$135,0)),"")),OR('Assignment Builder'!$B$8="",$D605='Assignment Builder'!$B$8),OR('Assignment Builder'!$B$9="",$F605='Assignment Builder'!$B$9),OR('Assignment Builder'!$B$10="",$O605='Assignment Builder'!$B$10),OR('Assignment Builder'!$B$11="",$H605&gt;='Assignment Builder'!$B$11),OR('Assignment Builder'!$B$12="",N($Q605)&lt;='Assignment Builder'!$B$12)))</f>
        <v/>
      </c>
      <c r="T605" s="23" t="n"/>
    </row>
    <row r="606">
      <c r="A606" s="23" t="n"/>
      <c r="B606" s="23" t="n"/>
      <c r="C606" s="24" t="n"/>
      <c r="D606" s="15" t="n"/>
      <c r="E606" s="23" t="n"/>
      <c r="F606" s="15" t="n"/>
      <c r="G606" s="23" t="n"/>
      <c r="H606" s="25" t="n"/>
      <c r="I606" s="15" t="n"/>
      <c r="J606" s="26">
        <f>IF($A606="","",LEN($C606)-LEN(SUBSTITUTE($C606,",",""))+1)</f>
        <v/>
      </c>
      <c r="K606" s="26">
        <f>IF($A606="","",SUMPRODUCT(--ISNUMBER(SEARCH('Category Dictionary'!$D$5:$D$135&amp;"",$C606)),--('Category Dictionary'!$D$5:$D$135&lt;&gt;"")))</f>
        <v/>
      </c>
      <c r="L606" s="27">
        <f>IF($A606="","",TRIM(IF(ISERROR(FIND(",",$C606)),$C606,LEFT($C606,FIND(",",$C606)-1))))</f>
        <v/>
      </c>
      <c r="M606" s="28">
        <f>IF($H606="","",DATE(YEAR($H606),MONTH($H606),1))</f>
        <v/>
      </c>
      <c r="N606" s="26">
        <f>IF($H606="","",TODAY()-$H606)</f>
        <v/>
      </c>
      <c r="O606" s="15" t="n"/>
      <c r="P606" s="15" t="n"/>
      <c r="Q606" s="15" t="n"/>
      <c r="R606" s="25" t="n"/>
      <c r="S606" s="26">
        <f>IF($A606="","",AND(OR('Assignment Builder'!$B$5="",$B606='Assignment Builder'!$B$5),OR('Assignment Builder'!$B$6="",ISNUMBER(SEARCH('Assignment Builder'!$B$6,$C606))),OR('Assignment Builder'!$B$7="",'Assignment Builder'!$B$7=IFERROR(INDEX('Category Dictionary'!$C$5:$C$135,MATCH($L606,'Category Dictionary'!$D$5:$D$135,0)),"")),OR('Assignment Builder'!$B$8="",$D606='Assignment Builder'!$B$8),OR('Assignment Builder'!$B$9="",$F606='Assignment Builder'!$B$9),OR('Assignment Builder'!$B$10="",$O606='Assignment Builder'!$B$10),OR('Assignment Builder'!$B$11="",$H606&gt;='Assignment Builder'!$B$11),OR('Assignment Builder'!$B$12="",N($Q606)&lt;='Assignment Builder'!$B$12)))</f>
        <v/>
      </c>
      <c r="T606" s="23" t="n"/>
    </row>
    <row r="607">
      <c r="A607" s="23" t="n"/>
      <c r="B607" s="23" t="n"/>
      <c r="C607" s="24" t="n"/>
      <c r="D607" s="15" t="n"/>
      <c r="E607" s="23" t="n"/>
      <c r="F607" s="15" t="n"/>
      <c r="G607" s="23" t="n"/>
      <c r="H607" s="25" t="n"/>
      <c r="I607" s="15" t="n"/>
      <c r="J607" s="26">
        <f>IF($A607="","",LEN($C607)-LEN(SUBSTITUTE($C607,",",""))+1)</f>
        <v/>
      </c>
      <c r="K607" s="26">
        <f>IF($A607="","",SUMPRODUCT(--ISNUMBER(SEARCH('Category Dictionary'!$D$5:$D$135&amp;"",$C607)),--('Category Dictionary'!$D$5:$D$135&lt;&gt;"")))</f>
        <v/>
      </c>
      <c r="L607" s="27">
        <f>IF($A607="","",TRIM(IF(ISERROR(FIND(",",$C607)),$C607,LEFT($C607,FIND(",",$C607)-1))))</f>
        <v/>
      </c>
      <c r="M607" s="28">
        <f>IF($H607="","",DATE(YEAR($H607),MONTH($H607),1))</f>
        <v/>
      </c>
      <c r="N607" s="26">
        <f>IF($H607="","",TODAY()-$H607)</f>
        <v/>
      </c>
      <c r="O607" s="15" t="n"/>
      <c r="P607" s="15" t="n"/>
      <c r="Q607" s="15" t="n"/>
      <c r="R607" s="25" t="n"/>
      <c r="S607" s="26">
        <f>IF($A607="","",AND(OR('Assignment Builder'!$B$5="",$B607='Assignment Builder'!$B$5),OR('Assignment Builder'!$B$6="",ISNUMBER(SEARCH('Assignment Builder'!$B$6,$C607))),OR('Assignment Builder'!$B$7="",'Assignment Builder'!$B$7=IFERROR(INDEX('Category Dictionary'!$C$5:$C$135,MATCH($L607,'Category Dictionary'!$D$5:$D$135,0)),"")),OR('Assignment Builder'!$B$8="",$D607='Assignment Builder'!$B$8),OR('Assignment Builder'!$B$9="",$F607='Assignment Builder'!$B$9),OR('Assignment Builder'!$B$10="",$O607='Assignment Builder'!$B$10),OR('Assignment Builder'!$B$11="",$H607&gt;='Assignment Builder'!$B$11),OR('Assignment Builder'!$B$12="",N($Q607)&lt;='Assignment Builder'!$B$12)))</f>
        <v/>
      </c>
      <c r="T607" s="23" t="n"/>
    </row>
    <row r="608">
      <c r="A608" s="23" t="n"/>
      <c r="B608" s="23" t="n"/>
      <c r="C608" s="24" t="n"/>
      <c r="D608" s="15" t="n"/>
      <c r="E608" s="23" t="n"/>
      <c r="F608" s="15" t="n"/>
      <c r="G608" s="23" t="n"/>
      <c r="H608" s="25" t="n"/>
      <c r="I608" s="15" t="n"/>
      <c r="J608" s="26">
        <f>IF($A608="","",LEN($C608)-LEN(SUBSTITUTE($C608,",",""))+1)</f>
        <v/>
      </c>
      <c r="K608" s="26">
        <f>IF($A608="","",SUMPRODUCT(--ISNUMBER(SEARCH('Category Dictionary'!$D$5:$D$135&amp;"",$C608)),--('Category Dictionary'!$D$5:$D$135&lt;&gt;"")))</f>
        <v/>
      </c>
      <c r="L608" s="27">
        <f>IF($A608="","",TRIM(IF(ISERROR(FIND(",",$C608)),$C608,LEFT($C608,FIND(",",$C608)-1))))</f>
        <v/>
      </c>
      <c r="M608" s="28">
        <f>IF($H608="","",DATE(YEAR($H608),MONTH($H608),1))</f>
        <v/>
      </c>
      <c r="N608" s="26">
        <f>IF($H608="","",TODAY()-$H608)</f>
        <v/>
      </c>
      <c r="O608" s="15" t="n"/>
      <c r="P608" s="15" t="n"/>
      <c r="Q608" s="15" t="n"/>
      <c r="R608" s="25" t="n"/>
      <c r="S608" s="26">
        <f>IF($A608="","",AND(OR('Assignment Builder'!$B$5="",$B608='Assignment Builder'!$B$5),OR('Assignment Builder'!$B$6="",ISNUMBER(SEARCH('Assignment Builder'!$B$6,$C608))),OR('Assignment Builder'!$B$7="",'Assignment Builder'!$B$7=IFERROR(INDEX('Category Dictionary'!$C$5:$C$135,MATCH($L608,'Category Dictionary'!$D$5:$D$135,0)),"")),OR('Assignment Builder'!$B$8="",$D608='Assignment Builder'!$B$8),OR('Assignment Builder'!$B$9="",$F608='Assignment Builder'!$B$9),OR('Assignment Builder'!$B$10="",$O608='Assignment Builder'!$B$10),OR('Assignment Builder'!$B$11="",$H608&gt;='Assignment Builder'!$B$11),OR('Assignment Builder'!$B$12="",N($Q608)&lt;='Assignment Builder'!$B$12)))</f>
        <v/>
      </c>
      <c r="T608" s="23" t="n"/>
    </row>
    <row r="609">
      <c r="A609" s="23" t="n"/>
      <c r="B609" s="23" t="n"/>
      <c r="C609" s="24" t="n"/>
      <c r="D609" s="15" t="n"/>
      <c r="E609" s="23" t="n"/>
      <c r="F609" s="15" t="n"/>
      <c r="G609" s="23" t="n"/>
      <c r="H609" s="25" t="n"/>
      <c r="I609" s="15" t="n"/>
      <c r="J609" s="26">
        <f>IF($A609="","",LEN($C609)-LEN(SUBSTITUTE($C609,",",""))+1)</f>
        <v/>
      </c>
      <c r="K609" s="26">
        <f>IF($A609="","",SUMPRODUCT(--ISNUMBER(SEARCH('Category Dictionary'!$D$5:$D$135&amp;"",$C609)),--('Category Dictionary'!$D$5:$D$135&lt;&gt;"")))</f>
        <v/>
      </c>
      <c r="L609" s="27">
        <f>IF($A609="","",TRIM(IF(ISERROR(FIND(",",$C609)),$C609,LEFT($C609,FIND(",",$C609)-1))))</f>
        <v/>
      </c>
      <c r="M609" s="28">
        <f>IF($H609="","",DATE(YEAR($H609),MONTH($H609),1))</f>
        <v/>
      </c>
      <c r="N609" s="26">
        <f>IF($H609="","",TODAY()-$H609)</f>
        <v/>
      </c>
      <c r="O609" s="15" t="n"/>
      <c r="P609" s="15" t="n"/>
      <c r="Q609" s="15" t="n"/>
      <c r="R609" s="25" t="n"/>
      <c r="S609" s="26">
        <f>IF($A609="","",AND(OR('Assignment Builder'!$B$5="",$B609='Assignment Builder'!$B$5),OR('Assignment Builder'!$B$6="",ISNUMBER(SEARCH('Assignment Builder'!$B$6,$C609))),OR('Assignment Builder'!$B$7="",'Assignment Builder'!$B$7=IFERROR(INDEX('Category Dictionary'!$C$5:$C$135,MATCH($L609,'Category Dictionary'!$D$5:$D$135,0)),"")),OR('Assignment Builder'!$B$8="",$D609='Assignment Builder'!$B$8),OR('Assignment Builder'!$B$9="",$F609='Assignment Builder'!$B$9),OR('Assignment Builder'!$B$10="",$O609='Assignment Builder'!$B$10),OR('Assignment Builder'!$B$11="",$H609&gt;='Assignment Builder'!$B$11),OR('Assignment Builder'!$B$12="",N($Q609)&lt;='Assignment Builder'!$B$12)))</f>
        <v/>
      </c>
      <c r="T609" s="23" t="n"/>
    </row>
    <row r="610">
      <c r="A610" s="23" t="n"/>
      <c r="B610" s="23" t="n"/>
      <c r="C610" s="24" t="n"/>
      <c r="D610" s="15" t="n"/>
      <c r="E610" s="23" t="n"/>
      <c r="F610" s="15" t="n"/>
      <c r="G610" s="23" t="n"/>
      <c r="H610" s="25" t="n"/>
      <c r="I610" s="15" t="n"/>
      <c r="J610" s="26">
        <f>IF($A610="","",LEN($C610)-LEN(SUBSTITUTE($C610,",",""))+1)</f>
        <v/>
      </c>
      <c r="K610" s="26">
        <f>IF($A610="","",SUMPRODUCT(--ISNUMBER(SEARCH('Category Dictionary'!$D$5:$D$135&amp;"",$C610)),--('Category Dictionary'!$D$5:$D$135&lt;&gt;"")))</f>
        <v/>
      </c>
      <c r="L610" s="27">
        <f>IF($A610="","",TRIM(IF(ISERROR(FIND(",",$C610)),$C610,LEFT($C610,FIND(",",$C610)-1))))</f>
        <v/>
      </c>
      <c r="M610" s="28">
        <f>IF($H610="","",DATE(YEAR($H610),MONTH($H610),1))</f>
        <v/>
      </c>
      <c r="N610" s="26">
        <f>IF($H610="","",TODAY()-$H610)</f>
        <v/>
      </c>
      <c r="O610" s="15" t="n"/>
      <c r="P610" s="15" t="n"/>
      <c r="Q610" s="15" t="n"/>
      <c r="R610" s="25" t="n"/>
      <c r="S610" s="26">
        <f>IF($A610="","",AND(OR('Assignment Builder'!$B$5="",$B610='Assignment Builder'!$B$5),OR('Assignment Builder'!$B$6="",ISNUMBER(SEARCH('Assignment Builder'!$B$6,$C610))),OR('Assignment Builder'!$B$7="",'Assignment Builder'!$B$7=IFERROR(INDEX('Category Dictionary'!$C$5:$C$135,MATCH($L610,'Category Dictionary'!$D$5:$D$135,0)),"")),OR('Assignment Builder'!$B$8="",$D610='Assignment Builder'!$B$8),OR('Assignment Builder'!$B$9="",$F610='Assignment Builder'!$B$9),OR('Assignment Builder'!$B$10="",$O610='Assignment Builder'!$B$10),OR('Assignment Builder'!$B$11="",$H610&gt;='Assignment Builder'!$B$11),OR('Assignment Builder'!$B$12="",N($Q610)&lt;='Assignment Builder'!$B$12)))</f>
        <v/>
      </c>
      <c r="T610" s="23" t="n"/>
    </row>
    <row r="611">
      <c r="A611" s="23" t="n"/>
      <c r="B611" s="23" t="n"/>
      <c r="C611" s="24" t="n"/>
      <c r="D611" s="15" t="n"/>
      <c r="E611" s="23" t="n"/>
      <c r="F611" s="15" t="n"/>
      <c r="G611" s="23" t="n"/>
      <c r="H611" s="25" t="n"/>
      <c r="I611" s="15" t="n"/>
      <c r="J611" s="26">
        <f>IF($A611="","",LEN($C611)-LEN(SUBSTITUTE($C611,",",""))+1)</f>
        <v/>
      </c>
      <c r="K611" s="26">
        <f>IF($A611="","",SUMPRODUCT(--ISNUMBER(SEARCH('Category Dictionary'!$D$5:$D$135&amp;"",$C611)),--('Category Dictionary'!$D$5:$D$135&lt;&gt;"")))</f>
        <v/>
      </c>
      <c r="L611" s="27">
        <f>IF($A611="","",TRIM(IF(ISERROR(FIND(",",$C611)),$C611,LEFT($C611,FIND(",",$C611)-1))))</f>
        <v/>
      </c>
      <c r="M611" s="28">
        <f>IF($H611="","",DATE(YEAR($H611),MONTH($H611),1))</f>
        <v/>
      </c>
      <c r="N611" s="26">
        <f>IF($H611="","",TODAY()-$H611)</f>
        <v/>
      </c>
      <c r="O611" s="15" t="n"/>
      <c r="P611" s="15" t="n"/>
      <c r="Q611" s="15" t="n"/>
      <c r="R611" s="25" t="n"/>
      <c r="S611" s="26">
        <f>IF($A611="","",AND(OR('Assignment Builder'!$B$5="",$B611='Assignment Builder'!$B$5),OR('Assignment Builder'!$B$6="",ISNUMBER(SEARCH('Assignment Builder'!$B$6,$C611))),OR('Assignment Builder'!$B$7="",'Assignment Builder'!$B$7=IFERROR(INDEX('Category Dictionary'!$C$5:$C$135,MATCH($L611,'Category Dictionary'!$D$5:$D$135,0)),"")),OR('Assignment Builder'!$B$8="",$D611='Assignment Builder'!$B$8),OR('Assignment Builder'!$B$9="",$F611='Assignment Builder'!$B$9),OR('Assignment Builder'!$B$10="",$O611='Assignment Builder'!$B$10),OR('Assignment Builder'!$B$11="",$H611&gt;='Assignment Builder'!$B$11),OR('Assignment Builder'!$B$12="",N($Q611)&lt;='Assignment Builder'!$B$12)))</f>
        <v/>
      </c>
      <c r="T611" s="23" t="n"/>
    </row>
    <row r="612">
      <c r="A612" s="23" t="n"/>
      <c r="B612" s="23" t="n"/>
      <c r="C612" s="24" t="n"/>
      <c r="D612" s="15" t="n"/>
      <c r="E612" s="23" t="n"/>
      <c r="F612" s="15" t="n"/>
      <c r="G612" s="23" t="n"/>
      <c r="H612" s="25" t="n"/>
      <c r="I612" s="15" t="n"/>
      <c r="J612" s="26">
        <f>IF($A612="","",LEN($C612)-LEN(SUBSTITUTE($C612,",",""))+1)</f>
        <v/>
      </c>
      <c r="K612" s="26">
        <f>IF($A612="","",SUMPRODUCT(--ISNUMBER(SEARCH('Category Dictionary'!$D$5:$D$135&amp;"",$C612)),--('Category Dictionary'!$D$5:$D$135&lt;&gt;"")))</f>
        <v/>
      </c>
      <c r="L612" s="27">
        <f>IF($A612="","",TRIM(IF(ISERROR(FIND(",",$C612)),$C612,LEFT($C612,FIND(",",$C612)-1))))</f>
        <v/>
      </c>
      <c r="M612" s="28">
        <f>IF($H612="","",DATE(YEAR($H612),MONTH($H612),1))</f>
        <v/>
      </c>
      <c r="N612" s="26">
        <f>IF($H612="","",TODAY()-$H612)</f>
        <v/>
      </c>
      <c r="O612" s="15" t="n"/>
      <c r="P612" s="15" t="n"/>
      <c r="Q612" s="15" t="n"/>
      <c r="R612" s="25" t="n"/>
      <c r="S612" s="26">
        <f>IF($A612="","",AND(OR('Assignment Builder'!$B$5="",$B612='Assignment Builder'!$B$5),OR('Assignment Builder'!$B$6="",ISNUMBER(SEARCH('Assignment Builder'!$B$6,$C612))),OR('Assignment Builder'!$B$7="",'Assignment Builder'!$B$7=IFERROR(INDEX('Category Dictionary'!$C$5:$C$135,MATCH($L612,'Category Dictionary'!$D$5:$D$135,0)),"")),OR('Assignment Builder'!$B$8="",$D612='Assignment Builder'!$B$8),OR('Assignment Builder'!$B$9="",$F612='Assignment Builder'!$B$9),OR('Assignment Builder'!$B$10="",$O612='Assignment Builder'!$B$10),OR('Assignment Builder'!$B$11="",$H612&gt;='Assignment Builder'!$B$11),OR('Assignment Builder'!$B$12="",N($Q612)&lt;='Assignment Builder'!$B$12)))</f>
        <v/>
      </c>
      <c r="T612" s="23" t="n"/>
    </row>
    <row r="613">
      <c r="A613" s="23" t="n"/>
      <c r="B613" s="23" t="n"/>
      <c r="C613" s="24" t="n"/>
      <c r="D613" s="15" t="n"/>
      <c r="E613" s="23" t="n"/>
      <c r="F613" s="15" t="n"/>
      <c r="G613" s="23" t="n"/>
      <c r="H613" s="25" t="n"/>
      <c r="I613" s="15" t="n"/>
      <c r="J613" s="26">
        <f>IF($A613="","",LEN($C613)-LEN(SUBSTITUTE($C613,",",""))+1)</f>
        <v/>
      </c>
      <c r="K613" s="26">
        <f>IF($A613="","",SUMPRODUCT(--ISNUMBER(SEARCH('Category Dictionary'!$D$5:$D$135&amp;"",$C613)),--('Category Dictionary'!$D$5:$D$135&lt;&gt;"")))</f>
        <v/>
      </c>
      <c r="L613" s="27">
        <f>IF($A613="","",TRIM(IF(ISERROR(FIND(",",$C613)),$C613,LEFT($C613,FIND(",",$C613)-1))))</f>
        <v/>
      </c>
      <c r="M613" s="28">
        <f>IF($H613="","",DATE(YEAR($H613),MONTH($H613),1))</f>
        <v/>
      </c>
      <c r="N613" s="26">
        <f>IF($H613="","",TODAY()-$H613)</f>
        <v/>
      </c>
      <c r="O613" s="15" t="n"/>
      <c r="P613" s="15" t="n"/>
      <c r="Q613" s="15" t="n"/>
      <c r="R613" s="25" t="n"/>
      <c r="S613" s="26">
        <f>IF($A613="","",AND(OR('Assignment Builder'!$B$5="",$B613='Assignment Builder'!$B$5),OR('Assignment Builder'!$B$6="",ISNUMBER(SEARCH('Assignment Builder'!$B$6,$C613))),OR('Assignment Builder'!$B$7="",'Assignment Builder'!$B$7=IFERROR(INDEX('Category Dictionary'!$C$5:$C$135,MATCH($L613,'Category Dictionary'!$D$5:$D$135,0)),"")),OR('Assignment Builder'!$B$8="",$D613='Assignment Builder'!$B$8),OR('Assignment Builder'!$B$9="",$F613='Assignment Builder'!$B$9),OR('Assignment Builder'!$B$10="",$O613='Assignment Builder'!$B$10),OR('Assignment Builder'!$B$11="",$H613&gt;='Assignment Builder'!$B$11),OR('Assignment Builder'!$B$12="",N($Q613)&lt;='Assignment Builder'!$B$12)))</f>
        <v/>
      </c>
      <c r="T613" s="23" t="n"/>
    </row>
    <row r="614">
      <c r="A614" s="23" t="n"/>
      <c r="B614" s="23" t="n"/>
      <c r="C614" s="24" t="n"/>
      <c r="D614" s="15" t="n"/>
      <c r="E614" s="23" t="n"/>
      <c r="F614" s="15" t="n"/>
      <c r="G614" s="23" t="n"/>
      <c r="H614" s="25" t="n"/>
      <c r="I614" s="15" t="n"/>
      <c r="J614" s="26">
        <f>IF($A614="","",LEN($C614)-LEN(SUBSTITUTE($C614,",",""))+1)</f>
        <v/>
      </c>
      <c r="K614" s="26">
        <f>IF($A614="","",SUMPRODUCT(--ISNUMBER(SEARCH('Category Dictionary'!$D$5:$D$135&amp;"",$C614)),--('Category Dictionary'!$D$5:$D$135&lt;&gt;"")))</f>
        <v/>
      </c>
      <c r="L614" s="27">
        <f>IF($A614="","",TRIM(IF(ISERROR(FIND(",",$C614)),$C614,LEFT($C614,FIND(",",$C614)-1))))</f>
        <v/>
      </c>
      <c r="M614" s="28">
        <f>IF($H614="","",DATE(YEAR($H614),MONTH($H614),1))</f>
        <v/>
      </c>
      <c r="N614" s="26">
        <f>IF($H614="","",TODAY()-$H614)</f>
        <v/>
      </c>
      <c r="O614" s="15" t="n"/>
      <c r="P614" s="15" t="n"/>
      <c r="Q614" s="15" t="n"/>
      <c r="R614" s="25" t="n"/>
      <c r="S614" s="26">
        <f>IF($A614="","",AND(OR('Assignment Builder'!$B$5="",$B614='Assignment Builder'!$B$5),OR('Assignment Builder'!$B$6="",ISNUMBER(SEARCH('Assignment Builder'!$B$6,$C614))),OR('Assignment Builder'!$B$7="",'Assignment Builder'!$B$7=IFERROR(INDEX('Category Dictionary'!$C$5:$C$135,MATCH($L614,'Category Dictionary'!$D$5:$D$135,0)),"")),OR('Assignment Builder'!$B$8="",$D614='Assignment Builder'!$B$8),OR('Assignment Builder'!$B$9="",$F614='Assignment Builder'!$B$9),OR('Assignment Builder'!$B$10="",$O614='Assignment Builder'!$B$10),OR('Assignment Builder'!$B$11="",$H614&gt;='Assignment Builder'!$B$11),OR('Assignment Builder'!$B$12="",N($Q614)&lt;='Assignment Builder'!$B$12)))</f>
        <v/>
      </c>
      <c r="T614" s="23" t="n"/>
    </row>
    <row r="615">
      <c r="A615" s="23" t="n"/>
      <c r="B615" s="23" t="n"/>
      <c r="C615" s="24" t="n"/>
      <c r="D615" s="15" t="n"/>
      <c r="E615" s="23" t="n"/>
      <c r="F615" s="15" t="n"/>
      <c r="G615" s="23" t="n"/>
      <c r="H615" s="25" t="n"/>
      <c r="I615" s="15" t="n"/>
      <c r="J615" s="26">
        <f>IF($A615="","",LEN($C615)-LEN(SUBSTITUTE($C615,",",""))+1)</f>
        <v/>
      </c>
      <c r="K615" s="26">
        <f>IF($A615="","",SUMPRODUCT(--ISNUMBER(SEARCH('Category Dictionary'!$D$5:$D$135&amp;"",$C615)),--('Category Dictionary'!$D$5:$D$135&lt;&gt;"")))</f>
        <v/>
      </c>
      <c r="L615" s="27">
        <f>IF($A615="","",TRIM(IF(ISERROR(FIND(",",$C615)),$C615,LEFT($C615,FIND(",",$C615)-1))))</f>
        <v/>
      </c>
      <c r="M615" s="28">
        <f>IF($H615="","",DATE(YEAR($H615),MONTH($H615),1))</f>
        <v/>
      </c>
      <c r="N615" s="26">
        <f>IF($H615="","",TODAY()-$H615)</f>
        <v/>
      </c>
      <c r="O615" s="15" t="n"/>
      <c r="P615" s="15" t="n"/>
      <c r="Q615" s="15" t="n"/>
      <c r="R615" s="25" t="n"/>
      <c r="S615" s="26">
        <f>IF($A615="","",AND(OR('Assignment Builder'!$B$5="",$B615='Assignment Builder'!$B$5),OR('Assignment Builder'!$B$6="",ISNUMBER(SEARCH('Assignment Builder'!$B$6,$C615))),OR('Assignment Builder'!$B$7="",'Assignment Builder'!$B$7=IFERROR(INDEX('Category Dictionary'!$C$5:$C$135,MATCH($L615,'Category Dictionary'!$D$5:$D$135,0)),"")),OR('Assignment Builder'!$B$8="",$D615='Assignment Builder'!$B$8),OR('Assignment Builder'!$B$9="",$F615='Assignment Builder'!$B$9),OR('Assignment Builder'!$B$10="",$O615='Assignment Builder'!$B$10),OR('Assignment Builder'!$B$11="",$H615&gt;='Assignment Builder'!$B$11),OR('Assignment Builder'!$B$12="",N($Q615)&lt;='Assignment Builder'!$B$12)))</f>
        <v/>
      </c>
      <c r="T615" s="23" t="n"/>
    </row>
    <row r="616">
      <c r="A616" s="23" t="n"/>
      <c r="B616" s="23" t="n"/>
      <c r="C616" s="24" t="n"/>
      <c r="D616" s="15" t="n"/>
      <c r="E616" s="23" t="n"/>
      <c r="F616" s="15" t="n"/>
      <c r="G616" s="23" t="n"/>
      <c r="H616" s="25" t="n"/>
      <c r="I616" s="15" t="n"/>
      <c r="J616" s="26">
        <f>IF($A616="","",LEN($C616)-LEN(SUBSTITUTE($C616,",",""))+1)</f>
        <v/>
      </c>
      <c r="K616" s="26">
        <f>IF($A616="","",SUMPRODUCT(--ISNUMBER(SEARCH('Category Dictionary'!$D$5:$D$135&amp;"",$C616)),--('Category Dictionary'!$D$5:$D$135&lt;&gt;"")))</f>
        <v/>
      </c>
      <c r="L616" s="27">
        <f>IF($A616="","",TRIM(IF(ISERROR(FIND(",",$C616)),$C616,LEFT($C616,FIND(",",$C616)-1))))</f>
        <v/>
      </c>
      <c r="M616" s="28">
        <f>IF($H616="","",DATE(YEAR($H616),MONTH($H616),1))</f>
        <v/>
      </c>
      <c r="N616" s="26">
        <f>IF($H616="","",TODAY()-$H616)</f>
        <v/>
      </c>
      <c r="O616" s="15" t="n"/>
      <c r="P616" s="15" t="n"/>
      <c r="Q616" s="15" t="n"/>
      <c r="R616" s="25" t="n"/>
      <c r="S616" s="26">
        <f>IF($A616="","",AND(OR('Assignment Builder'!$B$5="",$B616='Assignment Builder'!$B$5),OR('Assignment Builder'!$B$6="",ISNUMBER(SEARCH('Assignment Builder'!$B$6,$C616))),OR('Assignment Builder'!$B$7="",'Assignment Builder'!$B$7=IFERROR(INDEX('Category Dictionary'!$C$5:$C$135,MATCH($L616,'Category Dictionary'!$D$5:$D$135,0)),"")),OR('Assignment Builder'!$B$8="",$D616='Assignment Builder'!$B$8),OR('Assignment Builder'!$B$9="",$F616='Assignment Builder'!$B$9),OR('Assignment Builder'!$B$10="",$O616='Assignment Builder'!$B$10),OR('Assignment Builder'!$B$11="",$H616&gt;='Assignment Builder'!$B$11),OR('Assignment Builder'!$B$12="",N($Q616)&lt;='Assignment Builder'!$B$12)))</f>
        <v/>
      </c>
      <c r="T616" s="23" t="n"/>
    </row>
    <row r="617">
      <c r="A617" s="23" t="n"/>
      <c r="B617" s="23" t="n"/>
      <c r="C617" s="24" t="n"/>
      <c r="D617" s="15" t="n"/>
      <c r="E617" s="23" t="n"/>
      <c r="F617" s="15" t="n"/>
      <c r="G617" s="23" t="n"/>
      <c r="H617" s="25" t="n"/>
      <c r="I617" s="15" t="n"/>
      <c r="J617" s="26">
        <f>IF($A617="","",LEN($C617)-LEN(SUBSTITUTE($C617,",",""))+1)</f>
        <v/>
      </c>
      <c r="K617" s="26">
        <f>IF($A617="","",SUMPRODUCT(--ISNUMBER(SEARCH('Category Dictionary'!$D$5:$D$135&amp;"",$C617)),--('Category Dictionary'!$D$5:$D$135&lt;&gt;"")))</f>
        <v/>
      </c>
      <c r="L617" s="27">
        <f>IF($A617="","",TRIM(IF(ISERROR(FIND(",",$C617)),$C617,LEFT($C617,FIND(",",$C617)-1))))</f>
        <v/>
      </c>
      <c r="M617" s="28">
        <f>IF($H617="","",DATE(YEAR($H617),MONTH($H617),1))</f>
        <v/>
      </c>
      <c r="N617" s="26">
        <f>IF($H617="","",TODAY()-$H617)</f>
        <v/>
      </c>
      <c r="O617" s="15" t="n"/>
      <c r="P617" s="15" t="n"/>
      <c r="Q617" s="15" t="n"/>
      <c r="R617" s="25" t="n"/>
      <c r="S617" s="26">
        <f>IF($A617="","",AND(OR('Assignment Builder'!$B$5="",$B617='Assignment Builder'!$B$5),OR('Assignment Builder'!$B$6="",ISNUMBER(SEARCH('Assignment Builder'!$B$6,$C617))),OR('Assignment Builder'!$B$7="",'Assignment Builder'!$B$7=IFERROR(INDEX('Category Dictionary'!$C$5:$C$135,MATCH($L617,'Category Dictionary'!$D$5:$D$135,0)),"")),OR('Assignment Builder'!$B$8="",$D617='Assignment Builder'!$B$8),OR('Assignment Builder'!$B$9="",$F617='Assignment Builder'!$B$9),OR('Assignment Builder'!$B$10="",$O617='Assignment Builder'!$B$10),OR('Assignment Builder'!$B$11="",$H617&gt;='Assignment Builder'!$B$11),OR('Assignment Builder'!$B$12="",N($Q617)&lt;='Assignment Builder'!$B$12)))</f>
        <v/>
      </c>
      <c r="T617" s="23" t="n"/>
    </row>
    <row r="618">
      <c r="A618" s="23" t="n"/>
      <c r="B618" s="23" t="n"/>
      <c r="C618" s="24" t="n"/>
      <c r="D618" s="15" t="n"/>
      <c r="E618" s="23" t="n"/>
      <c r="F618" s="15" t="n"/>
      <c r="G618" s="23" t="n"/>
      <c r="H618" s="25" t="n"/>
      <c r="I618" s="15" t="n"/>
      <c r="J618" s="26">
        <f>IF($A618="","",LEN($C618)-LEN(SUBSTITUTE($C618,",",""))+1)</f>
        <v/>
      </c>
      <c r="K618" s="26">
        <f>IF($A618="","",SUMPRODUCT(--ISNUMBER(SEARCH('Category Dictionary'!$D$5:$D$135&amp;"",$C618)),--('Category Dictionary'!$D$5:$D$135&lt;&gt;"")))</f>
        <v/>
      </c>
      <c r="L618" s="27">
        <f>IF($A618="","",TRIM(IF(ISERROR(FIND(",",$C618)),$C618,LEFT($C618,FIND(",",$C618)-1))))</f>
        <v/>
      </c>
      <c r="M618" s="28">
        <f>IF($H618="","",DATE(YEAR($H618),MONTH($H618),1))</f>
        <v/>
      </c>
      <c r="N618" s="26">
        <f>IF($H618="","",TODAY()-$H618)</f>
        <v/>
      </c>
      <c r="O618" s="15" t="n"/>
      <c r="P618" s="15" t="n"/>
      <c r="Q618" s="15" t="n"/>
      <c r="R618" s="25" t="n"/>
      <c r="S618" s="26">
        <f>IF($A618="","",AND(OR('Assignment Builder'!$B$5="",$B618='Assignment Builder'!$B$5),OR('Assignment Builder'!$B$6="",ISNUMBER(SEARCH('Assignment Builder'!$B$6,$C618))),OR('Assignment Builder'!$B$7="",'Assignment Builder'!$B$7=IFERROR(INDEX('Category Dictionary'!$C$5:$C$135,MATCH($L618,'Category Dictionary'!$D$5:$D$135,0)),"")),OR('Assignment Builder'!$B$8="",$D618='Assignment Builder'!$B$8),OR('Assignment Builder'!$B$9="",$F618='Assignment Builder'!$B$9),OR('Assignment Builder'!$B$10="",$O618='Assignment Builder'!$B$10),OR('Assignment Builder'!$B$11="",$H618&gt;='Assignment Builder'!$B$11),OR('Assignment Builder'!$B$12="",N($Q618)&lt;='Assignment Builder'!$B$12)))</f>
        <v/>
      </c>
      <c r="T618" s="23" t="n"/>
    </row>
    <row r="619">
      <c r="A619" s="23" t="n"/>
      <c r="B619" s="23" t="n"/>
      <c r="C619" s="24" t="n"/>
      <c r="D619" s="15" t="n"/>
      <c r="E619" s="23" t="n"/>
      <c r="F619" s="15" t="n"/>
      <c r="G619" s="23" t="n"/>
      <c r="H619" s="25" t="n"/>
      <c r="I619" s="15" t="n"/>
      <c r="J619" s="26">
        <f>IF($A619="","",LEN($C619)-LEN(SUBSTITUTE($C619,",",""))+1)</f>
        <v/>
      </c>
      <c r="K619" s="26">
        <f>IF($A619="","",SUMPRODUCT(--ISNUMBER(SEARCH('Category Dictionary'!$D$5:$D$135&amp;"",$C619)),--('Category Dictionary'!$D$5:$D$135&lt;&gt;"")))</f>
        <v/>
      </c>
      <c r="L619" s="27">
        <f>IF($A619="","",TRIM(IF(ISERROR(FIND(",",$C619)),$C619,LEFT($C619,FIND(",",$C619)-1))))</f>
        <v/>
      </c>
      <c r="M619" s="28">
        <f>IF($H619="","",DATE(YEAR($H619),MONTH($H619),1))</f>
        <v/>
      </c>
      <c r="N619" s="26">
        <f>IF($H619="","",TODAY()-$H619)</f>
        <v/>
      </c>
      <c r="O619" s="15" t="n"/>
      <c r="P619" s="15" t="n"/>
      <c r="Q619" s="15" t="n"/>
      <c r="R619" s="25" t="n"/>
      <c r="S619" s="26">
        <f>IF($A619="","",AND(OR('Assignment Builder'!$B$5="",$B619='Assignment Builder'!$B$5),OR('Assignment Builder'!$B$6="",ISNUMBER(SEARCH('Assignment Builder'!$B$6,$C619))),OR('Assignment Builder'!$B$7="",'Assignment Builder'!$B$7=IFERROR(INDEX('Category Dictionary'!$C$5:$C$135,MATCH($L619,'Category Dictionary'!$D$5:$D$135,0)),"")),OR('Assignment Builder'!$B$8="",$D619='Assignment Builder'!$B$8),OR('Assignment Builder'!$B$9="",$F619='Assignment Builder'!$B$9),OR('Assignment Builder'!$B$10="",$O619='Assignment Builder'!$B$10),OR('Assignment Builder'!$B$11="",$H619&gt;='Assignment Builder'!$B$11),OR('Assignment Builder'!$B$12="",N($Q619)&lt;='Assignment Builder'!$B$12)))</f>
        <v/>
      </c>
      <c r="T619" s="23" t="n"/>
    </row>
    <row r="620">
      <c r="A620" s="23" t="n"/>
      <c r="B620" s="23" t="n"/>
      <c r="C620" s="24" t="n"/>
      <c r="D620" s="15" t="n"/>
      <c r="E620" s="23" t="n"/>
      <c r="F620" s="15" t="n"/>
      <c r="G620" s="23" t="n"/>
      <c r="H620" s="25" t="n"/>
      <c r="I620" s="15" t="n"/>
      <c r="J620" s="26">
        <f>IF($A620="","",LEN($C620)-LEN(SUBSTITUTE($C620,",",""))+1)</f>
        <v/>
      </c>
      <c r="K620" s="26">
        <f>IF($A620="","",SUMPRODUCT(--ISNUMBER(SEARCH('Category Dictionary'!$D$5:$D$135&amp;"",$C620)),--('Category Dictionary'!$D$5:$D$135&lt;&gt;"")))</f>
        <v/>
      </c>
      <c r="L620" s="27">
        <f>IF($A620="","",TRIM(IF(ISERROR(FIND(",",$C620)),$C620,LEFT($C620,FIND(",",$C620)-1))))</f>
        <v/>
      </c>
      <c r="M620" s="28">
        <f>IF($H620="","",DATE(YEAR($H620),MONTH($H620),1))</f>
        <v/>
      </c>
      <c r="N620" s="26">
        <f>IF($H620="","",TODAY()-$H620)</f>
        <v/>
      </c>
      <c r="O620" s="15" t="n"/>
      <c r="P620" s="15" t="n"/>
      <c r="Q620" s="15" t="n"/>
      <c r="R620" s="25" t="n"/>
      <c r="S620" s="26">
        <f>IF($A620="","",AND(OR('Assignment Builder'!$B$5="",$B620='Assignment Builder'!$B$5),OR('Assignment Builder'!$B$6="",ISNUMBER(SEARCH('Assignment Builder'!$B$6,$C620))),OR('Assignment Builder'!$B$7="",'Assignment Builder'!$B$7=IFERROR(INDEX('Category Dictionary'!$C$5:$C$135,MATCH($L620,'Category Dictionary'!$D$5:$D$135,0)),"")),OR('Assignment Builder'!$B$8="",$D620='Assignment Builder'!$B$8),OR('Assignment Builder'!$B$9="",$F620='Assignment Builder'!$B$9),OR('Assignment Builder'!$B$10="",$O620='Assignment Builder'!$B$10),OR('Assignment Builder'!$B$11="",$H620&gt;='Assignment Builder'!$B$11),OR('Assignment Builder'!$B$12="",N($Q620)&lt;='Assignment Builder'!$B$12)))</f>
        <v/>
      </c>
      <c r="T620" s="23" t="n"/>
    </row>
    <row r="621">
      <c r="A621" s="23" t="n"/>
      <c r="B621" s="23" t="n"/>
      <c r="C621" s="24" t="n"/>
      <c r="D621" s="15" t="n"/>
      <c r="E621" s="23" t="n"/>
      <c r="F621" s="15" t="n"/>
      <c r="G621" s="23" t="n"/>
      <c r="H621" s="25" t="n"/>
      <c r="I621" s="15" t="n"/>
      <c r="J621" s="26">
        <f>IF($A621="","",LEN($C621)-LEN(SUBSTITUTE($C621,",",""))+1)</f>
        <v/>
      </c>
      <c r="K621" s="26">
        <f>IF($A621="","",SUMPRODUCT(--ISNUMBER(SEARCH('Category Dictionary'!$D$5:$D$135&amp;"",$C621)),--('Category Dictionary'!$D$5:$D$135&lt;&gt;"")))</f>
        <v/>
      </c>
      <c r="L621" s="27">
        <f>IF($A621="","",TRIM(IF(ISERROR(FIND(",",$C621)),$C621,LEFT($C621,FIND(",",$C621)-1))))</f>
        <v/>
      </c>
      <c r="M621" s="28">
        <f>IF($H621="","",DATE(YEAR($H621),MONTH($H621),1))</f>
        <v/>
      </c>
      <c r="N621" s="26">
        <f>IF($H621="","",TODAY()-$H621)</f>
        <v/>
      </c>
      <c r="O621" s="15" t="n"/>
      <c r="P621" s="15" t="n"/>
      <c r="Q621" s="15" t="n"/>
      <c r="R621" s="25" t="n"/>
      <c r="S621" s="26">
        <f>IF($A621="","",AND(OR('Assignment Builder'!$B$5="",$B621='Assignment Builder'!$B$5),OR('Assignment Builder'!$B$6="",ISNUMBER(SEARCH('Assignment Builder'!$B$6,$C621))),OR('Assignment Builder'!$B$7="",'Assignment Builder'!$B$7=IFERROR(INDEX('Category Dictionary'!$C$5:$C$135,MATCH($L621,'Category Dictionary'!$D$5:$D$135,0)),"")),OR('Assignment Builder'!$B$8="",$D621='Assignment Builder'!$B$8),OR('Assignment Builder'!$B$9="",$F621='Assignment Builder'!$B$9),OR('Assignment Builder'!$B$10="",$O621='Assignment Builder'!$B$10),OR('Assignment Builder'!$B$11="",$H621&gt;='Assignment Builder'!$B$11),OR('Assignment Builder'!$B$12="",N($Q621)&lt;='Assignment Builder'!$B$12)))</f>
        <v/>
      </c>
      <c r="T621" s="23" t="n"/>
    </row>
    <row r="622">
      <c r="A622" s="23" t="n"/>
      <c r="B622" s="23" t="n"/>
      <c r="C622" s="24" t="n"/>
      <c r="D622" s="15" t="n"/>
      <c r="E622" s="23" t="n"/>
      <c r="F622" s="15" t="n"/>
      <c r="G622" s="23" t="n"/>
      <c r="H622" s="25" t="n"/>
      <c r="I622" s="15" t="n"/>
      <c r="J622" s="26">
        <f>IF($A622="","",LEN($C622)-LEN(SUBSTITUTE($C622,",",""))+1)</f>
        <v/>
      </c>
      <c r="K622" s="26">
        <f>IF($A622="","",SUMPRODUCT(--ISNUMBER(SEARCH('Category Dictionary'!$D$5:$D$135&amp;"",$C622)),--('Category Dictionary'!$D$5:$D$135&lt;&gt;"")))</f>
        <v/>
      </c>
      <c r="L622" s="27">
        <f>IF($A622="","",TRIM(IF(ISERROR(FIND(",",$C622)),$C622,LEFT($C622,FIND(",",$C622)-1))))</f>
        <v/>
      </c>
      <c r="M622" s="28">
        <f>IF($H622="","",DATE(YEAR($H622),MONTH($H622),1))</f>
        <v/>
      </c>
      <c r="N622" s="26">
        <f>IF($H622="","",TODAY()-$H622)</f>
        <v/>
      </c>
      <c r="O622" s="15" t="n"/>
      <c r="P622" s="15" t="n"/>
      <c r="Q622" s="15" t="n"/>
      <c r="R622" s="25" t="n"/>
      <c r="S622" s="26">
        <f>IF($A622="","",AND(OR('Assignment Builder'!$B$5="",$B622='Assignment Builder'!$B$5),OR('Assignment Builder'!$B$6="",ISNUMBER(SEARCH('Assignment Builder'!$B$6,$C622))),OR('Assignment Builder'!$B$7="",'Assignment Builder'!$B$7=IFERROR(INDEX('Category Dictionary'!$C$5:$C$135,MATCH($L622,'Category Dictionary'!$D$5:$D$135,0)),"")),OR('Assignment Builder'!$B$8="",$D622='Assignment Builder'!$B$8),OR('Assignment Builder'!$B$9="",$F622='Assignment Builder'!$B$9),OR('Assignment Builder'!$B$10="",$O622='Assignment Builder'!$B$10),OR('Assignment Builder'!$B$11="",$H622&gt;='Assignment Builder'!$B$11),OR('Assignment Builder'!$B$12="",N($Q622)&lt;='Assignment Builder'!$B$12)))</f>
        <v/>
      </c>
      <c r="T622" s="23" t="n"/>
    </row>
    <row r="623">
      <c r="A623" s="23" t="n"/>
      <c r="B623" s="23" t="n"/>
      <c r="C623" s="24" t="n"/>
      <c r="D623" s="15" t="n"/>
      <c r="E623" s="23" t="n"/>
      <c r="F623" s="15" t="n"/>
      <c r="G623" s="23" t="n"/>
      <c r="H623" s="25" t="n"/>
      <c r="I623" s="15" t="n"/>
      <c r="J623" s="26">
        <f>IF($A623="","",LEN($C623)-LEN(SUBSTITUTE($C623,",",""))+1)</f>
        <v/>
      </c>
      <c r="K623" s="26">
        <f>IF($A623="","",SUMPRODUCT(--ISNUMBER(SEARCH('Category Dictionary'!$D$5:$D$135&amp;"",$C623)),--('Category Dictionary'!$D$5:$D$135&lt;&gt;"")))</f>
        <v/>
      </c>
      <c r="L623" s="27">
        <f>IF($A623="","",TRIM(IF(ISERROR(FIND(",",$C623)),$C623,LEFT($C623,FIND(",",$C623)-1))))</f>
        <v/>
      </c>
      <c r="M623" s="28">
        <f>IF($H623="","",DATE(YEAR($H623),MONTH($H623),1))</f>
        <v/>
      </c>
      <c r="N623" s="26">
        <f>IF($H623="","",TODAY()-$H623)</f>
        <v/>
      </c>
      <c r="O623" s="15" t="n"/>
      <c r="P623" s="15" t="n"/>
      <c r="Q623" s="15" t="n"/>
      <c r="R623" s="25" t="n"/>
      <c r="S623" s="26">
        <f>IF($A623="","",AND(OR('Assignment Builder'!$B$5="",$B623='Assignment Builder'!$B$5),OR('Assignment Builder'!$B$6="",ISNUMBER(SEARCH('Assignment Builder'!$B$6,$C623))),OR('Assignment Builder'!$B$7="",'Assignment Builder'!$B$7=IFERROR(INDEX('Category Dictionary'!$C$5:$C$135,MATCH($L623,'Category Dictionary'!$D$5:$D$135,0)),"")),OR('Assignment Builder'!$B$8="",$D623='Assignment Builder'!$B$8),OR('Assignment Builder'!$B$9="",$F623='Assignment Builder'!$B$9),OR('Assignment Builder'!$B$10="",$O623='Assignment Builder'!$B$10),OR('Assignment Builder'!$B$11="",$H623&gt;='Assignment Builder'!$B$11),OR('Assignment Builder'!$B$12="",N($Q623)&lt;='Assignment Builder'!$B$12)))</f>
        <v/>
      </c>
      <c r="T623" s="23" t="n"/>
    </row>
    <row r="624">
      <c r="A624" s="23" t="n"/>
      <c r="B624" s="23" t="n"/>
      <c r="C624" s="24" t="n"/>
      <c r="D624" s="15" t="n"/>
      <c r="E624" s="23" t="n"/>
      <c r="F624" s="15" t="n"/>
      <c r="G624" s="23" t="n"/>
      <c r="H624" s="25" t="n"/>
      <c r="I624" s="15" t="n"/>
      <c r="J624" s="26">
        <f>IF($A624="","",LEN($C624)-LEN(SUBSTITUTE($C624,",",""))+1)</f>
        <v/>
      </c>
      <c r="K624" s="26">
        <f>IF($A624="","",SUMPRODUCT(--ISNUMBER(SEARCH('Category Dictionary'!$D$5:$D$135&amp;"",$C624)),--('Category Dictionary'!$D$5:$D$135&lt;&gt;"")))</f>
        <v/>
      </c>
      <c r="L624" s="27">
        <f>IF($A624="","",TRIM(IF(ISERROR(FIND(",",$C624)),$C624,LEFT($C624,FIND(",",$C624)-1))))</f>
        <v/>
      </c>
      <c r="M624" s="28">
        <f>IF($H624="","",DATE(YEAR($H624),MONTH($H624),1))</f>
        <v/>
      </c>
      <c r="N624" s="26">
        <f>IF($H624="","",TODAY()-$H624)</f>
        <v/>
      </c>
      <c r="O624" s="15" t="n"/>
      <c r="P624" s="15" t="n"/>
      <c r="Q624" s="15" t="n"/>
      <c r="R624" s="25" t="n"/>
      <c r="S624" s="26">
        <f>IF($A624="","",AND(OR('Assignment Builder'!$B$5="",$B624='Assignment Builder'!$B$5),OR('Assignment Builder'!$B$6="",ISNUMBER(SEARCH('Assignment Builder'!$B$6,$C624))),OR('Assignment Builder'!$B$7="",'Assignment Builder'!$B$7=IFERROR(INDEX('Category Dictionary'!$C$5:$C$135,MATCH($L624,'Category Dictionary'!$D$5:$D$135,0)),"")),OR('Assignment Builder'!$B$8="",$D624='Assignment Builder'!$B$8),OR('Assignment Builder'!$B$9="",$F624='Assignment Builder'!$B$9),OR('Assignment Builder'!$B$10="",$O624='Assignment Builder'!$B$10),OR('Assignment Builder'!$B$11="",$H624&gt;='Assignment Builder'!$B$11),OR('Assignment Builder'!$B$12="",N($Q624)&lt;='Assignment Builder'!$B$12)))</f>
        <v/>
      </c>
      <c r="T624" s="23" t="n"/>
    </row>
    <row r="625">
      <c r="A625" s="23" t="n"/>
      <c r="B625" s="23" t="n"/>
      <c r="C625" s="24" t="n"/>
      <c r="D625" s="15" t="n"/>
      <c r="E625" s="23" t="n"/>
      <c r="F625" s="15" t="n"/>
      <c r="G625" s="23" t="n"/>
      <c r="H625" s="25" t="n"/>
      <c r="I625" s="15" t="n"/>
      <c r="J625" s="26">
        <f>IF($A625="","",LEN($C625)-LEN(SUBSTITUTE($C625,",",""))+1)</f>
        <v/>
      </c>
      <c r="K625" s="26">
        <f>IF($A625="","",SUMPRODUCT(--ISNUMBER(SEARCH('Category Dictionary'!$D$5:$D$135&amp;"",$C625)),--('Category Dictionary'!$D$5:$D$135&lt;&gt;"")))</f>
        <v/>
      </c>
      <c r="L625" s="27">
        <f>IF($A625="","",TRIM(IF(ISERROR(FIND(",",$C625)),$C625,LEFT($C625,FIND(",",$C625)-1))))</f>
        <v/>
      </c>
      <c r="M625" s="28">
        <f>IF($H625="","",DATE(YEAR($H625),MONTH($H625),1))</f>
        <v/>
      </c>
      <c r="N625" s="26">
        <f>IF($H625="","",TODAY()-$H625)</f>
        <v/>
      </c>
      <c r="O625" s="15" t="n"/>
      <c r="P625" s="15" t="n"/>
      <c r="Q625" s="15" t="n"/>
      <c r="R625" s="25" t="n"/>
      <c r="S625" s="26">
        <f>IF($A625="","",AND(OR('Assignment Builder'!$B$5="",$B625='Assignment Builder'!$B$5),OR('Assignment Builder'!$B$6="",ISNUMBER(SEARCH('Assignment Builder'!$B$6,$C625))),OR('Assignment Builder'!$B$7="",'Assignment Builder'!$B$7=IFERROR(INDEX('Category Dictionary'!$C$5:$C$135,MATCH($L625,'Category Dictionary'!$D$5:$D$135,0)),"")),OR('Assignment Builder'!$B$8="",$D625='Assignment Builder'!$B$8),OR('Assignment Builder'!$B$9="",$F625='Assignment Builder'!$B$9),OR('Assignment Builder'!$B$10="",$O625='Assignment Builder'!$B$10),OR('Assignment Builder'!$B$11="",$H625&gt;='Assignment Builder'!$B$11),OR('Assignment Builder'!$B$12="",N($Q625)&lt;='Assignment Builder'!$B$12)))</f>
        <v/>
      </c>
      <c r="T625" s="23" t="n"/>
    </row>
    <row r="626">
      <c r="A626" s="23" t="n"/>
      <c r="B626" s="23" t="n"/>
      <c r="C626" s="24" t="n"/>
      <c r="D626" s="15" t="n"/>
      <c r="E626" s="23" t="n"/>
      <c r="F626" s="15" t="n"/>
      <c r="G626" s="23" t="n"/>
      <c r="H626" s="25" t="n"/>
      <c r="I626" s="15" t="n"/>
      <c r="J626" s="26">
        <f>IF($A626="","",LEN($C626)-LEN(SUBSTITUTE($C626,",",""))+1)</f>
        <v/>
      </c>
      <c r="K626" s="26">
        <f>IF($A626="","",SUMPRODUCT(--ISNUMBER(SEARCH('Category Dictionary'!$D$5:$D$135&amp;"",$C626)),--('Category Dictionary'!$D$5:$D$135&lt;&gt;"")))</f>
        <v/>
      </c>
      <c r="L626" s="27">
        <f>IF($A626="","",TRIM(IF(ISERROR(FIND(",",$C626)),$C626,LEFT($C626,FIND(",",$C626)-1))))</f>
        <v/>
      </c>
      <c r="M626" s="28">
        <f>IF($H626="","",DATE(YEAR($H626),MONTH($H626),1))</f>
        <v/>
      </c>
      <c r="N626" s="26">
        <f>IF($H626="","",TODAY()-$H626)</f>
        <v/>
      </c>
      <c r="O626" s="15" t="n"/>
      <c r="P626" s="15" t="n"/>
      <c r="Q626" s="15" t="n"/>
      <c r="R626" s="25" t="n"/>
      <c r="S626" s="26">
        <f>IF($A626="","",AND(OR('Assignment Builder'!$B$5="",$B626='Assignment Builder'!$B$5),OR('Assignment Builder'!$B$6="",ISNUMBER(SEARCH('Assignment Builder'!$B$6,$C626))),OR('Assignment Builder'!$B$7="",'Assignment Builder'!$B$7=IFERROR(INDEX('Category Dictionary'!$C$5:$C$135,MATCH($L626,'Category Dictionary'!$D$5:$D$135,0)),"")),OR('Assignment Builder'!$B$8="",$D626='Assignment Builder'!$B$8),OR('Assignment Builder'!$B$9="",$F626='Assignment Builder'!$B$9),OR('Assignment Builder'!$B$10="",$O626='Assignment Builder'!$B$10),OR('Assignment Builder'!$B$11="",$H626&gt;='Assignment Builder'!$B$11),OR('Assignment Builder'!$B$12="",N($Q626)&lt;='Assignment Builder'!$B$12)))</f>
        <v/>
      </c>
      <c r="T626" s="23" t="n"/>
    </row>
    <row r="627">
      <c r="A627" s="23" t="n"/>
      <c r="B627" s="23" t="n"/>
      <c r="C627" s="24" t="n"/>
      <c r="D627" s="15" t="n"/>
      <c r="E627" s="23" t="n"/>
      <c r="F627" s="15" t="n"/>
      <c r="G627" s="23" t="n"/>
      <c r="H627" s="25" t="n"/>
      <c r="I627" s="15" t="n"/>
      <c r="J627" s="26">
        <f>IF($A627="","",LEN($C627)-LEN(SUBSTITUTE($C627,",",""))+1)</f>
        <v/>
      </c>
      <c r="K627" s="26">
        <f>IF($A627="","",SUMPRODUCT(--ISNUMBER(SEARCH('Category Dictionary'!$D$5:$D$135&amp;"",$C627)),--('Category Dictionary'!$D$5:$D$135&lt;&gt;"")))</f>
        <v/>
      </c>
      <c r="L627" s="27">
        <f>IF($A627="","",TRIM(IF(ISERROR(FIND(",",$C627)),$C627,LEFT($C627,FIND(",",$C627)-1))))</f>
        <v/>
      </c>
      <c r="M627" s="28">
        <f>IF($H627="","",DATE(YEAR($H627),MONTH($H627),1))</f>
        <v/>
      </c>
      <c r="N627" s="26">
        <f>IF($H627="","",TODAY()-$H627)</f>
        <v/>
      </c>
      <c r="O627" s="15" t="n"/>
      <c r="P627" s="15" t="n"/>
      <c r="Q627" s="15" t="n"/>
      <c r="R627" s="25" t="n"/>
      <c r="S627" s="26">
        <f>IF($A627="","",AND(OR('Assignment Builder'!$B$5="",$B627='Assignment Builder'!$B$5),OR('Assignment Builder'!$B$6="",ISNUMBER(SEARCH('Assignment Builder'!$B$6,$C627))),OR('Assignment Builder'!$B$7="",'Assignment Builder'!$B$7=IFERROR(INDEX('Category Dictionary'!$C$5:$C$135,MATCH($L627,'Category Dictionary'!$D$5:$D$135,0)),"")),OR('Assignment Builder'!$B$8="",$D627='Assignment Builder'!$B$8),OR('Assignment Builder'!$B$9="",$F627='Assignment Builder'!$B$9),OR('Assignment Builder'!$B$10="",$O627='Assignment Builder'!$B$10),OR('Assignment Builder'!$B$11="",$H627&gt;='Assignment Builder'!$B$11),OR('Assignment Builder'!$B$12="",N($Q627)&lt;='Assignment Builder'!$B$12)))</f>
        <v/>
      </c>
      <c r="T627" s="23" t="n"/>
    </row>
    <row r="628">
      <c r="A628" s="23" t="n"/>
      <c r="B628" s="23" t="n"/>
      <c r="C628" s="24" t="n"/>
      <c r="D628" s="15" t="n"/>
      <c r="E628" s="23" t="n"/>
      <c r="F628" s="15" t="n"/>
      <c r="G628" s="23" t="n"/>
      <c r="H628" s="25" t="n"/>
      <c r="I628" s="15" t="n"/>
      <c r="J628" s="26">
        <f>IF($A628="","",LEN($C628)-LEN(SUBSTITUTE($C628,",",""))+1)</f>
        <v/>
      </c>
      <c r="K628" s="26">
        <f>IF($A628="","",SUMPRODUCT(--ISNUMBER(SEARCH('Category Dictionary'!$D$5:$D$135&amp;"",$C628)),--('Category Dictionary'!$D$5:$D$135&lt;&gt;"")))</f>
        <v/>
      </c>
      <c r="L628" s="27">
        <f>IF($A628="","",TRIM(IF(ISERROR(FIND(",",$C628)),$C628,LEFT($C628,FIND(",",$C628)-1))))</f>
        <v/>
      </c>
      <c r="M628" s="28">
        <f>IF($H628="","",DATE(YEAR($H628),MONTH($H628),1))</f>
        <v/>
      </c>
      <c r="N628" s="26">
        <f>IF($H628="","",TODAY()-$H628)</f>
        <v/>
      </c>
      <c r="O628" s="15" t="n"/>
      <c r="P628" s="15" t="n"/>
      <c r="Q628" s="15" t="n"/>
      <c r="R628" s="25" t="n"/>
      <c r="S628" s="26">
        <f>IF($A628="","",AND(OR('Assignment Builder'!$B$5="",$B628='Assignment Builder'!$B$5),OR('Assignment Builder'!$B$6="",ISNUMBER(SEARCH('Assignment Builder'!$B$6,$C628))),OR('Assignment Builder'!$B$7="",'Assignment Builder'!$B$7=IFERROR(INDEX('Category Dictionary'!$C$5:$C$135,MATCH($L628,'Category Dictionary'!$D$5:$D$135,0)),"")),OR('Assignment Builder'!$B$8="",$D628='Assignment Builder'!$B$8),OR('Assignment Builder'!$B$9="",$F628='Assignment Builder'!$B$9),OR('Assignment Builder'!$B$10="",$O628='Assignment Builder'!$B$10),OR('Assignment Builder'!$B$11="",$H628&gt;='Assignment Builder'!$B$11),OR('Assignment Builder'!$B$12="",N($Q628)&lt;='Assignment Builder'!$B$12)))</f>
        <v/>
      </c>
      <c r="T628" s="23" t="n"/>
    </row>
    <row r="629">
      <c r="A629" s="23" t="n"/>
      <c r="B629" s="23" t="n"/>
      <c r="C629" s="24" t="n"/>
      <c r="D629" s="15" t="n"/>
      <c r="E629" s="23" t="n"/>
      <c r="F629" s="15" t="n"/>
      <c r="G629" s="23" t="n"/>
      <c r="H629" s="25" t="n"/>
      <c r="I629" s="15" t="n"/>
      <c r="J629" s="26">
        <f>IF($A629="","",LEN($C629)-LEN(SUBSTITUTE($C629,",",""))+1)</f>
        <v/>
      </c>
      <c r="K629" s="26">
        <f>IF($A629="","",SUMPRODUCT(--ISNUMBER(SEARCH('Category Dictionary'!$D$5:$D$135&amp;"",$C629)),--('Category Dictionary'!$D$5:$D$135&lt;&gt;"")))</f>
        <v/>
      </c>
      <c r="L629" s="27">
        <f>IF($A629="","",TRIM(IF(ISERROR(FIND(",",$C629)),$C629,LEFT($C629,FIND(",",$C629)-1))))</f>
        <v/>
      </c>
      <c r="M629" s="28">
        <f>IF($H629="","",DATE(YEAR($H629),MONTH($H629),1))</f>
        <v/>
      </c>
      <c r="N629" s="26">
        <f>IF($H629="","",TODAY()-$H629)</f>
        <v/>
      </c>
      <c r="O629" s="15" t="n"/>
      <c r="P629" s="15" t="n"/>
      <c r="Q629" s="15" t="n"/>
      <c r="R629" s="25" t="n"/>
      <c r="S629" s="26">
        <f>IF($A629="","",AND(OR('Assignment Builder'!$B$5="",$B629='Assignment Builder'!$B$5),OR('Assignment Builder'!$B$6="",ISNUMBER(SEARCH('Assignment Builder'!$B$6,$C629))),OR('Assignment Builder'!$B$7="",'Assignment Builder'!$B$7=IFERROR(INDEX('Category Dictionary'!$C$5:$C$135,MATCH($L629,'Category Dictionary'!$D$5:$D$135,0)),"")),OR('Assignment Builder'!$B$8="",$D629='Assignment Builder'!$B$8),OR('Assignment Builder'!$B$9="",$F629='Assignment Builder'!$B$9),OR('Assignment Builder'!$B$10="",$O629='Assignment Builder'!$B$10),OR('Assignment Builder'!$B$11="",$H629&gt;='Assignment Builder'!$B$11),OR('Assignment Builder'!$B$12="",N($Q629)&lt;='Assignment Builder'!$B$12)))</f>
        <v/>
      </c>
      <c r="T629" s="23" t="n"/>
    </row>
    <row r="630">
      <c r="A630" s="23" t="n"/>
      <c r="B630" s="23" t="n"/>
      <c r="C630" s="24" t="n"/>
      <c r="D630" s="15" t="n"/>
      <c r="E630" s="23" t="n"/>
      <c r="F630" s="15" t="n"/>
      <c r="G630" s="23" t="n"/>
      <c r="H630" s="25" t="n"/>
      <c r="I630" s="15" t="n"/>
      <c r="J630" s="26">
        <f>IF($A630="","",LEN($C630)-LEN(SUBSTITUTE($C630,",",""))+1)</f>
        <v/>
      </c>
      <c r="K630" s="26">
        <f>IF($A630="","",SUMPRODUCT(--ISNUMBER(SEARCH('Category Dictionary'!$D$5:$D$135&amp;"",$C630)),--('Category Dictionary'!$D$5:$D$135&lt;&gt;"")))</f>
        <v/>
      </c>
      <c r="L630" s="27">
        <f>IF($A630="","",TRIM(IF(ISERROR(FIND(",",$C630)),$C630,LEFT($C630,FIND(",",$C630)-1))))</f>
        <v/>
      </c>
      <c r="M630" s="28">
        <f>IF($H630="","",DATE(YEAR($H630),MONTH($H630),1))</f>
        <v/>
      </c>
      <c r="N630" s="26">
        <f>IF($H630="","",TODAY()-$H630)</f>
        <v/>
      </c>
      <c r="O630" s="15" t="n"/>
      <c r="P630" s="15" t="n"/>
      <c r="Q630" s="15" t="n"/>
      <c r="R630" s="25" t="n"/>
      <c r="S630" s="26">
        <f>IF($A630="","",AND(OR('Assignment Builder'!$B$5="",$B630='Assignment Builder'!$B$5),OR('Assignment Builder'!$B$6="",ISNUMBER(SEARCH('Assignment Builder'!$B$6,$C630))),OR('Assignment Builder'!$B$7="",'Assignment Builder'!$B$7=IFERROR(INDEX('Category Dictionary'!$C$5:$C$135,MATCH($L630,'Category Dictionary'!$D$5:$D$135,0)),"")),OR('Assignment Builder'!$B$8="",$D630='Assignment Builder'!$B$8),OR('Assignment Builder'!$B$9="",$F630='Assignment Builder'!$B$9),OR('Assignment Builder'!$B$10="",$O630='Assignment Builder'!$B$10),OR('Assignment Builder'!$B$11="",$H630&gt;='Assignment Builder'!$B$11),OR('Assignment Builder'!$B$12="",N($Q630)&lt;='Assignment Builder'!$B$12)))</f>
        <v/>
      </c>
      <c r="T630" s="23" t="n"/>
    </row>
    <row r="631">
      <c r="A631" s="23" t="n"/>
      <c r="B631" s="23" t="n"/>
      <c r="C631" s="24" t="n"/>
      <c r="D631" s="15" t="n"/>
      <c r="E631" s="23" t="n"/>
      <c r="F631" s="15" t="n"/>
      <c r="G631" s="23" t="n"/>
      <c r="H631" s="25" t="n"/>
      <c r="I631" s="15" t="n"/>
      <c r="J631" s="26">
        <f>IF($A631="","",LEN($C631)-LEN(SUBSTITUTE($C631,",",""))+1)</f>
        <v/>
      </c>
      <c r="K631" s="26">
        <f>IF($A631="","",SUMPRODUCT(--ISNUMBER(SEARCH('Category Dictionary'!$D$5:$D$135&amp;"",$C631)),--('Category Dictionary'!$D$5:$D$135&lt;&gt;"")))</f>
        <v/>
      </c>
      <c r="L631" s="27">
        <f>IF($A631="","",TRIM(IF(ISERROR(FIND(",",$C631)),$C631,LEFT($C631,FIND(",",$C631)-1))))</f>
        <v/>
      </c>
      <c r="M631" s="28">
        <f>IF($H631="","",DATE(YEAR($H631),MONTH($H631),1))</f>
        <v/>
      </c>
      <c r="N631" s="26">
        <f>IF($H631="","",TODAY()-$H631)</f>
        <v/>
      </c>
      <c r="O631" s="15" t="n"/>
      <c r="P631" s="15" t="n"/>
      <c r="Q631" s="15" t="n"/>
      <c r="R631" s="25" t="n"/>
      <c r="S631" s="26">
        <f>IF($A631="","",AND(OR('Assignment Builder'!$B$5="",$B631='Assignment Builder'!$B$5),OR('Assignment Builder'!$B$6="",ISNUMBER(SEARCH('Assignment Builder'!$B$6,$C631))),OR('Assignment Builder'!$B$7="",'Assignment Builder'!$B$7=IFERROR(INDEX('Category Dictionary'!$C$5:$C$135,MATCH($L631,'Category Dictionary'!$D$5:$D$135,0)),"")),OR('Assignment Builder'!$B$8="",$D631='Assignment Builder'!$B$8),OR('Assignment Builder'!$B$9="",$F631='Assignment Builder'!$B$9),OR('Assignment Builder'!$B$10="",$O631='Assignment Builder'!$B$10),OR('Assignment Builder'!$B$11="",$H631&gt;='Assignment Builder'!$B$11),OR('Assignment Builder'!$B$12="",N($Q631)&lt;='Assignment Builder'!$B$12)))</f>
        <v/>
      </c>
      <c r="T631" s="23" t="n"/>
    </row>
    <row r="632">
      <c r="A632" s="23" t="n"/>
      <c r="B632" s="23" t="n"/>
      <c r="C632" s="24" t="n"/>
      <c r="D632" s="15" t="n"/>
      <c r="E632" s="23" t="n"/>
      <c r="F632" s="15" t="n"/>
      <c r="G632" s="23" t="n"/>
      <c r="H632" s="25" t="n"/>
      <c r="I632" s="15" t="n"/>
      <c r="J632" s="26">
        <f>IF($A632="","",LEN($C632)-LEN(SUBSTITUTE($C632,",",""))+1)</f>
        <v/>
      </c>
      <c r="K632" s="26">
        <f>IF($A632="","",SUMPRODUCT(--ISNUMBER(SEARCH('Category Dictionary'!$D$5:$D$135&amp;"",$C632)),--('Category Dictionary'!$D$5:$D$135&lt;&gt;"")))</f>
        <v/>
      </c>
      <c r="L632" s="27">
        <f>IF($A632="","",TRIM(IF(ISERROR(FIND(",",$C632)),$C632,LEFT($C632,FIND(",",$C632)-1))))</f>
        <v/>
      </c>
      <c r="M632" s="28">
        <f>IF($H632="","",DATE(YEAR($H632),MONTH($H632),1))</f>
        <v/>
      </c>
      <c r="N632" s="26">
        <f>IF($H632="","",TODAY()-$H632)</f>
        <v/>
      </c>
      <c r="O632" s="15" t="n"/>
      <c r="P632" s="15" t="n"/>
      <c r="Q632" s="15" t="n"/>
      <c r="R632" s="25" t="n"/>
      <c r="S632" s="26">
        <f>IF($A632="","",AND(OR('Assignment Builder'!$B$5="",$B632='Assignment Builder'!$B$5),OR('Assignment Builder'!$B$6="",ISNUMBER(SEARCH('Assignment Builder'!$B$6,$C632))),OR('Assignment Builder'!$B$7="",'Assignment Builder'!$B$7=IFERROR(INDEX('Category Dictionary'!$C$5:$C$135,MATCH($L632,'Category Dictionary'!$D$5:$D$135,0)),"")),OR('Assignment Builder'!$B$8="",$D632='Assignment Builder'!$B$8),OR('Assignment Builder'!$B$9="",$F632='Assignment Builder'!$B$9),OR('Assignment Builder'!$B$10="",$O632='Assignment Builder'!$B$10),OR('Assignment Builder'!$B$11="",$H632&gt;='Assignment Builder'!$B$11),OR('Assignment Builder'!$B$12="",N($Q632)&lt;='Assignment Builder'!$B$12)))</f>
        <v/>
      </c>
      <c r="T632" s="23" t="n"/>
    </row>
    <row r="633">
      <c r="A633" s="23" t="n"/>
      <c r="B633" s="23" t="n"/>
      <c r="C633" s="24" t="n"/>
      <c r="D633" s="15" t="n"/>
      <c r="E633" s="23" t="n"/>
      <c r="F633" s="15" t="n"/>
      <c r="G633" s="23" t="n"/>
      <c r="H633" s="25" t="n"/>
      <c r="I633" s="15" t="n"/>
      <c r="J633" s="26">
        <f>IF($A633="","",LEN($C633)-LEN(SUBSTITUTE($C633,",",""))+1)</f>
        <v/>
      </c>
      <c r="K633" s="26">
        <f>IF($A633="","",SUMPRODUCT(--ISNUMBER(SEARCH('Category Dictionary'!$D$5:$D$135&amp;"",$C633)),--('Category Dictionary'!$D$5:$D$135&lt;&gt;"")))</f>
        <v/>
      </c>
      <c r="L633" s="27">
        <f>IF($A633="","",TRIM(IF(ISERROR(FIND(",",$C633)),$C633,LEFT($C633,FIND(",",$C633)-1))))</f>
        <v/>
      </c>
      <c r="M633" s="28">
        <f>IF($H633="","",DATE(YEAR($H633),MONTH($H633),1))</f>
        <v/>
      </c>
      <c r="N633" s="26">
        <f>IF($H633="","",TODAY()-$H633)</f>
        <v/>
      </c>
      <c r="O633" s="15" t="n"/>
      <c r="P633" s="15" t="n"/>
      <c r="Q633" s="15" t="n"/>
      <c r="R633" s="25" t="n"/>
      <c r="S633" s="26">
        <f>IF($A633="","",AND(OR('Assignment Builder'!$B$5="",$B633='Assignment Builder'!$B$5),OR('Assignment Builder'!$B$6="",ISNUMBER(SEARCH('Assignment Builder'!$B$6,$C633))),OR('Assignment Builder'!$B$7="",'Assignment Builder'!$B$7=IFERROR(INDEX('Category Dictionary'!$C$5:$C$135,MATCH($L633,'Category Dictionary'!$D$5:$D$135,0)),"")),OR('Assignment Builder'!$B$8="",$D633='Assignment Builder'!$B$8),OR('Assignment Builder'!$B$9="",$F633='Assignment Builder'!$B$9),OR('Assignment Builder'!$B$10="",$O633='Assignment Builder'!$B$10),OR('Assignment Builder'!$B$11="",$H633&gt;='Assignment Builder'!$B$11),OR('Assignment Builder'!$B$12="",N($Q633)&lt;='Assignment Builder'!$B$12)))</f>
        <v/>
      </c>
      <c r="T633" s="23" t="n"/>
    </row>
    <row r="634">
      <c r="A634" s="23" t="n"/>
      <c r="B634" s="23" t="n"/>
      <c r="C634" s="24" t="n"/>
      <c r="D634" s="15" t="n"/>
      <c r="E634" s="23" t="n"/>
      <c r="F634" s="15" t="n"/>
      <c r="G634" s="23" t="n"/>
      <c r="H634" s="25" t="n"/>
      <c r="I634" s="15" t="n"/>
      <c r="J634" s="26">
        <f>IF($A634="","",LEN($C634)-LEN(SUBSTITUTE($C634,",",""))+1)</f>
        <v/>
      </c>
      <c r="K634" s="26">
        <f>IF($A634="","",SUMPRODUCT(--ISNUMBER(SEARCH('Category Dictionary'!$D$5:$D$135&amp;"",$C634)),--('Category Dictionary'!$D$5:$D$135&lt;&gt;"")))</f>
        <v/>
      </c>
      <c r="L634" s="27">
        <f>IF($A634="","",TRIM(IF(ISERROR(FIND(",",$C634)),$C634,LEFT($C634,FIND(",",$C634)-1))))</f>
        <v/>
      </c>
      <c r="M634" s="28">
        <f>IF($H634="","",DATE(YEAR($H634),MONTH($H634),1))</f>
        <v/>
      </c>
      <c r="N634" s="26">
        <f>IF($H634="","",TODAY()-$H634)</f>
        <v/>
      </c>
      <c r="O634" s="15" t="n"/>
      <c r="P634" s="15" t="n"/>
      <c r="Q634" s="15" t="n"/>
      <c r="R634" s="25" t="n"/>
      <c r="S634" s="26">
        <f>IF($A634="","",AND(OR('Assignment Builder'!$B$5="",$B634='Assignment Builder'!$B$5),OR('Assignment Builder'!$B$6="",ISNUMBER(SEARCH('Assignment Builder'!$B$6,$C634))),OR('Assignment Builder'!$B$7="",'Assignment Builder'!$B$7=IFERROR(INDEX('Category Dictionary'!$C$5:$C$135,MATCH($L634,'Category Dictionary'!$D$5:$D$135,0)),"")),OR('Assignment Builder'!$B$8="",$D634='Assignment Builder'!$B$8),OR('Assignment Builder'!$B$9="",$F634='Assignment Builder'!$B$9),OR('Assignment Builder'!$B$10="",$O634='Assignment Builder'!$B$10),OR('Assignment Builder'!$B$11="",$H634&gt;='Assignment Builder'!$B$11),OR('Assignment Builder'!$B$12="",N($Q634)&lt;='Assignment Builder'!$B$12)))</f>
        <v/>
      </c>
      <c r="T634" s="23" t="n"/>
    </row>
    <row r="635">
      <c r="A635" s="23" t="n"/>
      <c r="B635" s="23" t="n"/>
      <c r="C635" s="24" t="n"/>
      <c r="D635" s="15" t="n"/>
      <c r="E635" s="23" t="n"/>
      <c r="F635" s="15" t="n"/>
      <c r="G635" s="23" t="n"/>
      <c r="H635" s="25" t="n"/>
      <c r="I635" s="15" t="n"/>
      <c r="J635" s="26">
        <f>IF($A635="","",LEN($C635)-LEN(SUBSTITUTE($C635,",",""))+1)</f>
        <v/>
      </c>
      <c r="K635" s="26">
        <f>IF($A635="","",SUMPRODUCT(--ISNUMBER(SEARCH('Category Dictionary'!$D$5:$D$135&amp;"",$C635)),--('Category Dictionary'!$D$5:$D$135&lt;&gt;"")))</f>
        <v/>
      </c>
      <c r="L635" s="27">
        <f>IF($A635="","",TRIM(IF(ISERROR(FIND(",",$C635)),$C635,LEFT($C635,FIND(",",$C635)-1))))</f>
        <v/>
      </c>
      <c r="M635" s="28">
        <f>IF($H635="","",DATE(YEAR($H635),MONTH($H635),1))</f>
        <v/>
      </c>
      <c r="N635" s="26">
        <f>IF($H635="","",TODAY()-$H635)</f>
        <v/>
      </c>
      <c r="O635" s="15" t="n"/>
      <c r="P635" s="15" t="n"/>
      <c r="Q635" s="15" t="n"/>
      <c r="R635" s="25" t="n"/>
      <c r="S635" s="26">
        <f>IF($A635="","",AND(OR('Assignment Builder'!$B$5="",$B635='Assignment Builder'!$B$5),OR('Assignment Builder'!$B$6="",ISNUMBER(SEARCH('Assignment Builder'!$B$6,$C635))),OR('Assignment Builder'!$B$7="",'Assignment Builder'!$B$7=IFERROR(INDEX('Category Dictionary'!$C$5:$C$135,MATCH($L635,'Category Dictionary'!$D$5:$D$135,0)),"")),OR('Assignment Builder'!$B$8="",$D635='Assignment Builder'!$B$8),OR('Assignment Builder'!$B$9="",$F635='Assignment Builder'!$B$9),OR('Assignment Builder'!$B$10="",$O635='Assignment Builder'!$B$10),OR('Assignment Builder'!$B$11="",$H635&gt;='Assignment Builder'!$B$11),OR('Assignment Builder'!$B$12="",N($Q635)&lt;='Assignment Builder'!$B$12)))</f>
        <v/>
      </c>
      <c r="T635" s="23" t="n"/>
    </row>
    <row r="636">
      <c r="A636" s="23" t="n"/>
      <c r="B636" s="23" t="n"/>
      <c r="C636" s="24" t="n"/>
      <c r="D636" s="15" t="n"/>
      <c r="E636" s="23" t="n"/>
      <c r="F636" s="15" t="n"/>
      <c r="G636" s="23" t="n"/>
      <c r="H636" s="25" t="n"/>
      <c r="I636" s="15" t="n"/>
      <c r="J636" s="26">
        <f>IF($A636="","",LEN($C636)-LEN(SUBSTITUTE($C636,",",""))+1)</f>
        <v/>
      </c>
      <c r="K636" s="26">
        <f>IF($A636="","",SUMPRODUCT(--ISNUMBER(SEARCH('Category Dictionary'!$D$5:$D$135&amp;"",$C636)),--('Category Dictionary'!$D$5:$D$135&lt;&gt;"")))</f>
        <v/>
      </c>
      <c r="L636" s="27">
        <f>IF($A636="","",TRIM(IF(ISERROR(FIND(",",$C636)),$C636,LEFT($C636,FIND(",",$C636)-1))))</f>
        <v/>
      </c>
      <c r="M636" s="28">
        <f>IF($H636="","",DATE(YEAR($H636),MONTH($H636),1))</f>
        <v/>
      </c>
      <c r="N636" s="26">
        <f>IF($H636="","",TODAY()-$H636)</f>
        <v/>
      </c>
      <c r="O636" s="15" t="n"/>
      <c r="P636" s="15" t="n"/>
      <c r="Q636" s="15" t="n"/>
      <c r="R636" s="25" t="n"/>
      <c r="S636" s="26">
        <f>IF($A636="","",AND(OR('Assignment Builder'!$B$5="",$B636='Assignment Builder'!$B$5),OR('Assignment Builder'!$B$6="",ISNUMBER(SEARCH('Assignment Builder'!$B$6,$C636))),OR('Assignment Builder'!$B$7="",'Assignment Builder'!$B$7=IFERROR(INDEX('Category Dictionary'!$C$5:$C$135,MATCH($L636,'Category Dictionary'!$D$5:$D$135,0)),"")),OR('Assignment Builder'!$B$8="",$D636='Assignment Builder'!$B$8),OR('Assignment Builder'!$B$9="",$F636='Assignment Builder'!$B$9),OR('Assignment Builder'!$B$10="",$O636='Assignment Builder'!$B$10),OR('Assignment Builder'!$B$11="",$H636&gt;='Assignment Builder'!$B$11),OR('Assignment Builder'!$B$12="",N($Q636)&lt;='Assignment Builder'!$B$12)))</f>
        <v/>
      </c>
      <c r="T636" s="23" t="n"/>
    </row>
    <row r="637">
      <c r="A637" s="23" t="n"/>
      <c r="B637" s="23" t="n"/>
      <c r="C637" s="24" t="n"/>
      <c r="D637" s="15" t="n"/>
      <c r="E637" s="23" t="n"/>
      <c r="F637" s="15" t="n"/>
      <c r="G637" s="23" t="n"/>
      <c r="H637" s="25" t="n"/>
      <c r="I637" s="15" t="n"/>
      <c r="J637" s="26">
        <f>IF($A637="","",LEN($C637)-LEN(SUBSTITUTE($C637,",",""))+1)</f>
        <v/>
      </c>
      <c r="K637" s="26">
        <f>IF($A637="","",SUMPRODUCT(--ISNUMBER(SEARCH('Category Dictionary'!$D$5:$D$135&amp;"",$C637)),--('Category Dictionary'!$D$5:$D$135&lt;&gt;"")))</f>
        <v/>
      </c>
      <c r="L637" s="27">
        <f>IF($A637="","",TRIM(IF(ISERROR(FIND(",",$C637)),$C637,LEFT($C637,FIND(",",$C637)-1))))</f>
        <v/>
      </c>
      <c r="M637" s="28">
        <f>IF($H637="","",DATE(YEAR($H637),MONTH($H637),1))</f>
        <v/>
      </c>
      <c r="N637" s="26">
        <f>IF($H637="","",TODAY()-$H637)</f>
        <v/>
      </c>
      <c r="O637" s="15" t="n"/>
      <c r="P637" s="15" t="n"/>
      <c r="Q637" s="15" t="n"/>
      <c r="R637" s="25" t="n"/>
      <c r="S637" s="26">
        <f>IF($A637="","",AND(OR('Assignment Builder'!$B$5="",$B637='Assignment Builder'!$B$5),OR('Assignment Builder'!$B$6="",ISNUMBER(SEARCH('Assignment Builder'!$B$6,$C637))),OR('Assignment Builder'!$B$7="",'Assignment Builder'!$B$7=IFERROR(INDEX('Category Dictionary'!$C$5:$C$135,MATCH($L637,'Category Dictionary'!$D$5:$D$135,0)),"")),OR('Assignment Builder'!$B$8="",$D637='Assignment Builder'!$B$8),OR('Assignment Builder'!$B$9="",$F637='Assignment Builder'!$B$9),OR('Assignment Builder'!$B$10="",$O637='Assignment Builder'!$B$10),OR('Assignment Builder'!$B$11="",$H637&gt;='Assignment Builder'!$B$11),OR('Assignment Builder'!$B$12="",N($Q637)&lt;='Assignment Builder'!$B$12)))</f>
        <v/>
      </c>
      <c r="T637" s="23" t="n"/>
    </row>
    <row r="638">
      <c r="A638" s="23" t="n"/>
      <c r="B638" s="23" t="n"/>
      <c r="C638" s="24" t="n"/>
      <c r="D638" s="15" t="n"/>
      <c r="E638" s="23" t="n"/>
      <c r="F638" s="15" t="n"/>
      <c r="G638" s="23" t="n"/>
      <c r="H638" s="25" t="n"/>
      <c r="I638" s="15" t="n"/>
      <c r="J638" s="26">
        <f>IF($A638="","",LEN($C638)-LEN(SUBSTITUTE($C638,",",""))+1)</f>
        <v/>
      </c>
      <c r="K638" s="26">
        <f>IF($A638="","",SUMPRODUCT(--ISNUMBER(SEARCH('Category Dictionary'!$D$5:$D$135&amp;"",$C638)),--('Category Dictionary'!$D$5:$D$135&lt;&gt;"")))</f>
        <v/>
      </c>
      <c r="L638" s="27">
        <f>IF($A638="","",TRIM(IF(ISERROR(FIND(",",$C638)),$C638,LEFT($C638,FIND(",",$C638)-1))))</f>
        <v/>
      </c>
      <c r="M638" s="28">
        <f>IF($H638="","",DATE(YEAR($H638),MONTH($H638),1))</f>
        <v/>
      </c>
      <c r="N638" s="26">
        <f>IF($H638="","",TODAY()-$H638)</f>
        <v/>
      </c>
      <c r="O638" s="15" t="n"/>
      <c r="P638" s="15" t="n"/>
      <c r="Q638" s="15" t="n"/>
      <c r="R638" s="25" t="n"/>
      <c r="S638" s="26">
        <f>IF($A638="","",AND(OR('Assignment Builder'!$B$5="",$B638='Assignment Builder'!$B$5),OR('Assignment Builder'!$B$6="",ISNUMBER(SEARCH('Assignment Builder'!$B$6,$C638))),OR('Assignment Builder'!$B$7="",'Assignment Builder'!$B$7=IFERROR(INDEX('Category Dictionary'!$C$5:$C$135,MATCH($L638,'Category Dictionary'!$D$5:$D$135,0)),"")),OR('Assignment Builder'!$B$8="",$D638='Assignment Builder'!$B$8),OR('Assignment Builder'!$B$9="",$F638='Assignment Builder'!$B$9),OR('Assignment Builder'!$B$10="",$O638='Assignment Builder'!$B$10),OR('Assignment Builder'!$B$11="",$H638&gt;='Assignment Builder'!$B$11),OR('Assignment Builder'!$B$12="",N($Q638)&lt;='Assignment Builder'!$B$12)))</f>
        <v/>
      </c>
      <c r="T638" s="23" t="n"/>
    </row>
    <row r="639">
      <c r="A639" s="23" t="n"/>
      <c r="B639" s="23" t="n"/>
      <c r="C639" s="24" t="n"/>
      <c r="D639" s="15" t="n"/>
      <c r="E639" s="23" t="n"/>
      <c r="F639" s="15" t="n"/>
      <c r="G639" s="23" t="n"/>
      <c r="H639" s="25" t="n"/>
      <c r="I639" s="15" t="n"/>
      <c r="J639" s="26">
        <f>IF($A639="","",LEN($C639)-LEN(SUBSTITUTE($C639,",",""))+1)</f>
        <v/>
      </c>
      <c r="K639" s="26">
        <f>IF($A639="","",SUMPRODUCT(--ISNUMBER(SEARCH('Category Dictionary'!$D$5:$D$135&amp;"",$C639)),--('Category Dictionary'!$D$5:$D$135&lt;&gt;"")))</f>
        <v/>
      </c>
      <c r="L639" s="27">
        <f>IF($A639="","",TRIM(IF(ISERROR(FIND(",",$C639)),$C639,LEFT($C639,FIND(",",$C639)-1))))</f>
        <v/>
      </c>
      <c r="M639" s="28">
        <f>IF($H639="","",DATE(YEAR($H639),MONTH($H639),1))</f>
        <v/>
      </c>
      <c r="N639" s="26">
        <f>IF($H639="","",TODAY()-$H639)</f>
        <v/>
      </c>
      <c r="O639" s="15" t="n"/>
      <c r="P639" s="15" t="n"/>
      <c r="Q639" s="15" t="n"/>
      <c r="R639" s="25" t="n"/>
      <c r="S639" s="26">
        <f>IF($A639="","",AND(OR('Assignment Builder'!$B$5="",$B639='Assignment Builder'!$B$5),OR('Assignment Builder'!$B$6="",ISNUMBER(SEARCH('Assignment Builder'!$B$6,$C639))),OR('Assignment Builder'!$B$7="",'Assignment Builder'!$B$7=IFERROR(INDEX('Category Dictionary'!$C$5:$C$135,MATCH($L639,'Category Dictionary'!$D$5:$D$135,0)),"")),OR('Assignment Builder'!$B$8="",$D639='Assignment Builder'!$B$8),OR('Assignment Builder'!$B$9="",$F639='Assignment Builder'!$B$9),OR('Assignment Builder'!$B$10="",$O639='Assignment Builder'!$B$10),OR('Assignment Builder'!$B$11="",$H639&gt;='Assignment Builder'!$B$11),OR('Assignment Builder'!$B$12="",N($Q639)&lt;='Assignment Builder'!$B$12)))</f>
        <v/>
      </c>
      <c r="T639" s="23" t="n"/>
    </row>
    <row r="640">
      <c r="A640" s="23" t="n"/>
      <c r="B640" s="23" t="n"/>
      <c r="C640" s="24" t="n"/>
      <c r="D640" s="15" t="n"/>
      <c r="E640" s="23" t="n"/>
      <c r="F640" s="15" t="n"/>
      <c r="G640" s="23" t="n"/>
      <c r="H640" s="25" t="n"/>
      <c r="I640" s="15" t="n"/>
      <c r="J640" s="26">
        <f>IF($A640="","",LEN($C640)-LEN(SUBSTITUTE($C640,",",""))+1)</f>
        <v/>
      </c>
      <c r="K640" s="26">
        <f>IF($A640="","",SUMPRODUCT(--ISNUMBER(SEARCH('Category Dictionary'!$D$5:$D$135&amp;"",$C640)),--('Category Dictionary'!$D$5:$D$135&lt;&gt;"")))</f>
        <v/>
      </c>
      <c r="L640" s="27">
        <f>IF($A640="","",TRIM(IF(ISERROR(FIND(",",$C640)),$C640,LEFT($C640,FIND(",",$C640)-1))))</f>
        <v/>
      </c>
      <c r="M640" s="28">
        <f>IF($H640="","",DATE(YEAR($H640),MONTH($H640),1))</f>
        <v/>
      </c>
      <c r="N640" s="26">
        <f>IF($H640="","",TODAY()-$H640)</f>
        <v/>
      </c>
      <c r="O640" s="15" t="n"/>
      <c r="P640" s="15" t="n"/>
      <c r="Q640" s="15" t="n"/>
      <c r="R640" s="25" t="n"/>
      <c r="S640" s="26">
        <f>IF($A640="","",AND(OR('Assignment Builder'!$B$5="",$B640='Assignment Builder'!$B$5),OR('Assignment Builder'!$B$6="",ISNUMBER(SEARCH('Assignment Builder'!$B$6,$C640))),OR('Assignment Builder'!$B$7="",'Assignment Builder'!$B$7=IFERROR(INDEX('Category Dictionary'!$C$5:$C$135,MATCH($L640,'Category Dictionary'!$D$5:$D$135,0)),"")),OR('Assignment Builder'!$B$8="",$D640='Assignment Builder'!$B$8),OR('Assignment Builder'!$B$9="",$F640='Assignment Builder'!$B$9),OR('Assignment Builder'!$B$10="",$O640='Assignment Builder'!$B$10),OR('Assignment Builder'!$B$11="",$H640&gt;='Assignment Builder'!$B$11),OR('Assignment Builder'!$B$12="",N($Q640)&lt;='Assignment Builder'!$B$12)))</f>
        <v/>
      </c>
      <c r="T640" s="23" t="n"/>
    </row>
    <row r="641">
      <c r="A641" s="23" t="n"/>
      <c r="B641" s="23" t="n"/>
      <c r="C641" s="24" t="n"/>
      <c r="D641" s="15" t="n"/>
      <c r="E641" s="23" t="n"/>
      <c r="F641" s="15" t="n"/>
      <c r="G641" s="23" t="n"/>
      <c r="H641" s="25" t="n"/>
      <c r="I641" s="15" t="n"/>
      <c r="J641" s="26">
        <f>IF($A641="","",LEN($C641)-LEN(SUBSTITUTE($C641,",",""))+1)</f>
        <v/>
      </c>
      <c r="K641" s="26">
        <f>IF($A641="","",SUMPRODUCT(--ISNUMBER(SEARCH('Category Dictionary'!$D$5:$D$135&amp;"",$C641)),--('Category Dictionary'!$D$5:$D$135&lt;&gt;"")))</f>
        <v/>
      </c>
      <c r="L641" s="27">
        <f>IF($A641="","",TRIM(IF(ISERROR(FIND(",",$C641)),$C641,LEFT($C641,FIND(",",$C641)-1))))</f>
        <v/>
      </c>
      <c r="M641" s="28">
        <f>IF($H641="","",DATE(YEAR($H641),MONTH($H641),1))</f>
        <v/>
      </c>
      <c r="N641" s="26">
        <f>IF($H641="","",TODAY()-$H641)</f>
        <v/>
      </c>
      <c r="O641" s="15" t="n"/>
      <c r="P641" s="15" t="n"/>
      <c r="Q641" s="15" t="n"/>
      <c r="R641" s="25" t="n"/>
      <c r="S641" s="26">
        <f>IF($A641="","",AND(OR('Assignment Builder'!$B$5="",$B641='Assignment Builder'!$B$5),OR('Assignment Builder'!$B$6="",ISNUMBER(SEARCH('Assignment Builder'!$B$6,$C641))),OR('Assignment Builder'!$B$7="",'Assignment Builder'!$B$7=IFERROR(INDEX('Category Dictionary'!$C$5:$C$135,MATCH($L641,'Category Dictionary'!$D$5:$D$135,0)),"")),OR('Assignment Builder'!$B$8="",$D641='Assignment Builder'!$B$8),OR('Assignment Builder'!$B$9="",$F641='Assignment Builder'!$B$9),OR('Assignment Builder'!$B$10="",$O641='Assignment Builder'!$B$10),OR('Assignment Builder'!$B$11="",$H641&gt;='Assignment Builder'!$B$11),OR('Assignment Builder'!$B$12="",N($Q641)&lt;='Assignment Builder'!$B$12)))</f>
        <v/>
      </c>
      <c r="T641" s="23" t="n"/>
    </row>
    <row r="642">
      <c r="A642" s="23" t="n"/>
      <c r="B642" s="23" t="n"/>
      <c r="C642" s="24" t="n"/>
      <c r="D642" s="15" t="n"/>
      <c r="E642" s="23" t="n"/>
      <c r="F642" s="15" t="n"/>
      <c r="G642" s="23" t="n"/>
      <c r="H642" s="25" t="n"/>
      <c r="I642" s="15" t="n"/>
      <c r="J642" s="26">
        <f>IF($A642="","",LEN($C642)-LEN(SUBSTITUTE($C642,",",""))+1)</f>
        <v/>
      </c>
      <c r="K642" s="26">
        <f>IF($A642="","",SUMPRODUCT(--ISNUMBER(SEARCH('Category Dictionary'!$D$5:$D$135&amp;"",$C642)),--('Category Dictionary'!$D$5:$D$135&lt;&gt;"")))</f>
        <v/>
      </c>
      <c r="L642" s="27">
        <f>IF($A642="","",TRIM(IF(ISERROR(FIND(",",$C642)),$C642,LEFT($C642,FIND(",",$C642)-1))))</f>
        <v/>
      </c>
      <c r="M642" s="28">
        <f>IF($H642="","",DATE(YEAR($H642),MONTH($H642),1))</f>
        <v/>
      </c>
      <c r="N642" s="26">
        <f>IF($H642="","",TODAY()-$H642)</f>
        <v/>
      </c>
      <c r="O642" s="15" t="n"/>
      <c r="P642" s="15" t="n"/>
      <c r="Q642" s="15" t="n"/>
      <c r="R642" s="25" t="n"/>
      <c r="S642" s="26">
        <f>IF($A642="","",AND(OR('Assignment Builder'!$B$5="",$B642='Assignment Builder'!$B$5),OR('Assignment Builder'!$B$6="",ISNUMBER(SEARCH('Assignment Builder'!$B$6,$C642))),OR('Assignment Builder'!$B$7="",'Assignment Builder'!$B$7=IFERROR(INDEX('Category Dictionary'!$C$5:$C$135,MATCH($L642,'Category Dictionary'!$D$5:$D$135,0)),"")),OR('Assignment Builder'!$B$8="",$D642='Assignment Builder'!$B$8),OR('Assignment Builder'!$B$9="",$F642='Assignment Builder'!$B$9),OR('Assignment Builder'!$B$10="",$O642='Assignment Builder'!$B$10),OR('Assignment Builder'!$B$11="",$H642&gt;='Assignment Builder'!$B$11),OR('Assignment Builder'!$B$12="",N($Q642)&lt;='Assignment Builder'!$B$12)))</f>
        <v/>
      </c>
      <c r="T642" s="23" t="n"/>
    </row>
    <row r="643">
      <c r="A643" s="23" t="n"/>
      <c r="B643" s="23" t="n"/>
      <c r="C643" s="24" t="n"/>
      <c r="D643" s="15" t="n"/>
      <c r="E643" s="23" t="n"/>
      <c r="F643" s="15" t="n"/>
      <c r="G643" s="23" t="n"/>
      <c r="H643" s="25" t="n"/>
      <c r="I643" s="15" t="n"/>
      <c r="J643" s="26">
        <f>IF($A643="","",LEN($C643)-LEN(SUBSTITUTE($C643,",",""))+1)</f>
        <v/>
      </c>
      <c r="K643" s="26">
        <f>IF($A643="","",SUMPRODUCT(--ISNUMBER(SEARCH('Category Dictionary'!$D$5:$D$135&amp;"",$C643)),--('Category Dictionary'!$D$5:$D$135&lt;&gt;"")))</f>
        <v/>
      </c>
      <c r="L643" s="27">
        <f>IF($A643="","",TRIM(IF(ISERROR(FIND(",",$C643)),$C643,LEFT($C643,FIND(",",$C643)-1))))</f>
        <v/>
      </c>
      <c r="M643" s="28">
        <f>IF($H643="","",DATE(YEAR($H643),MONTH($H643),1))</f>
        <v/>
      </c>
      <c r="N643" s="26">
        <f>IF($H643="","",TODAY()-$H643)</f>
        <v/>
      </c>
      <c r="O643" s="15" t="n"/>
      <c r="P643" s="15" t="n"/>
      <c r="Q643" s="15" t="n"/>
      <c r="R643" s="25" t="n"/>
      <c r="S643" s="26">
        <f>IF($A643="","",AND(OR('Assignment Builder'!$B$5="",$B643='Assignment Builder'!$B$5),OR('Assignment Builder'!$B$6="",ISNUMBER(SEARCH('Assignment Builder'!$B$6,$C643))),OR('Assignment Builder'!$B$7="",'Assignment Builder'!$B$7=IFERROR(INDEX('Category Dictionary'!$C$5:$C$135,MATCH($L643,'Category Dictionary'!$D$5:$D$135,0)),"")),OR('Assignment Builder'!$B$8="",$D643='Assignment Builder'!$B$8),OR('Assignment Builder'!$B$9="",$F643='Assignment Builder'!$B$9),OR('Assignment Builder'!$B$10="",$O643='Assignment Builder'!$B$10),OR('Assignment Builder'!$B$11="",$H643&gt;='Assignment Builder'!$B$11),OR('Assignment Builder'!$B$12="",N($Q643)&lt;='Assignment Builder'!$B$12)))</f>
        <v/>
      </c>
      <c r="T643" s="23" t="n"/>
    </row>
    <row r="644">
      <c r="A644" s="23" t="n"/>
      <c r="B644" s="23" t="n"/>
      <c r="C644" s="24" t="n"/>
      <c r="D644" s="15" t="n"/>
      <c r="E644" s="23" t="n"/>
      <c r="F644" s="15" t="n"/>
      <c r="G644" s="23" t="n"/>
      <c r="H644" s="25" t="n"/>
      <c r="I644" s="15" t="n"/>
      <c r="J644" s="26">
        <f>IF($A644="","",LEN($C644)-LEN(SUBSTITUTE($C644,",",""))+1)</f>
        <v/>
      </c>
      <c r="K644" s="26">
        <f>IF($A644="","",SUMPRODUCT(--ISNUMBER(SEARCH('Category Dictionary'!$D$5:$D$135&amp;"",$C644)),--('Category Dictionary'!$D$5:$D$135&lt;&gt;"")))</f>
        <v/>
      </c>
      <c r="L644" s="27">
        <f>IF($A644="","",TRIM(IF(ISERROR(FIND(",",$C644)),$C644,LEFT($C644,FIND(",",$C644)-1))))</f>
        <v/>
      </c>
      <c r="M644" s="28">
        <f>IF($H644="","",DATE(YEAR($H644),MONTH($H644),1))</f>
        <v/>
      </c>
      <c r="N644" s="26">
        <f>IF($H644="","",TODAY()-$H644)</f>
        <v/>
      </c>
      <c r="O644" s="15" t="n"/>
      <c r="P644" s="15" t="n"/>
      <c r="Q644" s="15" t="n"/>
      <c r="R644" s="25" t="n"/>
      <c r="S644" s="26">
        <f>IF($A644="","",AND(OR('Assignment Builder'!$B$5="",$B644='Assignment Builder'!$B$5),OR('Assignment Builder'!$B$6="",ISNUMBER(SEARCH('Assignment Builder'!$B$6,$C644))),OR('Assignment Builder'!$B$7="",'Assignment Builder'!$B$7=IFERROR(INDEX('Category Dictionary'!$C$5:$C$135,MATCH($L644,'Category Dictionary'!$D$5:$D$135,0)),"")),OR('Assignment Builder'!$B$8="",$D644='Assignment Builder'!$B$8),OR('Assignment Builder'!$B$9="",$F644='Assignment Builder'!$B$9),OR('Assignment Builder'!$B$10="",$O644='Assignment Builder'!$B$10),OR('Assignment Builder'!$B$11="",$H644&gt;='Assignment Builder'!$B$11),OR('Assignment Builder'!$B$12="",N($Q644)&lt;='Assignment Builder'!$B$12)))</f>
        <v/>
      </c>
      <c r="T644" s="23" t="n"/>
    </row>
    <row r="645">
      <c r="A645" s="23" t="n"/>
      <c r="B645" s="23" t="n"/>
      <c r="C645" s="24" t="n"/>
      <c r="D645" s="15" t="n"/>
      <c r="E645" s="23" t="n"/>
      <c r="F645" s="15" t="n"/>
      <c r="G645" s="23" t="n"/>
      <c r="H645" s="25" t="n"/>
      <c r="I645" s="15" t="n"/>
      <c r="J645" s="26">
        <f>IF($A645="","",LEN($C645)-LEN(SUBSTITUTE($C645,",",""))+1)</f>
        <v/>
      </c>
      <c r="K645" s="26">
        <f>IF($A645="","",SUMPRODUCT(--ISNUMBER(SEARCH('Category Dictionary'!$D$5:$D$135&amp;"",$C645)),--('Category Dictionary'!$D$5:$D$135&lt;&gt;"")))</f>
        <v/>
      </c>
      <c r="L645" s="27">
        <f>IF($A645="","",TRIM(IF(ISERROR(FIND(",",$C645)),$C645,LEFT($C645,FIND(",",$C645)-1))))</f>
        <v/>
      </c>
      <c r="M645" s="28">
        <f>IF($H645="","",DATE(YEAR($H645),MONTH($H645),1))</f>
        <v/>
      </c>
      <c r="N645" s="26">
        <f>IF($H645="","",TODAY()-$H645)</f>
        <v/>
      </c>
      <c r="O645" s="15" t="n"/>
      <c r="P645" s="15" t="n"/>
      <c r="Q645" s="15" t="n"/>
      <c r="R645" s="25" t="n"/>
      <c r="S645" s="26">
        <f>IF($A645="","",AND(OR('Assignment Builder'!$B$5="",$B645='Assignment Builder'!$B$5),OR('Assignment Builder'!$B$6="",ISNUMBER(SEARCH('Assignment Builder'!$B$6,$C645))),OR('Assignment Builder'!$B$7="",'Assignment Builder'!$B$7=IFERROR(INDEX('Category Dictionary'!$C$5:$C$135,MATCH($L645,'Category Dictionary'!$D$5:$D$135,0)),"")),OR('Assignment Builder'!$B$8="",$D645='Assignment Builder'!$B$8),OR('Assignment Builder'!$B$9="",$F645='Assignment Builder'!$B$9),OR('Assignment Builder'!$B$10="",$O645='Assignment Builder'!$B$10),OR('Assignment Builder'!$B$11="",$H645&gt;='Assignment Builder'!$B$11),OR('Assignment Builder'!$B$12="",N($Q645)&lt;='Assignment Builder'!$B$12)))</f>
        <v/>
      </c>
      <c r="T645" s="23" t="n"/>
    </row>
    <row r="646">
      <c r="A646" s="23" t="n"/>
      <c r="B646" s="23" t="n"/>
      <c r="C646" s="24" t="n"/>
      <c r="D646" s="15" t="n"/>
      <c r="E646" s="23" t="n"/>
      <c r="F646" s="15" t="n"/>
      <c r="G646" s="23" t="n"/>
      <c r="H646" s="25" t="n"/>
      <c r="I646" s="15" t="n"/>
      <c r="J646" s="26">
        <f>IF($A646="","",LEN($C646)-LEN(SUBSTITUTE($C646,",",""))+1)</f>
        <v/>
      </c>
      <c r="K646" s="26">
        <f>IF($A646="","",SUMPRODUCT(--ISNUMBER(SEARCH('Category Dictionary'!$D$5:$D$135&amp;"",$C646)),--('Category Dictionary'!$D$5:$D$135&lt;&gt;"")))</f>
        <v/>
      </c>
      <c r="L646" s="27">
        <f>IF($A646="","",TRIM(IF(ISERROR(FIND(",",$C646)),$C646,LEFT($C646,FIND(",",$C646)-1))))</f>
        <v/>
      </c>
      <c r="M646" s="28">
        <f>IF($H646="","",DATE(YEAR($H646),MONTH($H646),1))</f>
        <v/>
      </c>
      <c r="N646" s="26">
        <f>IF($H646="","",TODAY()-$H646)</f>
        <v/>
      </c>
      <c r="O646" s="15" t="n"/>
      <c r="P646" s="15" t="n"/>
      <c r="Q646" s="15" t="n"/>
      <c r="R646" s="25" t="n"/>
      <c r="S646" s="26">
        <f>IF($A646="","",AND(OR('Assignment Builder'!$B$5="",$B646='Assignment Builder'!$B$5),OR('Assignment Builder'!$B$6="",ISNUMBER(SEARCH('Assignment Builder'!$B$6,$C646))),OR('Assignment Builder'!$B$7="",'Assignment Builder'!$B$7=IFERROR(INDEX('Category Dictionary'!$C$5:$C$135,MATCH($L646,'Category Dictionary'!$D$5:$D$135,0)),"")),OR('Assignment Builder'!$B$8="",$D646='Assignment Builder'!$B$8),OR('Assignment Builder'!$B$9="",$F646='Assignment Builder'!$B$9),OR('Assignment Builder'!$B$10="",$O646='Assignment Builder'!$B$10),OR('Assignment Builder'!$B$11="",$H646&gt;='Assignment Builder'!$B$11),OR('Assignment Builder'!$B$12="",N($Q646)&lt;='Assignment Builder'!$B$12)))</f>
        <v/>
      </c>
      <c r="T646" s="23" t="n"/>
    </row>
    <row r="647">
      <c r="A647" s="23" t="n"/>
      <c r="B647" s="23" t="n"/>
      <c r="C647" s="24" t="n"/>
      <c r="D647" s="15" t="n"/>
      <c r="E647" s="23" t="n"/>
      <c r="F647" s="15" t="n"/>
      <c r="G647" s="23" t="n"/>
      <c r="H647" s="25" t="n"/>
      <c r="I647" s="15" t="n"/>
      <c r="J647" s="26">
        <f>IF($A647="","",LEN($C647)-LEN(SUBSTITUTE($C647,",",""))+1)</f>
        <v/>
      </c>
      <c r="K647" s="26">
        <f>IF($A647="","",SUMPRODUCT(--ISNUMBER(SEARCH('Category Dictionary'!$D$5:$D$135&amp;"",$C647)),--('Category Dictionary'!$D$5:$D$135&lt;&gt;"")))</f>
        <v/>
      </c>
      <c r="L647" s="27">
        <f>IF($A647="","",TRIM(IF(ISERROR(FIND(",",$C647)),$C647,LEFT($C647,FIND(",",$C647)-1))))</f>
        <v/>
      </c>
      <c r="M647" s="28">
        <f>IF($H647="","",DATE(YEAR($H647),MONTH($H647),1))</f>
        <v/>
      </c>
      <c r="N647" s="26">
        <f>IF($H647="","",TODAY()-$H647)</f>
        <v/>
      </c>
      <c r="O647" s="15" t="n"/>
      <c r="P647" s="15" t="n"/>
      <c r="Q647" s="15" t="n"/>
      <c r="R647" s="25" t="n"/>
      <c r="S647" s="26">
        <f>IF($A647="","",AND(OR('Assignment Builder'!$B$5="",$B647='Assignment Builder'!$B$5),OR('Assignment Builder'!$B$6="",ISNUMBER(SEARCH('Assignment Builder'!$B$6,$C647))),OR('Assignment Builder'!$B$7="",'Assignment Builder'!$B$7=IFERROR(INDEX('Category Dictionary'!$C$5:$C$135,MATCH($L647,'Category Dictionary'!$D$5:$D$135,0)),"")),OR('Assignment Builder'!$B$8="",$D647='Assignment Builder'!$B$8),OR('Assignment Builder'!$B$9="",$F647='Assignment Builder'!$B$9),OR('Assignment Builder'!$B$10="",$O647='Assignment Builder'!$B$10),OR('Assignment Builder'!$B$11="",$H647&gt;='Assignment Builder'!$B$11),OR('Assignment Builder'!$B$12="",N($Q647)&lt;='Assignment Builder'!$B$12)))</f>
        <v/>
      </c>
      <c r="T647" s="23" t="n"/>
    </row>
    <row r="648">
      <c r="A648" s="23" t="n"/>
      <c r="B648" s="23" t="n"/>
      <c r="C648" s="24" t="n"/>
      <c r="D648" s="15" t="n"/>
      <c r="E648" s="23" t="n"/>
      <c r="F648" s="15" t="n"/>
      <c r="G648" s="23" t="n"/>
      <c r="H648" s="25" t="n"/>
      <c r="I648" s="15" t="n"/>
      <c r="J648" s="26">
        <f>IF($A648="","",LEN($C648)-LEN(SUBSTITUTE($C648,",",""))+1)</f>
        <v/>
      </c>
      <c r="K648" s="26">
        <f>IF($A648="","",SUMPRODUCT(--ISNUMBER(SEARCH('Category Dictionary'!$D$5:$D$135&amp;"",$C648)),--('Category Dictionary'!$D$5:$D$135&lt;&gt;"")))</f>
        <v/>
      </c>
      <c r="L648" s="27">
        <f>IF($A648="","",TRIM(IF(ISERROR(FIND(",",$C648)),$C648,LEFT($C648,FIND(",",$C648)-1))))</f>
        <v/>
      </c>
      <c r="M648" s="28">
        <f>IF($H648="","",DATE(YEAR($H648),MONTH($H648),1))</f>
        <v/>
      </c>
      <c r="N648" s="26">
        <f>IF($H648="","",TODAY()-$H648)</f>
        <v/>
      </c>
      <c r="O648" s="15" t="n"/>
      <c r="P648" s="15" t="n"/>
      <c r="Q648" s="15" t="n"/>
      <c r="R648" s="25" t="n"/>
      <c r="S648" s="26">
        <f>IF($A648="","",AND(OR('Assignment Builder'!$B$5="",$B648='Assignment Builder'!$B$5),OR('Assignment Builder'!$B$6="",ISNUMBER(SEARCH('Assignment Builder'!$B$6,$C648))),OR('Assignment Builder'!$B$7="",'Assignment Builder'!$B$7=IFERROR(INDEX('Category Dictionary'!$C$5:$C$135,MATCH($L648,'Category Dictionary'!$D$5:$D$135,0)),"")),OR('Assignment Builder'!$B$8="",$D648='Assignment Builder'!$B$8),OR('Assignment Builder'!$B$9="",$F648='Assignment Builder'!$B$9),OR('Assignment Builder'!$B$10="",$O648='Assignment Builder'!$B$10),OR('Assignment Builder'!$B$11="",$H648&gt;='Assignment Builder'!$B$11),OR('Assignment Builder'!$B$12="",N($Q648)&lt;='Assignment Builder'!$B$12)))</f>
        <v/>
      </c>
      <c r="T648" s="23" t="n"/>
    </row>
    <row r="649">
      <c r="A649" s="23" t="n"/>
      <c r="B649" s="23" t="n"/>
      <c r="C649" s="24" t="n"/>
      <c r="D649" s="15" t="n"/>
      <c r="E649" s="23" t="n"/>
      <c r="F649" s="15" t="n"/>
      <c r="G649" s="23" t="n"/>
      <c r="H649" s="25" t="n"/>
      <c r="I649" s="15" t="n"/>
      <c r="J649" s="26">
        <f>IF($A649="","",LEN($C649)-LEN(SUBSTITUTE($C649,",",""))+1)</f>
        <v/>
      </c>
      <c r="K649" s="26">
        <f>IF($A649="","",SUMPRODUCT(--ISNUMBER(SEARCH('Category Dictionary'!$D$5:$D$135&amp;"",$C649)),--('Category Dictionary'!$D$5:$D$135&lt;&gt;"")))</f>
        <v/>
      </c>
      <c r="L649" s="27">
        <f>IF($A649="","",TRIM(IF(ISERROR(FIND(",",$C649)),$C649,LEFT($C649,FIND(",",$C649)-1))))</f>
        <v/>
      </c>
      <c r="M649" s="28">
        <f>IF($H649="","",DATE(YEAR($H649),MONTH($H649),1))</f>
        <v/>
      </c>
      <c r="N649" s="26">
        <f>IF($H649="","",TODAY()-$H649)</f>
        <v/>
      </c>
      <c r="O649" s="15" t="n"/>
      <c r="P649" s="15" t="n"/>
      <c r="Q649" s="15" t="n"/>
      <c r="R649" s="25" t="n"/>
      <c r="S649" s="26">
        <f>IF($A649="","",AND(OR('Assignment Builder'!$B$5="",$B649='Assignment Builder'!$B$5),OR('Assignment Builder'!$B$6="",ISNUMBER(SEARCH('Assignment Builder'!$B$6,$C649))),OR('Assignment Builder'!$B$7="",'Assignment Builder'!$B$7=IFERROR(INDEX('Category Dictionary'!$C$5:$C$135,MATCH($L649,'Category Dictionary'!$D$5:$D$135,0)),"")),OR('Assignment Builder'!$B$8="",$D649='Assignment Builder'!$B$8),OR('Assignment Builder'!$B$9="",$F649='Assignment Builder'!$B$9),OR('Assignment Builder'!$B$10="",$O649='Assignment Builder'!$B$10),OR('Assignment Builder'!$B$11="",$H649&gt;='Assignment Builder'!$B$11),OR('Assignment Builder'!$B$12="",N($Q649)&lt;='Assignment Builder'!$B$12)))</f>
        <v/>
      </c>
      <c r="T649" s="23" t="n"/>
    </row>
    <row r="650">
      <c r="A650" s="23" t="n"/>
      <c r="B650" s="23" t="n"/>
      <c r="C650" s="24" t="n"/>
      <c r="D650" s="15" t="n"/>
      <c r="E650" s="23" t="n"/>
      <c r="F650" s="15" t="n"/>
      <c r="G650" s="23" t="n"/>
      <c r="H650" s="25" t="n"/>
      <c r="I650" s="15" t="n"/>
      <c r="J650" s="26">
        <f>IF($A650="","",LEN($C650)-LEN(SUBSTITUTE($C650,",",""))+1)</f>
        <v/>
      </c>
      <c r="K650" s="26">
        <f>IF($A650="","",SUMPRODUCT(--ISNUMBER(SEARCH('Category Dictionary'!$D$5:$D$135&amp;"",$C650)),--('Category Dictionary'!$D$5:$D$135&lt;&gt;"")))</f>
        <v/>
      </c>
      <c r="L650" s="27">
        <f>IF($A650="","",TRIM(IF(ISERROR(FIND(",",$C650)),$C650,LEFT($C650,FIND(",",$C650)-1))))</f>
        <v/>
      </c>
      <c r="M650" s="28">
        <f>IF($H650="","",DATE(YEAR($H650),MONTH($H650),1))</f>
        <v/>
      </c>
      <c r="N650" s="26">
        <f>IF($H650="","",TODAY()-$H650)</f>
        <v/>
      </c>
      <c r="O650" s="15" t="n"/>
      <c r="P650" s="15" t="n"/>
      <c r="Q650" s="15" t="n"/>
      <c r="R650" s="25" t="n"/>
      <c r="S650" s="26">
        <f>IF($A650="","",AND(OR('Assignment Builder'!$B$5="",$B650='Assignment Builder'!$B$5),OR('Assignment Builder'!$B$6="",ISNUMBER(SEARCH('Assignment Builder'!$B$6,$C650))),OR('Assignment Builder'!$B$7="",'Assignment Builder'!$B$7=IFERROR(INDEX('Category Dictionary'!$C$5:$C$135,MATCH($L650,'Category Dictionary'!$D$5:$D$135,0)),"")),OR('Assignment Builder'!$B$8="",$D650='Assignment Builder'!$B$8),OR('Assignment Builder'!$B$9="",$F650='Assignment Builder'!$B$9),OR('Assignment Builder'!$B$10="",$O650='Assignment Builder'!$B$10),OR('Assignment Builder'!$B$11="",$H650&gt;='Assignment Builder'!$B$11),OR('Assignment Builder'!$B$12="",N($Q650)&lt;='Assignment Builder'!$B$12)))</f>
        <v/>
      </c>
      <c r="T650" s="23" t="n"/>
    </row>
    <row r="651">
      <c r="A651" s="23" t="n"/>
      <c r="B651" s="23" t="n"/>
      <c r="C651" s="24" t="n"/>
      <c r="D651" s="15" t="n"/>
      <c r="E651" s="23" t="n"/>
      <c r="F651" s="15" t="n"/>
      <c r="G651" s="23" t="n"/>
      <c r="H651" s="25" t="n"/>
      <c r="I651" s="15" t="n"/>
      <c r="J651" s="26">
        <f>IF($A651="","",LEN($C651)-LEN(SUBSTITUTE($C651,",",""))+1)</f>
        <v/>
      </c>
      <c r="K651" s="26">
        <f>IF($A651="","",SUMPRODUCT(--ISNUMBER(SEARCH('Category Dictionary'!$D$5:$D$135&amp;"",$C651)),--('Category Dictionary'!$D$5:$D$135&lt;&gt;"")))</f>
        <v/>
      </c>
      <c r="L651" s="27">
        <f>IF($A651="","",TRIM(IF(ISERROR(FIND(",",$C651)),$C651,LEFT($C651,FIND(",",$C651)-1))))</f>
        <v/>
      </c>
      <c r="M651" s="28">
        <f>IF($H651="","",DATE(YEAR($H651),MONTH($H651),1))</f>
        <v/>
      </c>
      <c r="N651" s="26">
        <f>IF($H651="","",TODAY()-$H651)</f>
        <v/>
      </c>
      <c r="O651" s="15" t="n"/>
      <c r="P651" s="15" t="n"/>
      <c r="Q651" s="15" t="n"/>
      <c r="R651" s="25" t="n"/>
      <c r="S651" s="26">
        <f>IF($A651="","",AND(OR('Assignment Builder'!$B$5="",$B651='Assignment Builder'!$B$5),OR('Assignment Builder'!$B$6="",ISNUMBER(SEARCH('Assignment Builder'!$B$6,$C651))),OR('Assignment Builder'!$B$7="",'Assignment Builder'!$B$7=IFERROR(INDEX('Category Dictionary'!$C$5:$C$135,MATCH($L651,'Category Dictionary'!$D$5:$D$135,0)),"")),OR('Assignment Builder'!$B$8="",$D651='Assignment Builder'!$B$8),OR('Assignment Builder'!$B$9="",$F651='Assignment Builder'!$B$9),OR('Assignment Builder'!$B$10="",$O651='Assignment Builder'!$B$10),OR('Assignment Builder'!$B$11="",$H651&gt;='Assignment Builder'!$B$11),OR('Assignment Builder'!$B$12="",N($Q651)&lt;='Assignment Builder'!$B$12)))</f>
        <v/>
      </c>
      <c r="T651" s="23" t="n"/>
    </row>
    <row r="652">
      <c r="A652" s="23" t="n"/>
      <c r="B652" s="23" t="n"/>
      <c r="C652" s="24" t="n"/>
      <c r="D652" s="15" t="n"/>
      <c r="E652" s="23" t="n"/>
      <c r="F652" s="15" t="n"/>
      <c r="G652" s="23" t="n"/>
      <c r="H652" s="25" t="n"/>
      <c r="I652" s="15" t="n"/>
      <c r="J652" s="26">
        <f>IF($A652="","",LEN($C652)-LEN(SUBSTITUTE($C652,",",""))+1)</f>
        <v/>
      </c>
      <c r="K652" s="26">
        <f>IF($A652="","",SUMPRODUCT(--ISNUMBER(SEARCH('Category Dictionary'!$D$5:$D$135&amp;"",$C652)),--('Category Dictionary'!$D$5:$D$135&lt;&gt;"")))</f>
        <v/>
      </c>
      <c r="L652" s="27">
        <f>IF($A652="","",TRIM(IF(ISERROR(FIND(",",$C652)),$C652,LEFT($C652,FIND(",",$C652)-1))))</f>
        <v/>
      </c>
      <c r="M652" s="28">
        <f>IF($H652="","",DATE(YEAR($H652),MONTH($H652),1))</f>
        <v/>
      </c>
      <c r="N652" s="26">
        <f>IF($H652="","",TODAY()-$H652)</f>
        <v/>
      </c>
      <c r="O652" s="15" t="n"/>
      <c r="P652" s="15" t="n"/>
      <c r="Q652" s="15" t="n"/>
      <c r="R652" s="25" t="n"/>
      <c r="S652" s="26">
        <f>IF($A652="","",AND(OR('Assignment Builder'!$B$5="",$B652='Assignment Builder'!$B$5),OR('Assignment Builder'!$B$6="",ISNUMBER(SEARCH('Assignment Builder'!$B$6,$C652))),OR('Assignment Builder'!$B$7="",'Assignment Builder'!$B$7=IFERROR(INDEX('Category Dictionary'!$C$5:$C$135,MATCH($L652,'Category Dictionary'!$D$5:$D$135,0)),"")),OR('Assignment Builder'!$B$8="",$D652='Assignment Builder'!$B$8),OR('Assignment Builder'!$B$9="",$F652='Assignment Builder'!$B$9),OR('Assignment Builder'!$B$10="",$O652='Assignment Builder'!$B$10),OR('Assignment Builder'!$B$11="",$H652&gt;='Assignment Builder'!$B$11),OR('Assignment Builder'!$B$12="",N($Q652)&lt;='Assignment Builder'!$B$12)))</f>
        <v/>
      </c>
      <c r="T652" s="23" t="n"/>
    </row>
    <row r="653">
      <c r="A653" s="23" t="n"/>
      <c r="B653" s="23" t="n"/>
      <c r="C653" s="24" t="n"/>
      <c r="D653" s="15" t="n"/>
      <c r="E653" s="23" t="n"/>
      <c r="F653" s="15" t="n"/>
      <c r="G653" s="23" t="n"/>
      <c r="H653" s="25" t="n"/>
      <c r="I653" s="15" t="n"/>
      <c r="J653" s="26">
        <f>IF($A653="","",LEN($C653)-LEN(SUBSTITUTE($C653,",",""))+1)</f>
        <v/>
      </c>
      <c r="K653" s="26">
        <f>IF($A653="","",SUMPRODUCT(--ISNUMBER(SEARCH('Category Dictionary'!$D$5:$D$135&amp;"",$C653)),--('Category Dictionary'!$D$5:$D$135&lt;&gt;"")))</f>
        <v/>
      </c>
      <c r="L653" s="27">
        <f>IF($A653="","",TRIM(IF(ISERROR(FIND(",",$C653)),$C653,LEFT($C653,FIND(",",$C653)-1))))</f>
        <v/>
      </c>
      <c r="M653" s="28">
        <f>IF($H653="","",DATE(YEAR($H653),MONTH($H653),1))</f>
        <v/>
      </c>
      <c r="N653" s="26">
        <f>IF($H653="","",TODAY()-$H653)</f>
        <v/>
      </c>
      <c r="O653" s="15" t="n"/>
      <c r="P653" s="15" t="n"/>
      <c r="Q653" s="15" t="n"/>
      <c r="R653" s="25" t="n"/>
      <c r="S653" s="26">
        <f>IF($A653="","",AND(OR('Assignment Builder'!$B$5="",$B653='Assignment Builder'!$B$5),OR('Assignment Builder'!$B$6="",ISNUMBER(SEARCH('Assignment Builder'!$B$6,$C653))),OR('Assignment Builder'!$B$7="",'Assignment Builder'!$B$7=IFERROR(INDEX('Category Dictionary'!$C$5:$C$135,MATCH($L653,'Category Dictionary'!$D$5:$D$135,0)),"")),OR('Assignment Builder'!$B$8="",$D653='Assignment Builder'!$B$8),OR('Assignment Builder'!$B$9="",$F653='Assignment Builder'!$B$9),OR('Assignment Builder'!$B$10="",$O653='Assignment Builder'!$B$10),OR('Assignment Builder'!$B$11="",$H653&gt;='Assignment Builder'!$B$11),OR('Assignment Builder'!$B$12="",N($Q653)&lt;='Assignment Builder'!$B$12)))</f>
        <v/>
      </c>
      <c r="T653" s="23" t="n"/>
    </row>
    <row r="654">
      <c r="A654" s="23" t="n"/>
      <c r="B654" s="23" t="n"/>
      <c r="C654" s="24" t="n"/>
      <c r="D654" s="15" t="n"/>
      <c r="E654" s="23" t="n"/>
      <c r="F654" s="15" t="n"/>
      <c r="G654" s="23" t="n"/>
      <c r="H654" s="25" t="n"/>
      <c r="I654" s="15" t="n"/>
      <c r="J654" s="26">
        <f>IF($A654="","",LEN($C654)-LEN(SUBSTITUTE($C654,",",""))+1)</f>
        <v/>
      </c>
      <c r="K654" s="26">
        <f>IF($A654="","",SUMPRODUCT(--ISNUMBER(SEARCH('Category Dictionary'!$D$5:$D$135&amp;"",$C654)),--('Category Dictionary'!$D$5:$D$135&lt;&gt;"")))</f>
        <v/>
      </c>
      <c r="L654" s="27">
        <f>IF($A654="","",TRIM(IF(ISERROR(FIND(",",$C654)),$C654,LEFT($C654,FIND(",",$C654)-1))))</f>
        <v/>
      </c>
      <c r="M654" s="28">
        <f>IF($H654="","",DATE(YEAR($H654),MONTH($H654),1))</f>
        <v/>
      </c>
      <c r="N654" s="26">
        <f>IF($H654="","",TODAY()-$H654)</f>
        <v/>
      </c>
      <c r="O654" s="15" t="n"/>
      <c r="P654" s="15" t="n"/>
      <c r="Q654" s="15" t="n"/>
      <c r="R654" s="25" t="n"/>
      <c r="S654" s="26">
        <f>IF($A654="","",AND(OR('Assignment Builder'!$B$5="",$B654='Assignment Builder'!$B$5),OR('Assignment Builder'!$B$6="",ISNUMBER(SEARCH('Assignment Builder'!$B$6,$C654))),OR('Assignment Builder'!$B$7="",'Assignment Builder'!$B$7=IFERROR(INDEX('Category Dictionary'!$C$5:$C$135,MATCH($L654,'Category Dictionary'!$D$5:$D$135,0)),"")),OR('Assignment Builder'!$B$8="",$D654='Assignment Builder'!$B$8),OR('Assignment Builder'!$B$9="",$F654='Assignment Builder'!$B$9),OR('Assignment Builder'!$B$10="",$O654='Assignment Builder'!$B$10),OR('Assignment Builder'!$B$11="",$H654&gt;='Assignment Builder'!$B$11),OR('Assignment Builder'!$B$12="",N($Q654)&lt;='Assignment Builder'!$B$12)))</f>
        <v/>
      </c>
      <c r="T654" s="23" t="n"/>
    </row>
    <row r="655">
      <c r="A655" s="23" t="n"/>
      <c r="B655" s="23" t="n"/>
      <c r="C655" s="24" t="n"/>
      <c r="D655" s="15" t="n"/>
      <c r="E655" s="23" t="n"/>
      <c r="F655" s="15" t="n"/>
      <c r="G655" s="23" t="n"/>
      <c r="H655" s="25" t="n"/>
      <c r="I655" s="15" t="n"/>
      <c r="J655" s="26">
        <f>IF($A655="","",LEN($C655)-LEN(SUBSTITUTE($C655,",",""))+1)</f>
        <v/>
      </c>
      <c r="K655" s="26">
        <f>IF($A655="","",SUMPRODUCT(--ISNUMBER(SEARCH('Category Dictionary'!$D$5:$D$135&amp;"",$C655)),--('Category Dictionary'!$D$5:$D$135&lt;&gt;"")))</f>
        <v/>
      </c>
      <c r="L655" s="27">
        <f>IF($A655="","",TRIM(IF(ISERROR(FIND(",",$C655)),$C655,LEFT($C655,FIND(",",$C655)-1))))</f>
        <v/>
      </c>
      <c r="M655" s="28">
        <f>IF($H655="","",DATE(YEAR($H655),MONTH($H655),1))</f>
        <v/>
      </c>
      <c r="N655" s="26">
        <f>IF($H655="","",TODAY()-$H655)</f>
        <v/>
      </c>
      <c r="O655" s="15" t="n"/>
      <c r="P655" s="15" t="n"/>
      <c r="Q655" s="15" t="n"/>
      <c r="R655" s="25" t="n"/>
      <c r="S655" s="26">
        <f>IF($A655="","",AND(OR('Assignment Builder'!$B$5="",$B655='Assignment Builder'!$B$5),OR('Assignment Builder'!$B$6="",ISNUMBER(SEARCH('Assignment Builder'!$B$6,$C655))),OR('Assignment Builder'!$B$7="",'Assignment Builder'!$B$7=IFERROR(INDEX('Category Dictionary'!$C$5:$C$135,MATCH($L655,'Category Dictionary'!$D$5:$D$135,0)),"")),OR('Assignment Builder'!$B$8="",$D655='Assignment Builder'!$B$8),OR('Assignment Builder'!$B$9="",$F655='Assignment Builder'!$B$9),OR('Assignment Builder'!$B$10="",$O655='Assignment Builder'!$B$10),OR('Assignment Builder'!$B$11="",$H655&gt;='Assignment Builder'!$B$11),OR('Assignment Builder'!$B$12="",N($Q655)&lt;='Assignment Builder'!$B$12)))</f>
        <v/>
      </c>
      <c r="T655" s="23" t="n"/>
    </row>
    <row r="656">
      <c r="A656" s="23" t="n"/>
      <c r="B656" s="23" t="n"/>
      <c r="C656" s="24" t="n"/>
      <c r="D656" s="15" t="n"/>
      <c r="E656" s="23" t="n"/>
      <c r="F656" s="15" t="n"/>
      <c r="G656" s="23" t="n"/>
      <c r="H656" s="25" t="n"/>
      <c r="I656" s="15" t="n"/>
      <c r="J656" s="26">
        <f>IF($A656="","",LEN($C656)-LEN(SUBSTITUTE($C656,",",""))+1)</f>
        <v/>
      </c>
      <c r="K656" s="26">
        <f>IF($A656="","",SUMPRODUCT(--ISNUMBER(SEARCH('Category Dictionary'!$D$5:$D$135&amp;"",$C656)),--('Category Dictionary'!$D$5:$D$135&lt;&gt;"")))</f>
        <v/>
      </c>
      <c r="L656" s="27">
        <f>IF($A656="","",TRIM(IF(ISERROR(FIND(",",$C656)),$C656,LEFT($C656,FIND(",",$C656)-1))))</f>
        <v/>
      </c>
      <c r="M656" s="28">
        <f>IF($H656="","",DATE(YEAR($H656),MONTH($H656),1))</f>
        <v/>
      </c>
      <c r="N656" s="26">
        <f>IF($H656="","",TODAY()-$H656)</f>
        <v/>
      </c>
      <c r="O656" s="15" t="n"/>
      <c r="P656" s="15" t="n"/>
      <c r="Q656" s="15" t="n"/>
      <c r="R656" s="25" t="n"/>
      <c r="S656" s="26">
        <f>IF($A656="","",AND(OR('Assignment Builder'!$B$5="",$B656='Assignment Builder'!$B$5),OR('Assignment Builder'!$B$6="",ISNUMBER(SEARCH('Assignment Builder'!$B$6,$C656))),OR('Assignment Builder'!$B$7="",'Assignment Builder'!$B$7=IFERROR(INDEX('Category Dictionary'!$C$5:$C$135,MATCH($L656,'Category Dictionary'!$D$5:$D$135,0)),"")),OR('Assignment Builder'!$B$8="",$D656='Assignment Builder'!$B$8),OR('Assignment Builder'!$B$9="",$F656='Assignment Builder'!$B$9),OR('Assignment Builder'!$B$10="",$O656='Assignment Builder'!$B$10),OR('Assignment Builder'!$B$11="",$H656&gt;='Assignment Builder'!$B$11),OR('Assignment Builder'!$B$12="",N($Q656)&lt;='Assignment Builder'!$B$12)))</f>
        <v/>
      </c>
      <c r="T656" s="23" t="n"/>
    </row>
    <row r="657">
      <c r="A657" s="23" t="n"/>
      <c r="B657" s="23" t="n"/>
      <c r="C657" s="24" t="n"/>
      <c r="D657" s="15" t="n"/>
      <c r="E657" s="23" t="n"/>
      <c r="F657" s="15" t="n"/>
      <c r="G657" s="23" t="n"/>
      <c r="H657" s="25" t="n"/>
      <c r="I657" s="15" t="n"/>
      <c r="J657" s="26">
        <f>IF($A657="","",LEN($C657)-LEN(SUBSTITUTE($C657,",",""))+1)</f>
        <v/>
      </c>
      <c r="K657" s="26">
        <f>IF($A657="","",SUMPRODUCT(--ISNUMBER(SEARCH('Category Dictionary'!$D$5:$D$135&amp;"",$C657)),--('Category Dictionary'!$D$5:$D$135&lt;&gt;"")))</f>
        <v/>
      </c>
      <c r="L657" s="27">
        <f>IF($A657="","",TRIM(IF(ISERROR(FIND(",",$C657)),$C657,LEFT($C657,FIND(",",$C657)-1))))</f>
        <v/>
      </c>
      <c r="M657" s="28">
        <f>IF($H657="","",DATE(YEAR($H657),MONTH($H657),1))</f>
        <v/>
      </c>
      <c r="N657" s="26">
        <f>IF($H657="","",TODAY()-$H657)</f>
        <v/>
      </c>
      <c r="O657" s="15" t="n"/>
      <c r="P657" s="15" t="n"/>
      <c r="Q657" s="15" t="n"/>
      <c r="R657" s="25" t="n"/>
      <c r="S657" s="26">
        <f>IF($A657="","",AND(OR('Assignment Builder'!$B$5="",$B657='Assignment Builder'!$B$5),OR('Assignment Builder'!$B$6="",ISNUMBER(SEARCH('Assignment Builder'!$B$6,$C657))),OR('Assignment Builder'!$B$7="",'Assignment Builder'!$B$7=IFERROR(INDEX('Category Dictionary'!$C$5:$C$135,MATCH($L657,'Category Dictionary'!$D$5:$D$135,0)),"")),OR('Assignment Builder'!$B$8="",$D657='Assignment Builder'!$B$8),OR('Assignment Builder'!$B$9="",$F657='Assignment Builder'!$B$9),OR('Assignment Builder'!$B$10="",$O657='Assignment Builder'!$B$10),OR('Assignment Builder'!$B$11="",$H657&gt;='Assignment Builder'!$B$11),OR('Assignment Builder'!$B$12="",N($Q657)&lt;='Assignment Builder'!$B$12)))</f>
        <v/>
      </c>
      <c r="T657" s="23" t="n"/>
    </row>
    <row r="658">
      <c r="A658" s="23" t="n"/>
      <c r="B658" s="23" t="n"/>
      <c r="C658" s="24" t="n"/>
      <c r="D658" s="15" t="n"/>
      <c r="E658" s="23" t="n"/>
      <c r="F658" s="15" t="n"/>
      <c r="G658" s="23" t="n"/>
      <c r="H658" s="25" t="n"/>
      <c r="I658" s="15" t="n"/>
      <c r="J658" s="26">
        <f>IF($A658="","",LEN($C658)-LEN(SUBSTITUTE($C658,",",""))+1)</f>
        <v/>
      </c>
      <c r="K658" s="26">
        <f>IF($A658="","",SUMPRODUCT(--ISNUMBER(SEARCH('Category Dictionary'!$D$5:$D$135&amp;"",$C658)),--('Category Dictionary'!$D$5:$D$135&lt;&gt;"")))</f>
        <v/>
      </c>
      <c r="L658" s="27">
        <f>IF($A658="","",TRIM(IF(ISERROR(FIND(",",$C658)),$C658,LEFT($C658,FIND(",",$C658)-1))))</f>
        <v/>
      </c>
      <c r="M658" s="28">
        <f>IF($H658="","",DATE(YEAR($H658),MONTH($H658),1))</f>
        <v/>
      </c>
      <c r="N658" s="26">
        <f>IF($H658="","",TODAY()-$H658)</f>
        <v/>
      </c>
      <c r="O658" s="15" t="n"/>
      <c r="P658" s="15" t="n"/>
      <c r="Q658" s="15" t="n"/>
      <c r="R658" s="25" t="n"/>
      <c r="S658" s="26">
        <f>IF($A658="","",AND(OR('Assignment Builder'!$B$5="",$B658='Assignment Builder'!$B$5),OR('Assignment Builder'!$B$6="",ISNUMBER(SEARCH('Assignment Builder'!$B$6,$C658))),OR('Assignment Builder'!$B$7="",'Assignment Builder'!$B$7=IFERROR(INDEX('Category Dictionary'!$C$5:$C$135,MATCH($L658,'Category Dictionary'!$D$5:$D$135,0)),"")),OR('Assignment Builder'!$B$8="",$D658='Assignment Builder'!$B$8),OR('Assignment Builder'!$B$9="",$F658='Assignment Builder'!$B$9),OR('Assignment Builder'!$B$10="",$O658='Assignment Builder'!$B$10),OR('Assignment Builder'!$B$11="",$H658&gt;='Assignment Builder'!$B$11),OR('Assignment Builder'!$B$12="",N($Q658)&lt;='Assignment Builder'!$B$12)))</f>
        <v/>
      </c>
      <c r="T658" s="23" t="n"/>
    </row>
    <row r="659">
      <c r="A659" s="23" t="n"/>
      <c r="B659" s="23" t="n"/>
      <c r="C659" s="24" t="n"/>
      <c r="D659" s="15" t="n"/>
      <c r="E659" s="23" t="n"/>
      <c r="F659" s="15" t="n"/>
      <c r="G659" s="23" t="n"/>
      <c r="H659" s="25" t="n"/>
      <c r="I659" s="15" t="n"/>
      <c r="J659" s="26">
        <f>IF($A659="","",LEN($C659)-LEN(SUBSTITUTE($C659,",",""))+1)</f>
        <v/>
      </c>
      <c r="K659" s="26">
        <f>IF($A659="","",SUMPRODUCT(--ISNUMBER(SEARCH('Category Dictionary'!$D$5:$D$135&amp;"",$C659)),--('Category Dictionary'!$D$5:$D$135&lt;&gt;"")))</f>
        <v/>
      </c>
      <c r="L659" s="27">
        <f>IF($A659="","",TRIM(IF(ISERROR(FIND(",",$C659)),$C659,LEFT($C659,FIND(",",$C659)-1))))</f>
        <v/>
      </c>
      <c r="M659" s="28">
        <f>IF($H659="","",DATE(YEAR($H659),MONTH($H659),1))</f>
        <v/>
      </c>
      <c r="N659" s="26">
        <f>IF($H659="","",TODAY()-$H659)</f>
        <v/>
      </c>
      <c r="O659" s="15" t="n"/>
      <c r="P659" s="15" t="n"/>
      <c r="Q659" s="15" t="n"/>
      <c r="R659" s="25" t="n"/>
      <c r="S659" s="26">
        <f>IF($A659="","",AND(OR('Assignment Builder'!$B$5="",$B659='Assignment Builder'!$B$5),OR('Assignment Builder'!$B$6="",ISNUMBER(SEARCH('Assignment Builder'!$B$6,$C659))),OR('Assignment Builder'!$B$7="",'Assignment Builder'!$B$7=IFERROR(INDEX('Category Dictionary'!$C$5:$C$135,MATCH($L659,'Category Dictionary'!$D$5:$D$135,0)),"")),OR('Assignment Builder'!$B$8="",$D659='Assignment Builder'!$B$8),OR('Assignment Builder'!$B$9="",$F659='Assignment Builder'!$B$9),OR('Assignment Builder'!$B$10="",$O659='Assignment Builder'!$B$10),OR('Assignment Builder'!$B$11="",$H659&gt;='Assignment Builder'!$B$11),OR('Assignment Builder'!$B$12="",N($Q659)&lt;='Assignment Builder'!$B$12)))</f>
        <v/>
      </c>
      <c r="T659" s="23" t="n"/>
    </row>
    <row r="660">
      <c r="A660" s="23" t="n"/>
      <c r="B660" s="23" t="n"/>
      <c r="C660" s="24" t="n"/>
      <c r="D660" s="15" t="n"/>
      <c r="E660" s="23" t="n"/>
      <c r="F660" s="15" t="n"/>
      <c r="G660" s="23" t="n"/>
      <c r="H660" s="25" t="n"/>
      <c r="I660" s="15" t="n"/>
      <c r="J660" s="26">
        <f>IF($A660="","",LEN($C660)-LEN(SUBSTITUTE($C660,",",""))+1)</f>
        <v/>
      </c>
      <c r="K660" s="26">
        <f>IF($A660="","",SUMPRODUCT(--ISNUMBER(SEARCH('Category Dictionary'!$D$5:$D$135&amp;"",$C660)),--('Category Dictionary'!$D$5:$D$135&lt;&gt;"")))</f>
        <v/>
      </c>
      <c r="L660" s="27">
        <f>IF($A660="","",TRIM(IF(ISERROR(FIND(",",$C660)),$C660,LEFT($C660,FIND(",",$C660)-1))))</f>
        <v/>
      </c>
      <c r="M660" s="28">
        <f>IF($H660="","",DATE(YEAR($H660),MONTH($H660),1))</f>
        <v/>
      </c>
      <c r="N660" s="26">
        <f>IF($H660="","",TODAY()-$H660)</f>
        <v/>
      </c>
      <c r="O660" s="15" t="n"/>
      <c r="P660" s="15" t="n"/>
      <c r="Q660" s="15" t="n"/>
      <c r="R660" s="25" t="n"/>
      <c r="S660" s="26">
        <f>IF($A660="","",AND(OR('Assignment Builder'!$B$5="",$B660='Assignment Builder'!$B$5),OR('Assignment Builder'!$B$6="",ISNUMBER(SEARCH('Assignment Builder'!$B$6,$C660))),OR('Assignment Builder'!$B$7="",'Assignment Builder'!$B$7=IFERROR(INDEX('Category Dictionary'!$C$5:$C$135,MATCH($L660,'Category Dictionary'!$D$5:$D$135,0)),"")),OR('Assignment Builder'!$B$8="",$D660='Assignment Builder'!$B$8),OR('Assignment Builder'!$B$9="",$F660='Assignment Builder'!$B$9),OR('Assignment Builder'!$B$10="",$O660='Assignment Builder'!$B$10),OR('Assignment Builder'!$B$11="",$H660&gt;='Assignment Builder'!$B$11),OR('Assignment Builder'!$B$12="",N($Q660)&lt;='Assignment Builder'!$B$12)))</f>
        <v/>
      </c>
      <c r="T660" s="23" t="n"/>
    </row>
    <row r="661">
      <c r="A661" s="23" t="n"/>
      <c r="B661" s="23" t="n"/>
      <c r="C661" s="24" t="n"/>
      <c r="D661" s="15" t="n"/>
      <c r="E661" s="23" t="n"/>
      <c r="F661" s="15" t="n"/>
      <c r="G661" s="23" t="n"/>
      <c r="H661" s="25" t="n"/>
      <c r="I661" s="15" t="n"/>
      <c r="J661" s="26">
        <f>IF($A661="","",LEN($C661)-LEN(SUBSTITUTE($C661,",",""))+1)</f>
        <v/>
      </c>
      <c r="K661" s="26">
        <f>IF($A661="","",SUMPRODUCT(--ISNUMBER(SEARCH('Category Dictionary'!$D$5:$D$135&amp;"",$C661)),--('Category Dictionary'!$D$5:$D$135&lt;&gt;"")))</f>
        <v/>
      </c>
      <c r="L661" s="27">
        <f>IF($A661="","",TRIM(IF(ISERROR(FIND(",",$C661)),$C661,LEFT($C661,FIND(",",$C661)-1))))</f>
        <v/>
      </c>
      <c r="M661" s="28">
        <f>IF($H661="","",DATE(YEAR($H661),MONTH($H661),1))</f>
        <v/>
      </c>
      <c r="N661" s="26">
        <f>IF($H661="","",TODAY()-$H661)</f>
        <v/>
      </c>
      <c r="O661" s="15" t="n"/>
      <c r="P661" s="15" t="n"/>
      <c r="Q661" s="15" t="n"/>
      <c r="R661" s="25" t="n"/>
      <c r="S661" s="26">
        <f>IF($A661="","",AND(OR('Assignment Builder'!$B$5="",$B661='Assignment Builder'!$B$5),OR('Assignment Builder'!$B$6="",ISNUMBER(SEARCH('Assignment Builder'!$B$6,$C661))),OR('Assignment Builder'!$B$7="",'Assignment Builder'!$B$7=IFERROR(INDEX('Category Dictionary'!$C$5:$C$135,MATCH($L661,'Category Dictionary'!$D$5:$D$135,0)),"")),OR('Assignment Builder'!$B$8="",$D661='Assignment Builder'!$B$8),OR('Assignment Builder'!$B$9="",$F661='Assignment Builder'!$B$9),OR('Assignment Builder'!$B$10="",$O661='Assignment Builder'!$B$10),OR('Assignment Builder'!$B$11="",$H661&gt;='Assignment Builder'!$B$11),OR('Assignment Builder'!$B$12="",N($Q661)&lt;='Assignment Builder'!$B$12)))</f>
        <v/>
      </c>
      <c r="T661" s="23" t="n"/>
    </row>
    <row r="662">
      <c r="A662" s="23" t="n"/>
      <c r="B662" s="23" t="n"/>
      <c r="C662" s="24" t="n"/>
      <c r="D662" s="15" t="n"/>
      <c r="E662" s="23" t="n"/>
      <c r="F662" s="15" t="n"/>
      <c r="G662" s="23" t="n"/>
      <c r="H662" s="25" t="n"/>
      <c r="I662" s="15" t="n"/>
      <c r="J662" s="26">
        <f>IF($A662="","",LEN($C662)-LEN(SUBSTITUTE($C662,",",""))+1)</f>
        <v/>
      </c>
      <c r="K662" s="26">
        <f>IF($A662="","",SUMPRODUCT(--ISNUMBER(SEARCH('Category Dictionary'!$D$5:$D$135&amp;"",$C662)),--('Category Dictionary'!$D$5:$D$135&lt;&gt;"")))</f>
        <v/>
      </c>
      <c r="L662" s="27">
        <f>IF($A662="","",TRIM(IF(ISERROR(FIND(",",$C662)),$C662,LEFT($C662,FIND(",",$C662)-1))))</f>
        <v/>
      </c>
      <c r="M662" s="28">
        <f>IF($H662="","",DATE(YEAR($H662),MONTH($H662),1))</f>
        <v/>
      </c>
      <c r="N662" s="26">
        <f>IF($H662="","",TODAY()-$H662)</f>
        <v/>
      </c>
      <c r="O662" s="15" t="n"/>
      <c r="P662" s="15" t="n"/>
      <c r="Q662" s="15" t="n"/>
      <c r="R662" s="25" t="n"/>
      <c r="S662" s="26">
        <f>IF($A662="","",AND(OR('Assignment Builder'!$B$5="",$B662='Assignment Builder'!$B$5),OR('Assignment Builder'!$B$6="",ISNUMBER(SEARCH('Assignment Builder'!$B$6,$C662))),OR('Assignment Builder'!$B$7="",'Assignment Builder'!$B$7=IFERROR(INDEX('Category Dictionary'!$C$5:$C$135,MATCH($L662,'Category Dictionary'!$D$5:$D$135,0)),"")),OR('Assignment Builder'!$B$8="",$D662='Assignment Builder'!$B$8),OR('Assignment Builder'!$B$9="",$F662='Assignment Builder'!$B$9),OR('Assignment Builder'!$B$10="",$O662='Assignment Builder'!$B$10),OR('Assignment Builder'!$B$11="",$H662&gt;='Assignment Builder'!$B$11),OR('Assignment Builder'!$B$12="",N($Q662)&lt;='Assignment Builder'!$B$12)))</f>
        <v/>
      </c>
      <c r="T662" s="23" t="n"/>
    </row>
    <row r="663">
      <c r="A663" s="23" t="n"/>
      <c r="B663" s="23" t="n"/>
      <c r="C663" s="24" t="n"/>
      <c r="D663" s="15" t="n"/>
      <c r="E663" s="23" t="n"/>
      <c r="F663" s="15" t="n"/>
      <c r="G663" s="23" t="n"/>
      <c r="H663" s="25" t="n"/>
      <c r="I663" s="15" t="n"/>
      <c r="J663" s="26">
        <f>IF($A663="","",LEN($C663)-LEN(SUBSTITUTE($C663,",",""))+1)</f>
        <v/>
      </c>
      <c r="K663" s="26">
        <f>IF($A663="","",SUMPRODUCT(--ISNUMBER(SEARCH('Category Dictionary'!$D$5:$D$135&amp;"",$C663)),--('Category Dictionary'!$D$5:$D$135&lt;&gt;"")))</f>
        <v/>
      </c>
      <c r="L663" s="27">
        <f>IF($A663="","",TRIM(IF(ISERROR(FIND(",",$C663)),$C663,LEFT($C663,FIND(",",$C663)-1))))</f>
        <v/>
      </c>
      <c r="M663" s="28">
        <f>IF($H663="","",DATE(YEAR($H663),MONTH($H663),1))</f>
        <v/>
      </c>
      <c r="N663" s="26">
        <f>IF($H663="","",TODAY()-$H663)</f>
        <v/>
      </c>
      <c r="O663" s="15" t="n"/>
      <c r="P663" s="15" t="n"/>
      <c r="Q663" s="15" t="n"/>
      <c r="R663" s="25" t="n"/>
      <c r="S663" s="26">
        <f>IF($A663="","",AND(OR('Assignment Builder'!$B$5="",$B663='Assignment Builder'!$B$5),OR('Assignment Builder'!$B$6="",ISNUMBER(SEARCH('Assignment Builder'!$B$6,$C663))),OR('Assignment Builder'!$B$7="",'Assignment Builder'!$B$7=IFERROR(INDEX('Category Dictionary'!$C$5:$C$135,MATCH($L663,'Category Dictionary'!$D$5:$D$135,0)),"")),OR('Assignment Builder'!$B$8="",$D663='Assignment Builder'!$B$8),OR('Assignment Builder'!$B$9="",$F663='Assignment Builder'!$B$9),OR('Assignment Builder'!$B$10="",$O663='Assignment Builder'!$B$10),OR('Assignment Builder'!$B$11="",$H663&gt;='Assignment Builder'!$B$11),OR('Assignment Builder'!$B$12="",N($Q663)&lt;='Assignment Builder'!$B$12)))</f>
        <v/>
      </c>
      <c r="T663" s="23" t="n"/>
    </row>
    <row r="664">
      <c r="A664" s="23" t="n"/>
      <c r="B664" s="23" t="n"/>
      <c r="C664" s="24" t="n"/>
      <c r="D664" s="15" t="n"/>
      <c r="E664" s="23" t="n"/>
      <c r="F664" s="15" t="n"/>
      <c r="G664" s="23" t="n"/>
      <c r="H664" s="25" t="n"/>
      <c r="I664" s="15" t="n"/>
      <c r="J664" s="26">
        <f>IF($A664="","",LEN($C664)-LEN(SUBSTITUTE($C664,",",""))+1)</f>
        <v/>
      </c>
      <c r="K664" s="26">
        <f>IF($A664="","",SUMPRODUCT(--ISNUMBER(SEARCH('Category Dictionary'!$D$5:$D$135&amp;"",$C664)),--('Category Dictionary'!$D$5:$D$135&lt;&gt;"")))</f>
        <v/>
      </c>
      <c r="L664" s="27">
        <f>IF($A664="","",TRIM(IF(ISERROR(FIND(",",$C664)),$C664,LEFT($C664,FIND(",",$C664)-1))))</f>
        <v/>
      </c>
      <c r="M664" s="28">
        <f>IF($H664="","",DATE(YEAR($H664),MONTH($H664),1))</f>
        <v/>
      </c>
      <c r="N664" s="26">
        <f>IF($H664="","",TODAY()-$H664)</f>
        <v/>
      </c>
      <c r="O664" s="15" t="n"/>
      <c r="P664" s="15" t="n"/>
      <c r="Q664" s="15" t="n"/>
      <c r="R664" s="25" t="n"/>
      <c r="S664" s="26">
        <f>IF($A664="","",AND(OR('Assignment Builder'!$B$5="",$B664='Assignment Builder'!$B$5),OR('Assignment Builder'!$B$6="",ISNUMBER(SEARCH('Assignment Builder'!$B$6,$C664))),OR('Assignment Builder'!$B$7="",'Assignment Builder'!$B$7=IFERROR(INDEX('Category Dictionary'!$C$5:$C$135,MATCH($L664,'Category Dictionary'!$D$5:$D$135,0)),"")),OR('Assignment Builder'!$B$8="",$D664='Assignment Builder'!$B$8),OR('Assignment Builder'!$B$9="",$F664='Assignment Builder'!$B$9),OR('Assignment Builder'!$B$10="",$O664='Assignment Builder'!$B$10),OR('Assignment Builder'!$B$11="",$H664&gt;='Assignment Builder'!$B$11),OR('Assignment Builder'!$B$12="",N($Q664)&lt;='Assignment Builder'!$B$12)))</f>
        <v/>
      </c>
      <c r="T664" s="23" t="n"/>
    </row>
    <row r="665">
      <c r="A665" s="23" t="n"/>
      <c r="B665" s="23" t="n"/>
      <c r="C665" s="24" t="n"/>
      <c r="D665" s="15" t="n"/>
      <c r="E665" s="23" t="n"/>
      <c r="F665" s="15" t="n"/>
      <c r="G665" s="23" t="n"/>
      <c r="H665" s="25" t="n"/>
      <c r="I665" s="15" t="n"/>
      <c r="J665" s="26">
        <f>IF($A665="","",LEN($C665)-LEN(SUBSTITUTE($C665,",",""))+1)</f>
        <v/>
      </c>
      <c r="K665" s="26">
        <f>IF($A665="","",SUMPRODUCT(--ISNUMBER(SEARCH('Category Dictionary'!$D$5:$D$135&amp;"",$C665)),--('Category Dictionary'!$D$5:$D$135&lt;&gt;"")))</f>
        <v/>
      </c>
      <c r="L665" s="27">
        <f>IF($A665="","",TRIM(IF(ISERROR(FIND(",",$C665)),$C665,LEFT($C665,FIND(",",$C665)-1))))</f>
        <v/>
      </c>
      <c r="M665" s="28">
        <f>IF($H665="","",DATE(YEAR($H665),MONTH($H665),1))</f>
        <v/>
      </c>
      <c r="N665" s="26">
        <f>IF($H665="","",TODAY()-$H665)</f>
        <v/>
      </c>
      <c r="O665" s="15" t="n"/>
      <c r="P665" s="15" t="n"/>
      <c r="Q665" s="15" t="n"/>
      <c r="R665" s="25" t="n"/>
      <c r="S665" s="26">
        <f>IF($A665="","",AND(OR('Assignment Builder'!$B$5="",$B665='Assignment Builder'!$B$5),OR('Assignment Builder'!$B$6="",ISNUMBER(SEARCH('Assignment Builder'!$B$6,$C665))),OR('Assignment Builder'!$B$7="",'Assignment Builder'!$B$7=IFERROR(INDEX('Category Dictionary'!$C$5:$C$135,MATCH($L665,'Category Dictionary'!$D$5:$D$135,0)),"")),OR('Assignment Builder'!$B$8="",$D665='Assignment Builder'!$B$8),OR('Assignment Builder'!$B$9="",$F665='Assignment Builder'!$B$9),OR('Assignment Builder'!$B$10="",$O665='Assignment Builder'!$B$10),OR('Assignment Builder'!$B$11="",$H665&gt;='Assignment Builder'!$B$11),OR('Assignment Builder'!$B$12="",N($Q665)&lt;='Assignment Builder'!$B$12)))</f>
        <v/>
      </c>
      <c r="T665" s="23" t="n"/>
    </row>
    <row r="666">
      <c r="A666" s="23" t="n"/>
      <c r="B666" s="23" t="n"/>
      <c r="C666" s="24" t="n"/>
      <c r="D666" s="15" t="n"/>
      <c r="E666" s="23" t="n"/>
      <c r="F666" s="15" t="n"/>
      <c r="G666" s="23" t="n"/>
      <c r="H666" s="25" t="n"/>
      <c r="I666" s="15" t="n"/>
      <c r="J666" s="26">
        <f>IF($A666="","",LEN($C666)-LEN(SUBSTITUTE($C666,",",""))+1)</f>
        <v/>
      </c>
      <c r="K666" s="26">
        <f>IF($A666="","",SUMPRODUCT(--ISNUMBER(SEARCH('Category Dictionary'!$D$5:$D$135&amp;"",$C666)),--('Category Dictionary'!$D$5:$D$135&lt;&gt;"")))</f>
        <v/>
      </c>
      <c r="L666" s="27">
        <f>IF($A666="","",TRIM(IF(ISERROR(FIND(",",$C666)),$C666,LEFT($C666,FIND(",",$C666)-1))))</f>
        <v/>
      </c>
      <c r="M666" s="28">
        <f>IF($H666="","",DATE(YEAR($H666),MONTH($H666),1))</f>
        <v/>
      </c>
      <c r="N666" s="26">
        <f>IF($H666="","",TODAY()-$H666)</f>
        <v/>
      </c>
      <c r="O666" s="15" t="n"/>
      <c r="P666" s="15" t="n"/>
      <c r="Q666" s="15" t="n"/>
      <c r="R666" s="25" t="n"/>
      <c r="S666" s="26">
        <f>IF($A666="","",AND(OR('Assignment Builder'!$B$5="",$B666='Assignment Builder'!$B$5),OR('Assignment Builder'!$B$6="",ISNUMBER(SEARCH('Assignment Builder'!$B$6,$C666))),OR('Assignment Builder'!$B$7="",'Assignment Builder'!$B$7=IFERROR(INDEX('Category Dictionary'!$C$5:$C$135,MATCH($L666,'Category Dictionary'!$D$5:$D$135,0)),"")),OR('Assignment Builder'!$B$8="",$D666='Assignment Builder'!$B$8),OR('Assignment Builder'!$B$9="",$F666='Assignment Builder'!$B$9),OR('Assignment Builder'!$B$10="",$O666='Assignment Builder'!$B$10),OR('Assignment Builder'!$B$11="",$H666&gt;='Assignment Builder'!$B$11),OR('Assignment Builder'!$B$12="",N($Q666)&lt;='Assignment Builder'!$B$12)))</f>
        <v/>
      </c>
      <c r="T666" s="23" t="n"/>
    </row>
    <row r="667">
      <c r="A667" s="23" t="n"/>
      <c r="B667" s="23" t="n"/>
      <c r="C667" s="24" t="n"/>
      <c r="D667" s="15" t="n"/>
      <c r="E667" s="23" t="n"/>
      <c r="F667" s="15" t="n"/>
      <c r="G667" s="23" t="n"/>
      <c r="H667" s="25" t="n"/>
      <c r="I667" s="15" t="n"/>
      <c r="J667" s="26">
        <f>IF($A667="","",LEN($C667)-LEN(SUBSTITUTE($C667,",",""))+1)</f>
        <v/>
      </c>
      <c r="K667" s="26">
        <f>IF($A667="","",SUMPRODUCT(--ISNUMBER(SEARCH('Category Dictionary'!$D$5:$D$135&amp;"",$C667)),--('Category Dictionary'!$D$5:$D$135&lt;&gt;"")))</f>
        <v/>
      </c>
      <c r="L667" s="27">
        <f>IF($A667="","",TRIM(IF(ISERROR(FIND(",",$C667)),$C667,LEFT($C667,FIND(",",$C667)-1))))</f>
        <v/>
      </c>
      <c r="M667" s="28">
        <f>IF($H667="","",DATE(YEAR($H667),MONTH($H667),1))</f>
        <v/>
      </c>
      <c r="N667" s="26">
        <f>IF($H667="","",TODAY()-$H667)</f>
        <v/>
      </c>
      <c r="O667" s="15" t="n"/>
      <c r="P667" s="15" t="n"/>
      <c r="Q667" s="15" t="n"/>
      <c r="R667" s="25" t="n"/>
      <c r="S667" s="26">
        <f>IF($A667="","",AND(OR('Assignment Builder'!$B$5="",$B667='Assignment Builder'!$B$5),OR('Assignment Builder'!$B$6="",ISNUMBER(SEARCH('Assignment Builder'!$B$6,$C667))),OR('Assignment Builder'!$B$7="",'Assignment Builder'!$B$7=IFERROR(INDEX('Category Dictionary'!$C$5:$C$135,MATCH($L667,'Category Dictionary'!$D$5:$D$135,0)),"")),OR('Assignment Builder'!$B$8="",$D667='Assignment Builder'!$B$8),OR('Assignment Builder'!$B$9="",$F667='Assignment Builder'!$B$9),OR('Assignment Builder'!$B$10="",$O667='Assignment Builder'!$B$10),OR('Assignment Builder'!$B$11="",$H667&gt;='Assignment Builder'!$B$11),OR('Assignment Builder'!$B$12="",N($Q667)&lt;='Assignment Builder'!$B$12)))</f>
        <v/>
      </c>
      <c r="T667" s="23" t="n"/>
    </row>
    <row r="668">
      <c r="A668" s="23" t="n"/>
      <c r="B668" s="23" t="n"/>
      <c r="C668" s="24" t="n"/>
      <c r="D668" s="15" t="n"/>
      <c r="E668" s="23" t="n"/>
      <c r="F668" s="15" t="n"/>
      <c r="G668" s="23" t="n"/>
      <c r="H668" s="25" t="n"/>
      <c r="I668" s="15" t="n"/>
      <c r="J668" s="26">
        <f>IF($A668="","",LEN($C668)-LEN(SUBSTITUTE($C668,",",""))+1)</f>
        <v/>
      </c>
      <c r="K668" s="26">
        <f>IF($A668="","",SUMPRODUCT(--ISNUMBER(SEARCH('Category Dictionary'!$D$5:$D$135&amp;"",$C668)),--('Category Dictionary'!$D$5:$D$135&lt;&gt;"")))</f>
        <v/>
      </c>
      <c r="L668" s="27">
        <f>IF($A668="","",TRIM(IF(ISERROR(FIND(",",$C668)),$C668,LEFT($C668,FIND(",",$C668)-1))))</f>
        <v/>
      </c>
      <c r="M668" s="28">
        <f>IF($H668="","",DATE(YEAR($H668),MONTH($H668),1))</f>
        <v/>
      </c>
      <c r="N668" s="26">
        <f>IF($H668="","",TODAY()-$H668)</f>
        <v/>
      </c>
      <c r="O668" s="15" t="n"/>
      <c r="P668" s="15" t="n"/>
      <c r="Q668" s="15" t="n"/>
      <c r="R668" s="25" t="n"/>
      <c r="S668" s="26">
        <f>IF($A668="","",AND(OR('Assignment Builder'!$B$5="",$B668='Assignment Builder'!$B$5),OR('Assignment Builder'!$B$6="",ISNUMBER(SEARCH('Assignment Builder'!$B$6,$C668))),OR('Assignment Builder'!$B$7="",'Assignment Builder'!$B$7=IFERROR(INDEX('Category Dictionary'!$C$5:$C$135,MATCH($L668,'Category Dictionary'!$D$5:$D$135,0)),"")),OR('Assignment Builder'!$B$8="",$D668='Assignment Builder'!$B$8),OR('Assignment Builder'!$B$9="",$F668='Assignment Builder'!$B$9),OR('Assignment Builder'!$B$10="",$O668='Assignment Builder'!$B$10),OR('Assignment Builder'!$B$11="",$H668&gt;='Assignment Builder'!$B$11),OR('Assignment Builder'!$B$12="",N($Q668)&lt;='Assignment Builder'!$B$12)))</f>
        <v/>
      </c>
      <c r="T668" s="23" t="n"/>
    </row>
    <row r="669">
      <c r="A669" s="23" t="n"/>
      <c r="B669" s="23" t="n"/>
      <c r="C669" s="24" t="n"/>
      <c r="D669" s="15" t="n"/>
      <c r="E669" s="23" t="n"/>
      <c r="F669" s="15" t="n"/>
      <c r="G669" s="23" t="n"/>
      <c r="H669" s="25" t="n"/>
      <c r="I669" s="15" t="n"/>
      <c r="J669" s="26">
        <f>IF($A669="","",LEN($C669)-LEN(SUBSTITUTE($C669,",",""))+1)</f>
        <v/>
      </c>
      <c r="K669" s="26">
        <f>IF($A669="","",SUMPRODUCT(--ISNUMBER(SEARCH('Category Dictionary'!$D$5:$D$135&amp;"",$C669)),--('Category Dictionary'!$D$5:$D$135&lt;&gt;"")))</f>
        <v/>
      </c>
      <c r="L669" s="27">
        <f>IF($A669="","",TRIM(IF(ISERROR(FIND(",",$C669)),$C669,LEFT($C669,FIND(",",$C669)-1))))</f>
        <v/>
      </c>
      <c r="M669" s="28">
        <f>IF($H669="","",DATE(YEAR($H669),MONTH($H669),1))</f>
        <v/>
      </c>
      <c r="N669" s="26">
        <f>IF($H669="","",TODAY()-$H669)</f>
        <v/>
      </c>
      <c r="O669" s="15" t="n"/>
      <c r="P669" s="15" t="n"/>
      <c r="Q669" s="15" t="n"/>
      <c r="R669" s="25" t="n"/>
      <c r="S669" s="26">
        <f>IF($A669="","",AND(OR('Assignment Builder'!$B$5="",$B669='Assignment Builder'!$B$5),OR('Assignment Builder'!$B$6="",ISNUMBER(SEARCH('Assignment Builder'!$B$6,$C669))),OR('Assignment Builder'!$B$7="",'Assignment Builder'!$B$7=IFERROR(INDEX('Category Dictionary'!$C$5:$C$135,MATCH($L669,'Category Dictionary'!$D$5:$D$135,0)),"")),OR('Assignment Builder'!$B$8="",$D669='Assignment Builder'!$B$8),OR('Assignment Builder'!$B$9="",$F669='Assignment Builder'!$B$9),OR('Assignment Builder'!$B$10="",$O669='Assignment Builder'!$B$10),OR('Assignment Builder'!$B$11="",$H669&gt;='Assignment Builder'!$B$11),OR('Assignment Builder'!$B$12="",N($Q669)&lt;='Assignment Builder'!$B$12)))</f>
        <v/>
      </c>
      <c r="T669" s="23" t="n"/>
    </row>
    <row r="670">
      <c r="A670" s="23" t="n"/>
      <c r="B670" s="23" t="n"/>
      <c r="C670" s="24" t="n"/>
      <c r="D670" s="15" t="n"/>
      <c r="E670" s="23" t="n"/>
      <c r="F670" s="15" t="n"/>
      <c r="G670" s="23" t="n"/>
      <c r="H670" s="25" t="n"/>
      <c r="I670" s="15" t="n"/>
      <c r="J670" s="26">
        <f>IF($A670="","",LEN($C670)-LEN(SUBSTITUTE($C670,",",""))+1)</f>
        <v/>
      </c>
      <c r="K670" s="26">
        <f>IF($A670="","",SUMPRODUCT(--ISNUMBER(SEARCH('Category Dictionary'!$D$5:$D$135&amp;"",$C670)),--('Category Dictionary'!$D$5:$D$135&lt;&gt;"")))</f>
        <v/>
      </c>
      <c r="L670" s="27">
        <f>IF($A670="","",TRIM(IF(ISERROR(FIND(",",$C670)),$C670,LEFT($C670,FIND(",",$C670)-1))))</f>
        <v/>
      </c>
      <c r="M670" s="28">
        <f>IF($H670="","",DATE(YEAR($H670),MONTH($H670),1))</f>
        <v/>
      </c>
      <c r="N670" s="26">
        <f>IF($H670="","",TODAY()-$H670)</f>
        <v/>
      </c>
      <c r="O670" s="15" t="n"/>
      <c r="P670" s="15" t="n"/>
      <c r="Q670" s="15" t="n"/>
      <c r="R670" s="25" t="n"/>
      <c r="S670" s="26">
        <f>IF($A670="","",AND(OR('Assignment Builder'!$B$5="",$B670='Assignment Builder'!$B$5),OR('Assignment Builder'!$B$6="",ISNUMBER(SEARCH('Assignment Builder'!$B$6,$C670))),OR('Assignment Builder'!$B$7="",'Assignment Builder'!$B$7=IFERROR(INDEX('Category Dictionary'!$C$5:$C$135,MATCH($L670,'Category Dictionary'!$D$5:$D$135,0)),"")),OR('Assignment Builder'!$B$8="",$D670='Assignment Builder'!$B$8),OR('Assignment Builder'!$B$9="",$F670='Assignment Builder'!$B$9),OR('Assignment Builder'!$B$10="",$O670='Assignment Builder'!$B$10),OR('Assignment Builder'!$B$11="",$H670&gt;='Assignment Builder'!$B$11),OR('Assignment Builder'!$B$12="",N($Q670)&lt;='Assignment Builder'!$B$12)))</f>
        <v/>
      </c>
      <c r="T670" s="23" t="n"/>
    </row>
    <row r="671">
      <c r="A671" s="23" t="n"/>
      <c r="B671" s="23" t="n"/>
      <c r="C671" s="24" t="n"/>
      <c r="D671" s="15" t="n"/>
      <c r="E671" s="23" t="n"/>
      <c r="F671" s="15" t="n"/>
      <c r="G671" s="23" t="n"/>
      <c r="H671" s="25" t="n"/>
      <c r="I671" s="15" t="n"/>
      <c r="J671" s="26">
        <f>IF($A671="","",LEN($C671)-LEN(SUBSTITUTE($C671,",",""))+1)</f>
        <v/>
      </c>
      <c r="K671" s="26">
        <f>IF($A671="","",SUMPRODUCT(--ISNUMBER(SEARCH('Category Dictionary'!$D$5:$D$135&amp;"",$C671)),--('Category Dictionary'!$D$5:$D$135&lt;&gt;"")))</f>
        <v/>
      </c>
      <c r="L671" s="27">
        <f>IF($A671="","",TRIM(IF(ISERROR(FIND(",",$C671)),$C671,LEFT($C671,FIND(",",$C671)-1))))</f>
        <v/>
      </c>
      <c r="M671" s="28">
        <f>IF($H671="","",DATE(YEAR($H671),MONTH($H671),1))</f>
        <v/>
      </c>
      <c r="N671" s="26">
        <f>IF($H671="","",TODAY()-$H671)</f>
        <v/>
      </c>
      <c r="O671" s="15" t="n"/>
      <c r="P671" s="15" t="n"/>
      <c r="Q671" s="15" t="n"/>
      <c r="R671" s="25" t="n"/>
      <c r="S671" s="26">
        <f>IF($A671="","",AND(OR('Assignment Builder'!$B$5="",$B671='Assignment Builder'!$B$5),OR('Assignment Builder'!$B$6="",ISNUMBER(SEARCH('Assignment Builder'!$B$6,$C671))),OR('Assignment Builder'!$B$7="",'Assignment Builder'!$B$7=IFERROR(INDEX('Category Dictionary'!$C$5:$C$135,MATCH($L671,'Category Dictionary'!$D$5:$D$135,0)),"")),OR('Assignment Builder'!$B$8="",$D671='Assignment Builder'!$B$8),OR('Assignment Builder'!$B$9="",$F671='Assignment Builder'!$B$9),OR('Assignment Builder'!$B$10="",$O671='Assignment Builder'!$B$10),OR('Assignment Builder'!$B$11="",$H671&gt;='Assignment Builder'!$B$11),OR('Assignment Builder'!$B$12="",N($Q671)&lt;='Assignment Builder'!$B$12)))</f>
        <v/>
      </c>
      <c r="T671" s="23" t="n"/>
    </row>
    <row r="672">
      <c r="A672" s="23" t="n"/>
      <c r="B672" s="23" t="n"/>
      <c r="C672" s="24" t="n"/>
      <c r="D672" s="15" t="n"/>
      <c r="E672" s="23" t="n"/>
      <c r="F672" s="15" t="n"/>
      <c r="G672" s="23" t="n"/>
      <c r="H672" s="25" t="n"/>
      <c r="I672" s="15" t="n"/>
      <c r="J672" s="26">
        <f>IF($A672="","",LEN($C672)-LEN(SUBSTITUTE($C672,",",""))+1)</f>
        <v/>
      </c>
      <c r="K672" s="26">
        <f>IF($A672="","",SUMPRODUCT(--ISNUMBER(SEARCH('Category Dictionary'!$D$5:$D$135&amp;"",$C672)),--('Category Dictionary'!$D$5:$D$135&lt;&gt;"")))</f>
        <v/>
      </c>
      <c r="L672" s="27">
        <f>IF($A672="","",TRIM(IF(ISERROR(FIND(",",$C672)),$C672,LEFT($C672,FIND(",",$C672)-1))))</f>
        <v/>
      </c>
      <c r="M672" s="28">
        <f>IF($H672="","",DATE(YEAR($H672),MONTH($H672),1))</f>
        <v/>
      </c>
      <c r="N672" s="26">
        <f>IF($H672="","",TODAY()-$H672)</f>
        <v/>
      </c>
      <c r="O672" s="15" t="n"/>
      <c r="P672" s="15" t="n"/>
      <c r="Q672" s="15" t="n"/>
      <c r="R672" s="25" t="n"/>
      <c r="S672" s="26">
        <f>IF($A672="","",AND(OR('Assignment Builder'!$B$5="",$B672='Assignment Builder'!$B$5),OR('Assignment Builder'!$B$6="",ISNUMBER(SEARCH('Assignment Builder'!$B$6,$C672))),OR('Assignment Builder'!$B$7="",'Assignment Builder'!$B$7=IFERROR(INDEX('Category Dictionary'!$C$5:$C$135,MATCH($L672,'Category Dictionary'!$D$5:$D$135,0)),"")),OR('Assignment Builder'!$B$8="",$D672='Assignment Builder'!$B$8),OR('Assignment Builder'!$B$9="",$F672='Assignment Builder'!$B$9),OR('Assignment Builder'!$B$10="",$O672='Assignment Builder'!$B$10),OR('Assignment Builder'!$B$11="",$H672&gt;='Assignment Builder'!$B$11),OR('Assignment Builder'!$B$12="",N($Q672)&lt;='Assignment Builder'!$B$12)))</f>
        <v/>
      </c>
      <c r="T672" s="23" t="n"/>
    </row>
    <row r="673">
      <c r="A673" s="23" t="n"/>
      <c r="B673" s="23" t="n"/>
      <c r="C673" s="24" t="n"/>
      <c r="D673" s="15" t="n"/>
      <c r="E673" s="23" t="n"/>
      <c r="F673" s="15" t="n"/>
      <c r="G673" s="23" t="n"/>
      <c r="H673" s="25" t="n"/>
      <c r="I673" s="15" t="n"/>
      <c r="J673" s="26">
        <f>IF($A673="","",LEN($C673)-LEN(SUBSTITUTE($C673,",",""))+1)</f>
        <v/>
      </c>
      <c r="K673" s="26">
        <f>IF($A673="","",SUMPRODUCT(--ISNUMBER(SEARCH('Category Dictionary'!$D$5:$D$135&amp;"",$C673)),--('Category Dictionary'!$D$5:$D$135&lt;&gt;"")))</f>
        <v/>
      </c>
      <c r="L673" s="27">
        <f>IF($A673="","",TRIM(IF(ISERROR(FIND(",",$C673)),$C673,LEFT($C673,FIND(",",$C673)-1))))</f>
        <v/>
      </c>
      <c r="M673" s="28">
        <f>IF($H673="","",DATE(YEAR($H673),MONTH($H673),1))</f>
        <v/>
      </c>
      <c r="N673" s="26">
        <f>IF($H673="","",TODAY()-$H673)</f>
        <v/>
      </c>
      <c r="O673" s="15" t="n"/>
      <c r="P673" s="15" t="n"/>
      <c r="Q673" s="15" t="n"/>
      <c r="R673" s="25" t="n"/>
      <c r="S673" s="26">
        <f>IF($A673="","",AND(OR('Assignment Builder'!$B$5="",$B673='Assignment Builder'!$B$5),OR('Assignment Builder'!$B$6="",ISNUMBER(SEARCH('Assignment Builder'!$B$6,$C673))),OR('Assignment Builder'!$B$7="",'Assignment Builder'!$B$7=IFERROR(INDEX('Category Dictionary'!$C$5:$C$135,MATCH($L673,'Category Dictionary'!$D$5:$D$135,0)),"")),OR('Assignment Builder'!$B$8="",$D673='Assignment Builder'!$B$8),OR('Assignment Builder'!$B$9="",$F673='Assignment Builder'!$B$9),OR('Assignment Builder'!$B$10="",$O673='Assignment Builder'!$B$10),OR('Assignment Builder'!$B$11="",$H673&gt;='Assignment Builder'!$B$11),OR('Assignment Builder'!$B$12="",N($Q673)&lt;='Assignment Builder'!$B$12)))</f>
        <v/>
      </c>
      <c r="T673" s="23" t="n"/>
    </row>
    <row r="674">
      <c r="A674" s="23" t="n"/>
      <c r="B674" s="23" t="n"/>
      <c r="C674" s="24" t="n"/>
      <c r="D674" s="15" t="n"/>
      <c r="E674" s="23" t="n"/>
      <c r="F674" s="15" t="n"/>
      <c r="G674" s="23" t="n"/>
      <c r="H674" s="25" t="n"/>
      <c r="I674" s="15" t="n"/>
      <c r="J674" s="26">
        <f>IF($A674="","",LEN($C674)-LEN(SUBSTITUTE($C674,",",""))+1)</f>
        <v/>
      </c>
      <c r="K674" s="26">
        <f>IF($A674="","",SUMPRODUCT(--ISNUMBER(SEARCH('Category Dictionary'!$D$5:$D$135&amp;"",$C674)),--('Category Dictionary'!$D$5:$D$135&lt;&gt;"")))</f>
        <v/>
      </c>
      <c r="L674" s="27">
        <f>IF($A674="","",TRIM(IF(ISERROR(FIND(",",$C674)),$C674,LEFT($C674,FIND(",",$C674)-1))))</f>
        <v/>
      </c>
      <c r="M674" s="28">
        <f>IF($H674="","",DATE(YEAR($H674),MONTH($H674),1))</f>
        <v/>
      </c>
      <c r="N674" s="26">
        <f>IF($H674="","",TODAY()-$H674)</f>
        <v/>
      </c>
      <c r="O674" s="15" t="n"/>
      <c r="P674" s="15" t="n"/>
      <c r="Q674" s="15" t="n"/>
      <c r="R674" s="25" t="n"/>
      <c r="S674" s="26">
        <f>IF($A674="","",AND(OR('Assignment Builder'!$B$5="",$B674='Assignment Builder'!$B$5),OR('Assignment Builder'!$B$6="",ISNUMBER(SEARCH('Assignment Builder'!$B$6,$C674))),OR('Assignment Builder'!$B$7="",'Assignment Builder'!$B$7=IFERROR(INDEX('Category Dictionary'!$C$5:$C$135,MATCH($L674,'Category Dictionary'!$D$5:$D$135,0)),"")),OR('Assignment Builder'!$B$8="",$D674='Assignment Builder'!$B$8),OR('Assignment Builder'!$B$9="",$F674='Assignment Builder'!$B$9),OR('Assignment Builder'!$B$10="",$O674='Assignment Builder'!$B$10),OR('Assignment Builder'!$B$11="",$H674&gt;='Assignment Builder'!$B$11),OR('Assignment Builder'!$B$12="",N($Q674)&lt;='Assignment Builder'!$B$12)))</f>
        <v/>
      </c>
      <c r="T674" s="23" t="n"/>
    </row>
    <row r="675">
      <c r="A675" s="23" t="n"/>
      <c r="B675" s="23" t="n"/>
      <c r="C675" s="24" t="n"/>
      <c r="D675" s="15" t="n"/>
      <c r="E675" s="23" t="n"/>
      <c r="F675" s="15" t="n"/>
      <c r="G675" s="23" t="n"/>
      <c r="H675" s="25" t="n"/>
      <c r="I675" s="15" t="n"/>
      <c r="J675" s="26">
        <f>IF($A675="","",LEN($C675)-LEN(SUBSTITUTE($C675,",",""))+1)</f>
        <v/>
      </c>
      <c r="K675" s="26">
        <f>IF($A675="","",SUMPRODUCT(--ISNUMBER(SEARCH('Category Dictionary'!$D$5:$D$135&amp;"",$C675)),--('Category Dictionary'!$D$5:$D$135&lt;&gt;"")))</f>
        <v/>
      </c>
      <c r="L675" s="27">
        <f>IF($A675="","",TRIM(IF(ISERROR(FIND(",",$C675)),$C675,LEFT($C675,FIND(",",$C675)-1))))</f>
        <v/>
      </c>
      <c r="M675" s="28">
        <f>IF($H675="","",DATE(YEAR($H675),MONTH($H675),1))</f>
        <v/>
      </c>
      <c r="N675" s="26">
        <f>IF($H675="","",TODAY()-$H675)</f>
        <v/>
      </c>
      <c r="O675" s="15" t="n"/>
      <c r="P675" s="15" t="n"/>
      <c r="Q675" s="15" t="n"/>
      <c r="R675" s="25" t="n"/>
      <c r="S675" s="26">
        <f>IF($A675="","",AND(OR('Assignment Builder'!$B$5="",$B675='Assignment Builder'!$B$5),OR('Assignment Builder'!$B$6="",ISNUMBER(SEARCH('Assignment Builder'!$B$6,$C675))),OR('Assignment Builder'!$B$7="",'Assignment Builder'!$B$7=IFERROR(INDEX('Category Dictionary'!$C$5:$C$135,MATCH($L675,'Category Dictionary'!$D$5:$D$135,0)),"")),OR('Assignment Builder'!$B$8="",$D675='Assignment Builder'!$B$8),OR('Assignment Builder'!$B$9="",$F675='Assignment Builder'!$B$9),OR('Assignment Builder'!$B$10="",$O675='Assignment Builder'!$B$10),OR('Assignment Builder'!$B$11="",$H675&gt;='Assignment Builder'!$B$11),OR('Assignment Builder'!$B$12="",N($Q675)&lt;='Assignment Builder'!$B$12)))</f>
        <v/>
      </c>
      <c r="T675" s="23" t="n"/>
    </row>
    <row r="676">
      <c r="A676" s="23" t="n"/>
      <c r="B676" s="23" t="n"/>
      <c r="C676" s="24" t="n"/>
      <c r="D676" s="15" t="n"/>
      <c r="E676" s="23" t="n"/>
      <c r="F676" s="15" t="n"/>
      <c r="G676" s="23" t="n"/>
      <c r="H676" s="25" t="n"/>
      <c r="I676" s="15" t="n"/>
      <c r="J676" s="26">
        <f>IF($A676="","",LEN($C676)-LEN(SUBSTITUTE($C676,",",""))+1)</f>
        <v/>
      </c>
      <c r="K676" s="26">
        <f>IF($A676="","",SUMPRODUCT(--ISNUMBER(SEARCH('Category Dictionary'!$D$5:$D$135&amp;"",$C676)),--('Category Dictionary'!$D$5:$D$135&lt;&gt;"")))</f>
        <v/>
      </c>
      <c r="L676" s="27">
        <f>IF($A676="","",TRIM(IF(ISERROR(FIND(",",$C676)),$C676,LEFT($C676,FIND(",",$C676)-1))))</f>
        <v/>
      </c>
      <c r="M676" s="28">
        <f>IF($H676="","",DATE(YEAR($H676),MONTH($H676),1))</f>
        <v/>
      </c>
      <c r="N676" s="26">
        <f>IF($H676="","",TODAY()-$H676)</f>
        <v/>
      </c>
      <c r="O676" s="15" t="n"/>
      <c r="P676" s="15" t="n"/>
      <c r="Q676" s="15" t="n"/>
      <c r="R676" s="25" t="n"/>
      <c r="S676" s="26">
        <f>IF($A676="","",AND(OR('Assignment Builder'!$B$5="",$B676='Assignment Builder'!$B$5),OR('Assignment Builder'!$B$6="",ISNUMBER(SEARCH('Assignment Builder'!$B$6,$C676))),OR('Assignment Builder'!$B$7="",'Assignment Builder'!$B$7=IFERROR(INDEX('Category Dictionary'!$C$5:$C$135,MATCH($L676,'Category Dictionary'!$D$5:$D$135,0)),"")),OR('Assignment Builder'!$B$8="",$D676='Assignment Builder'!$B$8),OR('Assignment Builder'!$B$9="",$F676='Assignment Builder'!$B$9),OR('Assignment Builder'!$B$10="",$O676='Assignment Builder'!$B$10),OR('Assignment Builder'!$B$11="",$H676&gt;='Assignment Builder'!$B$11),OR('Assignment Builder'!$B$12="",N($Q676)&lt;='Assignment Builder'!$B$12)))</f>
        <v/>
      </c>
      <c r="T676" s="23" t="n"/>
    </row>
    <row r="677">
      <c r="A677" s="23" t="n"/>
      <c r="B677" s="23" t="n"/>
      <c r="C677" s="24" t="n"/>
      <c r="D677" s="15" t="n"/>
      <c r="E677" s="23" t="n"/>
      <c r="F677" s="15" t="n"/>
      <c r="G677" s="23" t="n"/>
      <c r="H677" s="25" t="n"/>
      <c r="I677" s="15" t="n"/>
      <c r="J677" s="26">
        <f>IF($A677="","",LEN($C677)-LEN(SUBSTITUTE($C677,",",""))+1)</f>
        <v/>
      </c>
      <c r="K677" s="26">
        <f>IF($A677="","",SUMPRODUCT(--ISNUMBER(SEARCH('Category Dictionary'!$D$5:$D$135&amp;"",$C677)),--('Category Dictionary'!$D$5:$D$135&lt;&gt;"")))</f>
        <v/>
      </c>
      <c r="L677" s="27">
        <f>IF($A677="","",TRIM(IF(ISERROR(FIND(",",$C677)),$C677,LEFT($C677,FIND(",",$C677)-1))))</f>
        <v/>
      </c>
      <c r="M677" s="28">
        <f>IF($H677="","",DATE(YEAR($H677),MONTH($H677),1))</f>
        <v/>
      </c>
      <c r="N677" s="26">
        <f>IF($H677="","",TODAY()-$H677)</f>
        <v/>
      </c>
      <c r="O677" s="15" t="n"/>
      <c r="P677" s="15" t="n"/>
      <c r="Q677" s="15" t="n"/>
      <c r="R677" s="25" t="n"/>
      <c r="S677" s="26">
        <f>IF($A677="","",AND(OR('Assignment Builder'!$B$5="",$B677='Assignment Builder'!$B$5),OR('Assignment Builder'!$B$6="",ISNUMBER(SEARCH('Assignment Builder'!$B$6,$C677))),OR('Assignment Builder'!$B$7="",'Assignment Builder'!$B$7=IFERROR(INDEX('Category Dictionary'!$C$5:$C$135,MATCH($L677,'Category Dictionary'!$D$5:$D$135,0)),"")),OR('Assignment Builder'!$B$8="",$D677='Assignment Builder'!$B$8),OR('Assignment Builder'!$B$9="",$F677='Assignment Builder'!$B$9),OR('Assignment Builder'!$B$10="",$O677='Assignment Builder'!$B$10),OR('Assignment Builder'!$B$11="",$H677&gt;='Assignment Builder'!$B$11),OR('Assignment Builder'!$B$12="",N($Q677)&lt;='Assignment Builder'!$B$12)))</f>
        <v/>
      </c>
      <c r="T677" s="23" t="n"/>
    </row>
    <row r="678">
      <c r="A678" s="23" t="n"/>
      <c r="B678" s="23" t="n"/>
      <c r="C678" s="24" t="n"/>
      <c r="D678" s="15" t="n"/>
      <c r="E678" s="23" t="n"/>
      <c r="F678" s="15" t="n"/>
      <c r="G678" s="23" t="n"/>
      <c r="H678" s="25" t="n"/>
      <c r="I678" s="15" t="n"/>
      <c r="J678" s="26">
        <f>IF($A678="","",LEN($C678)-LEN(SUBSTITUTE($C678,",",""))+1)</f>
        <v/>
      </c>
      <c r="K678" s="26">
        <f>IF($A678="","",SUMPRODUCT(--ISNUMBER(SEARCH('Category Dictionary'!$D$5:$D$135&amp;"",$C678)),--('Category Dictionary'!$D$5:$D$135&lt;&gt;"")))</f>
        <v/>
      </c>
      <c r="L678" s="27">
        <f>IF($A678="","",TRIM(IF(ISERROR(FIND(",",$C678)),$C678,LEFT($C678,FIND(",",$C678)-1))))</f>
        <v/>
      </c>
      <c r="M678" s="28">
        <f>IF($H678="","",DATE(YEAR($H678),MONTH($H678),1))</f>
        <v/>
      </c>
      <c r="N678" s="26">
        <f>IF($H678="","",TODAY()-$H678)</f>
        <v/>
      </c>
      <c r="O678" s="15" t="n"/>
      <c r="P678" s="15" t="n"/>
      <c r="Q678" s="15" t="n"/>
      <c r="R678" s="25" t="n"/>
      <c r="S678" s="26">
        <f>IF($A678="","",AND(OR('Assignment Builder'!$B$5="",$B678='Assignment Builder'!$B$5),OR('Assignment Builder'!$B$6="",ISNUMBER(SEARCH('Assignment Builder'!$B$6,$C678))),OR('Assignment Builder'!$B$7="",'Assignment Builder'!$B$7=IFERROR(INDEX('Category Dictionary'!$C$5:$C$135,MATCH($L678,'Category Dictionary'!$D$5:$D$135,0)),"")),OR('Assignment Builder'!$B$8="",$D678='Assignment Builder'!$B$8),OR('Assignment Builder'!$B$9="",$F678='Assignment Builder'!$B$9),OR('Assignment Builder'!$B$10="",$O678='Assignment Builder'!$B$10),OR('Assignment Builder'!$B$11="",$H678&gt;='Assignment Builder'!$B$11),OR('Assignment Builder'!$B$12="",N($Q678)&lt;='Assignment Builder'!$B$12)))</f>
        <v/>
      </c>
      <c r="T678" s="23" t="n"/>
    </row>
    <row r="679">
      <c r="A679" s="23" t="n"/>
      <c r="B679" s="23" t="n"/>
      <c r="C679" s="24" t="n"/>
      <c r="D679" s="15" t="n"/>
      <c r="E679" s="23" t="n"/>
      <c r="F679" s="15" t="n"/>
      <c r="G679" s="23" t="n"/>
      <c r="H679" s="25" t="n"/>
      <c r="I679" s="15" t="n"/>
      <c r="J679" s="26">
        <f>IF($A679="","",LEN($C679)-LEN(SUBSTITUTE($C679,",",""))+1)</f>
        <v/>
      </c>
      <c r="K679" s="26">
        <f>IF($A679="","",SUMPRODUCT(--ISNUMBER(SEARCH('Category Dictionary'!$D$5:$D$135&amp;"",$C679)),--('Category Dictionary'!$D$5:$D$135&lt;&gt;"")))</f>
        <v/>
      </c>
      <c r="L679" s="27">
        <f>IF($A679="","",TRIM(IF(ISERROR(FIND(",",$C679)),$C679,LEFT($C679,FIND(",",$C679)-1))))</f>
        <v/>
      </c>
      <c r="M679" s="28">
        <f>IF($H679="","",DATE(YEAR($H679),MONTH($H679),1))</f>
        <v/>
      </c>
      <c r="N679" s="26">
        <f>IF($H679="","",TODAY()-$H679)</f>
        <v/>
      </c>
      <c r="O679" s="15" t="n"/>
      <c r="P679" s="15" t="n"/>
      <c r="Q679" s="15" t="n"/>
      <c r="R679" s="25" t="n"/>
      <c r="S679" s="26">
        <f>IF($A679="","",AND(OR('Assignment Builder'!$B$5="",$B679='Assignment Builder'!$B$5),OR('Assignment Builder'!$B$6="",ISNUMBER(SEARCH('Assignment Builder'!$B$6,$C679))),OR('Assignment Builder'!$B$7="",'Assignment Builder'!$B$7=IFERROR(INDEX('Category Dictionary'!$C$5:$C$135,MATCH($L679,'Category Dictionary'!$D$5:$D$135,0)),"")),OR('Assignment Builder'!$B$8="",$D679='Assignment Builder'!$B$8),OR('Assignment Builder'!$B$9="",$F679='Assignment Builder'!$B$9),OR('Assignment Builder'!$B$10="",$O679='Assignment Builder'!$B$10),OR('Assignment Builder'!$B$11="",$H679&gt;='Assignment Builder'!$B$11),OR('Assignment Builder'!$B$12="",N($Q679)&lt;='Assignment Builder'!$B$12)))</f>
        <v/>
      </c>
      <c r="T679" s="23" t="n"/>
    </row>
    <row r="680">
      <c r="A680" s="23" t="n"/>
      <c r="B680" s="23" t="n"/>
      <c r="C680" s="24" t="n"/>
      <c r="D680" s="15" t="n"/>
      <c r="E680" s="23" t="n"/>
      <c r="F680" s="15" t="n"/>
      <c r="G680" s="23" t="n"/>
      <c r="H680" s="25" t="n"/>
      <c r="I680" s="15" t="n"/>
      <c r="J680" s="26">
        <f>IF($A680="","",LEN($C680)-LEN(SUBSTITUTE($C680,",",""))+1)</f>
        <v/>
      </c>
      <c r="K680" s="26">
        <f>IF($A680="","",SUMPRODUCT(--ISNUMBER(SEARCH('Category Dictionary'!$D$5:$D$135&amp;"",$C680)),--('Category Dictionary'!$D$5:$D$135&lt;&gt;"")))</f>
        <v/>
      </c>
      <c r="L680" s="27">
        <f>IF($A680="","",TRIM(IF(ISERROR(FIND(",",$C680)),$C680,LEFT($C680,FIND(",",$C680)-1))))</f>
        <v/>
      </c>
      <c r="M680" s="28">
        <f>IF($H680="","",DATE(YEAR($H680),MONTH($H680),1))</f>
        <v/>
      </c>
      <c r="N680" s="26">
        <f>IF($H680="","",TODAY()-$H680)</f>
        <v/>
      </c>
      <c r="O680" s="15" t="n"/>
      <c r="P680" s="15" t="n"/>
      <c r="Q680" s="15" t="n"/>
      <c r="R680" s="25" t="n"/>
      <c r="S680" s="26">
        <f>IF($A680="","",AND(OR('Assignment Builder'!$B$5="",$B680='Assignment Builder'!$B$5),OR('Assignment Builder'!$B$6="",ISNUMBER(SEARCH('Assignment Builder'!$B$6,$C680))),OR('Assignment Builder'!$B$7="",'Assignment Builder'!$B$7=IFERROR(INDEX('Category Dictionary'!$C$5:$C$135,MATCH($L680,'Category Dictionary'!$D$5:$D$135,0)),"")),OR('Assignment Builder'!$B$8="",$D680='Assignment Builder'!$B$8),OR('Assignment Builder'!$B$9="",$F680='Assignment Builder'!$B$9),OR('Assignment Builder'!$B$10="",$O680='Assignment Builder'!$B$10),OR('Assignment Builder'!$B$11="",$H680&gt;='Assignment Builder'!$B$11),OR('Assignment Builder'!$B$12="",N($Q680)&lt;='Assignment Builder'!$B$12)))</f>
        <v/>
      </c>
      <c r="T680" s="23" t="n"/>
    </row>
    <row r="681">
      <c r="A681" s="23" t="n"/>
      <c r="B681" s="23" t="n"/>
      <c r="C681" s="24" t="n"/>
      <c r="D681" s="15" t="n"/>
      <c r="E681" s="23" t="n"/>
      <c r="F681" s="15" t="n"/>
      <c r="G681" s="23" t="n"/>
      <c r="H681" s="25" t="n"/>
      <c r="I681" s="15" t="n"/>
      <c r="J681" s="26">
        <f>IF($A681="","",LEN($C681)-LEN(SUBSTITUTE($C681,",",""))+1)</f>
        <v/>
      </c>
      <c r="K681" s="26">
        <f>IF($A681="","",SUMPRODUCT(--ISNUMBER(SEARCH('Category Dictionary'!$D$5:$D$135&amp;"",$C681)),--('Category Dictionary'!$D$5:$D$135&lt;&gt;"")))</f>
        <v/>
      </c>
      <c r="L681" s="27">
        <f>IF($A681="","",TRIM(IF(ISERROR(FIND(",",$C681)),$C681,LEFT($C681,FIND(",",$C681)-1))))</f>
        <v/>
      </c>
      <c r="M681" s="28">
        <f>IF($H681="","",DATE(YEAR($H681),MONTH($H681),1))</f>
        <v/>
      </c>
      <c r="N681" s="26">
        <f>IF($H681="","",TODAY()-$H681)</f>
        <v/>
      </c>
      <c r="O681" s="15" t="n"/>
      <c r="P681" s="15" t="n"/>
      <c r="Q681" s="15" t="n"/>
      <c r="R681" s="25" t="n"/>
      <c r="S681" s="26">
        <f>IF($A681="","",AND(OR('Assignment Builder'!$B$5="",$B681='Assignment Builder'!$B$5),OR('Assignment Builder'!$B$6="",ISNUMBER(SEARCH('Assignment Builder'!$B$6,$C681))),OR('Assignment Builder'!$B$7="",'Assignment Builder'!$B$7=IFERROR(INDEX('Category Dictionary'!$C$5:$C$135,MATCH($L681,'Category Dictionary'!$D$5:$D$135,0)),"")),OR('Assignment Builder'!$B$8="",$D681='Assignment Builder'!$B$8),OR('Assignment Builder'!$B$9="",$F681='Assignment Builder'!$B$9),OR('Assignment Builder'!$B$10="",$O681='Assignment Builder'!$B$10),OR('Assignment Builder'!$B$11="",$H681&gt;='Assignment Builder'!$B$11),OR('Assignment Builder'!$B$12="",N($Q681)&lt;='Assignment Builder'!$B$12)))</f>
        <v/>
      </c>
      <c r="T681" s="23" t="n"/>
    </row>
    <row r="682">
      <c r="A682" s="23" t="n"/>
      <c r="B682" s="23" t="n"/>
      <c r="C682" s="24" t="n"/>
      <c r="D682" s="15" t="n"/>
      <c r="E682" s="23" t="n"/>
      <c r="F682" s="15" t="n"/>
      <c r="G682" s="23" t="n"/>
      <c r="H682" s="25" t="n"/>
      <c r="I682" s="15" t="n"/>
      <c r="J682" s="26">
        <f>IF($A682="","",LEN($C682)-LEN(SUBSTITUTE($C682,",",""))+1)</f>
        <v/>
      </c>
      <c r="K682" s="26">
        <f>IF($A682="","",SUMPRODUCT(--ISNUMBER(SEARCH('Category Dictionary'!$D$5:$D$135&amp;"",$C682)),--('Category Dictionary'!$D$5:$D$135&lt;&gt;"")))</f>
        <v/>
      </c>
      <c r="L682" s="27">
        <f>IF($A682="","",TRIM(IF(ISERROR(FIND(",",$C682)),$C682,LEFT($C682,FIND(",",$C682)-1))))</f>
        <v/>
      </c>
      <c r="M682" s="28">
        <f>IF($H682="","",DATE(YEAR($H682),MONTH($H682),1))</f>
        <v/>
      </c>
      <c r="N682" s="26">
        <f>IF($H682="","",TODAY()-$H682)</f>
        <v/>
      </c>
      <c r="O682" s="15" t="n"/>
      <c r="P682" s="15" t="n"/>
      <c r="Q682" s="15" t="n"/>
      <c r="R682" s="25" t="n"/>
      <c r="S682" s="26">
        <f>IF($A682="","",AND(OR('Assignment Builder'!$B$5="",$B682='Assignment Builder'!$B$5),OR('Assignment Builder'!$B$6="",ISNUMBER(SEARCH('Assignment Builder'!$B$6,$C682))),OR('Assignment Builder'!$B$7="",'Assignment Builder'!$B$7=IFERROR(INDEX('Category Dictionary'!$C$5:$C$135,MATCH($L682,'Category Dictionary'!$D$5:$D$135,0)),"")),OR('Assignment Builder'!$B$8="",$D682='Assignment Builder'!$B$8),OR('Assignment Builder'!$B$9="",$F682='Assignment Builder'!$B$9),OR('Assignment Builder'!$B$10="",$O682='Assignment Builder'!$B$10),OR('Assignment Builder'!$B$11="",$H682&gt;='Assignment Builder'!$B$11),OR('Assignment Builder'!$B$12="",N($Q682)&lt;='Assignment Builder'!$B$12)))</f>
        <v/>
      </c>
      <c r="T682" s="23" t="n"/>
    </row>
    <row r="683">
      <c r="A683" s="23" t="n"/>
      <c r="B683" s="23" t="n"/>
      <c r="C683" s="24" t="n"/>
      <c r="D683" s="15" t="n"/>
      <c r="E683" s="23" t="n"/>
      <c r="F683" s="15" t="n"/>
      <c r="G683" s="23" t="n"/>
      <c r="H683" s="25" t="n"/>
      <c r="I683" s="15" t="n"/>
      <c r="J683" s="26">
        <f>IF($A683="","",LEN($C683)-LEN(SUBSTITUTE($C683,",",""))+1)</f>
        <v/>
      </c>
      <c r="K683" s="26">
        <f>IF($A683="","",SUMPRODUCT(--ISNUMBER(SEARCH('Category Dictionary'!$D$5:$D$135&amp;"",$C683)),--('Category Dictionary'!$D$5:$D$135&lt;&gt;"")))</f>
        <v/>
      </c>
      <c r="L683" s="27">
        <f>IF($A683="","",TRIM(IF(ISERROR(FIND(",",$C683)),$C683,LEFT($C683,FIND(",",$C683)-1))))</f>
        <v/>
      </c>
      <c r="M683" s="28">
        <f>IF($H683="","",DATE(YEAR($H683),MONTH($H683),1))</f>
        <v/>
      </c>
      <c r="N683" s="26">
        <f>IF($H683="","",TODAY()-$H683)</f>
        <v/>
      </c>
      <c r="O683" s="15" t="n"/>
      <c r="P683" s="15" t="n"/>
      <c r="Q683" s="15" t="n"/>
      <c r="R683" s="25" t="n"/>
      <c r="S683" s="26">
        <f>IF($A683="","",AND(OR('Assignment Builder'!$B$5="",$B683='Assignment Builder'!$B$5),OR('Assignment Builder'!$B$6="",ISNUMBER(SEARCH('Assignment Builder'!$B$6,$C683))),OR('Assignment Builder'!$B$7="",'Assignment Builder'!$B$7=IFERROR(INDEX('Category Dictionary'!$C$5:$C$135,MATCH($L683,'Category Dictionary'!$D$5:$D$135,0)),"")),OR('Assignment Builder'!$B$8="",$D683='Assignment Builder'!$B$8),OR('Assignment Builder'!$B$9="",$F683='Assignment Builder'!$B$9),OR('Assignment Builder'!$B$10="",$O683='Assignment Builder'!$B$10),OR('Assignment Builder'!$B$11="",$H683&gt;='Assignment Builder'!$B$11),OR('Assignment Builder'!$B$12="",N($Q683)&lt;='Assignment Builder'!$B$12)))</f>
        <v/>
      </c>
      <c r="T683" s="23" t="n"/>
    </row>
    <row r="684">
      <c r="A684" s="23" t="n"/>
      <c r="B684" s="23" t="n"/>
      <c r="C684" s="24" t="n"/>
      <c r="D684" s="15" t="n"/>
      <c r="E684" s="23" t="n"/>
      <c r="F684" s="15" t="n"/>
      <c r="G684" s="23" t="n"/>
      <c r="H684" s="25" t="n"/>
      <c r="I684" s="15" t="n"/>
      <c r="J684" s="26">
        <f>IF($A684="","",LEN($C684)-LEN(SUBSTITUTE($C684,",",""))+1)</f>
        <v/>
      </c>
      <c r="K684" s="26">
        <f>IF($A684="","",SUMPRODUCT(--ISNUMBER(SEARCH('Category Dictionary'!$D$5:$D$135&amp;"",$C684)),--('Category Dictionary'!$D$5:$D$135&lt;&gt;"")))</f>
        <v/>
      </c>
      <c r="L684" s="27">
        <f>IF($A684="","",TRIM(IF(ISERROR(FIND(",",$C684)),$C684,LEFT($C684,FIND(",",$C684)-1))))</f>
        <v/>
      </c>
      <c r="M684" s="28">
        <f>IF($H684="","",DATE(YEAR($H684),MONTH($H684),1))</f>
        <v/>
      </c>
      <c r="N684" s="26">
        <f>IF($H684="","",TODAY()-$H684)</f>
        <v/>
      </c>
      <c r="O684" s="15" t="n"/>
      <c r="P684" s="15" t="n"/>
      <c r="Q684" s="15" t="n"/>
      <c r="R684" s="25" t="n"/>
      <c r="S684" s="26">
        <f>IF($A684="","",AND(OR('Assignment Builder'!$B$5="",$B684='Assignment Builder'!$B$5),OR('Assignment Builder'!$B$6="",ISNUMBER(SEARCH('Assignment Builder'!$B$6,$C684))),OR('Assignment Builder'!$B$7="",'Assignment Builder'!$B$7=IFERROR(INDEX('Category Dictionary'!$C$5:$C$135,MATCH($L684,'Category Dictionary'!$D$5:$D$135,0)),"")),OR('Assignment Builder'!$B$8="",$D684='Assignment Builder'!$B$8),OR('Assignment Builder'!$B$9="",$F684='Assignment Builder'!$B$9),OR('Assignment Builder'!$B$10="",$O684='Assignment Builder'!$B$10),OR('Assignment Builder'!$B$11="",$H684&gt;='Assignment Builder'!$B$11),OR('Assignment Builder'!$B$12="",N($Q684)&lt;='Assignment Builder'!$B$12)))</f>
        <v/>
      </c>
      <c r="T684" s="23" t="n"/>
    </row>
    <row r="685">
      <c r="A685" s="23" t="n"/>
      <c r="B685" s="23" t="n"/>
      <c r="C685" s="24" t="n"/>
      <c r="D685" s="15" t="n"/>
      <c r="E685" s="23" t="n"/>
      <c r="F685" s="15" t="n"/>
      <c r="G685" s="23" t="n"/>
      <c r="H685" s="25" t="n"/>
      <c r="I685" s="15" t="n"/>
      <c r="J685" s="26">
        <f>IF($A685="","",LEN($C685)-LEN(SUBSTITUTE($C685,",",""))+1)</f>
        <v/>
      </c>
      <c r="K685" s="26">
        <f>IF($A685="","",SUMPRODUCT(--ISNUMBER(SEARCH('Category Dictionary'!$D$5:$D$135&amp;"",$C685)),--('Category Dictionary'!$D$5:$D$135&lt;&gt;"")))</f>
        <v/>
      </c>
      <c r="L685" s="27">
        <f>IF($A685="","",TRIM(IF(ISERROR(FIND(",",$C685)),$C685,LEFT($C685,FIND(",",$C685)-1))))</f>
        <v/>
      </c>
      <c r="M685" s="28">
        <f>IF($H685="","",DATE(YEAR($H685),MONTH($H685),1))</f>
        <v/>
      </c>
      <c r="N685" s="26">
        <f>IF($H685="","",TODAY()-$H685)</f>
        <v/>
      </c>
      <c r="O685" s="15" t="n"/>
      <c r="P685" s="15" t="n"/>
      <c r="Q685" s="15" t="n"/>
      <c r="R685" s="25" t="n"/>
      <c r="S685" s="26">
        <f>IF($A685="","",AND(OR('Assignment Builder'!$B$5="",$B685='Assignment Builder'!$B$5),OR('Assignment Builder'!$B$6="",ISNUMBER(SEARCH('Assignment Builder'!$B$6,$C685))),OR('Assignment Builder'!$B$7="",'Assignment Builder'!$B$7=IFERROR(INDEX('Category Dictionary'!$C$5:$C$135,MATCH($L685,'Category Dictionary'!$D$5:$D$135,0)),"")),OR('Assignment Builder'!$B$8="",$D685='Assignment Builder'!$B$8),OR('Assignment Builder'!$B$9="",$F685='Assignment Builder'!$B$9),OR('Assignment Builder'!$B$10="",$O685='Assignment Builder'!$B$10),OR('Assignment Builder'!$B$11="",$H685&gt;='Assignment Builder'!$B$11),OR('Assignment Builder'!$B$12="",N($Q685)&lt;='Assignment Builder'!$B$12)))</f>
        <v/>
      </c>
      <c r="T685" s="23" t="n"/>
    </row>
    <row r="686">
      <c r="A686" s="23" t="n"/>
      <c r="B686" s="23" t="n"/>
      <c r="C686" s="24" t="n"/>
      <c r="D686" s="15" t="n"/>
      <c r="E686" s="23" t="n"/>
      <c r="F686" s="15" t="n"/>
      <c r="G686" s="23" t="n"/>
      <c r="H686" s="25" t="n"/>
      <c r="I686" s="15" t="n"/>
      <c r="J686" s="26">
        <f>IF($A686="","",LEN($C686)-LEN(SUBSTITUTE($C686,",",""))+1)</f>
        <v/>
      </c>
      <c r="K686" s="26">
        <f>IF($A686="","",SUMPRODUCT(--ISNUMBER(SEARCH('Category Dictionary'!$D$5:$D$135&amp;"",$C686)),--('Category Dictionary'!$D$5:$D$135&lt;&gt;"")))</f>
        <v/>
      </c>
      <c r="L686" s="27">
        <f>IF($A686="","",TRIM(IF(ISERROR(FIND(",",$C686)),$C686,LEFT($C686,FIND(",",$C686)-1))))</f>
        <v/>
      </c>
      <c r="M686" s="28">
        <f>IF($H686="","",DATE(YEAR($H686),MONTH($H686),1))</f>
        <v/>
      </c>
      <c r="N686" s="26">
        <f>IF($H686="","",TODAY()-$H686)</f>
        <v/>
      </c>
      <c r="O686" s="15" t="n"/>
      <c r="P686" s="15" t="n"/>
      <c r="Q686" s="15" t="n"/>
      <c r="R686" s="25" t="n"/>
      <c r="S686" s="26">
        <f>IF($A686="","",AND(OR('Assignment Builder'!$B$5="",$B686='Assignment Builder'!$B$5),OR('Assignment Builder'!$B$6="",ISNUMBER(SEARCH('Assignment Builder'!$B$6,$C686))),OR('Assignment Builder'!$B$7="",'Assignment Builder'!$B$7=IFERROR(INDEX('Category Dictionary'!$C$5:$C$135,MATCH($L686,'Category Dictionary'!$D$5:$D$135,0)),"")),OR('Assignment Builder'!$B$8="",$D686='Assignment Builder'!$B$8),OR('Assignment Builder'!$B$9="",$F686='Assignment Builder'!$B$9),OR('Assignment Builder'!$B$10="",$O686='Assignment Builder'!$B$10),OR('Assignment Builder'!$B$11="",$H686&gt;='Assignment Builder'!$B$11),OR('Assignment Builder'!$B$12="",N($Q686)&lt;='Assignment Builder'!$B$12)))</f>
        <v/>
      </c>
      <c r="T686" s="23" t="n"/>
    </row>
    <row r="687">
      <c r="A687" s="23" t="n"/>
      <c r="B687" s="23" t="n"/>
      <c r="C687" s="24" t="n"/>
      <c r="D687" s="15" t="n"/>
      <c r="E687" s="23" t="n"/>
      <c r="F687" s="15" t="n"/>
      <c r="G687" s="23" t="n"/>
      <c r="H687" s="25" t="n"/>
      <c r="I687" s="15" t="n"/>
      <c r="J687" s="26">
        <f>IF($A687="","",LEN($C687)-LEN(SUBSTITUTE($C687,",",""))+1)</f>
        <v/>
      </c>
      <c r="K687" s="26">
        <f>IF($A687="","",SUMPRODUCT(--ISNUMBER(SEARCH('Category Dictionary'!$D$5:$D$135&amp;"",$C687)),--('Category Dictionary'!$D$5:$D$135&lt;&gt;"")))</f>
        <v/>
      </c>
      <c r="L687" s="27">
        <f>IF($A687="","",TRIM(IF(ISERROR(FIND(",",$C687)),$C687,LEFT($C687,FIND(",",$C687)-1))))</f>
        <v/>
      </c>
      <c r="M687" s="28">
        <f>IF($H687="","",DATE(YEAR($H687),MONTH($H687),1))</f>
        <v/>
      </c>
      <c r="N687" s="26">
        <f>IF($H687="","",TODAY()-$H687)</f>
        <v/>
      </c>
      <c r="O687" s="15" t="n"/>
      <c r="P687" s="15" t="n"/>
      <c r="Q687" s="15" t="n"/>
      <c r="R687" s="25" t="n"/>
      <c r="S687" s="26">
        <f>IF($A687="","",AND(OR('Assignment Builder'!$B$5="",$B687='Assignment Builder'!$B$5),OR('Assignment Builder'!$B$6="",ISNUMBER(SEARCH('Assignment Builder'!$B$6,$C687))),OR('Assignment Builder'!$B$7="",'Assignment Builder'!$B$7=IFERROR(INDEX('Category Dictionary'!$C$5:$C$135,MATCH($L687,'Category Dictionary'!$D$5:$D$135,0)),"")),OR('Assignment Builder'!$B$8="",$D687='Assignment Builder'!$B$8),OR('Assignment Builder'!$B$9="",$F687='Assignment Builder'!$B$9),OR('Assignment Builder'!$B$10="",$O687='Assignment Builder'!$B$10),OR('Assignment Builder'!$B$11="",$H687&gt;='Assignment Builder'!$B$11),OR('Assignment Builder'!$B$12="",N($Q687)&lt;='Assignment Builder'!$B$12)))</f>
        <v/>
      </c>
      <c r="T687" s="23" t="n"/>
    </row>
    <row r="688">
      <c r="A688" s="23" t="n"/>
      <c r="B688" s="23" t="n"/>
      <c r="C688" s="24" t="n"/>
      <c r="D688" s="15" t="n"/>
      <c r="E688" s="23" t="n"/>
      <c r="F688" s="15" t="n"/>
      <c r="G688" s="23" t="n"/>
      <c r="H688" s="25" t="n"/>
      <c r="I688" s="15" t="n"/>
      <c r="J688" s="26">
        <f>IF($A688="","",LEN($C688)-LEN(SUBSTITUTE($C688,",",""))+1)</f>
        <v/>
      </c>
      <c r="K688" s="26">
        <f>IF($A688="","",SUMPRODUCT(--ISNUMBER(SEARCH('Category Dictionary'!$D$5:$D$135&amp;"",$C688)),--('Category Dictionary'!$D$5:$D$135&lt;&gt;"")))</f>
        <v/>
      </c>
      <c r="L688" s="27">
        <f>IF($A688="","",TRIM(IF(ISERROR(FIND(",",$C688)),$C688,LEFT($C688,FIND(",",$C688)-1))))</f>
        <v/>
      </c>
      <c r="M688" s="28">
        <f>IF($H688="","",DATE(YEAR($H688),MONTH($H688),1))</f>
        <v/>
      </c>
      <c r="N688" s="26">
        <f>IF($H688="","",TODAY()-$H688)</f>
        <v/>
      </c>
      <c r="O688" s="15" t="n"/>
      <c r="P688" s="15" t="n"/>
      <c r="Q688" s="15" t="n"/>
      <c r="R688" s="25" t="n"/>
      <c r="S688" s="26">
        <f>IF($A688="","",AND(OR('Assignment Builder'!$B$5="",$B688='Assignment Builder'!$B$5),OR('Assignment Builder'!$B$6="",ISNUMBER(SEARCH('Assignment Builder'!$B$6,$C688))),OR('Assignment Builder'!$B$7="",'Assignment Builder'!$B$7=IFERROR(INDEX('Category Dictionary'!$C$5:$C$135,MATCH($L688,'Category Dictionary'!$D$5:$D$135,0)),"")),OR('Assignment Builder'!$B$8="",$D688='Assignment Builder'!$B$8),OR('Assignment Builder'!$B$9="",$F688='Assignment Builder'!$B$9),OR('Assignment Builder'!$B$10="",$O688='Assignment Builder'!$B$10),OR('Assignment Builder'!$B$11="",$H688&gt;='Assignment Builder'!$B$11),OR('Assignment Builder'!$B$12="",N($Q688)&lt;='Assignment Builder'!$B$12)))</f>
        <v/>
      </c>
      <c r="T688" s="23" t="n"/>
    </row>
    <row r="689">
      <c r="A689" s="23" t="n"/>
      <c r="B689" s="23" t="n"/>
      <c r="C689" s="24" t="n"/>
      <c r="D689" s="15" t="n"/>
      <c r="E689" s="23" t="n"/>
      <c r="F689" s="15" t="n"/>
      <c r="G689" s="23" t="n"/>
      <c r="H689" s="25" t="n"/>
      <c r="I689" s="15" t="n"/>
      <c r="J689" s="26">
        <f>IF($A689="","",LEN($C689)-LEN(SUBSTITUTE($C689,",",""))+1)</f>
        <v/>
      </c>
      <c r="K689" s="26">
        <f>IF($A689="","",SUMPRODUCT(--ISNUMBER(SEARCH('Category Dictionary'!$D$5:$D$135&amp;"",$C689)),--('Category Dictionary'!$D$5:$D$135&lt;&gt;"")))</f>
        <v/>
      </c>
      <c r="L689" s="27">
        <f>IF($A689="","",TRIM(IF(ISERROR(FIND(",",$C689)),$C689,LEFT($C689,FIND(",",$C689)-1))))</f>
        <v/>
      </c>
      <c r="M689" s="28">
        <f>IF($H689="","",DATE(YEAR($H689),MONTH($H689),1))</f>
        <v/>
      </c>
      <c r="N689" s="26">
        <f>IF($H689="","",TODAY()-$H689)</f>
        <v/>
      </c>
      <c r="O689" s="15" t="n"/>
      <c r="P689" s="15" t="n"/>
      <c r="Q689" s="15" t="n"/>
      <c r="R689" s="25" t="n"/>
      <c r="S689" s="26">
        <f>IF($A689="","",AND(OR('Assignment Builder'!$B$5="",$B689='Assignment Builder'!$B$5),OR('Assignment Builder'!$B$6="",ISNUMBER(SEARCH('Assignment Builder'!$B$6,$C689))),OR('Assignment Builder'!$B$7="",'Assignment Builder'!$B$7=IFERROR(INDEX('Category Dictionary'!$C$5:$C$135,MATCH($L689,'Category Dictionary'!$D$5:$D$135,0)),"")),OR('Assignment Builder'!$B$8="",$D689='Assignment Builder'!$B$8),OR('Assignment Builder'!$B$9="",$F689='Assignment Builder'!$B$9),OR('Assignment Builder'!$B$10="",$O689='Assignment Builder'!$B$10),OR('Assignment Builder'!$B$11="",$H689&gt;='Assignment Builder'!$B$11),OR('Assignment Builder'!$B$12="",N($Q689)&lt;='Assignment Builder'!$B$12)))</f>
        <v/>
      </c>
      <c r="T689" s="23" t="n"/>
    </row>
    <row r="690">
      <c r="A690" s="23" t="n"/>
      <c r="B690" s="23" t="n"/>
      <c r="C690" s="24" t="n"/>
      <c r="D690" s="15" t="n"/>
      <c r="E690" s="23" t="n"/>
      <c r="F690" s="15" t="n"/>
      <c r="G690" s="23" t="n"/>
      <c r="H690" s="25" t="n"/>
      <c r="I690" s="15" t="n"/>
      <c r="J690" s="26">
        <f>IF($A690="","",LEN($C690)-LEN(SUBSTITUTE($C690,",",""))+1)</f>
        <v/>
      </c>
      <c r="K690" s="26">
        <f>IF($A690="","",SUMPRODUCT(--ISNUMBER(SEARCH('Category Dictionary'!$D$5:$D$135&amp;"",$C690)),--('Category Dictionary'!$D$5:$D$135&lt;&gt;"")))</f>
        <v/>
      </c>
      <c r="L690" s="27">
        <f>IF($A690="","",TRIM(IF(ISERROR(FIND(",",$C690)),$C690,LEFT($C690,FIND(",",$C690)-1))))</f>
        <v/>
      </c>
      <c r="M690" s="28">
        <f>IF($H690="","",DATE(YEAR($H690),MONTH($H690),1))</f>
        <v/>
      </c>
      <c r="N690" s="26">
        <f>IF($H690="","",TODAY()-$H690)</f>
        <v/>
      </c>
      <c r="O690" s="15" t="n"/>
      <c r="P690" s="15" t="n"/>
      <c r="Q690" s="15" t="n"/>
      <c r="R690" s="25" t="n"/>
      <c r="S690" s="26">
        <f>IF($A690="","",AND(OR('Assignment Builder'!$B$5="",$B690='Assignment Builder'!$B$5),OR('Assignment Builder'!$B$6="",ISNUMBER(SEARCH('Assignment Builder'!$B$6,$C690))),OR('Assignment Builder'!$B$7="",'Assignment Builder'!$B$7=IFERROR(INDEX('Category Dictionary'!$C$5:$C$135,MATCH($L690,'Category Dictionary'!$D$5:$D$135,0)),"")),OR('Assignment Builder'!$B$8="",$D690='Assignment Builder'!$B$8),OR('Assignment Builder'!$B$9="",$F690='Assignment Builder'!$B$9),OR('Assignment Builder'!$B$10="",$O690='Assignment Builder'!$B$10),OR('Assignment Builder'!$B$11="",$H690&gt;='Assignment Builder'!$B$11),OR('Assignment Builder'!$B$12="",N($Q690)&lt;='Assignment Builder'!$B$12)))</f>
        <v/>
      </c>
      <c r="T690" s="23" t="n"/>
    </row>
    <row r="691">
      <c r="A691" s="23" t="n"/>
      <c r="B691" s="23" t="n"/>
      <c r="C691" s="24" t="n"/>
      <c r="D691" s="15" t="n"/>
      <c r="E691" s="23" t="n"/>
      <c r="F691" s="15" t="n"/>
      <c r="G691" s="23" t="n"/>
      <c r="H691" s="25" t="n"/>
      <c r="I691" s="15" t="n"/>
      <c r="J691" s="26">
        <f>IF($A691="","",LEN($C691)-LEN(SUBSTITUTE($C691,",",""))+1)</f>
        <v/>
      </c>
      <c r="K691" s="26">
        <f>IF($A691="","",SUMPRODUCT(--ISNUMBER(SEARCH('Category Dictionary'!$D$5:$D$135&amp;"",$C691)),--('Category Dictionary'!$D$5:$D$135&lt;&gt;"")))</f>
        <v/>
      </c>
      <c r="L691" s="27">
        <f>IF($A691="","",TRIM(IF(ISERROR(FIND(",",$C691)),$C691,LEFT($C691,FIND(",",$C691)-1))))</f>
        <v/>
      </c>
      <c r="M691" s="28">
        <f>IF($H691="","",DATE(YEAR($H691),MONTH($H691),1))</f>
        <v/>
      </c>
      <c r="N691" s="26">
        <f>IF($H691="","",TODAY()-$H691)</f>
        <v/>
      </c>
      <c r="O691" s="15" t="n"/>
      <c r="P691" s="15" t="n"/>
      <c r="Q691" s="15" t="n"/>
      <c r="R691" s="25" t="n"/>
      <c r="S691" s="26">
        <f>IF($A691="","",AND(OR('Assignment Builder'!$B$5="",$B691='Assignment Builder'!$B$5),OR('Assignment Builder'!$B$6="",ISNUMBER(SEARCH('Assignment Builder'!$B$6,$C691))),OR('Assignment Builder'!$B$7="",'Assignment Builder'!$B$7=IFERROR(INDEX('Category Dictionary'!$C$5:$C$135,MATCH($L691,'Category Dictionary'!$D$5:$D$135,0)),"")),OR('Assignment Builder'!$B$8="",$D691='Assignment Builder'!$B$8),OR('Assignment Builder'!$B$9="",$F691='Assignment Builder'!$B$9),OR('Assignment Builder'!$B$10="",$O691='Assignment Builder'!$B$10),OR('Assignment Builder'!$B$11="",$H691&gt;='Assignment Builder'!$B$11),OR('Assignment Builder'!$B$12="",N($Q691)&lt;='Assignment Builder'!$B$12)))</f>
        <v/>
      </c>
      <c r="T691" s="23" t="n"/>
    </row>
    <row r="692">
      <c r="A692" s="23" t="n"/>
      <c r="B692" s="23" t="n"/>
      <c r="C692" s="24" t="n"/>
      <c r="D692" s="15" t="n"/>
      <c r="E692" s="23" t="n"/>
      <c r="F692" s="15" t="n"/>
      <c r="G692" s="23" t="n"/>
      <c r="H692" s="25" t="n"/>
      <c r="I692" s="15" t="n"/>
      <c r="J692" s="26">
        <f>IF($A692="","",LEN($C692)-LEN(SUBSTITUTE($C692,",",""))+1)</f>
        <v/>
      </c>
      <c r="K692" s="26">
        <f>IF($A692="","",SUMPRODUCT(--ISNUMBER(SEARCH('Category Dictionary'!$D$5:$D$135&amp;"",$C692)),--('Category Dictionary'!$D$5:$D$135&lt;&gt;"")))</f>
        <v/>
      </c>
      <c r="L692" s="27">
        <f>IF($A692="","",TRIM(IF(ISERROR(FIND(",",$C692)),$C692,LEFT($C692,FIND(",",$C692)-1))))</f>
        <v/>
      </c>
      <c r="M692" s="28">
        <f>IF($H692="","",DATE(YEAR($H692),MONTH($H692),1))</f>
        <v/>
      </c>
      <c r="N692" s="26">
        <f>IF($H692="","",TODAY()-$H692)</f>
        <v/>
      </c>
      <c r="O692" s="15" t="n"/>
      <c r="P692" s="15" t="n"/>
      <c r="Q692" s="15" t="n"/>
      <c r="R692" s="25" t="n"/>
      <c r="S692" s="26">
        <f>IF($A692="","",AND(OR('Assignment Builder'!$B$5="",$B692='Assignment Builder'!$B$5),OR('Assignment Builder'!$B$6="",ISNUMBER(SEARCH('Assignment Builder'!$B$6,$C692))),OR('Assignment Builder'!$B$7="",'Assignment Builder'!$B$7=IFERROR(INDEX('Category Dictionary'!$C$5:$C$135,MATCH($L692,'Category Dictionary'!$D$5:$D$135,0)),"")),OR('Assignment Builder'!$B$8="",$D692='Assignment Builder'!$B$8),OR('Assignment Builder'!$B$9="",$F692='Assignment Builder'!$B$9),OR('Assignment Builder'!$B$10="",$O692='Assignment Builder'!$B$10),OR('Assignment Builder'!$B$11="",$H692&gt;='Assignment Builder'!$B$11),OR('Assignment Builder'!$B$12="",N($Q692)&lt;='Assignment Builder'!$B$12)))</f>
        <v/>
      </c>
      <c r="T692" s="23" t="n"/>
    </row>
    <row r="693">
      <c r="A693" s="23" t="n"/>
      <c r="B693" s="23" t="n"/>
      <c r="C693" s="24" t="n"/>
      <c r="D693" s="15" t="n"/>
      <c r="E693" s="23" t="n"/>
      <c r="F693" s="15" t="n"/>
      <c r="G693" s="23" t="n"/>
      <c r="H693" s="25" t="n"/>
      <c r="I693" s="15" t="n"/>
      <c r="J693" s="26">
        <f>IF($A693="","",LEN($C693)-LEN(SUBSTITUTE($C693,",",""))+1)</f>
        <v/>
      </c>
      <c r="K693" s="26">
        <f>IF($A693="","",SUMPRODUCT(--ISNUMBER(SEARCH('Category Dictionary'!$D$5:$D$135&amp;"",$C693)),--('Category Dictionary'!$D$5:$D$135&lt;&gt;"")))</f>
        <v/>
      </c>
      <c r="L693" s="27">
        <f>IF($A693="","",TRIM(IF(ISERROR(FIND(",",$C693)),$C693,LEFT($C693,FIND(",",$C693)-1))))</f>
        <v/>
      </c>
      <c r="M693" s="28">
        <f>IF($H693="","",DATE(YEAR($H693),MONTH($H693),1))</f>
        <v/>
      </c>
      <c r="N693" s="26">
        <f>IF($H693="","",TODAY()-$H693)</f>
        <v/>
      </c>
      <c r="O693" s="15" t="n"/>
      <c r="P693" s="15" t="n"/>
      <c r="Q693" s="15" t="n"/>
      <c r="R693" s="25" t="n"/>
      <c r="S693" s="26">
        <f>IF($A693="","",AND(OR('Assignment Builder'!$B$5="",$B693='Assignment Builder'!$B$5),OR('Assignment Builder'!$B$6="",ISNUMBER(SEARCH('Assignment Builder'!$B$6,$C693))),OR('Assignment Builder'!$B$7="",'Assignment Builder'!$B$7=IFERROR(INDEX('Category Dictionary'!$C$5:$C$135,MATCH($L693,'Category Dictionary'!$D$5:$D$135,0)),"")),OR('Assignment Builder'!$B$8="",$D693='Assignment Builder'!$B$8),OR('Assignment Builder'!$B$9="",$F693='Assignment Builder'!$B$9),OR('Assignment Builder'!$B$10="",$O693='Assignment Builder'!$B$10),OR('Assignment Builder'!$B$11="",$H693&gt;='Assignment Builder'!$B$11),OR('Assignment Builder'!$B$12="",N($Q693)&lt;='Assignment Builder'!$B$12)))</f>
        <v/>
      </c>
      <c r="T693" s="23" t="n"/>
    </row>
    <row r="694">
      <c r="A694" s="23" t="n"/>
      <c r="B694" s="23" t="n"/>
      <c r="C694" s="24" t="n"/>
      <c r="D694" s="15" t="n"/>
      <c r="E694" s="23" t="n"/>
      <c r="F694" s="15" t="n"/>
      <c r="G694" s="23" t="n"/>
      <c r="H694" s="25" t="n"/>
      <c r="I694" s="15" t="n"/>
      <c r="J694" s="26">
        <f>IF($A694="","",LEN($C694)-LEN(SUBSTITUTE($C694,",",""))+1)</f>
        <v/>
      </c>
      <c r="K694" s="26">
        <f>IF($A694="","",SUMPRODUCT(--ISNUMBER(SEARCH('Category Dictionary'!$D$5:$D$135&amp;"",$C694)),--('Category Dictionary'!$D$5:$D$135&lt;&gt;"")))</f>
        <v/>
      </c>
      <c r="L694" s="27">
        <f>IF($A694="","",TRIM(IF(ISERROR(FIND(",",$C694)),$C694,LEFT($C694,FIND(",",$C694)-1))))</f>
        <v/>
      </c>
      <c r="M694" s="28">
        <f>IF($H694="","",DATE(YEAR($H694),MONTH($H694),1))</f>
        <v/>
      </c>
      <c r="N694" s="26">
        <f>IF($H694="","",TODAY()-$H694)</f>
        <v/>
      </c>
      <c r="O694" s="15" t="n"/>
      <c r="P694" s="15" t="n"/>
      <c r="Q694" s="15" t="n"/>
      <c r="R694" s="25" t="n"/>
      <c r="S694" s="26">
        <f>IF($A694="","",AND(OR('Assignment Builder'!$B$5="",$B694='Assignment Builder'!$B$5),OR('Assignment Builder'!$B$6="",ISNUMBER(SEARCH('Assignment Builder'!$B$6,$C694))),OR('Assignment Builder'!$B$7="",'Assignment Builder'!$B$7=IFERROR(INDEX('Category Dictionary'!$C$5:$C$135,MATCH($L694,'Category Dictionary'!$D$5:$D$135,0)),"")),OR('Assignment Builder'!$B$8="",$D694='Assignment Builder'!$B$8),OR('Assignment Builder'!$B$9="",$F694='Assignment Builder'!$B$9),OR('Assignment Builder'!$B$10="",$O694='Assignment Builder'!$B$10),OR('Assignment Builder'!$B$11="",$H694&gt;='Assignment Builder'!$B$11),OR('Assignment Builder'!$B$12="",N($Q694)&lt;='Assignment Builder'!$B$12)))</f>
        <v/>
      </c>
      <c r="T694" s="23" t="n"/>
    </row>
    <row r="695">
      <c r="A695" s="23" t="n"/>
      <c r="B695" s="23" t="n"/>
      <c r="C695" s="24" t="n"/>
      <c r="D695" s="15" t="n"/>
      <c r="E695" s="23" t="n"/>
      <c r="F695" s="15" t="n"/>
      <c r="G695" s="23" t="n"/>
      <c r="H695" s="25" t="n"/>
      <c r="I695" s="15" t="n"/>
      <c r="J695" s="26">
        <f>IF($A695="","",LEN($C695)-LEN(SUBSTITUTE($C695,",",""))+1)</f>
        <v/>
      </c>
      <c r="K695" s="26">
        <f>IF($A695="","",SUMPRODUCT(--ISNUMBER(SEARCH('Category Dictionary'!$D$5:$D$135&amp;"",$C695)),--('Category Dictionary'!$D$5:$D$135&lt;&gt;"")))</f>
        <v/>
      </c>
      <c r="L695" s="27">
        <f>IF($A695="","",TRIM(IF(ISERROR(FIND(",",$C695)),$C695,LEFT($C695,FIND(",",$C695)-1))))</f>
        <v/>
      </c>
      <c r="M695" s="28">
        <f>IF($H695="","",DATE(YEAR($H695),MONTH($H695),1))</f>
        <v/>
      </c>
      <c r="N695" s="26">
        <f>IF($H695="","",TODAY()-$H695)</f>
        <v/>
      </c>
      <c r="O695" s="15" t="n"/>
      <c r="P695" s="15" t="n"/>
      <c r="Q695" s="15" t="n"/>
      <c r="R695" s="25" t="n"/>
      <c r="S695" s="26">
        <f>IF($A695="","",AND(OR('Assignment Builder'!$B$5="",$B695='Assignment Builder'!$B$5),OR('Assignment Builder'!$B$6="",ISNUMBER(SEARCH('Assignment Builder'!$B$6,$C695))),OR('Assignment Builder'!$B$7="",'Assignment Builder'!$B$7=IFERROR(INDEX('Category Dictionary'!$C$5:$C$135,MATCH($L695,'Category Dictionary'!$D$5:$D$135,0)),"")),OR('Assignment Builder'!$B$8="",$D695='Assignment Builder'!$B$8),OR('Assignment Builder'!$B$9="",$F695='Assignment Builder'!$B$9),OR('Assignment Builder'!$B$10="",$O695='Assignment Builder'!$B$10),OR('Assignment Builder'!$B$11="",$H695&gt;='Assignment Builder'!$B$11),OR('Assignment Builder'!$B$12="",N($Q695)&lt;='Assignment Builder'!$B$12)))</f>
        <v/>
      </c>
      <c r="T695" s="23" t="n"/>
    </row>
    <row r="696">
      <c r="A696" s="23" t="n"/>
      <c r="B696" s="23" t="n"/>
      <c r="C696" s="24" t="n"/>
      <c r="D696" s="15" t="n"/>
      <c r="E696" s="23" t="n"/>
      <c r="F696" s="15" t="n"/>
      <c r="G696" s="23" t="n"/>
      <c r="H696" s="25" t="n"/>
      <c r="I696" s="15" t="n"/>
      <c r="J696" s="26">
        <f>IF($A696="","",LEN($C696)-LEN(SUBSTITUTE($C696,",",""))+1)</f>
        <v/>
      </c>
      <c r="K696" s="26">
        <f>IF($A696="","",SUMPRODUCT(--ISNUMBER(SEARCH('Category Dictionary'!$D$5:$D$135&amp;"",$C696)),--('Category Dictionary'!$D$5:$D$135&lt;&gt;"")))</f>
        <v/>
      </c>
      <c r="L696" s="27">
        <f>IF($A696="","",TRIM(IF(ISERROR(FIND(",",$C696)),$C696,LEFT($C696,FIND(",",$C696)-1))))</f>
        <v/>
      </c>
      <c r="M696" s="28">
        <f>IF($H696="","",DATE(YEAR($H696),MONTH($H696),1))</f>
        <v/>
      </c>
      <c r="N696" s="26">
        <f>IF($H696="","",TODAY()-$H696)</f>
        <v/>
      </c>
      <c r="O696" s="15" t="n"/>
      <c r="P696" s="15" t="n"/>
      <c r="Q696" s="15" t="n"/>
      <c r="R696" s="25" t="n"/>
      <c r="S696" s="26">
        <f>IF($A696="","",AND(OR('Assignment Builder'!$B$5="",$B696='Assignment Builder'!$B$5),OR('Assignment Builder'!$B$6="",ISNUMBER(SEARCH('Assignment Builder'!$B$6,$C696))),OR('Assignment Builder'!$B$7="",'Assignment Builder'!$B$7=IFERROR(INDEX('Category Dictionary'!$C$5:$C$135,MATCH($L696,'Category Dictionary'!$D$5:$D$135,0)),"")),OR('Assignment Builder'!$B$8="",$D696='Assignment Builder'!$B$8),OR('Assignment Builder'!$B$9="",$F696='Assignment Builder'!$B$9),OR('Assignment Builder'!$B$10="",$O696='Assignment Builder'!$B$10),OR('Assignment Builder'!$B$11="",$H696&gt;='Assignment Builder'!$B$11),OR('Assignment Builder'!$B$12="",N($Q696)&lt;='Assignment Builder'!$B$12)))</f>
        <v/>
      </c>
      <c r="T696" s="23" t="n"/>
    </row>
    <row r="697">
      <c r="A697" s="23" t="n"/>
      <c r="B697" s="23" t="n"/>
      <c r="C697" s="24" t="n"/>
      <c r="D697" s="15" t="n"/>
      <c r="E697" s="23" t="n"/>
      <c r="F697" s="15" t="n"/>
      <c r="G697" s="23" t="n"/>
      <c r="H697" s="25" t="n"/>
      <c r="I697" s="15" t="n"/>
      <c r="J697" s="26">
        <f>IF($A697="","",LEN($C697)-LEN(SUBSTITUTE($C697,",",""))+1)</f>
        <v/>
      </c>
      <c r="K697" s="26">
        <f>IF($A697="","",SUMPRODUCT(--ISNUMBER(SEARCH('Category Dictionary'!$D$5:$D$135&amp;"",$C697)),--('Category Dictionary'!$D$5:$D$135&lt;&gt;"")))</f>
        <v/>
      </c>
      <c r="L697" s="27">
        <f>IF($A697="","",TRIM(IF(ISERROR(FIND(",",$C697)),$C697,LEFT($C697,FIND(",",$C697)-1))))</f>
        <v/>
      </c>
      <c r="M697" s="28">
        <f>IF($H697="","",DATE(YEAR($H697),MONTH($H697),1))</f>
        <v/>
      </c>
      <c r="N697" s="26">
        <f>IF($H697="","",TODAY()-$H697)</f>
        <v/>
      </c>
      <c r="O697" s="15" t="n"/>
      <c r="P697" s="15" t="n"/>
      <c r="Q697" s="15" t="n"/>
      <c r="R697" s="25" t="n"/>
      <c r="S697" s="26">
        <f>IF($A697="","",AND(OR('Assignment Builder'!$B$5="",$B697='Assignment Builder'!$B$5),OR('Assignment Builder'!$B$6="",ISNUMBER(SEARCH('Assignment Builder'!$B$6,$C697))),OR('Assignment Builder'!$B$7="",'Assignment Builder'!$B$7=IFERROR(INDEX('Category Dictionary'!$C$5:$C$135,MATCH($L697,'Category Dictionary'!$D$5:$D$135,0)),"")),OR('Assignment Builder'!$B$8="",$D697='Assignment Builder'!$B$8),OR('Assignment Builder'!$B$9="",$F697='Assignment Builder'!$B$9),OR('Assignment Builder'!$B$10="",$O697='Assignment Builder'!$B$10),OR('Assignment Builder'!$B$11="",$H697&gt;='Assignment Builder'!$B$11),OR('Assignment Builder'!$B$12="",N($Q697)&lt;='Assignment Builder'!$B$12)))</f>
        <v/>
      </c>
      <c r="T697" s="23" t="n"/>
    </row>
    <row r="698">
      <c r="A698" s="23" t="n"/>
      <c r="B698" s="23" t="n"/>
      <c r="C698" s="24" t="n"/>
      <c r="D698" s="15" t="n"/>
      <c r="E698" s="23" t="n"/>
      <c r="F698" s="15" t="n"/>
      <c r="G698" s="23" t="n"/>
      <c r="H698" s="25" t="n"/>
      <c r="I698" s="15" t="n"/>
      <c r="J698" s="26">
        <f>IF($A698="","",LEN($C698)-LEN(SUBSTITUTE($C698,",",""))+1)</f>
        <v/>
      </c>
      <c r="K698" s="26">
        <f>IF($A698="","",SUMPRODUCT(--ISNUMBER(SEARCH('Category Dictionary'!$D$5:$D$135&amp;"",$C698)),--('Category Dictionary'!$D$5:$D$135&lt;&gt;"")))</f>
        <v/>
      </c>
      <c r="L698" s="27">
        <f>IF($A698="","",TRIM(IF(ISERROR(FIND(",",$C698)),$C698,LEFT($C698,FIND(",",$C698)-1))))</f>
        <v/>
      </c>
      <c r="M698" s="28">
        <f>IF($H698="","",DATE(YEAR($H698),MONTH($H698),1))</f>
        <v/>
      </c>
      <c r="N698" s="26">
        <f>IF($H698="","",TODAY()-$H698)</f>
        <v/>
      </c>
      <c r="O698" s="15" t="n"/>
      <c r="P698" s="15" t="n"/>
      <c r="Q698" s="15" t="n"/>
      <c r="R698" s="25" t="n"/>
      <c r="S698" s="26">
        <f>IF($A698="","",AND(OR('Assignment Builder'!$B$5="",$B698='Assignment Builder'!$B$5),OR('Assignment Builder'!$B$6="",ISNUMBER(SEARCH('Assignment Builder'!$B$6,$C698))),OR('Assignment Builder'!$B$7="",'Assignment Builder'!$B$7=IFERROR(INDEX('Category Dictionary'!$C$5:$C$135,MATCH($L698,'Category Dictionary'!$D$5:$D$135,0)),"")),OR('Assignment Builder'!$B$8="",$D698='Assignment Builder'!$B$8),OR('Assignment Builder'!$B$9="",$F698='Assignment Builder'!$B$9),OR('Assignment Builder'!$B$10="",$O698='Assignment Builder'!$B$10),OR('Assignment Builder'!$B$11="",$H698&gt;='Assignment Builder'!$B$11),OR('Assignment Builder'!$B$12="",N($Q698)&lt;='Assignment Builder'!$B$12)))</f>
        <v/>
      </c>
      <c r="T698" s="23" t="n"/>
    </row>
    <row r="699">
      <c r="A699" s="23" t="n"/>
      <c r="B699" s="23" t="n"/>
      <c r="C699" s="24" t="n"/>
      <c r="D699" s="15" t="n"/>
      <c r="E699" s="23" t="n"/>
      <c r="F699" s="15" t="n"/>
      <c r="G699" s="23" t="n"/>
      <c r="H699" s="25" t="n"/>
      <c r="I699" s="15" t="n"/>
      <c r="J699" s="26">
        <f>IF($A699="","",LEN($C699)-LEN(SUBSTITUTE($C699,",",""))+1)</f>
        <v/>
      </c>
      <c r="K699" s="26">
        <f>IF($A699="","",SUMPRODUCT(--ISNUMBER(SEARCH('Category Dictionary'!$D$5:$D$135&amp;"",$C699)),--('Category Dictionary'!$D$5:$D$135&lt;&gt;"")))</f>
        <v/>
      </c>
      <c r="L699" s="27">
        <f>IF($A699="","",TRIM(IF(ISERROR(FIND(",",$C699)),$C699,LEFT($C699,FIND(",",$C699)-1))))</f>
        <v/>
      </c>
      <c r="M699" s="28">
        <f>IF($H699="","",DATE(YEAR($H699),MONTH($H699),1))</f>
        <v/>
      </c>
      <c r="N699" s="26">
        <f>IF($H699="","",TODAY()-$H699)</f>
        <v/>
      </c>
      <c r="O699" s="15" t="n"/>
      <c r="P699" s="15" t="n"/>
      <c r="Q699" s="15" t="n"/>
      <c r="R699" s="25" t="n"/>
      <c r="S699" s="26">
        <f>IF($A699="","",AND(OR('Assignment Builder'!$B$5="",$B699='Assignment Builder'!$B$5),OR('Assignment Builder'!$B$6="",ISNUMBER(SEARCH('Assignment Builder'!$B$6,$C699))),OR('Assignment Builder'!$B$7="",'Assignment Builder'!$B$7=IFERROR(INDEX('Category Dictionary'!$C$5:$C$135,MATCH($L699,'Category Dictionary'!$D$5:$D$135,0)),"")),OR('Assignment Builder'!$B$8="",$D699='Assignment Builder'!$B$8),OR('Assignment Builder'!$B$9="",$F699='Assignment Builder'!$B$9),OR('Assignment Builder'!$B$10="",$O699='Assignment Builder'!$B$10),OR('Assignment Builder'!$B$11="",$H699&gt;='Assignment Builder'!$B$11),OR('Assignment Builder'!$B$12="",N($Q699)&lt;='Assignment Builder'!$B$12)))</f>
        <v/>
      </c>
      <c r="T699" s="23" t="n"/>
    </row>
    <row r="700">
      <c r="A700" s="23" t="n"/>
      <c r="B700" s="23" t="n"/>
      <c r="C700" s="24" t="n"/>
      <c r="D700" s="15" t="n"/>
      <c r="E700" s="23" t="n"/>
      <c r="F700" s="15" t="n"/>
      <c r="G700" s="23" t="n"/>
      <c r="H700" s="25" t="n"/>
      <c r="I700" s="15" t="n"/>
      <c r="J700" s="26">
        <f>IF($A700="","",LEN($C700)-LEN(SUBSTITUTE($C700,",",""))+1)</f>
        <v/>
      </c>
      <c r="K700" s="26">
        <f>IF($A700="","",SUMPRODUCT(--ISNUMBER(SEARCH('Category Dictionary'!$D$5:$D$135&amp;"",$C700)),--('Category Dictionary'!$D$5:$D$135&lt;&gt;"")))</f>
        <v/>
      </c>
      <c r="L700" s="27">
        <f>IF($A700="","",TRIM(IF(ISERROR(FIND(",",$C700)),$C700,LEFT($C700,FIND(",",$C700)-1))))</f>
        <v/>
      </c>
      <c r="M700" s="28">
        <f>IF($H700="","",DATE(YEAR($H700),MONTH($H700),1))</f>
        <v/>
      </c>
      <c r="N700" s="26">
        <f>IF($H700="","",TODAY()-$H700)</f>
        <v/>
      </c>
      <c r="O700" s="15" t="n"/>
      <c r="P700" s="15" t="n"/>
      <c r="Q700" s="15" t="n"/>
      <c r="R700" s="25" t="n"/>
      <c r="S700" s="26">
        <f>IF($A700="","",AND(OR('Assignment Builder'!$B$5="",$B700='Assignment Builder'!$B$5),OR('Assignment Builder'!$B$6="",ISNUMBER(SEARCH('Assignment Builder'!$B$6,$C700))),OR('Assignment Builder'!$B$7="",'Assignment Builder'!$B$7=IFERROR(INDEX('Category Dictionary'!$C$5:$C$135,MATCH($L700,'Category Dictionary'!$D$5:$D$135,0)),"")),OR('Assignment Builder'!$B$8="",$D700='Assignment Builder'!$B$8),OR('Assignment Builder'!$B$9="",$F700='Assignment Builder'!$B$9),OR('Assignment Builder'!$B$10="",$O700='Assignment Builder'!$B$10),OR('Assignment Builder'!$B$11="",$H700&gt;='Assignment Builder'!$B$11),OR('Assignment Builder'!$B$12="",N($Q700)&lt;='Assignment Builder'!$B$12)))</f>
        <v/>
      </c>
      <c r="T700" s="23" t="n"/>
    </row>
    <row r="701">
      <c r="A701" s="23" t="n"/>
      <c r="B701" s="23" t="n"/>
      <c r="C701" s="24" t="n"/>
      <c r="D701" s="15" t="n"/>
      <c r="E701" s="23" t="n"/>
      <c r="F701" s="15" t="n"/>
      <c r="G701" s="23" t="n"/>
      <c r="H701" s="25" t="n"/>
      <c r="I701" s="15" t="n"/>
      <c r="J701" s="26">
        <f>IF($A701="","",LEN($C701)-LEN(SUBSTITUTE($C701,",",""))+1)</f>
        <v/>
      </c>
      <c r="K701" s="26">
        <f>IF($A701="","",SUMPRODUCT(--ISNUMBER(SEARCH('Category Dictionary'!$D$5:$D$135&amp;"",$C701)),--('Category Dictionary'!$D$5:$D$135&lt;&gt;"")))</f>
        <v/>
      </c>
      <c r="L701" s="27">
        <f>IF($A701="","",TRIM(IF(ISERROR(FIND(",",$C701)),$C701,LEFT($C701,FIND(",",$C701)-1))))</f>
        <v/>
      </c>
      <c r="M701" s="28">
        <f>IF($H701="","",DATE(YEAR($H701),MONTH($H701),1))</f>
        <v/>
      </c>
      <c r="N701" s="26">
        <f>IF($H701="","",TODAY()-$H701)</f>
        <v/>
      </c>
      <c r="O701" s="15" t="n"/>
      <c r="P701" s="15" t="n"/>
      <c r="Q701" s="15" t="n"/>
      <c r="R701" s="25" t="n"/>
      <c r="S701" s="26">
        <f>IF($A701="","",AND(OR('Assignment Builder'!$B$5="",$B701='Assignment Builder'!$B$5),OR('Assignment Builder'!$B$6="",ISNUMBER(SEARCH('Assignment Builder'!$B$6,$C701))),OR('Assignment Builder'!$B$7="",'Assignment Builder'!$B$7=IFERROR(INDEX('Category Dictionary'!$C$5:$C$135,MATCH($L701,'Category Dictionary'!$D$5:$D$135,0)),"")),OR('Assignment Builder'!$B$8="",$D701='Assignment Builder'!$B$8),OR('Assignment Builder'!$B$9="",$F701='Assignment Builder'!$B$9),OR('Assignment Builder'!$B$10="",$O701='Assignment Builder'!$B$10),OR('Assignment Builder'!$B$11="",$H701&gt;='Assignment Builder'!$B$11),OR('Assignment Builder'!$B$12="",N($Q701)&lt;='Assignment Builder'!$B$12)))</f>
        <v/>
      </c>
      <c r="T701" s="23" t="n"/>
    </row>
    <row r="702">
      <c r="A702" s="23" t="n"/>
      <c r="B702" s="23" t="n"/>
      <c r="C702" s="24" t="n"/>
      <c r="D702" s="15" t="n"/>
      <c r="E702" s="23" t="n"/>
      <c r="F702" s="15" t="n"/>
      <c r="G702" s="23" t="n"/>
      <c r="H702" s="25" t="n"/>
      <c r="I702" s="15" t="n"/>
      <c r="J702" s="26">
        <f>IF($A702="","",LEN($C702)-LEN(SUBSTITUTE($C702,",",""))+1)</f>
        <v/>
      </c>
      <c r="K702" s="26">
        <f>IF($A702="","",SUMPRODUCT(--ISNUMBER(SEARCH('Category Dictionary'!$D$5:$D$135&amp;"",$C702)),--('Category Dictionary'!$D$5:$D$135&lt;&gt;"")))</f>
        <v/>
      </c>
      <c r="L702" s="27">
        <f>IF($A702="","",TRIM(IF(ISERROR(FIND(",",$C702)),$C702,LEFT($C702,FIND(",",$C702)-1))))</f>
        <v/>
      </c>
      <c r="M702" s="28">
        <f>IF($H702="","",DATE(YEAR($H702),MONTH($H702),1))</f>
        <v/>
      </c>
      <c r="N702" s="26">
        <f>IF($H702="","",TODAY()-$H702)</f>
        <v/>
      </c>
      <c r="O702" s="15" t="n"/>
      <c r="P702" s="15" t="n"/>
      <c r="Q702" s="15" t="n"/>
      <c r="R702" s="25" t="n"/>
      <c r="S702" s="26">
        <f>IF($A702="","",AND(OR('Assignment Builder'!$B$5="",$B702='Assignment Builder'!$B$5),OR('Assignment Builder'!$B$6="",ISNUMBER(SEARCH('Assignment Builder'!$B$6,$C702))),OR('Assignment Builder'!$B$7="",'Assignment Builder'!$B$7=IFERROR(INDEX('Category Dictionary'!$C$5:$C$135,MATCH($L702,'Category Dictionary'!$D$5:$D$135,0)),"")),OR('Assignment Builder'!$B$8="",$D702='Assignment Builder'!$B$8),OR('Assignment Builder'!$B$9="",$F702='Assignment Builder'!$B$9),OR('Assignment Builder'!$B$10="",$O702='Assignment Builder'!$B$10),OR('Assignment Builder'!$B$11="",$H702&gt;='Assignment Builder'!$B$11),OR('Assignment Builder'!$B$12="",N($Q702)&lt;='Assignment Builder'!$B$12)))</f>
        <v/>
      </c>
      <c r="T702" s="23" t="n"/>
    </row>
    <row r="703">
      <c r="A703" s="23" t="n"/>
      <c r="B703" s="23" t="n"/>
      <c r="C703" s="24" t="n"/>
      <c r="D703" s="15" t="n"/>
      <c r="E703" s="23" t="n"/>
      <c r="F703" s="15" t="n"/>
      <c r="G703" s="23" t="n"/>
      <c r="H703" s="25" t="n"/>
      <c r="I703" s="15" t="n"/>
      <c r="J703" s="26">
        <f>IF($A703="","",LEN($C703)-LEN(SUBSTITUTE($C703,",",""))+1)</f>
        <v/>
      </c>
      <c r="K703" s="26">
        <f>IF($A703="","",SUMPRODUCT(--ISNUMBER(SEARCH('Category Dictionary'!$D$5:$D$135&amp;"",$C703)),--('Category Dictionary'!$D$5:$D$135&lt;&gt;"")))</f>
        <v/>
      </c>
      <c r="L703" s="27">
        <f>IF($A703="","",TRIM(IF(ISERROR(FIND(",",$C703)),$C703,LEFT($C703,FIND(",",$C703)-1))))</f>
        <v/>
      </c>
      <c r="M703" s="28">
        <f>IF($H703="","",DATE(YEAR($H703),MONTH($H703),1))</f>
        <v/>
      </c>
      <c r="N703" s="26">
        <f>IF($H703="","",TODAY()-$H703)</f>
        <v/>
      </c>
      <c r="O703" s="15" t="n"/>
      <c r="P703" s="15" t="n"/>
      <c r="Q703" s="15" t="n"/>
      <c r="R703" s="25" t="n"/>
      <c r="S703" s="26">
        <f>IF($A703="","",AND(OR('Assignment Builder'!$B$5="",$B703='Assignment Builder'!$B$5),OR('Assignment Builder'!$B$6="",ISNUMBER(SEARCH('Assignment Builder'!$B$6,$C703))),OR('Assignment Builder'!$B$7="",'Assignment Builder'!$B$7=IFERROR(INDEX('Category Dictionary'!$C$5:$C$135,MATCH($L703,'Category Dictionary'!$D$5:$D$135,0)),"")),OR('Assignment Builder'!$B$8="",$D703='Assignment Builder'!$B$8),OR('Assignment Builder'!$B$9="",$F703='Assignment Builder'!$B$9),OR('Assignment Builder'!$B$10="",$O703='Assignment Builder'!$B$10),OR('Assignment Builder'!$B$11="",$H703&gt;='Assignment Builder'!$B$11),OR('Assignment Builder'!$B$12="",N($Q703)&lt;='Assignment Builder'!$B$12)))</f>
        <v/>
      </c>
      <c r="T703" s="23" t="n"/>
    </row>
    <row r="704">
      <c r="A704" s="23" t="n"/>
      <c r="B704" s="23" t="n"/>
      <c r="C704" s="24" t="n"/>
      <c r="D704" s="15" t="n"/>
      <c r="E704" s="23" t="n"/>
      <c r="F704" s="15" t="n"/>
      <c r="G704" s="23" t="n"/>
      <c r="H704" s="25" t="n"/>
      <c r="I704" s="15" t="n"/>
      <c r="J704" s="26">
        <f>IF($A704="","",LEN($C704)-LEN(SUBSTITUTE($C704,",",""))+1)</f>
        <v/>
      </c>
      <c r="K704" s="26">
        <f>IF($A704="","",SUMPRODUCT(--ISNUMBER(SEARCH('Category Dictionary'!$D$5:$D$135&amp;"",$C704)),--('Category Dictionary'!$D$5:$D$135&lt;&gt;"")))</f>
        <v/>
      </c>
      <c r="L704" s="27">
        <f>IF($A704="","",TRIM(IF(ISERROR(FIND(",",$C704)),$C704,LEFT($C704,FIND(",",$C704)-1))))</f>
        <v/>
      </c>
      <c r="M704" s="28">
        <f>IF($H704="","",DATE(YEAR($H704),MONTH($H704),1))</f>
        <v/>
      </c>
      <c r="N704" s="26">
        <f>IF($H704="","",TODAY()-$H704)</f>
        <v/>
      </c>
      <c r="O704" s="15" t="n"/>
      <c r="P704" s="15" t="n"/>
      <c r="Q704" s="15" t="n"/>
      <c r="R704" s="25" t="n"/>
      <c r="S704" s="26">
        <f>IF($A704="","",AND(OR('Assignment Builder'!$B$5="",$B704='Assignment Builder'!$B$5),OR('Assignment Builder'!$B$6="",ISNUMBER(SEARCH('Assignment Builder'!$B$6,$C704))),OR('Assignment Builder'!$B$7="",'Assignment Builder'!$B$7=IFERROR(INDEX('Category Dictionary'!$C$5:$C$135,MATCH($L704,'Category Dictionary'!$D$5:$D$135,0)),"")),OR('Assignment Builder'!$B$8="",$D704='Assignment Builder'!$B$8),OR('Assignment Builder'!$B$9="",$F704='Assignment Builder'!$B$9),OR('Assignment Builder'!$B$10="",$O704='Assignment Builder'!$B$10),OR('Assignment Builder'!$B$11="",$H704&gt;='Assignment Builder'!$B$11),OR('Assignment Builder'!$B$12="",N($Q704)&lt;='Assignment Builder'!$B$12)))</f>
        <v/>
      </c>
      <c r="T704" s="23" t="n"/>
    </row>
    <row r="705">
      <c r="A705" s="23" t="n"/>
      <c r="B705" s="23" t="n"/>
      <c r="C705" s="24" t="n"/>
      <c r="D705" s="15" t="n"/>
      <c r="E705" s="23" t="n"/>
      <c r="F705" s="15" t="n"/>
      <c r="G705" s="23" t="n"/>
      <c r="H705" s="25" t="n"/>
      <c r="I705" s="15" t="n"/>
      <c r="J705" s="26">
        <f>IF($A705="","",LEN($C705)-LEN(SUBSTITUTE($C705,",",""))+1)</f>
        <v/>
      </c>
      <c r="K705" s="26">
        <f>IF($A705="","",SUMPRODUCT(--ISNUMBER(SEARCH('Category Dictionary'!$D$5:$D$135&amp;"",$C705)),--('Category Dictionary'!$D$5:$D$135&lt;&gt;"")))</f>
        <v/>
      </c>
      <c r="L705" s="27">
        <f>IF($A705="","",TRIM(IF(ISERROR(FIND(",",$C705)),$C705,LEFT($C705,FIND(",",$C705)-1))))</f>
        <v/>
      </c>
      <c r="M705" s="28">
        <f>IF($H705="","",DATE(YEAR($H705),MONTH($H705),1))</f>
        <v/>
      </c>
      <c r="N705" s="26">
        <f>IF($H705="","",TODAY()-$H705)</f>
        <v/>
      </c>
      <c r="O705" s="15" t="n"/>
      <c r="P705" s="15" t="n"/>
      <c r="Q705" s="15" t="n"/>
      <c r="R705" s="25" t="n"/>
      <c r="S705" s="26">
        <f>IF($A705="","",AND(OR('Assignment Builder'!$B$5="",$B705='Assignment Builder'!$B$5),OR('Assignment Builder'!$B$6="",ISNUMBER(SEARCH('Assignment Builder'!$B$6,$C705))),OR('Assignment Builder'!$B$7="",'Assignment Builder'!$B$7=IFERROR(INDEX('Category Dictionary'!$C$5:$C$135,MATCH($L705,'Category Dictionary'!$D$5:$D$135,0)),"")),OR('Assignment Builder'!$B$8="",$D705='Assignment Builder'!$B$8),OR('Assignment Builder'!$B$9="",$F705='Assignment Builder'!$B$9),OR('Assignment Builder'!$B$10="",$O705='Assignment Builder'!$B$10),OR('Assignment Builder'!$B$11="",$H705&gt;='Assignment Builder'!$B$11),OR('Assignment Builder'!$B$12="",N($Q705)&lt;='Assignment Builder'!$B$12)))</f>
        <v/>
      </c>
      <c r="T705" s="23" t="n"/>
    </row>
    <row r="706">
      <c r="A706" s="23" t="n"/>
      <c r="B706" s="23" t="n"/>
      <c r="C706" s="24" t="n"/>
      <c r="D706" s="15" t="n"/>
      <c r="E706" s="23" t="n"/>
      <c r="F706" s="15" t="n"/>
      <c r="G706" s="23" t="n"/>
      <c r="H706" s="25" t="n"/>
      <c r="I706" s="15" t="n"/>
      <c r="J706" s="26">
        <f>IF($A706="","",LEN($C706)-LEN(SUBSTITUTE($C706,",",""))+1)</f>
        <v/>
      </c>
      <c r="K706" s="26">
        <f>IF($A706="","",SUMPRODUCT(--ISNUMBER(SEARCH('Category Dictionary'!$D$5:$D$135&amp;"",$C706)),--('Category Dictionary'!$D$5:$D$135&lt;&gt;"")))</f>
        <v/>
      </c>
      <c r="L706" s="27">
        <f>IF($A706="","",TRIM(IF(ISERROR(FIND(",",$C706)),$C706,LEFT($C706,FIND(",",$C706)-1))))</f>
        <v/>
      </c>
      <c r="M706" s="28">
        <f>IF($H706="","",DATE(YEAR($H706),MONTH($H706),1))</f>
        <v/>
      </c>
      <c r="N706" s="26">
        <f>IF($H706="","",TODAY()-$H706)</f>
        <v/>
      </c>
      <c r="O706" s="15" t="n"/>
      <c r="P706" s="15" t="n"/>
      <c r="Q706" s="15" t="n"/>
      <c r="R706" s="25" t="n"/>
      <c r="S706" s="26">
        <f>IF($A706="","",AND(OR('Assignment Builder'!$B$5="",$B706='Assignment Builder'!$B$5),OR('Assignment Builder'!$B$6="",ISNUMBER(SEARCH('Assignment Builder'!$B$6,$C706))),OR('Assignment Builder'!$B$7="",'Assignment Builder'!$B$7=IFERROR(INDEX('Category Dictionary'!$C$5:$C$135,MATCH($L706,'Category Dictionary'!$D$5:$D$135,0)),"")),OR('Assignment Builder'!$B$8="",$D706='Assignment Builder'!$B$8),OR('Assignment Builder'!$B$9="",$F706='Assignment Builder'!$B$9),OR('Assignment Builder'!$B$10="",$O706='Assignment Builder'!$B$10),OR('Assignment Builder'!$B$11="",$H706&gt;='Assignment Builder'!$B$11),OR('Assignment Builder'!$B$12="",N($Q706)&lt;='Assignment Builder'!$B$12)))</f>
        <v/>
      </c>
      <c r="T706" s="23" t="n"/>
    </row>
    <row r="707">
      <c r="A707" s="23" t="n"/>
      <c r="B707" s="23" t="n"/>
      <c r="C707" s="24" t="n"/>
      <c r="D707" s="15" t="n"/>
      <c r="E707" s="23" t="n"/>
      <c r="F707" s="15" t="n"/>
      <c r="G707" s="23" t="n"/>
      <c r="H707" s="25" t="n"/>
      <c r="I707" s="15" t="n"/>
      <c r="J707" s="26">
        <f>IF($A707="","",LEN($C707)-LEN(SUBSTITUTE($C707,",",""))+1)</f>
        <v/>
      </c>
      <c r="K707" s="26">
        <f>IF($A707="","",SUMPRODUCT(--ISNUMBER(SEARCH('Category Dictionary'!$D$5:$D$135&amp;"",$C707)),--('Category Dictionary'!$D$5:$D$135&lt;&gt;"")))</f>
        <v/>
      </c>
      <c r="L707" s="27">
        <f>IF($A707="","",TRIM(IF(ISERROR(FIND(",",$C707)),$C707,LEFT($C707,FIND(",",$C707)-1))))</f>
        <v/>
      </c>
      <c r="M707" s="28">
        <f>IF($H707="","",DATE(YEAR($H707),MONTH($H707),1))</f>
        <v/>
      </c>
      <c r="N707" s="26">
        <f>IF($H707="","",TODAY()-$H707)</f>
        <v/>
      </c>
      <c r="O707" s="15" t="n"/>
      <c r="P707" s="15" t="n"/>
      <c r="Q707" s="15" t="n"/>
      <c r="R707" s="25" t="n"/>
      <c r="S707" s="26">
        <f>IF($A707="","",AND(OR('Assignment Builder'!$B$5="",$B707='Assignment Builder'!$B$5),OR('Assignment Builder'!$B$6="",ISNUMBER(SEARCH('Assignment Builder'!$B$6,$C707))),OR('Assignment Builder'!$B$7="",'Assignment Builder'!$B$7=IFERROR(INDEX('Category Dictionary'!$C$5:$C$135,MATCH($L707,'Category Dictionary'!$D$5:$D$135,0)),"")),OR('Assignment Builder'!$B$8="",$D707='Assignment Builder'!$B$8),OR('Assignment Builder'!$B$9="",$F707='Assignment Builder'!$B$9),OR('Assignment Builder'!$B$10="",$O707='Assignment Builder'!$B$10),OR('Assignment Builder'!$B$11="",$H707&gt;='Assignment Builder'!$B$11),OR('Assignment Builder'!$B$12="",N($Q707)&lt;='Assignment Builder'!$B$12)))</f>
        <v/>
      </c>
      <c r="T707" s="23" t="n"/>
    </row>
    <row r="708">
      <c r="A708" s="23" t="n"/>
      <c r="B708" s="23" t="n"/>
      <c r="C708" s="24" t="n"/>
      <c r="D708" s="15" t="n"/>
      <c r="E708" s="23" t="n"/>
      <c r="F708" s="15" t="n"/>
      <c r="G708" s="23" t="n"/>
      <c r="H708" s="25" t="n"/>
      <c r="I708" s="15" t="n"/>
      <c r="J708" s="26">
        <f>IF($A708="","",LEN($C708)-LEN(SUBSTITUTE($C708,",",""))+1)</f>
        <v/>
      </c>
      <c r="K708" s="26">
        <f>IF($A708="","",SUMPRODUCT(--ISNUMBER(SEARCH('Category Dictionary'!$D$5:$D$135&amp;"",$C708)),--('Category Dictionary'!$D$5:$D$135&lt;&gt;"")))</f>
        <v/>
      </c>
      <c r="L708" s="27">
        <f>IF($A708="","",TRIM(IF(ISERROR(FIND(",",$C708)),$C708,LEFT($C708,FIND(",",$C708)-1))))</f>
        <v/>
      </c>
      <c r="M708" s="28">
        <f>IF($H708="","",DATE(YEAR($H708),MONTH($H708),1))</f>
        <v/>
      </c>
      <c r="N708" s="26">
        <f>IF($H708="","",TODAY()-$H708)</f>
        <v/>
      </c>
      <c r="O708" s="15" t="n"/>
      <c r="P708" s="15" t="n"/>
      <c r="Q708" s="15" t="n"/>
      <c r="R708" s="25" t="n"/>
      <c r="S708" s="26">
        <f>IF($A708="","",AND(OR('Assignment Builder'!$B$5="",$B708='Assignment Builder'!$B$5),OR('Assignment Builder'!$B$6="",ISNUMBER(SEARCH('Assignment Builder'!$B$6,$C708))),OR('Assignment Builder'!$B$7="",'Assignment Builder'!$B$7=IFERROR(INDEX('Category Dictionary'!$C$5:$C$135,MATCH($L708,'Category Dictionary'!$D$5:$D$135,0)),"")),OR('Assignment Builder'!$B$8="",$D708='Assignment Builder'!$B$8),OR('Assignment Builder'!$B$9="",$F708='Assignment Builder'!$B$9),OR('Assignment Builder'!$B$10="",$O708='Assignment Builder'!$B$10),OR('Assignment Builder'!$B$11="",$H708&gt;='Assignment Builder'!$B$11),OR('Assignment Builder'!$B$12="",N($Q708)&lt;='Assignment Builder'!$B$12)))</f>
        <v/>
      </c>
      <c r="T708" s="23" t="n"/>
    </row>
    <row r="709">
      <c r="A709" s="23" t="n"/>
      <c r="B709" s="23" t="n"/>
      <c r="C709" s="24" t="n"/>
      <c r="D709" s="15" t="n"/>
      <c r="E709" s="23" t="n"/>
      <c r="F709" s="15" t="n"/>
      <c r="G709" s="23" t="n"/>
      <c r="H709" s="25" t="n"/>
      <c r="I709" s="15" t="n"/>
      <c r="J709" s="26">
        <f>IF($A709="","",LEN($C709)-LEN(SUBSTITUTE($C709,",",""))+1)</f>
        <v/>
      </c>
      <c r="K709" s="26">
        <f>IF($A709="","",SUMPRODUCT(--ISNUMBER(SEARCH('Category Dictionary'!$D$5:$D$135&amp;"",$C709)),--('Category Dictionary'!$D$5:$D$135&lt;&gt;"")))</f>
        <v/>
      </c>
      <c r="L709" s="27">
        <f>IF($A709="","",TRIM(IF(ISERROR(FIND(",",$C709)),$C709,LEFT($C709,FIND(",",$C709)-1))))</f>
        <v/>
      </c>
      <c r="M709" s="28">
        <f>IF($H709="","",DATE(YEAR($H709),MONTH($H709),1))</f>
        <v/>
      </c>
      <c r="N709" s="26">
        <f>IF($H709="","",TODAY()-$H709)</f>
        <v/>
      </c>
      <c r="O709" s="15" t="n"/>
      <c r="P709" s="15" t="n"/>
      <c r="Q709" s="15" t="n"/>
      <c r="R709" s="25" t="n"/>
      <c r="S709" s="26">
        <f>IF($A709="","",AND(OR('Assignment Builder'!$B$5="",$B709='Assignment Builder'!$B$5),OR('Assignment Builder'!$B$6="",ISNUMBER(SEARCH('Assignment Builder'!$B$6,$C709))),OR('Assignment Builder'!$B$7="",'Assignment Builder'!$B$7=IFERROR(INDEX('Category Dictionary'!$C$5:$C$135,MATCH($L709,'Category Dictionary'!$D$5:$D$135,0)),"")),OR('Assignment Builder'!$B$8="",$D709='Assignment Builder'!$B$8),OR('Assignment Builder'!$B$9="",$F709='Assignment Builder'!$B$9),OR('Assignment Builder'!$B$10="",$O709='Assignment Builder'!$B$10),OR('Assignment Builder'!$B$11="",$H709&gt;='Assignment Builder'!$B$11),OR('Assignment Builder'!$B$12="",N($Q709)&lt;='Assignment Builder'!$B$12)))</f>
        <v/>
      </c>
      <c r="T709" s="23" t="n"/>
    </row>
    <row r="710">
      <c r="A710" s="23" t="n"/>
      <c r="B710" s="23" t="n"/>
      <c r="C710" s="24" t="n"/>
      <c r="D710" s="15" t="n"/>
      <c r="E710" s="23" t="n"/>
      <c r="F710" s="15" t="n"/>
      <c r="G710" s="23" t="n"/>
      <c r="H710" s="25" t="n"/>
      <c r="I710" s="15" t="n"/>
      <c r="J710" s="26">
        <f>IF($A710="","",LEN($C710)-LEN(SUBSTITUTE($C710,",",""))+1)</f>
        <v/>
      </c>
      <c r="K710" s="26">
        <f>IF($A710="","",SUMPRODUCT(--ISNUMBER(SEARCH('Category Dictionary'!$D$5:$D$135&amp;"",$C710)),--('Category Dictionary'!$D$5:$D$135&lt;&gt;"")))</f>
        <v/>
      </c>
      <c r="L710" s="27">
        <f>IF($A710="","",TRIM(IF(ISERROR(FIND(",",$C710)),$C710,LEFT($C710,FIND(",",$C710)-1))))</f>
        <v/>
      </c>
      <c r="M710" s="28">
        <f>IF($H710="","",DATE(YEAR($H710),MONTH($H710),1))</f>
        <v/>
      </c>
      <c r="N710" s="26">
        <f>IF($H710="","",TODAY()-$H710)</f>
        <v/>
      </c>
      <c r="O710" s="15" t="n"/>
      <c r="P710" s="15" t="n"/>
      <c r="Q710" s="15" t="n"/>
      <c r="R710" s="25" t="n"/>
      <c r="S710" s="26">
        <f>IF($A710="","",AND(OR('Assignment Builder'!$B$5="",$B710='Assignment Builder'!$B$5),OR('Assignment Builder'!$B$6="",ISNUMBER(SEARCH('Assignment Builder'!$B$6,$C710))),OR('Assignment Builder'!$B$7="",'Assignment Builder'!$B$7=IFERROR(INDEX('Category Dictionary'!$C$5:$C$135,MATCH($L710,'Category Dictionary'!$D$5:$D$135,0)),"")),OR('Assignment Builder'!$B$8="",$D710='Assignment Builder'!$B$8),OR('Assignment Builder'!$B$9="",$F710='Assignment Builder'!$B$9),OR('Assignment Builder'!$B$10="",$O710='Assignment Builder'!$B$10),OR('Assignment Builder'!$B$11="",$H710&gt;='Assignment Builder'!$B$11),OR('Assignment Builder'!$B$12="",N($Q710)&lt;='Assignment Builder'!$B$12)))</f>
        <v/>
      </c>
      <c r="T710" s="23" t="n"/>
    </row>
    <row r="711">
      <c r="A711" s="23" t="n"/>
      <c r="B711" s="23" t="n"/>
      <c r="C711" s="24" t="n"/>
      <c r="D711" s="15" t="n"/>
      <c r="E711" s="23" t="n"/>
      <c r="F711" s="15" t="n"/>
      <c r="G711" s="23" t="n"/>
      <c r="H711" s="25" t="n"/>
      <c r="I711" s="15" t="n"/>
      <c r="J711" s="26">
        <f>IF($A711="","",LEN($C711)-LEN(SUBSTITUTE($C711,",",""))+1)</f>
        <v/>
      </c>
      <c r="K711" s="26">
        <f>IF($A711="","",SUMPRODUCT(--ISNUMBER(SEARCH('Category Dictionary'!$D$5:$D$135&amp;"",$C711)),--('Category Dictionary'!$D$5:$D$135&lt;&gt;"")))</f>
        <v/>
      </c>
      <c r="L711" s="27">
        <f>IF($A711="","",TRIM(IF(ISERROR(FIND(",",$C711)),$C711,LEFT($C711,FIND(",",$C711)-1))))</f>
        <v/>
      </c>
      <c r="M711" s="28">
        <f>IF($H711="","",DATE(YEAR($H711),MONTH($H711),1))</f>
        <v/>
      </c>
      <c r="N711" s="26">
        <f>IF($H711="","",TODAY()-$H711)</f>
        <v/>
      </c>
      <c r="O711" s="15" t="n"/>
      <c r="P711" s="15" t="n"/>
      <c r="Q711" s="15" t="n"/>
      <c r="R711" s="25" t="n"/>
      <c r="S711" s="26">
        <f>IF($A711="","",AND(OR('Assignment Builder'!$B$5="",$B711='Assignment Builder'!$B$5),OR('Assignment Builder'!$B$6="",ISNUMBER(SEARCH('Assignment Builder'!$B$6,$C711))),OR('Assignment Builder'!$B$7="",'Assignment Builder'!$B$7=IFERROR(INDEX('Category Dictionary'!$C$5:$C$135,MATCH($L711,'Category Dictionary'!$D$5:$D$135,0)),"")),OR('Assignment Builder'!$B$8="",$D711='Assignment Builder'!$B$8),OR('Assignment Builder'!$B$9="",$F711='Assignment Builder'!$B$9),OR('Assignment Builder'!$B$10="",$O711='Assignment Builder'!$B$10),OR('Assignment Builder'!$B$11="",$H711&gt;='Assignment Builder'!$B$11),OR('Assignment Builder'!$B$12="",N($Q711)&lt;='Assignment Builder'!$B$12)))</f>
        <v/>
      </c>
      <c r="T711" s="23" t="n"/>
    </row>
    <row r="712">
      <c r="A712" s="23" t="n"/>
      <c r="B712" s="23" t="n"/>
      <c r="C712" s="24" t="n"/>
      <c r="D712" s="15" t="n"/>
      <c r="E712" s="23" t="n"/>
      <c r="F712" s="15" t="n"/>
      <c r="G712" s="23" t="n"/>
      <c r="H712" s="25" t="n"/>
      <c r="I712" s="15" t="n"/>
      <c r="J712" s="26">
        <f>IF($A712="","",LEN($C712)-LEN(SUBSTITUTE($C712,",",""))+1)</f>
        <v/>
      </c>
      <c r="K712" s="26">
        <f>IF($A712="","",SUMPRODUCT(--ISNUMBER(SEARCH('Category Dictionary'!$D$5:$D$135&amp;"",$C712)),--('Category Dictionary'!$D$5:$D$135&lt;&gt;"")))</f>
        <v/>
      </c>
      <c r="L712" s="27">
        <f>IF($A712="","",TRIM(IF(ISERROR(FIND(",",$C712)),$C712,LEFT($C712,FIND(",",$C712)-1))))</f>
        <v/>
      </c>
      <c r="M712" s="28">
        <f>IF($H712="","",DATE(YEAR($H712),MONTH($H712),1))</f>
        <v/>
      </c>
      <c r="N712" s="26">
        <f>IF($H712="","",TODAY()-$H712)</f>
        <v/>
      </c>
      <c r="O712" s="15" t="n"/>
      <c r="P712" s="15" t="n"/>
      <c r="Q712" s="15" t="n"/>
      <c r="R712" s="25" t="n"/>
      <c r="S712" s="26">
        <f>IF($A712="","",AND(OR('Assignment Builder'!$B$5="",$B712='Assignment Builder'!$B$5),OR('Assignment Builder'!$B$6="",ISNUMBER(SEARCH('Assignment Builder'!$B$6,$C712))),OR('Assignment Builder'!$B$7="",'Assignment Builder'!$B$7=IFERROR(INDEX('Category Dictionary'!$C$5:$C$135,MATCH($L712,'Category Dictionary'!$D$5:$D$135,0)),"")),OR('Assignment Builder'!$B$8="",$D712='Assignment Builder'!$B$8),OR('Assignment Builder'!$B$9="",$F712='Assignment Builder'!$B$9),OR('Assignment Builder'!$B$10="",$O712='Assignment Builder'!$B$10),OR('Assignment Builder'!$B$11="",$H712&gt;='Assignment Builder'!$B$11),OR('Assignment Builder'!$B$12="",N($Q712)&lt;='Assignment Builder'!$B$12)))</f>
        <v/>
      </c>
      <c r="T712" s="23" t="n"/>
    </row>
    <row r="713">
      <c r="A713" s="23" t="n"/>
      <c r="B713" s="23" t="n"/>
      <c r="C713" s="24" t="n"/>
      <c r="D713" s="15" t="n"/>
      <c r="E713" s="23" t="n"/>
      <c r="F713" s="15" t="n"/>
      <c r="G713" s="23" t="n"/>
      <c r="H713" s="25" t="n"/>
      <c r="I713" s="15" t="n"/>
      <c r="J713" s="26">
        <f>IF($A713="","",LEN($C713)-LEN(SUBSTITUTE($C713,",",""))+1)</f>
        <v/>
      </c>
      <c r="K713" s="26">
        <f>IF($A713="","",SUMPRODUCT(--ISNUMBER(SEARCH('Category Dictionary'!$D$5:$D$135&amp;"",$C713)),--('Category Dictionary'!$D$5:$D$135&lt;&gt;"")))</f>
        <v/>
      </c>
      <c r="L713" s="27">
        <f>IF($A713="","",TRIM(IF(ISERROR(FIND(",",$C713)),$C713,LEFT($C713,FIND(",",$C713)-1))))</f>
        <v/>
      </c>
      <c r="M713" s="28">
        <f>IF($H713="","",DATE(YEAR($H713),MONTH($H713),1))</f>
        <v/>
      </c>
      <c r="N713" s="26">
        <f>IF($H713="","",TODAY()-$H713)</f>
        <v/>
      </c>
      <c r="O713" s="15" t="n"/>
      <c r="P713" s="15" t="n"/>
      <c r="Q713" s="15" t="n"/>
      <c r="R713" s="25" t="n"/>
      <c r="S713" s="26">
        <f>IF($A713="","",AND(OR('Assignment Builder'!$B$5="",$B713='Assignment Builder'!$B$5),OR('Assignment Builder'!$B$6="",ISNUMBER(SEARCH('Assignment Builder'!$B$6,$C713))),OR('Assignment Builder'!$B$7="",'Assignment Builder'!$B$7=IFERROR(INDEX('Category Dictionary'!$C$5:$C$135,MATCH($L713,'Category Dictionary'!$D$5:$D$135,0)),"")),OR('Assignment Builder'!$B$8="",$D713='Assignment Builder'!$B$8),OR('Assignment Builder'!$B$9="",$F713='Assignment Builder'!$B$9),OR('Assignment Builder'!$B$10="",$O713='Assignment Builder'!$B$10),OR('Assignment Builder'!$B$11="",$H713&gt;='Assignment Builder'!$B$11),OR('Assignment Builder'!$B$12="",N($Q713)&lt;='Assignment Builder'!$B$12)))</f>
        <v/>
      </c>
      <c r="T713" s="23" t="n"/>
    </row>
    <row r="714">
      <c r="A714" s="23" t="n"/>
      <c r="B714" s="23" t="n"/>
      <c r="C714" s="24" t="n"/>
      <c r="D714" s="15" t="n"/>
      <c r="E714" s="23" t="n"/>
      <c r="F714" s="15" t="n"/>
      <c r="G714" s="23" t="n"/>
      <c r="H714" s="25" t="n"/>
      <c r="I714" s="15" t="n"/>
      <c r="J714" s="26">
        <f>IF($A714="","",LEN($C714)-LEN(SUBSTITUTE($C714,",",""))+1)</f>
        <v/>
      </c>
      <c r="K714" s="26">
        <f>IF($A714="","",SUMPRODUCT(--ISNUMBER(SEARCH('Category Dictionary'!$D$5:$D$135&amp;"",$C714)),--('Category Dictionary'!$D$5:$D$135&lt;&gt;"")))</f>
        <v/>
      </c>
      <c r="L714" s="27">
        <f>IF($A714="","",TRIM(IF(ISERROR(FIND(",",$C714)),$C714,LEFT($C714,FIND(",",$C714)-1))))</f>
        <v/>
      </c>
      <c r="M714" s="28">
        <f>IF($H714="","",DATE(YEAR($H714),MONTH($H714),1))</f>
        <v/>
      </c>
      <c r="N714" s="26">
        <f>IF($H714="","",TODAY()-$H714)</f>
        <v/>
      </c>
      <c r="O714" s="15" t="n"/>
      <c r="P714" s="15" t="n"/>
      <c r="Q714" s="15" t="n"/>
      <c r="R714" s="25" t="n"/>
      <c r="S714" s="26">
        <f>IF($A714="","",AND(OR('Assignment Builder'!$B$5="",$B714='Assignment Builder'!$B$5),OR('Assignment Builder'!$B$6="",ISNUMBER(SEARCH('Assignment Builder'!$B$6,$C714))),OR('Assignment Builder'!$B$7="",'Assignment Builder'!$B$7=IFERROR(INDEX('Category Dictionary'!$C$5:$C$135,MATCH($L714,'Category Dictionary'!$D$5:$D$135,0)),"")),OR('Assignment Builder'!$B$8="",$D714='Assignment Builder'!$B$8),OR('Assignment Builder'!$B$9="",$F714='Assignment Builder'!$B$9),OR('Assignment Builder'!$B$10="",$O714='Assignment Builder'!$B$10),OR('Assignment Builder'!$B$11="",$H714&gt;='Assignment Builder'!$B$11),OR('Assignment Builder'!$B$12="",N($Q714)&lt;='Assignment Builder'!$B$12)))</f>
        <v/>
      </c>
      <c r="T714" s="23" t="n"/>
    </row>
    <row r="715">
      <c r="A715" s="23" t="n"/>
      <c r="B715" s="23" t="n"/>
      <c r="C715" s="24" t="n"/>
      <c r="D715" s="15" t="n"/>
      <c r="E715" s="23" t="n"/>
      <c r="F715" s="15" t="n"/>
      <c r="G715" s="23" t="n"/>
      <c r="H715" s="25" t="n"/>
      <c r="I715" s="15" t="n"/>
      <c r="J715" s="26">
        <f>IF($A715="","",LEN($C715)-LEN(SUBSTITUTE($C715,",",""))+1)</f>
        <v/>
      </c>
      <c r="K715" s="26">
        <f>IF($A715="","",SUMPRODUCT(--ISNUMBER(SEARCH('Category Dictionary'!$D$5:$D$135&amp;"",$C715)),--('Category Dictionary'!$D$5:$D$135&lt;&gt;"")))</f>
        <v/>
      </c>
      <c r="L715" s="27">
        <f>IF($A715="","",TRIM(IF(ISERROR(FIND(",",$C715)),$C715,LEFT($C715,FIND(",",$C715)-1))))</f>
        <v/>
      </c>
      <c r="M715" s="28">
        <f>IF($H715="","",DATE(YEAR($H715),MONTH($H715),1))</f>
        <v/>
      </c>
      <c r="N715" s="26">
        <f>IF($H715="","",TODAY()-$H715)</f>
        <v/>
      </c>
      <c r="O715" s="15" t="n"/>
      <c r="P715" s="15" t="n"/>
      <c r="Q715" s="15" t="n"/>
      <c r="R715" s="25" t="n"/>
      <c r="S715" s="26">
        <f>IF($A715="","",AND(OR('Assignment Builder'!$B$5="",$B715='Assignment Builder'!$B$5),OR('Assignment Builder'!$B$6="",ISNUMBER(SEARCH('Assignment Builder'!$B$6,$C715))),OR('Assignment Builder'!$B$7="",'Assignment Builder'!$B$7=IFERROR(INDEX('Category Dictionary'!$C$5:$C$135,MATCH($L715,'Category Dictionary'!$D$5:$D$135,0)),"")),OR('Assignment Builder'!$B$8="",$D715='Assignment Builder'!$B$8),OR('Assignment Builder'!$B$9="",$F715='Assignment Builder'!$B$9),OR('Assignment Builder'!$B$10="",$O715='Assignment Builder'!$B$10),OR('Assignment Builder'!$B$11="",$H715&gt;='Assignment Builder'!$B$11),OR('Assignment Builder'!$B$12="",N($Q715)&lt;='Assignment Builder'!$B$12)))</f>
        <v/>
      </c>
      <c r="T715" s="23" t="n"/>
    </row>
    <row r="716">
      <c r="A716" s="23" t="n"/>
      <c r="B716" s="23" t="n"/>
      <c r="C716" s="24" t="n"/>
      <c r="D716" s="15" t="n"/>
      <c r="E716" s="23" t="n"/>
      <c r="F716" s="15" t="n"/>
      <c r="G716" s="23" t="n"/>
      <c r="H716" s="25" t="n"/>
      <c r="I716" s="15" t="n"/>
      <c r="J716" s="26">
        <f>IF($A716="","",LEN($C716)-LEN(SUBSTITUTE($C716,",",""))+1)</f>
        <v/>
      </c>
      <c r="K716" s="26">
        <f>IF($A716="","",SUMPRODUCT(--ISNUMBER(SEARCH('Category Dictionary'!$D$5:$D$135&amp;"",$C716)),--('Category Dictionary'!$D$5:$D$135&lt;&gt;"")))</f>
        <v/>
      </c>
      <c r="L716" s="27">
        <f>IF($A716="","",TRIM(IF(ISERROR(FIND(",",$C716)),$C716,LEFT($C716,FIND(",",$C716)-1))))</f>
        <v/>
      </c>
      <c r="M716" s="28">
        <f>IF($H716="","",DATE(YEAR($H716),MONTH($H716),1))</f>
        <v/>
      </c>
      <c r="N716" s="26">
        <f>IF($H716="","",TODAY()-$H716)</f>
        <v/>
      </c>
      <c r="O716" s="15" t="n"/>
      <c r="P716" s="15" t="n"/>
      <c r="Q716" s="15" t="n"/>
      <c r="R716" s="25" t="n"/>
      <c r="S716" s="26">
        <f>IF($A716="","",AND(OR('Assignment Builder'!$B$5="",$B716='Assignment Builder'!$B$5),OR('Assignment Builder'!$B$6="",ISNUMBER(SEARCH('Assignment Builder'!$B$6,$C716))),OR('Assignment Builder'!$B$7="",'Assignment Builder'!$B$7=IFERROR(INDEX('Category Dictionary'!$C$5:$C$135,MATCH($L716,'Category Dictionary'!$D$5:$D$135,0)),"")),OR('Assignment Builder'!$B$8="",$D716='Assignment Builder'!$B$8),OR('Assignment Builder'!$B$9="",$F716='Assignment Builder'!$B$9),OR('Assignment Builder'!$B$10="",$O716='Assignment Builder'!$B$10),OR('Assignment Builder'!$B$11="",$H716&gt;='Assignment Builder'!$B$11),OR('Assignment Builder'!$B$12="",N($Q716)&lt;='Assignment Builder'!$B$12)))</f>
        <v/>
      </c>
      <c r="T716" s="23" t="n"/>
    </row>
    <row r="717">
      <c r="A717" s="23" t="n"/>
      <c r="B717" s="23" t="n"/>
      <c r="C717" s="24" t="n"/>
      <c r="D717" s="15" t="n"/>
      <c r="E717" s="23" t="n"/>
      <c r="F717" s="15" t="n"/>
      <c r="G717" s="23" t="n"/>
      <c r="H717" s="25" t="n"/>
      <c r="I717" s="15" t="n"/>
      <c r="J717" s="26">
        <f>IF($A717="","",LEN($C717)-LEN(SUBSTITUTE($C717,",",""))+1)</f>
        <v/>
      </c>
      <c r="K717" s="26">
        <f>IF($A717="","",SUMPRODUCT(--ISNUMBER(SEARCH('Category Dictionary'!$D$5:$D$135&amp;"",$C717)),--('Category Dictionary'!$D$5:$D$135&lt;&gt;"")))</f>
        <v/>
      </c>
      <c r="L717" s="27">
        <f>IF($A717="","",TRIM(IF(ISERROR(FIND(",",$C717)),$C717,LEFT($C717,FIND(",",$C717)-1))))</f>
        <v/>
      </c>
      <c r="M717" s="28">
        <f>IF($H717="","",DATE(YEAR($H717),MONTH($H717),1))</f>
        <v/>
      </c>
      <c r="N717" s="26">
        <f>IF($H717="","",TODAY()-$H717)</f>
        <v/>
      </c>
      <c r="O717" s="15" t="n"/>
      <c r="P717" s="15" t="n"/>
      <c r="Q717" s="15" t="n"/>
      <c r="R717" s="25" t="n"/>
      <c r="S717" s="26">
        <f>IF($A717="","",AND(OR('Assignment Builder'!$B$5="",$B717='Assignment Builder'!$B$5),OR('Assignment Builder'!$B$6="",ISNUMBER(SEARCH('Assignment Builder'!$B$6,$C717))),OR('Assignment Builder'!$B$7="",'Assignment Builder'!$B$7=IFERROR(INDEX('Category Dictionary'!$C$5:$C$135,MATCH($L717,'Category Dictionary'!$D$5:$D$135,0)),"")),OR('Assignment Builder'!$B$8="",$D717='Assignment Builder'!$B$8),OR('Assignment Builder'!$B$9="",$F717='Assignment Builder'!$B$9),OR('Assignment Builder'!$B$10="",$O717='Assignment Builder'!$B$10),OR('Assignment Builder'!$B$11="",$H717&gt;='Assignment Builder'!$B$11),OR('Assignment Builder'!$B$12="",N($Q717)&lt;='Assignment Builder'!$B$12)))</f>
        <v/>
      </c>
      <c r="T717" s="23" t="n"/>
    </row>
    <row r="718">
      <c r="A718" s="23" t="n"/>
      <c r="B718" s="23" t="n"/>
      <c r="C718" s="24" t="n"/>
      <c r="D718" s="15" t="n"/>
      <c r="E718" s="23" t="n"/>
      <c r="F718" s="15" t="n"/>
      <c r="G718" s="23" t="n"/>
      <c r="H718" s="25" t="n"/>
      <c r="I718" s="15" t="n"/>
      <c r="J718" s="26">
        <f>IF($A718="","",LEN($C718)-LEN(SUBSTITUTE($C718,",",""))+1)</f>
        <v/>
      </c>
      <c r="K718" s="26">
        <f>IF($A718="","",SUMPRODUCT(--ISNUMBER(SEARCH('Category Dictionary'!$D$5:$D$135&amp;"",$C718)),--('Category Dictionary'!$D$5:$D$135&lt;&gt;"")))</f>
        <v/>
      </c>
      <c r="L718" s="27">
        <f>IF($A718="","",TRIM(IF(ISERROR(FIND(",",$C718)),$C718,LEFT($C718,FIND(",",$C718)-1))))</f>
        <v/>
      </c>
      <c r="M718" s="28">
        <f>IF($H718="","",DATE(YEAR($H718),MONTH($H718),1))</f>
        <v/>
      </c>
      <c r="N718" s="26">
        <f>IF($H718="","",TODAY()-$H718)</f>
        <v/>
      </c>
      <c r="O718" s="15" t="n"/>
      <c r="P718" s="15" t="n"/>
      <c r="Q718" s="15" t="n"/>
      <c r="R718" s="25" t="n"/>
      <c r="S718" s="26">
        <f>IF($A718="","",AND(OR('Assignment Builder'!$B$5="",$B718='Assignment Builder'!$B$5),OR('Assignment Builder'!$B$6="",ISNUMBER(SEARCH('Assignment Builder'!$B$6,$C718))),OR('Assignment Builder'!$B$7="",'Assignment Builder'!$B$7=IFERROR(INDEX('Category Dictionary'!$C$5:$C$135,MATCH($L718,'Category Dictionary'!$D$5:$D$135,0)),"")),OR('Assignment Builder'!$B$8="",$D718='Assignment Builder'!$B$8),OR('Assignment Builder'!$B$9="",$F718='Assignment Builder'!$B$9),OR('Assignment Builder'!$B$10="",$O718='Assignment Builder'!$B$10),OR('Assignment Builder'!$B$11="",$H718&gt;='Assignment Builder'!$B$11),OR('Assignment Builder'!$B$12="",N($Q718)&lt;='Assignment Builder'!$B$12)))</f>
        <v/>
      </c>
      <c r="T718" s="23" t="n"/>
    </row>
    <row r="719">
      <c r="A719" s="23" t="n"/>
      <c r="B719" s="23" t="n"/>
      <c r="C719" s="24" t="n"/>
      <c r="D719" s="15" t="n"/>
      <c r="E719" s="23" t="n"/>
      <c r="F719" s="15" t="n"/>
      <c r="G719" s="23" t="n"/>
      <c r="H719" s="25" t="n"/>
      <c r="I719" s="15" t="n"/>
      <c r="J719" s="26">
        <f>IF($A719="","",LEN($C719)-LEN(SUBSTITUTE($C719,",",""))+1)</f>
        <v/>
      </c>
      <c r="K719" s="26">
        <f>IF($A719="","",SUMPRODUCT(--ISNUMBER(SEARCH('Category Dictionary'!$D$5:$D$135&amp;"",$C719)),--('Category Dictionary'!$D$5:$D$135&lt;&gt;"")))</f>
        <v/>
      </c>
      <c r="L719" s="27">
        <f>IF($A719="","",TRIM(IF(ISERROR(FIND(",",$C719)),$C719,LEFT($C719,FIND(",",$C719)-1))))</f>
        <v/>
      </c>
      <c r="M719" s="28">
        <f>IF($H719="","",DATE(YEAR($H719),MONTH($H719),1))</f>
        <v/>
      </c>
      <c r="N719" s="26">
        <f>IF($H719="","",TODAY()-$H719)</f>
        <v/>
      </c>
      <c r="O719" s="15" t="n"/>
      <c r="P719" s="15" t="n"/>
      <c r="Q719" s="15" t="n"/>
      <c r="R719" s="25" t="n"/>
      <c r="S719" s="26">
        <f>IF($A719="","",AND(OR('Assignment Builder'!$B$5="",$B719='Assignment Builder'!$B$5),OR('Assignment Builder'!$B$6="",ISNUMBER(SEARCH('Assignment Builder'!$B$6,$C719))),OR('Assignment Builder'!$B$7="",'Assignment Builder'!$B$7=IFERROR(INDEX('Category Dictionary'!$C$5:$C$135,MATCH($L719,'Category Dictionary'!$D$5:$D$135,0)),"")),OR('Assignment Builder'!$B$8="",$D719='Assignment Builder'!$B$8),OR('Assignment Builder'!$B$9="",$F719='Assignment Builder'!$B$9),OR('Assignment Builder'!$B$10="",$O719='Assignment Builder'!$B$10),OR('Assignment Builder'!$B$11="",$H719&gt;='Assignment Builder'!$B$11),OR('Assignment Builder'!$B$12="",N($Q719)&lt;='Assignment Builder'!$B$12)))</f>
        <v/>
      </c>
      <c r="T719" s="23" t="n"/>
    </row>
    <row r="720">
      <c r="A720" s="23" t="n"/>
      <c r="B720" s="23" t="n"/>
      <c r="C720" s="24" t="n"/>
      <c r="D720" s="15" t="n"/>
      <c r="E720" s="23" t="n"/>
      <c r="F720" s="15" t="n"/>
      <c r="G720" s="23" t="n"/>
      <c r="H720" s="25" t="n"/>
      <c r="I720" s="15" t="n"/>
      <c r="J720" s="26">
        <f>IF($A720="","",LEN($C720)-LEN(SUBSTITUTE($C720,",",""))+1)</f>
        <v/>
      </c>
      <c r="K720" s="26">
        <f>IF($A720="","",SUMPRODUCT(--ISNUMBER(SEARCH('Category Dictionary'!$D$5:$D$135&amp;"",$C720)),--('Category Dictionary'!$D$5:$D$135&lt;&gt;"")))</f>
        <v/>
      </c>
      <c r="L720" s="27">
        <f>IF($A720="","",TRIM(IF(ISERROR(FIND(",",$C720)),$C720,LEFT($C720,FIND(",",$C720)-1))))</f>
        <v/>
      </c>
      <c r="M720" s="28">
        <f>IF($H720="","",DATE(YEAR($H720),MONTH($H720),1))</f>
        <v/>
      </c>
      <c r="N720" s="26">
        <f>IF($H720="","",TODAY()-$H720)</f>
        <v/>
      </c>
      <c r="O720" s="15" t="n"/>
      <c r="P720" s="15" t="n"/>
      <c r="Q720" s="15" t="n"/>
      <c r="R720" s="25" t="n"/>
      <c r="S720" s="26">
        <f>IF($A720="","",AND(OR('Assignment Builder'!$B$5="",$B720='Assignment Builder'!$B$5),OR('Assignment Builder'!$B$6="",ISNUMBER(SEARCH('Assignment Builder'!$B$6,$C720))),OR('Assignment Builder'!$B$7="",'Assignment Builder'!$B$7=IFERROR(INDEX('Category Dictionary'!$C$5:$C$135,MATCH($L720,'Category Dictionary'!$D$5:$D$135,0)),"")),OR('Assignment Builder'!$B$8="",$D720='Assignment Builder'!$B$8),OR('Assignment Builder'!$B$9="",$F720='Assignment Builder'!$B$9),OR('Assignment Builder'!$B$10="",$O720='Assignment Builder'!$B$10),OR('Assignment Builder'!$B$11="",$H720&gt;='Assignment Builder'!$B$11),OR('Assignment Builder'!$B$12="",N($Q720)&lt;='Assignment Builder'!$B$12)))</f>
        <v/>
      </c>
      <c r="T720" s="23" t="n"/>
    </row>
    <row r="721">
      <c r="A721" s="23" t="n"/>
      <c r="B721" s="23" t="n"/>
      <c r="C721" s="24" t="n"/>
      <c r="D721" s="15" t="n"/>
      <c r="E721" s="23" t="n"/>
      <c r="F721" s="15" t="n"/>
      <c r="G721" s="23" t="n"/>
      <c r="H721" s="25" t="n"/>
      <c r="I721" s="15" t="n"/>
      <c r="J721" s="26">
        <f>IF($A721="","",LEN($C721)-LEN(SUBSTITUTE($C721,",",""))+1)</f>
        <v/>
      </c>
      <c r="K721" s="26">
        <f>IF($A721="","",SUMPRODUCT(--ISNUMBER(SEARCH('Category Dictionary'!$D$5:$D$135&amp;"",$C721)),--('Category Dictionary'!$D$5:$D$135&lt;&gt;"")))</f>
        <v/>
      </c>
      <c r="L721" s="27">
        <f>IF($A721="","",TRIM(IF(ISERROR(FIND(",",$C721)),$C721,LEFT($C721,FIND(",",$C721)-1))))</f>
        <v/>
      </c>
      <c r="M721" s="28">
        <f>IF($H721="","",DATE(YEAR($H721),MONTH($H721),1))</f>
        <v/>
      </c>
      <c r="N721" s="26">
        <f>IF($H721="","",TODAY()-$H721)</f>
        <v/>
      </c>
      <c r="O721" s="15" t="n"/>
      <c r="P721" s="15" t="n"/>
      <c r="Q721" s="15" t="n"/>
      <c r="R721" s="25" t="n"/>
      <c r="S721" s="26">
        <f>IF($A721="","",AND(OR('Assignment Builder'!$B$5="",$B721='Assignment Builder'!$B$5),OR('Assignment Builder'!$B$6="",ISNUMBER(SEARCH('Assignment Builder'!$B$6,$C721))),OR('Assignment Builder'!$B$7="",'Assignment Builder'!$B$7=IFERROR(INDEX('Category Dictionary'!$C$5:$C$135,MATCH($L721,'Category Dictionary'!$D$5:$D$135,0)),"")),OR('Assignment Builder'!$B$8="",$D721='Assignment Builder'!$B$8),OR('Assignment Builder'!$B$9="",$F721='Assignment Builder'!$B$9),OR('Assignment Builder'!$B$10="",$O721='Assignment Builder'!$B$10),OR('Assignment Builder'!$B$11="",$H721&gt;='Assignment Builder'!$B$11),OR('Assignment Builder'!$B$12="",N($Q721)&lt;='Assignment Builder'!$B$12)))</f>
        <v/>
      </c>
      <c r="T721" s="23" t="n"/>
    </row>
    <row r="722">
      <c r="A722" s="23" t="n"/>
      <c r="B722" s="23" t="n"/>
      <c r="C722" s="24" t="n"/>
      <c r="D722" s="15" t="n"/>
      <c r="E722" s="23" t="n"/>
      <c r="F722" s="15" t="n"/>
      <c r="G722" s="23" t="n"/>
      <c r="H722" s="25" t="n"/>
      <c r="I722" s="15" t="n"/>
      <c r="J722" s="26">
        <f>IF($A722="","",LEN($C722)-LEN(SUBSTITUTE($C722,",",""))+1)</f>
        <v/>
      </c>
      <c r="K722" s="26">
        <f>IF($A722="","",SUMPRODUCT(--ISNUMBER(SEARCH('Category Dictionary'!$D$5:$D$135&amp;"",$C722)),--('Category Dictionary'!$D$5:$D$135&lt;&gt;"")))</f>
        <v/>
      </c>
      <c r="L722" s="27">
        <f>IF($A722="","",TRIM(IF(ISERROR(FIND(",",$C722)),$C722,LEFT($C722,FIND(",",$C722)-1))))</f>
        <v/>
      </c>
      <c r="M722" s="28">
        <f>IF($H722="","",DATE(YEAR($H722),MONTH($H722),1))</f>
        <v/>
      </c>
      <c r="N722" s="26">
        <f>IF($H722="","",TODAY()-$H722)</f>
        <v/>
      </c>
      <c r="O722" s="15" t="n"/>
      <c r="P722" s="15" t="n"/>
      <c r="Q722" s="15" t="n"/>
      <c r="R722" s="25" t="n"/>
      <c r="S722" s="26">
        <f>IF($A722="","",AND(OR('Assignment Builder'!$B$5="",$B722='Assignment Builder'!$B$5),OR('Assignment Builder'!$B$6="",ISNUMBER(SEARCH('Assignment Builder'!$B$6,$C722))),OR('Assignment Builder'!$B$7="",'Assignment Builder'!$B$7=IFERROR(INDEX('Category Dictionary'!$C$5:$C$135,MATCH($L722,'Category Dictionary'!$D$5:$D$135,0)),"")),OR('Assignment Builder'!$B$8="",$D722='Assignment Builder'!$B$8),OR('Assignment Builder'!$B$9="",$F722='Assignment Builder'!$B$9),OR('Assignment Builder'!$B$10="",$O722='Assignment Builder'!$B$10),OR('Assignment Builder'!$B$11="",$H722&gt;='Assignment Builder'!$B$11),OR('Assignment Builder'!$B$12="",N($Q722)&lt;='Assignment Builder'!$B$12)))</f>
        <v/>
      </c>
      <c r="T722" s="23" t="n"/>
    </row>
    <row r="723">
      <c r="A723" s="23" t="n"/>
      <c r="B723" s="23" t="n"/>
      <c r="C723" s="24" t="n"/>
      <c r="D723" s="15" t="n"/>
      <c r="E723" s="23" t="n"/>
      <c r="F723" s="15" t="n"/>
      <c r="G723" s="23" t="n"/>
      <c r="H723" s="25" t="n"/>
      <c r="I723" s="15" t="n"/>
      <c r="J723" s="26">
        <f>IF($A723="","",LEN($C723)-LEN(SUBSTITUTE($C723,",",""))+1)</f>
        <v/>
      </c>
      <c r="K723" s="26">
        <f>IF($A723="","",SUMPRODUCT(--ISNUMBER(SEARCH('Category Dictionary'!$D$5:$D$135&amp;"",$C723)),--('Category Dictionary'!$D$5:$D$135&lt;&gt;"")))</f>
        <v/>
      </c>
      <c r="L723" s="27">
        <f>IF($A723="","",TRIM(IF(ISERROR(FIND(",",$C723)),$C723,LEFT($C723,FIND(",",$C723)-1))))</f>
        <v/>
      </c>
      <c r="M723" s="28">
        <f>IF($H723="","",DATE(YEAR($H723),MONTH($H723),1))</f>
        <v/>
      </c>
      <c r="N723" s="26">
        <f>IF($H723="","",TODAY()-$H723)</f>
        <v/>
      </c>
      <c r="O723" s="15" t="n"/>
      <c r="P723" s="15" t="n"/>
      <c r="Q723" s="15" t="n"/>
      <c r="R723" s="25" t="n"/>
      <c r="S723" s="26">
        <f>IF($A723="","",AND(OR('Assignment Builder'!$B$5="",$B723='Assignment Builder'!$B$5),OR('Assignment Builder'!$B$6="",ISNUMBER(SEARCH('Assignment Builder'!$B$6,$C723))),OR('Assignment Builder'!$B$7="",'Assignment Builder'!$B$7=IFERROR(INDEX('Category Dictionary'!$C$5:$C$135,MATCH($L723,'Category Dictionary'!$D$5:$D$135,0)),"")),OR('Assignment Builder'!$B$8="",$D723='Assignment Builder'!$B$8),OR('Assignment Builder'!$B$9="",$F723='Assignment Builder'!$B$9),OR('Assignment Builder'!$B$10="",$O723='Assignment Builder'!$B$10),OR('Assignment Builder'!$B$11="",$H723&gt;='Assignment Builder'!$B$11),OR('Assignment Builder'!$B$12="",N($Q723)&lt;='Assignment Builder'!$B$12)))</f>
        <v/>
      </c>
      <c r="T723" s="23" t="n"/>
    </row>
    <row r="724">
      <c r="A724" s="23" t="n"/>
      <c r="B724" s="23" t="n"/>
      <c r="C724" s="24" t="n"/>
      <c r="D724" s="15" t="n"/>
      <c r="E724" s="23" t="n"/>
      <c r="F724" s="15" t="n"/>
      <c r="G724" s="23" t="n"/>
      <c r="H724" s="25" t="n"/>
      <c r="I724" s="15" t="n"/>
      <c r="J724" s="26">
        <f>IF($A724="","",LEN($C724)-LEN(SUBSTITUTE($C724,",",""))+1)</f>
        <v/>
      </c>
      <c r="K724" s="26">
        <f>IF($A724="","",SUMPRODUCT(--ISNUMBER(SEARCH('Category Dictionary'!$D$5:$D$135&amp;"",$C724)),--('Category Dictionary'!$D$5:$D$135&lt;&gt;"")))</f>
        <v/>
      </c>
      <c r="L724" s="27">
        <f>IF($A724="","",TRIM(IF(ISERROR(FIND(",",$C724)),$C724,LEFT($C724,FIND(",",$C724)-1))))</f>
        <v/>
      </c>
      <c r="M724" s="28">
        <f>IF($H724="","",DATE(YEAR($H724),MONTH($H724),1))</f>
        <v/>
      </c>
      <c r="N724" s="26">
        <f>IF($H724="","",TODAY()-$H724)</f>
        <v/>
      </c>
      <c r="O724" s="15" t="n"/>
      <c r="P724" s="15" t="n"/>
      <c r="Q724" s="15" t="n"/>
      <c r="R724" s="25" t="n"/>
      <c r="S724" s="26">
        <f>IF($A724="","",AND(OR('Assignment Builder'!$B$5="",$B724='Assignment Builder'!$B$5),OR('Assignment Builder'!$B$6="",ISNUMBER(SEARCH('Assignment Builder'!$B$6,$C724))),OR('Assignment Builder'!$B$7="",'Assignment Builder'!$B$7=IFERROR(INDEX('Category Dictionary'!$C$5:$C$135,MATCH($L724,'Category Dictionary'!$D$5:$D$135,0)),"")),OR('Assignment Builder'!$B$8="",$D724='Assignment Builder'!$B$8),OR('Assignment Builder'!$B$9="",$F724='Assignment Builder'!$B$9),OR('Assignment Builder'!$B$10="",$O724='Assignment Builder'!$B$10),OR('Assignment Builder'!$B$11="",$H724&gt;='Assignment Builder'!$B$11),OR('Assignment Builder'!$B$12="",N($Q724)&lt;='Assignment Builder'!$B$12)))</f>
        <v/>
      </c>
      <c r="T724" s="23" t="n"/>
    </row>
    <row r="725">
      <c r="A725" s="23" t="n"/>
      <c r="B725" s="23" t="n"/>
      <c r="C725" s="24" t="n"/>
      <c r="D725" s="15" t="n"/>
      <c r="E725" s="23" t="n"/>
      <c r="F725" s="15" t="n"/>
      <c r="G725" s="23" t="n"/>
      <c r="H725" s="25" t="n"/>
      <c r="I725" s="15" t="n"/>
      <c r="J725" s="26">
        <f>IF($A725="","",LEN($C725)-LEN(SUBSTITUTE($C725,",",""))+1)</f>
        <v/>
      </c>
      <c r="K725" s="26">
        <f>IF($A725="","",SUMPRODUCT(--ISNUMBER(SEARCH('Category Dictionary'!$D$5:$D$135&amp;"",$C725)),--('Category Dictionary'!$D$5:$D$135&lt;&gt;"")))</f>
        <v/>
      </c>
      <c r="L725" s="27">
        <f>IF($A725="","",TRIM(IF(ISERROR(FIND(",",$C725)),$C725,LEFT($C725,FIND(",",$C725)-1))))</f>
        <v/>
      </c>
      <c r="M725" s="28">
        <f>IF($H725="","",DATE(YEAR($H725),MONTH($H725),1))</f>
        <v/>
      </c>
      <c r="N725" s="26">
        <f>IF($H725="","",TODAY()-$H725)</f>
        <v/>
      </c>
      <c r="O725" s="15" t="n"/>
      <c r="P725" s="15" t="n"/>
      <c r="Q725" s="15" t="n"/>
      <c r="R725" s="25" t="n"/>
      <c r="S725" s="26">
        <f>IF($A725="","",AND(OR('Assignment Builder'!$B$5="",$B725='Assignment Builder'!$B$5),OR('Assignment Builder'!$B$6="",ISNUMBER(SEARCH('Assignment Builder'!$B$6,$C725))),OR('Assignment Builder'!$B$7="",'Assignment Builder'!$B$7=IFERROR(INDEX('Category Dictionary'!$C$5:$C$135,MATCH($L725,'Category Dictionary'!$D$5:$D$135,0)),"")),OR('Assignment Builder'!$B$8="",$D725='Assignment Builder'!$B$8),OR('Assignment Builder'!$B$9="",$F725='Assignment Builder'!$B$9),OR('Assignment Builder'!$B$10="",$O725='Assignment Builder'!$B$10),OR('Assignment Builder'!$B$11="",$H725&gt;='Assignment Builder'!$B$11),OR('Assignment Builder'!$B$12="",N($Q725)&lt;='Assignment Builder'!$B$12)))</f>
        <v/>
      </c>
      <c r="T725" s="23" t="n"/>
    </row>
    <row r="726">
      <c r="A726" s="23" t="n"/>
      <c r="B726" s="23" t="n"/>
      <c r="C726" s="24" t="n"/>
      <c r="D726" s="15" t="n"/>
      <c r="E726" s="23" t="n"/>
      <c r="F726" s="15" t="n"/>
      <c r="G726" s="23" t="n"/>
      <c r="H726" s="25" t="n"/>
      <c r="I726" s="15" t="n"/>
      <c r="J726" s="26">
        <f>IF($A726="","",LEN($C726)-LEN(SUBSTITUTE($C726,",",""))+1)</f>
        <v/>
      </c>
      <c r="K726" s="26">
        <f>IF($A726="","",SUMPRODUCT(--ISNUMBER(SEARCH('Category Dictionary'!$D$5:$D$135&amp;"",$C726)),--('Category Dictionary'!$D$5:$D$135&lt;&gt;"")))</f>
        <v/>
      </c>
      <c r="L726" s="27">
        <f>IF($A726="","",TRIM(IF(ISERROR(FIND(",",$C726)),$C726,LEFT($C726,FIND(",",$C726)-1))))</f>
        <v/>
      </c>
      <c r="M726" s="28">
        <f>IF($H726="","",DATE(YEAR($H726),MONTH($H726),1))</f>
        <v/>
      </c>
      <c r="N726" s="26">
        <f>IF($H726="","",TODAY()-$H726)</f>
        <v/>
      </c>
      <c r="O726" s="15" t="n"/>
      <c r="P726" s="15" t="n"/>
      <c r="Q726" s="15" t="n"/>
      <c r="R726" s="25" t="n"/>
      <c r="S726" s="26">
        <f>IF($A726="","",AND(OR('Assignment Builder'!$B$5="",$B726='Assignment Builder'!$B$5),OR('Assignment Builder'!$B$6="",ISNUMBER(SEARCH('Assignment Builder'!$B$6,$C726))),OR('Assignment Builder'!$B$7="",'Assignment Builder'!$B$7=IFERROR(INDEX('Category Dictionary'!$C$5:$C$135,MATCH($L726,'Category Dictionary'!$D$5:$D$135,0)),"")),OR('Assignment Builder'!$B$8="",$D726='Assignment Builder'!$B$8),OR('Assignment Builder'!$B$9="",$F726='Assignment Builder'!$B$9),OR('Assignment Builder'!$B$10="",$O726='Assignment Builder'!$B$10),OR('Assignment Builder'!$B$11="",$H726&gt;='Assignment Builder'!$B$11),OR('Assignment Builder'!$B$12="",N($Q726)&lt;='Assignment Builder'!$B$12)))</f>
        <v/>
      </c>
      <c r="T726" s="23" t="n"/>
    </row>
    <row r="727">
      <c r="A727" s="23" t="n"/>
      <c r="B727" s="23" t="n"/>
      <c r="C727" s="24" t="n"/>
      <c r="D727" s="15" t="n"/>
      <c r="E727" s="23" t="n"/>
      <c r="F727" s="15" t="n"/>
      <c r="G727" s="23" t="n"/>
      <c r="H727" s="25" t="n"/>
      <c r="I727" s="15" t="n"/>
      <c r="J727" s="26">
        <f>IF($A727="","",LEN($C727)-LEN(SUBSTITUTE($C727,",",""))+1)</f>
        <v/>
      </c>
      <c r="K727" s="26">
        <f>IF($A727="","",SUMPRODUCT(--ISNUMBER(SEARCH('Category Dictionary'!$D$5:$D$135&amp;"",$C727)),--('Category Dictionary'!$D$5:$D$135&lt;&gt;"")))</f>
        <v/>
      </c>
      <c r="L727" s="27">
        <f>IF($A727="","",TRIM(IF(ISERROR(FIND(",",$C727)),$C727,LEFT($C727,FIND(",",$C727)-1))))</f>
        <v/>
      </c>
      <c r="M727" s="28">
        <f>IF($H727="","",DATE(YEAR($H727),MONTH($H727),1))</f>
        <v/>
      </c>
      <c r="N727" s="26">
        <f>IF($H727="","",TODAY()-$H727)</f>
        <v/>
      </c>
      <c r="O727" s="15" t="n"/>
      <c r="P727" s="15" t="n"/>
      <c r="Q727" s="15" t="n"/>
      <c r="R727" s="25" t="n"/>
      <c r="S727" s="26">
        <f>IF($A727="","",AND(OR('Assignment Builder'!$B$5="",$B727='Assignment Builder'!$B$5),OR('Assignment Builder'!$B$6="",ISNUMBER(SEARCH('Assignment Builder'!$B$6,$C727))),OR('Assignment Builder'!$B$7="",'Assignment Builder'!$B$7=IFERROR(INDEX('Category Dictionary'!$C$5:$C$135,MATCH($L727,'Category Dictionary'!$D$5:$D$135,0)),"")),OR('Assignment Builder'!$B$8="",$D727='Assignment Builder'!$B$8),OR('Assignment Builder'!$B$9="",$F727='Assignment Builder'!$B$9),OR('Assignment Builder'!$B$10="",$O727='Assignment Builder'!$B$10),OR('Assignment Builder'!$B$11="",$H727&gt;='Assignment Builder'!$B$11),OR('Assignment Builder'!$B$12="",N($Q727)&lt;='Assignment Builder'!$B$12)))</f>
        <v/>
      </c>
      <c r="T727" s="23" t="n"/>
    </row>
    <row r="728">
      <c r="A728" s="23" t="n"/>
      <c r="B728" s="23" t="n"/>
      <c r="C728" s="24" t="n"/>
      <c r="D728" s="15" t="n"/>
      <c r="E728" s="23" t="n"/>
      <c r="F728" s="15" t="n"/>
      <c r="G728" s="23" t="n"/>
      <c r="H728" s="25" t="n"/>
      <c r="I728" s="15" t="n"/>
      <c r="J728" s="26">
        <f>IF($A728="","",LEN($C728)-LEN(SUBSTITUTE($C728,",",""))+1)</f>
        <v/>
      </c>
      <c r="K728" s="26">
        <f>IF($A728="","",SUMPRODUCT(--ISNUMBER(SEARCH('Category Dictionary'!$D$5:$D$135&amp;"",$C728)),--('Category Dictionary'!$D$5:$D$135&lt;&gt;"")))</f>
        <v/>
      </c>
      <c r="L728" s="27">
        <f>IF($A728="","",TRIM(IF(ISERROR(FIND(",",$C728)),$C728,LEFT($C728,FIND(",",$C728)-1))))</f>
        <v/>
      </c>
      <c r="M728" s="28">
        <f>IF($H728="","",DATE(YEAR($H728),MONTH($H728),1))</f>
        <v/>
      </c>
      <c r="N728" s="26">
        <f>IF($H728="","",TODAY()-$H728)</f>
        <v/>
      </c>
      <c r="O728" s="15" t="n"/>
      <c r="P728" s="15" t="n"/>
      <c r="Q728" s="15" t="n"/>
      <c r="R728" s="25" t="n"/>
      <c r="S728" s="26">
        <f>IF($A728="","",AND(OR('Assignment Builder'!$B$5="",$B728='Assignment Builder'!$B$5),OR('Assignment Builder'!$B$6="",ISNUMBER(SEARCH('Assignment Builder'!$B$6,$C728))),OR('Assignment Builder'!$B$7="",'Assignment Builder'!$B$7=IFERROR(INDEX('Category Dictionary'!$C$5:$C$135,MATCH($L728,'Category Dictionary'!$D$5:$D$135,0)),"")),OR('Assignment Builder'!$B$8="",$D728='Assignment Builder'!$B$8),OR('Assignment Builder'!$B$9="",$F728='Assignment Builder'!$B$9),OR('Assignment Builder'!$B$10="",$O728='Assignment Builder'!$B$10),OR('Assignment Builder'!$B$11="",$H728&gt;='Assignment Builder'!$B$11),OR('Assignment Builder'!$B$12="",N($Q728)&lt;='Assignment Builder'!$B$12)))</f>
        <v/>
      </c>
      <c r="T728" s="23" t="n"/>
    </row>
    <row r="729">
      <c r="A729" s="23" t="n"/>
      <c r="B729" s="23" t="n"/>
      <c r="C729" s="24" t="n"/>
      <c r="D729" s="15" t="n"/>
      <c r="E729" s="23" t="n"/>
      <c r="F729" s="15" t="n"/>
      <c r="G729" s="23" t="n"/>
      <c r="H729" s="25" t="n"/>
      <c r="I729" s="15" t="n"/>
      <c r="J729" s="26">
        <f>IF($A729="","",LEN($C729)-LEN(SUBSTITUTE($C729,",",""))+1)</f>
        <v/>
      </c>
      <c r="K729" s="26">
        <f>IF($A729="","",SUMPRODUCT(--ISNUMBER(SEARCH('Category Dictionary'!$D$5:$D$135&amp;"",$C729)),--('Category Dictionary'!$D$5:$D$135&lt;&gt;"")))</f>
        <v/>
      </c>
      <c r="L729" s="27">
        <f>IF($A729="","",TRIM(IF(ISERROR(FIND(",",$C729)),$C729,LEFT($C729,FIND(",",$C729)-1))))</f>
        <v/>
      </c>
      <c r="M729" s="28">
        <f>IF($H729="","",DATE(YEAR($H729),MONTH($H729),1))</f>
        <v/>
      </c>
      <c r="N729" s="26">
        <f>IF($H729="","",TODAY()-$H729)</f>
        <v/>
      </c>
      <c r="O729" s="15" t="n"/>
      <c r="P729" s="15" t="n"/>
      <c r="Q729" s="15" t="n"/>
      <c r="R729" s="25" t="n"/>
      <c r="S729" s="26">
        <f>IF($A729="","",AND(OR('Assignment Builder'!$B$5="",$B729='Assignment Builder'!$B$5),OR('Assignment Builder'!$B$6="",ISNUMBER(SEARCH('Assignment Builder'!$B$6,$C729))),OR('Assignment Builder'!$B$7="",'Assignment Builder'!$B$7=IFERROR(INDEX('Category Dictionary'!$C$5:$C$135,MATCH($L729,'Category Dictionary'!$D$5:$D$135,0)),"")),OR('Assignment Builder'!$B$8="",$D729='Assignment Builder'!$B$8),OR('Assignment Builder'!$B$9="",$F729='Assignment Builder'!$B$9),OR('Assignment Builder'!$B$10="",$O729='Assignment Builder'!$B$10),OR('Assignment Builder'!$B$11="",$H729&gt;='Assignment Builder'!$B$11),OR('Assignment Builder'!$B$12="",N($Q729)&lt;='Assignment Builder'!$B$12)))</f>
        <v/>
      </c>
      <c r="T729" s="23" t="n"/>
    </row>
    <row r="730">
      <c r="A730" s="23" t="n"/>
      <c r="B730" s="23" t="n"/>
      <c r="C730" s="24" t="n"/>
      <c r="D730" s="15" t="n"/>
      <c r="E730" s="23" t="n"/>
      <c r="F730" s="15" t="n"/>
      <c r="G730" s="23" t="n"/>
      <c r="H730" s="25" t="n"/>
      <c r="I730" s="15" t="n"/>
      <c r="J730" s="26">
        <f>IF($A730="","",LEN($C730)-LEN(SUBSTITUTE($C730,",",""))+1)</f>
        <v/>
      </c>
      <c r="K730" s="26">
        <f>IF($A730="","",SUMPRODUCT(--ISNUMBER(SEARCH('Category Dictionary'!$D$5:$D$135&amp;"",$C730)),--('Category Dictionary'!$D$5:$D$135&lt;&gt;"")))</f>
        <v/>
      </c>
      <c r="L730" s="27">
        <f>IF($A730="","",TRIM(IF(ISERROR(FIND(",",$C730)),$C730,LEFT($C730,FIND(",",$C730)-1))))</f>
        <v/>
      </c>
      <c r="M730" s="28">
        <f>IF($H730="","",DATE(YEAR($H730),MONTH($H730),1))</f>
        <v/>
      </c>
      <c r="N730" s="26">
        <f>IF($H730="","",TODAY()-$H730)</f>
        <v/>
      </c>
      <c r="O730" s="15" t="n"/>
      <c r="P730" s="15" t="n"/>
      <c r="Q730" s="15" t="n"/>
      <c r="R730" s="25" t="n"/>
      <c r="S730" s="26">
        <f>IF($A730="","",AND(OR('Assignment Builder'!$B$5="",$B730='Assignment Builder'!$B$5),OR('Assignment Builder'!$B$6="",ISNUMBER(SEARCH('Assignment Builder'!$B$6,$C730))),OR('Assignment Builder'!$B$7="",'Assignment Builder'!$B$7=IFERROR(INDEX('Category Dictionary'!$C$5:$C$135,MATCH($L730,'Category Dictionary'!$D$5:$D$135,0)),"")),OR('Assignment Builder'!$B$8="",$D730='Assignment Builder'!$B$8),OR('Assignment Builder'!$B$9="",$F730='Assignment Builder'!$B$9),OR('Assignment Builder'!$B$10="",$O730='Assignment Builder'!$B$10),OR('Assignment Builder'!$B$11="",$H730&gt;='Assignment Builder'!$B$11),OR('Assignment Builder'!$B$12="",N($Q730)&lt;='Assignment Builder'!$B$12)))</f>
        <v/>
      </c>
      <c r="T730" s="23" t="n"/>
    </row>
    <row r="731">
      <c r="A731" s="23" t="n"/>
      <c r="B731" s="23" t="n"/>
      <c r="C731" s="24" t="n"/>
      <c r="D731" s="15" t="n"/>
      <c r="E731" s="23" t="n"/>
      <c r="F731" s="15" t="n"/>
      <c r="G731" s="23" t="n"/>
      <c r="H731" s="25" t="n"/>
      <c r="I731" s="15" t="n"/>
      <c r="J731" s="26">
        <f>IF($A731="","",LEN($C731)-LEN(SUBSTITUTE($C731,",",""))+1)</f>
        <v/>
      </c>
      <c r="K731" s="26">
        <f>IF($A731="","",SUMPRODUCT(--ISNUMBER(SEARCH('Category Dictionary'!$D$5:$D$135&amp;"",$C731)),--('Category Dictionary'!$D$5:$D$135&lt;&gt;"")))</f>
        <v/>
      </c>
      <c r="L731" s="27">
        <f>IF($A731="","",TRIM(IF(ISERROR(FIND(",",$C731)),$C731,LEFT($C731,FIND(",",$C731)-1))))</f>
        <v/>
      </c>
      <c r="M731" s="28">
        <f>IF($H731="","",DATE(YEAR($H731),MONTH($H731),1))</f>
        <v/>
      </c>
      <c r="N731" s="26">
        <f>IF($H731="","",TODAY()-$H731)</f>
        <v/>
      </c>
      <c r="O731" s="15" t="n"/>
      <c r="P731" s="15" t="n"/>
      <c r="Q731" s="15" t="n"/>
      <c r="R731" s="25" t="n"/>
      <c r="S731" s="26">
        <f>IF($A731="","",AND(OR('Assignment Builder'!$B$5="",$B731='Assignment Builder'!$B$5),OR('Assignment Builder'!$B$6="",ISNUMBER(SEARCH('Assignment Builder'!$B$6,$C731))),OR('Assignment Builder'!$B$7="",'Assignment Builder'!$B$7=IFERROR(INDEX('Category Dictionary'!$C$5:$C$135,MATCH($L731,'Category Dictionary'!$D$5:$D$135,0)),"")),OR('Assignment Builder'!$B$8="",$D731='Assignment Builder'!$B$8),OR('Assignment Builder'!$B$9="",$F731='Assignment Builder'!$B$9),OR('Assignment Builder'!$B$10="",$O731='Assignment Builder'!$B$10),OR('Assignment Builder'!$B$11="",$H731&gt;='Assignment Builder'!$B$11),OR('Assignment Builder'!$B$12="",N($Q731)&lt;='Assignment Builder'!$B$12)))</f>
        <v/>
      </c>
      <c r="T731" s="23" t="n"/>
    </row>
    <row r="732">
      <c r="A732" s="23" t="n"/>
      <c r="B732" s="23" t="n"/>
      <c r="C732" s="24" t="n"/>
      <c r="D732" s="15" t="n"/>
      <c r="E732" s="23" t="n"/>
      <c r="F732" s="15" t="n"/>
      <c r="G732" s="23" t="n"/>
      <c r="H732" s="25" t="n"/>
      <c r="I732" s="15" t="n"/>
      <c r="J732" s="26">
        <f>IF($A732="","",LEN($C732)-LEN(SUBSTITUTE($C732,",",""))+1)</f>
        <v/>
      </c>
      <c r="K732" s="26">
        <f>IF($A732="","",SUMPRODUCT(--ISNUMBER(SEARCH('Category Dictionary'!$D$5:$D$135&amp;"",$C732)),--('Category Dictionary'!$D$5:$D$135&lt;&gt;"")))</f>
        <v/>
      </c>
      <c r="L732" s="27">
        <f>IF($A732="","",TRIM(IF(ISERROR(FIND(",",$C732)),$C732,LEFT($C732,FIND(",",$C732)-1))))</f>
        <v/>
      </c>
      <c r="M732" s="28">
        <f>IF($H732="","",DATE(YEAR($H732),MONTH($H732),1))</f>
        <v/>
      </c>
      <c r="N732" s="26">
        <f>IF($H732="","",TODAY()-$H732)</f>
        <v/>
      </c>
      <c r="O732" s="15" t="n"/>
      <c r="P732" s="15" t="n"/>
      <c r="Q732" s="15" t="n"/>
      <c r="R732" s="25" t="n"/>
      <c r="S732" s="26">
        <f>IF($A732="","",AND(OR('Assignment Builder'!$B$5="",$B732='Assignment Builder'!$B$5),OR('Assignment Builder'!$B$6="",ISNUMBER(SEARCH('Assignment Builder'!$B$6,$C732))),OR('Assignment Builder'!$B$7="",'Assignment Builder'!$B$7=IFERROR(INDEX('Category Dictionary'!$C$5:$C$135,MATCH($L732,'Category Dictionary'!$D$5:$D$135,0)),"")),OR('Assignment Builder'!$B$8="",$D732='Assignment Builder'!$B$8),OR('Assignment Builder'!$B$9="",$F732='Assignment Builder'!$B$9),OR('Assignment Builder'!$B$10="",$O732='Assignment Builder'!$B$10),OR('Assignment Builder'!$B$11="",$H732&gt;='Assignment Builder'!$B$11),OR('Assignment Builder'!$B$12="",N($Q732)&lt;='Assignment Builder'!$B$12)))</f>
        <v/>
      </c>
      <c r="T732" s="23" t="n"/>
    </row>
    <row r="733">
      <c r="A733" s="23" t="n"/>
      <c r="B733" s="23" t="n"/>
      <c r="C733" s="24" t="n"/>
      <c r="D733" s="15" t="n"/>
      <c r="E733" s="23" t="n"/>
      <c r="F733" s="15" t="n"/>
      <c r="G733" s="23" t="n"/>
      <c r="H733" s="25" t="n"/>
      <c r="I733" s="15" t="n"/>
      <c r="J733" s="26">
        <f>IF($A733="","",LEN($C733)-LEN(SUBSTITUTE($C733,",",""))+1)</f>
        <v/>
      </c>
      <c r="K733" s="26">
        <f>IF($A733="","",SUMPRODUCT(--ISNUMBER(SEARCH('Category Dictionary'!$D$5:$D$135&amp;"",$C733)),--('Category Dictionary'!$D$5:$D$135&lt;&gt;"")))</f>
        <v/>
      </c>
      <c r="L733" s="27">
        <f>IF($A733="","",TRIM(IF(ISERROR(FIND(",",$C733)),$C733,LEFT($C733,FIND(",",$C733)-1))))</f>
        <v/>
      </c>
      <c r="M733" s="28">
        <f>IF($H733="","",DATE(YEAR($H733),MONTH($H733),1))</f>
        <v/>
      </c>
      <c r="N733" s="26">
        <f>IF($H733="","",TODAY()-$H733)</f>
        <v/>
      </c>
      <c r="O733" s="15" t="n"/>
      <c r="P733" s="15" t="n"/>
      <c r="Q733" s="15" t="n"/>
      <c r="R733" s="25" t="n"/>
      <c r="S733" s="26">
        <f>IF($A733="","",AND(OR('Assignment Builder'!$B$5="",$B733='Assignment Builder'!$B$5),OR('Assignment Builder'!$B$6="",ISNUMBER(SEARCH('Assignment Builder'!$B$6,$C733))),OR('Assignment Builder'!$B$7="",'Assignment Builder'!$B$7=IFERROR(INDEX('Category Dictionary'!$C$5:$C$135,MATCH($L733,'Category Dictionary'!$D$5:$D$135,0)),"")),OR('Assignment Builder'!$B$8="",$D733='Assignment Builder'!$B$8),OR('Assignment Builder'!$B$9="",$F733='Assignment Builder'!$B$9),OR('Assignment Builder'!$B$10="",$O733='Assignment Builder'!$B$10),OR('Assignment Builder'!$B$11="",$H733&gt;='Assignment Builder'!$B$11),OR('Assignment Builder'!$B$12="",N($Q733)&lt;='Assignment Builder'!$B$12)))</f>
        <v/>
      </c>
      <c r="T733" s="23" t="n"/>
    </row>
    <row r="734">
      <c r="A734" s="23" t="n"/>
      <c r="B734" s="23" t="n"/>
      <c r="C734" s="24" t="n"/>
      <c r="D734" s="15" t="n"/>
      <c r="E734" s="23" t="n"/>
      <c r="F734" s="15" t="n"/>
      <c r="G734" s="23" t="n"/>
      <c r="H734" s="25" t="n"/>
      <c r="I734" s="15" t="n"/>
      <c r="J734" s="26">
        <f>IF($A734="","",LEN($C734)-LEN(SUBSTITUTE($C734,",",""))+1)</f>
        <v/>
      </c>
      <c r="K734" s="26">
        <f>IF($A734="","",SUMPRODUCT(--ISNUMBER(SEARCH('Category Dictionary'!$D$5:$D$135&amp;"",$C734)),--('Category Dictionary'!$D$5:$D$135&lt;&gt;"")))</f>
        <v/>
      </c>
      <c r="L734" s="27">
        <f>IF($A734="","",TRIM(IF(ISERROR(FIND(",",$C734)),$C734,LEFT($C734,FIND(",",$C734)-1))))</f>
        <v/>
      </c>
      <c r="M734" s="28">
        <f>IF($H734="","",DATE(YEAR($H734),MONTH($H734),1))</f>
        <v/>
      </c>
      <c r="N734" s="26">
        <f>IF($H734="","",TODAY()-$H734)</f>
        <v/>
      </c>
      <c r="O734" s="15" t="n"/>
      <c r="P734" s="15" t="n"/>
      <c r="Q734" s="15" t="n"/>
      <c r="R734" s="25" t="n"/>
      <c r="S734" s="26">
        <f>IF($A734="","",AND(OR('Assignment Builder'!$B$5="",$B734='Assignment Builder'!$B$5),OR('Assignment Builder'!$B$6="",ISNUMBER(SEARCH('Assignment Builder'!$B$6,$C734))),OR('Assignment Builder'!$B$7="",'Assignment Builder'!$B$7=IFERROR(INDEX('Category Dictionary'!$C$5:$C$135,MATCH($L734,'Category Dictionary'!$D$5:$D$135,0)),"")),OR('Assignment Builder'!$B$8="",$D734='Assignment Builder'!$B$8),OR('Assignment Builder'!$B$9="",$F734='Assignment Builder'!$B$9),OR('Assignment Builder'!$B$10="",$O734='Assignment Builder'!$B$10),OR('Assignment Builder'!$B$11="",$H734&gt;='Assignment Builder'!$B$11),OR('Assignment Builder'!$B$12="",N($Q734)&lt;='Assignment Builder'!$B$12)))</f>
        <v/>
      </c>
      <c r="T734" s="23" t="n"/>
    </row>
    <row r="735">
      <c r="A735" s="23" t="n"/>
      <c r="B735" s="23" t="n"/>
      <c r="C735" s="24" t="n"/>
      <c r="D735" s="15" t="n"/>
      <c r="E735" s="23" t="n"/>
      <c r="F735" s="15" t="n"/>
      <c r="G735" s="23" t="n"/>
      <c r="H735" s="25" t="n"/>
      <c r="I735" s="15" t="n"/>
      <c r="J735" s="26">
        <f>IF($A735="","",LEN($C735)-LEN(SUBSTITUTE($C735,",",""))+1)</f>
        <v/>
      </c>
      <c r="K735" s="26">
        <f>IF($A735="","",SUMPRODUCT(--ISNUMBER(SEARCH('Category Dictionary'!$D$5:$D$135&amp;"",$C735)),--('Category Dictionary'!$D$5:$D$135&lt;&gt;"")))</f>
        <v/>
      </c>
      <c r="L735" s="27">
        <f>IF($A735="","",TRIM(IF(ISERROR(FIND(",",$C735)),$C735,LEFT($C735,FIND(",",$C735)-1))))</f>
        <v/>
      </c>
      <c r="M735" s="28">
        <f>IF($H735="","",DATE(YEAR($H735),MONTH($H735),1))</f>
        <v/>
      </c>
      <c r="N735" s="26">
        <f>IF($H735="","",TODAY()-$H735)</f>
        <v/>
      </c>
      <c r="O735" s="15" t="n"/>
      <c r="P735" s="15" t="n"/>
      <c r="Q735" s="15" t="n"/>
      <c r="R735" s="25" t="n"/>
      <c r="S735" s="26">
        <f>IF($A735="","",AND(OR('Assignment Builder'!$B$5="",$B735='Assignment Builder'!$B$5),OR('Assignment Builder'!$B$6="",ISNUMBER(SEARCH('Assignment Builder'!$B$6,$C735))),OR('Assignment Builder'!$B$7="",'Assignment Builder'!$B$7=IFERROR(INDEX('Category Dictionary'!$C$5:$C$135,MATCH($L735,'Category Dictionary'!$D$5:$D$135,0)),"")),OR('Assignment Builder'!$B$8="",$D735='Assignment Builder'!$B$8),OR('Assignment Builder'!$B$9="",$F735='Assignment Builder'!$B$9),OR('Assignment Builder'!$B$10="",$O735='Assignment Builder'!$B$10),OR('Assignment Builder'!$B$11="",$H735&gt;='Assignment Builder'!$B$11),OR('Assignment Builder'!$B$12="",N($Q735)&lt;='Assignment Builder'!$B$12)))</f>
        <v/>
      </c>
      <c r="T735" s="23" t="n"/>
    </row>
    <row r="736">
      <c r="A736" s="23" t="n"/>
      <c r="B736" s="23" t="n"/>
      <c r="C736" s="24" t="n"/>
      <c r="D736" s="15" t="n"/>
      <c r="E736" s="23" t="n"/>
      <c r="F736" s="15" t="n"/>
      <c r="G736" s="23" t="n"/>
      <c r="H736" s="25" t="n"/>
      <c r="I736" s="15" t="n"/>
      <c r="J736" s="26">
        <f>IF($A736="","",LEN($C736)-LEN(SUBSTITUTE($C736,",",""))+1)</f>
        <v/>
      </c>
      <c r="K736" s="26">
        <f>IF($A736="","",SUMPRODUCT(--ISNUMBER(SEARCH('Category Dictionary'!$D$5:$D$135&amp;"",$C736)),--('Category Dictionary'!$D$5:$D$135&lt;&gt;"")))</f>
        <v/>
      </c>
      <c r="L736" s="27">
        <f>IF($A736="","",TRIM(IF(ISERROR(FIND(",",$C736)),$C736,LEFT($C736,FIND(",",$C736)-1))))</f>
        <v/>
      </c>
      <c r="M736" s="28">
        <f>IF($H736="","",DATE(YEAR($H736),MONTH($H736),1))</f>
        <v/>
      </c>
      <c r="N736" s="26">
        <f>IF($H736="","",TODAY()-$H736)</f>
        <v/>
      </c>
      <c r="O736" s="15" t="n"/>
      <c r="P736" s="15" t="n"/>
      <c r="Q736" s="15" t="n"/>
      <c r="R736" s="25" t="n"/>
      <c r="S736" s="26">
        <f>IF($A736="","",AND(OR('Assignment Builder'!$B$5="",$B736='Assignment Builder'!$B$5),OR('Assignment Builder'!$B$6="",ISNUMBER(SEARCH('Assignment Builder'!$B$6,$C736))),OR('Assignment Builder'!$B$7="",'Assignment Builder'!$B$7=IFERROR(INDEX('Category Dictionary'!$C$5:$C$135,MATCH($L736,'Category Dictionary'!$D$5:$D$135,0)),"")),OR('Assignment Builder'!$B$8="",$D736='Assignment Builder'!$B$8),OR('Assignment Builder'!$B$9="",$F736='Assignment Builder'!$B$9),OR('Assignment Builder'!$B$10="",$O736='Assignment Builder'!$B$10),OR('Assignment Builder'!$B$11="",$H736&gt;='Assignment Builder'!$B$11),OR('Assignment Builder'!$B$12="",N($Q736)&lt;='Assignment Builder'!$B$12)))</f>
        <v/>
      </c>
      <c r="T736" s="23" t="n"/>
    </row>
    <row r="737">
      <c r="A737" s="23" t="n"/>
      <c r="B737" s="23" t="n"/>
      <c r="C737" s="24" t="n"/>
      <c r="D737" s="15" t="n"/>
      <c r="E737" s="23" t="n"/>
      <c r="F737" s="15" t="n"/>
      <c r="G737" s="23" t="n"/>
      <c r="H737" s="25" t="n"/>
      <c r="I737" s="15" t="n"/>
      <c r="J737" s="26">
        <f>IF($A737="","",LEN($C737)-LEN(SUBSTITUTE($C737,",",""))+1)</f>
        <v/>
      </c>
      <c r="K737" s="26">
        <f>IF($A737="","",SUMPRODUCT(--ISNUMBER(SEARCH('Category Dictionary'!$D$5:$D$135&amp;"",$C737)),--('Category Dictionary'!$D$5:$D$135&lt;&gt;"")))</f>
        <v/>
      </c>
      <c r="L737" s="27">
        <f>IF($A737="","",TRIM(IF(ISERROR(FIND(",",$C737)),$C737,LEFT($C737,FIND(",",$C737)-1))))</f>
        <v/>
      </c>
      <c r="M737" s="28">
        <f>IF($H737="","",DATE(YEAR($H737),MONTH($H737),1))</f>
        <v/>
      </c>
      <c r="N737" s="26">
        <f>IF($H737="","",TODAY()-$H737)</f>
        <v/>
      </c>
      <c r="O737" s="15" t="n"/>
      <c r="P737" s="15" t="n"/>
      <c r="Q737" s="15" t="n"/>
      <c r="R737" s="25" t="n"/>
      <c r="S737" s="26">
        <f>IF($A737="","",AND(OR('Assignment Builder'!$B$5="",$B737='Assignment Builder'!$B$5),OR('Assignment Builder'!$B$6="",ISNUMBER(SEARCH('Assignment Builder'!$B$6,$C737))),OR('Assignment Builder'!$B$7="",'Assignment Builder'!$B$7=IFERROR(INDEX('Category Dictionary'!$C$5:$C$135,MATCH($L737,'Category Dictionary'!$D$5:$D$135,0)),"")),OR('Assignment Builder'!$B$8="",$D737='Assignment Builder'!$B$8),OR('Assignment Builder'!$B$9="",$F737='Assignment Builder'!$B$9),OR('Assignment Builder'!$B$10="",$O737='Assignment Builder'!$B$10),OR('Assignment Builder'!$B$11="",$H737&gt;='Assignment Builder'!$B$11),OR('Assignment Builder'!$B$12="",N($Q737)&lt;='Assignment Builder'!$B$12)))</f>
        <v/>
      </c>
      <c r="T737" s="23" t="n"/>
    </row>
    <row r="738">
      <c r="A738" s="23" t="n"/>
      <c r="B738" s="23" t="n"/>
      <c r="C738" s="24" t="n"/>
      <c r="D738" s="15" t="n"/>
      <c r="E738" s="23" t="n"/>
      <c r="F738" s="15" t="n"/>
      <c r="G738" s="23" t="n"/>
      <c r="H738" s="25" t="n"/>
      <c r="I738" s="15" t="n"/>
      <c r="J738" s="26">
        <f>IF($A738="","",LEN($C738)-LEN(SUBSTITUTE($C738,",",""))+1)</f>
        <v/>
      </c>
      <c r="K738" s="26">
        <f>IF($A738="","",SUMPRODUCT(--ISNUMBER(SEARCH('Category Dictionary'!$D$5:$D$135&amp;"",$C738)),--('Category Dictionary'!$D$5:$D$135&lt;&gt;"")))</f>
        <v/>
      </c>
      <c r="L738" s="27">
        <f>IF($A738="","",TRIM(IF(ISERROR(FIND(",",$C738)),$C738,LEFT($C738,FIND(",",$C738)-1))))</f>
        <v/>
      </c>
      <c r="M738" s="28">
        <f>IF($H738="","",DATE(YEAR($H738),MONTH($H738),1))</f>
        <v/>
      </c>
      <c r="N738" s="26">
        <f>IF($H738="","",TODAY()-$H738)</f>
        <v/>
      </c>
      <c r="O738" s="15" t="n"/>
      <c r="P738" s="15" t="n"/>
      <c r="Q738" s="15" t="n"/>
      <c r="R738" s="25" t="n"/>
      <c r="S738" s="26">
        <f>IF($A738="","",AND(OR('Assignment Builder'!$B$5="",$B738='Assignment Builder'!$B$5),OR('Assignment Builder'!$B$6="",ISNUMBER(SEARCH('Assignment Builder'!$B$6,$C738))),OR('Assignment Builder'!$B$7="",'Assignment Builder'!$B$7=IFERROR(INDEX('Category Dictionary'!$C$5:$C$135,MATCH($L738,'Category Dictionary'!$D$5:$D$135,0)),"")),OR('Assignment Builder'!$B$8="",$D738='Assignment Builder'!$B$8),OR('Assignment Builder'!$B$9="",$F738='Assignment Builder'!$B$9),OR('Assignment Builder'!$B$10="",$O738='Assignment Builder'!$B$10),OR('Assignment Builder'!$B$11="",$H738&gt;='Assignment Builder'!$B$11),OR('Assignment Builder'!$B$12="",N($Q738)&lt;='Assignment Builder'!$B$12)))</f>
        <v/>
      </c>
      <c r="T738" s="23" t="n"/>
    </row>
    <row r="739">
      <c r="A739" s="23" t="n"/>
      <c r="B739" s="23" t="n"/>
      <c r="C739" s="24" t="n"/>
      <c r="D739" s="15" t="n"/>
      <c r="E739" s="23" t="n"/>
      <c r="F739" s="15" t="n"/>
      <c r="G739" s="23" t="n"/>
      <c r="H739" s="25" t="n"/>
      <c r="I739" s="15" t="n"/>
      <c r="J739" s="26">
        <f>IF($A739="","",LEN($C739)-LEN(SUBSTITUTE($C739,",",""))+1)</f>
        <v/>
      </c>
      <c r="K739" s="26">
        <f>IF($A739="","",SUMPRODUCT(--ISNUMBER(SEARCH('Category Dictionary'!$D$5:$D$135&amp;"",$C739)),--('Category Dictionary'!$D$5:$D$135&lt;&gt;"")))</f>
        <v/>
      </c>
      <c r="L739" s="27">
        <f>IF($A739="","",TRIM(IF(ISERROR(FIND(",",$C739)),$C739,LEFT($C739,FIND(",",$C739)-1))))</f>
        <v/>
      </c>
      <c r="M739" s="28">
        <f>IF($H739="","",DATE(YEAR($H739),MONTH($H739),1))</f>
        <v/>
      </c>
      <c r="N739" s="26">
        <f>IF($H739="","",TODAY()-$H739)</f>
        <v/>
      </c>
      <c r="O739" s="15" t="n"/>
      <c r="P739" s="15" t="n"/>
      <c r="Q739" s="15" t="n"/>
      <c r="R739" s="25" t="n"/>
      <c r="S739" s="26">
        <f>IF($A739="","",AND(OR('Assignment Builder'!$B$5="",$B739='Assignment Builder'!$B$5),OR('Assignment Builder'!$B$6="",ISNUMBER(SEARCH('Assignment Builder'!$B$6,$C739))),OR('Assignment Builder'!$B$7="",'Assignment Builder'!$B$7=IFERROR(INDEX('Category Dictionary'!$C$5:$C$135,MATCH($L739,'Category Dictionary'!$D$5:$D$135,0)),"")),OR('Assignment Builder'!$B$8="",$D739='Assignment Builder'!$B$8),OR('Assignment Builder'!$B$9="",$F739='Assignment Builder'!$B$9),OR('Assignment Builder'!$B$10="",$O739='Assignment Builder'!$B$10),OR('Assignment Builder'!$B$11="",$H739&gt;='Assignment Builder'!$B$11),OR('Assignment Builder'!$B$12="",N($Q739)&lt;='Assignment Builder'!$B$12)))</f>
        <v/>
      </c>
      <c r="T739" s="23" t="n"/>
    </row>
    <row r="740">
      <c r="A740" s="23" t="n"/>
      <c r="B740" s="23" t="n"/>
      <c r="C740" s="24" t="n"/>
      <c r="D740" s="15" t="n"/>
      <c r="E740" s="23" t="n"/>
      <c r="F740" s="15" t="n"/>
      <c r="G740" s="23" t="n"/>
      <c r="H740" s="25" t="n"/>
      <c r="I740" s="15" t="n"/>
      <c r="J740" s="26">
        <f>IF($A740="","",LEN($C740)-LEN(SUBSTITUTE($C740,",",""))+1)</f>
        <v/>
      </c>
      <c r="K740" s="26">
        <f>IF($A740="","",SUMPRODUCT(--ISNUMBER(SEARCH('Category Dictionary'!$D$5:$D$135&amp;"",$C740)),--('Category Dictionary'!$D$5:$D$135&lt;&gt;"")))</f>
        <v/>
      </c>
      <c r="L740" s="27">
        <f>IF($A740="","",TRIM(IF(ISERROR(FIND(",",$C740)),$C740,LEFT($C740,FIND(",",$C740)-1))))</f>
        <v/>
      </c>
      <c r="M740" s="28">
        <f>IF($H740="","",DATE(YEAR($H740),MONTH($H740),1))</f>
        <v/>
      </c>
      <c r="N740" s="26">
        <f>IF($H740="","",TODAY()-$H740)</f>
        <v/>
      </c>
      <c r="O740" s="15" t="n"/>
      <c r="P740" s="15" t="n"/>
      <c r="Q740" s="15" t="n"/>
      <c r="R740" s="25" t="n"/>
      <c r="S740" s="26">
        <f>IF($A740="","",AND(OR('Assignment Builder'!$B$5="",$B740='Assignment Builder'!$B$5),OR('Assignment Builder'!$B$6="",ISNUMBER(SEARCH('Assignment Builder'!$B$6,$C740))),OR('Assignment Builder'!$B$7="",'Assignment Builder'!$B$7=IFERROR(INDEX('Category Dictionary'!$C$5:$C$135,MATCH($L740,'Category Dictionary'!$D$5:$D$135,0)),"")),OR('Assignment Builder'!$B$8="",$D740='Assignment Builder'!$B$8),OR('Assignment Builder'!$B$9="",$F740='Assignment Builder'!$B$9),OR('Assignment Builder'!$B$10="",$O740='Assignment Builder'!$B$10),OR('Assignment Builder'!$B$11="",$H740&gt;='Assignment Builder'!$B$11),OR('Assignment Builder'!$B$12="",N($Q740)&lt;='Assignment Builder'!$B$12)))</f>
        <v/>
      </c>
      <c r="T740" s="23" t="n"/>
    </row>
    <row r="741">
      <c r="A741" s="23" t="n"/>
      <c r="B741" s="23" t="n"/>
      <c r="C741" s="24" t="n"/>
      <c r="D741" s="15" t="n"/>
      <c r="E741" s="23" t="n"/>
      <c r="F741" s="15" t="n"/>
      <c r="G741" s="23" t="n"/>
      <c r="H741" s="25" t="n"/>
      <c r="I741" s="15" t="n"/>
      <c r="J741" s="26">
        <f>IF($A741="","",LEN($C741)-LEN(SUBSTITUTE($C741,",",""))+1)</f>
        <v/>
      </c>
      <c r="K741" s="26">
        <f>IF($A741="","",SUMPRODUCT(--ISNUMBER(SEARCH('Category Dictionary'!$D$5:$D$135&amp;"",$C741)),--('Category Dictionary'!$D$5:$D$135&lt;&gt;"")))</f>
        <v/>
      </c>
      <c r="L741" s="27">
        <f>IF($A741="","",TRIM(IF(ISERROR(FIND(",",$C741)),$C741,LEFT($C741,FIND(",",$C741)-1))))</f>
        <v/>
      </c>
      <c r="M741" s="28">
        <f>IF($H741="","",DATE(YEAR($H741),MONTH($H741),1))</f>
        <v/>
      </c>
      <c r="N741" s="26">
        <f>IF($H741="","",TODAY()-$H741)</f>
        <v/>
      </c>
      <c r="O741" s="15" t="n"/>
      <c r="P741" s="15" t="n"/>
      <c r="Q741" s="15" t="n"/>
      <c r="R741" s="25" t="n"/>
      <c r="S741" s="26">
        <f>IF($A741="","",AND(OR('Assignment Builder'!$B$5="",$B741='Assignment Builder'!$B$5),OR('Assignment Builder'!$B$6="",ISNUMBER(SEARCH('Assignment Builder'!$B$6,$C741))),OR('Assignment Builder'!$B$7="",'Assignment Builder'!$B$7=IFERROR(INDEX('Category Dictionary'!$C$5:$C$135,MATCH($L741,'Category Dictionary'!$D$5:$D$135,0)),"")),OR('Assignment Builder'!$B$8="",$D741='Assignment Builder'!$B$8),OR('Assignment Builder'!$B$9="",$F741='Assignment Builder'!$B$9),OR('Assignment Builder'!$B$10="",$O741='Assignment Builder'!$B$10),OR('Assignment Builder'!$B$11="",$H741&gt;='Assignment Builder'!$B$11),OR('Assignment Builder'!$B$12="",N($Q741)&lt;='Assignment Builder'!$B$12)))</f>
        <v/>
      </c>
      <c r="T741" s="23" t="n"/>
    </row>
    <row r="742">
      <c r="A742" s="23" t="n"/>
      <c r="B742" s="23" t="n"/>
      <c r="C742" s="24" t="n"/>
      <c r="D742" s="15" t="n"/>
      <c r="E742" s="23" t="n"/>
      <c r="F742" s="15" t="n"/>
      <c r="G742" s="23" t="n"/>
      <c r="H742" s="25" t="n"/>
      <c r="I742" s="15" t="n"/>
      <c r="J742" s="26">
        <f>IF($A742="","",LEN($C742)-LEN(SUBSTITUTE($C742,",",""))+1)</f>
        <v/>
      </c>
      <c r="K742" s="26">
        <f>IF($A742="","",SUMPRODUCT(--ISNUMBER(SEARCH('Category Dictionary'!$D$5:$D$135&amp;"",$C742)),--('Category Dictionary'!$D$5:$D$135&lt;&gt;"")))</f>
        <v/>
      </c>
      <c r="L742" s="27">
        <f>IF($A742="","",TRIM(IF(ISERROR(FIND(",",$C742)),$C742,LEFT($C742,FIND(",",$C742)-1))))</f>
        <v/>
      </c>
      <c r="M742" s="28">
        <f>IF($H742="","",DATE(YEAR($H742),MONTH($H742),1))</f>
        <v/>
      </c>
      <c r="N742" s="26">
        <f>IF($H742="","",TODAY()-$H742)</f>
        <v/>
      </c>
      <c r="O742" s="15" t="n"/>
      <c r="P742" s="15" t="n"/>
      <c r="Q742" s="15" t="n"/>
      <c r="R742" s="25" t="n"/>
      <c r="S742" s="26">
        <f>IF($A742="","",AND(OR('Assignment Builder'!$B$5="",$B742='Assignment Builder'!$B$5),OR('Assignment Builder'!$B$6="",ISNUMBER(SEARCH('Assignment Builder'!$B$6,$C742))),OR('Assignment Builder'!$B$7="",'Assignment Builder'!$B$7=IFERROR(INDEX('Category Dictionary'!$C$5:$C$135,MATCH($L742,'Category Dictionary'!$D$5:$D$135,0)),"")),OR('Assignment Builder'!$B$8="",$D742='Assignment Builder'!$B$8),OR('Assignment Builder'!$B$9="",$F742='Assignment Builder'!$B$9),OR('Assignment Builder'!$B$10="",$O742='Assignment Builder'!$B$10),OR('Assignment Builder'!$B$11="",$H742&gt;='Assignment Builder'!$B$11),OR('Assignment Builder'!$B$12="",N($Q742)&lt;='Assignment Builder'!$B$12)))</f>
        <v/>
      </c>
      <c r="T742" s="23" t="n"/>
    </row>
    <row r="743">
      <c r="A743" s="23" t="n"/>
      <c r="B743" s="23" t="n"/>
      <c r="C743" s="24" t="n"/>
      <c r="D743" s="15" t="n"/>
      <c r="E743" s="23" t="n"/>
      <c r="F743" s="15" t="n"/>
      <c r="G743" s="23" t="n"/>
      <c r="H743" s="25" t="n"/>
      <c r="I743" s="15" t="n"/>
      <c r="J743" s="26">
        <f>IF($A743="","",LEN($C743)-LEN(SUBSTITUTE($C743,",",""))+1)</f>
        <v/>
      </c>
      <c r="K743" s="26">
        <f>IF($A743="","",SUMPRODUCT(--ISNUMBER(SEARCH('Category Dictionary'!$D$5:$D$135&amp;"",$C743)),--('Category Dictionary'!$D$5:$D$135&lt;&gt;"")))</f>
        <v/>
      </c>
      <c r="L743" s="27">
        <f>IF($A743="","",TRIM(IF(ISERROR(FIND(",",$C743)),$C743,LEFT($C743,FIND(",",$C743)-1))))</f>
        <v/>
      </c>
      <c r="M743" s="28">
        <f>IF($H743="","",DATE(YEAR($H743),MONTH($H743),1))</f>
        <v/>
      </c>
      <c r="N743" s="26">
        <f>IF($H743="","",TODAY()-$H743)</f>
        <v/>
      </c>
      <c r="O743" s="15" t="n"/>
      <c r="P743" s="15" t="n"/>
      <c r="Q743" s="15" t="n"/>
      <c r="R743" s="25" t="n"/>
      <c r="S743" s="26">
        <f>IF($A743="","",AND(OR('Assignment Builder'!$B$5="",$B743='Assignment Builder'!$B$5),OR('Assignment Builder'!$B$6="",ISNUMBER(SEARCH('Assignment Builder'!$B$6,$C743))),OR('Assignment Builder'!$B$7="",'Assignment Builder'!$B$7=IFERROR(INDEX('Category Dictionary'!$C$5:$C$135,MATCH($L743,'Category Dictionary'!$D$5:$D$135,0)),"")),OR('Assignment Builder'!$B$8="",$D743='Assignment Builder'!$B$8),OR('Assignment Builder'!$B$9="",$F743='Assignment Builder'!$B$9),OR('Assignment Builder'!$B$10="",$O743='Assignment Builder'!$B$10),OR('Assignment Builder'!$B$11="",$H743&gt;='Assignment Builder'!$B$11),OR('Assignment Builder'!$B$12="",N($Q743)&lt;='Assignment Builder'!$B$12)))</f>
        <v/>
      </c>
      <c r="T743" s="23" t="n"/>
    </row>
    <row r="744">
      <c r="A744" s="23" t="n"/>
      <c r="B744" s="23" t="n"/>
      <c r="C744" s="24" t="n"/>
      <c r="D744" s="15" t="n"/>
      <c r="E744" s="23" t="n"/>
      <c r="F744" s="15" t="n"/>
      <c r="G744" s="23" t="n"/>
      <c r="H744" s="25" t="n"/>
      <c r="I744" s="15" t="n"/>
      <c r="J744" s="26">
        <f>IF($A744="","",LEN($C744)-LEN(SUBSTITUTE($C744,",",""))+1)</f>
        <v/>
      </c>
      <c r="K744" s="26">
        <f>IF($A744="","",SUMPRODUCT(--ISNUMBER(SEARCH('Category Dictionary'!$D$5:$D$135&amp;"",$C744)),--('Category Dictionary'!$D$5:$D$135&lt;&gt;"")))</f>
        <v/>
      </c>
      <c r="L744" s="27">
        <f>IF($A744="","",TRIM(IF(ISERROR(FIND(",",$C744)),$C744,LEFT($C744,FIND(",",$C744)-1))))</f>
        <v/>
      </c>
      <c r="M744" s="28">
        <f>IF($H744="","",DATE(YEAR($H744),MONTH($H744),1))</f>
        <v/>
      </c>
      <c r="N744" s="26">
        <f>IF($H744="","",TODAY()-$H744)</f>
        <v/>
      </c>
      <c r="O744" s="15" t="n"/>
      <c r="P744" s="15" t="n"/>
      <c r="Q744" s="15" t="n"/>
      <c r="R744" s="25" t="n"/>
      <c r="S744" s="26">
        <f>IF($A744="","",AND(OR('Assignment Builder'!$B$5="",$B744='Assignment Builder'!$B$5),OR('Assignment Builder'!$B$6="",ISNUMBER(SEARCH('Assignment Builder'!$B$6,$C744))),OR('Assignment Builder'!$B$7="",'Assignment Builder'!$B$7=IFERROR(INDEX('Category Dictionary'!$C$5:$C$135,MATCH($L744,'Category Dictionary'!$D$5:$D$135,0)),"")),OR('Assignment Builder'!$B$8="",$D744='Assignment Builder'!$B$8),OR('Assignment Builder'!$B$9="",$F744='Assignment Builder'!$B$9),OR('Assignment Builder'!$B$10="",$O744='Assignment Builder'!$B$10),OR('Assignment Builder'!$B$11="",$H744&gt;='Assignment Builder'!$B$11),OR('Assignment Builder'!$B$12="",N($Q744)&lt;='Assignment Builder'!$B$12)))</f>
        <v/>
      </c>
      <c r="T744" s="23" t="n"/>
    </row>
    <row r="745">
      <c r="A745" s="23" t="n"/>
      <c r="B745" s="23" t="n"/>
      <c r="C745" s="24" t="n"/>
      <c r="D745" s="15" t="n"/>
      <c r="E745" s="23" t="n"/>
      <c r="F745" s="15" t="n"/>
      <c r="G745" s="23" t="n"/>
      <c r="H745" s="25" t="n"/>
      <c r="I745" s="15" t="n"/>
      <c r="J745" s="26">
        <f>IF($A745="","",LEN($C745)-LEN(SUBSTITUTE($C745,",",""))+1)</f>
        <v/>
      </c>
      <c r="K745" s="26">
        <f>IF($A745="","",SUMPRODUCT(--ISNUMBER(SEARCH('Category Dictionary'!$D$5:$D$135&amp;"",$C745)),--('Category Dictionary'!$D$5:$D$135&lt;&gt;"")))</f>
        <v/>
      </c>
      <c r="L745" s="27">
        <f>IF($A745="","",TRIM(IF(ISERROR(FIND(",",$C745)),$C745,LEFT($C745,FIND(",",$C745)-1))))</f>
        <v/>
      </c>
      <c r="M745" s="28">
        <f>IF($H745="","",DATE(YEAR($H745),MONTH($H745),1))</f>
        <v/>
      </c>
      <c r="N745" s="26">
        <f>IF($H745="","",TODAY()-$H745)</f>
        <v/>
      </c>
      <c r="O745" s="15" t="n"/>
      <c r="P745" s="15" t="n"/>
      <c r="Q745" s="15" t="n"/>
      <c r="R745" s="25" t="n"/>
      <c r="S745" s="26">
        <f>IF($A745="","",AND(OR('Assignment Builder'!$B$5="",$B745='Assignment Builder'!$B$5),OR('Assignment Builder'!$B$6="",ISNUMBER(SEARCH('Assignment Builder'!$B$6,$C745))),OR('Assignment Builder'!$B$7="",'Assignment Builder'!$B$7=IFERROR(INDEX('Category Dictionary'!$C$5:$C$135,MATCH($L745,'Category Dictionary'!$D$5:$D$135,0)),"")),OR('Assignment Builder'!$B$8="",$D745='Assignment Builder'!$B$8),OR('Assignment Builder'!$B$9="",$F745='Assignment Builder'!$B$9),OR('Assignment Builder'!$B$10="",$O745='Assignment Builder'!$B$10),OR('Assignment Builder'!$B$11="",$H745&gt;='Assignment Builder'!$B$11),OR('Assignment Builder'!$B$12="",N($Q745)&lt;='Assignment Builder'!$B$12)))</f>
        <v/>
      </c>
      <c r="T745" s="23" t="n"/>
    </row>
    <row r="746">
      <c r="A746" s="23" t="n"/>
      <c r="B746" s="23" t="n"/>
      <c r="C746" s="24" t="n"/>
      <c r="D746" s="15" t="n"/>
      <c r="E746" s="23" t="n"/>
      <c r="F746" s="15" t="n"/>
      <c r="G746" s="23" t="n"/>
      <c r="H746" s="25" t="n"/>
      <c r="I746" s="15" t="n"/>
      <c r="J746" s="26">
        <f>IF($A746="","",LEN($C746)-LEN(SUBSTITUTE($C746,",",""))+1)</f>
        <v/>
      </c>
      <c r="K746" s="26">
        <f>IF($A746="","",SUMPRODUCT(--ISNUMBER(SEARCH('Category Dictionary'!$D$5:$D$135&amp;"",$C746)),--('Category Dictionary'!$D$5:$D$135&lt;&gt;"")))</f>
        <v/>
      </c>
      <c r="L746" s="27">
        <f>IF($A746="","",TRIM(IF(ISERROR(FIND(",",$C746)),$C746,LEFT($C746,FIND(",",$C746)-1))))</f>
        <v/>
      </c>
      <c r="M746" s="28">
        <f>IF($H746="","",DATE(YEAR($H746),MONTH($H746),1))</f>
        <v/>
      </c>
      <c r="N746" s="26">
        <f>IF($H746="","",TODAY()-$H746)</f>
        <v/>
      </c>
      <c r="O746" s="15" t="n"/>
      <c r="P746" s="15" t="n"/>
      <c r="Q746" s="15" t="n"/>
      <c r="R746" s="25" t="n"/>
      <c r="S746" s="26">
        <f>IF($A746="","",AND(OR('Assignment Builder'!$B$5="",$B746='Assignment Builder'!$B$5),OR('Assignment Builder'!$B$6="",ISNUMBER(SEARCH('Assignment Builder'!$B$6,$C746))),OR('Assignment Builder'!$B$7="",'Assignment Builder'!$B$7=IFERROR(INDEX('Category Dictionary'!$C$5:$C$135,MATCH($L746,'Category Dictionary'!$D$5:$D$135,0)),"")),OR('Assignment Builder'!$B$8="",$D746='Assignment Builder'!$B$8),OR('Assignment Builder'!$B$9="",$F746='Assignment Builder'!$B$9),OR('Assignment Builder'!$B$10="",$O746='Assignment Builder'!$B$10),OR('Assignment Builder'!$B$11="",$H746&gt;='Assignment Builder'!$B$11),OR('Assignment Builder'!$B$12="",N($Q746)&lt;='Assignment Builder'!$B$12)))</f>
        <v/>
      </c>
      <c r="T746" s="23" t="n"/>
    </row>
    <row r="747">
      <c r="A747" s="23" t="n"/>
      <c r="B747" s="23" t="n"/>
      <c r="C747" s="24" t="n"/>
      <c r="D747" s="15" t="n"/>
      <c r="E747" s="23" t="n"/>
      <c r="F747" s="15" t="n"/>
      <c r="G747" s="23" t="n"/>
      <c r="H747" s="25" t="n"/>
      <c r="I747" s="15" t="n"/>
      <c r="J747" s="26">
        <f>IF($A747="","",LEN($C747)-LEN(SUBSTITUTE($C747,",",""))+1)</f>
        <v/>
      </c>
      <c r="K747" s="26">
        <f>IF($A747="","",SUMPRODUCT(--ISNUMBER(SEARCH('Category Dictionary'!$D$5:$D$135&amp;"",$C747)),--('Category Dictionary'!$D$5:$D$135&lt;&gt;"")))</f>
        <v/>
      </c>
      <c r="L747" s="27">
        <f>IF($A747="","",TRIM(IF(ISERROR(FIND(",",$C747)),$C747,LEFT($C747,FIND(",",$C747)-1))))</f>
        <v/>
      </c>
      <c r="M747" s="28">
        <f>IF($H747="","",DATE(YEAR($H747),MONTH($H747),1))</f>
        <v/>
      </c>
      <c r="N747" s="26">
        <f>IF($H747="","",TODAY()-$H747)</f>
        <v/>
      </c>
      <c r="O747" s="15" t="n"/>
      <c r="P747" s="15" t="n"/>
      <c r="Q747" s="15" t="n"/>
      <c r="R747" s="25" t="n"/>
      <c r="S747" s="26">
        <f>IF($A747="","",AND(OR('Assignment Builder'!$B$5="",$B747='Assignment Builder'!$B$5),OR('Assignment Builder'!$B$6="",ISNUMBER(SEARCH('Assignment Builder'!$B$6,$C747))),OR('Assignment Builder'!$B$7="",'Assignment Builder'!$B$7=IFERROR(INDEX('Category Dictionary'!$C$5:$C$135,MATCH($L747,'Category Dictionary'!$D$5:$D$135,0)),"")),OR('Assignment Builder'!$B$8="",$D747='Assignment Builder'!$B$8),OR('Assignment Builder'!$B$9="",$F747='Assignment Builder'!$B$9),OR('Assignment Builder'!$B$10="",$O747='Assignment Builder'!$B$10),OR('Assignment Builder'!$B$11="",$H747&gt;='Assignment Builder'!$B$11),OR('Assignment Builder'!$B$12="",N($Q747)&lt;='Assignment Builder'!$B$12)))</f>
        <v/>
      </c>
      <c r="T747" s="23" t="n"/>
    </row>
    <row r="748">
      <c r="A748" s="23" t="n"/>
      <c r="B748" s="23" t="n"/>
      <c r="C748" s="24" t="n"/>
      <c r="D748" s="15" t="n"/>
      <c r="E748" s="23" t="n"/>
      <c r="F748" s="15" t="n"/>
      <c r="G748" s="23" t="n"/>
      <c r="H748" s="25" t="n"/>
      <c r="I748" s="15" t="n"/>
      <c r="J748" s="26">
        <f>IF($A748="","",LEN($C748)-LEN(SUBSTITUTE($C748,",",""))+1)</f>
        <v/>
      </c>
      <c r="K748" s="26">
        <f>IF($A748="","",SUMPRODUCT(--ISNUMBER(SEARCH('Category Dictionary'!$D$5:$D$135&amp;"",$C748)),--('Category Dictionary'!$D$5:$D$135&lt;&gt;"")))</f>
        <v/>
      </c>
      <c r="L748" s="27">
        <f>IF($A748="","",TRIM(IF(ISERROR(FIND(",",$C748)),$C748,LEFT($C748,FIND(",",$C748)-1))))</f>
        <v/>
      </c>
      <c r="M748" s="28">
        <f>IF($H748="","",DATE(YEAR($H748),MONTH($H748),1))</f>
        <v/>
      </c>
      <c r="N748" s="26">
        <f>IF($H748="","",TODAY()-$H748)</f>
        <v/>
      </c>
      <c r="O748" s="15" t="n"/>
      <c r="P748" s="15" t="n"/>
      <c r="Q748" s="15" t="n"/>
      <c r="R748" s="25" t="n"/>
      <c r="S748" s="26">
        <f>IF($A748="","",AND(OR('Assignment Builder'!$B$5="",$B748='Assignment Builder'!$B$5),OR('Assignment Builder'!$B$6="",ISNUMBER(SEARCH('Assignment Builder'!$B$6,$C748))),OR('Assignment Builder'!$B$7="",'Assignment Builder'!$B$7=IFERROR(INDEX('Category Dictionary'!$C$5:$C$135,MATCH($L748,'Category Dictionary'!$D$5:$D$135,0)),"")),OR('Assignment Builder'!$B$8="",$D748='Assignment Builder'!$B$8),OR('Assignment Builder'!$B$9="",$F748='Assignment Builder'!$B$9),OR('Assignment Builder'!$B$10="",$O748='Assignment Builder'!$B$10),OR('Assignment Builder'!$B$11="",$H748&gt;='Assignment Builder'!$B$11),OR('Assignment Builder'!$B$12="",N($Q748)&lt;='Assignment Builder'!$B$12)))</f>
        <v/>
      </c>
      <c r="T748" s="23" t="n"/>
    </row>
    <row r="749">
      <c r="A749" s="23" t="n"/>
      <c r="B749" s="23" t="n"/>
      <c r="C749" s="24" t="n"/>
      <c r="D749" s="15" t="n"/>
      <c r="E749" s="23" t="n"/>
      <c r="F749" s="15" t="n"/>
      <c r="G749" s="23" t="n"/>
      <c r="H749" s="25" t="n"/>
      <c r="I749" s="15" t="n"/>
      <c r="J749" s="26">
        <f>IF($A749="","",LEN($C749)-LEN(SUBSTITUTE($C749,",",""))+1)</f>
        <v/>
      </c>
      <c r="K749" s="26">
        <f>IF($A749="","",SUMPRODUCT(--ISNUMBER(SEARCH('Category Dictionary'!$D$5:$D$135&amp;"",$C749)),--('Category Dictionary'!$D$5:$D$135&lt;&gt;"")))</f>
        <v/>
      </c>
      <c r="L749" s="27">
        <f>IF($A749="","",TRIM(IF(ISERROR(FIND(",",$C749)),$C749,LEFT($C749,FIND(",",$C749)-1))))</f>
        <v/>
      </c>
      <c r="M749" s="28">
        <f>IF($H749="","",DATE(YEAR($H749),MONTH($H749),1))</f>
        <v/>
      </c>
      <c r="N749" s="26">
        <f>IF($H749="","",TODAY()-$H749)</f>
        <v/>
      </c>
      <c r="O749" s="15" t="n"/>
      <c r="P749" s="15" t="n"/>
      <c r="Q749" s="15" t="n"/>
      <c r="R749" s="25" t="n"/>
      <c r="S749" s="26">
        <f>IF($A749="","",AND(OR('Assignment Builder'!$B$5="",$B749='Assignment Builder'!$B$5),OR('Assignment Builder'!$B$6="",ISNUMBER(SEARCH('Assignment Builder'!$B$6,$C749))),OR('Assignment Builder'!$B$7="",'Assignment Builder'!$B$7=IFERROR(INDEX('Category Dictionary'!$C$5:$C$135,MATCH($L749,'Category Dictionary'!$D$5:$D$135,0)),"")),OR('Assignment Builder'!$B$8="",$D749='Assignment Builder'!$B$8),OR('Assignment Builder'!$B$9="",$F749='Assignment Builder'!$B$9),OR('Assignment Builder'!$B$10="",$O749='Assignment Builder'!$B$10),OR('Assignment Builder'!$B$11="",$H749&gt;='Assignment Builder'!$B$11),OR('Assignment Builder'!$B$12="",N($Q749)&lt;='Assignment Builder'!$B$12)))</f>
        <v/>
      </c>
      <c r="T749" s="23" t="n"/>
    </row>
    <row r="750">
      <c r="A750" s="23" t="n"/>
      <c r="B750" s="23" t="n"/>
      <c r="C750" s="24" t="n"/>
      <c r="D750" s="15" t="n"/>
      <c r="E750" s="23" t="n"/>
      <c r="F750" s="15" t="n"/>
      <c r="G750" s="23" t="n"/>
      <c r="H750" s="25" t="n"/>
      <c r="I750" s="15" t="n"/>
      <c r="J750" s="26">
        <f>IF($A750="","",LEN($C750)-LEN(SUBSTITUTE($C750,",",""))+1)</f>
        <v/>
      </c>
      <c r="K750" s="26">
        <f>IF($A750="","",SUMPRODUCT(--ISNUMBER(SEARCH('Category Dictionary'!$D$5:$D$135&amp;"",$C750)),--('Category Dictionary'!$D$5:$D$135&lt;&gt;"")))</f>
        <v/>
      </c>
      <c r="L750" s="27">
        <f>IF($A750="","",TRIM(IF(ISERROR(FIND(",",$C750)),$C750,LEFT($C750,FIND(",",$C750)-1))))</f>
        <v/>
      </c>
      <c r="M750" s="28">
        <f>IF($H750="","",DATE(YEAR($H750),MONTH($H750),1))</f>
        <v/>
      </c>
      <c r="N750" s="26">
        <f>IF($H750="","",TODAY()-$H750)</f>
        <v/>
      </c>
      <c r="O750" s="15" t="n"/>
      <c r="P750" s="15" t="n"/>
      <c r="Q750" s="15" t="n"/>
      <c r="R750" s="25" t="n"/>
      <c r="S750" s="26">
        <f>IF($A750="","",AND(OR('Assignment Builder'!$B$5="",$B750='Assignment Builder'!$B$5),OR('Assignment Builder'!$B$6="",ISNUMBER(SEARCH('Assignment Builder'!$B$6,$C750))),OR('Assignment Builder'!$B$7="",'Assignment Builder'!$B$7=IFERROR(INDEX('Category Dictionary'!$C$5:$C$135,MATCH($L750,'Category Dictionary'!$D$5:$D$135,0)),"")),OR('Assignment Builder'!$B$8="",$D750='Assignment Builder'!$B$8),OR('Assignment Builder'!$B$9="",$F750='Assignment Builder'!$B$9),OR('Assignment Builder'!$B$10="",$O750='Assignment Builder'!$B$10),OR('Assignment Builder'!$B$11="",$H750&gt;='Assignment Builder'!$B$11),OR('Assignment Builder'!$B$12="",N($Q750)&lt;='Assignment Builder'!$B$12)))</f>
        <v/>
      </c>
      <c r="T750" s="23" t="n"/>
    </row>
    <row r="751">
      <c r="A751" s="23" t="n"/>
      <c r="B751" s="23" t="n"/>
      <c r="C751" s="24" t="n"/>
      <c r="D751" s="15" t="n"/>
      <c r="E751" s="23" t="n"/>
      <c r="F751" s="15" t="n"/>
      <c r="G751" s="23" t="n"/>
      <c r="H751" s="25" t="n"/>
      <c r="I751" s="15" t="n"/>
      <c r="J751" s="26">
        <f>IF($A751="","",LEN($C751)-LEN(SUBSTITUTE($C751,",",""))+1)</f>
        <v/>
      </c>
      <c r="K751" s="26">
        <f>IF($A751="","",SUMPRODUCT(--ISNUMBER(SEARCH('Category Dictionary'!$D$5:$D$135&amp;"",$C751)),--('Category Dictionary'!$D$5:$D$135&lt;&gt;"")))</f>
        <v/>
      </c>
      <c r="L751" s="27">
        <f>IF($A751="","",TRIM(IF(ISERROR(FIND(",",$C751)),$C751,LEFT($C751,FIND(",",$C751)-1))))</f>
        <v/>
      </c>
      <c r="M751" s="28">
        <f>IF($H751="","",DATE(YEAR($H751),MONTH($H751),1))</f>
        <v/>
      </c>
      <c r="N751" s="26">
        <f>IF($H751="","",TODAY()-$H751)</f>
        <v/>
      </c>
      <c r="O751" s="15" t="n"/>
      <c r="P751" s="15" t="n"/>
      <c r="Q751" s="15" t="n"/>
      <c r="R751" s="25" t="n"/>
      <c r="S751" s="26">
        <f>IF($A751="","",AND(OR('Assignment Builder'!$B$5="",$B751='Assignment Builder'!$B$5),OR('Assignment Builder'!$B$6="",ISNUMBER(SEARCH('Assignment Builder'!$B$6,$C751))),OR('Assignment Builder'!$B$7="",'Assignment Builder'!$B$7=IFERROR(INDEX('Category Dictionary'!$C$5:$C$135,MATCH($L751,'Category Dictionary'!$D$5:$D$135,0)),"")),OR('Assignment Builder'!$B$8="",$D751='Assignment Builder'!$B$8),OR('Assignment Builder'!$B$9="",$F751='Assignment Builder'!$B$9),OR('Assignment Builder'!$B$10="",$O751='Assignment Builder'!$B$10),OR('Assignment Builder'!$B$11="",$H751&gt;='Assignment Builder'!$B$11),OR('Assignment Builder'!$B$12="",N($Q751)&lt;='Assignment Builder'!$B$12)))</f>
        <v/>
      </c>
      <c r="T751" s="23" t="n"/>
    </row>
    <row r="752">
      <c r="A752" s="23" t="n"/>
      <c r="B752" s="23" t="n"/>
      <c r="C752" s="24" t="n"/>
      <c r="D752" s="15" t="n"/>
      <c r="E752" s="23" t="n"/>
      <c r="F752" s="15" t="n"/>
      <c r="G752" s="23" t="n"/>
      <c r="H752" s="25" t="n"/>
      <c r="I752" s="15" t="n"/>
      <c r="J752" s="26">
        <f>IF($A752="","",LEN($C752)-LEN(SUBSTITUTE($C752,",",""))+1)</f>
        <v/>
      </c>
      <c r="K752" s="26">
        <f>IF($A752="","",SUMPRODUCT(--ISNUMBER(SEARCH('Category Dictionary'!$D$5:$D$135&amp;"",$C752)),--('Category Dictionary'!$D$5:$D$135&lt;&gt;"")))</f>
        <v/>
      </c>
      <c r="L752" s="27">
        <f>IF($A752="","",TRIM(IF(ISERROR(FIND(",",$C752)),$C752,LEFT($C752,FIND(",",$C752)-1))))</f>
        <v/>
      </c>
      <c r="M752" s="28">
        <f>IF($H752="","",DATE(YEAR($H752),MONTH($H752),1))</f>
        <v/>
      </c>
      <c r="N752" s="26">
        <f>IF($H752="","",TODAY()-$H752)</f>
        <v/>
      </c>
      <c r="O752" s="15" t="n"/>
      <c r="P752" s="15" t="n"/>
      <c r="Q752" s="15" t="n"/>
      <c r="R752" s="25" t="n"/>
      <c r="S752" s="26">
        <f>IF($A752="","",AND(OR('Assignment Builder'!$B$5="",$B752='Assignment Builder'!$B$5),OR('Assignment Builder'!$B$6="",ISNUMBER(SEARCH('Assignment Builder'!$B$6,$C752))),OR('Assignment Builder'!$B$7="",'Assignment Builder'!$B$7=IFERROR(INDEX('Category Dictionary'!$C$5:$C$135,MATCH($L752,'Category Dictionary'!$D$5:$D$135,0)),"")),OR('Assignment Builder'!$B$8="",$D752='Assignment Builder'!$B$8),OR('Assignment Builder'!$B$9="",$F752='Assignment Builder'!$B$9),OR('Assignment Builder'!$B$10="",$O752='Assignment Builder'!$B$10),OR('Assignment Builder'!$B$11="",$H752&gt;='Assignment Builder'!$B$11),OR('Assignment Builder'!$B$12="",N($Q752)&lt;='Assignment Builder'!$B$12)))</f>
        <v/>
      </c>
      <c r="T752" s="23" t="n"/>
    </row>
    <row r="753">
      <c r="A753" s="23" t="n"/>
      <c r="B753" s="23" t="n"/>
      <c r="C753" s="24" t="n"/>
      <c r="D753" s="15" t="n"/>
      <c r="E753" s="23" t="n"/>
      <c r="F753" s="15" t="n"/>
      <c r="G753" s="23" t="n"/>
      <c r="H753" s="25" t="n"/>
      <c r="I753" s="15" t="n"/>
      <c r="J753" s="26">
        <f>IF($A753="","",LEN($C753)-LEN(SUBSTITUTE($C753,",",""))+1)</f>
        <v/>
      </c>
      <c r="K753" s="26">
        <f>IF($A753="","",SUMPRODUCT(--ISNUMBER(SEARCH('Category Dictionary'!$D$5:$D$135&amp;"",$C753)),--('Category Dictionary'!$D$5:$D$135&lt;&gt;"")))</f>
        <v/>
      </c>
      <c r="L753" s="27">
        <f>IF($A753="","",TRIM(IF(ISERROR(FIND(",",$C753)),$C753,LEFT($C753,FIND(",",$C753)-1))))</f>
        <v/>
      </c>
      <c r="M753" s="28">
        <f>IF($H753="","",DATE(YEAR($H753),MONTH($H753),1))</f>
        <v/>
      </c>
      <c r="N753" s="26">
        <f>IF($H753="","",TODAY()-$H753)</f>
        <v/>
      </c>
      <c r="O753" s="15" t="n"/>
      <c r="P753" s="15" t="n"/>
      <c r="Q753" s="15" t="n"/>
      <c r="R753" s="25" t="n"/>
      <c r="S753" s="26">
        <f>IF($A753="","",AND(OR('Assignment Builder'!$B$5="",$B753='Assignment Builder'!$B$5),OR('Assignment Builder'!$B$6="",ISNUMBER(SEARCH('Assignment Builder'!$B$6,$C753))),OR('Assignment Builder'!$B$7="",'Assignment Builder'!$B$7=IFERROR(INDEX('Category Dictionary'!$C$5:$C$135,MATCH($L753,'Category Dictionary'!$D$5:$D$135,0)),"")),OR('Assignment Builder'!$B$8="",$D753='Assignment Builder'!$B$8),OR('Assignment Builder'!$B$9="",$F753='Assignment Builder'!$B$9),OR('Assignment Builder'!$B$10="",$O753='Assignment Builder'!$B$10),OR('Assignment Builder'!$B$11="",$H753&gt;='Assignment Builder'!$B$11),OR('Assignment Builder'!$B$12="",N($Q753)&lt;='Assignment Builder'!$B$12)))</f>
        <v/>
      </c>
      <c r="T753" s="23" t="n"/>
    </row>
    <row r="754">
      <c r="A754" s="23" t="n"/>
      <c r="B754" s="23" t="n"/>
      <c r="C754" s="24" t="n"/>
      <c r="D754" s="15" t="n"/>
      <c r="E754" s="23" t="n"/>
      <c r="F754" s="15" t="n"/>
      <c r="G754" s="23" t="n"/>
      <c r="H754" s="25" t="n"/>
      <c r="I754" s="15" t="n"/>
      <c r="J754" s="26">
        <f>IF($A754="","",LEN($C754)-LEN(SUBSTITUTE($C754,",",""))+1)</f>
        <v/>
      </c>
      <c r="K754" s="26">
        <f>IF($A754="","",SUMPRODUCT(--ISNUMBER(SEARCH('Category Dictionary'!$D$5:$D$135&amp;"",$C754)),--('Category Dictionary'!$D$5:$D$135&lt;&gt;"")))</f>
        <v/>
      </c>
      <c r="L754" s="27">
        <f>IF($A754="","",TRIM(IF(ISERROR(FIND(",",$C754)),$C754,LEFT($C754,FIND(",",$C754)-1))))</f>
        <v/>
      </c>
      <c r="M754" s="28">
        <f>IF($H754="","",DATE(YEAR($H754),MONTH($H754),1))</f>
        <v/>
      </c>
      <c r="N754" s="26">
        <f>IF($H754="","",TODAY()-$H754)</f>
        <v/>
      </c>
      <c r="O754" s="15" t="n"/>
      <c r="P754" s="15" t="n"/>
      <c r="Q754" s="15" t="n"/>
      <c r="R754" s="25" t="n"/>
      <c r="S754" s="26">
        <f>IF($A754="","",AND(OR('Assignment Builder'!$B$5="",$B754='Assignment Builder'!$B$5),OR('Assignment Builder'!$B$6="",ISNUMBER(SEARCH('Assignment Builder'!$B$6,$C754))),OR('Assignment Builder'!$B$7="",'Assignment Builder'!$B$7=IFERROR(INDEX('Category Dictionary'!$C$5:$C$135,MATCH($L754,'Category Dictionary'!$D$5:$D$135,0)),"")),OR('Assignment Builder'!$B$8="",$D754='Assignment Builder'!$B$8),OR('Assignment Builder'!$B$9="",$F754='Assignment Builder'!$B$9),OR('Assignment Builder'!$B$10="",$O754='Assignment Builder'!$B$10),OR('Assignment Builder'!$B$11="",$H754&gt;='Assignment Builder'!$B$11),OR('Assignment Builder'!$B$12="",N($Q754)&lt;='Assignment Builder'!$B$12)))</f>
        <v/>
      </c>
      <c r="T754" s="23" t="n"/>
    </row>
    <row r="755">
      <c r="A755" s="23" t="n"/>
      <c r="B755" s="23" t="n"/>
      <c r="C755" s="24" t="n"/>
      <c r="D755" s="15" t="n"/>
      <c r="E755" s="23" t="n"/>
      <c r="F755" s="15" t="n"/>
      <c r="G755" s="23" t="n"/>
      <c r="H755" s="25" t="n"/>
      <c r="I755" s="15" t="n"/>
      <c r="J755" s="26">
        <f>IF($A755="","",LEN($C755)-LEN(SUBSTITUTE($C755,",",""))+1)</f>
        <v/>
      </c>
      <c r="K755" s="26">
        <f>IF($A755="","",SUMPRODUCT(--ISNUMBER(SEARCH('Category Dictionary'!$D$5:$D$135&amp;"",$C755)),--('Category Dictionary'!$D$5:$D$135&lt;&gt;"")))</f>
        <v/>
      </c>
      <c r="L755" s="27">
        <f>IF($A755="","",TRIM(IF(ISERROR(FIND(",",$C755)),$C755,LEFT($C755,FIND(",",$C755)-1))))</f>
        <v/>
      </c>
      <c r="M755" s="28">
        <f>IF($H755="","",DATE(YEAR($H755),MONTH($H755),1))</f>
        <v/>
      </c>
      <c r="N755" s="26">
        <f>IF($H755="","",TODAY()-$H755)</f>
        <v/>
      </c>
      <c r="O755" s="15" t="n"/>
      <c r="P755" s="15" t="n"/>
      <c r="Q755" s="15" t="n"/>
      <c r="R755" s="25" t="n"/>
      <c r="S755" s="26">
        <f>IF($A755="","",AND(OR('Assignment Builder'!$B$5="",$B755='Assignment Builder'!$B$5),OR('Assignment Builder'!$B$6="",ISNUMBER(SEARCH('Assignment Builder'!$B$6,$C755))),OR('Assignment Builder'!$B$7="",'Assignment Builder'!$B$7=IFERROR(INDEX('Category Dictionary'!$C$5:$C$135,MATCH($L755,'Category Dictionary'!$D$5:$D$135,0)),"")),OR('Assignment Builder'!$B$8="",$D755='Assignment Builder'!$B$8),OR('Assignment Builder'!$B$9="",$F755='Assignment Builder'!$B$9),OR('Assignment Builder'!$B$10="",$O755='Assignment Builder'!$B$10),OR('Assignment Builder'!$B$11="",$H755&gt;='Assignment Builder'!$B$11),OR('Assignment Builder'!$B$12="",N($Q755)&lt;='Assignment Builder'!$B$12)))</f>
        <v/>
      </c>
      <c r="T755" s="23" t="n"/>
    </row>
    <row r="756">
      <c r="A756" s="23" t="n"/>
      <c r="B756" s="23" t="n"/>
      <c r="C756" s="24" t="n"/>
      <c r="D756" s="15" t="n"/>
      <c r="E756" s="23" t="n"/>
      <c r="F756" s="15" t="n"/>
      <c r="G756" s="23" t="n"/>
      <c r="H756" s="25" t="n"/>
      <c r="I756" s="15" t="n"/>
      <c r="J756" s="26">
        <f>IF($A756="","",LEN($C756)-LEN(SUBSTITUTE($C756,",",""))+1)</f>
        <v/>
      </c>
      <c r="K756" s="26">
        <f>IF($A756="","",SUMPRODUCT(--ISNUMBER(SEARCH('Category Dictionary'!$D$5:$D$135&amp;"",$C756)),--('Category Dictionary'!$D$5:$D$135&lt;&gt;"")))</f>
        <v/>
      </c>
      <c r="L756" s="27">
        <f>IF($A756="","",TRIM(IF(ISERROR(FIND(",",$C756)),$C756,LEFT($C756,FIND(",",$C756)-1))))</f>
        <v/>
      </c>
      <c r="M756" s="28">
        <f>IF($H756="","",DATE(YEAR($H756),MONTH($H756),1))</f>
        <v/>
      </c>
      <c r="N756" s="26">
        <f>IF($H756="","",TODAY()-$H756)</f>
        <v/>
      </c>
      <c r="O756" s="15" t="n"/>
      <c r="P756" s="15" t="n"/>
      <c r="Q756" s="15" t="n"/>
      <c r="R756" s="25" t="n"/>
      <c r="S756" s="26">
        <f>IF($A756="","",AND(OR('Assignment Builder'!$B$5="",$B756='Assignment Builder'!$B$5),OR('Assignment Builder'!$B$6="",ISNUMBER(SEARCH('Assignment Builder'!$B$6,$C756))),OR('Assignment Builder'!$B$7="",'Assignment Builder'!$B$7=IFERROR(INDEX('Category Dictionary'!$C$5:$C$135,MATCH($L756,'Category Dictionary'!$D$5:$D$135,0)),"")),OR('Assignment Builder'!$B$8="",$D756='Assignment Builder'!$B$8),OR('Assignment Builder'!$B$9="",$F756='Assignment Builder'!$B$9),OR('Assignment Builder'!$B$10="",$O756='Assignment Builder'!$B$10),OR('Assignment Builder'!$B$11="",$H756&gt;='Assignment Builder'!$B$11),OR('Assignment Builder'!$B$12="",N($Q756)&lt;='Assignment Builder'!$B$12)))</f>
        <v/>
      </c>
      <c r="T756" s="23" t="n"/>
    </row>
    <row r="757">
      <c r="A757" s="23" t="n"/>
      <c r="B757" s="23" t="n"/>
      <c r="C757" s="24" t="n"/>
      <c r="D757" s="15" t="n"/>
      <c r="E757" s="23" t="n"/>
      <c r="F757" s="15" t="n"/>
      <c r="G757" s="23" t="n"/>
      <c r="H757" s="25" t="n"/>
      <c r="I757" s="15" t="n"/>
      <c r="J757" s="26">
        <f>IF($A757="","",LEN($C757)-LEN(SUBSTITUTE($C757,",",""))+1)</f>
        <v/>
      </c>
      <c r="K757" s="26">
        <f>IF($A757="","",SUMPRODUCT(--ISNUMBER(SEARCH('Category Dictionary'!$D$5:$D$135&amp;"",$C757)),--('Category Dictionary'!$D$5:$D$135&lt;&gt;"")))</f>
        <v/>
      </c>
      <c r="L757" s="27">
        <f>IF($A757="","",TRIM(IF(ISERROR(FIND(",",$C757)),$C757,LEFT($C757,FIND(",",$C757)-1))))</f>
        <v/>
      </c>
      <c r="M757" s="28">
        <f>IF($H757="","",DATE(YEAR($H757),MONTH($H757),1))</f>
        <v/>
      </c>
      <c r="N757" s="26">
        <f>IF($H757="","",TODAY()-$H757)</f>
        <v/>
      </c>
      <c r="O757" s="15" t="n"/>
      <c r="P757" s="15" t="n"/>
      <c r="Q757" s="15" t="n"/>
      <c r="R757" s="25" t="n"/>
      <c r="S757" s="26">
        <f>IF($A757="","",AND(OR('Assignment Builder'!$B$5="",$B757='Assignment Builder'!$B$5),OR('Assignment Builder'!$B$6="",ISNUMBER(SEARCH('Assignment Builder'!$B$6,$C757))),OR('Assignment Builder'!$B$7="",'Assignment Builder'!$B$7=IFERROR(INDEX('Category Dictionary'!$C$5:$C$135,MATCH($L757,'Category Dictionary'!$D$5:$D$135,0)),"")),OR('Assignment Builder'!$B$8="",$D757='Assignment Builder'!$B$8),OR('Assignment Builder'!$B$9="",$F757='Assignment Builder'!$B$9),OR('Assignment Builder'!$B$10="",$O757='Assignment Builder'!$B$10),OR('Assignment Builder'!$B$11="",$H757&gt;='Assignment Builder'!$B$11),OR('Assignment Builder'!$B$12="",N($Q757)&lt;='Assignment Builder'!$B$12)))</f>
        <v/>
      </c>
      <c r="T757" s="23" t="n"/>
    </row>
    <row r="758">
      <c r="A758" s="23" t="n"/>
      <c r="B758" s="23" t="n"/>
      <c r="C758" s="24" t="n"/>
      <c r="D758" s="15" t="n"/>
      <c r="E758" s="23" t="n"/>
      <c r="F758" s="15" t="n"/>
      <c r="G758" s="23" t="n"/>
      <c r="H758" s="25" t="n"/>
      <c r="I758" s="15" t="n"/>
      <c r="J758" s="26">
        <f>IF($A758="","",LEN($C758)-LEN(SUBSTITUTE($C758,",",""))+1)</f>
        <v/>
      </c>
      <c r="K758" s="26">
        <f>IF($A758="","",SUMPRODUCT(--ISNUMBER(SEARCH('Category Dictionary'!$D$5:$D$135&amp;"",$C758)),--('Category Dictionary'!$D$5:$D$135&lt;&gt;"")))</f>
        <v/>
      </c>
      <c r="L758" s="27">
        <f>IF($A758="","",TRIM(IF(ISERROR(FIND(",",$C758)),$C758,LEFT($C758,FIND(",",$C758)-1))))</f>
        <v/>
      </c>
      <c r="M758" s="28">
        <f>IF($H758="","",DATE(YEAR($H758),MONTH($H758),1))</f>
        <v/>
      </c>
      <c r="N758" s="26">
        <f>IF($H758="","",TODAY()-$H758)</f>
        <v/>
      </c>
      <c r="O758" s="15" t="n"/>
      <c r="P758" s="15" t="n"/>
      <c r="Q758" s="15" t="n"/>
      <c r="R758" s="25" t="n"/>
      <c r="S758" s="26">
        <f>IF($A758="","",AND(OR('Assignment Builder'!$B$5="",$B758='Assignment Builder'!$B$5),OR('Assignment Builder'!$B$6="",ISNUMBER(SEARCH('Assignment Builder'!$B$6,$C758))),OR('Assignment Builder'!$B$7="",'Assignment Builder'!$B$7=IFERROR(INDEX('Category Dictionary'!$C$5:$C$135,MATCH($L758,'Category Dictionary'!$D$5:$D$135,0)),"")),OR('Assignment Builder'!$B$8="",$D758='Assignment Builder'!$B$8),OR('Assignment Builder'!$B$9="",$F758='Assignment Builder'!$B$9),OR('Assignment Builder'!$B$10="",$O758='Assignment Builder'!$B$10),OR('Assignment Builder'!$B$11="",$H758&gt;='Assignment Builder'!$B$11),OR('Assignment Builder'!$B$12="",N($Q758)&lt;='Assignment Builder'!$B$12)))</f>
        <v/>
      </c>
      <c r="T758" s="23" t="n"/>
    </row>
    <row r="759">
      <c r="A759" s="23" t="n"/>
      <c r="B759" s="23" t="n"/>
      <c r="C759" s="24" t="n"/>
      <c r="D759" s="15" t="n"/>
      <c r="E759" s="23" t="n"/>
      <c r="F759" s="15" t="n"/>
      <c r="G759" s="23" t="n"/>
      <c r="H759" s="25" t="n"/>
      <c r="I759" s="15" t="n"/>
      <c r="J759" s="26">
        <f>IF($A759="","",LEN($C759)-LEN(SUBSTITUTE($C759,",",""))+1)</f>
        <v/>
      </c>
      <c r="K759" s="26">
        <f>IF($A759="","",SUMPRODUCT(--ISNUMBER(SEARCH('Category Dictionary'!$D$5:$D$135&amp;"",$C759)),--('Category Dictionary'!$D$5:$D$135&lt;&gt;"")))</f>
        <v/>
      </c>
      <c r="L759" s="27">
        <f>IF($A759="","",TRIM(IF(ISERROR(FIND(",",$C759)),$C759,LEFT($C759,FIND(",",$C759)-1))))</f>
        <v/>
      </c>
      <c r="M759" s="28">
        <f>IF($H759="","",DATE(YEAR($H759),MONTH($H759),1))</f>
        <v/>
      </c>
      <c r="N759" s="26">
        <f>IF($H759="","",TODAY()-$H759)</f>
        <v/>
      </c>
      <c r="O759" s="15" t="n"/>
      <c r="P759" s="15" t="n"/>
      <c r="Q759" s="15" t="n"/>
      <c r="R759" s="25" t="n"/>
      <c r="S759" s="26">
        <f>IF($A759="","",AND(OR('Assignment Builder'!$B$5="",$B759='Assignment Builder'!$B$5),OR('Assignment Builder'!$B$6="",ISNUMBER(SEARCH('Assignment Builder'!$B$6,$C759))),OR('Assignment Builder'!$B$7="",'Assignment Builder'!$B$7=IFERROR(INDEX('Category Dictionary'!$C$5:$C$135,MATCH($L759,'Category Dictionary'!$D$5:$D$135,0)),"")),OR('Assignment Builder'!$B$8="",$D759='Assignment Builder'!$B$8),OR('Assignment Builder'!$B$9="",$F759='Assignment Builder'!$B$9),OR('Assignment Builder'!$B$10="",$O759='Assignment Builder'!$B$10),OR('Assignment Builder'!$B$11="",$H759&gt;='Assignment Builder'!$B$11),OR('Assignment Builder'!$B$12="",N($Q759)&lt;='Assignment Builder'!$B$12)))</f>
        <v/>
      </c>
      <c r="T759" s="23" t="n"/>
    </row>
    <row r="760">
      <c r="A760" s="23" t="n"/>
      <c r="B760" s="23" t="n"/>
      <c r="C760" s="24" t="n"/>
      <c r="D760" s="15" t="n"/>
      <c r="E760" s="23" t="n"/>
      <c r="F760" s="15" t="n"/>
      <c r="G760" s="23" t="n"/>
      <c r="H760" s="25" t="n"/>
      <c r="I760" s="15" t="n"/>
      <c r="J760" s="26">
        <f>IF($A760="","",LEN($C760)-LEN(SUBSTITUTE($C760,",",""))+1)</f>
        <v/>
      </c>
      <c r="K760" s="26">
        <f>IF($A760="","",SUMPRODUCT(--ISNUMBER(SEARCH('Category Dictionary'!$D$5:$D$135&amp;"",$C760)),--('Category Dictionary'!$D$5:$D$135&lt;&gt;"")))</f>
        <v/>
      </c>
      <c r="L760" s="27">
        <f>IF($A760="","",TRIM(IF(ISERROR(FIND(",",$C760)),$C760,LEFT($C760,FIND(",",$C760)-1))))</f>
        <v/>
      </c>
      <c r="M760" s="28">
        <f>IF($H760="","",DATE(YEAR($H760),MONTH($H760),1))</f>
        <v/>
      </c>
      <c r="N760" s="26">
        <f>IF($H760="","",TODAY()-$H760)</f>
        <v/>
      </c>
      <c r="O760" s="15" t="n"/>
      <c r="P760" s="15" t="n"/>
      <c r="Q760" s="15" t="n"/>
      <c r="R760" s="25" t="n"/>
      <c r="S760" s="26">
        <f>IF($A760="","",AND(OR('Assignment Builder'!$B$5="",$B760='Assignment Builder'!$B$5),OR('Assignment Builder'!$B$6="",ISNUMBER(SEARCH('Assignment Builder'!$B$6,$C760))),OR('Assignment Builder'!$B$7="",'Assignment Builder'!$B$7=IFERROR(INDEX('Category Dictionary'!$C$5:$C$135,MATCH($L760,'Category Dictionary'!$D$5:$D$135,0)),"")),OR('Assignment Builder'!$B$8="",$D760='Assignment Builder'!$B$8),OR('Assignment Builder'!$B$9="",$F760='Assignment Builder'!$B$9),OR('Assignment Builder'!$B$10="",$O760='Assignment Builder'!$B$10),OR('Assignment Builder'!$B$11="",$H760&gt;='Assignment Builder'!$B$11),OR('Assignment Builder'!$B$12="",N($Q760)&lt;='Assignment Builder'!$B$12)))</f>
        <v/>
      </c>
      <c r="T760" s="23" t="n"/>
    </row>
    <row r="761">
      <c r="A761" s="23" t="n"/>
      <c r="B761" s="23" t="n"/>
      <c r="C761" s="24" t="n"/>
      <c r="D761" s="15" t="n"/>
      <c r="E761" s="23" t="n"/>
      <c r="F761" s="15" t="n"/>
      <c r="G761" s="23" t="n"/>
      <c r="H761" s="25" t="n"/>
      <c r="I761" s="15" t="n"/>
      <c r="J761" s="26">
        <f>IF($A761="","",LEN($C761)-LEN(SUBSTITUTE($C761,",",""))+1)</f>
        <v/>
      </c>
      <c r="K761" s="26">
        <f>IF($A761="","",SUMPRODUCT(--ISNUMBER(SEARCH('Category Dictionary'!$D$5:$D$135&amp;"",$C761)),--('Category Dictionary'!$D$5:$D$135&lt;&gt;"")))</f>
        <v/>
      </c>
      <c r="L761" s="27">
        <f>IF($A761="","",TRIM(IF(ISERROR(FIND(",",$C761)),$C761,LEFT($C761,FIND(",",$C761)-1))))</f>
        <v/>
      </c>
      <c r="M761" s="28">
        <f>IF($H761="","",DATE(YEAR($H761),MONTH($H761),1))</f>
        <v/>
      </c>
      <c r="N761" s="26">
        <f>IF($H761="","",TODAY()-$H761)</f>
        <v/>
      </c>
      <c r="O761" s="15" t="n"/>
      <c r="P761" s="15" t="n"/>
      <c r="Q761" s="15" t="n"/>
      <c r="R761" s="25" t="n"/>
      <c r="S761" s="26">
        <f>IF($A761="","",AND(OR('Assignment Builder'!$B$5="",$B761='Assignment Builder'!$B$5),OR('Assignment Builder'!$B$6="",ISNUMBER(SEARCH('Assignment Builder'!$B$6,$C761))),OR('Assignment Builder'!$B$7="",'Assignment Builder'!$B$7=IFERROR(INDEX('Category Dictionary'!$C$5:$C$135,MATCH($L761,'Category Dictionary'!$D$5:$D$135,0)),"")),OR('Assignment Builder'!$B$8="",$D761='Assignment Builder'!$B$8),OR('Assignment Builder'!$B$9="",$F761='Assignment Builder'!$B$9),OR('Assignment Builder'!$B$10="",$O761='Assignment Builder'!$B$10),OR('Assignment Builder'!$B$11="",$H761&gt;='Assignment Builder'!$B$11),OR('Assignment Builder'!$B$12="",N($Q761)&lt;='Assignment Builder'!$B$12)))</f>
        <v/>
      </c>
      <c r="T761" s="23" t="n"/>
    </row>
    <row r="762">
      <c r="A762" s="23" t="n"/>
      <c r="B762" s="23" t="n"/>
      <c r="C762" s="24" t="n"/>
      <c r="D762" s="15" t="n"/>
      <c r="E762" s="23" t="n"/>
      <c r="F762" s="15" t="n"/>
      <c r="G762" s="23" t="n"/>
      <c r="H762" s="25" t="n"/>
      <c r="I762" s="15" t="n"/>
      <c r="J762" s="26">
        <f>IF($A762="","",LEN($C762)-LEN(SUBSTITUTE($C762,",",""))+1)</f>
        <v/>
      </c>
      <c r="K762" s="26">
        <f>IF($A762="","",SUMPRODUCT(--ISNUMBER(SEARCH('Category Dictionary'!$D$5:$D$135&amp;"",$C762)),--('Category Dictionary'!$D$5:$D$135&lt;&gt;"")))</f>
        <v/>
      </c>
      <c r="L762" s="27">
        <f>IF($A762="","",TRIM(IF(ISERROR(FIND(",",$C762)),$C762,LEFT($C762,FIND(",",$C762)-1))))</f>
        <v/>
      </c>
      <c r="M762" s="28">
        <f>IF($H762="","",DATE(YEAR($H762),MONTH($H762),1))</f>
        <v/>
      </c>
      <c r="N762" s="26">
        <f>IF($H762="","",TODAY()-$H762)</f>
        <v/>
      </c>
      <c r="O762" s="15" t="n"/>
      <c r="P762" s="15" t="n"/>
      <c r="Q762" s="15" t="n"/>
      <c r="R762" s="25" t="n"/>
      <c r="S762" s="26">
        <f>IF($A762="","",AND(OR('Assignment Builder'!$B$5="",$B762='Assignment Builder'!$B$5),OR('Assignment Builder'!$B$6="",ISNUMBER(SEARCH('Assignment Builder'!$B$6,$C762))),OR('Assignment Builder'!$B$7="",'Assignment Builder'!$B$7=IFERROR(INDEX('Category Dictionary'!$C$5:$C$135,MATCH($L762,'Category Dictionary'!$D$5:$D$135,0)),"")),OR('Assignment Builder'!$B$8="",$D762='Assignment Builder'!$B$8),OR('Assignment Builder'!$B$9="",$F762='Assignment Builder'!$B$9),OR('Assignment Builder'!$B$10="",$O762='Assignment Builder'!$B$10),OR('Assignment Builder'!$B$11="",$H762&gt;='Assignment Builder'!$B$11),OR('Assignment Builder'!$B$12="",N($Q762)&lt;='Assignment Builder'!$B$12)))</f>
        <v/>
      </c>
      <c r="T762" s="23" t="n"/>
    </row>
    <row r="763">
      <c r="A763" s="23" t="n"/>
      <c r="B763" s="23" t="n"/>
      <c r="C763" s="24" t="n"/>
      <c r="D763" s="15" t="n"/>
      <c r="E763" s="23" t="n"/>
      <c r="F763" s="15" t="n"/>
      <c r="G763" s="23" t="n"/>
      <c r="H763" s="25" t="n"/>
      <c r="I763" s="15" t="n"/>
      <c r="J763" s="26">
        <f>IF($A763="","",LEN($C763)-LEN(SUBSTITUTE($C763,",",""))+1)</f>
        <v/>
      </c>
      <c r="K763" s="26">
        <f>IF($A763="","",SUMPRODUCT(--ISNUMBER(SEARCH('Category Dictionary'!$D$5:$D$135&amp;"",$C763)),--('Category Dictionary'!$D$5:$D$135&lt;&gt;"")))</f>
        <v/>
      </c>
      <c r="L763" s="27">
        <f>IF($A763="","",TRIM(IF(ISERROR(FIND(",",$C763)),$C763,LEFT($C763,FIND(",",$C763)-1))))</f>
        <v/>
      </c>
      <c r="M763" s="28">
        <f>IF($H763="","",DATE(YEAR($H763),MONTH($H763),1))</f>
        <v/>
      </c>
      <c r="N763" s="26">
        <f>IF($H763="","",TODAY()-$H763)</f>
        <v/>
      </c>
      <c r="O763" s="15" t="n"/>
      <c r="P763" s="15" t="n"/>
      <c r="Q763" s="15" t="n"/>
      <c r="R763" s="25" t="n"/>
      <c r="S763" s="26">
        <f>IF($A763="","",AND(OR('Assignment Builder'!$B$5="",$B763='Assignment Builder'!$B$5),OR('Assignment Builder'!$B$6="",ISNUMBER(SEARCH('Assignment Builder'!$B$6,$C763))),OR('Assignment Builder'!$B$7="",'Assignment Builder'!$B$7=IFERROR(INDEX('Category Dictionary'!$C$5:$C$135,MATCH($L763,'Category Dictionary'!$D$5:$D$135,0)),"")),OR('Assignment Builder'!$B$8="",$D763='Assignment Builder'!$B$8),OR('Assignment Builder'!$B$9="",$F763='Assignment Builder'!$B$9),OR('Assignment Builder'!$B$10="",$O763='Assignment Builder'!$B$10),OR('Assignment Builder'!$B$11="",$H763&gt;='Assignment Builder'!$B$11),OR('Assignment Builder'!$B$12="",N($Q763)&lt;='Assignment Builder'!$B$12)))</f>
        <v/>
      </c>
      <c r="T763" s="23" t="n"/>
    </row>
    <row r="764">
      <c r="A764" s="23" t="n"/>
      <c r="B764" s="23" t="n"/>
      <c r="C764" s="24" t="n"/>
      <c r="D764" s="15" t="n"/>
      <c r="E764" s="23" t="n"/>
      <c r="F764" s="15" t="n"/>
      <c r="G764" s="23" t="n"/>
      <c r="H764" s="25" t="n"/>
      <c r="I764" s="15" t="n"/>
      <c r="J764" s="26">
        <f>IF($A764="","",LEN($C764)-LEN(SUBSTITUTE($C764,",",""))+1)</f>
        <v/>
      </c>
      <c r="K764" s="26">
        <f>IF($A764="","",SUMPRODUCT(--ISNUMBER(SEARCH('Category Dictionary'!$D$5:$D$135&amp;"",$C764)),--('Category Dictionary'!$D$5:$D$135&lt;&gt;"")))</f>
        <v/>
      </c>
      <c r="L764" s="27">
        <f>IF($A764="","",TRIM(IF(ISERROR(FIND(",",$C764)),$C764,LEFT($C764,FIND(",",$C764)-1))))</f>
        <v/>
      </c>
      <c r="M764" s="28">
        <f>IF($H764="","",DATE(YEAR($H764),MONTH($H764),1))</f>
        <v/>
      </c>
      <c r="N764" s="26">
        <f>IF($H764="","",TODAY()-$H764)</f>
        <v/>
      </c>
      <c r="O764" s="15" t="n"/>
      <c r="P764" s="15" t="n"/>
      <c r="Q764" s="15" t="n"/>
      <c r="R764" s="25" t="n"/>
      <c r="S764" s="26">
        <f>IF($A764="","",AND(OR('Assignment Builder'!$B$5="",$B764='Assignment Builder'!$B$5),OR('Assignment Builder'!$B$6="",ISNUMBER(SEARCH('Assignment Builder'!$B$6,$C764))),OR('Assignment Builder'!$B$7="",'Assignment Builder'!$B$7=IFERROR(INDEX('Category Dictionary'!$C$5:$C$135,MATCH($L764,'Category Dictionary'!$D$5:$D$135,0)),"")),OR('Assignment Builder'!$B$8="",$D764='Assignment Builder'!$B$8),OR('Assignment Builder'!$B$9="",$F764='Assignment Builder'!$B$9),OR('Assignment Builder'!$B$10="",$O764='Assignment Builder'!$B$10),OR('Assignment Builder'!$B$11="",$H764&gt;='Assignment Builder'!$B$11),OR('Assignment Builder'!$B$12="",N($Q764)&lt;='Assignment Builder'!$B$12)))</f>
        <v/>
      </c>
      <c r="T764" s="23" t="n"/>
    </row>
    <row r="765">
      <c r="A765" s="23" t="n"/>
      <c r="B765" s="23" t="n"/>
      <c r="C765" s="24" t="n"/>
      <c r="D765" s="15" t="n"/>
      <c r="E765" s="23" t="n"/>
      <c r="F765" s="15" t="n"/>
      <c r="G765" s="23" t="n"/>
      <c r="H765" s="25" t="n"/>
      <c r="I765" s="15" t="n"/>
      <c r="J765" s="26">
        <f>IF($A765="","",LEN($C765)-LEN(SUBSTITUTE($C765,",",""))+1)</f>
        <v/>
      </c>
      <c r="K765" s="26">
        <f>IF($A765="","",SUMPRODUCT(--ISNUMBER(SEARCH('Category Dictionary'!$D$5:$D$135&amp;"",$C765)),--('Category Dictionary'!$D$5:$D$135&lt;&gt;"")))</f>
        <v/>
      </c>
      <c r="L765" s="27">
        <f>IF($A765="","",TRIM(IF(ISERROR(FIND(",",$C765)),$C765,LEFT($C765,FIND(",",$C765)-1))))</f>
        <v/>
      </c>
      <c r="M765" s="28">
        <f>IF($H765="","",DATE(YEAR($H765),MONTH($H765),1))</f>
        <v/>
      </c>
      <c r="N765" s="26">
        <f>IF($H765="","",TODAY()-$H765)</f>
        <v/>
      </c>
      <c r="O765" s="15" t="n"/>
      <c r="P765" s="15" t="n"/>
      <c r="Q765" s="15" t="n"/>
      <c r="R765" s="25" t="n"/>
      <c r="S765" s="26">
        <f>IF($A765="","",AND(OR('Assignment Builder'!$B$5="",$B765='Assignment Builder'!$B$5),OR('Assignment Builder'!$B$6="",ISNUMBER(SEARCH('Assignment Builder'!$B$6,$C765))),OR('Assignment Builder'!$B$7="",'Assignment Builder'!$B$7=IFERROR(INDEX('Category Dictionary'!$C$5:$C$135,MATCH($L765,'Category Dictionary'!$D$5:$D$135,0)),"")),OR('Assignment Builder'!$B$8="",$D765='Assignment Builder'!$B$8),OR('Assignment Builder'!$B$9="",$F765='Assignment Builder'!$B$9),OR('Assignment Builder'!$B$10="",$O765='Assignment Builder'!$B$10),OR('Assignment Builder'!$B$11="",$H765&gt;='Assignment Builder'!$B$11),OR('Assignment Builder'!$B$12="",N($Q765)&lt;='Assignment Builder'!$B$12)))</f>
        <v/>
      </c>
      <c r="T765" s="23" t="n"/>
    </row>
    <row r="766">
      <c r="A766" s="23" t="n"/>
      <c r="B766" s="23" t="n"/>
      <c r="C766" s="24" t="n"/>
      <c r="D766" s="15" t="n"/>
      <c r="E766" s="23" t="n"/>
      <c r="F766" s="15" t="n"/>
      <c r="G766" s="23" t="n"/>
      <c r="H766" s="25" t="n"/>
      <c r="I766" s="15" t="n"/>
      <c r="J766" s="26">
        <f>IF($A766="","",LEN($C766)-LEN(SUBSTITUTE($C766,",",""))+1)</f>
        <v/>
      </c>
      <c r="K766" s="26">
        <f>IF($A766="","",SUMPRODUCT(--ISNUMBER(SEARCH('Category Dictionary'!$D$5:$D$135&amp;"",$C766)),--('Category Dictionary'!$D$5:$D$135&lt;&gt;"")))</f>
        <v/>
      </c>
      <c r="L766" s="27">
        <f>IF($A766="","",TRIM(IF(ISERROR(FIND(",",$C766)),$C766,LEFT($C766,FIND(",",$C766)-1))))</f>
        <v/>
      </c>
      <c r="M766" s="28">
        <f>IF($H766="","",DATE(YEAR($H766),MONTH($H766),1))</f>
        <v/>
      </c>
      <c r="N766" s="26">
        <f>IF($H766="","",TODAY()-$H766)</f>
        <v/>
      </c>
      <c r="O766" s="15" t="n"/>
      <c r="P766" s="15" t="n"/>
      <c r="Q766" s="15" t="n"/>
      <c r="R766" s="25" t="n"/>
      <c r="S766" s="26">
        <f>IF($A766="","",AND(OR('Assignment Builder'!$B$5="",$B766='Assignment Builder'!$B$5),OR('Assignment Builder'!$B$6="",ISNUMBER(SEARCH('Assignment Builder'!$B$6,$C766))),OR('Assignment Builder'!$B$7="",'Assignment Builder'!$B$7=IFERROR(INDEX('Category Dictionary'!$C$5:$C$135,MATCH($L766,'Category Dictionary'!$D$5:$D$135,0)),"")),OR('Assignment Builder'!$B$8="",$D766='Assignment Builder'!$B$8),OR('Assignment Builder'!$B$9="",$F766='Assignment Builder'!$B$9),OR('Assignment Builder'!$B$10="",$O766='Assignment Builder'!$B$10),OR('Assignment Builder'!$B$11="",$H766&gt;='Assignment Builder'!$B$11),OR('Assignment Builder'!$B$12="",N($Q766)&lt;='Assignment Builder'!$B$12)))</f>
        <v/>
      </c>
      <c r="T766" s="23" t="n"/>
    </row>
    <row r="767">
      <c r="A767" s="23" t="n"/>
      <c r="B767" s="23" t="n"/>
      <c r="C767" s="24" t="n"/>
      <c r="D767" s="15" t="n"/>
      <c r="E767" s="23" t="n"/>
      <c r="F767" s="15" t="n"/>
      <c r="G767" s="23" t="n"/>
      <c r="H767" s="25" t="n"/>
      <c r="I767" s="15" t="n"/>
      <c r="J767" s="26">
        <f>IF($A767="","",LEN($C767)-LEN(SUBSTITUTE($C767,",",""))+1)</f>
        <v/>
      </c>
      <c r="K767" s="26">
        <f>IF($A767="","",SUMPRODUCT(--ISNUMBER(SEARCH('Category Dictionary'!$D$5:$D$135&amp;"",$C767)),--('Category Dictionary'!$D$5:$D$135&lt;&gt;"")))</f>
        <v/>
      </c>
      <c r="L767" s="27">
        <f>IF($A767="","",TRIM(IF(ISERROR(FIND(",",$C767)),$C767,LEFT($C767,FIND(",",$C767)-1))))</f>
        <v/>
      </c>
      <c r="M767" s="28">
        <f>IF($H767="","",DATE(YEAR($H767),MONTH($H767),1))</f>
        <v/>
      </c>
      <c r="N767" s="26">
        <f>IF($H767="","",TODAY()-$H767)</f>
        <v/>
      </c>
      <c r="O767" s="15" t="n"/>
      <c r="P767" s="15" t="n"/>
      <c r="Q767" s="15" t="n"/>
      <c r="R767" s="25" t="n"/>
      <c r="S767" s="26">
        <f>IF($A767="","",AND(OR('Assignment Builder'!$B$5="",$B767='Assignment Builder'!$B$5),OR('Assignment Builder'!$B$6="",ISNUMBER(SEARCH('Assignment Builder'!$B$6,$C767))),OR('Assignment Builder'!$B$7="",'Assignment Builder'!$B$7=IFERROR(INDEX('Category Dictionary'!$C$5:$C$135,MATCH($L767,'Category Dictionary'!$D$5:$D$135,0)),"")),OR('Assignment Builder'!$B$8="",$D767='Assignment Builder'!$B$8),OR('Assignment Builder'!$B$9="",$F767='Assignment Builder'!$B$9),OR('Assignment Builder'!$B$10="",$O767='Assignment Builder'!$B$10),OR('Assignment Builder'!$B$11="",$H767&gt;='Assignment Builder'!$B$11),OR('Assignment Builder'!$B$12="",N($Q767)&lt;='Assignment Builder'!$B$12)))</f>
        <v/>
      </c>
      <c r="T767" s="23" t="n"/>
    </row>
    <row r="768">
      <c r="A768" s="23" t="n"/>
      <c r="B768" s="23" t="n"/>
      <c r="C768" s="24" t="n"/>
      <c r="D768" s="15" t="n"/>
      <c r="E768" s="23" t="n"/>
      <c r="F768" s="15" t="n"/>
      <c r="G768" s="23" t="n"/>
      <c r="H768" s="25" t="n"/>
      <c r="I768" s="15" t="n"/>
      <c r="J768" s="26">
        <f>IF($A768="","",LEN($C768)-LEN(SUBSTITUTE($C768,",",""))+1)</f>
        <v/>
      </c>
      <c r="K768" s="26">
        <f>IF($A768="","",SUMPRODUCT(--ISNUMBER(SEARCH('Category Dictionary'!$D$5:$D$135&amp;"",$C768)),--('Category Dictionary'!$D$5:$D$135&lt;&gt;"")))</f>
        <v/>
      </c>
      <c r="L768" s="27">
        <f>IF($A768="","",TRIM(IF(ISERROR(FIND(",",$C768)),$C768,LEFT($C768,FIND(",",$C768)-1))))</f>
        <v/>
      </c>
      <c r="M768" s="28">
        <f>IF($H768="","",DATE(YEAR($H768),MONTH($H768),1))</f>
        <v/>
      </c>
      <c r="N768" s="26">
        <f>IF($H768="","",TODAY()-$H768)</f>
        <v/>
      </c>
      <c r="O768" s="15" t="n"/>
      <c r="P768" s="15" t="n"/>
      <c r="Q768" s="15" t="n"/>
      <c r="R768" s="25" t="n"/>
      <c r="S768" s="26">
        <f>IF($A768="","",AND(OR('Assignment Builder'!$B$5="",$B768='Assignment Builder'!$B$5),OR('Assignment Builder'!$B$6="",ISNUMBER(SEARCH('Assignment Builder'!$B$6,$C768))),OR('Assignment Builder'!$B$7="",'Assignment Builder'!$B$7=IFERROR(INDEX('Category Dictionary'!$C$5:$C$135,MATCH($L768,'Category Dictionary'!$D$5:$D$135,0)),"")),OR('Assignment Builder'!$B$8="",$D768='Assignment Builder'!$B$8),OR('Assignment Builder'!$B$9="",$F768='Assignment Builder'!$B$9),OR('Assignment Builder'!$B$10="",$O768='Assignment Builder'!$B$10),OR('Assignment Builder'!$B$11="",$H768&gt;='Assignment Builder'!$B$11),OR('Assignment Builder'!$B$12="",N($Q768)&lt;='Assignment Builder'!$B$12)))</f>
        <v/>
      </c>
      <c r="T768" s="23" t="n"/>
    </row>
    <row r="769">
      <c r="A769" s="23" t="n"/>
      <c r="B769" s="23" t="n"/>
      <c r="C769" s="24" t="n"/>
      <c r="D769" s="15" t="n"/>
      <c r="E769" s="23" t="n"/>
      <c r="F769" s="15" t="n"/>
      <c r="G769" s="23" t="n"/>
      <c r="H769" s="25" t="n"/>
      <c r="I769" s="15" t="n"/>
      <c r="J769" s="26">
        <f>IF($A769="","",LEN($C769)-LEN(SUBSTITUTE($C769,",",""))+1)</f>
        <v/>
      </c>
      <c r="K769" s="26">
        <f>IF($A769="","",SUMPRODUCT(--ISNUMBER(SEARCH('Category Dictionary'!$D$5:$D$135&amp;"",$C769)),--('Category Dictionary'!$D$5:$D$135&lt;&gt;"")))</f>
        <v/>
      </c>
      <c r="L769" s="27">
        <f>IF($A769="","",TRIM(IF(ISERROR(FIND(",",$C769)),$C769,LEFT($C769,FIND(",",$C769)-1))))</f>
        <v/>
      </c>
      <c r="M769" s="28">
        <f>IF($H769="","",DATE(YEAR($H769),MONTH($H769),1))</f>
        <v/>
      </c>
      <c r="N769" s="26">
        <f>IF($H769="","",TODAY()-$H769)</f>
        <v/>
      </c>
      <c r="O769" s="15" t="n"/>
      <c r="P769" s="15" t="n"/>
      <c r="Q769" s="15" t="n"/>
      <c r="R769" s="25" t="n"/>
      <c r="S769" s="26">
        <f>IF($A769="","",AND(OR('Assignment Builder'!$B$5="",$B769='Assignment Builder'!$B$5),OR('Assignment Builder'!$B$6="",ISNUMBER(SEARCH('Assignment Builder'!$B$6,$C769))),OR('Assignment Builder'!$B$7="",'Assignment Builder'!$B$7=IFERROR(INDEX('Category Dictionary'!$C$5:$C$135,MATCH($L769,'Category Dictionary'!$D$5:$D$135,0)),"")),OR('Assignment Builder'!$B$8="",$D769='Assignment Builder'!$B$8),OR('Assignment Builder'!$B$9="",$F769='Assignment Builder'!$B$9),OR('Assignment Builder'!$B$10="",$O769='Assignment Builder'!$B$10),OR('Assignment Builder'!$B$11="",$H769&gt;='Assignment Builder'!$B$11),OR('Assignment Builder'!$B$12="",N($Q769)&lt;='Assignment Builder'!$B$12)))</f>
        <v/>
      </c>
      <c r="T769" s="23" t="n"/>
    </row>
    <row r="770">
      <c r="A770" s="23" t="n"/>
      <c r="B770" s="23" t="n"/>
      <c r="C770" s="24" t="n"/>
      <c r="D770" s="15" t="n"/>
      <c r="E770" s="23" t="n"/>
      <c r="F770" s="15" t="n"/>
      <c r="G770" s="23" t="n"/>
      <c r="H770" s="25" t="n"/>
      <c r="I770" s="15" t="n"/>
      <c r="J770" s="26">
        <f>IF($A770="","",LEN($C770)-LEN(SUBSTITUTE($C770,",",""))+1)</f>
        <v/>
      </c>
      <c r="K770" s="26">
        <f>IF($A770="","",SUMPRODUCT(--ISNUMBER(SEARCH('Category Dictionary'!$D$5:$D$135&amp;"",$C770)),--('Category Dictionary'!$D$5:$D$135&lt;&gt;"")))</f>
        <v/>
      </c>
      <c r="L770" s="27">
        <f>IF($A770="","",TRIM(IF(ISERROR(FIND(",",$C770)),$C770,LEFT($C770,FIND(",",$C770)-1))))</f>
        <v/>
      </c>
      <c r="M770" s="28">
        <f>IF($H770="","",DATE(YEAR($H770),MONTH($H770),1))</f>
        <v/>
      </c>
      <c r="N770" s="26">
        <f>IF($H770="","",TODAY()-$H770)</f>
        <v/>
      </c>
      <c r="O770" s="15" t="n"/>
      <c r="P770" s="15" t="n"/>
      <c r="Q770" s="15" t="n"/>
      <c r="R770" s="25" t="n"/>
      <c r="S770" s="26">
        <f>IF($A770="","",AND(OR('Assignment Builder'!$B$5="",$B770='Assignment Builder'!$B$5),OR('Assignment Builder'!$B$6="",ISNUMBER(SEARCH('Assignment Builder'!$B$6,$C770))),OR('Assignment Builder'!$B$7="",'Assignment Builder'!$B$7=IFERROR(INDEX('Category Dictionary'!$C$5:$C$135,MATCH($L770,'Category Dictionary'!$D$5:$D$135,0)),"")),OR('Assignment Builder'!$B$8="",$D770='Assignment Builder'!$B$8),OR('Assignment Builder'!$B$9="",$F770='Assignment Builder'!$B$9),OR('Assignment Builder'!$B$10="",$O770='Assignment Builder'!$B$10),OR('Assignment Builder'!$B$11="",$H770&gt;='Assignment Builder'!$B$11),OR('Assignment Builder'!$B$12="",N($Q770)&lt;='Assignment Builder'!$B$12)))</f>
        <v/>
      </c>
      <c r="T770" s="23" t="n"/>
    </row>
    <row r="771">
      <c r="A771" s="23" t="n"/>
      <c r="B771" s="23" t="n"/>
      <c r="C771" s="24" t="n"/>
      <c r="D771" s="15" t="n"/>
      <c r="E771" s="23" t="n"/>
      <c r="F771" s="15" t="n"/>
      <c r="G771" s="23" t="n"/>
      <c r="H771" s="25" t="n"/>
      <c r="I771" s="15" t="n"/>
      <c r="J771" s="26">
        <f>IF($A771="","",LEN($C771)-LEN(SUBSTITUTE($C771,",",""))+1)</f>
        <v/>
      </c>
      <c r="K771" s="26">
        <f>IF($A771="","",SUMPRODUCT(--ISNUMBER(SEARCH('Category Dictionary'!$D$5:$D$135&amp;"",$C771)),--('Category Dictionary'!$D$5:$D$135&lt;&gt;"")))</f>
        <v/>
      </c>
      <c r="L771" s="27">
        <f>IF($A771="","",TRIM(IF(ISERROR(FIND(",",$C771)),$C771,LEFT($C771,FIND(",",$C771)-1))))</f>
        <v/>
      </c>
      <c r="M771" s="28">
        <f>IF($H771="","",DATE(YEAR($H771),MONTH($H771),1))</f>
        <v/>
      </c>
      <c r="N771" s="26">
        <f>IF($H771="","",TODAY()-$H771)</f>
        <v/>
      </c>
      <c r="O771" s="15" t="n"/>
      <c r="P771" s="15" t="n"/>
      <c r="Q771" s="15" t="n"/>
      <c r="R771" s="25" t="n"/>
      <c r="S771" s="26">
        <f>IF($A771="","",AND(OR('Assignment Builder'!$B$5="",$B771='Assignment Builder'!$B$5),OR('Assignment Builder'!$B$6="",ISNUMBER(SEARCH('Assignment Builder'!$B$6,$C771))),OR('Assignment Builder'!$B$7="",'Assignment Builder'!$B$7=IFERROR(INDEX('Category Dictionary'!$C$5:$C$135,MATCH($L771,'Category Dictionary'!$D$5:$D$135,0)),"")),OR('Assignment Builder'!$B$8="",$D771='Assignment Builder'!$B$8),OR('Assignment Builder'!$B$9="",$F771='Assignment Builder'!$B$9),OR('Assignment Builder'!$B$10="",$O771='Assignment Builder'!$B$10),OR('Assignment Builder'!$B$11="",$H771&gt;='Assignment Builder'!$B$11),OR('Assignment Builder'!$B$12="",N($Q771)&lt;='Assignment Builder'!$B$12)))</f>
        <v/>
      </c>
      <c r="T771" s="23" t="n"/>
    </row>
    <row r="772">
      <c r="A772" s="23" t="n"/>
      <c r="B772" s="23" t="n"/>
      <c r="C772" s="24" t="n"/>
      <c r="D772" s="15" t="n"/>
      <c r="E772" s="23" t="n"/>
      <c r="F772" s="15" t="n"/>
      <c r="G772" s="23" t="n"/>
      <c r="H772" s="25" t="n"/>
      <c r="I772" s="15" t="n"/>
      <c r="J772" s="26">
        <f>IF($A772="","",LEN($C772)-LEN(SUBSTITUTE($C772,",",""))+1)</f>
        <v/>
      </c>
      <c r="K772" s="26">
        <f>IF($A772="","",SUMPRODUCT(--ISNUMBER(SEARCH('Category Dictionary'!$D$5:$D$135&amp;"",$C772)),--('Category Dictionary'!$D$5:$D$135&lt;&gt;"")))</f>
        <v/>
      </c>
      <c r="L772" s="27">
        <f>IF($A772="","",TRIM(IF(ISERROR(FIND(",",$C772)),$C772,LEFT($C772,FIND(",",$C772)-1))))</f>
        <v/>
      </c>
      <c r="M772" s="28">
        <f>IF($H772="","",DATE(YEAR($H772),MONTH($H772),1))</f>
        <v/>
      </c>
      <c r="N772" s="26">
        <f>IF($H772="","",TODAY()-$H772)</f>
        <v/>
      </c>
      <c r="O772" s="15" t="n"/>
      <c r="P772" s="15" t="n"/>
      <c r="Q772" s="15" t="n"/>
      <c r="R772" s="25" t="n"/>
      <c r="S772" s="26">
        <f>IF($A772="","",AND(OR('Assignment Builder'!$B$5="",$B772='Assignment Builder'!$B$5),OR('Assignment Builder'!$B$6="",ISNUMBER(SEARCH('Assignment Builder'!$B$6,$C772))),OR('Assignment Builder'!$B$7="",'Assignment Builder'!$B$7=IFERROR(INDEX('Category Dictionary'!$C$5:$C$135,MATCH($L772,'Category Dictionary'!$D$5:$D$135,0)),"")),OR('Assignment Builder'!$B$8="",$D772='Assignment Builder'!$B$8),OR('Assignment Builder'!$B$9="",$F772='Assignment Builder'!$B$9),OR('Assignment Builder'!$B$10="",$O772='Assignment Builder'!$B$10),OR('Assignment Builder'!$B$11="",$H772&gt;='Assignment Builder'!$B$11),OR('Assignment Builder'!$B$12="",N($Q772)&lt;='Assignment Builder'!$B$12)))</f>
        <v/>
      </c>
      <c r="T772" s="23" t="n"/>
    </row>
    <row r="773">
      <c r="A773" s="23" t="n"/>
      <c r="B773" s="23" t="n"/>
      <c r="C773" s="24" t="n"/>
      <c r="D773" s="15" t="n"/>
      <c r="E773" s="23" t="n"/>
      <c r="F773" s="15" t="n"/>
      <c r="G773" s="23" t="n"/>
      <c r="H773" s="25" t="n"/>
      <c r="I773" s="15" t="n"/>
      <c r="J773" s="26">
        <f>IF($A773="","",LEN($C773)-LEN(SUBSTITUTE($C773,",",""))+1)</f>
        <v/>
      </c>
      <c r="K773" s="26">
        <f>IF($A773="","",SUMPRODUCT(--ISNUMBER(SEARCH('Category Dictionary'!$D$5:$D$135&amp;"",$C773)),--('Category Dictionary'!$D$5:$D$135&lt;&gt;"")))</f>
        <v/>
      </c>
      <c r="L773" s="27">
        <f>IF($A773="","",TRIM(IF(ISERROR(FIND(",",$C773)),$C773,LEFT($C773,FIND(",",$C773)-1))))</f>
        <v/>
      </c>
      <c r="M773" s="28">
        <f>IF($H773="","",DATE(YEAR($H773),MONTH($H773),1))</f>
        <v/>
      </c>
      <c r="N773" s="26">
        <f>IF($H773="","",TODAY()-$H773)</f>
        <v/>
      </c>
      <c r="O773" s="15" t="n"/>
      <c r="P773" s="15" t="n"/>
      <c r="Q773" s="15" t="n"/>
      <c r="R773" s="25" t="n"/>
      <c r="S773" s="26">
        <f>IF($A773="","",AND(OR('Assignment Builder'!$B$5="",$B773='Assignment Builder'!$B$5),OR('Assignment Builder'!$B$6="",ISNUMBER(SEARCH('Assignment Builder'!$B$6,$C773))),OR('Assignment Builder'!$B$7="",'Assignment Builder'!$B$7=IFERROR(INDEX('Category Dictionary'!$C$5:$C$135,MATCH($L773,'Category Dictionary'!$D$5:$D$135,0)),"")),OR('Assignment Builder'!$B$8="",$D773='Assignment Builder'!$B$8),OR('Assignment Builder'!$B$9="",$F773='Assignment Builder'!$B$9),OR('Assignment Builder'!$B$10="",$O773='Assignment Builder'!$B$10),OR('Assignment Builder'!$B$11="",$H773&gt;='Assignment Builder'!$B$11),OR('Assignment Builder'!$B$12="",N($Q773)&lt;='Assignment Builder'!$B$12)))</f>
        <v/>
      </c>
      <c r="T773" s="23" t="n"/>
    </row>
    <row r="774">
      <c r="A774" s="23" t="n"/>
      <c r="B774" s="23" t="n"/>
      <c r="C774" s="24" t="n"/>
      <c r="D774" s="15" t="n"/>
      <c r="E774" s="23" t="n"/>
      <c r="F774" s="15" t="n"/>
      <c r="G774" s="23" t="n"/>
      <c r="H774" s="25" t="n"/>
      <c r="I774" s="15" t="n"/>
      <c r="J774" s="26">
        <f>IF($A774="","",LEN($C774)-LEN(SUBSTITUTE($C774,",",""))+1)</f>
        <v/>
      </c>
      <c r="K774" s="26">
        <f>IF($A774="","",SUMPRODUCT(--ISNUMBER(SEARCH('Category Dictionary'!$D$5:$D$135&amp;"",$C774)),--('Category Dictionary'!$D$5:$D$135&lt;&gt;"")))</f>
        <v/>
      </c>
      <c r="L774" s="27">
        <f>IF($A774="","",TRIM(IF(ISERROR(FIND(",",$C774)),$C774,LEFT($C774,FIND(",",$C774)-1))))</f>
        <v/>
      </c>
      <c r="M774" s="28">
        <f>IF($H774="","",DATE(YEAR($H774),MONTH($H774),1))</f>
        <v/>
      </c>
      <c r="N774" s="26">
        <f>IF($H774="","",TODAY()-$H774)</f>
        <v/>
      </c>
      <c r="O774" s="15" t="n"/>
      <c r="P774" s="15" t="n"/>
      <c r="Q774" s="15" t="n"/>
      <c r="R774" s="25" t="n"/>
      <c r="S774" s="26">
        <f>IF($A774="","",AND(OR('Assignment Builder'!$B$5="",$B774='Assignment Builder'!$B$5),OR('Assignment Builder'!$B$6="",ISNUMBER(SEARCH('Assignment Builder'!$B$6,$C774))),OR('Assignment Builder'!$B$7="",'Assignment Builder'!$B$7=IFERROR(INDEX('Category Dictionary'!$C$5:$C$135,MATCH($L774,'Category Dictionary'!$D$5:$D$135,0)),"")),OR('Assignment Builder'!$B$8="",$D774='Assignment Builder'!$B$8),OR('Assignment Builder'!$B$9="",$F774='Assignment Builder'!$B$9),OR('Assignment Builder'!$B$10="",$O774='Assignment Builder'!$B$10),OR('Assignment Builder'!$B$11="",$H774&gt;='Assignment Builder'!$B$11),OR('Assignment Builder'!$B$12="",N($Q774)&lt;='Assignment Builder'!$B$12)))</f>
        <v/>
      </c>
      <c r="T774" s="23" t="n"/>
    </row>
    <row r="775">
      <c r="A775" s="23" t="n"/>
      <c r="B775" s="23" t="n"/>
      <c r="C775" s="24" t="n"/>
      <c r="D775" s="15" t="n"/>
      <c r="E775" s="23" t="n"/>
      <c r="F775" s="15" t="n"/>
      <c r="G775" s="23" t="n"/>
      <c r="H775" s="25" t="n"/>
      <c r="I775" s="15" t="n"/>
      <c r="J775" s="26">
        <f>IF($A775="","",LEN($C775)-LEN(SUBSTITUTE($C775,",",""))+1)</f>
        <v/>
      </c>
      <c r="K775" s="26">
        <f>IF($A775="","",SUMPRODUCT(--ISNUMBER(SEARCH('Category Dictionary'!$D$5:$D$135&amp;"",$C775)),--('Category Dictionary'!$D$5:$D$135&lt;&gt;"")))</f>
        <v/>
      </c>
      <c r="L775" s="27">
        <f>IF($A775="","",TRIM(IF(ISERROR(FIND(",",$C775)),$C775,LEFT($C775,FIND(",",$C775)-1))))</f>
        <v/>
      </c>
      <c r="M775" s="28">
        <f>IF($H775="","",DATE(YEAR($H775),MONTH($H775),1))</f>
        <v/>
      </c>
      <c r="N775" s="26">
        <f>IF($H775="","",TODAY()-$H775)</f>
        <v/>
      </c>
      <c r="O775" s="15" t="n"/>
      <c r="P775" s="15" t="n"/>
      <c r="Q775" s="15" t="n"/>
      <c r="R775" s="25" t="n"/>
      <c r="S775" s="26">
        <f>IF($A775="","",AND(OR('Assignment Builder'!$B$5="",$B775='Assignment Builder'!$B$5),OR('Assignment Builder'!$B$6="",ISNUMBER(SEARCH('Assignment Builder'!$B$6,$C775))),OR('Assignment Builder'!$B$7="",'Assignment Builder'!$B$7=IFERROR(INDEX('Category Dictionary'!$C$5:$C$135,MATCH($L775,'Category Dictionary'!$D$5:$D$135,0)),"")),OR('Assignment Builder'!$B$8="",$D775='Assignment Builder'!$B$8),OR('Assignment Builder'!$B$9="",$F775='Assignment Builder'!$B$9),OR('Assignment Builder'!$B$10="",$O775='Assignment Builder'!$B$10),OR('Assignment Builder'!$B$11="",$H775&gt;='Assignment Builder'!$B$11),OR('Assignment Builder'!$B$12="",N($Q775)&lt;='Assignment Builder'!$B$12)))</f>
        <v/>
      </c>
      <c r="T775" s="23" t="n"/>
    </row>
    <row r="776">
      <c r="A776" s="23" t="n"/>
      <c r="B776" s="23" t="n"/>
      <c r="C776" s="24" t="n"/>
      <c r="D776" s="15" t="n"/>
      <c r="E776" s="23" t="n"/>
      <c r="F776" s="15" t="n"/>
      <c r="G776" s="23" t="n"/>
      <c r="H776" s="25" t="n"/>
      <c r="I776" s="15" t="n"/>
      <c r="J776" s="26">
        <f>IF($A776="","",LEN($C776)-LEN(SUBSTITUTE($C776,",",""))+1)</f>
        <v/>
      </c>
      <c r="K776" s="26">
        <f>IF($A776="","",SUMPRODUCT(--ISNUMBER(SEARCH('Category Dictionary'!$D$5:$D$135&amp;"",$C776)),--('Category Dictionary'!$D$5:$D$135&lt;&gt;"")))</f>
        <v/>
      </c>
      <c r="L776" s="27">
        <f>IF($A776="","",TRIM(IF(ISERROR(FIND(",",$C776)),$C776,LEFT($C776,FIND(",",$C776)-1))))</f>
        <v/>
      </c>
      <c r="M776" s="28">
        <f>IF($H776="","",DATE(YEAR($H776),MONTH($H776),1))</f>
        <v/>
      </c>
      <c r="N776" s="26">
        <f>IF($H776="","",TODAY()-$H776)</f>
        <v/>
      </c>
      <c r="O776" s="15" t="n"/>
      <c r="P776" s="15" t="n"/>
      <c r="Q776" s="15" t="n"/>
      <c r="R776" s="25" t="n"/>
      <c r="S776" s="26">
        <f>IF($A776="","",AND(OR('Assignment Builder'!$B$5="",$B776='Assignment Builder'!$B$5),OR('Assignment Builder'!$B$6="",ISNUMBER(SEARCH('Assignment Builder'!$B$6,$C776))),OR('Assignment Builder'!$B$7="",'Assignment Builder'!$B$7=IFERROR(INDEX('Category Dictionary'!$C$5:$C$135,MATCH($L776,'Category Dictionary'!$D$5:$D$135,0)),"")),OR('Assignment Builder'!$B$8="",$D776='Assignment Builder'!$B$8),OR('Assignment Builder'!$B$9="",$F776='Assignment Builder'!$B$9),OR('Assignment Builder'!$B$10="",$O776='Assignment Builder'!$B$10),OR('Assignment Builder'!$B$11="",$H776&gt;='Assignment Builder'!$B$11),OR('Assignment Builder'!$B$12="",N($Q776)&lt;='Assignment Builder'!$B$12)))</f>
        <v/>
      </c>
      <c r="T776" s="23" t="n"/>
    </row>
    <row r="777">
      <c r="A777" s="23" t="n"/>
      <c r="B777" s="23" t="n"/>
      <c r="C777" s="24" t="n"/>
      <c r="D777" s="15" t="n"/>
      <c r="E777" s="23" t="n"/>
      <c r="F777" s="15" t="n"/>
      <c r="G777" s="23" t="n"/>
      <c r="H777" s="25" t="n"/>
      <c r="I777" s="15" t="n"/>
      <c r="J777" s="26">
        <f>IF($A777="","",LEN($C777)-LEN(SUBSTITUTE($C777,",",""))+1)</f>
        <v/>
      </c>
      <c r="K777" s="26">
        <f>IF($A777="","",SUMPRODUCT(--ISNUMBER(SEARCH('Category Dictionary'!$D$5:$D$135&amp;"",$C777)),--('Category Dictionary'!$D$5:$D$135&lt;&gt;"")))</f>
        <v/>
      </c>
      <c r="L777" s="27">
        <f>IF($A777="","",TRIM(IF(ISERROR(FIND(",",$C777)),$C777,LEFT($C777,FIND(",",$C777)-1))))</f>
        <v/>
      </c>
      <c r="M777" s="28">
        <f>IF($H777="","",DATE(YEAR($H777),MONTH($H777),1))</f>
        <v/>
      </c>
      <c r="N777" s="26">
        <f>IF($H777="","",TODAY()-$H777)</f>
        <v/>
      </c>
      <c r="O777" s="15" t="n"/>
      <c r="P777" s="15" t="n"/>
      <c r="Q777" s="15" t="n"/>
      <c r="R777" s="25" t="n"/>
      <c r="S777" s="26">
        <f>IF($A777="","",AND(OR('Assignment Builder'!$B$5="",$B777='Assignment Builder'!$B$5),OR('Assignment Builder'!$B$6="",ISNUMBER(SEARCH('Assignment Builder'!$B$6,$C777))),OR('Assignment Builder'!$B$7="",'Assignment Builder'!$B$7=IFERROR(INDEX('Category Dictionary'!$C$5:$C$135,MATCH($L777,'Category Dictionary'!$D$5:$D$135,0)),"")),OR('Assignment Builder'!$B$8="",$D777='Assignment Builder'!$B$8),OR('Assignment Builder'!$B$9="",$F777='Assignment Builder'!$B$9),OR('Assignment Builder'!$B$10="",$O777='Assignment Builder'!$B$10),OR('Assignment Builder'!$B$11="",$H777&gt;='Assignment Builder'!$B$11),OR('Assignment Builder'!$B$12="",N($Q777)&lt;='Assignment Builder'!$B$12)))</f>
        <v/>
      </c>
      <c r="T777" s="23" t="n"/>
    </row>
    <row r="778">
      <c r="A778" s="23" t="n"/>
      <c r="B778" s="23" t="n"/>
      <c r="C778" s="24" t="n"/>
      <c r="D778" s="15" t="n"/>
      <c r="E778" s="23" t="n"/>
      <c r="F778" s="15" t="n"/>
      <c r="G778" s="23" t="n"/>
      <c r="H778" s="25" t="n"/>
      <c r="I778" s="15" t="n"/>
      <c r="J778" s="26">
        <f>IF($A778="","",LEN($C778)-LEN(SUBSTITUTE($C778,",",""))+1)</f>
        <v/>
      </c>
      <c r="K778" s="26">
        <f>IF($A778="","",SUMPRODUCT(--ISNUMBER(SEARCH('Category Dictionary'!$D$5:$D$135&amp;"",$C778)),--('Category Dictionary'!$D$5:$D$135&lt;&gt;"")))</f>
        <v/>
      </c>
      <c r="L778" s="27">
        <f>IF($A778="","",TRIM(IF(ISERROR(FIND(",",$C778)),$C778,LEFT($C778,FIND(",",$C778)-1))))</f>
        <v/>
      </c>
      <c r="M778" s="28">
        <f>IF($H778="","",DATE(YEAR($H778),MONTH($H778),1))</f>
        <v/>
      </c>
      <c r="N778" s="26">
        <f>IF($H778="","",TODAY()-$H778)</f>
        <v/>
      </c>
      <c r="O778" s="15" t="n"/>
      <c r="P778" s="15" t="n"/>
      <c r="Q778" s="15" t="n"/>
      <c r="R778" s="25" t="n"/>
      <c r="S778" s="26">
        <f>IF($A778="","",AND(OR('Assignment Builder'!$B$5="",$B778='Assignment Builder'!$B$5),OR('Assignment Builder'!$B$6="",ISNUMBER(SEARCH('Assignment Builder'!$B$6,$C778))),OR('Assignment Builder'!$B$7="",'Assignment Builder'!$B$7=IFERROR(INDEX('Category Dictionary'!$C$5:$C$135,MATCH($L778,'Category Dictionary'!$D$5:$D$135,0)),"")),OR('Assignment Builder'!$B$8="",$D778='Assignment Builder'!$B$8),OR('Assignment Builder'!$B$9="",$F778='Assignment Builder'!$B$9),OR('Assignment Builder'!$B$10="",$O778='Assignment Builder'!$B$10),OR('Assignment Builder'!$B$11="",$H778&gt;='Assignment Builder'!$B$11),OR('Assignment Builder'!$B$12="",N($Q778)&lt;='Assignment Builder'!$B$12)))</f>
        <v/>
      </c>
      <c r="T778" s="23" t="n"/>
    </row>
    <row r="779">
      <c r="A779" s="23" t="n"/>
      <c r="B779" s="23" t="n"/>
      <c r="C779" s="24" t="n"/>
      <c r="D779" s="15" t="n"/>
      <c r="E779" s="23" t="n"/>
      <c r="F779" s="15" t="n"/>
      <c r="G779" s="23" t="n"/>
      <c r="H779" s="25" t="n"/>
      <c r="I779" s="15" t="n"/>
      <c r="J779" s="26">
        <f>IF($A779="","",LEN($C779)-LEN(SUBSTITUTE($C779,",",""))+1)</f>
        <v/>
      </c>
      <c r="K779" s="26">
        <f>IF($A779="","",SUMPRODUCT(--ISNUMBER(SEARCH('Category Dictionary'!$D$5:$D$135&amp;"",$C779)),--('Category Dictionary'!$D$5:$D$135&lt;&gt;"")))</f>
        <v/>
      </c>
      <c r="L779" s="27">
        <f>IF($A779="","",TRIM(IF(ISERROR(FIND(",",$C779)),$C779,LEFT($C779,FIND(",",$C779)-1))))</f>
        <v/>
      </c>
      <c r="M779" s="28">
        <f>IF($H779="","",DATE(YEAR($H779),MONTH($H779),1))</f>
        <v/>
      </c>
      <c r="N779" s="26">
        <f>IF($H779="","",TODAY()-$H779)</f>
        <v/>
      </c>
      <c r="O779" s="15" t="n"/>
      <c r="P779" s="15" t="n"/>
      <c r="Q779" s="15" t="n"/>
      <c r="R779" s="25" t="n"/>
      <c r="S779" s="26">
        <f>IF($A779="","",AND(OR('Assignment Builder'!$B$5="",$B779='Assignment Builder'!$B$5),OR('Assignment Builder'!$B$6="",ISNUMBER(SEARCH('Assignment Builder'!$B$6,$C779))),OR('Assignment Builder'!$B$7="",'Assignment Builder'!$B$7=IFERROR(INDEX('Category Dictionary'!$C$5:$C$135,MATCH($L779,'Category Dictionary'!$D$5:$D$135,0)),"")),OR('Assignment Builder'!$B$8="",$D779='Assignment Builder'!$B$8),OR('Assignment Builder'!$B$9="",$F779='Assignment Builder'!$B$9),OR('Assignment Builder'!$B$10="",$O779='Assignment Builder'!$B$10),OR('Assignment Builder'!$B$11="",$H779&gt;='Assignment Builder'!$B$11),OR('Assignment Builder'!$B$12="",N($Q779)&lt;='Assignment Builder'!$B$12)))</f>
        <v/>
      </c>
      <c r="T779" s="23" t="n"/>
    </row>
    <row r="780">
      <c r="A780" s="23" t="n"/>
      <c r="B780" s="23" t="n"/>
      <c r="C780" s="24" t="n"/>
      <c r="D780" s="15" t="n"/>
      <c r="E780" s="23" t="n"/>
      <c r="F780" s="15" t="n"/>
      <c r="G780" s="23" t="n"/>
      <c r="H780" s="25" t="n"/>
      <c r="I780" s="15" t="n"/>
      <c r="J780" s="26">
        <f>IF($A780="","",LEN($C780)-LEN(SUBSTITUTE($C780,",",""))+1)</f>
        <v/>
      </c>
      <c r="K780" s="26">
        <f>IF($A780="","",SUMPRODUCT(--ISNUMBER(SEARCH('Category Dictionary'!$D$5:$D$135&amp;"",$C780)),--('Category Dictionary'!$D$5:$D$135&lt;&gt;"")))</f>
        <v/>
      </c>
      <c r="L780" s="27">
        <f>IF($A780="","",TRIM(IF(ISERROR(FIND(",",$C780)),$C780,LEFT($C780,FIND(",",$C780)-1))))</f>
        <v/>
      </c>
      <c r="M780" s="28">
        <f>IF($H780="","",DATE(YEAR($H780),MONTH($H780),1))</f>
        <v/>
      </c>
      <c r="N780" s="26">
        <f>IF($H780="","",TODAY()-$H780)</f>
        <v/>
      </c>
      <c r="O780" s="15" t="n"/>
      <c r="P780" s="15" t="n"/>
      <c r="Q780" s="15" t="n"/>
      <c r="R780" s="25" t="n"/>
      <c r="S780" s="26">
        <f>IF($A780="","",AND(OR('Assignment Builder'!$B$5="",$B780='Assignment Builder'!$B$5),OR('Assignment Builder'!$B$6="",ISNUMBER(SEARCH('Assignment Builder'!$B$6,$C780))),OR('Assignment Builder'!$B$7="",'Assignment Builder'!$B$7=IFERROR(INDEX('Category Dictionary'!$C$5:$C$135,MATCH($L780,'Category Dictionary'!$D$5:$D$135,0)),"")),OR('Assignment Builder'!$B$8="",$D780='Assignment Builder'!$B$8),OR('Assignment Builder'!$B$9="",$F780='Assignment Builder'!$B$9),OR('Assignment Builder'!$B$10="",$O780='Assignment Builder'!$B$10),OR('Assignment Builder'!$B$11="",$H780&gt;='Assignment Builder'!$B$11),OR('Assignment Builder'!$B$12="",N($Q780)&lt;='Assignment Builder'!$B$12)))</f>
        <v/>
      </c>
      <c r="T780" s="23" t="n"/>
    </row>
    <row r="781">
      <c r="A781" s="23" t="n"/>
      <c r="B781" s="23" t="n"/>
      <c r="C781" s="24" t="n"/>
      <c r="D781" s="15" t="n"/>
      <c r="E781" s="23" t="n"/>
      <c r="F781" s="15" t="n"/>
      <c r="G781" s="23" t="n"/>
      <c r="H781" s="25" t="n"/>
      <c r="I781" s="15" t="n"/>
      <c r="J781" s="26">
        <f>IF($A781="","",LEN($C781)-LEN(SUBSTITUTE($C781,",",""))+1)</f>
        <v/>
      </c>
      <c r="K781" s="26">
        <f>IF($A781="","",SUMPRODUCT(--ISNUMBER(SEARCH('Category Dictionary'!$D$5:$D$135&amp;"",$C781)),--('Category Dictionary'!$D$5:$D$135&lt;&gt;"")))</f>
        <v/>
      </c>
      <c r="L781" s="27">
        <f>IF($A781="","",TRIM(IF(ISERROR(FIND(",",$C781)),$C781,LEFT($C781,FIND(",",$C781)-1))))</f>
        <v/>
      </c>
      <c r="M781" s="28">
        <f>IF($H781="","",DATE(YEAR($H781),MONTH($H781),1))</f>
        <v/>
      </c>
      <c r="N781" s="26">
        <f>IF($H781="","",TODAY()-$H781)</f>
        <v/>
      </c>
      <c r="O781" s="15" t="n"/>
      <c r="P781" s="15" t="n"/>
      <c r="Q781" s="15" t="n"/>
      <c r="R781" s="25" t="n"/>
      <c r="S781" s="26">
        <f>IF($A781="","",AND(OR('Assignment Builder'!$B$5="",$B781='Assignment Builder'!$B$5),OR('Assignment Builder'!$B$6="",ISNUMBER(SEARCH('Assignment Builder'!$B$6,$C781))),OR('Assignment Builder'!$B$7="",'Assignment Builder'!$B$7=IFERROR(INDEX('Category Dictionary'!$C$5:$C$135,MATCH($L781,'Category Dictionary'!$D$5:$D$135,0)),"")),OR('Assignment Builder'!$B$8="",$D781='Assignment Builder'!$B$8),OR('Assignment Builder'!$B$9="",$F781='Assignment Builder'!$B$9),OR('Assignment Builder'!$B$10="",$O781='Assignment Builder'!$B$10),OR('Assignment Builder'!$B$11="",$H781&gt;='Assignment Builder'!$B$11),OR('Assignment Builder'!$B$12="",N($Q781)&lt;='Assignment Builder'!$B$12)))</f>
        <v/>
      </c>
      <c r="T781" s="23" t="n"/>
    </row>
    <row r="782">
      <c r="A782" s="23" t="n"/>
      <c r="B782" s="23" t="n"/>
      <c r="C782" s="24" t="n"/>
      <c r="D782" s="15" t="n"/>
      <c r="E782" s="23" t="n"/>
      <c r="F782" s="15" t="n"/>
      <c r="G782" s="23" t="n"/>
      <c r="H782" s="25" t="n"/>
      <c r="I782" s="15" t="n"/>
      <c r="J782" s="26">
        <f>IF($A782="","",LEN($C782)-LEN(SUBSTITUTE($C782,",",""))+1)</f>
        <v/>
      </c>
      <c r="K782" s="26">
        <f>IF($A782="","",SUMPRODUCT(--ISNUMBER(SEARCH('Category Dictionary'!$D$5:$D$135&amp;"",$C782)),--('Category Dictionary'!$D$5:$D$135&lt;&gt;"")))</f>
        <v/>
      </c>
      <c r="L782" s="27">
        <f>IF($A782="","",TRIM(IF(ISERROR(FIND(",",$C782)),$C782,LEFT($C782,FIND(",",$C782)-1))))</f>
        <v/>
      </c>
      <c r="M782" s="28">
        <f>IF($H782="","",DATE(YEAR($H782),MONTH($H782),1))</f>
        <v/>
      </c>
      <c r="N782" s="26">
        <f>IF($H782="","",TODAY()-$H782)</f>
        <v/>
      </c>
      <c r="O782" s="15" t="n"/>
      <c r="P782" s="15" t="n"/>
      <c r="Q782" s="15" t="n"/>
      <c r="R782" s="25" t="n"/>
      <c r="S782" s="26">
        <f>IF($A782="","",AND(OR('Assignment Builder'!$B$5="",$B782='Assignment Builder'!$B$5),OR('Assignment Builder'!$B$6="",ISNUMBER(SEARCH('Assignment Builder'!$B$6,$C782))),OR('Assignment Builder'!$B$7="",'Assignment Builder'!$B$7=IFERROR(INDEX('Category Dictionary'!$C$5:$C$135,MATCH($L782,'Category Dictionary'!$D$5:$D$135,0)),"")),OR('Assignment Builder'!$B$8="",$D782='Assignment Builder'!$B$8),OR('Assignment Builder'!$B$9="",$F782='Assignment Builder'!$B$9),OR('Assignment Builder'!$B$10="",$O782='Assignment Builder'!$B$10),OR('Assignment Builder'!$B$11="",$H782&gt;='Assignment Builder'!$B$11),OR('Assignment Builder'!$B$12="",N($Q782)&lt;='Assignment Builder'!$B$12)))</f>
        <v/>
      </c>
      <c r="T782" s="23" t="n"/>
    </row>
    <row r="783">
      <c r="A783" s="23" t="n"/>
      <c r="B783" s="23" t="n"/>
      <c r="C783" s="24" t="n"/>
      <c r="D783" s="15" t="n"/>
      <c r="E783" s="23" t="n"/>
      <c r="F783" s="15" t="n"/>
      <c r="G783" s="23" t="n"/>
      <c r="H783" s="25" t="n"/>
      <c r="I783" s="15" t="n"/>
      <c r="J783" s="26">
        <f>IF($A783="","",LEN($C783)-LEN(SUBSTITUTE($C783,",",""))+1)</f>
        <v/>
      </c>
      <c r="K783" s="26">
        <f>IF($A783="","",SUMPRODUCT(--ISNUMBER(SEARCH('Category Dictionary'!$D$5:$D$135&amp;"",$C783)),--('Category Dictionary'!$D$5:$D$135&lt;&gt;"")))</f>
        <v/>
      </c>
      <c r="L783" s="27">
        <f>IF($A783="","",TRIM(IF(ISERROR(FIND(",",$C783)),$C783,LEFT($C783,FIND(",",$C783)-1))))</f>
        <v/>
      </c>
      <c r="M783" s="28">
        <f>IF($H783="","",DATE(YEAR($H783),MONTH($H783),1))</f>
        <v/>
      </c>
      <c r="N783" s="26">
        <f>IF($H783="","",TODAY()-$H783)</f>
        <v/>
      </c>
      <c r="O783" s="15" t="n"/>
      <c r="P783" s="15" t="n"/>
      <c r="Q783" s="15" t="n"/>
      <c r="R783" s="25" t="n"/>
      <c r="S783" s="26">
        <f>IF($A783="","",AND(OR('Assignment Builder'!$B$5="",$B783='Assignment Builder'!$B$5),OR('Assignment Builder'!$B$6="",ISNUMBER(SEARCH('Assignment Builder'!$B$6,$C783))),OR('Assignment Builder'!$B$7="",'Assignment Builder'!$B$7=IFERROR(INDEX('Category Dictionary'!$C$5:$C$135,MATCH($L783,'Category Dictionary'!$D$5:$D$135,0)),"")),OR('Assignment Builder'!$B$8="",$D783='Assignment Builder'!$B$8),OR('Assignment Builder'!$B$9="",$F783='Assignment Builder'!$B$9),OR('Assignment Builder'!$B$10="",$O783='Assignment Builder'!$B$10),OR('Assignment Builder'!$B$11="",$H783&gt;='Assignment Builder'!$B$11),OR('Assignment Builder'!$B$12="",N($Q783)&lt;='Assignment Builder'!$B$12)))</f>
        <v/>
      </c>
      <c r="T783" s="23" t="n"/>
    </row>
    <row r="784">
      <c r="A784" s="23" t="n"/>
      <c r="B784" s="23" t="n"/>
      <c r="C784" s="24" t="n"/>
      <c r="D784" s="15" t="n"/>
      <c r="E784" s="23" t="n"/>
      <c r="F784" s="15" t="n"/>
      <c r="G784" s="23" t="n"/>
      <c r="H784" s="25" t="n"/>
      <c r="I784" s="15" t="n"/>
      <c r="J784" s="26">
        <f>IF($A784="","",LEN($C784)-LEN(SUBSTITUTE($C784,",",""))+1)</f>
        <v/>
      </c>
      <c r="K784" s="26">
        <f>IF($A784="","",SUMPRODUCT(--ISNUMBER(SEARCH('Category Dictionary'!$D$5:$D$135&amp;"",$C784)),--('Category Dictionary'!$D$5:$D$135&lt;&gt;"")))</f>
        <v/>
      </c>
      <c r="L784" s="27">
        <f>IF($A784="","",TRIM(IF(ISERROR(FIND(",",$C784)),$C784,LEFT($C784,FIND(",",$C784)-1))))</f>
        <v/>
      </c>
      <c r="M784" s="28">
        <f>IF($H784="","",DATE(YEAR($H784),MONTH($H784),1))</f>
        <v/>
      </c>
      <c r="N784" s="26">
        <f>IF($H784="","",TODAY()-$H784)</f>
        <v/>
      </c>
      <c r="O784" s="15" t="n"/>
      <c r="P784" s="15" t="n"/>
      <c r="Q784" s="15" t="n"/>
      <c r="R784" s="25" t="n"/>
      <c r="S784" s="26">
        <f>IF($A784="","",AND(OR('Assignment Builder'!$B$5="",$B784='Assignment Builder'!$B$5),OR('Assignment Builder'!$B$6="",ISNUMBER(SEARCH('Assignment Builder'!$B$6,$C784))),OR('Assignment Builder'!$B$7="",'Assignment Builder'!$B$7=IFERROR(INDEX('Category Dictionary'!$C$5:$C$135,MATCH($L784,'Category Dictionary'!$D$5:$D$135,0)),"")),OR('Assignment Builder'!$B$8="",$D784='Assignment Builder'!$B$8),OR('Assignment Builder'!$B$9="",$F784='Assignment Builder'!$B$9),OR('Assignment Builder'!$B$10="",$O784='Assignment Builder'!$B$10),OR('Assignment Builder'!$B$11="",$H784&gt;='Assignment Builder'!$B$11),OR('Assignment Builder'!$B$12="",N($Q784)&lt;='Assignment Builder'!$B$12)))</f>
        <v/>
      </c>
      <c r="T784" s="23" t="n"/>
    </row>
    <row r="785">
      <c r="A785" s="23" t="n"/>
      <c r="B785" s="23" t="n"/>
      <c r="C785" s="24" t="n"/>
      <c r="D785" s="15" t="n"/>
      <c r="E785" s="23" t="n"/>
      <c r="F785" s="15" t="n"/>
      <c r="G785" s="23" t="n"/>
      <c r="H785" s="25" t="n"/>
      <c r="I785" s="15" t="n"/>
      <c r="J785" s="26">
        <f>IF($A785="","",LEN($C785)-LEN(SUBSTITUTE($C785,",",""))+1)</f>
        <v/>
      </c>
      <c r="K785" s="26">
        <f>IF($A785="","",SUMPRODUCT(--ISNUMBER(SEARCH('Category Dictionary'!$D$5:$D$135&amp;"",$C785)),--('Category Dictionary'!$D$5:$D$135&lt;&gt;"")))</f>
        <v/>
      </c>
      <c r="L785" s="27">
        <f>IF($A785="","",TRIM(IF(ISERROR(FIND(",",$C785)),$C785,LEFT($C785,FIND(",",$C785)-1))))</f>
        <v/>
      </c>
      <c r="M785" s="28">
        <f>IF($H785="","",DATE(YEAR($H785),MONTH($H785),1))</f>
        <v/>
      </c>
      <c r="N785" s="26">
        <f>IF($H785="","",TODAY()-$H785)</f>
        <v/>
      </c>
      <c r="O785" s="15" t="n"/>
      <c r="P785" s="15" t="n"/>
      <c r="Q785" s="15" t="n"/>
      <c r="R785" s="25" t="n"/>
      <c r="S785" s="26">
        <f>IF($A785="","",AND(OR('Assignment Builder'!$B$5="",$B785='Assignment Builder'!$B$5),OR('Assignment Builder'!$B$6="",ISNUMBER(SEARCH('Assignment Builder'!$B$6,$C785))),OR('Assignment Builder'!$B$7="",'Assignment Builder'!$B$7=IFERROR(INDEX('Category Dictionary'!$C$5:$C$135,MATCH($L785,'Category Dictionary'!$D$5:$D$135,0)),"")),OR('Assignment Builder'!$B$8="",$D785='Assignment Builder'!$B$8),OR('Assignment Builder'!$B$9="",$F785='Assignment Builder'!$B$9),OR('Assignment Builder'!$B$10="",$O785='Assignment Builder'!$B$10),OR('Assignment Builder'!$B$11="",$H785&gt;='Assignment Builder'!$B$11),OR('Assignment Builder'!$B$12="",N($Q785)&lt;='Assignment Builder'!$B$12)))</f>
        <v/>
      </c>
      <c r="T785" s="23" t="n"/>
    </row>
    <row r="786">
      <c r="A786" s="23" t="n"/>
      <c r="B786" s="23" t="n"/>
      <c r="C786" s="24" t="n"/>
      <c r="D786" s="15" t="n"/>
      <c r="E786" s="23" t="n"/>
      <c r="F786" s="15" t="n"/>
      <c r="G786" s="23" t="n"/>
      <c r="H786" s="25" t="n"/>
      <c r="I786" s="15" t="n"/>
      <c r="J786" s="26">
        <f>IF($A786="","",LEN($C786)-LEN(SUBSTITUTE($C786,",",""))+1)</f>
        <v/>
      </c>
      <c r="K786" s="26">
        <f>IF($A786="","",SUMPRODUCT(--ISNUMBER(SEARCH('Category Dictionary'!$D$5:$D$135&amp;"",$C786)),--('Category Dictionary'!$D$5:$D$135&lt;&gt;"")))</f>
        <v/>
      </c>
      <c r="L786" s="27">
        <f>IF($A786="","",TRIM(IF(ISERROR(FIND(",",$C786)),$C786,LEFT($C786,FIND(",",$C786)-1))))</f>
        <v/>
      </c>
      <c r="M786" s="28">
        <f>IF($H786="","",DATE(YEAR($H786),MONTH($H786),1))</f>
        <v/>
      </c>
      <c r="N786" s="26">
        <f>IF($H786="","",TODAY()-$H786)</f>
        <v/>
      </c>
      <c r="O786" s="15" t="n"/>
      <c r="P786" s="15" t="n"/>
      <c r="Q786" s="15" t="n"/>
      <c r="R786" s="25" t="n"/>
      <c r="S786" s="26">
        <f>IF($A786="","",AND(OR('Assignment Builder'!$B$5="",$B786='Assignment Builder'!$B$5),OR('Assignment Builder'!$B$6="",ISNUMBER(SEARCH('Assignment Builder'!$B$6,$C786))),OR('Assignment Builder'!$B$7="",'Assignment Builder'!$B$7=IFERROR(INDEX('Category Dictionary'!$C$5:$C$135,MATCH($L786,'Category Dictionary'!$D$5:$D$135,0)),"")),OR('Assignment Builder'!$B$8="",$D786='Assignment Builder'!$B$8),OR('Assignment Builder'!$B$9="",$F786='Assignment Builder'!$B$9),OR('Assignment Builder'!$B$10="",$O786='Assignment Builder'!$B$10),OR('Assignment Builder'!$B$11="",$H786&gt;='Assignment Builder'!$B$11),OR('Assignment Builder'!$B$12="",N($Q786)&lt;='Assignment Builder'!$B$12)))</f>
        <v/>
      </c>
      <c r="T786" s="23" t="n"/>
    </row>
    <row r="787">
      <c r="A787" s="23" t="n"/>
      <c r="B787" s="23" t="n"/>
      <c r="C787" s="24" t="n"/>
      <c r="D787" s="15" t="n"/>
      <c r="E787" s="23" t="n"/>
      <c r="F787" s="15" t="n"/>
      <c r="G787" s="23" t="n"/>
      <c r="H787" s="25" t="n"/>
      <c r="I787" s="15" t="n"/>
      <c r="J787" s="26">
        <f>IF($A787="","",LEN($C787)-LEN(SUBSTITUTE($C787,",",""))+1)</f>
        <v/>
      </c>
      <c r="K787" s="26">
        <f>IF($A787="","",SUMPRODUCT(--ISNUMBER(SEARCH('Category Dictionary'!$D$5:$D$135&amp;"",$C787)),--('Category Dictionary'!$D$5:$D$135&lt;&gt;"")))</f>
        <v/>
      </c>
      <c r="L787" s="27">
        <f>IF($A787="","",TRIM(IF(ISERROR(FIND(",",$C787)),$C787,LEFT($C787,FIND(",",$C787)-1))))</f>
        <v/>
      </c>
      <c r="M787" s="28">
        <f>IF($H787="","",DATE(YEAR($H787),MONTH($H787),1))</f>
        <v/>
      </c>
      <c r="N787" s="26">
        <f>IF($H787="","",TODAY()-$H787)</f>
        <v/>
      </c>
      <c r="O787" s="15" t="n"/>
      <c r="P787" s="15" t="n"/>
      <c r="Q787" s="15" t="n"/>
      <c r="R787" s="25" t="n"/>
      <c r="S787" s="26">
        <f>IF($A787="","",AND(OR('Assignment Builder'!$B$5="",$B787='Assignment Builder'!$B$5),OR('Assignment Builder'!$B$6="",ISNUMBER(SEARCH('Assignment Builder'!$B$6,$C787))),OR('Assignment Builder'!$B$7="",'Assignment Builder'!$B$7=IFERROR(INDEX('Category Dictionary'!$C$5:$C$135,MATCH($L787,'Category Dictionary'!$D$5:$D$135,0)),"")),OR('Assignment Builder'!$B$8="",$D787='Assignment Builder'!$B$8),OR('Assignment Builder'!$B$9="",$F787='Assignment Builder'!$B$9),OR('Assignment Builder'!$B$10="",$O787='Assignment Builder'!$B$10),OR('Assignment Builder'!$B$11="",$H787&gt;='Assignment Builder'!$B$11),OR('Assignment Builder'!$B$12="",N($Q787)&lt;='Assignment Builder'!$B$12)))</f>
        <v/>
      </c>
      <c r="T787" s="23" t="n"/>
    </row>
    <row r="788">
      <c r="A788" s="23" t="n"/>
      <c r="B788" s="23" t="n"/>
      <c r="C788" s="24" t="n"/>
      <c r="D788" s="15" t="n"/>
      <c r="E788" s="23" t="n"/>
      <c r="F788" s="15" t="n"/>
      <c r="G788" s="23" t="n"/>
      <c r="H788" s="25" t="n"/>
      <c r="I788" s="15" t="n"/>
      <c r="J788" s="26">
        <f>IF($A788="","",LEN($C788)-LEN(SUBSTITUTE($C788,",",""))+1)</f>
        <v/>
      </c>
      <c r="K788" s="26">
        <f>IF($A788="","",SUMPRODUCT(--ISNUMBER(SEARCH('Category Dictionary'!$D$5:$D$135&amp;"",$C788)),--('Category Dictionary'!$D$5:$D$135&lt;&gt;"")))</f>
        <v/>
      </c>
      <c r="L788" s="27">
        <f>IF($A788="","",TRIM(IF(ISERROR(FIND(",",$C788)),$C788,LEFT($C788,FIND(",",$C788)-1))))</f>
        <v/>
      </c>
      <c r="M788" s="28">
        <f>IF($H788="","",DATE(YEAR($H788),MONTH($H788),1))</f>
        <v/>
      </c>
      <c r="N788" s="26">
        <f>IF($H788="","",TODAY()-$H788)</f>
        <v/>
      </c>
      <c r="O788" s="15" t="n"/>
      <c r="P788" s="15" t="n"/>
      <c r="Q788" s="15" t="n"/>
      <c r="R788" s="25" t="n"/>
      <c r="S788" s="26">
        <f>IF($A788="","",AND(OR('Assignment Builder'!$B$5="",$B788='Assignment Builder'!$B$5),OR('Assignment Builder'!$B$6="",ISNUMBER(SEARCH('Assignment Builder'!$B$6,$C788))),OR('Assignment Builder'!$B$7="",'Assignment Builder'!$B$7=IFERROR(INDEX('Category Dictionary'!$C$5:$C$135,MATCH($L788,'Category Dictionary'!$D$5:$D$135,0)),"")),OR('Assignment Builder'!$B$8="",$D788='Assignment Builder'!$B$8),OR('Assignment Builder'!$B$9="",$F788='Assignment Builder'!$B$9),OR('Assignment Builder'!$B$10="",$O788='Assignment Builder'!$B$10),OR('Assignment Builder'!$B$11="",$H788&gt;='Assignment Builder'!$B$11),OR('Assignment Builder'!$B$12="",N($Q788)&lt;='Assignment Builder'!$B$12)))</f>
        <v/>
      </c>
      <c r="T788" s="23" t="n"/>
    </row>
    <row r="789">
      <c r="A789" s="23" t="n"/>
      <c r="B789" s="23" t="n"/>
      <c r="C789" s="24" t="n"/>
      <c r="D789" s="15" t="n"/>
      <c r="E789" s="23" t="n"/>
      <c r="F789" s="15" t="n"/>
      <c r="G789" s="23" t="n"/>
      <c r="H789" s="25" t="n"/>
      <c r="I789" s="15" t="n"/>
      <c r="J789" s="26">
        <f>IF($A789="","",LEN($C789)-LEN(SUBSTITUTE($C789,",",""))+1)</f>
        <v/>
      </c>
      <c r="K789" s="26">
        <f>IF($A789="","",SUMPRODUCT(--ISNUMBER(SEARCH('Category Dictionary'!$D$5:$D$135&amp;"",$C789)),--('Category Dictionary'!$D$5:$D$135&lt;&gt;"")))</f>
        <v/>
      </c>
      <c r="L789" s="27">
        <f>IF($A789="","",TRIM(IF(ISERROR(FIND(",",$C789)),$C789,LEFT($C789,FIND(",",$C789)-1))))</f>
        <v/>
      </c>
      <c r="M789" s="28">
        <f>IF($H789="","",DATE(YEAR($H789),MONTH($H789),1))</f>
        <v/>
      </c>
      <c r="N789" s="26">
        <f>IF($H789="","",TODAY()-$H789)</f>
        <v/>
      </c>
      <c r="O789" s="15" t="n"/>
      <c r="P789" s="15" t="n"/>
      <c r="Q789" s="15" t="n"/>
      <c r="R789" s="25" t="n"/>
      <c r="S789" s="26">
        <f>IF($A789="","",AND(OR('Assignment Builder'!$B$5="",$B789='Assignment Builder'!$B$5),OR('Assignment Builder'!$B$6="",ISNUMBER(SEARCH('Assignment Builder'!$B$6,$C789))),OR('Assignment Builder'!$B$7="",'Assignment Builder'!$B$7=IFERROR(INDEX('Category Dictionary'!$C$5:$C$135,MATCH($L789,'Category Dictionary'!$D$5:$D$135,0)),"")),OR('Assignment Builder'!$B$8="",$D789='Assignment Builder'!$B$8),OR('Assignment Builder'!$B$9="",$F789='Assignment Builder'!$B$9),OR('Assignment Builder'!$B$10="",$O789='Assignment Builder'!$B$10),OR('Assignment Builder'!$B$11="",$H789&gt;='Assignment Builder'!$B$11),OR('Assignment Builder'!$B$12="",N($Q789)&lt;='Assignment Builder'!$B$12)))</f>
        <v/>
      </c>
      <c r="T789" s="23" t="n"/>
    </row>
    <row r="790">
      <c r="A790" s="23" t="n"/>
      <c r="B790" s="23" t="n"/>
      <c r="C790" s="24" t="n"/>
      <c r="D790" s="15" t="n"/>
      <c r="E790" s="23" t="n"/>
      <c r="F790" s="15" t="n"/>
      <c r="G790" s="23" t="n"/>
      <c r="H790" s="25" t="n"/>
      <c r="I790" s="15" t="n"/>
      <c r="J790" s="26">
        <f>IF($A790="","",LEN($C790)-LEN(SUBSTITUTE($C790,",",""))+1)</f>
        <v/>
      </c>
      <c r="K790" s="26">
        <f>IF($A790="","",SUMPRODUCT(--ISNUMBER(SEARCH('Category Dictionary'!$D$5:$D$135&amp;"",$C790)),--('Category Dictionary'!$D$5:$D$135&lt;&gt;"")))</f>
        <v/>
      </c>
      <c r="L790" s="27">
        <f>IF($A790="","",TRIM(IF(ISERROR(FIND(",",$C790)),$C790,LEFT($C790,FIND(",",$C790)-1))))</f>
        <v/>
      </c>
      <c r="M790" s="28">
        <f>IF($H790="","",DATE(YEAR($H790),MONTH($H790),1))</f>
        <v/>
      </c>
      <c r="N790" s="26">
        <f>IF($H790="","",TODAY()-$H790)</f>
        <v/>
      </c>
      <c r="O790" s="15" t="n"/>
      <c r="P790" s="15" t="n"/>
      <c r="Q790" s="15" t="n"/>
      <c r="R790" s="25" t="n"/>
      <c r="S790" s="26">
        <f>IF($A790="","",AND(OR('Assignment Builder'!$B$5="",$B790='Assignment Builder'!$B$5),OR('Assignment Builder'!$B$6="",ISNUMBER(SEARCH('Assignment Builder'!$B$6,$C790))),OR('Assignment Builder'!$B$7="",'Assignment Builder'!$B$7=IFERROR(INDEX('Category Dictionary'!$C$5:$C$135,MATCH($L790,'Category Dictionary'!$D$5:$D$135,0)),"")),OR('Assignment Builder'!$B$8="",$D790='Assignment Builder'!$B$8),OR('Assignment Builder'!$B$9="",$F790='Assignment Builder'!$B$9),OR('Assignment Builder'!$B$10="",$O790='Assignment Builder'!$B$10),OR('Assignment Builder'!$B$11="",$H790&gt;='Assignment Builder'!$B$11),OR('Assignment Builder'!$B$12="",N($Q790)&lt;='Assignment Builder'!$B$12)))</f>
        <v/>
      </c>
      <c r="T790" s="23" t="n"/>
    </row>
    <row r="791">
      <c r="A791" s="23" t="n"/>
      <c r="B791" s="23" t="n"/>
      <c r="C791" s="24" t="n"/>
      <c r="D791" s="15" t="n"/>
      <c r="E791" s="23" t="n"/>
      <c r="F791" s="15" t="n"/>
      <c r="G791" s="23" t="n"/>
      <c r="H791" s="25" t="n"/>
      <c r="I791" s="15" t="n"/>
      <c r="J791" s="26">
        <f>IF($A791="","",LEN($C791)-LEN(SUBSTITUTE($C791,",",""))+1)</f>
        <v/>
      </c>
      <c r="K791" s="26">
        <f>IF($A791="","",SUMPRODUCT(--ISNUMBER(SEARCH('Category Dictionary'!$D$5:$D$135&amp;"",$C791)),--('Category Dictionary'!$D$5:$D$135&lt;&gt;"")))</f>
        <v/>
      </c>
      <c r="L791" s="27">
        <f>IF($A791="","",TRIM(IF(ISERROR(FIND(",",$C791)),$C791,LEFT($C791,FIND(",",$C791)-1))))</f>
        <v/>
      </c>
      <c r="M791" s="28">
        <f>IF($H791="","",DATE(YEAR($H791),MONTH($H791),1))</f>
        <v/>
      </c>
      <c r="N791" s="26">
        <f>IF($H791="","",TODAY()-$H791)</f>
        <v/>
      </c>
      <c r="O791" s="15" t="n"/>
      <c r="P791" s="15" t="n"/>
      <c r="Q791" s="15" t="n"/>
      <c r="R791" s="25" t="n"/>
      <c r="S791" s="26">
        <f>IF($A791="","",AND(OR('Assignment Builder'!$B$5="",$B791='Assignment Builder'!$B$5),OR('Assignment Builder'!$B$6="",ISNUMBER(SEARCH('Assignment Builder'!$B$6,$C791))),OR('Assignment Builder'!$B$7="",'Assignment Builder'!$B$7=IFERROR(INDEX('Category Dictionary'!$C$5:$C$135,MATCH($L791,'Category Dictionary'!$D$5:$D$135,0)),"")),OR('Assignment Builder'!$B$8="",$D791='Assignment Builder'!$B$8),OR('Assignment Builder'!$B$9="",$F791='Assignment Builder'!$B$9),OR('Assignment Builder'!$B$10="",$O791='Assignment Builder'!$B$10),OR('Assignment Builder'!$B$11="",$H791&gt;='Assignment Builder'!$B$11),OR('Assignment Builder'!$B$12="",N($Q791)&lt;='Assignment Builder'!$B$12)))</f>
        <v/>
      </c>
      <c r="T791" s="23" t="n"/>
    </row>
    <row r="792">
      <c r="A792" s="23" t="n"/>
      <c r="B792" s="23" t="n"/>
      <c r="C792" s="24" t="n"/>
      <c r="D792" s="15" t="n"/>
      <c r="E792" s="23" t="n"/>
      <c r="F792" s="15" t="n"/>
      <c r="G792" s="23" t="n"/>
      <c r="H792" s="25" t="n"/>
      <c r="I792" s="15" t="n"/>
      <c r="J792" s="26">
        <f>IF($A792="","",LEN($C792)-LEN(SUBSTITUTE($C792,",",""))+1)</f>
        <v/>
      </c>
      <c r="K792" s="26">
        <f>IF($A792="","",SUMPRODUCT(--ISNUMBER(SEARCH('Category Dictionary'!$D$5:$D$135&amp;"",$C792)),--('Category Dictionary'!$D$5:$D$135&lt;&gt;"")))</f>
        <v/>
      </c>
      <c r="L792" s="27">
        <f>IF($A792="","",TRIM(IF(ISERROR(FIND(",",$C792)),$C792,LEFT($C792,FIND(",",$C792)-1))))</f>
        <v/>
      </c>
      <c r="M792" s="28">
        <f>IF($H792="","",DATE(YEAR($H792),MONTH($H792),1))</f>
        <v/>
      </c>
      <c r="N792" s="26">
        <f>IF($H792="","",TODAY()-$H792)</f>
        <v/>
      </c>
      <c r="O792" s="15" t="n"/>
      <c r="P792" s="15" t="n"/>
      <c r="Q792" s="15" t="n"/>
      <c r="R792" s="25" t="n"/>
      <c r="S792" s="26">
        <f>IF($A792="","",AND(OR('Assignment Builder'!$B$5="",$B792='Assignment Builder'!$B$5),OR('Assignment Builder'!$B$6="",ISNUMBER(SEARCH('Assignment Builder'!$B$6,$C792))),OR('Assignment Builder'!$B$7="",'Assignment Builder'!$B$7=IFERROR(INDEX('Category Dictionary'!$C$5:$C$135,MATCH($L792,'Category Dictionary'!$D$5:$D$135,0)),"")),OR('Assignment Builder'!$B$8="",$D792='Assignment Builder'!$B$8),OR('Assignment Builder'!$B$9="",$F792='Assignment Builder'!$B$9),OR('Assignment Builder'!$B$10="",$O792='Assignment Builder'!$B$10),OR('Assignment Builder'!$B$11="",$H792&gt;='Assignment Builder'!$B$11),OR('Assignment Builder'!$B$12="",N($Q792)&lt;='Assignment Builder'!$B$12)))</f>
        <v/>
      </c>
      <c r="T792" s="23" t="n"/>
    </row>
    <row r="793">
      <c r="A793" s="23" t="n"/>
      <c r="B793" s="23" t="n"/>
      <c r="C793" s="24" t="n"/>
      <c r="D793" s="15" t="n"/>
      <c r="E793" s="23" t="n"/>
      <c r="F793" s="15" t="n"/>
      <c r="G793" s="23" t="n"/>
      <c r="H793" s="25" t="n"/>
      <c r="I793" s="15" t="n"/>
      <c r="J793" s="26">
        <f>IF($A793="","",LEN($C793)-LEN(SUBSTITUTE($C793,",",""))+1)</f>
        <v/>
      </c>
      <c r="K793" s="26">
        <f>IF($A793="","",SUMPRODUCT(--ISNUMBER(SEARCH('Category Dictionary'!$D$5:$D$135&amp;"",$C793)),--('Category Dictionary'!$D$5:$D$135&lt;&gt;"")))</f>
        <v/>
      </c>
      <c r="L793" s="27">
        <f>IF($A793="","",TRIM(IF(ISERROR(FIND(",",$C793)),$C793,LEFT($C793,FIND(",",$C793)-1))))</f>
        <v/>
      </c>
      <c r="M793" s="28">
        <f>IF($H793="","",DATE(YEAR($H793),MONTH($H793),1))</f>
        <v/>
      </c>
      <c r="N793" s="26">
        <f>IF($H793="","",TODAY()-$H793)</f>
        <v/>
      </c>
      <c r="O793" s="15" t="n"/>
      <c r="P793" s="15" t="n"/>
      <c r="Q793" s="15" t="n"/>
      <c r="R793" s="25" t="n"/>
      <c r="S793" s="26">
        <f>IF($A793="","",AND(OR('Assignment Builder'!$B$5="",$B793='Assignment Builder'!$B$5),OR('Assignment Builder'!$B$6="",ISNUMBER(SEARCH('Assignment Builder'!$B$6,$C793))),OR('Assignment Builder'!$B$7="",'Assignment Builder'!$B$7=IFERROR(INDEX('Category Dictionary'!$C$5:$C$135,MATCH($L793,'Category Dictionary'!$D$5:$D$135,0)),"")),OR('Assignment Builder'!$B$8="",$D793='Assignment Builder'!$B$8),OR('Assignment Builder'!$B$9="",$F793='Assignment Builder'!$B$9),OR('Assignment Builder'!$B$10="",$O793='Assignment Builder'!$B$10),OR('Assignment Builder'!$B$11="",$H793&gt;='Assignment Builder'!$B$11),OR('Assignment Builder'!$B$12="",N($Q793)&lt;='Assignment Builder'!$B$12)))</f>
        <v/>
      </c>
      <c r="T793" s="23" t="n"/>
    </row>
    <row r="794">
      <c r="A794" s="23" t="n"/>
      <c r="B794" s="23" t="n"/>
      <c r="C794" s="24" t="n"/>
      <c r="D794" s="15" t="n"/>
      <c r="E794" s="23" t="n"/>
      <c r="F794" s="15" t="n"/>
      <c r="G794" s="23" t="n"/>
      <c r="H794" s="25" t="n"/>
      <c r="I794" s="15" t="n"/>
      <c r="J794" s="26">
        <f>IF($A794="","",LEN($C794)-LEN(SUBSTITUTE($C794,",",""))+1)</f>
        <v/>
      </c>
      <c r="K794" s="26">
        <f>IF($A794="","",SUMPRODUCT(--ISNUMBER(SEARCH('Category Dictionary'!$D$5:$D$135&amp;"",$C794)),--('Category Dictionary'!$D$5:$D$135&lt;&gt;"")))</f>
        <v/>
      </c>
      <c r="L794" s="27">
        <f>IF($A794="","",TRIM(IF(ISERROR(FIND(",",$C794)),$C794,LEFT($C794,FIND(",",$C794)-1))))</f>
        <v/>
      </c>
      <c r="M794" s="28">
        <f>IF($H794="","",DATE(YEAR($H794),MONTH($H794),1))</f>
        <v/>
      </c>
      <c r="N794" s="26">
        <f>IF($H794="","",TODAY()-$H794)</f>
        <v/>
      </c>
      <c r="O794" s="15" t="n"/>
      <c r="P794" s="15" t="n"/>
      <c r="Q794" s="15" t="n"/>
      <c r="R794" s="25" t="n"/>
      <c r="S794" s="26">
        <f>IF($A794="","",AND(OR('Assignment Builder'!$B$5="",$B794='Assignment Builder'!$B$5),OR('Assignment Builder'!$B$6="",ISNUMBER(SEARCH('Assignment Builder'!$B$6,$C794))),OR('Assignment Builder'!$B$7="",'Assignment Builder'!$B$7=IFERROR(INDEX('Category Dictionary'!$C$5:$C$135,MATCH($L794,'Category Dictionary'!$D$5:$D$135,0)),"")),OR('Assignment Builder'!$B$8="",$D794='Assignment Builder'!$B$8),OR('Assignment Builder'!$B$9="",$F794='Assignment Builder'!$B$9),OR('Assignment Builder'!$B$10="",$O794='Assignment Builder'!$B$10),OR('Assignment Builder'!$B$11="",$H794&gt;='Assignment Builder'!$B$11),OR('Assignment Builder'!$B$12="",N($Q794)&lt;='Assignment Builder'!$B$12)))</f>
        <v/>
      </c>
      <c r="T794" s="23" t="n"/>
    </row>
    <row r="795">
      <c r="A795" s="23" t="n"/>
      <c r="B795" s="23" t="n"/>
      <c r="C795" s="24" t="n"/>
      <c r="D795" s="15" t="n"/>
      <c r="E795" s="23" t="n"/>
      <c r="F795" s="15" t="n"/>
      <c r="G795" s="23" t="n"/>
      <c r="H795" s="25" t="n"/>
      <c r="I795" s="15" t="n"/>
      <c r="J795" s="26">
        <f>IF($A795="","",LEN($C795)-LEN(SUBSTITUTE($C795,",",""))+1)</f>
        <v/>
      </c>
      <c r="K795" s="26">
        <f>IF($A795="","",SUMPRODUCT(--ISNUMBER(SEARCH('Category Dictionary'!$D$5:$D$135&amp;"",$C795)),--('Category Dictionary'!$D$5:$D$135&lt;&gt;"")))</f>
        <v/>
      </c>
      <c r="L795" s="27">
        <f>IF($A795="","",TRIM(IF(ISERROR(FIND(",",$C795)),$C795,LEFT($C795,FIND(",",$C795)-1))))</f>
        <v/>
      </c>
      <c r="M795" s="28">
        <f>IF($H795="","",DATE(YEAR($H795),MONTH($H795),1))</f>
        <v/>
      </c>
      <c r="N795" s="26">
        <f>IF($H795="","",TODAY()-$H795)</f>
        <v/>
      </c>
      <c r="O795" s="15" t="n"/>
      <c r="P795" s="15" t="n"/>
      <c r="Q795" s="15" t="n"/>
      <c r="R795" s="25" t="n"/>
      <c r="S795" s="26">
        <f>IF($A795="","",AND(OR('Assignment Builder'!$B$5="",$B795='Assignment Builder'!$B$5),OR('Assignment Builder'!$B$6="",ISNUMBER(SEARCH('Assignment Builder'!$B$6,$C795))),OR('Assignment Builder'!$B$7="",'Assignment Builder'!$B$7=IFERROR(INDEX('Category Dictionary'!$C$5:$C$135,MATCH($L795,'Category Dictionary'!$D$5:$D$135,0)),"")),OR('Assignment Builder'!$B$8="",$D795='Assignment Builder'!$B$8),OR('Assignment Builder'!$B$9="",$F795='Assignment Builder'!$B$9),OR('Assignment Builder'!$B$10="",$O795='Assignment Builder'!$B$10),OR('Assignment Builder'!$B$11="",$H795&gt;='Assignment Builder'!$B$11),OR('Assignment Builder'!$B$12="",N($Q795)&lt;='Assignment Builder'!$B$12)))</f>
        <v/>
      </c>
      <c r="T795" s="23" t="n"/>
    </row>
    <row r="796">
      <c r="A796" s="23" t="n"/>
      <c r="B796" s="23" t="n"/>
      <c r="C796" s="24" t="n"/>
      <c r="D796" s="15" t="n"/>
      <c r="E796" s="23" t="n"/>
      <c r="F796" s="15" t="n"/>
      <c r="G796" s="23" t="n"/>
      <c r="H796" s="25" t="n"/>
      <c r="I796" s="15" t="n"/>
      <c r="J796" s="26">
        <f>IF($A796="","",LEN($C796)-LEN(SUBSTITUTE($C796,",",""))+1)</f>
        <v/>
      </c>
      <c r="K796" s="26">
        <f>IF($A796="","",SUMPRODUCT(--ISNUMBER(SEARCH('Category Dictionary'!$D$5:$D$135&amp;"",$C796)),--('Category Dictionary'!$D$5:$D$135&lt;&gt;"")))</f>
        <v/>
      </c>
      <c r="L796" s="27">
        <f>IF($A796="","",TRIM(IF(ISERROR(FIND(",",$C796)),$C796,LEFT($C796,FIND(",",$C796)-1))))</f>
        <v/>
      </c>
      <c r="M796" s="28">
        <f>IF($H796="","",DATE(YEAR($H796),MONTH($H796),1))</f>
        <v/>
      </c>
      <c r="N796" s="26">
        <f>IF($H796="","",TODAY()-$H796)</f>
        <v/>
      </c>
      <c r="O796" s="15" t="n"/>
      <c r="P796" s="15" t="n"/>
      <c r="Q796" s="15" t="n"/>
      <c r="R796" s="25" t="n"/>
      <c r="S796" s="26">
        <f>IF($A796="","",AND(OR('Assignment Builder'!$B$5="",$B796='Assignment Builder'!$B$5),OR('Assignment Builder'!$B$6="",ISNUMBER(SEARCH('Assignment Builder'!$B$6,$C796))),OR('Assignment Builder'!$B$7="",'Assignment Builder'!$B$7=IFERROR(INDEX('Category Dictionary'!$C$5:$C$135,MATCH($L796,'Category Dictionary'!$D$5:$D$135,0)),"")),OR('Assignment Builder'!$B$8="",$D796='Assignment Builder'!$B$8),OR('Assignment Builder'!$B$9="",$F796='Assignment Builder'!$B$9),OR('Assignment Builder'!$B$10="",$O796='Assignment Builder'!$B$10),OR('Assignment Builder'!$B$11="",$H796&gt;='Assignment Builder'!$B$11),OR('Assignment Builder'!$B$12="",N($Q796)&lt;='Assignment Builder'!$B$12)))</f>
        <v/>
      </c>
      <c r="T796" s="23" t="n"/>
    </row>
    <row r="797">
      <c r="A797" s="23" t="n"/>
      <c r="B797" s="23" t="n"/>
      <c r="C797" s="24" t="n"/>
      <c r="D797" s="15" t="n"/>
      <c r="E797" s="23" t="n"/>
      <c r="F797" s="15" t="n"/>
      <c r="G797" s="23" t="n"/>
      <c r="H797" s="25" t="n"/>
      <c r="I797" s="15" t="n"/>
      <c r="J797" s="26">
        <f>IF($A797="","",LEN($C797)-LEN(SUBSTITUTE($C797,",",""))+1)</f>
        <v/>
      </c>
      <c r="K797" s="26">
        <f>IF($A797="","",SUMPRODUCT(--ISNUMBER(SEARCH('Category Dictionary'!$D$5:$D$135&amp;"",$C797)),--('Category Dictionary'!$D$5:$D$135&lt;&gt;"")))</f>
        <v/>
      </c>
      <c r="L797" s="27">
        <f>IF($A797="","",TRIM(IF(ISERROR(FIND(",",$C797)),$C797,LEFT($C797,FIND(",",$C797)-1))))</f>
        <v/>
      </c>
      <c r="M797" s="28">
        <f>IF($H797="","",DATE(YEAR($H797),MONTH($H797),1))</f>
        <v/>
      </c>
      <c r="N797" s="26">
        <f>IF($H797="","",TODAY()-$H797)</f>
        <v/>
      </c>
      <c r="O797" s="15" t="n"/>
      <c r="P797" s="15" t="n"/>
      <c r="Q797" s="15" t="n"/>
      <c r="R797" s="25" t="n"/>
      <c r="S797" s="26">
        <f>IF($A797="","",AND(OR('Assignment Builder'!$B$5="",$B797='Assignment Builder'!$B$5),OR('Assignment Builder'!$B$6="",ISNUMBER(SEARCH('Assignment Builder'!$B$6,$C797))),OR('Assignment Builder'!$B$7="",'Assignment Builder'!$B$7=IFERROR(INDEX('Category Dictionary'!$C$5:$C$135,MATCH($L797,'Category Dictionary'!$D$5:$D$135,0)),"")),OR('Assignment Builder'!$B$8="",$D797='Assignment Builder'!$B$8),OR('Assignment Builder'!$B$9="",$F797='Assignment Builder'!$B$9),OR('Assignment Builder'!$B$10="",$O797='Assignment Builder'!$B$10),OR('Assignment Builder'!$B$11="",$H797&gt;='Assignment Builder'!$B$11),OR('Assignment Builder'!$B$12="",N($Q797)&lt;='Assignment Builder'!$B$12)))</f>
        <v/>
      </c>
      <c r="T797" s="23" t="n"/>
    </row>
    <row r="798">
      <c r="A798" s="23" t="n"/>
      <c r="B798" s="23" t="n"/>
      <c r="C798" s="24" t="n"/>
      <c r="D798" s="15" t="n"/>
      <c r="E798" s="23" t="n"/>
      <c r="F798" s="15" t="n"/>
      <c r="G798" s="23" t="n"/>
      <c r="H798" s="25" t="n"/>
      <c r="I798" s="15" t="n"/>
      <c r="J798" s="26">
        <f>IF($A798="","",LEN($C798)-LEN(SUBSTITUTE($C798,",",""))+1)</f>
        <v/>
      </c>
      <c r="K798" s="26">
        <f>IF($A798="","",SUMPRODUCT(--ISNUMBER(SEARCH('Category Dictionary'!$D$5:$D$135&amp;"",$C798)),--('Category Dictionary'!$D$5:$D$135&lt;&gt;"")))</f>
        <v/>
      </c>
      <c r="L798" s="27">
        <f>IF($A798="","",TRIM(IF(ISERROR(FIND(",",$C798)),$C798,LEFT($C798,FIND(",",$C798)-1))))</f>
        <v/>
      </c>
      <c r="M798" s="28">
        <f>IF($H798="","",DATE(YEAR($H798),MONTH($H798),1))</f>
        <v/>
      </c>
      <c r="N798" s="26">
        <f>IF($H798="","",TODAY()-$H798)</f>
        <v/>
      </c>
      <c r="O798" s="15" t="n"/>
      <c r="P798" s="15" t="n"/>
      <c r="Q798" s="15" t="n"/>
      <c r="R798" s="25" t="n"/>
      <c r="S798" s="26">
        <f>IF($A798="","",AND(OR('Assignment Builder'!$B$5="",$B798='Assignment Builder'!$B$5),OR('Assignment Builder'!$B$6="",ISNUMBER(SEARCH('Assignment Builder'!$B$6,$C798))),OR('Assignment Builder'!$B$7="",'Assignment Builder'!$B$7=IFERROR(INDEX('Category Dictionary'!$C$5:$C$135,MATCH($L798,'Category Dictionary'!$D$5:$D$135,0)),"")),OR('Assignment Builder'!$B$8="",$D798='Assignment Builder'!$B$8),OR('Assignment Builder'!$B$9="",$F798='Assignment Builder'!$B$9),OR('Assignment Builder'!$B$10="",$O798='Assignment Builder'!$B$10),OR('Assignment Builder'!$B$11="",$H798&gt;='Assignment Builder'!$B$11),OR('Assignment Builder'!$B$12="",N($Q798)&lt;='Assignment Builder'!$B$12)))</f>
        <v/>
      </c>
      <c r="T798" s="23" t="n"/>
    </row>
    <row r="799">
      <c r="A799" s="23" t="n"/>
      <c r="B799" s="23" t="n"/>
      <c r="C799" s="24" t="n"/>
      <c r="D799" s="15" t="n"/>
      <c r="E799" s="23" t="n"/>
      <c r="F799" s="15" t="n"/>
      <c r="G799" s="23" t="n"/>
      <c r="H799" s="25" t="n"/>
      <c r="I799" s="15" t="n"/>
      <c r="J799" s="26">
        <f>IF($A799="","",LEN($C799)-LEN(SUBSTITUTE($C799,",",""))+1)</f>
        <v/>
      </c>
      <c r="K799" s="26">
        <f>IF($A799="","",SUMPRODUCT(--ISNUMBER(SEARCH('Category Dictionary'!$D$5:$D$135&amp;"",$C799)),--('Category Dictionary'!$D$5:$D$135&lt;&gt;"")))</f>
        <v/>
      </c>
      <c r="L799" s="27">
        <f>IF($A799="","",TRIM(IF(ISERROR(FIND(",",$C799)),$C799,LEFT($C799,FIND(",",$C799)-1))))</f>
        <v/>
      </c>
      <c r="M799" s="28">
        <f>IF($H799="","",DATE(YEAR($H799),MONTH($H799),1))</f>
        <v/>
      </c>
      <c r="N799" s="26">
        <f>IF($H799="","",TODAY()-$H799)</f>
        <v/>
      </c>
      <c r="O799" s="15" t="n"/>
      <c r="P799" s="15" t="n"/>
      <c r="Q799" s="15" t="n"/>
      <c r="R799" s="25" t="n"/>
      <c r="S799" s="26">
        <f>IF($A799="","",AND(OR('Assignment Builder'!$B$5="",$B799='Assignment Builder'!$B$5),OR('Assignment Builder'!$B$6="",ISNUMBER(SEARCH('Assignment Builder'!$B$6,$C799))),OR('Assignment Builder'!$B$7="",'Assignment Builder'!$B$7=IFERROR(INDEX('Category Dictionary'!$C$5:$C$135,MATCH($L799,'Category Dictionary'!$D$5:$D$135,0)),"")),OR('Assignment Builder'!$B$8="",$D799='Assignment Builder'!$B$8),OR('Assignment Builder'!$B$9="",$F799='Assignment Builder'!$B$9),OR('Assignment Builder'!$B$10="",$O799='Assignment Builder'!$B$10),OR('Assignment Builder'!$B$11="",$H799&gt;='Assignment Builder'!$B$11),OR('Assignment Builder'!$B$12="",N($Q799)&lt;='Assignment Builder'!$B$12)))</f>
        <v/>
      </c>
      <c r="T799" s="23" t="n"/>
    </row>
    <row r="800">
      <c r="A800" s="23" t="n"/>
      <c r="B800" s="23" t="n"/>
      <c r="C800" s="24" t="n"/>
      <c r="D800" s="15" t="n"/>
      <c r="E800" s="23" t="n"/>
      <c r="F800" s="15" t="n"/>
      <c r="G800" s="23" t="n"/>
      <c r="H800" s="25" t="n"/>
      <c r="I800" s="15" t="n"/>
      <c r="J800" s="26">
        <f>IF($A800="","",LEN($C800)-LEN(SUBSTITUTE($C800,",",""))+1)</f>
        <v/>
      </c>
      <c r="K800" s="26">
        <f>IF($A800="","",SUMPRODUCT(--ISNUMBER(SEARCH('Category Dictionary'!$D$5:$D$135&amp;"",$C800)),--('Category Dictionary'!$D$5:$D$135&lt;&gt;"")))</f>
        <v/>
      </c>
      <c r="L800" s="27">
        <f>IF($A800="","",TRIM(IF(ISERROR(FIND(",",$C800)),$C800,LEFT($C800,FIND(",",$C800)-1))))</f>
        <v/>
      </c>
      <c r="M800" s="28">
        <f>IF($H800="","",DATE(YEAR($H800),MONTH($H800),1))</f>
        <v/>
      </c>
      <c r="N800" s="26">
        <f>IF($H800="","",TODAY()-$H800)</f>
        <v/>
      </c>
      <c r="O800" s="15" t="n"/>
      <c r="P800" s="15" t="n"/>
      <c r="Q800" s="15" t="n"/>
      <c r="R800" s="25" t="n"/>
      <c r="S800" s="26">
        <f>IF($A800="","",AND(OR('Assignment Builder'!$B$5="",$B800='Assignment Builder'!$B$5),OR('Assignment Builder'!$B$6="",ISNUMBER(SEARCH('Assignment Builder'!$B$6,$C800))),OR('Assignment Builder'!$B$7="",'Assignment Builder'!$B$7=IFERROR(INDEX('Category Dictionary'!$C$5:$C$135,MATCH($L800,'Category Dictionary'!$D$5:$D$135,0)),"")),OR('Assignment Builder'!$B$8="",$D800='Assignment Builder'!$B$8),OR('Assignment Builder'!$B$9="",$F800='Assignment Builder'!$B$9),OR('Assignment Builder'!$B$10="",$O800='Assignment Builder'!$B$10),OR('Assignment Builder'!$B$11="",$H800&gt;='Assignment Builder'!$B$11),OR('Assignment Builder'!$B$12="",N($Q800)&lt;='Assignment Builder'!$B$12)))</f>
        <v/>
      </c>
      <c r="T800" s="23" t="n"/>
    </row>
    <row r="801">
      <c r="A801" s="23" t="n"/>
      <c r="B801" s="23" t="n"/>
      <c r="C801" s="24" t="n"/>
      <c r="D801" s="15" t="n"/>
      <c r="E801" s="23" t="n"/>
      <c r="F801" s="15" t="n"/>
      <c r="G801" s="23" t="n"/>
      <c r="H801" s="25" t="n"/>
      <c r="I801" s="15" t="n"/>
      <c r="J801" s="26">
        <f>IF($A801="","",LEN($C801)-LEN(SUBSTITUTE($C801,",",""))+1)</f>
        <v/>
      </c>
      <c r="K801" s="26">
        <f>IF($A801="","",SUMPRODUCT(--ISNUMBER(SEARCH('Category Dictionary'!$D$5:$D$135&amp;"",$C801)),--('Category Dictionary'!$D$5:$D$135&lt;&gt;"")))</f>
        <v/>
      </c>
      <c r="L801" s="27">
        <f>IF($A801="","",TRIM(IF(ISERROR(FIND(",",$C801)),$C801,LEFT($C801,FIND(",",$C801)-1))))</f>
        <v/>
      </c>
      <c r="M801" s="28">
        <f>IF($H801="","",DATE(YEAR($H801),MONTH($H801),1))</f>
        <v/>
      </c>
      <c r="N801" s="26">
        <f>IF($H801="","",TODAY()-$H801)</f>
        <v/>
      </c>
      <c r="O801" s="15" t="n"/>
      <c r="P801" s="15" t="n"/>
      <c r="Q801" s="15" t="n"/>
      <c r="R801" s="25" t="n"/>
      <c r="S801" s="26">
        <f>IF($A801="","",AND(OR('Assignment Builder'!$B$5="",$B801='Assignment Builder'!$B$5),OR('Assignment Builder'!$B$6="",ISNUMBER(SEARCH('Assignment Builder'!$B$6,$C801))),OR('Assignment Builder'!$B$7="",'Assignment Builder'!$B$7=IFERROR(INDEX('Category Dictionary'!$C$5:$C$135,MATCH($L801,'Category Dictionary'!$D$5:$D$135,0)),"")),OR('Assignment Builder'!$B$8="",$D801='Assignment Builder'!$B$8),OR('Assignment Builder'!$B$9="",$F801='Assignment Builder'!$B$9),OR('Assignment Builder'!$B$10="",$O801='Assignment Builder'!$B$10),OR('Assignment Builder'!$B$11="",$H801&gt;='Assignment Builder'!$B$11),OR('Assignment Builder'!$B$12="",N($Q801)&lt;='Assignment Builder'!$B$12)))</f>
        <v/>
      </c>
      <c r="T801" s="23" t="n"/>
    </row>
    <row r="802">
      <c r="A802" s="23" t="n"/>
      <c r="B802" s="23" t="n"/>
      <c r="C802" s="24" t="n"/>
      <c r="D802" s="15" t="n"/>
      <c r="E802" s="23" t="n"/>
      <c r="F802" s="15" t="n"/>
      <c r="G802" s="23" t="n"/>
      <c r="H802" s="25" t="n"/>
      <c r="I802" s="15" t="n"/>
      <c r="J802" s="26">
        <f>IF($A802="","",LEN($C802)-LEN(SUBSTITUTE($C802,",",""))+1)</f>
        <v/>
      </c>
      <c r="K802" s="26">
        <f>IF($A802="","",SUMPRODUCT(--ISNUMBER(SEARCH('Category Dictionary'!$D$5:$D$135&amp;"",$C802)),--('Category Dictionary'!$D$5:$D$135&lt;&gt;"")))</f>
        <v/>
      </c>
      <c r="L802" s="27">
        <f>IF($A802="","",TRIM(IF(ISERROR(FIND(",",$C802)),$C802,LEFT($C802,FIND(",",$C802)-1))))</f>
        <v/>
      </c>
      <c r="M802" s="28">
        <f>IF($H802="","",DATE(YEAR($H802),MONTH($H802),1))</f>
        <v/>
      </c>
      <c r="N802" s="26">
        <f>IF($H802="","",TODAY()-$H802)</f>
        <v/>
      </c>
      <c r="O802" s="15" t="n"/>
      <c r="P802" s="15" t="n"/>
      <c r="Q802" s="15" t="n"/>
      <c r="R802" s="25" t="n"/>
      <c r="S802" s="26">
        <f>IF($A802="","",AND(OR('Assignment Builder'!$B$5="",$B802='Assignment Builder'!$B$5),OR('Assignment Builder'!$B$6="",ISNUMBER(SEARCH('Assignment Builder'!$B$6,$C802))),OR('Assignment Builder'!$B$7="",'Assignment Builder'!$B$7=IFERROR(INDEX('Category Dictionary'!$C$5:$C$135,MATCH($L802,'Category Dictionary'!$D$5:$D$135,0)),"")),OR('Assignment Builder'!$B$8="",$D802='Assignment Builder'!$B$8),OR('Assignment Builder'!$B$9="",$F802='Assignment Builder'!$B$9),OR('Assignment Builder'!$B$10="",$O802='Assignment Builder'!$B$10),OR('Assignment Builder'!$B$11="",$H802&gt;='Assignment Builder'!$B$11),OR('Assignment Builder'!$B$12="",N($Q802)&lt;='Assignment Builder'!$B$12)))</f>
        <v/>
      </c>
      <c r="T802" s="23" t="n"/>
    </row>
    <row r="803">
      <c r="A803" s="23" t="n"/>
      <c r="B803" s="23" t="n"/>
      <c r="C803" s="24" t="n"/>
      <c r="D803" s="15" t="n"/>
      <c r="E803" s="23" t="n"/>
      <c r="F803" s="15" t="n"/>
      <c r="G803" s="23" t="n"/>
      <c r="H803" s="25" t="n"/>
      <c r="I803" s="15" t="n"/>
      <c r="J803" s="26">
        <f>IF($A803="","",LEN($C803)-LEN(SUBSTITUTE($C803,",",""))+1)</f>
        <v/>
      </c>
      <c r="K803" s="26">
        <f>IF($A803="","",SUMPRODUCT(--ISNUMBER(SEARCH('Category Dictionary'!$D$5:$D$135&amp;"",$C803)),--('Category Dictionary'!$D$5:$D$135&lt;&gt;"")))</f>
        <v/>
      </c>
      <c r="L803" s="27">
        <f>IF($A803="","",TRIM(IF(ISERROR(FIND(",",$C803)),$C803,LEFT($C803,FIND(",",$C803)-1))))</f>
        <v/>
      </c>
      <c r="M803" s="28">
        <f>IF($H803="","",DATE(YEAR($H803),MONTH($H803),1))</f>
        <v/>
      </c>
      <c r="N803" s="26">
        <f>IF($H803="","",TODAY()-$H803)</f>
        <v/>
      </c>
      <c r="O803" s="15" t="n"/>
      <c r="P803" s="15" t="n"/>
      <c r="Q803" s="15" t="n"/>
      <c r="R803" s="25" t="n"/>
      <c r="S803" s="26">
        <f>IF($A803="","",AND(OR('Assignment Builder'!$B$5="",$B803='Assignment Builder'!$B$5),OR('Assignment Builder'!$B$6="",ISNUMBER(SEARCH('Assignment Builder'!$B$6,$C803))),OR('Assignment Builder'!$B$7="",'Assignment Builder'!$B$7=IFERROR(INDEX('Category Dictionary'!$C$5:$C$135,MATCH($L803,'Category Dictionary'!$D$5:$D$135,0)),"")),OR('Assignment Builder'!$B$8="",$D803='Assignment Builder'!$B$8),OR('Assignment Builder'!$B$9="",$F803='Assignment Builder'!$B$9),OR('Assignment Builder'!$B$10="",$O803='Assignment Builder'!$B$10),OR('Assignment Builder'!$B$11="",$H803&gt;='Assignment Builder'!$B$11),OR('Assignment Builder'!$B$12="",N($Q803)&lt;='Assignment Builder'!$B$12)))</f>
        <v/>
      </c>
      <c r="T803" s="23" t="n"/>
    </row>
    <row r="804">
      <c r="A804" s="23" t="n"/>
      <c r="B804" s="23" t="n"/>
      <c r="C804" s="24" t="n"/>
      <c r="D804" s="15" t="n"/>
      <c r="E804" s="23" t="n"/>
      <c r="F804" s="15" t="n"/>
      <c r="G804" s="23" t="n"/>
      <c r="H804" s="25" t="n"/>
      <c r="I804" s="15" t="n"/>
      <c r="J804" s="26">
        <f>IF($A804="","",LEN($C804)-LEN(SUBSTITUTE($C804,",",""))+1)</f>
        <v/>
      </c>
      <c r="K804" s="26">
        <f>IF($A804="","",SUMPRODUCT(--ISNUMBER(SEARCH('Category Dictionary'!$D$5:$D$135&amp;"",$C804)),--('Category Dictionary'!$D$5:$D$135&lt;&gt;"")))</f>
        <v/>
      </c>
      <c r="L804" s="27">
        <f>IF($A804="","",TRIM(IF(ISERROR(FIND(",",$C804)),$C804,LEFT($C804,FIND(",",$C804)-1))))</f>
        <v/>
      </c>
      <c r="M804" s="28">
        <f>IF($H804="","",DATE(YEAR($H804),MONTH($H804),1))</f>
        <v/>
      </c>
      <c r="N804" s="26">
        <f>IF($H804="","",TODAY()-$H804)</f>
        <v/>
      </c>
      <c r="O804" s="15" t="n"/>
      <c r="P804" s="15" t="n"/>
      <c r="Q804" s="15" t="n"/>
      <c r="R804" s="25" t="n"/>
      <c r="S804" s="26">
        <f>IF($A804="","",AND(OR('Assignment Builder'!$B$5="",$B804='Assignment Builder'!$B$5),OR('Assignment Builder'!$B$6="",ISNUMBER(SEARCH('Assignment Builder'!$B$6,$C804))),OR('Assignment Builder'!$B$7="",'Assignment Builder'!$B$7=IFERROR(INDEX('Category Dictionary'!$C$5:$C$135,MATCH($L804,'Category Dictionary'!$D$5:$D$135,0)),"")),OR('Assignment Builder'!$B$8="",$D804='Assignment Builder'!$B$8),OR('Assignment Builder'!$B$9="",$F804='Assignment Builder'!$B$9),OR('Assignment Builder'!$B$10="",$O804='Assignment Builder'!$B$10),OR('Assignment Builder'!$B$11="",$H804&gt;='Assignment Builder'!$B$11),OR('Assignment Builder'!$B$12="",N($Q804)&lt;='Assignment Builder'!$B$12)))</f>
        <v/>
      </c>
      <c r="T804" s="23" t="n"/>
    </row>
    <row r="805">
      <c r="A805" s="23" t="n"/>
      <c r="B805" s="23" t="n"/>
      <c r="C805" s="24" t="n"/>
      <c r="D805" s="15" t="n"/>
      <c r="E805" s="23" t="n"/>
      <c r="F805" s="15" t="n"/>
      <c r="G805" s="23" t="n"/>
      <c r="H805" s="25" t="n"/>
      <c r="I805" s="15" t="n"/>
      <c r="J805" s="26">
        <f>IF($A805="","",LEN($C805)-LEN(SUBSTITUTE($C805,",",""))+1)</f>
        <v/>
      </c>
      <c r="K805" s="26">
        <f>IF($A805="","",SUMPRODUCT(--ISNUMBER(SEARCH('Category Dictionary'!$D$5:$D$135&amp;"",$C805)),--('Category Dictionary'!$D$5:$D$135&lt;&gt;"")))</f>
        <v/>
      </c>
      <c r="L805" s="27">
        <f>IF($A805="","",TRIM(IF(ISERROR(FIND(",",$C805)),$C805,LEFT($C805,FIND(",",$C805)-1))))</f>
        <v/>
      </c>
      <c r="M805" s="28">
        <f>IF($H805="","",DATE(YEAR($H805),MONTH($H805),1))</f>
        <v/>
      </c>
      <c r="N805" s="26">
        <f>IF($H805="","",TODAY()-$H805)</f>
        <v/>
      </c>
      <c r="O805" s="15" t="n"/>
      <c r="P805" s="15" t="n"/>
      <c r="Q805" s="15" t="n"/>
      <c r="R805" s="25" t="n"/>
      <c r="S805" s="26">
        <f>IF($A805="","",AND(OR('Assignment Builder'!$B$5="",$B805='Assignment Builder'!$B$5),OR('Assignment Builder'!$B$6="",ISNUMBER(SEARCH('Assignment Builder'!$B$6,$C805))),OR('Assignment Builder'!$B$7="",'Assignment Builder'!$B$7=IFERROR(INDEX('Category Dictionary'!$C$5:$C$135,MATCH($L805,'Category Dictionary'!$D$5:$D$135,0)),"")),OR('Assignment Builder'!$B$8="",$D805='Assignment Builder'!$B$8),OR('Assignment Builder'!$B$9="",$F805='Assignment Builder'!$B$9),OR('Assignment Builder'!$B$10="",$O805='Assignment Builder'!$B$10),OR('Assignment Builder'!$B$11="",$H805&gt;='Assignment Builder'!$B$11),OR('Assignment Builder'!$B$12="",N($Q805)&lt;='Assignment Builder'!$B$12)))</f>
        <v/>
      </c>
      <c r="T805" s="23" t="n"/>
    </row>
    <row r="806">
      <c r="A806" s="23" t="n"/>
      <c r="B806" s="23" t="n"/>
      <c r="C806" s="24" t="n"/>
      <c r="D806" s="15" t="n"/>
      <c r="E806" s="23" t="n"/>
      <c r="F806" s="15" t="n"/>
      <c r="G806" s="23" t="n"/>
      <c r="H806" s="25" t="n"/>
      <c r="I806" s="15" t="n"/>
      <c r="J806" s="26">
        <f>IF($A806="","",LEN($C806)-LEN(SUBSTITUTE($C806,",",""))+1)</f>
        <v/>
      </c>
      <c r="K806" s="26">
        <f>IF($A806="","",SUMPRODUCT(--ISNUMBER(SEARCH('Category Dictionary'!$D$5:$D$135&amp;"",$C806)),--('Category Dictionary'!$D$5:$D$135&lt;&gt;"")))</f>
        <v/>
      </c>
      <c r="L806" s="27">
        <f>IF($A806="","",TRIM(IF(ISERROR(FIND(",",$C806)),$C806,LEFT($C806,FIND(",",$C806)-1))))</f>
        <v/>
      </c>
      <c r="M806" s="28">
        <f>IF($H806="","",DATE(YEAR($H806),MONTH($H806),1))</f>
        <v/>
      </c>
      <c r="N806" s="26">
        <f>IF($H806="","",TODAY()-$H806)</f>
        <v/>
      </c>
      <c r="O806" s="15" t="n"/>
      <c r="P806" s="15" t="n"/>
      <c r="Q806" s="15" t="n"/>
      <c r="R806" s="25" t="n"/>
      <c r="S806" s="26">
        <f>IF($A806="","",AND(OR('Assignment Builder'!$B$5="",$B806='Assignment Builder'!$B$5),OR('Assignment Builder'!$B$6="",ISNUMBER(SEARCH('Assignment Builder'!$B$6,$C806))),OR('Assignment Builder'!$B$7="",'Assignment Builder'!$B$7=IFERROR(INDEX('Category Dictionary'!$C$5:$C$135,MATCH($L806,'Category Dictionary'!$D$5:$D$135,0)),"")),OR('Assignment Builder'!$B$8="",$D806='Assignment Builder'!$B$8),OR('Assignment Builder'!$B$9="",$F806='Assignment Builder'!$B$9),OR('Assignment Builder'!$B$10="",$O806='Assignment Builder'!$B$10),OR('Assignment Builder'!$B$11="",$H806&gt;='Assignment Builder'!$B$11),OR('Assignment Builder'!$B$12="",N($Q806)&lt;='Assignment Builder'!$B$12)))</f>
        <v/>
      </c>
      <c r="T806" s="23" t="n"/>
    </row>
    <row r="807">
      <c r="A807" s="23" t="n"/>
      <c r="B807" s="23" t="n"/>
      <c r="C807" s="24" t="n"/>
      <c r="D807" s="15" t="n"/>
      <c r="E807" s="23" t="n"/>
      <c r="F807" s="15" t="n"/>
      <c r="G807" s="23" t="n"/>
      <c r="H807" s="25" t="n"/>
      <c r="I807" s="15" t="n"/>
      <c r="J807" s="26">
        <f>IF($A807="","",LEN($C807)-LEN(SUBSTITUTE($C807,",",""))+1)</f>
        <v/>
      </c>
      <c r="K807" s="26">
        <f>IF($A807="","",SUMPRODUCT(--ISNUMBER(SEARCH('Category Dictionary'!$D$5:$D$135&amp;"",$C807)),--('Category Dictionary'!$D$5:$D$135&lt;&gt;"")))</f>
        <v/>
      </c>
      <c r="L807" s="27">
        <f>IF($A807="","",TRIM(IF(ISERROR(FIND(",",$C807)),$C807,LEFT($C807,FIND(",",$C807)-1))))</f>
        <v/>
      </c>
      <c r="M807" s="28">
        <f>IF($H807="","",DATE(YEAR($H807),MONTH($H807),1))</f>
        <v/>
      </c>
      <c r="N807" s="26">
        <f>IF($H807="","",TODAY()-$H807)</f>
        <v/>
      </c>
      <c r="O807" s="15" t="n"/>
      <c r="P807" s="15" t="n"/>
      <c r="Q807" s="15" t="n"/>
      <c r="R807" s="25" t="n"/>
      <c r="S807" s="26">
        <f>IF($A807="","",AND(OR('Assignment Builder'!$B$5="",$B807='Assignment Builder'!$B$5),OR('Assignment Builder'!$B$6="",ISNUMBER(SEARCH('Assignment Builder'!$B$6,$C807))),OR('Assignment Builder'!$B$7="",'Assignment Builder'!$B$7=IFERROR(INDEX('Category Dictionary'!$C$5:$C$135,MATCH($L807,'Category Dictionary'!$D$5:$D$135,0)),"")),OR('Assignment Builder'!$B$8="",$D807='Assignment Builder'!$B$8),OR('Assignment Builder'!$B$9="",$F807='Assignment Builder'!$B$9),OR('Assignment Builder'!$B$10="",$O807='Assignment Builder'!$B$10),OR('Assignment Builder'!$B$11="",$H807&gt;='Assignment Builder'!$B$11),OR('Assignment Builder'!$B$12="",N($Q807)&lt;='Assignment Builder'!$B$12)))</f>
        <v/>
      </c>
      <c r="T807" s="23" t="n"/>
    </row>
    <row r="808">
      <c r="A808" s="23" t="n"/>
      <c r="B808" s="23" t="n"/>
      <c r="C808" s="24" t="n"/>
      <c r="D808" s="15" t="n"/>
      <c r="E808" s="23" t="n"/>
      <c r="F808" s="15" t="n"/>
      <c r="G808" s="23" t="n"/>
      <c r="H808" s="25" t="n"/>
      <c r="I808" s="15" t="n"/>
      <c r="J808" s="26">
        <f>IF($A808="","",LEN($C808)-LEN(SUBSTITUTE($C808,",",""))+1)</f>
        <v/>
      </c>
      <c r="K808" s="26">
        <f>IF($A808="","",SUMPRODUCT(--ISNUMBER(SEARCH('Category Dictionary'!$D$5:$D$135&amp;"",$C808)),--('Category Dictionary'!$D$5:$D$135&lt;&gt;"")))</f>
        <v/>
      </c>
      <c r="L808" s="27">
        <f>IF($A808="","",TRIM(IF(ISERROR(FIND(",",$C808)),$C808,LEFT($C808,FIND(",",$C808)-1))))</f>
        <v/>
      </c>
      <c r="M808" s="28">
        <f>IF($H808="","",DATE(YEAR($H808),MONTH($H808),1))</f>
        <v/>
      </c>
      <c r="N808" s="26">
        <f>IF($H808="","",TODAY()-$H808)</f>
        <v/>
      </c>
      <c r="O808" s="15" t="n"/>
      <c r="P808" s="15" t="n"/>
      <c r="Q808" s="15" t="n"/>
      <c r="R808" s="25" t="n"/>
      <c r="S808" s="26">
        <f>IF($A808="","",AND(OR('Assignment Builder'!$B$5="",$B808='Assignment Builder'!$B$5),OR('Assignment Builder'!$B$6="",ISNUMBER(SEARCH('Assignment Builder'!$B$6,$C808))),OR('Assignment Builder'!$B$7="",'Assignment Builder'!$B$7=IFERROR(INDEX('Category Dictionary'!$C$5:$C$135,MATCH($L808,'Category Dictionary'!$D$5:$D$135,0)),"")),OR('Assignment Builder'!$B$8="",$D808='Assignment Builder'!$B$8),OR('Assignment Builder'!$B$9="",$F808='Assignment Builder'!$B$9),OR('Assignment Builder'!$B$10="",$O808='Assignment Builder'!$B$10),OR('Assignment Builder'!$B$11="",$H808&gt;='Assignment Builder'!$B$11),OR('Assignment Builder'!$B$12="",N($Q808)&lt;='Assignment Builder'!$B$12)))</f>
        <v/>
      </c>
      <c r="T808" s="23" t="n"/>
    </row>
    <row r="809">
      <c r="A809" s="23" t="n"/>
      <c r="B809" s="23" t="n"/>
      <c r="C809" s="24" t="n"/>
      <c r="D809" s="15" t="n"/>
      <c r="E809" s="23" t="n"/>
      <c r="F809" s="15" t="n"/>
      <c r="G809" s="23" t="n"/>
      <c r="H809" s="25" t="n"/>
      <c r="I809" s="15" t="n"/>
      <c r="J809" s="26">
        <f>IF($A809="","",LEN($C809)-LEN(SUBSTITUTE($C809,",",""))+1)</f>
        <v/>
      </c>
      <c r="K809" s="26">
        <f>IF($A809="","",SUMPRODUCT(--ISNUMBER(SEARCH('Category Dictionary'!$D$5:$D$135&amp;"",$C809)),--('Category Dictionary'!$D$5:$D$135&lt;&gt;"")))</f>
        <v/>
      </c>
      <c r="L809" s="27">
        <f>IF($A809="","",TRIM(IF(ISERROR(FIND(",",$C809)),$C809,LEFT($C809,FIND(",",$C809)-1))))</f>
        <v/>
      </c>
      <c r="M809" s="28">
        <f>IF($H809="","",DATE(YEAR($H809),MONTH($H809),1))</f>
        <v/>
      </c>
      <c r="N809" s="26">
        <f>IF($H809="","",TODAY()-$H809)</f>
        <v/>
      </c>
      <c r="O809" s="15" t="n"/>
      <c r="P809" s="15" t="n"/>
      <c r="Q809" s="15" t="n"/>
      <c r="R809" s="25" t="n"/>
      <c r="S809" s="26">
        <f>IF($A809="","",AND(OR('Assignment Builder'!$B$5="",$B809='Assignment Builder'!$B$5),OR('Assignment Builder'!$B$6="",ISNUMBER(SEARCH('Assignment Builder'!$B$6,$C809))),OR('Assignment Builder'!$B$7="",'Assignment Builder'!$B$7=IFERROR(INDEX('Category Dictionary'!$C$5:$C$135,MATCH($L809,'Category Dictionary'!$D$5:$D$135,0)),"")),OR('Assignment Builder'!$B$8="",$D809='Assignment Builder'!$B$8),OR('Assignment Builder'!$B$9="",$F809='Assignment Builder'!$B$9),OR('Assignment Builder'!$B$10="",$O809='Assignment Builder'!$B$10),OR('Assignment Builder'!$B$11="",$H809&gt;='Assignment Builder'!$B$11),OR('Assignment Builder'!$B$12="",N($Q809)&lt;='Assignment Builder'!$B$12)))</f>
        <v/>
      </c>
      <c r="T809" s="23" t="n"/>
    </row>
    <row r="810">
      <c r="A810" s="23" t="n"/>
      <c r="B810" s="23" t="n"/>
      <c r="C810" s="24" t="n"/>
      <c r="D810" s="15" t="n"/>
      <c r="E810" s="23" t="n"/>
      <c r="F810" s="15" t="n"/>
      <c r="G810" s="23" t="n"/>
      <c r="H810" s="25" t="n"/>
      <c r="I810" s="15" t="n"/>
      <c r="J810" s="26">
        <f>IF($A810="","",LEN($C810)-LEN(SUBSTITUTE($C810,",",""))+1)</f>
        <v/>
      </c>
      <c r="K810" s="26">
        <f>IF($A810="","",SUMPRODUCT(--ISNUMBER(SEARCH('Category Dictionary'!$D$5:$D$135&amp;"",$C810)),--('Category Dictionary'!$D$5:$D$135&lt;&gt;"")))</f>
        <v/>
      </c>
      <c r="L810" s="27">
        <f>IF($A810="","",TRIM(IF(ISERROR(FIND(",",$C810)),$C810,LEFT($C810,FIND(",",$C810)-1))))</f>
        <v/>
      </c>
      <c r="M810" s="28">
        <f>IF($H810="","",DATE(YEAR($H810),MONTH($H810),1))</f>
        <v/>
      </c>
      <c r="N810" s="26">
        <f>IF($H810="","",TODAY()-$H810)</f>
        <v/>
      </c>
      <c r="O810" s="15" t="n"/>
      <c r="P810" s="15" t="n"/>
      <c r="Q810" s="15" t="n"/>
      <c r="R810" s="25" t="n"/>
      <c r="S810" s="26">
        <f>IF($A810="","",AND(OR('Assignment Builder'!$B$5="",$B810='Assignment Builder'!$B$5),OR('Assignment Builder'!$B$6="",ISNUMBER(SEARCH('Assignment Builder'!$B$6,$C810))),OR('Assignment Builder'!$B$7="",'Assignment Builder'!$B$7=IFERROR(INDEX('Category Dictionary'!$C$5:$C$135,MATCH($L810,'Category Dictionary'!$D$5:$D$135,0)),"")),OR('Assignment Builder'!$B$8="",$D810='Assignment Builder'!$B$8),OR('Assignment Builder'!$B$9="",$F810='Assignment Builder'!$B$9),OR('Assignment Builder'!$B$10="",$O810='Assignment Builder'!$B$10),OR('Assignment Builder'!$B$11="",$H810&gt;='Assignment Builder'!$B$11),OR('Assignment Builder'!$B$12="",N($Q810)&lt;='Assignment Builder'!$B$12)))</f>
        <v/>
      </c>
      <c r="T810" s="23" t="n"/>
    </row>
    <row r="811">
      <c r="A811" s="23" t="n"/>
      <c r="B811" s="23" t="n"/>
      <c r="C811" s="24" t="n"/>
      <c r="D811" s="15" t="n"/>
      <c r="E811" s="23" t="n"/>
      <c r="F811" s="15" t="n"/>
      <c r="G811" s="23" t="n"/>
      <c r="H811" s="25" t="n"/>
      <c r="I811" s="15" t="n"/>
      <c r="J811" s="26">
        <f>IF($A811="","",LEN($C811)-LEN(SUBSTITUTE($C811,",",""))+1)</f>
        <v/>
      </c>
      <c r="K811" s="26">
        <f>IF($A811="","",SUMPRODUCT(--ISNUMBER(SEARCH('Category Dictionary'!$D$5:$D$135&amp;"",$C811)),--('Category Dictionary'!$D$5:$D$135&lt;&gt;"")))</f>
        <v/>
      </c>
      <c r="L811" s="27">
        <f>IF($A811="","",TRIM(IF(ISERROR(FIND(",",$C811)),$C811,LEFT($C811,FIND(",",$C811)-1))))</f>
        <v/>
      </c>
      <c r="M811" s="28">
        <f>IF($H811="","",DATE(YEAR($H811),MONTH($H811),1))</f>
        <v/>
      </c>
      <c r="N811" s="26">
        <f>IF($H811="","",TODAY()-$H811)</f>
        <v/>
      </c>
      <c r="O811" s="15" t="n"/>
      <c r="P811" s="15" t="n"/>
      <c r="Q811" s="15" t="n"/>
      <c r="R811" s="25" t="n"/>
      <c r="S811" s="26">
        <f>IF($A811="","",AND(OR('Assignment Builder'!$B$5="",$B811='Assignment Builder'!$B$5),OR('Assignment Builder'!$B$6="",ISNUMBER(SEARCH('Assignment Builder'!$B$6,$C811))),OR('Assignment Builder'!$B$7="",'Assignment Builder'!$B$7=IFERROR(INDEX('Category Dictionary'!$C$5:$C$135,MATCH($L811,'Category Dictionary'!$D$5:$D$135,0)),"")),OR('Assignment Builder'!$B$8="",$D811='Assignment Builder'!$B$8),OR('Assignment Builder'!$B$9="",$F811='Assignment Builder'!$B$9),OR('Assignment Builder'!$B$10="",$O811='Assignment Builder'!$B$10),OR('Assignment Builder'!$B$11="",$H811&gt;='Assignment Builder'!$B$11),OR('Assignment Builder'!$B$12="",N($Q811)&lt;='Assignment Builder'!$B$12)))</f>
        <v/>
      </c>
      <c r="T811" s="23" t="n"/>
    </row>
    <row r="812">
      <c r="A812" s="23" t="n"/>
      <c r="B812" s="23" t="n"/>
      <c r="C812" s="24" t="n"/>
      <c r="D812" s="15" t="n"/>
      <c r="E812" s="23" t="n"/>
      <c r="F812" s="15" t="n"/>
      <c r="G812" s="23" t="n"/>
      <c r="H812" s="25" t="n"/>
      <c r="I812" s="15" t="n"/>
      <c r="J812" s="26">
        <f>IF($A812="","",LEN($C812)-LEN(SUBSTITUTE($C812,",",""))+1)</f>
        <v/>
      </c>
      <c r="K812" s="26">
        <f>IF($A812="","",SUMPRODUCT(--ISNUMBER(SEARCH('Category Dictionary'!$D$5:$D$135&amp;"",$C812)),--('Category Dictionary'!$D$5:$D$135&lt;&gt;"")))</f>
        <v/>
      </c>
      <c r="L812" s="27">
        <f>IF($A812="","",TRIM(IF(ISERROR(FIND(",",$C812)),$C812,LEFT($C812,FIND(",",$C812)-1))))</f>
        <v/>
      </c>
      <c r="M812" s="28">
        <f>IF($H812="","",DATE(YEAR($H812),MONTH($H812),1))</f>
        <v/>
      </c>
      <c r="N812" s="26">
        <f>IF($H812="","",TODAY()-$H812)</f>
        <v/>
      </c>
      <c r="O812" s="15" t="n"/>
      <c r="P812" s="15" t="n"/>
      <c r="Q812" s="15" t="n"/>
      <c r="R812" s="25" t="n"/>
      <c r="S812" s="26">
        <f>IF($A812="","",AND(OR('Assignment Builder'!$B$5="",$B812='Assignment Builder'!$B$5),OR('Assignment Builder'!$B$6="",ISNUMBER(SEARCH('Assignment Builder'!$B$6,$C812))),OR('Assignment Builder'!$B$7="",'Assignment Builder'!$B$7=IFERROR(INDEX('Category Dictionary'!$C$5:$C$135,MATCH($L812,'Category Dictionary'!$D$5:$D$135,0)),"")),OR('Assignment Builder'!$B$8="",$D812='Assignment Builder'!$B$8),OR('Assignment Builder'!$B$9="",$F812='Assignment Builder'!$B$9),OR('Assignment Builder'!$B$10="",$O812='Assignment Builder'!$B$10),OR('Assignment Builder'!$B$11="",$H812&gt;='Assignment Builder'!$B$11),OR('Assignment Builder'!$B$12="",N($Q812)&lt;='Assignment Builder'!$B$12)))</f>
        <v/>
      </c>
      <c r="T812" s="23" t="n"/>
    </row>
    <row r="813">
      <c r="A813" s="23" t="n"/>
      <c r="B813" s="23" t="n"/>
      <c r="C813" s="24" t="n"/>
      <c r="D813" s="15" t="n"/>
      <c r="E813" s="23" t="n"/>
      <c r="F813" s="15" t="n"/>
      <c r="G813" s="23" t="n"/>
      <c r="H813" s="25" t="n"/>
      <c r="I813" s="15" t="n"/>
      <c r="J813" s="26">
        <f>IF($A813="","",LEN($C813)-LEN(SUBSTITUTE($C813,",",""))+1)</f>
        <v/>
      </c>
      <c r="K813" s="26">
        <f>IF($A813="","",SUMPRODUCT(--ISNUMBER(SEARCH('Category Dictionary'!$D$5:$D$135&amp;"",$C813)),--('Category Dictionary'!$D$5:$D$135&lt;&gt;"")))</f>
        <v/>
      </c>
      <c r="L813" s="27">
        <f>IF($A813="","",TRIM(IF(ISERROR(FIND(",",$C813)),$C813,LEFT($C813,FIND(",",$C813)-1))))</f>
        <v/>
      </c>
      <c r="M813" s="28">
        <f>IF($H813="","",DATE(YEAR($H813),MONTH($H813),1))</f>
        <v/>
      </c>
      <c r="N813" s="26">
        <f>IF($H813="","",TODAY()-$H813)</f>
        <v/>
      </c>
      <c r="O813" s="15" t="n"/>
      <c r="P813" s="15" t="n"/>
      <c r="Q813" s="15" t="n"/>
      <c r="R813" s="25" t="n"/>
      <c r="S813" s="26">
        <f>IF($A813="","",AND(OR('Assignment Builder'!$B$5="",$B813='Assignment Builder'!$B$5),OR('Assignment Builder'!$B$6="",ISNUMBER(SEARCH('Assignment Builder'!$B$6,$C813))),OR('Assignment Builder'!$B$7="",'Assignment Builder'!$B$7=IFERROR(INDEX('Category Dictionary'!$C$5:$C$135,MATCH($L813,'Category Dictionary'!$D$5:$D$135,0)),"")),OR('Assignment Builder'!$B$8="",$D813='Assignment Builder'!$B$8),OR('Assignment Builder'!$B$9="",$F813='Assignment Builder'!$B$9),OR('Assignment Builder'!$B$10="",$O813='Assignment Builder'!$B$10),OR('Assignment Builder'!$B$11="",$H813&gt;='Assignment Builder'!$B$11),OR('Assignment Builder'!$B$12="",N($Q813)&lt;='Assignment Builder'!$B$12)))</f>
        <v/>
      </c>
      <c r="T813" s="23" t="n"/>
    </row>
    <row r="814">
      <c r="A814" s="23" t="n"/>
      <c r="B814" s="23" t="n"/>
      <c r="C814" s="24" t="n"/>
      <c r="D814" s="15" t="n"/>
      <c r="E814" s="23" t="n"/>
      <c r="F814" s="15" t="n"/>
      <c r="G814" s="23" t="n"/>
      <c r="H814" s="25" t="n"/>
      <c r="I814" s="15" t="n"/>
      <c r="J814" s="26">
        <f>IF($A814="","",LEN($C814)-LEN(SUBSTITUTE($C814,",",""))+1)</f>
        <v/>
      </c>
      <c r="K814" s="26">
        <f>IF($A814="","",SUMPRODUCT(--ISNUMBER(SEARCH('Category Dictionary'!$D$5:$D$135&amp;"",$C814)),--('Category Dictionary'!$D$5:$D$135&lt;&gt;"")))</f>
        <v/>
      </c>
      <c r="L814" s="27">
        <f>IF($A814="","",TRIM(IF(ISERROR(FIND(",",$C814)),$C814,LEFT($C814,FIND(",",$C814)-1))))</f>
        <v/>
      </c>
      <c r="M814" s="28">
        <f>IF($H814="","",DATE(YEAR($H814),MONTH($H814),1))</f>
        <v/>
      </c>
      <c r="N814" s="26">
        <f>IF($H814="","",TODAY()-$H814)</f>
        <v/>
      </c>
      <c r="O814" s="15" t="n"/>
      <c r="P814" s="15" t="n"/>
      <c r="Q814" s="15" t="n"/>
      <c r="R814" s="25" t="n"/>
      <c r="S814" s="26">
        <f>IF($A814="","",AND(OR('Assignment Builder'!$B$5="",$B814='Assignment Builder'!$B$5),OR('Assignment Builder'!$B$6="",ISNUMBER(SEARCH('Assignment Builder'!$B$6,$C814))),OR('Assignment Builder'!$B$7="",'Assignment Builder'!$B$7=IFERROR(INDEX('Category Dictionary'!$C$5:$C$135,MATCH($L814,'Category Dictionary'!$D$5:$D$135,0)),"")),OR('Assignment Builder'!$B$8="",$D814='Assignment Builder'!$B$8),OR('Assignment Builder'!$B$9="",$F814='Assignment Builder'!$B$9),OR('Assignment Builder'!$B$10="",$O814='Assignment Builder'!$B$10),OR('Assignment Builder'!$B$11="",$H814&gt;='Assignment Builder'!$B$11),OR('Assignment Builder'!$B$12="",N($Q814)&lt;='Assignment Builder'!$B$12)))</f>
        <v/>
      </c>
      <c r="T814" s="23" t="n"/>
    </row>
    <row r="815">
      <c r="A815" s="23" t="n"/>
      <c r="B815" s="23" t="n"/>
      <c r="C815" s="24" t="n"/>
      <c r="D815" s="15" t="n"/>
      <c r="E815" s="23" t="n"/>
      <c r="F815" s="15" t="n"/>
      <c r="G815" s="23" t="n"/>
      <c r="H815" s="25" t="n"/>
      <c r="I815" s="15" t="n"/>
      <c r="J815" s="26">
        <f>IF($A815="","",LEN($C815)-LEN(SUBSTITUTE($C815,",",""))+1)</f>
        <v/>
      </c>
      <c r="K815" s="26">
        <f>IF($A815="","",SUMPRODUCT(--ISNUMBER(SEARCH('Category Dictionary'!$D$5:$D$135&amp;"",$C815)),--('Category Dictionary'!$D$5:$D$135&lt;&gt;"")))</f>
        <v/>
      </c>
      <c r="L815" s="27">
        <f>IF($A815="","",TRIM(IF(ISERROR(FIND(",",$C815)),$C815,LEFT($C815,FIND(",",$C815)-1))))</f>
        <v/>
      </c>
      <c r="M815" s="28">
        <f>IF($H815="","",DATE(YEAR($H815),MONTH($H815),1))</f>
        <v/>
      </c>
      <c r="N815" s="26">
        <f>IF($H815="","",TODAY()-$H815)</f>
        <v/>
      </c>
      <c r="O815" s="15" t="n"/>
      <c r="P815" s="15" t="n"/>
      <c r="Q815" s="15" t="n"/>
      <c r="R815" s="25" t="n"/>
      <c r="S815" s="26">
        <f>IF($A815="","",AND(OR('Assignment Builder'!$B$5="",$B815='Assignment Builder'!$B$5),OR('Assignment Builder'!$B$6="",ISNUMBER(SEARCH('Assignment Builder'!$B$6,$C815))),OR('Assignment Builder'!$B$7="",'Assignment Builder'!$B$7=IFERROR(INDEX('Category Dictionary'!$C$5:$C$135,MATCH($L815,'Category Dictionary'!$D$5:$D$135,0)),"")),OR('Assignment Builder'!$B$8="",$D815='Assignment Builder'!$B$8),OR('Assignment Builder'!$B$9="",$F815='Assignment Builder'!$B$9),OR('Assignment Builder'!$B$10="",$O815='Assignment Builder'!$B$10),OR('Assignment Builder'!$B$11="",$H815&gt;='Assignment Builder'!$B$11),OR('Assignment Builder'!$B$12="",N($Q815)&lt;='Assignment Builder'!$B$12)))</f>
        <v/>
      </c>
      <c r="T815" s="23" t="n"/>
    </row>
    <row r="816">
      <c r="A816" s="23" t="n"/>
      <c r="B816" s="23" t="n"/>
      <c r="C816" s="24" t="n"/>
      <c r="D816" s="15" t="n"/>
      <c r="E816" s="23" t="n"/>
      <c r="F816" s="15" t="n"/>
      <c r="G816" s="23" t="n"/>
      <c r="H816" s="25" t="n"/>
      <c r="I816" s="15" t="n"/>
      <c r="J816" s="26">
        <f>IF($A816="","",LEN($C816)-LEN(SUBSTITUTE($C816,",",""))+1)</f>
        <v/>
      </c>
      <c r="K816" s="26">
        <f>IF($A816="","",SUMPRODUCT(--ISNUMBER(SEARCH('Category Dictionary'!$D$5:$D$135&amp;"",$C816)),--('Category Dictionary'!$D$5:$D$135&lt;&gt;"")))</f>
        <v/>
      </c>
      <c r="L816" s="27">
        <f>IF($A816="","",TRIM(IF(ISERROR(FIND(",",$C816)),$C816,LEFT($C816,FIND(",",$C816)-1))))</f>
        <v/>
      </c>
      <c r="M816" s="28">
        <f>IF($H816="","",DATE(YEAR($H816),MONTH($H816),1))</f>
        <v/>
      </c>
      <c r="N816" s="26">
        <f>IF($H816="","",TODAY()-$H816)</f>
        <v/>
      </c>
      <c r="O816" s="15" t="n"/>
      <c r="P816" s="15" t="n"/>
      <c r="Q816" s="15" t="n"/>
      <c r="R816" s="25" t="n"/>
      <c r="S816" s="26">
        <f>IF($A816="","",AND(OR('Assignment Builder'!$B$5="",$B816='Assignment Builder'!$B$5),OR('Assignment Builder'!$B$6="",ISNUMBER(SEARCH('Assignment Builder'!$B$6,$C816))),OR('Assignment Builder'!$B$7="",'Assignment Builder'!$B$7=IFERROR(INDEX('Category Dictionary'!$C$5:$C$135,MATCH($L816,'Category Dictionary'!$D$5:$D$135,0)),"")),OR('Assignment Builder'!$B$8="",$D816='Assignment Builder'!$B$8),OR('Assignment Builder'!$B$9="",$F816='Assignment Builder'!$B$9),OR('Assignment Builder'!$B$10="",$O816='Assignment Builder'!$B$10),OR('Assignment Builder'!$B$11="",$H816&gt;='Assignment Builder'!$B$11),OR('Assignment Builder'!$B$12="",N($Q816)&lt;='Assignment Builder'!$B$12)))</f>
        <v/>
      </c>
      <c r="T816" s="23" t="n"/>
    </row>
    <row r="817">
      <c r="A817" s="23" t="n"/>
      <c r="B817" s="23" t="n"/>
      <c r="C817" s="24" t="n"/>
      <c r="D817" s="15" t="n"/>
      <c r="E817" s="23" t="n"/>
      <c r="F817" s="15" t="n"/>
      <c r="G817" s="23" t="n"/>
      <c r="H817" s="25" t="n"/>
      <c r="I817" s="15" t="n"/>
      <c r="J817" s="26">
        <f>IF($A817="","",LEN($C817)-LEN(SUBSTITUTE($C817,",",""))+1)</f>
        <v/>
      </c>
      <c r="K817" s="26">
        <f>IF($A817="","",SUMPRODUCT(--ISNUMBER(SEARCH('Category Dictionary'!$D$5:$D$135&amp;"",$C817)),--('Category Dictionary'!$D$5:$D$135&lt;&gt;"")))</f>
        <v/>
      </c>
      <c r="L817" s="27">
        <f>IF($A817="","",TRIM(IF(ISERROR(FIND(",",$C817)),$C817,LEFT($C817,FIND(",",$C817)-1))))</f>
        <v/>
      </c>
      <c r="M817" s="28">
        <f>IF($H817="","",DATE(YEAR($H817),MONTH($H817),1))</f>
        <v/>
      </c>
      <c r="N817" s="26">
        <f>IF($H817="","",TODAY()-$H817)</f>
        <v/>
      </c>
      <c r="O817" s="15" t="n"/>
      <c r="P817" s="15" t="n"/>
      <c r="Q817" s="15" t="n"/>
      <c r="R817" s="25" t="n"/>
      <c r="S817" s="26">
        <f>IF($A817="","",AND(OR('Assignment Builder'!$B$5="",$B817='Assignment Builder'!$B$5),OR('Assignment Builder'!$B$6="",ISNUMBER(SEARCH('Assignment Builder'!$B$6,$C817))),OR('Assignment Builder'!$B$7="",'Assignment Builder'!$B$7=IFERROR(INDEX('Category Dictionary'!$C$5:$C$135,MATCH($L817,'Category Dictionary'!$D$5:$D$135,0)),"")),OR('Assignment Builder'!$B$8="",$D817='Assignment Builder'!$B$8),OR('Assignment Builder'!$B$9="",$F817='Assignment Builder'!$B$9),OR('Assignment Builder'!$B$10="",$O817='Assignment Builder'!$B$10),OR('Assignment Builder'!$B$11="",$H817&gt;='Assignment Builder'!$B$11),OR('Assignment Builder'!$B$12="",N($Q817)&lt;='Assignment Builder'!$B$12)))</f>
        <v/>
      </c>
      <c r="T817" s="23" t="n"/>
    </row>
    <row r="818">
      <c r="A818" s="23" t="n"/>
      <c r="B818" s="23" t="n"/>
      <c r="C818" s="24" t="n"/>
      <c r="D818" s="15" t="n"/>
      <c r="E818" s="23" t="n"/>
      <c r="F818" s="15" t="n"/>
      <c r="G818" s="23" t="n"/>
      <c r="H818" s="25" t="n"/>
      <c r="I818" s="15" t="n"/>
      <c r="J818" s="26">
        <f>IF($A818="","",LEN($C818)-LEN(SUBSTITUTE($C818,",",""))+1)</f>
        <v/>
      </c>
      <c r="K818" s="26">
        <f>IF($A818="","",SUMPRODUCT(--ISNUMBER(SEARCH('Category Dictionary'!$D$5:$D$135&amp;"",$C818)),--('Category Dictionary'!$D$5:$D$135&lt;&gt;"")))</f>
        <v/>
      </c>
      <c r="L818" s="27">
        <f>IF($A818="","",TRIM(IF(ISERROR(FIND(",",$C818)),$C818,LEFT($C818,FIND(",",$C818)-1))))</f>
        <v/>
      </c>
      <c r="M818" s="28">
        <f>IF($H818="","",DATE(YEAR($H818),MONTH($H818),1))</f>
        <v/>
      </c>
      <c r="N818" s="26">
        <f>IF($H818="","",TODAY()-$H818)</f>
        <v/>
      </c>
      <c r="O818" s="15" t="n"/>
      <c r="P818" s="15" t="n"/>
      <c r="Q818" s="15" t="n"/>
      <c r="R818" s="25" t="n"/>
      <c r="S818" s="26">
        <f>IF($A818="","",AND(OR('Assignment Builder'!$B$5="",$B818='Assignment Builder'!$B$5),OR('Assignment Builder'!$B$6="",ISNUMBER(SEARCH('Assignment Builder'!$B$6,$C818))),OR('Assignment Builder'!$B$7="",'Assignment Builder'!$B$7=IFERROR(INDEX('Category Dictionary'!$C$5:$C$135,MATCH($L818,'Category Dictionary'!$D$5:$D$135,0)),"")),OR('Assignment Builder'!$B$8="",$D818='Assignment Builder'!$B$8),OR('Assignment Builder'!$B$9="",$F818='Assignment Builder'!$B$9),OR('Assignment Builder'!$B$10="",$O818='Assignment Builder'!$B$10),OR('Assignment Builder'!$B$11="",$H818&gt;='Assignment Builder'!$B$11),OR('Assignment Builder'!$B$12="",N($Q818)&lt;='Assignment Builder'!$B$12)))</f>
        <v/>
      </c>
      <c r="T818" s="23" t="n"/>
    </row>
    <row r="819">
      <c r="A819" s="23" t="n"/>
      <c r="B819" s="23" t="n"/>
      <c r="C819" s="24" t="n"/>
      <c r="D819" s="15" t="n"/>
      <c r="E819" s="23" t="n"/>
      <c r="F819" s="15" t="n"/>
      <c r="G819" s="23" t="n"/>
      <c r="H819" s="25" t="n"/>
      <c r="I819" s="15" t="n"/>
      <c r="J819" s="26">
        <f>IF($A819="","",LEN($C819)-LEN(SUBSTITUTE($C819,",",""))+1)</f>
        <v/>
      </c>
      <c r="K819" s="26">
        <f>IF($A819="","",SUMPRODUCT(--ISNUMBER(SEARCH('Category Dictionary'!$D$5:$D$135&amp;"",$C819)),--('Category Dictionary'!$D$5:$D$135&lt;&gt;"")))</f>
        <v/>
      </c>
      <c r="L819" s="27">
        <f>IF($A819="","",TRIM(IF(ISERROR(FIND(",",$C819)),$C819,LEFT($C819,FIND(",",$C819)-1))))</f>
        <v/>
      </c>
      <c r="M819" s="28">
        <f>IF($H819="","",DATE(YEAR($H819),MONTH($H819),1))</f>
        <v/>
      </c>
      <c r="N819" s="26">
        <f>IF($H819="","",TODAY()-$H819)</f>
        <v/>
      </c>
      <c r="O819" s="15" t="n"/>
      <c r="P819" s="15" t="n"/>
      <c r="Q819" s="15" t="n"/>
      <c r="R819" s="25" t="n"/>
      <c r="S819" s="26">
        <f>IF($A819="","",AND(OR('Assignment Builder'!$B$5="",$B819='Assignment Builder'!$B$5),OR('Assignment Builder'!$B$6="",ISNUMBER(SEARCH('Assignment Builder'!$B$6,$C819))),OR('Assignment Builder'!$B$7="",'Assignment Builder'!$B$7=IFERROR(INDEX('Category Dictionary'!$C$5:$C$135,MATCH($L819,'Category Dictionary'!$D$5:$D$135,0)),"")),OR('Assignment Builder'!$B$8="",$D819='Assignment Builder'!$B$8),OR('Assignment Builder'!$B$9="",$F819='Assignment Builder'!$B$9),OR('Assignment Builder'!$B$10="",$O819='Assignment Builder'!$B$10),OR('Assignment Builder'!$B$11="",$H819&gt;='Assignment Builder'!$B$11),OR('Assignment Builder'!$B$12="",N($Q819)&lt;='Assignment Builder'!$B$12)))</f>
        <v/>
      </c>
      <c r="T819" s="23" t="n"/>
    </row>
    <row r="820">
      <c r="A820" s="23" t="n"/>
      <c r="B820" s="23" t="n"/>
      <c r="C820" s="24" t="n"/>
      <c r="D820" s="15" t="n"/>
      <c r="E820" s="23" t="n"/>
      <c r="F820" s="15" t="n"/>
      <c r="G820" s="23" t="n"/>
      <c r="H820" s="25" t="n"/>
      <c r="I820" s="15" t="n"/>
      <c r="J820" s="26">
        <f>IF($A820="","",LEN($C820)-LEN(SUBSTITUTE($C820,",",""))+1)</f>
        <v/>
      </c>
      <c r="K820" s="26">
        <f>IF($A820="","",SUMPRODUCT(--ISNUMBER(SEARCH('Category Dictionary'!$D$5:$D$135&amp;"",$C820)),--('Category Dictionary'!$D$5:$D$135&lt;&gt;"")))</f>
        <v/>
      </c>
      <c r="L820" s="27">
        <f>IF($A820="","",TRIM(IF(ISERROR(FIND(",",$C820)),$C820,LEFT($C820,FIND(",",$C820)-1))))</f>
        <v/>
      </c>
      <c r="M820" s="28">
        <f>IF($H820="","",DATE(YEAR($H820),MONTH($H820),1))</f>
        <v/>
      </c>
      <c r="N820" s="26">
        <f>IF($H820="","",TODAY()-$H820)</f>
        <v/>
      </c>
      <c r="O820" s="15" t="n"/>
      <c r="P820" s="15" t="n"/>
      <c r="Q820" s="15" t="n"/>
      <c r="R820" s="25" t="n"/>
      <c r="S820" s="26">
        <f>IF($A820="","",AND(OR('Assignment Builder'!$B$5="",$B820='Assignment Builder'!$B$5),OR('Assignment Builder'!$B$6="",ISNUMBER(SEARCH('Assignment Builder'!$B$6,$C820))),OR('Assignment Builder'!$B$7="",'Assignment Builder'!$B$7=IFERROR(INDEX('Category Dictionary'!$C$5:$C$135,MATCH($L820,'Category Dictionary'!$D$5:$D$135,0)),"")),OR('Assignment Builder'!$B$8="",$D820='Assignment Builder'!$B$8),OR('Assignment Builder'!$B$9="",$F820='Assignment Builder'!$B$9),OR('Assignment Builder'!$B$10="",$O820='Assignment Builder'!$B$10),OR('Assignment Builder'!$B$11="",$H820&gt;='Assignment Builder'!$B$11),OR('Assignment Builder'!$B$12="",N($Q820)&lt;='Assignment Builder'!$B$12)))</f>
        <v/>
      </c>
      <c r="T820" s="23" t="n"/>
    </row>
    <row r="821">
      <c r="A821" s="23" t="n"/>
      <c r="B821" s="23" t="n"/>
      <c r="C821" s="24" t="n"/>
      <c r="D821" s="15" t="n"/>
      <c r="E821" s="23" t="n"/>
      <c r="F821" s="15" t="n"/>
      <c r="G821" s="23" t="n"/>
      <c r="H821" s="25" t="n"/>
      <c r="I821" s="15" t="n"/>
      <c r="J821" s="26">
        <f>IF($A821="","",LEN($C821)-LEN(SUBSTITUTE($C821,",",""))+1)</f>
        <v/>
      </c>
      <c r="K821" s="26">
        <f>IF($A821="","",SUMPRODUCT(--ISNUMBER(SEARCH('Category Dictionary'!$D$5:$D$135&amp;"",$C821)),--('Category Dictionary'!$D$5:$D$135&lt;&gt;"")))</f>
        <v/>
      </c>
      <c r="L821" s="27">
        <f>IF($A821="","",TRIM(IF(ISERROR(FIND(",",$C821)),$C821,LEFT($C821,FIND(",",$C821)-1))))</f>
        <v/>
      </c>
      <c r="M821" s="28">
        <f>IF($H821="","",DATE(YEAR($H821),MONTH($H821),1))</f>
        <v/>
      </c>
      <c r="N821" s="26">
        <f>IF($H821="","",TODAY()-$H821)</f>
        <v/>
      </c>
      <c r="O821" s="15" t="n"/>
      <c r="P821" s="15" t="n"/>
      <c r="Q821" s="15" t="n"/>
      <c r="R821" s="25" t="n"/>
      <c r="S821" s="26">
        <f>IF($A821="","",AND(OR('Assignment Builder'!$B$5="",$B821='Assignment Builder'!$B$5),OR('Assignment Builder'!$B$6="",ISNUMBER(SEARCH('Assignment Builder'!$B$6,$C821))),OR('Assignment Builder'!$B$7="",'Assignment Builder'!$B$7=IFERROR(INDEX('Category Dictionary'!$C$5:$C$135,MATCH($L821,'Category Dictionary'!$D$5:$D$135,0)),"")),OR('Assignment Builder'!$B$8="",$D821='Assignment Builder'!$B$8),OR('Assignment Builder'!$B$9="",$F821='Assignment Builder'!$B$9),OR('Assignment Builder'!$B$10="",$O821='Assignment Builder'!$B$10),OR('Assignment Builder'!$B$11="",$H821&gt;='Assignment Builder'!$B$11),OR('Assignment Builder'!$B$12="",N($Q821)&lt;='Assignment Builder'!$B$12)))</f>
        <v/>
      </c>
      <c r="T821" s="23" t="n"/>
    </row>
    <row r="822">
      <c r="A822" s="23" t="n"/>
      <c r="B822" s="23" t="n"/>
      <c r="C822" s="24" t="n"/>
      <c r="D822" s="15" t="n"/>
      <c r="E822" s="23" t="n"/>
      <c r="F822" s="15" t="n"/>
      <c r="G822" s="23" t="n"/>
      <c r="H822" s="25" t="n"/>
      <c r="I822" s="15" t="n"/>
      <c r="J822" s="26">
        <f>IF($A822="","",LEN($C822)-LEN(SUBSTITUTE($C822,",",""))+1)</f>
        <v/>
      </c>
      <c r="K822" s="26">
        <f>IF($A822="","",SUMPRODUCT(--ISNUMBER(SEARCH('Category Dictionary'!$D$5:$D$135&amp;"",$C822)),--('Category Dictionary'!$D$5:$D$135&lt;&gt;"")))</f>
        <v/>
      </c>
      <c r="L822" s="27">
        <f>IF($A822="","",TRIM(IF(ISERROR(FIND(",",$C822)),$C822,LEFT($C822,FIND(",",$C822)-1))))</f>
        <v/>
      </c>
      <c r="M822" s="28">
        <f>IF($H822="","",DATE(YEAR($H822),MONTH($H822),1))</f>
        <v/>
      </c>
      <c r="N822" s="26">
        <f>IF($H822="","",TODAY()-$H822)</f>
        <v/>
      </c>
      <c r="O822" s="15" t="n"/>
      <c r="P822" s="15" t="n"/>
      <c r="Q822" s="15" t="n"/>
      <c r="R822" s="25" t="n"/>
      <c r="S822" s="26">
        <f>IF($A822="","",AND(OR('Assignment Builder'!$B$5="",$B822='Assignment Builder'!$B$5),OR('Assignment Builder'!$B$6="",ISNUMBER(SEARCH('Assignment Builder'!$B$6,$C822))),OR('Assignment Builder'!$B$7="",'Assignment Builder'!$B$7=IFERROR(INDEX('Category Dictionary'!$C$5:$C$135,MATCH($L822,'Category Dictionary'!$D$5:$D$135,0)),"")),OR('Assignment Builder'!$B$8="",$D822='Assignment Builder'!$B$8),OR('Assignment Builder'!$B$9="",$F822='Assignment Builder'!$B$9),OR('Assignment Builder'!$B$10="",$O822='Assignment Builder'!$B$10),OR('Assignment Builder'!$B$11="",$H822&gt;='Assignment Builder'!$B$11),OR('Assignment Builder'!$B$12="",N($Q822)&lt;='Assignment Builder'!$B$12)))</f>
        <v/>
      </c>
      <c r="T822" s="23" t="n"/>
    </row>
    <row r="823">
      <c r="A823" s="23" t="n"/>
      <c r="B823" s="23" t="n"/>
      <c r="C823" s="24" t="n"/>
      <c r="D823" s="15" t="n"/>
      <c r="E823" s="23" t="n"/>
      <c r="F823" s="15" t="n"/>
      <c r="G823" s="23" t="n"/>
      <c r="H823" s="25" t="n"/>
      <c r="I823" s="15" t="n"/>
      <c r="J823" s="26">
        <f>IF($A823="","",LEN($C823)-LEN(SUBSTITUTE($C823,",",""))+1)</f>
        <v/>
      </c>
      <c r="K823" s="26">
        <f>IF($A823="","",SUMPRODUCT(--ISNUMBER(SEARCH('Category Dictionary'!$D$5:$D$135&amp;"",$C823)),--('Category Dictionary'!$D$5:$D$135&lt;&gt;"")))</f>
        <v/>
      </c>
      <c r="L823" s="27">
        <f>IF($A823="","",TRIM(IF(ISERROR(FIND(",",$C823)),$C823,LEFT($C823,FIND(",",$C823)-1))))</f>
        <v/>
      </c>
      <c r="M823" s="28">
        <f>IF($H823="","",DATE(YEAR($H823),MONTH($H823),1))</f>
        <v/>
      </c>
      <c r="N823" s="26">
        <f>IF($H823="","",TODAY()-$H823)</f>
        <v/>
      </c>
      <c r="O823" s="15" t="n"/>
      <c r="P823" s="15" t="n"/>
      <c r="Q823" s="15" t="n"/>
      <c r="R823" s="25" t="n"/>
      <c r="S823" s="26">
        <f>IF($A823="","",AND(OR('Assignment Builder'!$B$5="",$B823='Assignment Builder'!$B$5),OR('Assignment Builder'!$B$6="",ISNUMBER(SEARCH('Assignment Builder'!$B$6,$C823))),OR('Assignment Builder'!$B$7="",'Assignment Builder'!$B$7=IFERROR(INDEX('Category Dictionary'!$C$5:$C$135,MATCH($L823,'Category Dictionary'!$D$5:$D$135,0)),"")),OR('Assignment Builder'!$B$8="",$D823='Assignment Builder'!$B$8),OR('Assignment Builder'!$B$9="",$F823='Assignment Builder'!$B$9),OR('Assignment Builder'!$B$10="",$O823='Assignment Builder'!$B$10),OR('Assignment Builder'!$B$11="",$H823&gt;='Assignment Builder'!$B$11),OR('Assignment Builder'!$B$12="",N($Q823)&lt;='Assignment Builder'!$B$12)))</f>
        <v/>
      </c>
      <c r="T823" s="23" t="n"/>
    </row>
    <row r="824">
      <c r="A824" s="23" t="n"/>
      <c r="B824" s="23" t="n"/>
      <c r="C824" s="24" t="n"/>
      <c r="D824" s="15" t="n"/>
      <c r="E824" s="23" t="n"/>
      <c r="F824" s="15" t="n"/>
      <c r="G824" s="23" t="n"/>
      <c r="H824" s="25" t="n"/>
      <c r="I824" s="15" t="n"/>
      <c r="J824" s="26">
        <f>IF($A824="","",LEN($C824)-LEN(SUBSTITUTE($C824,",",""))+1)</f>
        <v/>
      </c>
      <c r="K824" s="26">
        <f>IF($A824="","",SUMPRODUCT(--ISNUMBER(SEARCH('Category Dictionary'!$D$5:$D$135&amp;"",$C824)),--('Category Dictionary'!$D$5:$D$135&lt;&gt;"")))</f>
        <v/>
      </c>
      <c r="L824" s="27">
        <f>IF($A824="","",TRIM(IF(ISERROR(FIND(",",$C824)),$C824,LEFT($C824,FIND(",",$C824)-1))))</f>
        <v/>
      </c>
      <c r="M824" s="28">
        <f>IF($H824="","",DATE(YEAR($H824),MONTH($H824),1))</f>
        <v/>
      </c>
      <c r="N824" s="26">
        <f>IF($H824="","",TODAY()-$H824)</f>
        <v/>
      </c>
      <c r="O824" s="15" t="n"/>
      <c r="P824" s="15" t="n"/>
      <c r="Q824" s="15" t="n"/>
      <c r="R824" s="25" t="n"/>
      <c r="S824" s="26">
        <f>IF($A824="","",AND(OR('Assignment Builder'!$B$5="",$B824='Assignment Builder'!$B$5),OR('Assignment Builder'!$B$6="",ISNUMBER(SEARCH('Assignment Builder'!$B$6,$C824))),OR('Assignment Builder'!$B$7="",'Assignment Builder'!$B$7=IFERROR(INDEX('Category Dictionary'!$C$5:$C$135,MATCH($L824,'Category Dictionary'!$D$5:$D$135,0)),"")),OR('Assignment Builder'!$B$8="",$D824='Assignment Builder'!$B$8),OR('Assignment Builder'!$B$9="",$F824='Assignment Builder'!$B$9),OR('Assignment Builder'!$B$10="",$O824='Assignment Builder'!$B$10),OR('Assignment Builder'!$B$11="",$H824&gt;='Assignment Builder'!$B$11),OR('Assignment Builder'!$B$12="",N($Q824)&lt;='Assignment Builder'!$B$12)))</f>
        <v/>
      </c>
      <c r="T824" s="23" t="n"/>
    </row>
    <row r="825">
      <c r="A825" s="23" t="n"/>
      <c r="B825" s="23" t="n"/>
      <c r="C825" s="24" t="n"/>
      <c r="D825" s="15" t="n"/>
      <c r="E825" s="23" t="n"/>
      <c r="F825" s="15" t="n"/>
      <c r="G825" s="23" t="n"/>
      <c r="H825" s="25" t="n"/>
      <c r="I825" s="15" t="n"/>
      <c r="J825" s="26">
        <f>IF($A825="","",LEN($C825)-LEN(SUBSTITUTE($C825,",",""))+1)</f>
        <v/>
      </c>
      <c r="K825" s="26">
        <f>IF($A825="","",SUMPRODUCT(--ISNUMBER(SEARCH('Category Dictionary'!$D$5:$D$135&amp;"",$C825)),--('Category Dictionary'!$D$5:$D$135&lt;&gt;"")))</f>
        <v/>
      </c>
      <c r="L825" s="27">
        <f>IF($A825="","",TRIM(IF(ISERROR(FIND(",",$C825)),$C825,LEFT($C825,FIND(",",$C825)-1))))</f>
        <v/>
      </c>
      <c r="M825" s="28">
        <f>IF($H825="","",DATE(YEAR($H825),MONTH($H825),1))</f>
        <v/>
      </c>
      <c r="N825" s="26">
        <f>IF($H825="","",TODAY()-$H825)</f>
        <v/>
      </c>
      <c r="O825" s="15" t="n"/>
      <c r="P825" s="15" t="n"/>
      <c r="Q825" s="15" t="n"/>
      <c r="R825" s="25" t="n"/>
      <c r="S825" s="26">
        <f>IF($A825="","",AND(OR('Assignment Builder'!$B$5="",$B825='Assignment Builder'!$B$5),OR('Assignment Builder'!$B$6="",ISNUMBER(SEARCH('Assignment Builder'!$B$6,$C825))),OR('Assignment Builder'!$B$7="",'Assignment Builder'!$B$7=IFERROR(INDEX('Category Dictionary'!$C$5:$C$135,MATCH($L825,'Category Dictionary'!$D$5:$D$135,0)),"")),OR('Assignment Builder'!$B$8="",$D825='Assignment Builder'!$B$8),OR('Assignment Builder'!$B$9="",$F825='Assignment Builder'!$B$9),OR('Assignment Builder'!$B$10="",$O825='Assignment Builder'!$B$10),OR('Assignment Builder'!$B$11="",$H825&gt;='Assignment Builder'!$B$11),OR('Assignment Builder'!$B$12="",N($Q825)&lt;='Assignment Builder'!$B$12)))</f>
        <v/>
      </c>
      <c r="T825" s="23" t="n"/>
    </row>
    <row r="826">
      <c r="A826" s="23" t="n"/>
      <c r="B826" s="23" t="n"/>
      <c r="C826" s="24" t="n"/>
      <c r="D826" s="15" t="n"/>
      <c r="E826" s="23" t="n"/>
      <c r="F826" s="15" t="n"/>
      <c r="G826" s="23" t="n"/>
      <c r="H826" s="25" t="n"/>
      <c r="I826" s="15" t="n"/>
      <c r="J826" s="26">
        <f>IF($A826="","",LEN($C826)-LEN(SUBSTITUTE($C826,",",""))+1)</f>
        <v/>
      </c>
      <c r="K826" s="26">
        <f>IF($A826="","",SUMPRODUCT(--ISNUMBER(SEARCH('Category Dictionary'!$D$5:$D$135&amp;"",$C826)),--('Category Dictionary'!$D$5:$D$135&lt;&gt;"")))</f>
        <v/>
      </c>
      <c r="L826" s="27">
        <f>IF($A826="","",TRIM(IF(ISERROR(FIND(",",$C826)),$C826,LEFT($C826,FIND(",",$C826)-1))))</f>
        <v/>
      </c>
      <c r="M826" s="28">
        <f>IF($H826="","",DATE(YEAR($H826),MONTH($H826),1))</f>
        <v/>
      </c>
      <c r="N826" s="26">
        <f>IF($H826="","",TODAY()-$H826)</f>
        <v/>
      </c>
      <c r="O826" s="15" t="n"/>
      <c r="P826" s="15" t="n"/>
      <c r="Q826" s="15" t="n"/>
      <c r="R826" s="25" t="n"/>
      <c r="S826" s="26">
        <f>IF($A826="","",AND(OR('Assignment Builder'!$B$5="",$B826='Assignment Builder'!$B$5),OR('Assignment Builder'!$B$6="",ISNUMBER(SEARCH('Assignment Builder'!$B$6,$C826))),OR('Assignment Builder'!$B$7="",'Assignment Builder'!$B$7=IFERROR(INDEX('Category Dictionary'!$C$5:$C$135,MATCH($L826,'Category Dictionary'!$D$5:$D$135,0)),"")),OR('Assignment Builder'!$B$8="",$D826='Assignment Builder'!$B$8),OR('Assignment Builder'!$B$9="",$F826='Assignment Builder'!$B$9),OR('Assignment Builder'!$B$10="",$O826='Assignment Builder'!$B$10),OR('Assignment Builder'!$B$11="",$H826&gt;='Assignment Builder'!$B$11),OR('Assignment Builder'!$B$12="",N($Q826)&lt;='Assignment Builder'!$B$12)))</f>
        <v/>
      </c>
      <c r="T826" s="23" t="n"/>
    </row>
    <row r="827">
      <c r="A827" s="23" t="n"/>
      <c r="B827" s="23" t="n"/>
      <c r="C827" s="24" t="n"/>
      <c r="D827" s="15" t="n"/>
      <c r="E827" s="23" t="n"/>
      <c r="F827" s="15" t="n"/>
      <c r="G827" s="23" t="n"/>
      <c r="H827" s="25" t="n"/>
      <c r="I827" s="15" t="n"/>
      <c r="J827" s="26">
        <f>IF($A827="","",LEN($C827)-LEN(SUBSTITUTE($C827,",",""))+1)</f>
        <v/>
      </c>
      <c r="K827" s="26">
        <f>IF($A827="","",SUMPRODUCT(--ISNUMBER(SEARCH('Category Dictionary'!$D$5:$D$135&amp;"",$C827)),--('Category Dictionary'!$D$5:$D$135&lt;&gt;"")))</f>
        <v/>
      </c>
      <c r="L827" s="27">
        <f>IF($A827="","",TRIM(IF(ISERROR(FIND(",",$C827)),$C827,LEFT($C827,FIND(",",$C827)-1))))</f>
        <v/>
      </c>
      <c r="M827" s="28">
        <f>IF($H827="","",DATE(YEAR($H827),MONTH($H827),1))</f>
        <v/>
      </c>
      <c r="N827" s="26">
        <f>IF($H827="","",TODAY()-$H827)</f>
        <v/>
      </c>
      <c r="O827" s="15" t="n"/>
      <c r="P827" s="15" t="n"/>
      <c r="Q827" s="15" t="n"/>
      <c r="R827" s="25" t="n"/>
      <c r="S827" s="26">
        <f>IF($A827="","",AND(OR('Assignment Builder'!$B$5="",$B827='Assignment Builder'!$B$5),OR('Assignment Builder'!$B$6="",ISNUMBER(SEARCH('Assignment Builder'!$B$6,$C827))),OR('Assignment Builder'!$B$7="",'Assignment Builder'!$B$7=IFERROR(INDEX('Category Dictionary'!$C$5:$C$135,MATCH($L827,'Category Dictionary'!$D$5:$D$135,0)),"")),OR('Assignment Builder'!$B$8="",$D827='Assignment Builder'!$B$8),OR('Assignment Builder'!$B$9="",$F827='Assignment Builder'!$B$9),OR('Assignment Builder'!$B$10="",$O827='Assignment Builder'!$B$10),OR('Assignment Builder'!$B$11="",$H827&gt;='Assignment Builder'!$B$11),OR('Assignment Builder'!$B$12="",N($Q827)&lt;='Assignment Builder'!$B$12)))</f>
        <v/>
      </c>
      <c r="T827" s="23" t="n"/>
    </row>
    <row r="828">
      <c r="A828" s="23" t="n"/>
      <c r="B828" s="23" t="n"/>
      <c r="C828" s="24" t="n"/>
      <c r="D828" s="15" t="n"/>
      <c r="E828" s="23" t="n"/>
      <c r="F828" s="15" t="n"/>
      <c r="G828" s="23" t="n"/>
      <c r="H828" s="25" t="n"/>
      <c r="I828" s="15" t="n"/>
      <c r="J828" s="26">
        <f>IF($A828="","",LEN($C828)-LEN(SUBSTITUTE($C828,",",""))+1)</f>
        <v/>
      </c>
      <c r="K828" s="26">
        <f>IF($A828="","",SUMPRODUCT(--ISNUMBER(SEARCH('Category Dictionary'!$D$5:$D$135&amp;"",$C828)),--('Category Dictionary'!$D$5:$D$135&lt;&gt;"")))</f>
        <v/>
      </c>
      <c r="L828" s="27">
        <f>IF($A828="","",TRIM(IF(ISERROR(FIND(",",$C828)),$C828,LEFT($C828,FIND(",",$C828)-1))))</f>
        <v/>
      </c>
      <c r="M828" s="28">
        <f>IF($H828="","",DATE(YEAR($H828),MONTH($H828),1))</f>
        <v/>
      </c>
      <c r="N828" s="26">
        <f>IF($H828="","",TODAY()-$H828)</f>
        <v/>
      </c>
      <c r="O828" s="15" t="n"/>
      <c r="P828" s="15" t="n"/>
      <c r="Q828" s="15" t="n"/>
      <c r="R828" s="25" t="n"/>
      <c r="S828" s="26">
        <f>IF($A828="","",AND(OR('Assignment Builder'!$B$5="",$B828='Assignment Builder'!$B$5),OR('Assignment Builder'!$B$6="",ISNUMBER(SEARCH('Assignment Builder'!$B$6,$C828))),OR('Assignment Builder'!$B$7="",'Assignment Builder'!$B$7=IFERROR(INDEX('Category Dictionary'!$C$5:$C$135,MATCH($L828,'Category Dictionary'!$D$5:$D$135,0)),"")),OR('Assignment Builder'!$B$8="",$D828='Assignment Builder'!$B$8),OR('Assignment Builder'!$B$9="",$F828='Assignment Builder'!$B$9),OR('Assignment Builder'!$B$10="",$O828='Assignment Builder'!$B$10),OR('Assignment Builder'!$B$11="",$H828&gt;='Assignment Builder'!$B$11),OR('Assignment Builder'!$B$12="",N($Q828)&lt;='Assignment Builder'!$B$12)))</f>
        <v/>
      </c>
      <c r="T828" s="23" t="n"/>
    </row>
    <row r="829">
      <c r="A829" s="23" t="n"/>
      <c r="B829" s="23" t="n"/>
      <c r="C829" s="24" t="n"/>
      <c r="D829" s="15" t="n"/>
      <c r="E829" s="23" t="n"/>
      <c r="F829" s="15" t="n"/>
      <c r="G829" s="23" t="n"/>
      <c r="H829" s="25" t="n"/>
      <c r="I829" s="15" t="n"/>
      <c r="J829" s="26">
        <f>IF($A829="","",LEN($C829)-LEN(SUBSTITUTE($C829,",",""))+1)</f>
        <v/>
      </c>
      <c r="K829" s="26">
        <f>IF($A829="","",SUMPRODUCT(--ISNUMBER(SEARCH('Category Dictionary'!$D$5:$D$135&amp;"",$C829)),--('Category Dictionary'!$D$5:$D$135&lt;&gt;"")))</f>
        <v/>
      </c>
      <c r="L829" s="27">
        <f>IF($A829="","",TRIM(IF(ISERROR(FIND(",",$C829)),$C829,LEFT($C829,FIND(",",$C829)-1))))</f>
        <v/>
      </c>
      <c r="M829" s="28">
        <f>IF($H829="","",DATE(YEAR($H829),MONTH($H829),1))</f>
        <v/>
      </c>
      <c r="N829" s="26">
        <f>IF($H829="","",TODAY()-$H829)</f>
        <v/>
      </c>
      <c r="O829" s="15" t="n"/>
      <c r="P829" s="15" t="n"/>
      <c r="Q829" s="15" t="n"/>
      <c r="R829" s="25" t="n"/>
      <c r="S829" s="26">
        <f>IF($A829="","",AND(OR('Assignment Builder'!$B$5="",$B829='Assignment Builder'!$B$5),OR('Assignment Builder'!$B$6="",ISNUMBER(SEARCH('Assignment Builder'!$B$6,$C829))),OR('Assignment Builder'!$B$7="",'Assignment Builder'!$B$7=IFERROR(INDEX('Category Dictionary'!$C$5:$C$135,MATCH($L829,'Category Dictionary'!$D$5:$D$135,0)),"")),OR('Assignment Builder'!$B$8="",$D829='Assignment Builder'!$B$8),OR('Assignment Builder'!$B$9="",$F829='Assignment Builder'!$B$9),OR('Assignment Builder'!$B$10="",$O829='Assignment Builder'!$B$10),OR('Assignment Builder'!$B$11="",$H829&gt;='Assignment Builder'!$B$11),OR('Assignment Builder'!$B$12="",N($Q829)&lt;='Assignment Builder'!$B$12)))</f>
        <v/>
      </c>
      <c r="T829" s="23" t="n"/>
    </row>
    <row r="830">
      <c r="A830" s="23" t="n"/>
      <c r="B830" s="23" t="n"/>
      <c r="C830" s="24" t="n"/>
      <c r="D830" s="15" t="n"/>
      <c r="E830" s="23" t="n"/>
      <c r="F830" s="15" t="n"/>
      <c r="G830" s="23" t="n"/>
      <c r="H830" s="25" t="n"/>
      <c r="I830" s="15" t="n"/>
      <c r="J830" s="26">
        <f>IF($A830="","",LEN($C830)-LEN(SUBSTITUTE($C830,",",""))+1)</f>
        <v/>
      </c>
      <c r="K830" s="26">
        <f>IF($A830="","",SUMPRODUCT(--ISNUMBER(SEARCH('Category Dictionary'!$D$5:$D$135&amp;"",$C830)),--('Category Dictionary'!$D$5:$D$135&lt;&gt;"")))</f>
        <v/>
      </c>
      <c r="L830" s="27">
        <f>IF($A830="","",TRIM(IF(ISERROR(FIND(",",$C830)),$C830,LEFT($C830,FIND(",",$C830)-1))))</f>
        <v/>
      </c>
      <c r="M830" s="28">
        <f>IF($H830="","",DATE(YEAR($H830),MONTH($H830),1))</f>
        <v/>
      </c>
      <c r="N830" s="26">
        <f>IF($H830="","",TODAY()-$H830)</f>
        <v/>
      </c>
      <c r="O830" s="15" t="n"/>
      <c r="P830" s="15" t="n"/>
      <c r="Q830" s="15" t="n"/>
      <c r="R830" s="25" t="n"/>
      <c r="S830" s="26">
        <f>IF($A830="","",AND(OR('Assignment Builder'!$B$5="",$B830='Assignment Builder'!$B$5),OR('Assignment Builder'!$B$6="",ISNUMBER(SEARCH('Assignment Builder'!$B$6,$C830))),OR('Assignment Builder'!$B$7="",'Assignment Builder'!$B$7=IFERROR(INDEX('Category Dictionary'!$C$5:$C$135,MATCH($L830,'Category Dictionary'!$D$5:$D$135,0)),"")),OR('Assignment Builder'!$B$8="",$D830='Assignment Builder'!$B$8),OR('Assignment Builder'!$B$9="",$F830='Assignment Builder'!$B$9),OR('Assignment Builder'!$B$10="",$O830='Assignment Builder'!$B$10),OR('Assignment Builder'!$B$11="",$H830&gt;='Assignment Builder'!$B$11),OR('Assignment Builder'!$B$12="",N($Q830)&lt;='Assignment Builder'!$B$12)))</f>
        <v/>
      </c>
      <c r="T830" s="23" t="n"/>
    </row>
    <row r="831">
      <c r="A831" s="23" t="n"/>
      <c r="B831" s="23" t="n"/>
      <c r="C831" s="24" t="n"/>
      <c r="D831" s="15" t="n"/>
      <c r="E831" s="23" t="n"/>
      <c r="F831" s="15" t="n"/>
      <c r="G831" s="23" t="n"/>
      <c r="H831" s="25" t="n"/>
      <c r="I831" s="15" t="n"/>
      <c r="J831" s="26">
        <f>IF($A831="","",LEN($C831)-LEN(SUBSTITUTE($C831,",",""))+1)</f>
        <v/>
      </c>
      <c r="K831" s="26">
        <f>IF($A831="","",SUMPRODUCT(--ISNUMBER(SEARCH('Category Dictionary'!$D$5:$D$135&amp;"",$C831)),--('Category Dictionary'!$D$5:$D$135&lt;&gt;"")))</f>
        <v/>
      </c>
      <c r="L831" s="27">
        <f>IF($A831="","",TRIM(IF(ISERROR(FIND(",",$C831)),$C831,LEFT($C831,FIND(",",$C831)-1))))</f>
        <v/>
      </c>
      <c r="M831" s="28">
        <f>IF($H831="","",DATE(YEAR($H831),MONTH($H831),1))</f>
        <v/>
      </c>
      <c r="N831" s="26">
        <f>IF($H831="","",TODAY()-$H831)</f>
        <v/>
      </c>
      <c r="O831" s="15" t="n"/>
      <c r="P831" s="15" t="n"/>
      <c r="Q831" s="15" t="n"/>
      <c r="R831" s="25" t="n"/>
      <c r="S831" s="26">
        <f>IF($A831="","",AND(OR('Assignment Builder'!$B$5="",$B831='Assignment Builder'!$B$5),OR('Assignment Builder'!$B$6="",ISNUMBER(SEARCH('Assignment Builder'!$B$6,$C831))),OR('Assignment Builder'!$B$7="",'Assignment Builder'!$B$7=IFERROR(INDEX('Category Dictionary'!$C$5:$C$135,MATCH($L831,'Category Dictionary'!$D$5:$D$135,0)),"")),OR('Assignment Builder'!$B$8="",$D831='Assignment Builder'!$B$8),OR('Assignment Builder'!$B$9="",$F831='Assignment Builder'!$B$9),OR('Assignment Builder'!$B$10="",$O831='Assignment Builder'!$B$10),OR('Assignment Builder'!$B$11="",$H831&gt;='Assignment Builder'!$B$11),OR('Assignment Builder'!$B$12="",N($Q831)&lt;='Assignment Builder'!$B$12)))</f>
        <v/>
      </c>
      <c r="T831" s="23" t="n"/>
    </row>
    <row r="832">
      <c r="A832" s="23" t="n"/>
      <c r="B832" s="23" t="n"/>
      <c r="C832" s="24" t="n"/>
      <c r="D832" s="15" t="n"/>
      <c r="E832" s="23" t="n"/>
      <c r="F832" s="15" t="n"/>
      <c r="G832" s="23" t="n"/>
      <c r="H832" s="25" t="n"/>
      <c r="I832" s="15" t="n"/>
      <c r="J832" s="26">
        <f>IF($A832="","",LEN($C832)-LEN(SUBSTITUTE($C832,",",""))+1)</f>
        <v/>
      </c>
      <c r="K832" s="26">
        <f>IF($A832="","",SUMPRODUCT(--ISNUMBER(SEARCH('Category Dictionary'!$D$5:$D$135&amp;"",$C832)),--('Category Dictionary'!$D$5:$D$135&lt;&gt;"")))</f>
        <v/>
      </c>
      <c r="L832" s="27">
        <f>IF($A832="","",TRIM(IF(ISERROR(FIND(",",$C832)),$C832,LEFT($C832,FIND(",",$C832)-1))))</f>
        <v/>
      </c>
      <c r="M832" s="28">
        <f>IF($H832="","",DATE(YEAR($H832),MONTH($H832),1))</f>
        <v/>
      </c>
      <c r="N832" s="26">
        <f>IF($H832="","",TODAY()-$H832)</f>
        <v/>
      </c>
      <c r="O832" s="15" t="n"/>
      <c r="P832" s="15" t="n"/>
      <c r="Q832" s="15" t="n"/>
      <c r="R832" s="25" t="n"/>
      <c r="S832" s="26">
        <f>IF($A832="","",AND(OR('Assignment Builder'!$B$5="",$B832='Assignment Builder'!$B$5),OR('Assignment Builder'!$B$6="",ISNUMBER(SEARCH('Assignment Builder'!$B$6,$C832))),OR('Assignment Builder'!$B$7="",'Assignment Builder'!$B$7=IFERROR(INDEX('Category Dictionary'!$C$5:$C$135,MATCH($L832,'Category Dictionary'!$D$5:$D$135,0)),"")),OR('Assignment Builder'!$B$8="",$D832='Assignment Builder'!$B$8),OR('Assignment Builder'!$B$9="",$F832='Assignment Builder'!$B$9),OR('Assignment Builder'!$B$10="",$O832='Assignment Builder'!$B$10),OR('Assignment Builder'!$B$11="",$H832&gt;='Assignment Builder'!$B$11),OR('Assignment Builder'!$B$12="",N($Q832)&lt;='Assignment Builder'!$B$12)))</f>
        <v/>
      </c>
      <c r="T832" s="23" t="n"/>
    </row>
    <row r="833">
      <c r="A833" s="23" t="n"/>
      <c r="B833" s="23" t="n"/>
      <c r="C833" s="24" t="n"/>
      <c r="D833" s="15" t="n"/>
      <c r="E833" s="23" t="n"/>
      <c r="F833" s="15" t="n"/>
      <c r="G833" s="23" t="n"/>
      <c r="H833" s="25" t="n"/>
      <c r="I833" s="15" t="n"/>
      <c r="J833" s="26">
        <f>IF($A833="","",LEN($C833)-LEN(SUBSTITUTE($C833,",",""))+1)</f>
        <v/>
      </c>
      <c r="K833" s="26">
        <f>IF($A833="","",SUMPRODUCT(--ISNUMBER(SEARCH('Category Dictionary'!$D$5:$D$135&amp;"",$C833)),--('Category Dictionary'!$D$5:$D$135&lt;&gt;"")))</f>
        <v/>
      </c>
      <c r="L833" s="27">
        <f>IF($A833="","",TRIM(IF(ISERROR(FIND(",",$C833)),$C833,LEFT($C833,FIND(",",$C833)-1))))</f>
        <v/>
      </c>
      <c r="M833" s="28">
        <f>IF($H833="","",DATE(YEAR($H833),MONTH($H833),1))</f>
        <v/>
      </c>
      <c r="N833" s="26">
        <f>IF($H833="","",TODAY()-$H833)</f>
        <v/>
      </c>
      <c r="O833" s="15" t="n"/>
      <c r="P833" s="15" t="n"/>
      <c r="Q833" s="15" t="n"/>
      <c r="R833" s="25" t="n"/>
      <c r="S833" s="26">
        <f>IF($A833="","",AND(OR('Assignment Builder'!$B$5="",$B833='Assignment Builder'!$B$5),OR('Assignment Builder'!$B$6="",ISNUMBER(SEARCH('Assignment Builder'!$B$6,$C833))),OR('Assignment Builder'!$B$7="",'Assignment Builder'!$B$7=IFERROR(INDEX('Category Dictionary'!$C$5:$C$135,MATCH($L833,'Category Dictionary'!$D$5:$D$135,0)),"")),OR('Assignment Builder'!$B$8="",$D833='Assignment Builder'!$B$8),OR('Assignment Builder'!$B$9="",$F833='Assignment Builder'!$B$9),OR('Assignment Builder'!$B$10="",$O833='Assignment Builder'!$B$10),OR('Assignment Builder'!$B$11="",$H833&gt;='Assignment Builder'!$B$11),OR('Assignment Builder'!$B$12="",N($Q833)&lt;='Assignment Builder'!$B$12)))</f>
        <v/>
      </c>
      <c r="T833" s="23" t="n"/>
    </row>
    <row r="834">
      <c r="A834" s="23" t="n"/>
      <c r="B834" s="23" t="n"/>
      <c r="C834" s="24" t="n"/>
      <c r="D834" s="15" t="n"/>
      <c r="E834" s="23" t="n"/>
      <c r="F834" s="15" t="n"/>
      <c r="G834" s="23" t="n"/>
      <c r="H834" s="25" t="n"/>
      <c r="I834" s="15" t="n"/>
      <c r="J834" s="26">
        <f>IF($A834="","",LEN($C834)-LEN(SUBSTITUTE($C834,",",""))+1)</f>
        <v/>
      </c>
      <c r="K834" s="26">
        <f>IF($A834="","",SUMPRODUCT(--ISNUMBER(SEARCH('Category Dictionary'!$D$5:$D$135&amp;"",$C834)),--('Category Dictionary'!$D$5:$D$135&lt;&gt;"")))</f>
        <v/>
      </c>
      <c r="L834" s="27">
        <f>IF($A834="","",TRIM(IF(ISERROR(FIND(",",$C834)),$C834,LEFT($C834,FIND(",",$C834)-1))))</f>
        <v/>
      </c>
      <c r="M834" s="28">
        <f>IF($H834="","",DATE(YEAR($H834),MONTH($H834),1))</f>
        <v/>
      </c>
      <c r="N834" s="26">
        <f>IF($H834="","",TODAY()-$H834)</f>
        <v/>
      </c>
      <c r="O834" s="15" t="n"/>
      <c r="P834" s="15" t="n"/>
      <c r="Q834" s="15" t="n"/>
      <c r="R834" s="25" t="n"/>
      <c r="S834" s="26">
        <f>IF($A834="","",AND(OR('Assignment Builder'!$B$5="",$B834='Assignment Builder'!$B$5),OR('Assignment Builder'!$B$6="",ISNUMBER(SEARCH('Assignment Builder'!$B$6,$C834))),OR('Assignment Builder'!$B$7="",'Assignment Builder'!$B$7=IFERROR(INDEX('Category Dictionary'!$C$5:$C$135,MATCH($L834,'Category Dictionary'!$D$5:$D$135,0)),"")),OR('Assignment Builder'!$B$8="",$D834='Assignment Builder'!$B$8),OR('Assignment Builder'!$B$9="",$F834='Assignment Builder'!$B$9),OR('Assignment Builder'!$B$10="",$O834='Assignment Builder'!$B$10),OR('Assignment Builder'!$B$11="",$H834&gt;='Assignment Builder'!$B$11),OR('Assignment Builder'!$B$12="",N($Q834)&lt;='Assignment Builder'!$B$12)))</f>
        <v/>
      </c>
      <c r="T834" s="23" t="n"/>
    </row>
    <row r="835">
      <c r="A835" s="23" t="n"/>
      <c r="B835" s="23" t="n"/>
      <c r="C835" s="24" t="n"/>
      <c r="D835" s="15" t="n"/>
      <c r="E835" s="23" t="n"/>
      <c r="F835" s="15" t="n"/>
      <c r="G835" s="23" t="n"/>
      <c r="H835" s="25" t="n"/>
      <c r="I835" s="15" t="n"/>
      <c r="J835" s="26">
        <f>IF($A835="","",LEN($C835)-LEN(SUBSTITUTE($C835,",",""))+1)</f>
        <v/>
      </c>
      <c r="K835" s="26">
        <f>IF($A835="","",SUMPRODUCT(--ISNUMBER(SEARCH('Category Dictionary'!$D$5:$D$135&amp;"",$C835)),--('Category Dictionary'!$D$5:$D$135&lt;&gt;"")))</f>
        <v/>
      </c>
      <c r="L835" s="27">
        <f>IF($A835="","",TRIM(IF(ISERROR(FIND(",",$C835)),$C835,LEFT($C835,FIND(",",$C835)-1))))</f>
        <v/>
      </c>
      <c r="M835" s="28">
        <f>IF($H835="","",DATE(YEAR($H835),MONTH($H835),1))</f>
        <v/>
      </c>
      <c r="N835" s="26">
        <f>IF($H835="","",TODAY()-$H835)</f>
        <v/>
      </c>
      <c r="O835" s="15" t="n"/>
      <c r="P835" s="15" t="n"/>
      <c r="Q835" s="15" t="n"/>
      <c r="R835" s="25" t="n"/>
      <c r="S835" s="26">
        <f>IF($A835="","",AND(OR('Assignment Builder'!$B$5="",$B835='Assignment Builder'!$B$5),OR('Assignment Builder'!$B$6="",ISNUMBER(SEARCH('Assignment Builder'!$B$6,$C835))),OR('Assignment Builder'!$B$7="",'Assignment Builder'!$B$7=IFERROR(INDEX('Category Dictionary'!$C$5:$C$135,MATCH($L835,'Category Dictionary'!$D$5:$D$135,0)),"")),OR('Assignment Builder'!$B$8="",$D835='Assignment Builder'!$B$8),OR('Assignment Builder'!$B$9="",$F835='Assignment Builder'!$B$9),OR('Assignment Builder'!$B$10="",$O835='Assignment Builder'!$B$10),OR('Assignment Builder'!$B$11="",$H835&gt;='Assignment Builder'!$B$11),OR('Assignment Builder'!$B$12="",N($Q835)&lt;='Assignment Builder'!$B$12)))</f>
        <v/>
      </c>
      <c r="T835" s="23" t="n"/>
    </row>
    <row r="836">
      <c r="A836" s="23" t="n"/>
      <c r="B836" s="23" t="n"/>
      <c r="C836" s="24" t="n"/>
      <c r="D836" s="15" t="n"/>
      <c r="E836" s="23" t="n"/>
      <c r="F836" s="15" t="n"/>
      <c r="G836" s="23" t="n"/>
      <c r="H836" s="25" t="n"/>
      <c r="I836" s="15" t="n"/>
      <c r="J836" s="26">
        <f>IF($A836="","",LEN($C836)-LEN(SUBSTITUTE($C836,",",""))+1)</f>
        <v/>
      </c>
      <c r="K836" s="26">
        <f>IF($A836="","",SUMPRODUCT(--ISNUMBER(SEARCH('Category Dictionary'!$D$5:$D$135&amp;"",$C836)),--('Category Dictionary'!$D$5:$D$135&lt;&gt;"")))</f>
        <v/>
      </c>
      <c r="L836" s="27">
        <f>IF($A836="","",TRIM(IF(ISERROR(FIND(",",$C836)),$C836,LEFT($C836,FIND(",",$C836)-1))))</f>
        <v/>
      </c>
      <c r="M836" s="28">
        <f>IF($H836="","",DATE(YEAR($H836),MONTH($H836),1))</f>
        <v/>
      </c>
      <c r="N836" s="26">
        <f>IF($H836="","",TODAY()-$H836)</f>
        <v/>
      </c>
      <c r="O836" s="15" t="n"/>
      <c r="P836" s="15" t="n"/>
      <c r="Q836" s="15" t="n"/>
      <c r="R836" s="25" t="n"/>
      <c r="S836" s="26">
        <f>IF($A836="","",AND(OR('Assignment Builder'!$B$5="",$B836='Assignment Builder'!$B$5),OR('Assignment Builder'!$B$6="",ISNUMBER(SEARCH('Assignment Builder'!$B$6,$C836))),OR('Assignment Builder'!$B$7="",'Assignment Builder'!$B$7=IFERROR(INDEX('Category Dictionary'!$C$5:$C$135,MATCH($L836,'Category Dictionary'!$D$5:$D$135,0)),"")),OR('Assignment Builder'!$B$8="",$D836='Assignment Builder'!$B$8),OR('Assignment Builder'!$B$9="",$F836='Assignment Builder'!$B$9),OR('Assignment Builder'!$B$10="",$O836='Assignment Builder'!$B$10),OR('Assignment Builder'!$B$11="",$H836&gt;='Assignment Builder'!$B$11),OR('Assignment Builder'!$B$12="",N($Q836)&lt;='Assignment Builder'!$B$12)))</f>
        <v/>
      </c>
      <c r="T836" s="23" t="n"/>
    </row>
    <row r="837">
      <c r="A837" s="23" t="n"/>
      <c r="B837" s="23" t="n"/>
      <c r="C837" s="24" t="n"/>
      <c r="D837" s="15" t="n"/>
      <c r="E837" s="23" t="n"/>
      <c r="F837" s="15" t="n"/>
      <c r="G837" s="23" t="n"/>
      <c r="H837" s="25" t="n"/>
      <c r="I837" s="15" t="n"/>
      <c r="J837" s="26">
        <f>IF($A837="","",LEN($C837)-LEN(SUBSTITUTE($C837,",",""))+1)</f>
        <v/>
      </c>
      <c r="K837" s="26">
        <f>IF($A837="","",SUMPRODUCT(--ISNUMBER(SEARCH('Category Dictionary'!$D$5:$D$135&amp;"",$C837)),--('Category Dictionary'!$D$5:$D$135&lt;&gt;"")))</f>
        <v/>
      </c>
      <c r="L837" s="27">
        <f>IF($A837="","",TRIM(IF(ISERROR(FIND(",",$C837)),$C837,LEFT($C837,FIND(",",$C837)-1))))</f>
        <v/>
      </c>
      <c r="M837" s="28">
        <f>IF($H837="","",DATE(YEAR($H837),MONTH($H837),1))</f>
        <v/>
      </c>
      <c r="N837" s="26">
        <f>IF($H837="","",TODAY()-$H837)</f>
        <v/>
      </c>
      <c r="O837" s="15" t="n"/>
      <c r="P837" s="15" t="n"/>
      <c r="Q837" s="15" t="n"/>
      <c r="R837" s="25" t="n"/>
      <c r="S837" s="26">
        <f>IF($A837="","",AND(OR('Assignment Builder'!$B$5="",$B837='Assignment Builder'!$B$5),OR('Assignment Builder'!$B$6="",ISNUMBER(SEARCH('Assignment Builder'!$B$6,$C837))),OR('Assignment Builder'!$B$7="",'Assignment Builder'!$B$7=IFERROR(INDEX('Category Dictionary'!$C$5:$C$135,MATCH($L837,'Category Dictionary'!$D$5:$D$135,0)),"")),OR('Assignment Builder'!$B$8="",$D837='Assignment Builder'!$B$8),OR('Assignment Builder'!$B$9="",$F837='Assignment Builder'!$B$9),OR('Assignment Builder'!$B$10="",$O837='Assignment Builder'!$B$10),OR('Assignment Builder'!$B$11="",$H837&gt;='Assignment Builder'!$B$11),OR('Assignment Builder'!$B$12="",N($Q837)&lt;='Assignment Builder'!$B$12)))</f>
        <v/>
      </c>
      <c r="T837" s="23" t="n"/>
    </row>
    <row r="838">
      <c r="A838" s="23" t="n"/>
      <c r="B838" s="23" t="n"/>
      <c r="C838" s="24" t="n"/>
      <c r="D838" s="15" t="n"/>
      <c r="E838" s="23" t="n"/>
      <c r="F838" s="15" t="n"/>
      <c r="G838" s="23" t="n"/>
      <c r="H838" s="25" t="n"/>
      <c r="I838" s="15" t="n"/>
      <c r="J838" s="26">
        <f>IF($A838="","",LEN($C838)-LEN(SUBSTITUTE($C838,",",""))+1)</f>
        <v/>
      </c>
      <c r="K838" s="26">
        <f>IF($A838="","",SUMPRODUCT(--ISNUMBER(SEARCH('Category Dictionary'!$D$5:$D$135&amp;"",$C838)),--('Category Dictionary'!$D$5:$D$135&lt;&gt;"")))</f>
        <v/>
      </c>
      <c r="L838" s="27">
        <f>IF($A838="","",TRIM(IF(ISERROR(FIND(",",$C838)),$C838,LEFT($C838,FIND(",",$C838)-1))))</f>
        <v/>
      </c>
      <c r="M838" s="28">
        <f>IF($H838="","",DATE(YEAR($H838),MONTH($H838),1))</f>
        <v/>
      </c>
      <c r="N838" s="26">
        <f>IF($H838="","",TODAY()-$H838)</f>
        <v/>
      </c>
      <c r="O838" s="15" t="n"/>
      <c r="P838" s="15" t="n"/>
      <c r="Q838" s="15" t="n"/>
      <c r="R838" s="25" t="n"/>
      <c r="S838" s="26">
        <f>IF($A838="","",AND(OR('Assignment Builder'!$B$5="",$B838='Assignment Builder'!$B$5),OR('Assignment Builder'!$B$6="",ISNUMBER(SEARCH('Assignment Builder'!$B$6,$C838))),OR('Assignment Builder'!$B$7="",'Assignment Builder'!$B$7=IFERROR(INDEX('Category Dictionary'!$C$5:$C$135,MATCH($L838,'Category Dictionary'!$D$5:$D$135,0)),"")),OR('Assignment Builder'!$B$8="",$D838='Assignment Builder'!$B$8),OR('Assignment Builder'!$B$9="",$F838='Assignment Builder'!$B$9),OR('Assignment Builder'!$B$10="",$O838='Assignment Builder'!$B$10),OR('Assignment Builder'!$B$11="",$H838&gt;='Assignment Builder'!$B$11),OR('Assignment Builder'!$B$12="",N($Q838)&lt;='Assignment Builder'!$B$12)))</f>
        <v/>
      </c>
      <c r="T838" s="23" t="n"/>
    </row>
    <row r="839">
      <c r="A839" s="23" t="n"/>
      <c r="B839" s="23" t="n"/>
      <c r="C839" s="24" t="n"/>
      <c r="D839" s="15" t="n"/>
      <c r="E839" s="23" t="n"/>
      <c r="F839" s="15" t="n"/>
      <c r="G839" s="23" t="n"/>
      <c r="H839" s="25" t="n"/>
      <c r="I839" s="15" t="n"/>
      <c r="J839" s="26">
        <f>IF($A839="","",LEN($C839)-LEN(SUBSTITUTE($C839,",",""))+1)</f>
        <v/>
      </c>
      <c r="K839" s="26">
        <f>IF($A839="","",SUMPRODUCT(--ISNUMBER(SEARCH('Category Dictionary'!$D$5:$D$135&amp;"",$C839)),--('Category Dictionary'!$D$5:$D$135&lt;&gt;"")))</f>
        <v/>
      </c>
      <c r="L839" s="27">
        <f>IF($A839="","",TRIM(IF(ISERROR(FIND(",",$C839)),$C839,LEFT($C839,FIND(",",$C839)-1))))</f>
        <v/>
      </c>
      <c r="M839" s="28">
        <f>IF($H839="","",DATE(YEAR($H839),MONTH($H839),1))</f>
        <v/>
      </c>
      <c r="N839" s="26">
        <f>IF($H839="","",TODAY()-$H839)</f>
        <v/>
      </c>
      <c r="O839" s="15" t="n"/>
      <c r="P839" s="15" t="n"/>
      <c r="Q839" s="15" t="n"/>
      <c r="R839" s="25" t="n"/>
      <c r="S839" s="26">
        <f>IF($A839="","",AND(OR('Assignment Builder'!$B$5="",$B839='Assignment Builder'!$B$5),OR('Assignment Builder'!$B$6="",ISNUMBER(SEARCH('Assignment Builder'!$B$6,$C839))),OR('Assignment Builder'!$B$7="",'Assignment Builder'!$B$7=IFERROR(INDEX('Category Dictionary'!$C$5:$C$135,MATCH($L839,'Category Dictionary'!$D$5:$D$135,0)),"")),OR('Assignment Builder'!$B$8="",$D839='Assignment Builder'!$B$8),OR('Assignment Builder'!$B$9="",$F839='Assignment Builder'!$B$9),OR('Assignment Builder'!$B$10="",$O839='Assignment Builder'!$B$10),OR('Assignment Builder'!$B$11="",$H839&gt;='Assignment Builder'!$B$11),OR('Assignment Builder'!$B$12="",N($Q839)&lt;='Assignment Builder'!$B$12)))</f>
        <v/>
      </c>
      <c r="T839" s="23" t="n"/>
    </row>
    <row r="840">
      <c r="A840" s="23" t="n"/>
      <c r="B840" s="23" t="n"/>
      <c r="C840" s="24" t="n"/>
      <c r="D840" s="15" t="n"/>
      <c r="E840" s="23" t="n"/>
      <c r="F840" s="15" t="n"/>
      <c r="G840" s="23" t="n"/>
      <c r="H840" s="25" t="n"/>
      <c r="I840" s="15" t="n"/>
      <c r="J840" s="26">
        <f>IF($A840="","",LEN($C840)-LEN(SUBSTITUTE($C840,",",""))+1)</f>
        <v/>
      </c>
      <c r="K840" s="26">
        <f>IF($A840="","",SUMPRODUCT(--ISNUMBER(SEARCH('Category Dictionary'!$D$5:$D$135&amp;"",$C840)),--('Category Dictionary'!$D$5:$D$135&lt;&gt;"")))</f>
        <v/>
      </c>
      <c r="L840" s="27">
        <f>IF($A840="","",TRIM(IF(ISERROR(FIND(",",$C840)),$C840,LEFT($C840,FIND(",",$C840)-1))))</f>
        <v/>
      </c>
      <c r="M840" s="28">
        <f>IF($H840="","",DATE(YEAR($H840),MONTH($H840),1))</f>
        <v/>
      </c>
      <c r="N840" s="26">
        <f>IF($H840="","",TODAY()-$H840)</f>
        <v/>
      </c>
      <c r="O840" s="15" t="n"/>
      <c r="P840" s="15" t="n"/>
      <c r="Q840" s="15" t="n"/>
      <c r="R840" s="25" t="n"/>
      <c r="S840" s="26">
        <f>IF($A840="","",AND(OR('Assignment Builder'!$B$5="",$B840='Assignment Builder'!$B$5),OR('Assignment Builder'!$B$6="",ISNUMBER(SEARCH('Assignment Builder'!$B$6,$C840))),OR('Assignment Builder'!$B$7="",'Assignment Builder'!$B$7=IFERROR(INDEX('Category Dictionary'!$C$5:$C$135,MATCH($L840,'Category Dictionary'!$D$5:$D$135,0)),"")),OR('Assignment Builder'!$B$8="",$D840='Assignment Builder'!$B$8),OR('Assignment Builder'!$B$9="",$F840='Assignment Builder'!$B$9),OR('Assignment Builder'!$B$10="",$O840='Assignment Builder'!$B$10),OR('Assignment Builder'!$B$11="",$H840&gt;='Assignment Builder'!$B$11),OR('Assignment Builder'!$B$12="",N($Q840)&lt;='Assignment Builder'!$B$12)))</f>
        <v/>
      </c>
      <c r="T840" s="23" t="n"/>
    </row>
    <row r="841">
      <c r="A841" s="23" t="n"/>
      <c r="B841" s="23" t="n"/>
      <c r="C841" s="24" t="n"/>
      <c r="D841" s="15" t="n"/>
      <c r="E841" s="23" t="n"/>
      <c r="F841" s="15" t="n"/>
      <c r="G841" s="23" t="n"/>
      <c r="H841" s="25" t="n"/>
      <c r="I841" s="15" t="n"/>
      <c r="J841" s="26">
        <f>IF($A841="","",LEN($C841)-LEN(SUBSTITUTE($C841,",",""))+1)</f>
        <v/>
      </c>
      <c r="K841" s="26">
        <f>IF($A841="","",SUMPRODUCT(--ISNUMBER(SEARCH('Category Dictionary'!$D$5:$D$135&amp;"",$C841)),--('Category Dictionary'!$D$5:$D$135&lt;&gt;"")))</f>
        <v/>
      </c>
      <c r="L841" s="27">
        <f>IF($A841="","",TRIM(IF(ISERROR(FIND(",",$C841)),$C841,LEFT($C841,FIND(",",$C841)-1))))</f>
        <v/>
      </c>
      <c r="M841" s="28">
        <f>IF($H841="","",DATE(YEAR($H841),MONTH($H841),1))</f>
        <v/>
      </c>
      <c r="N841" s="26">
        <f>IF($H841="","",TODAY()-$H841)</f>
        <v/>
      </c>
      <c r="O841" s="15" t="n"/>
      <c r="P841" s="15" t="n"/>
      <c r="Q841" s="15" t="n"/>
      <c r="R841" s="25" t="n"/>
      <c r="S841" s="26">
        <f>IF($A841="","",AND(OR('Assignment Builder'!$B$5="",$B841='Assignment Builder'!$B$5),OR('Assignment Builder'!$B$6="",ISNUMBER(SEARCH('Assignment Builder'!$B$6,$C841))),OR('Assignment Builder'!$B$7="",'Assignment Builder'!$B$7=IFERROR(INDEX('Category Dictionary'!$C$5:$C$135,MATCH($L841,'Category Dictionary'!$D$5:$D$135,0)),"")),OR('Assignment Builder'!$B$8="",$D841='Assignment Builder'!$B$8),OR('Assignment Builder'!$B$9="",$F841='Assignment Builder'!$B$9),OR('Assignment Builder'!$B$10="",$O841='Assignment Builder'!$B$10),OR('Assignment Builder'!$B$11="",$H841&gt;='Assignment Builder'!$B$11),OR('Assignment Builder'!$B$12="",N($Q841)&lt;='Assignment Builder'!$B$12)))</f>
        <v/>
      </c>
      <c r="T841" s="23" t="n"/>
    </row>
    <row r="842">
      <c r="A842" s="23" t="n"/>
      <c r="B842" s="23" t="n"/>
      <c r="C842" s="24" t="n"/>
      <c r="D842" s="15" t="n"/>
      <c r="E842" s="23" t="n"/>
      <c r="F842" s="15" t="n"/>
      <c r="G842" s="23" t="n"/>
      <c r="H842" s="25" t="n"/>
      <c r="I842" s="15" t="n"/>
      <c r="J842" s="26">
        <f>IF($A842="","",LEN($C842)-LEN(SUBSTITUTE($C842,",",""))+1)</f>
        <v/>
      </c>
      <c r="K842" s="26">
        <f>IF($A842="","",SUMPRODUCT(--ISNUMBER(SEARCH('Category Dictionary'!$D$5:$D$135&amp;"",$C842)),--('Category Dictionary'!$D$5:$D$135&lt;&gt;"")))</f>
        <v/>
      </c>
      <c r="L842" s="27">
        <f>IF($A842="","",TRIM(IF(ISERROR(FIND(",",$C842)),$C842,LEFT($C842,FIND(",",$C842)-1))))</f>
        <v/>
      </c>
      <c r="M842" s="28">
        <f>IF($H842="","",DATE(YEAR($H842),MONTH($H842),1))</f>
        <v/>
      </c>
      <c r="N842" s="26">
        <f>IF($H842="","",TODAY()-$H842)</f>
        <v/>
      </c>
      <c r="O842" s="15" t="n"/>
      <c r="P842" s="15" t="n"/>
      <c r="Q842" s="15" t="n"/>
      <c r="R842" s="25" t="n"/>
      <c r="S842" s="26">
        <f>IF($A842="","",AND(OR('Assignment Builder'!$B$5="",$B842='Assignment Builder'!$B$5),OR('Assignment Builder'!$B$6="",ISNUMBER(SEARCH('Assignment Builder'!$B$6,$C842))),OR('Assignment Builder'!$B$7="",'Assignment Builder'!$B$7=IFERROR(INDEX('Category Dictionary'!$C$5:$C$135,MATCH($L842,'Category Dictionary'!$D$5:$D$135,0)),"")),OR('Assignment Builder'!$B$8="",$D842='Assignment Builder'!$B$8),OR('Assignment Builder'!$B$9="",$F842='Assignment Builder'!$B$9),OR('Assignment Builder'!$B$10="",$O842='Assignment Builder'!$B$10),OR('Assignment Builder'!$B$11="",$H842&gt;='Assignment Builder'!$B$11),OR('Assignment Builder'!$B$12="",N($Q842)&lt;='Assignment Builder'!$B$12)))</f>
        <v/>
      </c>
      <c r="T842" s="23" t="n"/>
    </row>
    <row r="843">
      <c r="A843" s="23" t="n"/>
      <c r="B843" s="23" t="n"/>
      <c r="C843" s="24" t="n"/>
      <c r="D843" s="15" t="n"/>
      <c r="E843" s="23" t="n"/>
      <c r="F843" s="15" t="n"/>
      <c r="G843" s="23" t="n"/>
      <c r="H843" s="25" t="n"/>
      <c r="I843" s="15" t="n"/>
      <c r="J843" s="26">
        <f>IF($A843="","",LEN($C843)-LEN(SUBSTITUTE($C843,",",""))+1)</f>
        <v/>
      </c>
      <c r="K843" s="26">
        <f>IF($A843="","",SUMPRODUCT(--ISNUMBER(SEARCH('Category Dictionary'!$D$5:$D$135&amp;"",$C843)),--('Category Dictionary'!$D$5:$D$135&lt;&gt;"")))</f>
        <v/>
      </c>
      <c r="L843" s="27">
        <f>IF($A843="","",TRIM(IF(ISERROR(FIND(",",$C843)),$C843,LEFT($C843,FIND(",",$C843)-1))))</f>
        <v/>
      </c>
      <c r="M843" s="28">
        <f>IF($H843="","",DATE(YEAR($H843),MONTH($H843),1))</f>
        <v/>
      </c>
      <c r="N843" s="26">
        <f>IF($H843="","",TODAY()-$H843)</f>
        <v/>
      </c>
      <c r="O843" s="15" t="n"/>
      <c r="P843" s="15" t="n"/>
      <c r="Q843" s="15" t="n"/>
      <c r="R843" s="25" t="n"/>
      <c r="S843" s="26">
        <f>IF($A843="","",AND(OR('Assignment Builder'!$B$5="",$B843='Assignment Builder'!$B$5),OR('Assignment Builder'!$B$6="",ISNUMBER(SEARCH('Assignment Builder'!$B$6,$C843))),OR('Assignment Builder'!$B$7="",'Assignment Builder'!$B$7=IFERROR(INDEX('Category Dictionary'!$C$5:$C$135,MATCH($L843,'Category Dictionary'!$D$5:$D$135,0)),"")),OR('Assignment Builder'!$B$8="",$D843='Assignment Builder'!$B$8),OR('Assignment Builder'!$B$9="",$F843='Assignment Builder'!$B$9),OR('Assignment Builder'!$B$10="",$O843='Assignment Builder'!$B$10),OR('Assignment Builder'!$B$11="",$H843&gt;='Assignment Builder'!$B$11),OR('Assignment Builder'!$B$12="",N($Q843)&lt;='Assignment Builder'!$B$12)))</f>
        <v/>
      </c>
      <c r="T843" s="23" t="n"/>
    </row>
    <row r="844">
      <c r="A844" s="23" t="n"/>
      <c r="B844" s="23" t="n"/>
      <c r="C844" s="24" t="n"/>
      <c r="D844" s="15" t="n"/>
      <c r="E844" s="23" t="n"/>
      <c r="F844" s="15" t="n"/>
      <c r="G844" s="23" t="n"/>
      <c r="H844" s="25" t="n"/>
      <c r="I844" s="15" t="n"/>
      <c r="J844" s="26">
        <f>IF($A844="","",LEN($C844)-LEN(SUBSTITUTE($C844,",",""))+1)</f>
        <v/>
      </c>
      <c r="K844" s="26">
        <f>IF($A844="","",SUMPRODUCT(--ISNUMBER(SEARCH('Category Dictionary'!$D$5:$D$135&amp;"",$C844)),--('Category Dictionary'!$D$5:$D$135&lt;&gt;"")))</f>
        <v/>
      </c>
      <c r="L844" s="27">
        <f>IF($A844="","",TRIM(IF(ISERROR(FIND(",",$C844)),$C844,LEFT($C844,FIND(",",$C844)-1))))</f>
        <v/>
      </c>
      <c r="M844" s="28">
        <f>IF($H844="","",DATE(YEAR($H844),MONTH($H844),1))</f>
        <v/>
      </c>
      <c r="N844" s="26">
        <f>IF($H844="","",TODAY()-$H844)</f>
        <v/>
      </c>
      <c r="O844" s="15" t="n"/>
      <c r="P844" s="15" t="n"/>
      <c r="Q844" s="15" t="n"/>
      <c r="R844" s="25" t="n"/>
      <c r="S844" s="26">
        <f>IF($A844="","",AND(OR('Assignment Builder'!$B$5="",$B844='Assignment Builder'!$B$5),OR('Assignment Builder'!$B$6="",ISNUMBER(SEARCH('Assignment Builder'!$B$6,$C844))),OR('Assignment Builder'!$B$7="",'Assignment Builder'!$B$7=IFERROR(INDEX('Category Dictionary'!$C$5:$C$135,MATCH($L844,'Category Dictionary'!$D$5:$D$135,0)),"")),OR('Assignment Builder'!$B$8="",$D844='Assignment Builder'!$B$8),OR('Assignment Builder'!$B$9="",$F844='Assignment Builder'!$B$9),OR('Assignment Builder'!$B$10="",$O844='Assignment Builder'!$B$10),OR('Assignment Builder'!$B$11="",$H844&gt;='Assignment Builder'!$B$11),OR('Assignment Builder'!$B$12="",N($Q844)&lt;='Assignment Builder'!$B$12)))</f>
        <v/>
      </c>
      <c r="T844" s="23" t="n"/>
    </row>
    <row r="845">
      <c r="A845" s="23" t="n"/>
      <c r="B845" s="23" t="n"/>
      <c r="C845" s="24" t="n"/>
      <c r="D845" s="15" t="n"/>
      <c r="E845" s="23" t="n"/>
      <c r="F845" s="15" t="n"/>
      <c r="G845" s="23" t="n"/>
      <c r="H845" s="25" t="n"/>
      <c r="I845" s="15" t="n"/>
      <c r="J845" s="26">
        <f>IF($A845="","",LEN($C845)-LEN(SUBSTITUTE($C845,",",""))+1)</f>
        <v/>
      </c>
      <c r="K845" s="26">
        <f>IF($A845="","",SUMPRODUCT(--ISNUMBER(SEARCH('Category Dictionary'!$D$5:$D$135&amp;"",$C845)),--('Category Dictionary'!$D$5:$D$135&lt;&gt;"")))</f>
        <v/>
      </c>
      <c r="L845" s="27">
        <f>IF($A845="","",TRIM(IF(ISERROR(FIND(",",$C845)),$C845,LEFT($C845,FIND(",",$C845)-1))))</f>
        <v/>
      </c>
      <c r="M845" s="28">
        <f>IF($H845="","",DATE(YEAR($H845),MONTH($H845),1))</f>
        <v/>
      </c>
      <c r="N845" s="26">
        <f>IF($H845="","",TODAY()-$H845)</f>
        <v/>
      </c>
      <c r="O845" s="15" t="n"/>
      <c r="P845" s="15" t="n"/>
      <c r="Q845" s="15" t="n"/>
      <c r="R845" s="25" t="n"/>
      <c r="S845" s="26">
        <f>IF($A845="","",AND(OR('Assignment Builder'!$B$5="",$B845='Assignment Builder'!$B$5),OR('Assignment Builder'!$B$6="",ISNUMBER(SEARCH('Assignment Builder'!$B$6,$C845))),OR('Assignment Builder'!$B$7="",'Assignment Builder'!$B$7=IFERROR(INDEX('Category Dictionary'!$C$5:$C$135,MATCH($L845,'Category Dictionary'!$D$5:$D$135,0)),"")),OR('Assignment Builder'!$B$8="",$D845='Assignment Builder'!$B$8),OR('Assignment Builder'!$B$9="",$F845='Assignment Builder'!$B$9),OR('Assignment Builder'!$B$10="",$O845='Assignment Builder'!$B$10),OR('Assignment Builder'!$B$11="",$H845&gt;='Assignment Builder'!$B$11),OR('Assignment Builder'!$B$12="",N($Q845)&lt;='Assignment Builder'!$B$12)))</f>
        <v/>
      </c>
      <c r="T845" s="23" t="n"/>
    </row>
    <row r="846">
      <c r="A846" s="23" t="n"/>
      <c r="B846" s="23" t="n"/>
      <c r="C846" s="24" t="n"/>
      <c r="D846" s="15" t="n"/>
      <c r="E846" s="23" t="n"/>
      <c r="F846" s="15" t="n"/>
      <c r="G846" s="23" t="n"/>
      <c r="H846" s="25" t="n"/>
      <c r="I846" s="15" t="n"/>
      <c r="J846" s="26">
        <f>IF($A846="","",LEN($C846)-LEN(SUBSTITUTE($C846,",",""))+1)</f>
        <v/>
      </c>
      <c r="K846" s="26">
        <f>IF($A846="","",SUMPRODUCT(--ISNUMBER(SEARCH('Category Dictionary'!$D$5:$D$135&amp;"",$C846)),--('Category Dictionary'!$D$5:$D$135&lt;&gt;"")))</f>
        <v/>
      </c>
      <c r="L846" s="27">
        <f>IF($A846="","",TRIM(IF(ISERROR(FIND(",",$C846)),$C846,LEFT($C846,FIND(",",$C846)-1))))</f>
        <v/>
      </c>
      <c r="M846" s="28">
        <f>IF($H846="","",DATE(YEAR($H846),MONTH($H846),1))</f>
        <v/>
      </c>
      <c r="N846" s="26">
        <f>IF($H846="","",TODAY()-$H846)</f>
        <v/>
      </c>
      <c r="O846" s="15" t="n"/>
      <c r="P846" s="15" t="n"/>
      <c r="Q846" s="15" t="n"/>
      <c r="R846" s="25" t="n"/>
      <c r="S846" s="26">
        <f>IF($A846="","",AND(OR('Assignment Builder'!$B$5="",$B846='Assignment Builder'!$B$5),OR('Assignment Builder'!$B$6="",ISNUMBER(SEARCH('Assignment Builder'!$B$6,$C846))),OR('Assignment Builder'!$B$7="",'Assignment Builder'!$B$7=IFERROR(INDEX('Category Dictionary'!$C$5:$C$135,MATCH($L846,'Category Dictionary'!$D$5:$D$135,0)),"")),OR('Assignment Builder'!$B$8="",$D846='Assignment Builder'!$B$8),OR('Assignment Builder'!$B$9="",$F846='Assignment Builder'!$B$9),OR('Assignment Builder'!$B$10="",$O846='Assignment Builder'!$B$10),OR('Assignment Builder'!$B$11="",$H846&gt;='Assignment Builder'!$B$11),OR('Assignment Builder'!$B$12="",N($Q846)&lt;='Assignment Builder'!$B$12)))</f>
        <v/>
      </c>
      <c r="T846" s="23" t="n"/>
    </row>
    <row r="847">
      <c r="A847" s="23" t="n"/>
      <c r="B847" s="23" t="n"/>
      <c r="C847" s="24" t="n"/>
      <c r="D847" s="15" t="n"/>
      <c r="E847" s="23" t="n"/>
      <c r="F847" s="15" t="n"/>
      <c r="G847" s="23" t="n"/>
      <c r="H847" s="25" t="n"/>
      <c r="I847" s="15" t="n"/>
      <c r="J847" s="26">
        <f>IF($A847="","",LEN($C847)-LEN(SUBSTITUTE($C847,",",""))+1)</f>
        <v/>
      </c>
      <c r="K847" s="26">
        <f>IF($A847="","",SUMPRODUCT(--ISNUMBER(SEARCH('Category Dictionary'!$D$5:$D$135&amp;"",$C847)),--('Category Dictionary'!$D$5:$D$135&lt;&gt;"")))</f>
        <v/>
      </c>
      <c r="L847" s="27">
        <f>IF($A847="","",TRIM(IF(ISERROR(FIND(",",$C847)),$C847,LEFT($C847,FIND(",",$C847)-1))))</f>
        <v/>
      </c>
      <c r="M847" s="28">
        <f>IF($H847="","",DATE(YEAR($H847),MONTH($H847),1))</f>
        <v/>
      </c>
      <c r="N847" s="26">
        <f>IF($H847="","",TODAY()-$H847)</f>
        <v/>
      </c>
      <c r="O847" s="15" t="n"/>
      <c r="P847" s="15" t="n"/>
      <c r="Q847" s="15" t="n"/>
      <c r="R847" s="25" t="n"/>
      <c r="S847" s="26">
        <f>IF($A847="","",AND(OR('Assignment Builder'!$B$5="",$B847='Assignment Builder'!$B$5),OR('Assignment Builder'!$B$6="",ISNUMBER(SEARCH('Assignment Builder'!$B$6,$C847))),OR('Assignment Builder'!$B$7="",'Assignment Builder'!$B$7=IFERROR(INDEX('Category Dictionary'!$C$5:$C$135,MATCH($L847,'Category Dictionary'!$D$5:$D$135,0)),"")),OR('Assignment Builder'!$B$8="",$D847='Assignment Builder'!$B$8),OR('Assignment Builder'!$B$9="",$F847='Assignment Builder'!$B$9),OR('Assignment Builder'!$B$10="",$O847='Assignment Builder'!$B$10),OR('Assignment Builder'!$B$11="",$H847&gt;='Assignment Builder'!$B$11),OR('Assignment Builder'!$B$12="",N($Q847)&lt;='Assignment Builder'!$B$12)))</f>
        <v/>
      </c>
      <c r="T847" s="23" t="n"/>
    </row>
    <row r="848">
      <c r="A848" s="23" t="n"/>
      <c r="B848" s="23" t="n"/>
      <c r="C848" s="24" t="n"/>
      <c r="D848" s="15" t="n"/>
      <c r="E848" s="23" t="n"/>
      <c r="F848" s="15" t="n"/>
      <c r="G848" s="23" t="n"/>
      <c r="H848" s="25" t="n"/>
      <c r="I848" s="15" t="n"/>
      <c r="J848" s="26">
        <f>IF($A848="","",LEN($C848)-LEN(SUBSTITUTE($C848,",",""))+1)</f>
        <v/>
      </c>
      <c r="K848" s="26">
        <f>IF($A848="","",SUMPRODUCT(--ISNUMBER(SEARCH('Category Dictionary'!$D$5:$D$135&amp;"",$C848)),--('Category Dictionary'!$D$5:$D$135&lt;&gt;"")))</f>
        <v/>
      </c>
      <c r="L848" s="27">
        <f>IF($A848="","",TRIM(IF(ISERROR(FIND(",",$C848)),$C848,LEFT($C848,FIND(",",$C848)-1))))</f>
        <v/>
      </c>
      <c r="M848" s="28">
        <f>IF($H848="","",DATE(YEAR($H848),MONTH($H848),1))</f>
        <v/>
      </c>
      <c r="N848" s="26">
        <f>IF($H848="","",TODAY()-$H848)</f>
        <v/>
      </c>
      <c r="O848" s="15" t="n"/>
      <c r="P848" s="15" t="n"/>
      <c r="Q848" s="15" t="n"/>
      <c r="R848" s="25" t="n"/>
      <c r="S848" s="26">
        <f>IF($A848="","",AND(OR('Assignment Builder'!$B$5="",$B848='Assignment Builder'!$B$5),OR('Assignment Builder'!$B$6="",ISNUMBER(SEARCH('Assignment Builder'!$B$6,$C848))),OR('Assignment Builder'!$B$7="",'Assignment Builder'!$B$7=IFERROR(INDEX('Category Dictionary'!$C$5:$C$135,MATCH($L848,'Category Dictionary'!$D$5:$D$135,0)),"")),OR('Assignment Builder'!$B$8="",$D848='Assignment Builder'!$B$8),OR('Assignment Builder'!$B$9="",$F848='Assignment Builder'!$B$9),OR('Assignment Builder'!$B$10="",$O848='Assignment Builder'!$B$10),OR('Assignment Builder'!$B$11="",$H848&gt;='Assignment Builder'!$B$11),OR('Assignment Builder'!$B$12="",N($Q848)&lt;='Assignment Builder'!$B$12)))</f>
        <v/>
      </c>
      <c r="T848" s="23" t="n"/>
    </row>
    <row r="849">
      <c r="A849" s="23" t="n"/>
      <c r="B849" s="23" t="n"/>
      <c r="C849" s="24" t="n"/>
      <c r="D849" s="15" t="n"/>
      <c r="E849" s="23" t="n"/>
      <c r="F849" s="15" t="n"/>
      <c r="G849" s="23" t="n"/>
      <c r="H849" s="25" t="n"/>
      <c r="I849" s="15" t="n"/>
      <c r="J849" s="26">
        <f>IF($A849="","",LEN($C849)-LEN(SUBSTITUTE($C849,",",""))+1)</f>
        <v/>
      </c>
      <c r="K849" s="26">
        <f>IF($A849="","",SUMPRODUCT(--ISNUMBER(SEARCH('Category Dictionary'!$D$5:$D$135&amp;"",$C849)),--('Category Dictionary'!$D$5:$D$135&lt;&gt;"")))</f>
        <v/>
      </c>
      <c r="L849" s="27">
        <f>IF($A849="","",TRIM(IF(ISERROR(FIND(",",$C849)),$C849,LEFT($C849,FIND(",",$C849)-1))))</f>
        <v/>
      </c>
      <c r="M849" s="28">
        <f>IF($H849="","",DATE(YEAR($H849),MONTH($H849),1))</f>
        <v/>
      </c>
      <c r="N849" s="26">
        <f>IF($H849="","",TODAY()-$H849)</f>
        <v/>
      </c>
      <c r="O849" s="15" t="n"/>
      <c r="P849" s="15" t="n"/>
      <c r="Q849" s="15" t="n"/>
      <c r="R849" s="25" t="n"/>
      <c r="S849" s="26">
        <f>IF($A849="","",AND(OR('Assignment Builder'!$B$5="",$B849='Assignment Builder'!$B$5),OR('Assignment Builder'!$B$6="",ISNUMBER(SEARCH('Assignment Builder'!$B$6,$C849))),OR('Assignment Builder'!$B$7="",'Assignment Builder'!$B$7=IFERROR(INDEX('Category Dictionary'!$C$5:$C$135,MATCH($L849,'Category Dictionary'!$D$5:$D$135,0)),"")),OR('Assignment Builder'!$B$8="",$D849='Assignment Builder'!$B$8),OR('Assignment Builder'!$B$9="",$F849='Assignment Builder'!$B$9),OR('Assignment Builder'!$B$10="",$O849='Assignment Builder'!$B$10),OR('Assignment Builder'!$B$11="",$H849&gt;='Assignment Builder'!$B$11),OR('Assignment Builder'!$B$12="",N($Q849)&lt;='Assignment Builder'!$B$12)))</f>
        <v/>
      </c>
      <c r="T849" s="23" t="n"/>
    </row>
    <row r="850">
      <c r="A850" s="23" t="n"/>
      <c r="B850" s="23" t="n"/>
      <c r="C850" s="24" t="n"/>
      <c r="D850" s="15" t="n"/>
      <c r="E850" s="23" t="n"/>
      <c r="F850" s="15" t="n"/>
      <c r="G850" s="23" t="n"/>
      <c r="H850" s="25" t="n"/>
      <c r="I850" s="15" t="n"/>
      <c r="J850" s="26">
        <f>IF($A850="","",LEN($C850)-LEN(SUBSTITUTE($C850,",",""))+1)</f>
        <v/>
      </c>
      <c r="K850" s="26">
        <f>IF($A850="","",SUMPRODUCT(--ISNUMBER(SEARCH('Category Dictionary'!$D$5:$D$135&amp;"",$C850)),--('Category Dictionary'!$D$5:$D$135&lt;&gt;"")))</f>
        <v/>
      </c>
      <c r="L850" s="27">
        <f>IF($A850="","",TRIM(IF(ISERROR(FIND(",",$C850)),$C850,LEFT($C850,FIND(",",$C850)-1))))</f>
        <v/>
      </c>
      <c r="M850" s="28">
        <f>IF($H850="","",DATE(YEAR($H850),MONTH($H850),1))</f>
        <v/>
      </c>
      <c r="N850" s="26">
        <f>IF($H850="","",TODAY()-$H850)</f>
        <v/>
      </c>
      <c r="O850" s="15" t="n"/>
      <c r="P850" s="15" t="n"/>
      <c r="Q850" s="15" t="n"/>
      <c r="R850" s="25" t="n"/>
      <c r="S850" s="26">
        <f>IF($A850="","",AND(OR('Assignment Builder'!$B$5="",$B850='Assignment Builder'!$B$5),OR('Assignment Builder'!$B$6="",ISNUMBER(SEARCH('Assignment Builder'!$B$6,$C850))),OR('Assignment Builder'!$B$7="",'Assignment Builder'!$B$7=IFERROR(INDEX('Category Dictionary'!$C$5:$C$135,MATCH($L850,'Category Dictionary'!$D$5:$D$135,0)),"")),OR('Assignment Builder'!$B$8="",$D850='Assignment Builder'!$B$8),OR('Assignment Builder'!$B$9="",$F850='Assignment Builder'!$B$9),OR('Assignment Builder'!$B$10="",$O850='Assignment Builder'!$B$10),OR('Assignment Builder'!$B$11="",$H850&gt;='Assignment Builder'!$B$11),OR('Assignment Builder'!$B$12="",N($Q850)&lt;='Assignment Builder'!$B$12)))</f>
        <v/>
      </c>
      <c r="T850" s="23" t="n"/>
    </row>
    <row r="851">
      <c r="A851" s="23" t="n"/>
      <c r="B851" s="23" t="n"/>
      <c r="C851" s="24" t="n"/>
      <c r="D851" s="15" t="n"/>
      <c r="E851" s="23" t="n"/>
      <c r="F851" s="15" t="n"/>
      <c r="G851" s="23" t="n"/>
      <c r="H851" s="25" t="n"/>
      <c r="I851" s="15" t="n"/>
      <c r="J851" s="26">
        <f>IF($A851="","",LEN($C851)-LEN(SUBSTITUTE($C851,",",""))+1)</f>
        <v/>
      </c>
      <c r="K851" s="26">
        <f>IF($A851="","",SUMPRODUCT(--ISNUMBER(SEARCH('Category Dictionary'!$D$5:$D$135&amp;"",$C851)),--('Category Dictionary'!$D$5:$D$135&lt;&gt;"")))</f>
        <v/>
      </c>
      <c r="L851" s="27">
        <f>IF($A851="","",TRIM(IF(ISERROR(FIND(",",$C851)),$C851,LEFT($C851,FIND(",",$C851)-1))))</f>
        <v/>
      </c>
      <c r="M851" s="28">
        <f>IF($H851="","",DATE(YEAR($H851),MONTH($H851),1))</f>
        <v/>
      </c>
      <c r="N851" s="26">
        <f>IF($H851="","",TODAY()-$H851)</f>
        <v/>
      </c>
      <c r="O851" s="15" t="n"/>
      <c r="P851" s="15" t="n"/>
      <c r="Q851" s="15" t="n"/>
      <c r="R851" s="25" t="n"/>
      <c r="S851" s="26">
        <f>IF($A851="","",AND(OR('Assignment Builder'!$B$5="",$B851='Assignment Builder'!$B$5),OR('Assignment Builder'!$B$6="",ISNUMBER(SEARCH('Assignment Builder'!$B$6,$C851))),OR('Assignment Builder'!$B$7="",'Assignment Builder'!$B$7=IFERROR(INDEX('Category Dictionary'!$C$5:$C$135,MATCH($L851,'Category Dictionary'!$D$5:$D$135,0)),"")),OR('Assignment Builder'!$B$8="",$D851='Assignment Builder'!$B$8),OR('Assignment Builder'!$B$9="",$F851='Assignment Builder'!$B$9),OR('Assignment Builder'!$B$10="",$O851='Assignment Builder'!$B$10),OR('Assignment Builder'!$B$11="",$H851&gt;='Assignment Builder'!$B$11),OR('Assignment Builder'!$B$12="",N($Q851)&lt;='Assignment Builder'!$B$12)))</f>
        <v/>
      </c>
      <c r="T851" s="23" t="n"/>
    </row>
    <row r="852">
      <c r="A852" s="23" t="n"/>
      <c r="B852" s="23" t="n"/>
      <c r="C852" s="24" t="n"/>
      <c r="D852" s="15" t="n"/>
      <c r="E852" s="23" t="n"/>
      <c r="F852" s="15" t="n"/>
      <c r="G852" s="23" t="n"/>
      <c r="H852" s="25" t="n"/>
      <c r="I852" s="15" t="n"/>
      <c r="J852" s="26">
        <f>IF($A852="","",LEN($C852)-LEN(SUBSTITUTE($C852,",",""))+1)</f>
        <v/>
      </c>
      <c r="K852" s="26">
        <f>IF($A852="","",SUMPRODUCT(--ISNUMBER(SEARCH('Category Dictionary'!$D$5:$D$135&amp;"",$C852)),--('Category Dictionary'!$D$5:$D$135&lt;&gt;"")))</f>
        <v/>
      </c>
      <c r="L852" s="27">
        <f>IF($A852="","",TRIM(IF(ISERROR(FIND(",",$C852)),$C852,LEFT($C852,FIND(",",$C852)-1))))</f>
        <v/>
      </c>
      <c r="M852" s="28">
        <f>IF($H852="","",DATE(YEAR($H852),MONTH($H852),1))</f>
        <v/>
      </c>
      <c r="N852" s="26">
        <f>IF($H852="","",TODAY()-$H852)</f>
        <v/>
      </c>
      <c r="O852" s="15" t="n"/>
      <c r="P852" s="15" t="n"/>
      <c r="Q852" s="15" t="n"/>
      <c r="R852" s="25" t="n"/>
      <c r="S852" s="26">
        <f>IF($A852="","",AND(OR('Assignment Builder'!$B$5="",$B852='Assignment Builder'!$B$5),OR('Assignment Builder'!$B$6="",ISNUMBER(SEARCH('Assignment Builder'!$B$6,$C852))),OR('Assignment Builder'!$B$7="",'Assignment Builder'!$B$7=IFERROR(INDEX('Category Dictionary'!$C$5:$C$135,MATCH($L852,'Category Dictionary'!$D$5:$D$135,0)),"")),OR('Assignment Builder'!$B$8="",$D852='Assignment Builder'!$B$8),OR('Assignment Builder'!$B$9="",$F852='Assignment Builder'!$B$9),OR('Assignment Builder'!$B$10="",$O852='Assignment Builder'!$B$10),OR('Assignment Builder'!$B$11="",$H852&gt;='Assignment Builder'!$B$11),OR('Assignment Builder'!$B$12="",N($Q852)&lt;='Assignment Builder'!$B$12)))</f>
        <v/>
      </c>
      <c r="T852" s="23" t="n"/>
    </row>
    <row r="853">
      <c r="A853" s="23" t="n"/>
      <c r="B853" s="23" t="n"/>
      <c r="C853" s="24" t="n"/>
      <c r="D853" s="15" t="n"/>
      <c r="E853" s="23" t="n"/>
      <c r="F853" s="15" t="n"/>
      <c r="G853" s="23" t="n"/>
      <c r="H853" s="25" t="n"/>
      <c r="I853" s="15" t="n"/>
      <c r="J853" s="26">
        <f>IF($A853="","",LEN($C853)-LEN(SUBSTITUTE($C853,",",""))+1)</f>
        <v/>
      </c>
      <c r="K853" s="26">
        <f>IF($A853="","",SUMPRODUCT(--ISNUMBER(SEARCH('Category Dictionary'!$D$5:$D$135&amp;"",$C853)),--('Category Dictionary'!$D$5:$D$135&lt;&gt;"")))</f>
        <v/>
      </c>
      <c r="L853" s="27">
        <f>IF($A853="","",TRIM(IF(ISERROR(FIND(",",$C853)),$C853,LEFT($C853,FIND(",",$C853)-1))))</f>
        <v/>
      </c>
      <c r="M853" s="28">
        <f>IF($H853="","",DATE(YEAR($H853),MONTH($H853),1))</f>
        <v/>
      </c>
      <c r="N853" s="26">
        <f>IF($H853="","",TODAY()-$H853)</f>
        <v/>
      </c>
      <c r="O853" s="15" t="n"/>
      <c r="P853" s="15" t="n"/>
      <c r="Q853" s="15" t="n"/>
      <c r="R853" s="25" t="n"/>
      <c r="S853" s="26">
        <f>IF($A853="","",AND(OR('Assignment Builder'!$B$5="",$B853='Assignment Builder'!$B$5),OR('Assignment Builder'!$B$6="",ISNUMBER(SEARCH('Assignment Builder'!$B$6,$C853))),OR('Assignment Builder'!$B$7="",'Assignment Builder'!$B$7=IFERROR(INDEX('Category Dictionary'!$C$5:$C$135,MATCH($L853,'Category Dictionary'!$D$5:$D$135,0)),"")),OR('Assignment Builder'!$B$8="",$D853='Assignment Builder'!$B$8),OR('Assignment Builder'!$B$9="",$F853='Assignment Builder'!$B$9),OR('Assignment Builder'!$B$10="",$O853='Assignment Builder'!$B$10),OR('Assignment Builder'!$B$11="",$H853&gt;='Assignment Builder'!$B$11),OR('Assignment Builder'!$B$12="",N($Q853)&lt;='Assignment Builder'!$B$12)))</f>
        <v/>
      </c>
      <c r="T853" s="23" t="n"/>
    </row>
    <row r="854">
      <c r="A854" s="23" t="n"/>
      <c r="B854" s="23" t="n"/>
      <c r="C854" s="24" t="n"/>
      <c r="D854" s="15" t="n"/>
      <c r="E854" s="23" t="n"/>
      <c r="F854" s="15" t="n"/>
      <c r="G854" s="23" t="n"/>
      <c r="H854" s="25" t="n"/>
      <c r="I854" s="15" t="n"/>
      <c r="J854" s="26">
        <f>IF($A854="","",LEN($C854)-LEN(SUBSTITUTE($C854,",",""))+1)</f>
        <v/>
      </c>
      <c r="K854" s="26">
        <f>IF($A854="","",SUMPRODUCT(--ISNUMBER(SEARCH('Category Dictionary'!$D$5:$D$135&amp;"",$C854)),--('Category Dictionary'!$D$5:$D$135&lt;&gt;"")))</f>
        <v/>
      </c>
      <c r="L854" s="27">
        <f>IF($A854="","",TRIM(IF(ISERROR(FIND(",",$C854)),$C854,LEFT($C854,FIND(",",$C854)-1))))</f>
        <v/>
      </c>
      <c r="M854" s="28">
        <f>IF($H854="","",DATE(YEAR($H854),MONTH($H854),1))</f>
        <v/>
      </c>
      <c r="N854" s="26">
        <f>IF($H854="","",TODAY()-$H854)</f>
        <v/>
      </c>
      <c r="O854" s="15" t="n"/>
      <c r="P854" s="15" t="n"/>
      <c r="Q854" s="15" t="n"/>
      <c r="R854" s="25" t="n"/>
      <c r="S854" s="26">
        <f>IF($A854="","",AND(OR('Assignment Builder'!$B$5="",$B854='Assignment Builder'!$B$5),OR('Assignment Builder'!$B$6="",ISNUMBER(SEARCH('Assignment Builder'!$B$6,$C854))),OR('Assignment Builder'!$B$7="",'Assignment Builder'!$B$7=IFERROR(INDEX('Category Dictionary'!$C$5:$C$135,MATCH($L854,'Category Dictionary'!$D$5:$D$135,0)),"")),OR('Assignment Builder'!$B$8="",$D854='Assignment Builder'!$B$8),OR('Assignment Builder'!$B$9="",$F854='Assignment Builder'!$B$9),OR('Assignment Builder'!$B$10="",$O854='Assignment Builder'!$B$10),OR('Assignment Builder'!$B$11="",$H854&gt;='Assignment Builder'!$B$11),OR('Assignment Builder'!$B$12="",N($Q854)&lt;='Assignment Builder'!$B$12)))</f>
        <v/>
      </c>
      <c r="T854" s="23" t="n"/>
    </row>
    <row r="855">
      <c r="A855" s="23" t="n"/>
      <c r="B855" s="23" t="n"/>
      <c r="C855" s="24" t="n"/>
      <c r="D855" s="15" t="n"/>
      <c r="E855" s="23" t="n"/>
      <c r="F855" s="15" t="n"/>
      <c r="G855" s="23" t="n"/>
      <c r="H855" s="25" t="n"/>
      <c r="I855" s="15" t="n"/>
      <c r="J855" s="26">
        <f>IF($A855="","",LEN($C855)-LEN(SUBSTITUTE($C855,",",""))+1)</f>
        <v/>
      </c>
      <c r="K855" s="26">
        <f>IF($A855="","",SUMPRODUCT(--ISNUMBER(SEARCH('Category Dictionary'!$D$5:$D$135&amp;"",$C855)),--('Category Dictionary'!$D$5:$D$135&lt;&gt;"")))</f>
        <v/>
      </c>
      <c r="L855" s="27">
        <f>IF($A855="","",TRIM(IF(ISERROR(FIND(",",$C855)),$C855,LEFT($C855,FIND(",",$C855)-1))))</f>
        <v/>
      </c>
      <c r="M855" s="28">
        <f>IF($H855="","",DATE(YEAR($H855),MONTH($H855),1))</f>
        <v/>
      </c>
      <c r="N855" s="26">
        <f>IF($H855="","",TODAY()-$H855)</f>
        <v/>
      </c>
      <c r="O855" s="15" t="n"/>
      <c r="P855" s="15" t="n"/>
      <c r="Q855" s="15" t="n"/>
      <c r="R855" s="25" t="n"/>
      <c r="S855" s="26">
        <f>IF($A855="","",AND(OR('Assignment Builder'!$B$5="",$B855='Assignment Builder'!$B$5),OR('Assignment Builder'!$B$6="",ISNUMBER(SEARCH('Assignment Builder'!$B$6,$C855))),OR('Assignment Builder'!$B$7="",'Assignment Builder'!$B$7=IFERROR(INDEX('Category Dictionary'!$C$5:$C$135,MATCH($L855,'Category Dictionary'!$D$5:$D$135,0)),"")),OR('Assignment Builder'!$B$8="",$D855='Assignment Builder'!$B$8),OR('Assignment Builder'!$B$9="",$F855='Assignment Builder'!$B$9),OR('Assignment Builder'!$B$10="",$O855='Assignment Builder'!$B$10),OR('Assignment Builder'!$B$11="",$H855&gt;='Assignment Builder'!$B$11),OR('Assignment Builder'!$B$12="",N($Q855)&lt;='Assignment Builder'!$B$12)))</f>
        <v/>
      </c>
      <c r="T855" s="23" t="n"/>
    </row>
    <row r="856">
      <c r="A856" s="23" t="n"/>
      <c r="B856" s="23" t="n"/>
      <c r="C856" s="24" t="n"/>
      <c r="D856" s="15" t="n"/>
      <c r="E856" s="23" t="n"/>
      <c r="F856" s="15" t="n"/>
      <c r="G856" s="23" t="n"/>
      <c r="H856" s="25" t="n"/>
      <c r="I856" s="15" t="n"/>
      <c r="J856" s="26">
        <f>IF($A856="","",LEN($C856)-LEN(SUBSTITUTE($C856,",",""))+1)</f>
        <v/>
      </c>
      <c r="K856" s="26">
        <f>IF($A856="","",SUMPRODUCT(--ISNUMBER(SEARCH('Category Dictionary'!$D$5:$D$135&amp;"",$C856)),--('Category Dictionary'!$D$5:$D$135&lt;&gt;"")))</f>
        <v/>
      </c>
      <c r="L856" s="27">
        <f>IF($A856="","",TRIM(IF(ISERROR(FIND(",",$C856)),$C856,LEFT($C856,FIND(",",$C856)-1))))</f>
        <v/>
      </c>
      <c r="M856" s="28">
        <f>IF($H856="","",DATE(YEAR($H856),MONTH($H856),1))</f>
        <v/>
      </c>
      <c r="N856" s="26">
        <f>IF($H856="","",TODAY()-$H856)</f>
        <v/>
      </c>
      <c r="O856" s="15" t="n"/>
      <c r="P856" s="15" t="n"/>
      <c r="Q856" s="15" t="n"/>
      <c r="R856" s="25" t="n"/>
      <c r="S856" s="26">
        <f>IF($A856="","",AND(OR('Assignment Builder'!$B$5="",$B856='Assignment Builder'!$B$5),OR('Assignment Builder'!$B$6="",ISNUMBER(SEARCH('Assignment Builder'!$B$6,$C856))),OR('Assignment Builder'!$B$7="",'Assignment Builder'!$B$7=IFERROR(INDEX('Category Dictionary'!$C$5:$C$135,MATCH($L856,'Category Dictionary'!$D$5:$D$135,0)),"")),OR('Assignment Builder'!$B$8="",$D856='Assignment Builder'!$B$8),OR('Assignment Builder'!$B$9="",$F856='Assignment Builder'!$B$9),OR('Assignment Builder'!$B$10="",$O856='Assignment Builder'!$B$10),OR('Assignment Builder'!$B$11="",$H856&gt;='Assignment Builder'!$B$11),OR('Assignment Builder'!$B$12="",N($Q856)&lt;='Assignment Builder'!$B$12)))</f>
        <v/>
      </c>
      <c r="T856" s="23" t="n"/>
    </row>
    <row r="857">
      <c r="A857" s="23" t="n"/>
      <c r="B857" s="23" t="n"/>
      <c r="C857" s="24" t="n"/>
      <c r="D857" s="15" t="n"/>
      <c r="E857" s="23" t="n"/>
      <c r="F857" s="15" t="n"/>
      <c r="G857" s="23" t="n"/>
      <c r="H857" s="25" t="n"/>
      <c r="I857" s="15" t="n"/>
      <c r="J857" s="26">
        <f>IF($A857="","",LEN($C857)-LEN(SUBSTITUTE($C857,",",""))+1)</f>
        <v/>
      </c>
      <c r="K857" s="26">
        <f>IF($A857="","",SUMPRODUCT(--ISNUMBER(SEARCH('Category Dictionary'!$D$5:$D$135&amp;"",$C857)),--('Category Dictionary'!$D$5:$D$135&lt;&gt;"")))</f>
        <v/>
      </c>
      <c r="L857" s="27">
        <f>IF($A857="","",TRIM(IF(ISERROR(FIND(",",$C857)),$C857,LEFT($C857,FIND(",",$C857)-1))))</f>
        <v/>
      </c>
      <c r="M857" s="28">
        <f>IF($H857="","",DATE(YEAR($H857),MONTH($H857),1))</f>
        <v/>
      </c>
      <c r="N857" s="26">
        <f>IF($H857="","",TODAY()-$H857)</f>
        <v/>
      </c>
      <c r="O857" s="15" t="n"/>
      <c r="P857" s="15" t="n"/>
      <c r="Q857" s="15" t="n"/>
      <c r="R857" s="25" t="n"/>
      <c r="S857" s="26">
        <f>IF($A857="","",AND(OR('Assignment Builder'!$B$5="",$B857='Assignment Builder'!$B$5),OR('Assignment Builder'!$B$6="",ISNUMBER(SEARCH('Assignment Builder'!$B$6,$C857))),OR('Assignment Builder'!$B$7="",'Assignment Builder'!$B$7=IFERROR(INDEX('Category Dictionary'!$C$5:$C$135,MATCH($L857,'Category Dictionary'!$D$5:$D$135,0)),"")),OR('Assignment Builder'!$B$8="",$D857='Assignment Builder'!$B$8),OR('Assignment Builder'!$B$9="",$F857='Assignment Builder'!$B$9),OR('Assignment Builder'!$B$10="",$O857='Assignment Builder'!$B$10),OR('Assignment Builder'!$B$11="",$H857&gt;='Assignment Builder'!$B$11),OR('Assignment Builder'!$B$12="",N($Q857)&lt;='Assignment Builder'!$B$12)))</f>
        <v/>
      </c>
      <c r="T857" s="23" t="n"/>
    </row>
    <row r="858">
      <c r="A858" s="23" t="n"/>
      <c r="B858" s="23" t="n"/>
      <c r="C858" s="24" t="n"/>
      <c r="D858" s="15" t="n"/>
      <c r="E858" s="23" t="n"/>
      <c r="F858" s="15" t="n"/>
      <c r="G858" s="23" t="n"/>
      <c r="H858" s="25" t="n"/>
      <c r="I858" s="15" t="n"/>
      <c r="J858" s="26">
        <f>IF($A858="","",LEN($C858)-LEN(SUBSTITUTE($C858,",",""))+1)</f>
        <v/>
      </c>
      <c r="K858" s="26">
        <f>IF($A858="","",SUMPRODUCT(--ISNUMBER(SEARCH('Category Dictionary'!$D$5:$D$135&amp;"",$C858)),--('Category Dictionary'!$D$5:$D$135&lt;&gt;"")))</f>
        <v/>
      </c>
      <c r="L858" s="27">
        <f>IF($A858="","",TRIM(IF(ISERROR(FIND(",",$C858)),$C858,LEFT($C858,FIND(",",$C858)-1))))</f>
        <v/>
      </c>
      <c r="M858" s="28">
        <f>IF($H858="","",DATE(YEAR($H858),MONTH($H858),1))</f>
        <v/>
      </c>
      <c r="N858" s="26">
        <f>IF($H858="","",TODAY()-$H858)</f>
        <v/>
      </c>
      <c r="O858" s="15" t="n"/>
      <c r="P858" s="15" t="n"/>
      <c r="Q858" s="15" t="n"/>
      <c r="R858" s="25" t="n"/>
      <c r="S858" s="26">
        <f>IF($A858="","",AND(OR('Assignment Builder'!$B$5="",$B858='Assignment Builder'!$B$5),OR('Assignment Builder'!$B$6="",ISNUMBER(SEARCH('Assignment Builder'!$B$6,$C858))),OR('Assignment Builder'!$B$7="",'Assignment Builder'!$B$7=IFERROR(INDEX('Category Dictionary'!$C$5:$C$135,MATCH($L858,'Category Dictionary'!$D$5:$D$135,0)),"")),OR('Assignment Builder'!$B$8="",$D858='Assignment Builder'!$B$8),OR('Assignment Builder'!$B$9="",$F858='Assignment Builder'!$B$9),OR('Assignment Builder'!$B$10="",$O858='Assignment Builder'!$B$10),OR('Assignment Builder'!$B$11="",$H858&gt;='Assignment Builder'!$B$11),OR('Assignment Builder'!$B$12="",N($Q858)&lt;='Assignment Builder'!$B$12)))</f>
        <v/>
      </c>
      <c r="T858" s="23" t="n"/>
    </row>
    <row r="859">
      <c r="A859" s="23" t="n"/>
      <c r="B859" s="23" t="n"/>
      <c r="C859" s="24" t="n"/>
      <c r="D859" s="15" t="n"/>
      <c r="E859" s="23" t="n"/>
      <c r="F859" s="15" t="n"/>
      <c r="G859" s="23" t="n"/>
      <c r="H859" s="25" t="n"/>
      <c r="I859" s="15" t="n"/>
      <c r="J859" s="26">
        <f>IF($A859="","",LEN($C859)-LEN(SUBSTITUTE($C859,",",""))+1)</f>
        <v/>
      </c>
      <c r="K859" s="26">
        <f>IF($A859="","",SUMPRODUCT(--ISNUMBER(SEARCH('Category Dictionary'!$D$5:$D$135&amp;"",$C859)),--('Category Dictionary'!$D$5:$D$135&lt;&gt;"")))</f>
        <v/>
      </c>
      <c r="L859" s="27">
        <f>IF($A859="","",TRIM(IF(ISERROR(FIND(",",$C859)),$C859,LEFT($C859,FIND(",",$C859)-1))))</f>
        <v/>
      </c>
      <c r="M859" s="28">
        <f>IF($H859="","",DATE(YEAR($H859),MONTH($H859),1))</f>
        <v/>
      </c>
      <c r="N859" s="26">
        <f>IF($H859="","",TODAY()-$H859)</f>
        <v/>
      </c>
      <c r="O859" s="15" t="n"/>
      <c r="P859" s="15" t="n"/>
      <c r="Q859" s="15" t="n"/>
      <c r="R859" s="25" t="n"/>
      <c r="S859" s="26">
        <f>IF($A859="","",AND(OR('Assignment Builder'!$B$5="",$B859='Assignment Builder'!$B$5),OR('Assignment Builder'!$B$6="",ISNUMBER(SEARCH('Assignment Builder'!$B$6,$C859))),OR('Assignment Builder'!$B$7="",'Assignment Builder'!$B$7=IFERROR(INDEX('Category Dictionary'!$C$5:$C$135,MATCH($L859,'Category Dictionary'!$D$5:$D$135,0)),"")),OR('Assignment Builder'!$B$8="",$D859='Assignment Builder'!$B$8),OR('Assignment Builder'!$B$9="",$F859='Assignment Builder'!$B$9),OR('Assignment Builder'!$B$10="",$O859='Assignment Builder'!$B$10),OR('Assignment Builder'!$B$11="",$H859&gt;='Assignment Builder'!$B$11),OR('Assignment Builder'!$B$12="",N($Q859)&lt;='Assignment Builder'!$B$12)))</f>
        <v/>
      </c>
      <c r="T859" s="23" t="n"/>
    </row>
    <row r="860">
      <c r="A860" s="23" t="n"/>
      <c r="B860" s="23" t="n"/>
      <c r="C860" s="24" t="n"/>
      <c r="D860" s="15" t="n"/>
      <c r="E860" s="23" t="n"/>
      <c r="F860" s="15" t="n"/>
      <c r="G860" s="23" t="n"/>
      <c r="H860" s="25" t="n"/>
      <c r="I860" s="15" t="n"/>
      <c r="J860" s="26">
        <f>IF($A860="","",LEN($C860)-LEN(SUBSTITUTE($C860,",",""))+1)</f>
        <v/>
      </c>
      <c r="K860" s="26">
        <f>IF($A860="","",SUMPRODUCT(--ISNUMBER(SEARCH('Category Dictionary'!$D$5:$D$135&amp;"",$C860)),--('Category Dictionary'!$D$5:$D$135&lt;&gt;"")))</f>
        <v/>
      </c>
      <c r="L860" s="27">
        <f>IF($A860="","",TRIM(IF(ISERROR(FIND(",",$C860)),$C860,LEFT($C860,FIND(",",$C860)-1))))</f>
        <v/>
      </c>
      <c r="M860" s="28">
        <f>IF($H860="","",DATE(YEAR($H860),MONTH($H860),1))</f>
        <v/>
      </c>
      <c r="N860" s="26">
        <f>IF($H860="","",TODAY()-$H860)</f>
        <v/>
      </c>
      <c r="O860" s="15" t="n"/>
      <c r="P860" s="15" t="n"/>
      <c r="Q860" s="15" t="n"/>
      <c r="R860" s="25" t="n"/>
      <c r="S860" s="26">
        <f>IF($A860="","",AND(OR('Assignment Builder'!$B$5="",$B860='Assignment Builder'!$B$5),OR('Assignment Builder'!$B$6="",ISNUMBER(SEARCH('Assignment Builder'!$B$6,$C860))),OR('Assignment Builder'!$B$7="",'Assignment Builder'!$B$7=IFERROR(INDEX('Category Dictionary'!$C$5:$C$135,MATCH($L860,'Category Dictionary'!$D$5:$D$135,0)),"")),OR('Assignment Builder'!$B$8="",$D860='Assignment Builder'!$B$8),OR('Assignment Builder'!$B$9="",$F860='Assignment Builder'!$B$9),OR('Assignment Builder'!$B$10="",$O860='Assignment Builder'!$B$10),OR('Assignment Builder'!$B$11="",$H860&gt;='Assignment Builder'!$B$11),OR('Assignment Builder'!$B$12="",N($Q860)&lt;='Assignment Builder'!$B$12)))</f>
        <v/>
      </c>
      <c r="T860" s="23" t="n"/>
    </row>
    <row r="861">
      <c r="A861" s="23" t="n"/>
      <c r="B861" s="23" t="n"/>
      <c r="C861" s="24" t="n"/>
      <c r="D861" s="15" t="n"/>
      <c r="E861" s="23" t="n"/>
      <c r="F861" s="15" t="n"/>
      <c r="G861" s="23" t="n"/>
      <c r="H861" s="25" t="n"/>
      <c r="I861" s="15" t="n"/>
      <c r="J861" s="26">
        <f>IF($A861="","",LEN($C861)-LEN(SUBSTITUTE($C861,",",""))+1)</f>
        <v/>
      </c>
      <c r="K861" s="26">
        <f>IF($A861="","",SUMPRODUCT(--ISNUMBER(SEARCH('Category Dictionary'!$D$5:$D$135&amp;"",$C861)),--('Category Dictionary'!$D$5:$D$135&lt;&gt;"")))</f>
        <v/>
      </c>
      <c r="L861" s="27">
        <f>IF($A861="","",TRIM(IF(ISERROR(FIND(",",$C861)),$C861,LEFT($C861,FIND(",",$C861)-1))))</f>
        <v/>
      </c>
      <c r="M861" s="28">
        <f>IF($H861="","",DATE(YEAR($H861),MONTH($H861),1))</f>
        <v/>
      </c>
      <c r="N861" s="26">
        <f>IF($H861="","",TODAY()-$H861)</f>
        <v/>
      </c>
      <c r="O861" s="15" t="n"/>
      <c r="P861" s="15" t="n"/>
      <c r="Q861" s="15" t="n"/>
      <c r="R861" s="25" t="n"/>
      <c r="S861" s="26">
        <f>IF($A861="","",AND(OR('Assignment Builder'!$B$5="",$B861='Assignment Builder'!$B$5),OR('Assignment Builder'!$B$6="",ISNUMBER(SEARCH('Assignment Builder'!$B$6,$C861))),OR('Assignment Builder'!$B$7="",'Assignment Builder'!$B$7=IFERROR(INDEX('Category Dictionary'!$C$5:$C$135,MATCH($L861,'Category Dictionary'!$D$5:$D$135,0)),"")),OR('Assignment Builder'!$B$8="",$D861='Assignment Builder'!$B$8),OR('Assignment Builder'!$B$9="",$F861='Assignment Builder'!$B$9),OR('Assignment Builder'!$B$10="",$O861='Assignment Builder'!$B$10),OR('Assignment Builder'!$B$11="",$H861&gt;='Assignment Builder'!$B$11),OR('Assignment Builder'!$B$12="",N($Q861)&lt;='Assignment Builder'!$B$12)))</f>
        <v/>
      </c>
      <c r="T861" s="23" t="n"/>
    </row>
    <row r="862">
      <c r="A862" s="23" t="n"/>
      <c r="B862" s="23" t="n"/>
      <c r="C862" s="24" t="n"/>
      <c r="D862" s="15" t="n"/>
      <c r="E862" s="23" t="n"/>
      <c r="F862" s="15" t="n"/>
      <c r="G862" s="23" t="n"/>
      <c r="H862" s="25" t="n"/>
      <c r="I862" s="15" t="n"/>
      <c r="J862" s="26">
        <f>IF($A862="","",LEN($C862)-LEN(SUBSTITUTE($C862,",",""))+1)</f>
        <v/>
      </c>
      <c r="K862" s="26">
        <f>IF($A862="","",SUMPRODUCT(--ISNUMBER(SEARCH('Category Dictionary'!$D$5:$D$135&amp;"",$C862)),--('Category Dictionary'!$D$5:$D$135&lt;&gt;"")))</f>
        <v/>
      </c>
      <c r="L862" s="27">
        <f>IF($A862="","",TRIM(IF(ISERROR(FIND(",",$C862)),$C862,LEFT($C862,FIND(",",$C862)-1))))</f>
        <v/>
      </c>
      <c r="M862" s="28">
        <f>IF($H862="","",DATE(YEAR($H862),MONTH($H862),1))</f>
        <v/>
      </c>
      <c r="N862" s="26">
        <f>IF($H862="","",TODAY()-$H862)</f>
        <v/>
      </c>
      <c r="O862" s="15" t="n"/>
      <c r="P862" s="15" t="n"/>
      <c r="Q862" s="15" t="n"/>
      <c r="R862" s="25" t="n"/>
      <c r="S862" s="26">
        <f>IF($A862="","",AND(OR('Assignment Builder'!$B$5="",$B862='Assignment Builder'!$B$5),OR('Assignment Builder'!$B$6="",ISNUMBER(SEARCH('Assignment Builder'!$B$6,$C862))),OR('Assignment Builder'!$B$7="",'Assignment Builder'!$B$7=IFERROR(INDEX('Category Dictionary'!$C$5:$C$135,MATCH($L862,'Category Dictionary'!$D$5:$D$135,0)),"")),OR('Assignment Builder'!$B$8="",$D862='Assignment Builder'!$B$8),OR('Assignment Builder'!$B$9="",$F862='Assignment Builder'!$B$9),OR('Assignment Builder'!$B$10="",$O862='Assignment Builder'!$B$10),OR('Assignment Builder'!$B$11="",$H862&gt;='Assignment Builder'!$B$11),OR('Assignment Builder'!$B$12="",N($Q862)&lt;='Assignment Builder'!$B$12)))</f>
        <v/>
      </c>
      <c r="T862" s="23" t="n"/>
    </row>
    <row r="863">
      <c r="A863" s="23" t="n"/>
      <c r="B863" s="23" t="n"/>
      <c r="C863" s="24" t="n"/>
      <c r="D863" s="15" t="n"/>
      <c r="E863" s="23" t="n"/>
      <c r="F863" s="15" t="n"/>
      <c r="G863" s="23" t="n"/>
      <c r="H863" s="25" t="n"/>
      <c r="I863" s="15" t="n"/>
      <c r="J863" s="26">
        <f>IF($A863="","",LEN($C863)-LEN(SUBSTITUTE($C863,",",""))+1)</f>
        <v/>
      </c>
      <c r="K863" s="26">
        <f>IF($A863="","",SUMPRODUCT(--ISNUMBER(SEARCH('Category Dictionary'!$D$5:$D$135&amp;"",$C863)),--('Category Dictionary'!$D$5:$D$135&lt;&gt;"")))</f>
        <v/>
      </c>
      <c r="L863" s="27">
        <f>IF($A863="","",TRIM(IF(ISERROR(FIND(",",$C863)),$C863,LEFT($C863,FIND(",",$C863)-1))))</f>
        <v/>
      </c>
      <c r="M863" s="28">
        <f>IF($H863="","",DATE(YEAR($H863),MONTH($H863),1))</f>
        <v/>
      </c>
      <c r="N863" s="26">
        <f>IF($H863="","",TODAY()-$H863)</f>
        <v/>
      </c>
      <c r="O863" s="15" t="n"/>
      <c r="P863" s="15" t="n"/>
      <c r="Q863" s="15" t="n"/>
      <c r="R863" s="25" t="n"/>
      <c r="S863" s="26">
        <f>IF($A863="","",AND(OR('Assignment Builder'!$B$5="",$B863='Assignment Builder'!$B$5),OR('Assignment Builder'!$B$6="",ISNUMBER(SEARCH('Assignment Builder'!$B$6,$C863))),OR('Assignment Builder'!$B$7="",'Assignment Builder'!$B$7=IFERROR(INDEX('Category Dictionary'!$C$5:$C$135,MATCH($L863,'Category Dictionary'!$D$5:$D$135,0)),"")),OR('Assignment Builder'!$B$8="",$D863='Assignment Builder'!$B$8),OR('Assignment Builder'!$B$9="",$F863='Assignment Builder'!$B$9),OR('Assignment Builder'!$B$10="",$O863='Assignment Builder'!$B$10),OR('Assignment Builder'!$B$11="",$H863&gt;='Assignment Builder'!$B$11),OR('Assignment Builder'!$B$12="",N($Q863)&lt;='Assignment Builder'!$B$12)))</f>
        <v/>
      </c>
      <c r="T863" s="23" t="n"/>
    </row>
    <row r="864">
      <c r="A864" s="23" t="n"/>
      <c r="B864" s="23" t="n"/>
      <c r="C864" s="24" t="n"/>
      <c r="D864" s="15" t="n"/>
      <c r="E864" s="23" t="n"/>
      <c r="F864" s="15" t="n"/>
      <c r="G864" s="23" t="n"/>
      <c r="H864" s="25" t="n"/>
      <c r="I864" s="15" t="n"/>
      <c r="J864" s="26">
        <f>IF($A864="","",LEN($C864)-LEN(SUBSTITUTE($C864,",",""))+1)</f>
        <v/>
      </c>
      <c r="K864" s="26">
        <f>IF($A864="","",SUMPRODUCT(--ISNUMBER(SEARCH('Category Dictionary'!$D$5:$D$135&amp;"",$C864)),--('Category Dictionary'!$D$5:$D$135&lt;&gt;"")))</f>
        <v/>
      </c>
      <c r="L864" s="27">
        <f>IF($A864="","",TRIM(IF(ISERROR(FIND(",",$C864)),$C864,LEFT($C864,FIND(",",$C864)-1))))</f>
        <v/>
      </c>
      <c r="M864" s="28">
        <f>IF($H864="","",DATE(YEAR($H864),MONTH($H864),1))</f>
        <v/>
      </c>
      <c r="N864" s="26">
        <f>IF($H864="","",TODAY()-$H864)</f>
        <v/>
      </c>
      <c r="O864" s="15" t="n"/>
      <c r="P864" s="15" t="n"/>
      <c r="Q864" s="15" t="n"/>
      <c r="R864" s="25" t="n"/>
      <c r="S864" s="26">
        <f>IF($A864="","",AND(OR('Assignment Builder'!$B$5="",$B864='Assignment Builder'!$B$5),OR('Assignment Builder'!$B$6="",ISNUMBER(SEARCH('Assignment Builder'!$B$6,$C864))),OR('Assignment Builder'!$B$7="",'Assignment Builder'!$B$7=IFERROR(INDEX('Category Dictionary'!$C$5:$C$135,MATCH($L864,'Category Dictionary'!$D$5:$D$135,0)),"")),OR('Assignment Builder'!$B$8="",$D864='Assignment Builder'!$B$8),OR('Assignment Builder'!$B$9="",$F864='Assignment Builder'!$B$9),OR('Assignment Builder'!$B$10="",$O864='Assignment Builder'!$B$10),OR('Assignment Builder'!$B$11="",$H864&gt;='Assignment Builder'!$B$11),OR('Assignment Builder'!$B$12="",N($Q864)&lt;='Assignment Builder'!$B$12)))</f>
        <v/>
      </c>
      <c r="T864" s="23" t="n"/>
    </row>
    <row r="865">
      <c r="A865" s="23" t="n"/>
      <c r="B865" s="23" t="n"/>
      <c r="C865" s="24" t="n"/>
      <c r="D865" s="15" t="n"/>
      <c r="E865" s="23" t="n"/>
      <c r="F865" s="15" t="n"/>
      <c r="G865" s="23" t="n"/>
      <c r="H865" s="25" t="n"/>
      <c r="I865" s="15" t="n"/>
      <c r="J865" s="26">
        <f>IF($A865="","",LEN($C865)-LEN(SUBSTITUTE($C865,",",""))+1)</f>
        <v/>
      </c>
      <c r="K865" s="26">
        <f>IF($A865="","",SUMPRODUCT(--ISNUMBER(SEARCH('Category Dictionary'!$D$5:$D$135&amp;"",$C865)),--('Category Dictionary'!$D$5:$D$135&lt;&gt;"")))</f>
        <v/>
      </c>
      <c r="L865" s="27">
        <f>IF($A865="","",TRIM(IF(ISERROR(FIND(",",$C865)),$C865,LEFT($C865,FIND(",",$C865)-1))))</f>
        <v/>
      </c>
      <c r="M865" s="28">
        <f>IF($H865="","",DATE(YEAR($H865),MONTH($H865),1))</f>
        <v/>
      </c>
      <c r="N865" s="26">
        <f>IF($H865="","",TODAY()-$H865)</f>
        <v/>
      </c>
      <c r="O865" s="15" t="n"/>
      <c r="P865" s="15" t="n"/>
      <c r="Q865" s="15" t="n"/>
      <c r="R865" s="25" t="n"/>
      <c r="S865" s="26">
        <f>IF($A865="","",AND(OR('Assignment Builder'!$B$5="",$B865='Assignment Builder'!$B$5),OR('Assignment Builder'!$B$6="",ISNUMBER(SEARCH('Assignment Builder'!$B$6,$C865))),OR('Assignment Builder'!$B$7="",'Assignment Builder'!$B$7=IFERROR(INDEX('Category Dictionary'!$C$5:$C$135,MATCH($L865,'Category Dictionary'!$D$5:$D$135,0)),"")),OR('Assignment Builder'!$B$8="",$D865='Assignment Builder'!$B$8),OR('Assignment Builder'!$B$9="",$F865='Assignment Builder'!$B$9),OR('Assignment Builder'!$B$10="",$O865='Assignment Builder'!$B$10),OR('Assignment Builder'!$B$11="",$H865&gt;='Assignment Builder'!$B$11),OR('Assignment Builder'!$B$12="",N($Q865)&lt;='Assignment Builder'!$B$12)))</f>
        <v/>
      </c>
      <c r="T865" s="23" t="n"/>
    </row>
    <row r="866">
      <c r="A866" s="23" t="n"/>
      <c r="B866" s="23" t="n"/>
      <c r="C866" s="24" t="n"/>
      <c r="D866" s="15" t="n"/>
      <c r="E866" s="23" t="n"/>
      <c r="F866" s="15" t="n"/>
      <c r="G866" s="23" t="n"/>
      <c r="H866" s="25" t="n"/>
      <c r="I866" s="15" t="n"/>
      <c r="J866" s="26">
        <f>IF($A866="","",LEN($C866)-LEN(SUBSTITUTE($C866,",",""))+1)</f>
        <v/>
      </c>
      <c r="K866" s="26">
        <f>IF($A866="","",SUMPRODUCT(--ISNUMBER(SEARCH('Category Dictionary'!$D$5:$D$135&amp;"",$C866)),--('Category Dictionary'!$D$5:$D$135&lt;&gt;"")))</f>
        <v/>
      </c>
      <c r="L866" s="27">
        <f>IF($A866="","",TRIM(IF(ISERROR(FIND(",",$C866)),$C866,LEFT($C866,FIND(",",$C866)-1))))</f>
        <v/>
      </c>
      <c r="M866" s="28">
        <f>IF($H866="","",DATE(YEAR($H866),MONTH($H866),1))</f>
        <v/>
      </c>
      <c r="N866" s="26">
        <f>IF($H866="","",TODAY()-$H866)</f>
        <v/>
      </c>
      <c r="O866" s="15" t="n"/>
      <c r="P866" s="15" t="n"/>
      <c r="Q866" s="15" t="n"/>
      <c r="R866" s="25" t="n"/>
      <c r="S866" s="26">
        <f>IF($A866="","",AND(OR('Assignment Builder'!$B$5="",$B866='Assignment Builder'!$B$5),OR('Assignment Builder'!$B$6="",ISNUMBER(SEARCH('Assignment Builder'!$B$6,$C866))),OR('Assignment Builder'!$B$7="",'Assignment Builder'!$B$7=IFERROR(INDEX('Category Dictionary'!$C$5:$C$135,MATCH($L866,'Category Dictionary'!$D$5:$D$135,0)),"")),OR('Assignment Builder'!$B$8="",$D866='Assignment Builder'!$B$8),OR('Assignment Builder'!$B$9="",$F866='Assignment Builder'!$B$9),OR('Assignment Builder'!$B$10="",$O866='Assignment Builder'!$B$10),OR('Assignment Builder'!$B$11="",$H866&gt;='Assignment Builder'!$B$11),OR('Assignment Builder'!$B$12="",N($Q866)&lt;='Assignment Builder'!$B$12)))</f>
        <v/>
      </c>
      <c r="T866" s="23" t="n"/>
    </row>
    <row r="867">
      <c r="A867" s="23" t="n"/>
      <c r="B867" s="23" t="n"/>
      <c r="C867" s="24" t="n"/>
      <c r="D867" s="15" t="n"/>
      <c r="E867" s="23" t="n"/>
      <c r="F867" s="15" t="n"/>
      <c r="G867" s="23" t="n"/>
      <c r="H867" s="25" t="n"/>
      <c r="I867" s="15" t="n"/>
      <c r="J867" s="26">
        <f>IF($A867="","",LEN($C867)-LEN(SUBSTITUTE($C867,",",""))+1)</f>
        <v/>
      </c>
      <c r="K867" s="26">
        <f>IF($A867="","",SUMPRODUCT(--ISNUMBER(SEARCH('Category Dictionary'!$D$5:$D$135&amp;"",$C867)),--('Category Dictionary'!$D$5:$D$135&lt;&gt;"")))</f>
        <v/>
      </c>
      <c r="L867" s="27">
        <f>IF($A867="","",TRIM(IF(ISERROR(FIND(",",$C867)),$C867,LEFT($C867,FIND(",",$C867)-1))))</f>
        <v/>
      </c>
      <c r="M867" s="28">
        <f>IF($H867="","",DATE(YEAR($H867),MONTH($H867),1))</f>
        <v/>
      </c>
      <c r="N867" s="26">
        <f>IF($H867="","",TODAY()-$H867)</f>
        <v/>
      </c>
      <c r="O867" s="15" t="n"/>
      <c r="P867" s="15" t="n"/>
      <c r="Q867" s="15" t="n"/>
      <c r="R867" s="25" t="n"/>
      <c r="S867" s="26">
        <f>IF($A867="","",AND(OR('Assignment Builder'!$B$5="",$B867='Assignment Builder'!$B$5),OR('Assignment Builder'!$B$6="",ISNUMBER(SEARCH('Assignment Builder'!$B$6,$C867))),OR('Assignment Builder'!$B$7="",'Assignment Builder'!$B$7=IFERROR(INDEX('Category Dictionary'!$C$5:$C$135,MATCH($L867,'Category Dictionary'!$D$5:$D$135,0)),"")),OR('Assignment Builder'!$B$8="",$D867='Assignment Builder'!$B$8),OR('Assignment Builder'!$B$9="",$F867='Assignment Builder'!$B$9),OR('Assignment Builder'!$B$10="",$O867='Assignment Builder'!$B$10),OR('Assignment Builder'!$B$11="",$H867&gt;='Assignment Builder'!$B$11),OR('Assignment Builder'!$B$12="",N($Q867)&lt;='Assignment Builder'!$B$12)))</f>
        <v/>
      </c>
      <c r="T867" s="23" t="n"/>
    </row>
    <row r="868">
      <c r="A868" s="23" t="n"/>
      <c r="B868" s="23" t="n"/>
      <c r="C868" s="24" t="n"/>
      <c r="D868" s="15" t="n"/>
      <c r="E868" s="23" t="n"/>
      <c r="F868" s="15" t="n"/>
      <c r="G868" s="23" t="n"/>
      <c r="H868" s="25" t="n"/>
      <c r="I868" s="15" t="n"/>
      <c r="J868" s="26">
        <f>IF($A868="","",LEN($C868)-LEN(SUBSTITUTE($C868,",",""))+1)</f>
        <v/>
      </c>
      <c r="K868" s="26">
        <f>IF($A868="","",SUMPRODUCT(--ISNUMBER(SEARCH('Category Dictionary'!$D$5:$D$135&amp;"",$C868)),--('Category Dictionary'!$D$5:$D$135&lt;&gt;"")))</f>
        <v/>
      </c>
      <c r="L868" s="27">
        <f>IF($A868="","",TRIM(IF(ISERROR(FIND(",",$C868)),$C868,LEFT($C868,FIND(",",$C868)-1))))</f>
        <v/>
      </c>
      <c r="M868" s="28">
        <f>IF($H868="","",DATE(YEAR($H868),MONTH($H868),1))</f>
        <v/>
      </c>
      <c r="N868" s="26">
        <f>IF($H868="","",TODAY()-$H868)</f>
        <v/>
      </c>
      <c r="O868" s="15" t="n"/>
      <c r="P868" s="15" t="n"/>
      <c r="Q868" s="15" t="n"/>
      <c r="R868" s="25" t="n"/>
      <c r="S868" s="26">
        <f>IF($A868="","",AND(OR('Assignment Builder'!$B$5="",$B868='Assignment Builder'!$B$5),OR('Assignment Builder'!$B$6="",ISNUMBER(SEARCH('Assignment Builder'!$B$6,$C868))),OR('Assignment Builder'!$B$7="",'Assignment Builder'!$B$7=IFERROR(INDEX('Category Dictionary'!$C$5:$C$135,MATCH($L868,'Category Dictionary'!$D$5:$D$135,0)),"")),OR('Assignment Builder'!$B$8="",$D868='Assignment Builder'!$B$8),OR('Assignment Builder'!$B$9="",$F868='Assignment Builder'!$B$9),OR('Assignment Builder'!$B$10="",$O868='Assignment Builder'!$B$10),OR('Assignment Builder'!$B$11="",$H868&gt;='Assignment Builder'!$B$11),OR('Assignment Builder'!$B$12="",N($Q868)&lt;='Assignment Builder'!$B$12)))</f>
        <v/>
      </c>
      <c r="T868" s="23" t="n"/>
    </row>
    <row r="869">
      <c r="A869" s="23" t="n"/>
      <c r="B869" s="23" t="n"/>
      <c r="C869" s="24" t="n"/>
      <c r="D869" s="15" t="n"/>
      <c r="E869" s="23" t="n"/>
      <c r="F869" s="15" t="n"/>
      <c r="G869" s="23" t="n"/>
      <c r="H869" s="25" t="n"/>
      <c r="I869" s="15" t="n"/>
      <c r="J869" s="26">
        <f>IF($A869="","",LEN($C869)-LEN(SUBSTITUTE($C869,",",""))+1)</f>
        <v/>
      </c>
      <c r="K869" s="26">
        <f>IF($A869="","",SUMPRODUCT(--ISNUMBER(SEARCH('Category Dictionary'!$D$5:$D$135&amp;"",$C869)),--('Category Dictionary'!$D$5:$D$135&lt;&gt;"")))</f>
        <v/>
      </c>
      <c r="L869" s="27">
        <f>IF($A869="","",TRIM(IF(ISERROR(FIND(",",$C869)),$C869,LEFT($C869,FIND(",",$C869)-1))))</f>
        <v/>
      </c>
      <c r="M869" s="28">
        <f>IF($H869="","",DATE(YEAR($H869),MONTH($H869),1))</f>
        <v/>
      </c>
      <c r="N869" s="26">
        <f>IF($H869="","",TODAY()-$H869)</f>
        <v/>
      </c>
      <c r="O869" s="15" t="n"/>
      <c r="P869" s="15" t="n"/>
      <c r="Q869" s="15" t="n"/>
      <c r="R869" s="25" t="n"/>
      <c r="S869" s="26">
        <f>IF($A869="","",AND(OR('Assignment Builder'!$B$5="",$B869='Assignment Builder'!$B$5),OR('Assignment Builder'!$B$6="",ISNUMBER(SEARCH('Assignment Builder'!$B$6,$C869))),OR('Assignment Builder'!$B$7="",'Assignment Builder'!$B$7=IFERROR(INDEX('Category Dictionary'!$C$5:$C$135,MATCH($L869,'Category Dictionary'!$D$5:$D$135,0)),"")),OR('Assignment Builder'!$B$8="",$D869='Assignment Builder'!$B$8),OR('Assignment Builder'!$B$9="",$F869='Assignment Builder'!$B$9),OR('Assignment Builder'!$B$10="",$O869='Assignment Builder'!$B$10),OR('Assignment Builder'!$B$11="",$H869&gt;='Assignment Builder'!$B$11),OR('Assignment Builder'!$B$12="",N($Q869)&lt;='Assignment Builder'!$B$12)))</f>
        <v/>
      </c>
      <c r="T869" s="23" t="n"/>
    </row>
    <row r="870">
      <c r="A870" s="23" t="n"/>
      <c r="B870" s="23" t="n"/>
      <c r="C870" s="24" t="n"/>
      <c r="D870" s="15" t="n"/>
      <c r="E870" s="23" t="n"/>
      <c r="F870" s="15" t="n"/>
      <c r="G870" s="23" t="n"/>
      <c r="H870" s="25" t="n"/>
      <c r="I870" s="15" t="n"/>
      <c r="J870" s="26">
        <f>IF($A870="","",LEN($C870)-LEN(SUBSTITUTE($C870,",",""))+1)</f>
        <v/>
      </c>
      <c r="K870" s="26">
        <f>IF($A870="","",SUMPRODUCT(--ISNUMBER(SEARCH('Category Dictionary'!$D$5:$D$135&amp;"",$C870)),--('Category Dictionary'!$D$5:$D$135&lt;&gt;"")))</f>
        <v/>
      </c>
      <c r="L870" s="27">
        <f>IF($A870="","",TRIM(IF(ISERROR(FIND(",",$C870)),$C870,LEFT($C870,FIND(",",$C870)-1))))</f>
        <v/>
      </c>
      <c r="M870" s="28">
        <f>IF($H870="","",DATE(YEAR($H870),MONTH($H870),1))</f>
        <v/>
      </c>
      <c r="N870" s="26">
        <f>IF($H870="","",TODAY()-$H870)</f>
        <v/>
      </c>
      <c r="O870" s="15" t="n"/>
      <c r="P870" s="15" t="n"/>
      <c r="Q870" s="15" t="n"/>
      <c r="R870" s="25" t="n"/>
      <c r="S870" s="26">
        <f>IF($A870="","",AND(OR('Assignment Builder'!$B$5="",$B870='Assignment Builder'!$B$5),OR('Assignment Builder'!$B$6="",ISNUMBER(SEARCH('Assignment Builder'!$B$6,$C870))),OR('Assignment Builder'!$B$7="",'Assignment Builder'!$B$7=IFERROR(INDEX('Category Dictionary'!$C$5:$C$135,MATCH($L870,'Category Dictionary'!$D$5:$D$135,0)),"")),OR('Assignment Builder'!$B$8="",$D870='Assignment Builder'!$B$8),OR('Assignment Builder'!$B$9="",$F870='Assignment Builder'!$B$9),OR('Assignment Builder'!$B$10="",$O870='Assignment Builder'!$B$10),OR('Assignment Builder'!$B$11="",$H870&gt;='Assignment Builder'!$B$11),OR('Assignment Builder'!$B$12="",N($Q870)&lt;='Assignment Builder'!$B$12)))</f>
        <v/>
      </c>
      <c r="T870" s="23" t="n"/>
    </row>
    <row r="871">
      <c r="A871" s="23" t="n"/>
      <c r="B871" s="23" t="n"/>
      <c r="C871" s="24" t="n"/>
      <c r="D871" s="15" t="n"/>
      <c r="E871" s="23" t="n"/>
      <c r="F871" s="15" t="n"/>
      <c r="G871" s="23" t="n"/>
      <c r="H871" s="25" t="n"/>
      <c r="I871" s="15" t="n"/>
      <c r="J871" s="26">
        <f>IF($A871="","",LEN($C871)-LEN(SUBSTITUTE($C871,",",""))+1)</f>
        <v/>
      </c>
      <c r="K871" s="26">
        <f>IF($A871="","",SUMPRODUCT(--ISNUMBER(SEARCH('Category Dictionary'!$D$5:$D$135&amp;"",$C871)),--('Category Dictionary'!$D$5:$D$135&lt;&gt;"")))</f>
        <v/>
      </c>
      <c r="L871" s="27">
        <f>IF($A871="","",TRIM(IF(ISERROR(FIND(",",$C871)),$C871,LEFT($C871,FIND(",",$C871)-1))))</f>
        <v/>
      </c>
      <c r="M871" s="28">
        <f>IF($H871="","",DATE(YEAR($H871),MONTH($H871),1))</f>
        <v/>
      </c>
      <c r="N871" s="26">
        <f>IF($H871="","",TODAY()-$H871)</f>
        <v/>
      </c>
      <c r="O871" s="15" t="n"/>
      <c r="P871" s="15" t="n"/>
      <c r="Q871" s="15" t="n"/>
      <c r="R871" s="25" t="n"/>
      <c r="S871" s="26">
        <f>IF($A871="","",AND(OR('Assignment Builder'!$B$5="",$B871='Assignment Builder'!$B$5),OR('Assignment Builder'!$B$6="",ISNUMBER(SEARCH('Assignment Builder'!$B$6,$C871))),OR('Assignment Builder'!$B$7="",'Assignment Builder'!$B$7=IFERROR(INDEX('Category Dictionary'!$C$5:$C$135,MATCH($L871,'Category Dictionary'!$D$5:$D$135,0)),"")),OR('Assignment Builder'!$B$8="",$D871='Assignment Builder'!$B$8),OR('Assignment Builder'!$B$9="",$F871='Assignment Builder'!$B$9),OR('Assignment Builder'!$B$10="",$O871='Assignment Builder'!$B$10),OR('Assignment Builder'!$B$11="",$H871&gt;='Assignment Builder'!$B$11),OR('Assignment Builder'!$B$12="",N($Q871)&lt;='Assignment Builder'!$B$12)))</f>
        <v/>
      </c>
      <c r="T871" s="23" t="n"/>
    </row>
    <row r="872">
      <c r="A872" s="23" t="n"/>
      <c r="B872" s="23" t="n"/>
      <c r="C872" s="24" t="n"/>
      <c r="D872" s="15" t="n"/>
      <c r="E872" s="23" t="n"/>
      <c r="F872" s="15" t="n"/>
      <c r="G872" s="23" t="n"/>
      <c r="H872" s="25" t="n"/>
      <c r="I872" s="15" t="n"/>
      <c r="J872" s="26">
        <f>IF($A872="","",LEN($C872)-LEN(SUBSTITUTE($C872,",",""))+1)</f>
        <v/>
      </c>
      <c r="K872" s="26">
        <f>IF($A872="","",SUMPRODUCT(--ISNUMBER(SEARCH('Category Dictionary'!$D$5:$D$135&amp;"",$C872)),--('Category Dictionary'!$D$5:$D$135&lt;&gt;"")))</f>
        <v/>
      </c>
      <c r="L872" s="27">
        <f>IF($A872="","",TRIM(IF(ISERROR(FIND(",",$C872)),$C872,LEFT($C872,FIND(",",$C872)-1))))</f>
        <v/>
      </c>
      <c r="M872" s="28">
        <f>IF($H872="","",DATE(YEAR($H872),MONTH($H872),1))</f>
        <v/>
      </c>
      <c r="N872" s="26">
        <f>IF($H872="","",TODAY()-$H872)</f>
        <v/>
      </c>
      <c r="O872" s="15" t="n"/>
      <c r="P872" s="15" t="n"/>
      <c r="Q872" s="15" t="n"/>
      <c r="R872" s="25" t="n"/>
      <c r="S872" s="26">
        <f>IF($A872="","",AND(OR('Assignment Builder'!$B$5="",$B872='Assignment Builder'!$B$5),OR('Assignment Builder'!$B$6="",ISNUMBER(SEARCH('Assignment Builder'!$B$6,$C872))),OR('Assignment Builder'!$B$7="",'Assignment Builder'!$B$7=IFERROR(INDEX('Category Dictionary'!$C$5:$C$135,MATCH($L872,'Category Dictionary'!$D$5:$D$135,0)),"")),OR('Assignment Builder'!$B$8="",$D872='Assignment Builder'!$B$8),OR('Assignment Builder'!$B$9="",$F872='Assignment Builder'!$B$9),OR('Assignment Builder'!$B$10="",$O872='Assignment Builder'!$B$10),OR('Assignment Builder'!$B$11="",$H872&gt;='Assignment Builder'!$B$11),OR('Assignment Builder'!$B$12="",N($Q872)&lt;='Assignment Builder'!$B$12)))</f>
        <v/>
      </c>
      <c r="T872" s="23" t="n"/>
    </row>
    <row r="873">
      <c r="A873" s="23" t="n"/>
      <c r="B873" s="23" t="n"/>
      <c r="C873" s="24" t="n"/>
      <c r="D873" s="15" t="n"/>
      <c r="E873" s="23" t="n"/>
      <c r="F873" s="15" t="n"/>
      <c r="G873" s="23" t="n"/>
      <c r="H873" s="25" t="n"/>
      <c r="I873" s="15" t="n"/>
      <c r="J873" s="26">
        <f>IF($A873="","",LEN($C873)-LEN(SUBSTITUTE($C873,",",""))+1)</f>
        <v/>
      </c>
      <c r="K873" s="26">
        <f>IF($A873="","",SUMPRODUCT(--ISNUMBER(SEARCH('Category Dictionary'!$D$5:$D$135&amp;"",$C873)),--('Category Dictionary'!$D$5:$D$135&lt;&gt;"")))</f>
        <v/>
      </c>
      <c r="L873" s="27">
        <f>IF($A873="","",TRIM(IF(ISERROR(FIND(",",$C873)),$C873,LEFT($C873,FIND(",",$C873)-1))))</f>
        <v/>
      </c>
      <c r="M873" s="28">
        <f>IF($H873="","",DATE(YEAR($H873),MONTH($H873),1))</f>
        <v/>
      </c>
      <c r="N873" s="26">
        <f>IF($H873="","",TODAY()-$H873)</f>
        <v/>
      </c>
      <c r="O873" s="15" t="n"/>
      <c r="P873" s="15" t="n"/>
      <c r="Q873" s="15" t="n"/>
      <c r="R873" s="25" t="n"/>
      <c r="S873" s="26">
        <f>IF($A873="","",AND(OR('Assignment Builder'!$B$5="",$B873='Assignment Builder'!$B$5),OR('Assignment Builder'!$B$6="",ISNUMBER(SEARCH('Assignment Builder'!$B$6,$C873))),OR('Assignment Builder'!$B$7="",'Assignment Builder'!$B$7=IFERROR(INDEX('Category Dictionary'!$C$5:$C$135,MATCH($L873,'Category Dictionary'!$D$5:$D$135,0)),"")),OR('Assignment Builder'!$B$8="",$D873='Assignment Builder'!$B$8),OR('Assignment Builder'!$B$9="",$F873='Assignment Builder'!$B$9),OR('Assignment Builder'!$B$10="",$O873='Assignment Builder'!$B$10),OR('Assignment Builder'!$B$11="",$H873&gt;='Assignment Builder'!$B$11),OR('Assignment Builder'!$B$12="",N($Q873)&lt;='Assignment Builder'!$B$12)))</f>
        <v/>
      </c>
      <c r="T873" s="23" t="n"/>
    </row>
    <row r="874">
      <c r="A874" s="23" t="n"/>
      <c r="B874" s="23" t="n"/>
      <c r="C874" s="24" t="n"/>
      <c r="D874" s="15" t="n"/>
      <c r="E874" s="23" t="n"/>
      <c r="F874" s="15" t="n"/>
      <c r="G874" s="23" t="n"/>
      <c r="H874" s="25" t="n"/>
      <c r="I874" s="15" t="n"/>
      <c r="J874" s="26">
        <f>IF($A874="","",LEN($C874)-LEN(SUBSTITUTE($C874,",",""))+1)</f>
        <v/>
      </c>
      <c r="K874" s="26">
        <f>IF($A874="","",SUMPRODUCT(--ISNUMBER(SEARCH('Category Dictionary'!$D$5:$D$135&amp;"",$C874)),--('Category Dictionary'!$D$5:$D$135&lt;&gt;"")))</f>
        <v/>
      </c>
      <c r="L874" s="27">
        <f>IF($A874="","",TRIM(IF(ISERROR(FIND(",",$C874)),$C874,LEFT($C874,FIND(",",$C874)-1))))</f>
        <v/>
      </c>
      <c r="M874" s="28">
        <f>IF($H874="","",DATE(YEAR($H874),MONTH($H874),1))</f>
        <v/>
      </c>
      <c r="N874" s="26">
        <f>IF($H874="","",TODAY()-$H874)</f>
        <v/>
      </c>
      <c r="O874" s="15" t="n"/>
      <c r="P874" s="15" t="n"/>
      <c r="Q874" s="15" t="n"/>
      <c r="R874" s="25" t="n"/>
      <c r="S874" s="26">
        <f>IF($A874="","",AND(OR('Assignment Builder'!$B$5="",$B874='Assignment Builder'!$B$5),OR('Assignment Builder'!$B$6="",ISNUMBER(SEARCH('Assignment Builder'!$B$6,$C874))),OR('Assignment Builder'!$B$7="",'Assignment Builder'!$B$7=IFERROR(INDEX('Category Dictionary'!$C$5:$C$135,MATCH($L874,'Category Dictionary'!$D$5:$D$135,0)),"")),OR('Assignment Builder'!$B$8="",$D874='Assignment Builder'!$B$8),OR('Assignment Builder'!$B$9="",$F874='Assignment Builder'!$B$9),OR('Assignment Builder'!$B$10="",$O874='Assignment Builder'!$B$10),OR('Assignment Builder'!$B$11="",$H874&gt;='Assignment Builder'!$B$11),OR('Assignment Builder'!$B$12="",N($Q874)&lt;='Assignment Builder'!$B$12)))</f>
        <v/>
      </c>
      <c r="T874" s="23" t="n"/>
    </row>
    <row r="875">
      <c r="A875" s="23" t="n"/>
      <c r="B875" s="23" t="n"/>
      <c r="C875" s="24" t="n"/>
      <c r="D875" s="15" t="n"/>
      <c r="E875" s="23" t="n"/>
      <c r="F875" s="15" t="n"/>
      <c r="G875" s="23" t="n"/>
      <c r="H875" s="25" t="n"/>
      <c r="I875" s="15" t="n"/>
      <c r="J875" s="26">
        <f>IF($A875="","",LEN($C875)-LEN(SUBSTITUTE($C875,",",""))+1)</f>
        <v/>
      </c>
      <c r="K875" s="26">
        <f>IF($A875="","",SUMPRODUCT(--ISNUMBER(SEARCH('Category Dictionary'!$D$5:$D$135&amp;"",$C875)),--('Category Dictionary'!$D$5:$D$135&lt;&gt;"")))</f>
        <v/>
      </c>
      <c r="L875" s="27">
        <f>IF($A875="","",TRIM(IF(ISERROR(FIND(",",$C875)),$C875,LEFT($C875,FIND(",",$C875)-1))))</f>
        <v/>
      </c>
      <c r="M875" s="28">
        <f>IF($H875="","",DATE(YEAR($H875),MONTH($H875),1))</f>
        <v/>
      </c>
      <c r="N875" s="26">
        <f>IF($H875="","",TODAY()-$H875)</f>
        <v/>
      </c>
      <c r="O875" s="15" t="n"/>
      <c r="P875" s="15" t="n"/>
      <c r="Q875" s="15" t="n"/>
      <c r="R875" s="25" t="n"/>
      <c r="S875" s="26">
        <f>IF($A875="","",AND(OR('Assignment Builder'!$B$5="",$B875='Assignment Builder'!$B$5),OR('Assignment Builder'!$B$6="",ISNUMBER(SEARCH('Assignment Builder'!$B$6,$C875))),OR('Assignment Builder'!$B$7="",'Assignment Builder'!$B$7=IFERROR(INDEX('Category Dictionary'!$C$5:$C$135,MATCH($L875,'Category Dictionary'!$D$5:$D$135,0)),"")),OR('Assignment Builder'!$B$8="",$D875='Assignment Builder'!$B$8),OR('Assignment Builder'!$B$9="",$F875='Assignment Builder'!$B$9),OR('Assignment Builder'!$B$10="",$O875='Assignment Builder'!$B$10),OR('Assignment Builder'!$B$11="",$H875&gt;='Assignment Builder'!$B$11),OR('Assignment Builder'!$B$12="",N($Q875)&lt;='Assignment Builder'!$B$12)))</f>
        <v/>
      </c>
      <c r="T875" s="23" t="n"/>
    </row>
    <row r="876">
      <c r="A876" s="23" t="n"/>
      <c r="B876" s="23" t="n"/>
      <c r="C876" s="24" t="n"/>
      <c r="D876" s="15" t="n"/>
      <c r="E876" s="23" t="n"/>
      <c r="F876" s="15" t="n"/>
      <c r="G876" s="23" t="n"/>
      <c r="H876" s="25" t="n"/>
      <c r="I876" s="15" t="n"/>
      <c r="J876" s="26">
        <f>IF($A876="","",LEN($C876)-LEN(SUBSTITUTE($C876,",",""))+1)</f>
        <v/>
      </c>
      <c r="K876" s="26">
        <f>IF($A876="","",SUMPRODUCT(--ISNUMBER(SEARCH('Category Dictionary'!$D$5:$D$135&amp;"",$C876)),--('Category Dictionary'!$D$5:$D$135&lt;&gt;"")))</f>
        <v/>
      </c>
      <c r="L876" s="27">
        <f>IF($A876="","",TRIM(IF(ISERROR(FIND(",",$C876)),$C876,LEFT($C876,FIND(",",$C876)-1))))</f>
        <v/>
      </c>
      <c r="M876" s="28">
        <f>IF($H876="","",DATE(YEAR($H876),MONTH($H876),1))</f>
        <v/>
      </c>
      <c r="N876" s="26">
        <f>IF($H876="","",TODAY()-$H876)</f>
        <v/>
      </c>
      <c r="O876" s="15" t="n"/>
      <c r="P876" s="15" t="n"/>
      <c r="Q876" s="15" t="n"/>
      <c r="R876" s="25" t="n"/>
      <c r="S876" s="26">
        <f>IF($A876="","",AND(OR('Assignment Builder'!$B$5="",$B876='Assignment Builder'!$B$5),OR('Assignment Builder'!$B$6="",ISNUMBER(SEARCH('Assignment Builder'!$B$6,$C876))),OR('Assignment Builder'!$B$7="",'Assignment Builder'!$B$7=IFERROR(INDEX('Category Dictionary'!$C$5:$C$135,MATCH($L876,'Category Dictionary'!$D$5:$D$135,0)),"")),OR('Assignment Builder'!$B$8="",$D876='Assignment Builder'!$B$8),OR('Assignment Builder'!$B$9="",$F876='Assignment Builder'!$B$9),OR('Assignment Builder'!$B$10="",$O876='Assignment Builder'!$B$10),OR('Assignment Builder'!$B$11="",$H876&gt;='Assignment Builder'!$B$11),OR('Assignment Builder'!$B$12="",N($Q876)&lt;='Assignment Builder'!$B$12)))</f>
        <v/>
      </c>
      <c r="T876" s="23" t="n"/>
    </row>
    <row r="877">
      <c r="A877" s="23" t="n"/>
      <c r="B877" s="23" t="n"/>
      <c r="C877" s="24" t="n"/>
      <c r="D877" s="15" t="n"/>
      <c r="E877" s="23" t="n"/>
      <c r="F877" s="15" t="n"/>
      <c r="G877" s="23" t="n"/>
      <c r="H877" s="25" t="n"/>
      <c r="I877" s="15" t="n"/>
      <c r="J877" s="26">
        <f>IF($A877="","",LEN($C877)-LEN(SUBSTITUTE($C877,",",""))+1)</f>
        <v/>
      </c>
      <c r="K877" s="26">
        <f>IF($A877="","",SUMPRODUCT(--ISNUMBER(SEARCH('Category Dictionary'!$D$5:$D$135&amp;"",$C877)),--('Category Dictionary'!$D$5:$D$135&lt;&gt;"")))</f>
        <v/>
      </c>
      <c r="L877" s="27">
        <f>IF($A877="","",TRIM(IF(ISERROR(FIND(",",$C877)),$C877,LEFT($C877,FIND(",",$C877)-1))))</f>
        <v/>
      </c>
      <c r="M877" s="28">
        <f>IF($H877="","",DATE(YEAR($H877),MONTH($H877),1))</f>
        <v/>
      </c>
      <c r="N877" s="26">
        <f>IF($H877="","",TODAY()-$H877)</f>
        <v/>
      </c>
      <c r="O877" s="15" t="n"/>
      <c r="P877" s="15" t="n"/>
      <c r="Q877" s="15" t="n"/>
      <c r="R877" s="25" t="n"/>
      <c r="S877" s="26">
        <f>IF($A877="","",AND(OR('Assignment Builder'!$B$5="",$B877='Assignment Builder'!$B$5),OR('Assignment Builder'!$B$6="",ISNUMBER(SEARCH('Assignment Builder'!$B$6,$C877))),OR('Assignment Builder'!$B$7="",'Assignment Builder'!$B$7=IFERROR(INDEX('Category Dictionary'!$C$5:$C$135,MATCH($L877,'Category Dictionary'!$D$5:$D$135,0)),"")),OR('Assignment Builder'!$B$8="",$D877='Assignment Builder'!$B$8),OR('Assignment Builder'!$B$9="",$F877='Assignment Builder'!$B$9),OR('Assignment Builder'!$B$10="",$O877='Assignment Builder'!$B$10),OR('Assignment Builder'!$B$11="",$H877&gt;='Assignment Builder'!$B$11),OR('Assignment Builder'!$B$12="",N($Q877)&lt;='Assignment Builder'!$B$12)))</f>
        <v/>
      </c>
      <c r="T877" s="23" t="n"/>
    </row>
    <row r="878">
      <c r="A878" s="23" t="n"/>
      <c r="B878" s="23" t="n"/>
      <c r="C878" s="24" t="n"/>
      <c r="D878" s="15" t="n"/>
      <c r="E878" s="23" t="n"/>
      <c r="F878" s="15" t="n"/>
      <c r="G878" s="23" t="n"/>
      <c r="H878" s="25" t="n"/>
      <c r="I878" s="15" t="n"/>
      <c r="J878" s="26">
        <f>IF($A878="","",LEN($C878)-LEN(SUBSTITUTE($C878,",",""))+1)</f>
        <v/>
      </c>
      <c r="K878" s="26">
        <f>IF($A878="","",SUMPRODUCT(--ISNUMBER(SEARCH('Category Dictionary'!$D$5:$D$135&amp;"",$C878)),--('Category Dictionary'!$D$5:$D$135&lt;&gt;"")))</f>
        <v/>
      </c>
      <c r="L878" s="27">
        <f>IF($A878="","",TRIM(IF(ISERROR(FIND(",",$C878)),$C878,LEFT($C878,FIND(",",$C878)-1))))</f>
        <v/>
      </c>
      <c r="M878" s="28">
        <f>IF($H878="","",DATE(YEAR($H878),MONTH($H878),1))</f>
        <v/>
      </c>
      <c r="N878" s="26">
        <f>IF($H878="","",TODAY()-$H878)</f>
        <v/>
      </c>
      <c r="O878" s="15" t="n"/>
      <c r="P878" s="15" t="n"/>
      <c r="Q878" s="15" t="n"/>
      <c r="R878" s="25" t="n"/>
      <c r="S878" s="26">
        <f>IF($A878="","",AND(OR('Assignment Builder'!$B$5="",$B878='Assignment Builder'!$B$5),OR('Assignment Builder'!$B$6="",ISNUMBER(SEARCH('Assignment Builder'!$B$6,$C878))),OR('Assignment Builder'!$B$7="",'Assignment Builder'!$B$7=IFERROR(INDEX('Category Dictionary'!$C$5:$C$135,MATCH($L878,'Category Dictionary'!$D$5:$D$135,0)),"")),OR('Assignment Builder'!$B$8="",$D878='Assignment Builder'!$B$8),OR('Assignment Builder'!$B$9="",$F878='Assignment Builder'!$B$9),OR('Assignment Builder'!$B$10="",$O878='Assignment Builder'!$B$10),OR('Assignment Builder'!$B$11="",$H878&gt;='Assignment Builder'!$B$11),OR('Assignment Builder'!$B$12="",N($Q878)&lt;='Assignment Builder'!$B$12)))</f>
        <v/>
      </c>
      <c r="T878" s="23" t="n"/>
    </row>
    <row r="879">
      <c r="A879" s="23" t="n"/>
      <c r="B879" s="23" t="n"/>
      <c r="C879" s="24" t="n"/>
      <c r="D879" s="15" t="n"/>
      <c r="E879" s="23" t="n"/>
      <c r="F879" s="15" t="n"/>
      <c r="G879" s="23" t="n"/>
      <c r="H879" s="25" t="n"/>
      <c r="I879" s="15" t="n"/>
      <c r="J879" s="26">
        <f>IF($A879="","",LEN($C879)-LEN(SUBSTITUTE($C879,",",""))+1)</f>
        <v/>
      </c>
      <c r="K879" s="26">
        <f>IF($A879="","",SUMPRODUCT(--ISNUMBER(SEARCH('Category Dictionary'!$D$5:$D$135&amp;"",$C879)),--('Category Dictionary'!$D$5:$D$135&lt;&gt;"")))</f>
        <v/>
      </c>
      <c r="L879" s="27">
        <f>IF($A879="","",TRIM(IF(ISERROR(FIND(",",$C879)),$C879,LEFT($C879,FIND(",",$C879)-1))))</f>
        <v/>
      </c>
      <c r="M879" s="28">
        <f>IF($H879="","",DATE(YEAR($H879),MONTH($H879),1))</f>
        <v/>
      </c>
      <c r="N879" s="26">
        <f>IF($H879="","",TODAY()-$H879)</f>
        <v/>
      </c>
      <c r="O879" s="15" t="n"/>
      <c r="P879" s="15" t="n"/>
      <c r="Q879" s="15" t="n"/>
      <c r="R879" s="25" t="n"/>
      <c r="S879" s="26">
        <f>IF($A879="","",AND(OR('Assignment Builder'!$B$5="",$B879='Assignment Builder'!$B$5),OR('Assignment Builder'!$B$6="",ISNUMBER(SEARCH('Assignment Builder'!$B$6,$C879))),OR('Assignment Builder'!$B$7="",'Assignment Builder'!$B$7=IFERROR(INDEX('Category Dictionary'!$C$5:$C$135,MATCH($L879,'Category Dictionary'!$D$5:$D$135,0)),"")),OR('Assignment Builder'!$B$8="",$D879='Assignment Builder'!$B$8),OR('Assignment Builder'!$B$9="",$F879='Assignment Builder'!$B$9),OR('Assignment Builder'!$B$10="",$O879='Assignment Builder'!$B$10),OR('Assignment Builder'!$B$11="",$H879&gt;='Assignment Builder'!$B$11),OR('Assignment Builder'!$B$12="",N($Q879)&lt;='Assignment Builder'!$B$12)))</f>
        <v/>
      </c>
      <c r="T879" s="23" t="n"/>
    </row>
    <row r="880">
      <c r="A880" s="23" t="n"/>
      <c r="B880" s="23" t="n"/>
      <c r="C880" s="24" t="n"/>
      <c r="D880" s="15" t="n"/>
      <c r="E880" s="23" t="n"/>
      <c r="F880" s="15" t="n"/>
      <c r="G880" s="23" t="n"/>
      <c r="H880" s="25" t="n"/>
      <c r="I880" s="15" t="n"/>
      <c r="J880" s="26">
        <f>IF($A880="","",LEN($C880)-LEN(SUBSTITUTE($C880,",",""))+1)</f>
        <v/>
      </c>
      <c r="K880" s="26">
        <f>IF($A880="","",SUMPRODUCT(--ISNUMBER(SEARCH('Category Dictionary'!$D$5:$D$135&amp;"",$C880)),--('Category Dictionary'!$D$5:$D$135&lt;&gt;"")))</f>
        <v/>
      </c>
      <c r="L880" s="27">
        <f>IF($A880="","",TRIM(IF(ISERROR(FIND(",",$C880)),$C880,LEFT($C880,FIND(",",$C880)-1))))</f>
        <v/>
      </c>
      <c r="M880" s="28">
        <f>IF($H880="","",DATE(YEAR($H880),MONTH($H880),1))</f>
        <v/>
      </c>
      <c r="N880" s="26">
        <f>IF($H880="","",TODAY()-$H880)</f>
        <v/>
      </c>
      <c r="O880" s="15" t="n"/>
      <c r="P880" s="15" t="n"/>
      <c r="Q880" s="15" t="n"/>
      <c r="R880" s="25" t="n"/>
      <c r="S880" s="26">
        <f>IF($A880="","",AND(OR('Assignment Builder'!$B$5="",$B880='Assignment Builder'!$B$5),OR('Assignment Builder'!$B$6="",ISNUMBER(SEARCH('Assignment Builder'!$B$6,$C880))),OR('Assignment Builder'!$B$7="",'Assignment Builder'!$B$7=IFERROR(INDEX('Category Dictionary'!$C$5:$C$135,MATCH($L880,'Category Dictionary'!$D$5:$D$135,0)),"")),OR('Assignment Builder'!$B$8="",$D880='Assignment Builder'!$B$8),OR('Assignment Builder'!$B$9="",$F880='Assignment Builder'!$B$9),OR('Assignment Builder'!$B$10="",$O880='Assignment Builder'!$B$10),OR('Assignment Builder'!$B$11="",$H880&gt;='Assignment Builder'!$B$11),OR('Assignment Builder'!$B$12="",N($Q880)&lt;='Assignment Builder'!$B$12)))</f>
        <v/>
      </c>
      <c r="T880" s="23" t="n"/>
    </row>
    <row r="881">
      <c r="A881" s="23" t="n"/>
      <c r="B881" s="23" t="n"/>
      <c r="C881" s="24" t="n"/>
      <c r="D881" s="15" t="n"/>
      <c r="E881" s="23" t="n"/>
      <c r="F881" s="15" t="n"/>
      <c r="G881" s="23" t="n"/>
      <c r="H881" s="25" t="n"/>
      <c r="I881" s="15" t="n"/>
      <c r="J881" s="26">
        <f>IF($A881="","",LEN($C881)-LEN(SUBSTITUTE($C881,",",""))+1)</f>
        <v/>
      </c>
      <c r="K881" s="26">
        <f>IF($A881="","",SUMPRODUCT(--ISNUMBER(SEARCH('Category Dictionary'!$D$5:$D$135&amp;"",$C881)),--('Category Dictionary'!$D$5:$D$135&lt;&gt;"")))</f>
        <v/>
      </c>
      <c r="L881" s="27">
        <f>IF($A881="","",TRIM(IF(ISERROR(FIND(",",$C881)),$C881,LEFT($C881,FIND(",",$C881)-1))))</f>
        <v/>
      </c>
      <c r="M881" s="28">
        <f>IF($H881="","",DATE(YEAR($H881),MONTH($H881),1))</f>
        <v/>
      </c>
      <c r="N881" s="26">
        <f>IF($H881="","",TODAY()-$H881)</f>
        <v/>
      </c>
      <c r="O881" s="15" t="n"/>
      <c r="P881" s="15" t="n"/>
      <c r="Q881" s="15" t="n"/>
      <c r="R881" s="25" t="n"/>
      <c r="S881" s="26">
        <f>IF($A881="","",AND(OR('Assignment Builder'!$B$5="",$B881='Assignment Builder'!$B$5),OR('Assignment Builder'!$B$6="",ISNUMBER(SEARCH('Assignment Builder'!$B$6,$C881))),OR('Assignment Builder'!$B$7="",'Assignment Builder'!$B$7=IFERROR(INDEX('Category Dictionary'!$C$5:$C$135,MATCH($L881,'Category Dictionary'!$D$5:$D$135,0)),"")),OR('Assignment Builder'!$B$8="",$D881='Assignment Builder'!$B$8),OR('Assignment Builder'!$B$9="",$F881='Assignment Builder'!$B$9),OR('Assignment Builder'!$B$10="",$O881='Assignment Builder'!$B$10),OR('Assignment Builder'!$B$11="",$H881&gt;='Assignment Builder'!$B$11),OR('Assignment Builder'!$B$12="",N($Q881)&lt;='Assignment Builder'!$B$12)))</f>
        <v/>
      </c>
      <c r="T881" s="23" t="n"/>
    </row>
    <row r="882">
      <c r="A882" s="23" t="n"/>
      <c r="B882" s="23" t="n"/>
      <c r="C882" s="24" t="n"/>
      <c r="D882" s="15" t="n"/>
      <c r="E882" s="23" t="n"/>
      <c r="F882" s="15" t="n"/>
      <c r="G882" s="23" t="n"/>
      <c r="H882" s="25" t="n"/>
      <c r="I882" s="15" t="n"/>
      <c r="J882" s="26">
        <f>IF($A882="","",LEN($C882)-LEN(SUBSTITUTE($C882,",",""))+1)</f>
        <v/>
      </c>
      <c r="K882" s="26">
        <f>IF($A882="","",SUMPRODUCT(--ISNUMBER(SEARCH('Category Dictionary'!$D$5:$D$135&amp;"",$C882)),--('Category Dictionary'!$D$5:$D$135&lt;&gt;"")))</f>
        <v/>
      </c>
      <c r="L882" s="27">
        <f>IF($A882="","",TRIM(IF(ISERROR(FIND(",",$C882)),$C882,LEFT($C882,FIND(",",$C882)-1))))</f>
        <v/>
      </c>
      <c r="M882" s="28">
        <f>IF($H882="","",DATE(YEAR($H882),MONTH($H882),1))</f>
        <v/>
      </c>
      <c r="N882" s="26">
        <f>IF($H882="","",TODAY()-$H882)</f>
        <v/>
      </c>
      <c r="O882" s="15" t="n"/>
      <c r="P882" s="15" t="n"/>
      <c r="Q882" s="15" t="n"/>
      <c r="R882" s="25" t="n"/>
      <c r="S882" s="26">
        <f>IF($A882="","",AND(OR('Assignment Builder'!$B$5="",$B882='Assignment Builder'!$B$5),OR('Assignment Builder'!$B$6="",ISNUMBER(SEARCH('Assignment Builder'!$B$6,$C882))),OR('Assignment Builder'!$B$7="",'Assignment Builder'!$B$7=IFERROR(INDEX('Category Dictionary'!$C$5:$C$135,MATCH($L882,'Category Dictionary'!$D$5:$D$135,0)),"")),OR('Assignment Builder'!$B$8="",$D882='Assignment Builder'!$B$8),OR('Assignment Builder'!$B$9="",$F882='Assignment Builder'!$B$9),OR('Assignment Builder'!$B$10="",$O882='Assignment Builder'!$B$10),OR('Assignment Builder'!$B$11="",$H882&gt;='Assignment Builder'!$B$11),OR('Assignment Builder'!$B$12="",N($Q882)&lt;='Assignment Builder'!$B$12)))</f>
        <v/>
      </c>
      <c r="T882" s="23" t="n"/>
    </row>
    <row r="883">
      <c r="A883" s="23" t="n"/>
      <c r="B883" s="23" t="n"/>
      <c r="C883" s="24" t="n"/>
      <c r="D883" s="15" t="n"/>
      <c r="E883" s="23" t="n"/>
      <c r="F883" s="15" t="n"/>
      <c r="G883" s="23" t="n"/>
      <c r="H883" s="25" t="n"/>
      <c r="I883" s="15" t="n"/>
      <c r="J883" s="26">
        <f>IF($A883="","",LEN($C883)-LEN(SUBSTITUTE($C883,",",""))+1)</f>
        <v/>
      </c>
      <c r="K883" s="26">
        <f>IF($A883="","",SUMPRODUCT(--ISNUMBER(SEARCH('Category Dictionary'!$D$5:$D$135&amp;"",$C883)),--('Category Dictionary'!$D$5:$D$135&lt;&gt;"")))</f>
        <v/>
      </c>
      <c r="L883" s="27">
        <f>IF($A883="","",TRIM(IF(ISERROR(FIND(",",$C883)),$C883,LEFT($C883,FIND(",",$C883)-1))))</f>
        <v/>
      </c>
      <c r="M883" s="28">
        <f>IF($H883="","",DATE(YEAR($H883),MONTH($H883),1))</f>
        <v/>
      </c>
      <c r="N883" s="26">
        <f>IF($H883="","",TODAY()-$H883)</f>
        <v/>
      </c>
      <c r="O883" s="15" t="n"/>
      <c r="P883" s="15" t="n"/>
      <c r="Q883" s="15" t="n"/>
      <c r="R883" s="25" t="n"/>
      <c r="S883" s="26">
        <f>IF($A883="","",AND(OR('Assignment Builder'!$B$5="",$B883='Assignment Builder'!$B$5),OR('Assignment Builder'!$B$6="",ISNUMBER(SEARCH('Assignment Builder'!$B$6,$C883))),OR('Assignment Builder'!$B$7="",'Assignment Builder'!$B$7=IFERROR(INDEX('Category Dictionary'!$C$5:$C$135,MATCH($L883,'Category Dictionary'!$D$5:$D$135,0)),"")),OR('Assignment Builder'!$B$8="",$D883='Assignment Builder'!$B$8),OR('Assignment Builder'!$B$9="",$F883='Assignment Builder'!$B$9),OR('Assignment Builder'!$B$10="",$O883='Assignment Builder'!$B$10),OR('Assignment Builder'!$B$11="",$H883&gt;='Assignment Builder'!$B$11),OR('Assignment Builder'!$B$12="",N($Q883)&lt;='Assignment Builder'!$B$12)))</f>
        <v/>
      </c>
      <c r="T883" s="23" t="n"/>
    </row>
    <row r="884">
      <c r="A884" s="23" t="n"/>
      <c r="B884" s="23" t="n"/>
      <c r="C884" s="24" t="n"/>
      <c r="D884" s="15" t="n"/>
      <c r="E884" s="23" t="n"/>
      <c r="F884" s="15" t="n"/>
      <c r="G884" s="23" t="n"/>
      <c r="H884" s="25" t="n"/>
      <c r="I884" s="15" t="n"/>
      <c r="J884" s="26">
        <f>IF($A884="","",LEN($C884)-LEN(SUBSTITUTE($C884,",",""))+1)</f>
        <v/>
      </c>
      <c r="K884" s="26">
        <f>IF($A884="","",SUMPRODUCT(--ISNUMBER(SEARCH('Category Dictionary'!$D$5:$D$135&amp;"",$C884)),--('Category Dictionary'!$D$5:$D$135&lt;&gt;"")))</f>
        <v/>
      </c>
      <c r="L884" s="27">
        <f>IF($A884="","",TRIM(IF(ISERROR(FIND(",",$C884)),$C884,LEFT($C884,FIND(",",$C884)-1))))</f>
        <v/>
      </c>
      <c r="M884" s="28">
        <f>IF($H884="","",DATE(YEAR($H884),MONTH($H884),1))</f>
        <v/>
      </c>
      <c r="N884" s="26">
        <f>IF($H884="","",TODAY()-$H884)</f>
        <v/>
      </c>
      <c r="O884" s="15" t="n"/>
      <c r="P884" s="15" t="n"/>
      <c r="Q884" s="15" t="n"/>
      <c r="R884" s="25" t="n"/>
      <c r="S884" s="26">
        <f>IF($A884="","",AND(OR('Assignment Builder'!$B$5="",$B884='Assignment Builder'!$B$5),OR('Assignment Builder'!$B$6="",ISNUMBER(SEARCH('Assignment Builder'!$B$6,$C884))),OR('Assignment Builder'!$B$7="",'Assignment Builder'!$B$7=IFERROR(INDEX('Category Dictionary'!$C$5:$C$135,MATCH($L884,'Category Dictionary'!$D$5:$D$135,0)),"")),OR('Assignment Builder'!$B$8="",$D884='Assignment Builder'!$B$8),OR('Assignment Builder'!$B$9="",$F884='Assignment Builder'!$B$9),OR('Assignment Builder'!$B$10="",$O884='Assignment Builder'!$B$10),OR('Assignment Builder'!$B$11="",$H884&gt;='Assignment Builder'!$B$11),OR('Assignment Builder'!$B$12="",N($Q884)&lt;='Assignment Builder'!$B$12)))</f>
        <v/>
      </c>
      <c r="T884" s="23" t="n"/>
    </row>
    <row r="885">
      <c r="A885" s="23" t="n"/>
      <c r="B885" s="23" t="n"/>
      <c r="C885" s="24" t="n"/>
      <c r="D885" s="15" t="n"/>
      <c r="E885" s="23" t="n"/>
      <c r="F885" s="15" t="n"/>
      <c r="G885" s="23" t="n"/>
      <c r="H885" s="25" t="n"/>
      <c r="I885" s="15" t="n"/>
      <c r="J885" s="26">
        <f>IF($A885="","",LEN($C885)-LEN(SUBSTITUTE($C885,",",""))+1)</f>
        <v/>
      </c>
      <c r="K885" s="26">
        <f>IF($A885="","",SUMPRODUCT(--ISNUMBER(SEARCH('Category Dictionary'!$D$5:$D$135&amp;"",$C885)),--('Category Dictionary'!$D$5:$D$135&lt;&gt;"")))</f>
        <v/>
      </c>
      <c r="L885" s="27">
        <f>IF($A885="","",TRIM(IF(ISERROR(FIND(",",$C885)),$C885,LEFT($C885,FIND(",",$C885)-1))))</f>
        <v/>
      </c>
      <c r="M885" s="28">
        <f>IF($H885="","",DATE(YEAR($H885),MONTH($H885),1))</f>
        <v/>
      </c>
      <c r="N885" s="26">
        <f>IF($H885="","",TODAY()-$H885)</f>
        <v/>
      </c>
      <c r="O885" s="15" t="n"/>
      <c r="P885" s="15" t="n"/>
      <c r="Q885" s="15" t="n"/>
      <c r="R885" s="25" t="n"/>
      <c r="S885" s="26">
        <f>IF($A885="","",AND(OR('Assignment Builder'!$B$5="",$B885='Assignment Builder'!$B$5),OR('Assignment Builder'!$B$6="",ISNUMBER(SEARCH('Assignment Builder'!$B$6,$C885))),OR('Assignment Builder'!$B$7="",'Assignment Builder'!$B$7=IFERROR(INDEX('Category Dictionary'!$C$5:$C$135,MATCH($L885,'Category Dictionary'!$D$5:$D$135,0)),"")),OR('Assignment Builder'!$B$8="",$D885='Assignment Builder'!$B$8),OR('Assignment Builder'!$B$9="",$F885='Assignment Builder'!$B$9),OR('Assignment Builder'!$B$10="",$O885='Assignment Builder'!$B$10),OR('Assignment Builder'!$B$11="",$H885&gt;='Assignment Builder'!$B$11),OR('Assignment Builder'!$B$12="",N($Q885)&lt;='Assignment Builder'!$B$12)))</f>
        <v/>
      </c>
      <c r="T885" s="23" t="n"/>
    </row>
    <row r="886">
      <c r="A886" s="23" t="n"/>
      <c r="B886" s="23" t="n"/>
      <c r="C886" s="24" t="n"/>
      <c r="D886" s="15" t="n"/>
      <c r="E886" s="23" t="n"/>
      <c r="F886" s="15" t="n"/>
      <c r="G886" s="23" t="n"/>
      <c r="H886" s="25" t="n"/>
      <c r="I886" s="15" t="n"/>
      <c r="J886" s="26">
        <f>IF($A886="","",LEN($C886)-LEN(SUBSTITUTE($C886,",",""))+1)</f>
        <v/>
      </c>
      <c r="K886" s="26">
        <f>IF($A886="","",SUMPRODUCT(--ISNUMBER(SEARCH('Category Dictionary'!$D$5:$D$135&amp;"",$C886)),--('Category Dictionary'!$D$5:$D$135&lt;&gt;"")))</f>
        <v/>
      </c>
      <c r="L886" s="27">
        <f>IF($A886="","",TRIM(IF(ISERROR(FIND(",",$C886)),$C886,LEFT($C886,FIND(",",$C886)-1))))</f>
        <v/>
      </c>
      <c r="M886" s="28">
        <f>IF($H886="","",DATE(YEAR($H886),MONTH($H886),1))</f>
        <v/>
      </c>
      <c r="N886" s="26">
        <f>IF($H886="","",TODAY()-$H886)</f>
        <v/>
      </c>
      <c r="O886" s="15" t="n"/>
      <c r="P886" s="15" t="n"/>
      <c r="Q886" s="15" t="n"/>
      <c r="R886" s="25" t="n"/>
      <c r="S886" s="26">
        <f>IF($A886="","",AND(OR('Assignment Builder'!$B$5="",$B886='Assignment Builder'!$B$5),OR('Assignment Builder'!$B$6="",ISNUMBER(SEARCH('Assignment Builder'!$B$6,$C886))),OR('Assignment Builder'!$B$7="",'Assignment Builder'!$B$7=IFERROR(INDEX('Category Dictionary'!$C$5:$C$135,MATCH($L886,'Category Dictionary'!$D$5:$D$135,0)),"")),OR('Assignment Builder'!$B$8="",$D886='Assignment Builder'!$B$8),OR('Assignment Builder'!$B$9="",$F886='Assignment Builder'!$B$9),OR('Assignment Builder'!$B$10="",$O886='Assignment Builder'!$B$10),OR('Assignment Builder'!$B$11="",$H886&gt;='Assignment Builder'!$B$11),OR('Assignment Builder'!$B$12="",N($Q886)&lt;='Assignment Builder'!$B$12)))</f>
        <v/>
      </c>
      <c r="T886" s="23" t="n"/>
    </row>
    <row r="887">
      <c r="A887" s="23" t="n"/>
      <c r="B887" s="23" t="n"/>
      <c r="C887" s="24" t="n"/>
      <c r="D887" s="15" t="n"/>
      <c r="E887" s="23" t="n"/>
      <c r="F887" s="15" t="n"/>
      <c r="G887" s="23" t="n"/>
      <c r="H887" s="25" t="n"/>
      <c r="I887" s="15" t="n"/>
      <c r="J887" s="26">
        <f>IF($A887="","",LEN($C887)-LEN(SUBSTITUTE($C887,",",""))+1)</f>
        <v/>
      </c>
      <c r="K887" s="26">
        <f>IF($A887="","",SUMPRODUCT(--ISNUMBER(SEARCH('Category Dictionary'!$D$5:$D$135&amp;"",$C887)),--('Category Dictionary'!$D$5:$D$135&lt;&gt;"")))</f>
        <v/>
      </c>
      <c r="L887" s="27">
        <f>IF($A887="","",TRIM(IF(ISERROR(FIND(",",$C887)),$C887,LEFT($C887,FIND(",",$C887)-1))))</f>
        <v/>
      </c>
      <c r="M887" s="28">
        <f>IF($H887="","",DATE(YEAR($H887),MONTH($H887),1))</f>
        <v/>
      </c>
      <c r="N887" s="26">
        <f>IF($H887="","",TODAY()-$H887)</f>
        <v/>
      </c>
      <c r="O887" s="15" t="n"/>
      <c r="P887" s="15" t="n"/>
      <c r="Q887" s="15" t="n"/>
      <c r="R887" s="25" t="n"/>
      <c r="S887" s="26">
        <f>IF($A887="","",AND(OR('Assignment Builder'!$B$5="",$B887='Assignment Builder'!$B$5),OR('Assignment Builder'!$B$6="",ISNUMBER(SEARCH('Assignment Builder'!$B$6,$C887))),OR('Assignment Builder'!$B$7="",'Assignment Builder'!$B$7=IFERROR(INDEX('Category Dictionary'!$C$5:$C$135,MATCH($L887,'Category Dictionary'!$D$5:$D$135,0)),"")),OR('Assignment Builder'!$B$8="",$D887='Assignment Builder'!$B$8),OR('Assignment Builder'!$B$9="",$F887='Assignment Builder'!$B$9),OR('Assignment Builder'!$B$10="",$O887='Assignment Builder'!$B$10),OR('Assignment Builder'!$B$11="",$H887&gt;='Assignment Builder'!$B$11),OR('Assignment Builder'!$B$12="",N($Q887)&lt;='Assignment Builder'!$B$12)))</f>
        <v/>
      </c>
      <c r="T887" s="23" t="n"/>
    </row>
    <row r="888">
      <c r="A888" s="23" t="n"/>
      <c r="B888" s="23" t="n"/>
      <c r="C888" s="24" t="n"/>
      <c r="D888" s="15" t="n"/>
      <c r="E888" s="23" t="n"/>
      <c r="F888" s="15" t="n"/>
      <c r="G888" s="23" t="n"/>
      <c r="H888" s="25" t="n"/>
      <c r="I888" s="15" t="n"/>
      <c r="J888" s="26">
        <f>IF($A888="","",LEN($C888)-LEN(SUBSTITUTE($C888,",",""))+1)</f>
        <v/>
      </c>
      <c r="K888" s="26">
        <f>IF($A888="","",SUMPRODUCT(--ISNUMBER(SEARCH('Category Dictionary'!$D$5:$D$135&amp;"",$C888)),--('Category Dictionary'!$D$5:$D$135&lt;&gt;"")))</f>
        <v/>
      </c>
      <c r="L888" s="27">
        <f>IF($A888="","",TRIM(IF(ISERROR(FIND(",",$C888)),$C888,LEFT($C888,FIND(",",$C888)-1))))</f>
        <v/>
      </c>
      <c r="M888" s="28">
        <f>IF($H888="","",DATE(YEAR($H888),MONTH($H888),1))</f>
        <v/>
      </c>
      <c r="N888" s="26">
        <f>IF($H888="","",TODAY()-$H888)</f>
        <v/>
      </c>
      <c r="O888" s="15" t="n"/>
      <c r="P888" s="15" t="n"/>
      <c r="Q888" s="15" t="n"/>
      <c r="R888" s="25" t="n"/>
      <c r="S888" s="26">
        <f>IF($A888="","",AND(OR('Assignment Builder'!$B$5="",$B888='Assignment Builder'!$B$5),OR('Assignment Builder'!$B$6="",ISNUMBER(SEARCH('Assignment Builder'!$B$6,$C888))),OR('Assignment Builder'!$B$7="",'Assignment Builder'!$B$7=IFERROR(INDEX('Category Dictionary'!$C$5:$C$135,MATCH($L888,'Category Dictionary'!$D$5:$D$135,0)),"")),OR('Assignment Builder'!$B$8="",$D888='Assignment Builder'!$B$8),OR('Assignment Builder'!$B$9="",$F888='Assignment Builder'!$B$9),OR('Assignment Builder'!$B$10="",$O888='Assignment Builder'!$B$10),OR('Assignment Builder'!$B$11="",$H888&gt;='Assignment Builder'!$B$11),OR('Assignment Builder'!$B$12="",N($Q888)&lt;='Assignment Builder'!$B$12)))</f>
        <v/>
      </c>
      <c r="T888" s="23" t="n"/>
    </row>
    <row r="889">
      <c r="A889" s="23" t="n"/>
      <c r="B889" s="23" t="n"/>
      <c r="C889" s="24" t="n"/>
      <c r="D889" s="15" t="n"/>
      <c r="E889" s="23" t="n"/>
      <c r="F889" s="15" t="n"/>
      <c r="G889" s="23" t="n"/>
      <c r="H889" s="25" t="n"/>
      <c r="I889" s="15" t="n"/>
      <c r="J889" s="26">
        <f>IF($A889="","",LEN($C889)-LEN(SUBSTITUTE($C889,",",""))+1)</f>
        <v/>
      </c>
      <c r="K889" s="26">
        <f>IF($A889="","",SUMPRODUCT(--ISNUMBER(SEARCH('Category Dictionary'!$D$5:$D$135&amp;"",$C889)),--('Category Dictionary'!$D$5:$D$135&lt;&gt;"")))</f>
        <v/>
      </c>
      <c r="L889" s="27">
        <f>IF($A889="","",TRIM(IF(ISERROR(FIND(",",$C889)),$C889,LEFT($C889,FIND(",",$C889)-1))))</f>
        <v/>
      </c>
      <c r="M889" s="28">
        <f>IF($H889="","",DATE(YEAR($H889),MONTH($H889),1))</f>
        <v/>
      </c>
      <c r="N889" s="26">
        <f>IF($H889="","",TODAY()-$H889)</f>
        <v/>
      </c>
      <c r="O889" s="15" t="n"/>
      <c r="P889" s="15" t="n"/>
      <c r="Q889" s="15" t="n"/>
      <c r="R889" s="25" t="n"/>
      <c r="S889" s="26">
        <f>IF($A889="","",AND(OR('Assignment Builder'!$B$5="",$B889='Assignment Builder'!$B$5),OR('Assignment Builder'!$B$6="",ISNUMBER(SEARCH('Assignment Builder'!$B$6,$C889))),OR('Assignment Builder'!$B$7="",'Assignment Builder'!$B$7=IFERROR(INDEX('Category Dictionary'!$C$5:$C$135,MATCH($L889,'Category Dictionary'!$D$5:$D$135,0)),"")),OR('Assignment Builder'!$B$8="",$D889='Assignment Builder'!$B$8),OR('Assignment Builder'!$B$9="",$F889='Assignment Builder'!$B$9),OR('Assignment Builder'!$B$10="",$O889='Assignment Builder'!$B$10),OR('Assignment Builder'!$B$11="",$H889&gt;='Assignment Builder'!$B$11),OR('Assignment Builder'!$B$12="",N($Q889)&lt;='Assignment Builder'!$B$12)))</f>
        <v/>
      </c>
      <c r="T889" s="23" t="n"/>
    </row>
    <row r="890">
      <c r="A890" s="23" t="n"/>
      <c r="B890" s="23" t="n"/>
      <c r="C890" s="24" t="n"/>
      <c r="D890" s="15" t="n"/>
      <c r="E890" s="23" t="n"/>
      <c r="F890" s="15" t="n"/>
      <c r="G890" s="23" t="n"/>
      <c r="H890" s="25" t="n"/>
      <c r="I890" s="15" t="n"/>
      <c r="J890" s="26">
        <f>IF($A890="","",LEN($C890)-LEN(SUBSTITUTE($C890,",",""))+1)</f>
        <v/>
      </c>
      <c r="K890" s="26">
        <f>IF($A890="","",SUMPRODUCT(--ISNUMBER(SEARCH('Category Dictionary'!$D$5:$D$135&amp;"",$C890)),--('Category Dictionary'!$D$5:$D$135&lt;&gt;"")))</f>
        <v/>
      </c>
      <c r="L890" s="27">
        <f>IF($A890="","",TRIM(IF(ISERROR(FIND(",",$C890)),$C890,LEFT($C890,FIND(",",$C890)-1))))</f>
        <v/>
      </c>
      <c r="M890" s="28">
        <f>IF($H890="","",DATE(YEAR($H890),MONTH($H890),1))</f>
        <v/>
      </c>
      <c r="N890" s="26">
        <f>IF($H890="","",TODAY()-$H890)</f>
        <v/>
      </c>
      <c r="O890" s="15" t="n"/>
      <c r="P890" s="15" t="n"/>
      <c r="Q890" s="15" t="n"/>
      <c r="R890" s="25" t="n"/>
      <c r="S890" s="26">
        <f>IF($A890="","",AND(OR('Assignment Builder'!$B$5="",$B890='Assignment Builder'!$B$5),OR('Assignment Builder'!$B$6="",ISNUMBER(SEARCH('Assignment Builder'!$B$6,$C890))),OR('Assignment Builder'!$B$7="",'Assignment Builder'!$B$7=IFERROR(INDEX('Category Dictionary'!$C$5:$C$135,MATCH($L890,'Category Dictionary'!$D$5:$D$135,0)),"")),OR('Assignment Builder'!$B$8="",$D890='Assignment Builder'!$B$8),OR('Assignment Builder'!$B$9="",$F890='Assignment Builder'!$B$9),OR('Assignment Builder'!$B$10="",$O890='Assignment Builder'!$B$10),OR('Assignment Builder'!$B$11="",$H890&gt;='Assignment Builder'!$B$11),OR('Assignment Builder'!$B$12="",N($Q890)&lt;='Assignment Builder'!$B$12)))</f>
        <v/>
      </c>
      <c r="T890" s="23" t="n"/>
    </row>
    <row r="891">
      <c r="A891" s="23" t="n"/>
      <c r="B891" s="23" t="n"/>
      <c r="C891" s="24" t="n"/>
      <c r="D891" s="15" t="n"/>
      <c r="E891" s="23" t="n"/>
      <c r="F891" s="15" t="n"/>
      <c r="G891" s="23" t="n"/>
      <c r="H891" s="25" t="n"/>
      <c r="I891" s="15" t="n"/>
      <c r="J891" s="26">
        <f>IF($A891="","",LEN($C891)-LEN(SUBSTITUTE($C891,",",""))+1)</f>
        <v/>
      </c>
      <c r="K891" s="26">
        <f>IF($A891="","",SUMPRODUCT(--ISNUMBER(SEARCH('Category Dictionary'!$D$5:$D$135&amp;"",$C891)),--('Category Dictionary'!$D$5:$D$135&lt;&gt;"")))</f>
        <v/>
      </c>
      <c r="L891" s="27">
        <f>IF($A891="","",TRIM(IF(ISERROR(FIND(",",$C891)),$C891,LEFT($C891,FIND(",",$C891)-1))))</f>
        <v/>
      </c>
      <c r="M891" s="28">
        <f>IF($H891="","",DATE(YEAR($H891),MONTH($H891),1))</f>
        <v/>
      </c>
      <c r="N891" s="26">
        <f>IF($H891="","",TODAY()-$H891)</f>
        <v/>
      </c>
      <c r="O891" s="15" t="n"/>
      <c r="P891" s="15" t="n"/>
      <c r="Q891" s="15" t="n"/>
      <c r="R891" s="25" t="n"/>
      <c r="S891" s="26">
        <f>IF($A891="","",AND(OR('Assignment Builder'!$B$5="",$B891='Assignment Builder'!$B$5),OR('Assignment Builder'!$B$6="",ISNUMBER(SEARCH('Assignment Builder'!$B$6,$C891))),OR('Assignment Builder'!$B$7="",'Assignment Builder'!$B$7=IFERROR(INDEX('Category Dictionary'!$C$5:$C$135,MATCH($L891,'Category Dictionary'!$D$5:$D$135,0)),"")),OR('Assignment Builder'!$B$8="",$D891='Assignment Builder'!$B$8),OR('Assignment Builder'!$B$9="",$F891='Assignment Builder'!$B$9),OR('Assignment Builder'!$B$10="",$O891='Assignment Builder'!$B$10),OR('Assignment Builder'!$B$11="",$H891&gt;='Assignment Builder'!$B$11),OR('Assignment Builder'!$B$12="",N($Q891)&lt;='Assignment Builder'!$B$12)))</f>
        <v/>
      </c>
      <c r="T891" s="23" t="n"/>
    </row>
    <row r="892">
      <c r="A892" s="23" t="n"/>
      <c r="B892" s="23" t="n"/>
      <c r="C892" s="24" t="n"/>
      <c r="D892" s="15" t="n"/>
      <c r="E892" s="23" t="n"/>
      <c r="F892" s="15" t="n"/>
      <c r="G892" s="23" t="n"/>
      <c r="H892" s="25" t="n"/>
      <c r="I892" s="15" t="n"/>
      <c r="J892" s="26">
        <f>IF($A892="","",LEN($C892)-LEN(SUBSTITUTE($C892,",",""))+1)</f>
        <v/>
      </c>
      <c r="K892" s="26">
        <f>IF($A892="","",SUMPRODUCT(--ISNUMBER(SEARCH('Category Dictionary'!$D$5:$D$135&amp;"",$C892)),--('Category Dictionary'!$D$5:$D$135&lt;&gt;"")))</f>
        <v/>
      </c>
      <c r="L892" s="27">
        <f>IF($A892="","",TRIM(IF(ISERROR(FIND(",",$C892)),$C892,LEFT($C892,FIND(",",$C892)-1))))</f>
        <v/>
      </c>
      <c r="M892" s="28">
        <f>IF($H892="","",DATE(YEAR($H892),MONTH($H892),1))</f>
        <v/>
      </c>
      <c r="N892" s="26">
        <f>IF($H892="","",TODAY()-$H892)</f>
        <v/>
      </c>
      <c r="O892" s="15" t="n"/>
      <c r="P892" s="15" t="n"/>
      <c r="Q892" s="15" t="n"/>
      <c r="R892" s="25" t="n"/>
      <c r="S892" s="26">
        <f>IF($A892="","",AND(OR('Assignment Builder'!$B$5="",$B892='Assignment Builder'!$B$5),OR('Assignment Builder'!$B$6="",ISNUMBER(SEARCH('Assignment Builder'!$B$6,$C892))),OR('Assignment Builder'!$B$7="",'Assignment Builder'!$B$7=IFERROR(INDEX('Category Dictionary'!$C$5:$C$135,MATCH($L892,'Category Dictionary'!$D$5:$D$135,0)),"")),OR('Assignment Builder'!$B$8="",$D892='Assignment Builder'!$B$8),OR('Assignment Builder'!$B$9="",$F892='Assignment Builder'!$B$9),OR('Assignment Builder'!$B$10="",$O892='Assignment Builder'!$B$10),OR('Assignment Builder'!$B$11="",$H892&gt;='Assignment Builder'!$B$11),OR('Assignment Builder'!$B$12="",N($Q892)&lt;='Assignment Builder'!$B$12)))</f>
        <v/>
      </c>
      <c r="T892" s="23" t="n"/>
    </row>
    <row r="893">
      <c r="A893" s="23" t="n"/>
      <c r="B893" s="23" t="n"/>
      <c r="C893" s="24" t="n"/>
      <c r="D893" s="15" t="n"/>
      <c r="E893" s="23" t="n"/>
      <c r="F893" s="15" t="n"/>
      <c r="G893" s="23" t="n"/>
      <c r="H893" s="25" t="n"/>
      <c r="I893" s="15" t="n"/>
      <c r="J893" s="26">
        <f>IF($A893="","",LEN($C893)-LEN(SUBSTITUTE($C893,",",""))+1)</f>
        <v/>
      </c>
      <c r="K893" s="26">
        <f>IF($A893="","",SUMPRODUCT(--ISNUMBER(SEARCH('Category Dictionary'!$D$5:$D$135&amp;"",$C893)),--('Category Dictionary'!$D$5:$D$135&lt;&gt;"")))</f>
        <v/>
      </c>
      <c r="L893" s="27">
        <f>IF($A893="","",TRIM(IF(ISERROR(FIND(",",$C893)),$C893,LEFT($C893,FIND(",",$C893)-1))))</f>
        <v/>
      </c>
      <c r="M893" s="28">
        <f>IF($H893="","",DATE(YEAR($H893),MONTH($H893),1))</f>
        <v/>
      </c>
      <c r="N893" s="26">
        <f>IF($H893="","",TODAY()-$H893)</f>
        <v/>
      </c>
      <c r="O893" s="15" t="n"/>
      <c r="P893" s="15" t="n"/>
      <c r="Q893" s="15" t="n"/>
      <c r="R893" s="25" t="n"/>
      <c r="S893" s="26">
        <f>IF($A893="","",AND(OR('Assignment Builder'!$B$5="",$B893='Assignment Builder'!$B$5),OR('Assignment Builder'!$B$6="",ISNUMBER(SEARCH('Assignment Builder'!$B$6,$C893))),OR('Assignment Builder'!$B$7="",'Assignment Builder'!$B$7=IFERROR(INDEX('Category Dictionary'!$C$5:$C$135,MATCH($L893,'Category Dictionary'!$D$5:$D$135,0)),"")),OR('Assignment Builder'!$B$8="",$D893='Assignment Builder'!$B$8),OR('Assignment Builder'!$B$9="",$F893='Assignment Builder'!$B$9),OR('Assignment Builder'!$B$10="",$O893='Assignment Builder'!$B$10),OR('Assignment Builder'!$B$11="",$H893&gt;='Assignment Builder'!$B$11),OR('Assignment Builder'!$B$12="",N($Q893)&lt;='Assignment Builder'!$B$12)))</f>
        <v/>
      </c>
      <c r="T893" s="23" t="n"/>
    </row>
    <row r="894">
      <c r="A894" s="23" t="n"/>
      <c r="B894" s="23" t="n"/>
      <c r="C894" s="24" t="n"/>
      <c r="D894" s="15" t="n"/>
      <c r="E894" s="23" t="n"/>
      <c r="F894" s="15" t="n"/>
      <c r="G894" s="23" t="n"/>
      <c r="H894" s="25" t="n"/>
      <c r="I894" s="15" t="n"/>
      <c r="J894" s="26">
        <f>IF($A894="","",LEN($C894)-LEN(SUBSTITUTE($C894,",",""))+1)</f>
        <v/>
      </c>
      <c r="K894" s="26">
        <f>IF($A894="","",SUMPRODUCT(--ISNUMBER(SEARCH('Category Dictionary'!$D$5:$D$135&amp;"",$C894)),--('Category Dictionary'!$D$5:$D$135&lt;&gt;"")))</f>
        <v/>
      </c>
      <c r="L894" s="27">
        <f>IF($A894="","",TRIM(IF(ISERROR(FIND(",",$C894)),$C894,LEFT($C894,FIND(",",$C894)-1))))</f>
        <v/>
      </c>
      <c r="M894" s="28">
        <f>IF($H894="","",DATE(YEAR($H894),MONTH($H894),1))</f>
        <v/>
      </c>
      <c r="N894" s="26">
        <f>IF($H894="","",TODAY()-$H894)</f>
        <v/>
      </c>
      <c r="O894" s="15" t="n"/>
      <c r="P894" s="15" t="n"/>
      <c r="Q894" s="15" t="n"/>
      <c r="R894" s="25" t="n"/>
      <c r="S894" s="26">
        <f>IF($A894="","",AND(OR('Assignment Builder'!$B$5="",$B894='Assignment Builder'!$B$5),OR('Assignment Builder'!$B$6="",ISNUMBER(SEARCH('Assignment Builder'!$B$6,$C894))),OR('Assignment Builder'!$B$7="",'Assignment Builder'!$B$7=IFERROR(INDEX('Category Dictionary'!$C$5:$C$135,MATCH($L894,'Category Dictionary'!$D$5:$D$135,0)),"")),OR('Assignment Builder'!$B$8="",$D894='Assignment Builder'!$B$8),OR('Assignment Builder'!$B$9="",$F894='Assignment Builder'!$B$9),OR('Assignment Builder'!$B$10="",$O894='Assignment Builder'!$B$10),OR('Assignment Builder'!$B$11="",$H894&gt;='Assignment Builder'!$B$11),OR('Assignment Builder'!$B$12="",N($Q894)&lt;='Assignment Builder'!$B$12)))</f>
        <v/>
      </c>
      <c r="T894" s="23" t="n"/>
    </row>
    <row r="895">
      <c r="A895" s="23" t="n"/>
      <c r="B895" s="23" t="n"/>
      <c r="C895" s="24" t="n"/>
      <c r="D895" s="15" t="n"/>
      <c r="E895" s="23" t="n"/>
      <c r="F895" s="15" t="n"/>
      <c r="G895" s="23" t="n"/>
      <c r="H895" s="25" t="n"/>
      <c r="I895" s="15" t="n"/>
      <c r="J895" s="26">
        <f>IF($A895="","",LEN($C895)-LEN(SUBSTITUTE($C895,",",""))+1)</f>
        <v/>
      </c>
      <c r="K895" s="26">
        <f>IF($A895="","",SUMPRODUCT(--ISNUMBER(SEARCH('Category Dictionary'!$D$5:$D$135&amp;"",$C895)),--('Category Dictionary'!$D$5:$D$135&lt;&gt;"")))</f>
        <v/>
      </c>
      <c r="L895" s="27">
        <f>IF($A895="","",TRIM(IF(ISERROR(FIND(",",$C895)),$C895,LEFT($C895,FIND(",",$C895)-1))))</f>
        <v/>
      </c>
      <c r="M895" s="28">
        <f>IF($H895="","",DATE(YEAR($H895),MONTH($H895),1))</f>
        <v/>
      </c>
      <c r="N895" s="26">
        <f>IF($H895="","",TODAY()-$H895)</f>
        <v/>
      </c>
      <c r="O895" s="15" t="n"/>
      <c r="P895" s="15" t="n"/>
      <c r="Q895" s="15" t="n"/>
      <c r="R895" s="25" t="n"/>
      <c r="S895" s="26">
        <f>IF($A895="","",AND(OR('Assignment Builder'!$B$5="",$B895='Assignment Builder'!$B$5),OR('Assignment Builder'!$B$6="",ISNUMBER(SEARCH('Assignment Builder'!$B$6,$C895))),OR('Assignment Builder'!$B$7="",'Assignment Builder'!$B$7=IFERROR(INDEX('Category Dictionary'!$C$5:$C$135,MATCH($L895,'Category Dictionary'!$D$5:$D$135,0)),"")),OR('Assignment Builder'!$B$8="",$D895='Assignment Builder'!$B$8),OR('Assignment Builder'!$B$9="",$F895='Assignment Builder'!$B$9),OR('Assignment Builder'!$B$10="",$O895='Assignment Builder'!$B$10),OR('Assignment Builder'!$B$11="",$H895&gt;='Assignment Builder'!$B$11),OR('Assignment Builder'!$B$12="",N($Q895)&lt;='Assignment Builder'!$B$12)))</f>
        <v/>
      </c>
      <c r="T895" s="23" t="n"/>
    </row>
    <row r="896">
      <c r="A896" s="23" t="n"/>
      <c r="B896" s="23" t="n"/>
      <c r="C896" s="24" t="n"/>
      <c r="D896" s="15" t="n"/>
      <c r="E896" s="23" t="n"/>
      <c r="F896" s="15" t="n"/>
      <c r="G896" s="23" t="n"/>
      <c r="H896" s="25" t="n"/>
      <c r="I896" s="15" t="n"/>
      <c r="J896" s="26">
        <f>IF($A896="","",LEN($C896)-LEN(SUBSTITUTE($C896,",",""))+1)</f>
        <v/>
      </c>
      <c r="K896" s="26">
        <f>IF($A896="","",SUMPRODUCT(--ISNUMBER(SEARCH('Category Dictionary'!$D$5:$D$135&amp;"",$C896)),--('Category Dictionary'!$D$5:$D$135&lt;&gt;"")))</f>
        <v/>
      </c>
      <c r="L896" s="27">
        <f>IF($A896="","",TRIM(IF(ISERROR(FIND(",",$C896)),$C896,LEFT($C896,FIND(",",$C896)-1))))</f>
        <v/>
      </c>
      <c r="M896" s="28">
        <f>IF($H896="","",DATE(YEAR($H896),MONTH($H896),1))</f>
        <v/>
      </c>
      <c r="N896" s="26">
        <f>IF($H896="","",TODAY()-$H896)</f>
        <v/>
      </c>
      <c r="O896" s="15" t="n"/>
      <c r="P896" s="15" t="n"/>
      <c r="Q896" s="15" t="n"/>
      <c r="R896" s="25" t="n"/>
      <c r="S896" s="26">
        <f>IF($A896="","",AND(OR('Assignment Builder'!$B$5="",$B896='Assignment Builder'!$B$5),OR('Assignment Builder'!$B$6="",ISNUMBER(SEARCH('Assignment Builder'!$B$6,$C896))),OR('Assignment Builder'!$B$7="",'Assignment Builder'!$B$7=IFERROR(INDEX('Category Dictionary'!$C$5:$C$135,MATCH($L896,'Category Dictionary'!$D$5:$D$135,0)),"")),OR('Assignment Builder'!$B$8="",$D896='Assignment Builder'!$B$8),OR('Assignment Builder'!$B$9="",$F896='Assignment Builder'!$B$9),OR('Assignment Builder'!$B$10="",$O896='Assignment Builder'!$B$10),OR('Assignment Builder'!$B$11="",$H896&gt;='Assignment Builder'!$B$11),OR('Assignment Builder'!$B$12="",N($Q896)&lt;='Assignment Builder'!$B$12)))</f>
        <v/>
      </c>
      <c r="T896" s="23" t="n"/>
    </row>
    <row r="897">
      <c r="A897" s="23" t="n"/>
      <c r="B897" s="23" t="n"/>
      <c r="C897" s="24" t="n"/>
      <c r="D897" s="15" t="n"/>
      <c r="E897" s="23" t="n"/>
      <c r="F897" s="15" t="n"/>
      <c r="G897" s="23" t="n"/>
      <c r="H897" s="25" t="n"/>
      <c r="I897" s="15" t="n"/>
      <c r="J897" s="26">
        <f>IF($A897="","",LEN($C897)-LEN(SUBSTITUTE($C897,",",""))+1)</f>
        <v/>
      </c>
      <c r="K897" s="26">
        <f>IF($A897="","",SUMPRODUCT(--ISNUMBER(SEARCH('Category Dictionary'!$D$5:$D$135&amp;"",$C897)),--('Category Dictionary'!$D$5:$D$135&lt;&gt;"")))</f>
        <v/>
      </c>
      <c r="L897" s="27">
        <f>IF($A897="","",TRIM(IF(ISERROR(FIND(",",$C897)),$C897,LEFT($C897,FIND(",",$C897)-1))))</f>
        <v/>
      </c>
      <c r="M897" s="28">
        <f>IF($H897="","",DATE(YEAR($H897),MONTH($H897),1))</f>
        <v/>
      </c>
      <c r="N897" s="26">
        <f>IF($H897="","",TODAY()-$H897)</f>
        <v/>
      </c>
      <c r="O897" s="15" t="n"/>
      <c r="P897" s="15" t="n"/>
      <c r="Q897" s="15" t="n"/>
      <c r="R897" s="25" t="n"/>
      <c r="S897" s="26">
        <f>IF($A897="","",AND(OR('Assignment Builder'!$B$5="",$B897='Assignment Builder'!$B$5),OR('Assignment Builder'!$B$6="",ISNUMBER(SEARCH('Assignment Builder'!$B$6,$C897))),OR('Assignment Builder'!$B$7="",'Assignment Builder'!$B$7=IFERROR(INDEX('Category Dictionary'!$C$5:$C$135,MATCH($L897,'Category Dictionary'!$D$5:$D$135,0)),"")),OR('Assignment Builder'!$B$8="",$D897='Assignment Builder'!$B$8),OR('Assignment Builder'!$B$9="",$F897='Assignment Builder'!$B$9),OR('Assignment Builder'!$B$10="",$O897='Assignment Builder'!$B$10),OR('Assignment Builder'!$B$11="",$H897&gt;='Assignment Builder'!$B$11),OR('Assignment Builder'!$B$12="",N($Q897)&lt;='Assignment Builder'!$B$12)))</f>
        <v/>
      </c>
      <c r="T897" s="23" t="n"/>
    </row>
    <row r="898">
      <c r="A898" s="23" t="n"/>
      <c r="B898" s="23" t="n"/>
      <c r="C898" s="24" t="n"/>
      <c r="D898" s="15" t="n"/>
      <c r="E898" s="23" t="n"/>
      <c r="F898" s="15" t="n"/>
      <c r="G898" s="23" t="n"/>
      <c r="H898" s="25" t="n"/>
      <c r="I898" s="15" t="n"/>
      <c r="J898" s="26">
        <f>IF($A898="","",LEN($C898)-LEN(SUBSTITUTE($C898,",",""))+1)</f>
        <v/>
      </c>
      <c r="K898" s="26">
        <f>IF($A898="","",SUMPRODUCT(--ISNUMBER(SEARCH('Category Dictionary'!$D$5:$D$135&amp;"",$C898)),--('Category Dictionary'!$D$5:$D$135&lt;&gt;"")))</f>
        <v/>
      </c>
      <c r="L898" s="27">
        <f>IF($A898="","",TRIM(IF(ISERROR(FIND(",",$C898)),$C898,LEFT($C898,FIND(",",$C898)-1))))</f>
        <v/>
      </c>
      <c r="M898" s="28">
        <f>IF($H898="","",DATE(YEAR($H898),MONTH($H898),1))</f>
        <v/>
      </c>
      <c r="N898" s="26">
        <f>IF($H898="","",TODAY()-$H898)</f>
        <v/>
      </c>
      <c r="O898" s="15" t="n"/>
      <c r="P898" s="15" t="n"/>
      <c r="Q898" s="15" t="n"/>
      <c r="R898" s="25" t="n"/>
      <c r="S898" s="26">
        <f>IF($A898="","",AND(OR('Assignment Builder'!$B$5="",$B898='Assignment Builder'!$B$5),OR('Assignment Builder'!$B$6="",ISNUMBER(SEARCH('Assignment Builder'!$B$6,$C898))),OR('Assignment Builder'!$B$7="",'Assignment Builder'!$B$7=IFERROR(INDEX('Category Dictionary'!$C$5:$C$135,MATCH($L898,'Category Dictionary'!$D$5:$D$135,0)),"")),OR('Assignment Builder'!$B$8="",$D898='Assignment Builder'!$B$8),OR('Assignment Builder'!$B$9="",$F898='Assignment Builder'!$B$9),OR('Assignment Builder'!$B$10="",$O898='Assignment Builder'!$B$10),OR('Assignment Builder'!$B$11="",$H898&gt;='Assignment Builder'!$B$11),OR('Assignment Builder'!$B$12="",N($Q898)&lt;='Assignment Builder'!$B$12)))</f>
        <v/>
      </c>
      <c r="T898" s="23" t="n"/>
    </row>
    <row r="899">
      <c r="A899" s="23" t="n"/>
      <c r="B899" s="23" t="n"/>
      <c r="C899" s="24" t="n"/>
      <c r="D899" s="15" t="n"/>
      <c r="E899" s="23" t="n"/>
      <c r="F899" s="15" t="n"/>
      <c r="G899" s="23" t="n"/>
      <c r="H899" s="25" t="n"/>
      <c r="I899" s="15" t="n"/>
      <c r="J899" s="26">
        <f>IF($A899="","",LEN($C899)-LEN(SUBSTITUTE($C899,",",""))+1)</f>
        <v/>
      </c>
      <c r="K899" s="26">
        <f>IF($A899="","",SUMPRODUCT(--ISNUMBER(SEARCH('Category Dictionary'!$D$5:$D$135&amp;"",$C899)),--('Category Dictionary'!$D$5:$D$135&lt;&gt;"")))</f>
        <v/>
      </c>
      <c r="L899" s="27">
        <f>IF($A899="","",TRIM(IF(ISERROR(FIND(",",$C899)),$C899,LEFT($C899,FIND(",",$C899)-1))))</f>
        <v/>
      </c>
      <c r="M899" s="28">
        <f>IF($H899="","",DATE(YEAR($H899),MONTH($H899),1))</f>
        <v/>
      </c>
      <c r="N899" s="26">
        <f>IF($H899="","",TODAY()-$H899)</f>
        <v/>
      </c>
      <c r="O899" s="15" t="n"/>
      <c r="P899" s="15" t="n"/>
      <c r="Q899" s="15" t="n"/>
      <c r="R899" s="25" t="n"/>
      <c r="S899" s="26">
        <f>IF($A899="","",AND(OR('Assignment Builder'!$B$5="",$B899='Assignment Builder'!$B$5),OR('Assignment Builder'!$B$6="",ISNUMBER(SEARCH('Assignment Builder'!$B$6,$C899))),OR('Assignment Builder'!$B$7="",'Assignment Builder'!$B$7=IFERROR(INDEX('Category Dictionary'!$C$5:$C$135,MATCH($L899,'Category Dictionary'!$D$5:$D$135,0)),"")),OR('Assignment Builder'!$B$8="",$D899='Assignment Builder'!$B$8),OR('Assignment Builder'!$B$9="",$F899='Assignment Builder'!$B$9),OR('Assignment Builder'!$B$10="",$O899='Assignment Builder'!$B$10),OR('Assignment Builder'!$B$11="",$H899&gt;='Assignment Builder'!$B$11),OR('Assignment Builder'!$B$12="",N($Q899)&lt;='Assignment Builder'!$B$12)))</f>
        <v/>
      </c>
      <c r="T899" s="23" t="n"/>
    </row>
    <row r="900">
      <c r="A900" s="23" t="n"/>
      <c r="B900" s="23" t="n"/>
      <c r="C900" s="24" t="n"/>
      <c r="D900" s="15" t="n"/>
      <c r="E900" s="23" t="n"/>
      <c r="F900" s="15" t="n"/>
      <c r="G900" s="23" t="n"/>
      <c r="H900" s="25" t="n"/>
      <c r="I900" s="15" t="n"/>
      <c r="J900" s="26">
        <f>IF($A900="","",LEN($C900)-LEN(SUBSTITUTE($C900,",",""))+1)</f>
        <v/>
      </c>
      <c r="K900" s="26">
        <f>IF($A900="","",SUMPRODUCT(--ISNUMBER(SEARCH('Category Dictionary'!$D$5:$D$135&amp;"",$C900)),--('Category Dictionary'!$D$5:$D$135&lt;&gt;"")))</f>
        <v/>
      </c>
      <c r="L900" s="27">
        <f>IF($A900="","",TRIM(IF(ISERROR(FIND(",",$C900)),$C900,LEFT($C900,FIND(",",$C900)-1))))</f>
        <v/>
      </c>
      <c r="M900" s="28">
        <f>IF($H900="","",DATE(YEAR($H900),MONTH($H900),1))</f>
        <v/>
      </c>
      <c r="N900" s="26">
        <f>IF($H900="","",TODAY()-$H900)</f>
        <v/>
      </c>
      <c r="O900" s="15" t="n"/>
      <c r="P900" s="15" t="n"/>
      <c r="Q900" s="15" t="n"/>
      <c r="R900" s="25" t="n"/>
      <c r="S900" s="26">
        <f>IF($A900="","",AND(OR('Assignment Builder'!$B$5="",$B900='Assignment Builder'!$B$5),OR('Assignment Builder'!$B$6="",ISNUMBER(SEARCH('Assignment Builder'!$B$6,$C900))),OR('Assignment Builder'!$B$7="",'Assignment Builder'!$B$7=IFERROR(INDEX('Category Dictionary'!$C$5:$C$135,MATCH($L900,'Category Dictionary'!$D$5:$D$135,0)),"")),OR('Assignment Builder'!$B$8="",$D900='Assignment Builder'!$B$8),OR('Assignment Builder'!$B$9="",$F900='Assignment Builder'!$B$9),OR('Assignment Builder'!$B$10="",$O900='Assignment Builder'!$B$10),OR('Assignment Builder'!$B$11="",$H900&gt;='Assignment Builder'!$B$11),OR('Assignment Builder'!$B$12="",N($Q900)&lt;='Assignment Builder'!$B$12)))</f>
        <v/>
      </c>
      <c r="T900" s="23" t="n"/>
    </row>
    <row r="901">
      <c r="A901" s="23" t="n"/>
      <c r="B901" s="23" t="n"/>
      <c r="C901" s="24" t="n"/>
      <c r="D901" s="15" t="n"/>
      <c r="E901" s="23" t="n"/>
      <c r="F901" s="15" t="n"/>
      <c r="G901" s="23" t="n"/>
      <c r="H901" s="25" t="n"/>
      <c r="I901" s="15" t="n"/>
      <c r="J901" s="26">
        <f>IF($A901="","",LEN($C901)-LEN(SUBSTITUTE($C901,",",""))+1)</f>
        <v/>
      </c>
      <c r="K901" s="26">
        <f>IF($A901="","",SUMPRODUCT(--ISNUMBER(SEARCH('Category Dictionary'!$D$5:$D$135&amp;"",$C901)),--('Category Dictionary'!$D$5:$D$135&lt;&gt;"")))</f>
        <v/>
      </c>
      <c r="L901" s="27">
        <f>IF($A901="","",TRIM(IF(ISERROR(FIND(",",$C901)),$C901,LEFT($C901,FIND(",",$C901)-1))))</f>
        <v/>
      </c>
      <c r="M901" s="28">
        <f>IF($H901="","",DATE(YEAR($H901),MONTH($H901),1))</f>
        <v/>
      </c>
      <c r="N901" s="26">
        <f>IF($H901="","",TODAY()-$H901)</f>
        <v/>
      </c>
      <c r="O901" s="15" t="n"/>
      <c r="P901" s="15" t="n"/>
      <c r="Q901" s="15" t="n"/>
      <c r="R901" s="25" t="n"/>
      <c r="S901" s="26">
        <f>IF($A901="","",AND(OR('Assignment Builder'!$B$5="",$B901='Assignment Builder'!$B$5),OR('Assignment Builder'!$B$6="",ISNUMBER(SEARCH('Assignment Builder'!$B$6,$C901))),OR('Assignment Builder'!$B$7="",'Assignment Builder'!$B$7=IFERROR(INDEX('Category Dictionary'!$C$5:$C$135,MATCH($L901,'Category Dictionary'!$D$5:$D$135,0)),"")),OR('Assignment Builder'!$B$8="",$D901='Assignment Builder'!$B$8),OR('Assignment Builder'!$B$9="",$F901='Assignment Builder'!$B$9),OR('Assignment Builder'!$B$10="",$O901='Assignment Builder'!$B$10),OR('Assignment Builder'!$B$11="",$H901&gt;='Assignment Builder'!$B$11),OR('Assignment Builder'!$B$12="",N($Q901)&lt;='Assignment Builder'!$B$12)))</f>
        <v/>
      </c>
      <c r="T901" s="23" t="n"/>
    </row>
    <row r="902">
      <c r="A902" s="23" t="n"/>
      <c r="B902" s="23" t="n"/>
      <c r="C902" s="24" t="n"/>
      <c r="D902" s="15" t="n"/>
      <c r="E902" s="23" t="n"/>
      <c r="F902" s="15" t="n"/>
      <c r="G902" s="23" t="n"/>
      <c r="H902" s="25" t="n"/>
      <c r="I902" s="15" t="n"/>
      <c r="J902" s="26">
        <f>IF($A902="","",LEN($C902)-LEN(SUBSTITUTE($C902,",",""))+1)</f>
        <v/>
      </c>
      <c r="K902" s="26">
        <f>IF($A902="","",SUMPRODUCT(--ISNUMBER(SEARCH('Category Dictionary'!$D$5:$D$135&amp;"",$C902)),--('Category Dictionary'!$D$5:$D$135&lt;&gt;"")))</f>
        <v/>
      </c>
      <c r="L902" s="27">
        <f>IF($A902="","",TRIM(IF(ISERROR(FIND(",",$C902)),$C902,LEFT($C902,FIND(",",$C902)-1))))</f>
        <v/>
      </c>
      <c r="M902" s="28">
        <f>IF($H902="","",DATE(YEAR($H902),MONTH($H902),1))</f>
        <v/>
      </c>
      <c r="N902" s="26">
        <f>IF($H902="","",TODAY()-$H902)</f>
        <v/>
      </c>
      <c r="O902" s="15" t="n"/>
      <c r="P902" s="15" t="n"/>
      <c r="Q902" s="15" t="n"/>
      <c r="R902" s="25" t="n"/>
      <c r="S902" s="26">
        <f>IF($A902="","",AND(OR('Assignment Builder'!$B$5="",$B902='Assignment Builder'!$B$5),OR('Assignment Builder'!$B$6="",ISNUMBER(SEARCH('Assignment Builder'!$B$6,$C902))),OR('Assignment Builder'!$B$7="",'Assignment Builder'!$B$7=IFERROR(INDEX('Category Dictionary'!$C$5:$C$135,MATCH($L902,'Category Dictionary'!$D$5:$D$135,0)),"")),OR('Assignment Builder'!$B$8="",$D902='Assignment Builder'!$B$8),OR('Assignment Builder'!$B$9="",$F902='Assignment Builder'!$B$9),OR('Assignment Builder'!$B$10="",$O902='Assignment Builder'!$B$10),OR('Assignment Builder'!$B$11="",$H902&gt;='Assignment Builder'!$B$11),OR('Assignment Builder'!$B$12="",N($Q902)&lt;='Assignment Builder'!$B$12)))</f>
        <v/>
      </c>
      <c r="T902" s="23" t="n"/>
    </row>
    <row r="903">
      <c r="A903" s="23" t="n"/>
      <c r="B903" s="23" t="n"/>
      <c r="C903" s="24" t="n"/>
      <c r="D903" s="15" t="n"/>
      <c r="E903" s="23" t="n"/>
      <c r="F903" s="15" t="n"/>
      <c r="G903" s="23" t="n"/>
      <c r="H903" s="25" t="n"/>
      <c r="I903" s="15" t="n"/>
      <c r="J903" s="26">
        <f>IF($A903="","",LEN($C903)-LEN(SUBSTITUTE($C903,",",""))+1)</f>
        <v/>
      </c>
      <c r="K903" s="26">
        <f>IF($A903="","",SUMPRODUCT(--ISNUMBER(SEARCH('Category Dictionary'!$D$5:$D$135&amp;"",$C903)),--('Category Dictionary'!$D$5:$D$135&lt;&gt;"")))</f>
        <v/>
      </c>
      <c r="L903" s="27">
        <f>IF($A903="","",TRIM(IF(ISERROR(FIND(",",$C903)),$C903,LEFT($C903,FIND(",",$C903)-1))))</f>
        <v/>
      </c>
      <c r="M903" s="28">
        <f>IF($H903="","",DATE(YEAR($H903),MONTH($H903),1))</f>
        <v/>
      </c>
      <c r="N903" s="26">
        <f>IF($H903="","",TODAY()-$H903)</f>
        <v/>
      </c>
      <c r="O903" s="15" t="n"/>
      <c r="P903" s="15" t="n"/>
      <c r="Q903" s="15" t="n"/>
      <c r="R903" s="25" t="n"/>
      <c r="S903" s="26">
        <f>IF($A903="","",AND(OR('Assignment Builder'!$B$5="",$B903='Assignment Builder'!$B$5),OR('Assignment Builder'!$B$6="",ISNUMBER(SEARCH('Assignment Builder'!$B$6,$C903))),OR('Assignment Builder'!$B$7="",'Assignment Builder'!$B$7=IFERROR(INDEX('Category Dictionary'!$C$5:$C$135,MATCH($L903,'Category Dictionary'!$D$5:$D$135,0)),"")),OR('Assignment Builder'!$B$8="",$D903='Assignment Builder'!$B$8),OR('Assignment Builder'!$B$9="",$F903='Assignment Builder'!$B$9),OR('Assignment Builder'!$B$10="",$O903='Assignment Builder'!$B$10),OR('Assignment Builder'!$B$11="",$H903&gt;='Assignment Builder'!$B$11),OR('Assignment Builder'!$B$12="",N($Q903)&lt;='Assignment Builder'!$B$12)))</f>
        <v/>
      </c>
      <c r="T903" s="23" t="n"/>
    </row>
    <row r="904">
      <c r="A904" s="23" t="n"/>
      <c r="B904" s="23" t="n"/>
      <c r="C904" s="24" t="n"/>
      <c r="D904" s="15" t="n"/>
      <c r="E904" s="23" t="n"/>
      <c r="F904" s="15" t="n"/>
      <c r="G904" s="23" t="n"/>
      <c r="H904" s="25" t="n"/>
      <c r="I904" s="15" t="n"/>
      <c r="J904" s="26">
        <f>IF($A904="","",LEN($C904)-LEN(SUBSTITUTE($C904,",",""))+1)</f>
        <v/>
      </c>
      <c r="K904" s="26">
        <f>IF($A904="","",SUMPRODUCT(--ISNUMBER(SEARCH('Category Dictionary'!$D$5:$D$135&amp;"",$C904)),--('Category Dictionary'!$D$5:$D$135&lt;&gt;"")))</f>
        <v/>
      </c>
      <c r="L904" s="27">
        <f>IF($A904="","",TRIM(IF(ISERROR(FIND(",",$C904)),$C904,LEFT($C904,FIND(",",$C904)-1))))</f>
        <v/>
      </c>
      <c r="M904" s="28">
        <f>IF($H904="","",DATE(YEAR($H904),MONTH($H904),1))</f>
        <v/>
      </c>
      <c r="N904" s="26">
        <f>IF($H904="","",TODAY()-$H904)</f>
        <v/>
      </c>
      <c r="O904" s="15" t="n"/>
      <c r="P904" s="15" t="n"/>
      <c r="Q904" s="15" t="n"/>
      <c r="R904" s="25" t="n"/>
      <c r="S904" s="26">
        <f>IF($A904="","",AND(OR('Assignment Builder'!$B$5="",$B904='Assignment Builder'!$B$5),OR('Assignment Builder'!$B$6="",ISNUMBER(SEARCH('Assignment Builder'!$B$6,$C904))),OR('Assignment Builder'!$B$7="",'Assignment Builder'!$B$7=IFERROR(INDEX('Category Dictionary'!$C$5:$C$135,MATCH($L904,'Category Dictionary'!$D$5:$D$135,0)),"")),OR('Assignment Builder'!$B$8="",$D904='Assignment Builder'!$B$8),OR('Assignment Builder'!$B$9="",$F904='Assignment Builder'!$B$9),OR('Assignment Builder'!$B$10="",$O904='Assignment Builder'!$B$10),OR('Assignment Builder'!$B$11="",$H904&gt;='Assignment Builder'!$B$11),OR('Assignment Builder'!$B$12="",N($Q904)&lt;='Assignment Builder'!$B$12)))</f>
        <v/>
      </c>
      <c r="T904" s="23" t="n"/>
    </row>
    <row r="905">
      <c r="A905" s="23" t="n"/>
      <c r="B905" s="23" t="n"/>
      <c r="C905" s="24" t="n"/>
      <c r="D905" s="15" t="n"/>
      <c r="E905" s="23" t="n"/>
      <c r="F905" s="15" t="n"/>
      <c r="G905" s="23" t="n"/>
      <c r="H905" s="25" t="n"/>
      <c r="I905" s="15" t="n"/>
      <c r="J905" s="26">
        <f>IF($A905="","",LEN($C905)-LEN(SUBSTITUTE($C905,",",""))+1)</f>
        <v/>
      </c>
      <c r="K905" s="26">
        <f>IF($A905="","",SUMPRODUCT(--ISNUMBER(SEARCH('Category Dictionary'!$D$5:$D$135&amp;"",$C905)),--('Category Dictionary'!$D$5:$D$135&lt;&gt;"")))</f>
        <v/>
      </c>
      <c r="L905" s="27">
        <f>IF($A905="","",TRIM(IF(ISERROR(FIND(",",$C905)),$C905,LEFT($C905,FIND(",",$C905)-1))))</f>
        <v/>
      </c>
      <c r="M905" s="28">
        <f>IF($H905="","",DATE(YEAR($H905),MONTH($H905),1))</f>
        <v/>
      </c>
      <c r="N905" s="26">
        <f>IF($H905="","",TODAY()-$H905)</f>
        <v/>
      </c>
      <c r="O905" s="15" t="n"/>
      <c r="P905" s="15" t="n"/>
      <c r="Q905" s="15" t="n"/>
      <c r="R905" s="25" t="n"/>
      <c r="S905" s="26">
        <f>IF($A905="","",AND(OR('Assignment Builder'!$B$5="",$B905='Assignment Builder'!$B$5),OR('Assignment Builder'!$B$6="",ISNUMBER(SEARCH('Assignment Builder'!$B$6,$C905))),OR('Assignment Builder'!$B$7="",'Assignment Builder'!$B$7=IFERROR(INDEX('Category Dictionary'!$C$5:$C$135,MATCH($L905,'Category Dictionary'!$D$5:$D$135,0)),"")),OR('Assignment Builder'!$B$8="",$D905='Assignment Builder'!$B$8),OR('Assignment Builder'!$B$9="",$F905='Assignment Builder'!$B$9),OR('Assignment Builder'!$B$10="",$O905='Assignment Builder'!$B$10),OR('Assignment Builder'!$B$11="",$H905&gt;='Assignment Builder'!$B$11),OR('Assignment Builder'!$B$12="",N($Q905)&lt;='Assignment Builder'!$B$12)))</f>
        <v/>
      </c>
      <c r="T905" s="23" t="n"/>
    </row>
    <row r="906">
      <c r="A906" s="23" t="n"/>
      <c r="B906" s="23" t="n"/>
      <c r="C906" s="24" t="n"/>
      <c r="D906" s="15" t="n"/>
      <c r="E906" s="23" t="n"/>
      <c r="F906" s="15" t="n"/>
      <c r="G906" s="23" t="n"/>
      <c r="H906" s="25" t="n"/>
      <c r="I906" s="15" t="n"/>
      <c r="J906" s="26">
        <f>IF($A906="","",LEN($C906)-LEN(SUBSTITUTE($C906,",",""))+1)</f>
        <v/>
      </c>
      <c r="K906" s="26">
        <f>IF($A906="","",SUMPRODUCT(--ISNUMBER(SEARCH('Category Dictionary'!$D$5:$D$135&amp;"",$C906)),--('Category Dictionary'!$D$5:$D$135&lt;&gt;"")))</f>
        <v/>
      </c>
      <c r="L906" s="27">
        <f>IF($A906="","",TRIM(IF(ISERROR(FIND(",",$C906)),$C906,LEFT($C906,FIND(",",$C906)-1))))</f>
        <v/>
      </c>
      <c r="M906" s="28">
        <f>IF($H906="","",DATE(YEAR($H906),MONTH($H906),1))</f>
        <v/>
      </c>
      <c r="N906" s="26">
        <f>IF($H906="","",TODAY()-$H906)</f>
        <v/>
      </c>
      <c r="O906" s="15" t="n"/>
      <c r="P906" s="15" t="n"/>
      <c r="Q906" s="15" t="n"/>
      <c r="R906" s="25" t="n"/>
      <c r="S906" s="26">
        <f>IF($A906="","",AND(OR('Assignment Builder'!$B$5="",$B906='Assignment Builder'!$B$5),OR('Assignment Builder'!$B$6="",ISNUMBER(SEARCH('Assignment Builder'!$B$6,$C906))),OR('Assignment Builder'!$B$7="",'Assignment Builder'!$B$7=IFERROR(INDEX('Category Dictionary'!$C$5:$C$135,MATCH($L906,'Category Dictionary'!$D$5:$D$135,0)),"")),OR('Assignment Builder'!$B$8="",$D906='Assignment Builder'!$B$8),OR('Assignment Builder'!$B$9="",$F906='Assignment Builder'!$B$9),OR('Assignment Builder'!$B$10="",$O906='Assignment Builder'!$B$10),OR('Assignment Builder'!$B$11="",$H906&gt;='Assignment Builder'!$B$11),OR('Assignment Builder'!$B$12="",N($Q906)&lt;='Assignment Builder'!$B$12)))</f>
        <v/>
      </c>
      <c r="T906" s="23" t="n"/>
    </row>
    <row r="907">
      <c r="A907" s="23" t="n"/>
      <c r="B907" s="23" t="n"/>
      <c r="C907" s="24" t="n"/>
      <c r="D907" s="15" t="n"/>
      <c r="E907" s="23" t="n"/>
      <c r="F907" s="15" t="n"/>
      <c r="G907" s="23" t="n"/>
      <c r="H907" s="25" t="n"/>
      <c r="I907" s="15" t="n"/>
      <c r="J907" s="26">
        <f>IF($A907="","",LEN($C907)-LEN(SUBSTITUTE($C907,",",""))+1)</f>
        <v/>
      </c>
      <c r="K907" s="26">
        <f>IF($A907="","",SUMPRODUCT(--ISNUMBER(SEARCH('Category Dictionary'!$D$5:$D$135&amp;"",$C907)),--('Category Dictionary'!$D$5:$D$135&lt;&gt;"")))</f>
        <v/>
      </c>
      <c r="L907" s="27">
        <f>IF($A907="","",TRIM(IF(ISERROR(FIND(",",$C907)),$C907,LEFT($C907,FIND(",",$C907)-1))))</f>
        <v/>
      </c>
      <c r="M907" s="28">
        <f>IF($H907="","",DATE(YEAR($H907),MONTH($H907),1))</f>
        <v/>
      </c>
      <c r="N907" s="26">
        <f>IF($H907="","",TODAY()-$H907)</f>
        <v/>
      </c>
      <c r="O907" s="15" t="n"/>
      <c r="P907" s="15" t="n"/>
      <c r="Q907" s="15" t="n"/>
      <c r="R907" s="25" t="n"/>
      <c r="S907" s="26">
        <f>IF($A907="","",AND(OR('Assignment Builder'!$B$5="",$B907='Assignment Builder'!$B$5),OR('Assignment Builder'!$B$6="",ISNUMBER(SEARCH('Assignment Builder'!$B$6,$C907))),OR('Assignment Builder'!$B$7="",'Assignment Builder'!$B$7=IFERROR(INDEX('Category Dictionary'!$C$5:$C$135,MATCH($L907,'Category Dictionary'!$D$5:$D$135,0)),"")),OR('Assignment Builder'!$B$8="",$D907='Assignment Builder'!$B$8),OR('Assignment Builder'!$B$9="",$F907='Assignment Builder'!$B$9),OR('Assignment Builder'!$B$10="",$O907='Assignment Builder'!$B$10),OR('Assignment Builder'!$B$11="",$H907&gt;='Assignment Builder'!$B$11),OR('Assignment Builder'!$B$12="",N($Q907)&lt;='Assignment Builder'!$B$12)))</f>
        <v/>
      </c>
      <c r="T907" s="23" t="n"/>
    </row>
    <row r="908">
      <c r="A908" s="23" t="n"/>
      <c r="B908" s="23" t="n"/>
      <c r="C908" s="24" t="n"/>
      <c r="D908" s="15" t="n"/>
      <c r="E908" s="23" t="n"/>
      <c r="F908" s="15" t="n"/>
      <c r="G908" s="23" t="n"/>
      <c r="H908" s="25" t="n"/>
      <c r="I908" s="15" t="n"/>
      <c r="J908" s="26">
        <f>IF($A908="","",LEN($C908)-LEN(SUBSTITUTE($C908,",",""))+1)</f>
        <v/>
      </c>
      <c r="K908" s="26">
        <f>IF($A908="","",SUMPRODUCT(--ISNUMBER(SEARCH('Category Dictionary'!$D$5:$D$135&amp;"",$C908)),--('Category Dictionary'!$D$5:$D$135&lt;&gt;"")))</f>
        <v/>
      </c>
      <c r="L908" s="27">
        <f>IF($A908="","",TRIM(IF(ISERROR(FIND(",",$C908)),$C908,LEFT($C908,FIND(",",$C908)-1))))</f>
        <v/>
      </c>
      <c r="M908" s="28">
        <f>IF($H908="","",DATE(YEAR($H908),MONTH($H908),1))</f>
        <v/>
      </c>
      <c r="N908" s="26">
        <f>IF($H908="","",TODAY()-$H908)</f>
        <v/>
      </c>
      <c r="O908" s="15" t="n"/>
      <c r="P908" s="15" t="n"/>
      <c r="Q908" s="15" t="n"/>
      <c r="R908" s="25" t="n"/>
      <c r="S908" s="26">
        <f>IF($A908="","",AND(OR('Assignment Builder'!$B$5="",$B908='Assignment Builder'!$B$5),OR('Assignment Builder'!$B$6="",ISNUMBER(SEARCH('Assignment Builder'!$B$6,$C908))),OR('Assignment Builder'!$B$7="",'Assignment Builder'!$B$7=IFERROR(INDEX('Category Dictionary'!$C$5:$C$135,MATCH($L908,'Category Dictionary'!$D$5:$D$135,0)),"")),OR('Assignment Builder'!$B$8="",$D908='Assignment Builder'!$B$8),OR('Assignment Builder'!$B$9="",$F908='Assignment Builder'!$B$9),OR('Assignment Builder'!$B$10="",$O908='Assignment Builder'!$B$10),OR('Assignment Builder'!$B$11="",$H908&gt;='Assignment Builder'!$B$11),OR('Assignment Builder'!$B$12="",N($Q908)&lt;='Assignment Builder'!$B$12)))</f>
        <v/>
      </c>
      <c r="T908" s="23" t="n"/>
    </row>
    <row r="909">
      <c r="A909" s="23" t="n"/>
      <c r="B909" s="23" t="n"/>
      <c r="C909" s="24" t="n"/>
      <c r="D909" s="15" t="n"/>
      <c r="E909" s="23" t="n"/>
      <c r="F909" s="15" t="n"/>
      <c r="G909" s="23" t="n"/>
      <c r="H909" s="25" t="n"/>
      <c r="I909" s="15" t="n"/>
      <c r="J909" s="26">
        <f>IF($A909="","",LEN($C909)-LEN(SUBSTITUTE($C909,",",""))+1)</f>
        <v/>
      </c>
      <c r="K909" s="26">
        <f>IF($A909="","",SUMPRODUCT(--ISNUMBER(SEARCH('Category Dictionary'!$D$5:$D$135&amp;"",$C909)),--('Category Dictionary'!$D$5:$D$135&lt;&gt;"")))</f>
        <v/>
      </c>
      <c r="L909" s="27">
        <f>IF($A909="","",TRIM(IF(ISERROR(FIND(",",$C909)),$C909,LEFT($C909,FIND(",",$C909)-1))))</f>
        <v/>
      </c>
      <c r="M909" s="28">
        <f>IF($H909="","",DATE(YEAR($H909),MONTH($H909),1))</f>
        <v/>
      </c>
      <c r="N909" s="26">
        <f>IF($H909="","",TODAY()-$H909)</f>
        <v/>
      </c>
      <c r="O909" s="15" t="n"/>
      <c r="P909" s="15" t="n"/>
      <c r="Q909" s="15" t="n"/>
      <c r="R909" s="25" t="n"/>
      <c r="S909" s="26">
        <f>IF($A909="","",AND(OR('Assignment Builder'!$B$5="",$B909='Assignment Builder'!$B$5),OR('Assignment Builder'!$B$6="",ISNUMBER(SEARCH('Assignment Builder'!$B$6,$C909))),OR('Assignment Builder'!$B$7="",'Assignment Builder'!$B$7=IFERROR(INDEX('Category Dictionary'!$C$5:$C$135,MATCH($L909,'Category Dictionary'!$D$5:$D$135,0)),"")),OR('Assignment Builder'!$B$8="",$D909='Assignment Builder'!$B$8),OR('Assignment Builder'!$B$9="",$F909='Assignment Builder'!$B$9),OR('Assignment Builder'!$B$10="",$O909='Assignment Builder'!$B$10),OR('Assignment Builder'!$B$11="",$H909&gt;='Assignment Builder'!$B$11),OR('Assignment Builder'!$B$12="",N($Q909)&lt;='Assignment Builder'!$B$12)))</f>
        <v/>
      </c>
      <c r="T909" s="23" t="n"/>
    </row>
    <row r="910">
      <c r="A910" s="23" t="n"/>
      <c r="B910" s="23" t="n"/>
      <c r="C910" s="24" t="n"/>
      <c r="D910" s="15" t="n"/>
      <c r="E910" s="23" t="n"/>
      <c r="F910" s="15" t="n"/>
      <c r="G910" s="23" t="n"/>
      <c r="H910" s="25" t="n"/>
      <c r="I910" s="15" t="n"/>
      <c r="J910" s="26">
        <f>IF($A910="","",LEN($C910)-LEN(SUBSTITUTE($C910,",",""))+1)</f>
        <v/>
      </c>
      <c r="K910" s="26">
        <f>IF($A910="","",SUMPRODUCT(--ISNUMBER(SEARCH('Category Dictionary'!$D$5:$D$135&amp;"",$C910)),--('Category Dictionary'!$D$5:$D$135&lt;&gt;"")))</f>
        <v/>
      </c>
      <c r="L910" s="27">
        <f>IF($A910="","",TRIM(IF(ISERROR(FIND(",",$C910)),$C910,LEFT($C910,FIND(",",$C910)-1))))</f>
        <v/>
      </c>
      <c r="M910" s="28">
        <f>IF($H910="","",DATE(YEAR($H910),MONTH($H910),1))</f>
        <v/>
      </c>
      <c r="N910" s="26">
        <f>IF($H910="","",TODAY()-$H910)</f>
        <v/>
      </c>
      <c r="O910" s="15" t="n"/>
      <c r="P910" s="15" t="n"/>
      <c r="Q910" s="15" t="n"/>
      <c r="R910" s="25" t="n"/>
      <c r="S910" s="26">
        <f>IF($A910="","",AND(OR('Assignment Builder'!$B$5="",$B910='Assignment Builder'!$B$5),OR('Assignment Builder'!$B$6="",ISNUMBER(SEARCH('Assignment Builder'!$B$6,$C910))),OR('Assignment Builder'!$B$7="",'Assignment Builder'!$B$7=IFERROR(INDEX('Category Dictionary'!$C$5:$C$135,MATCH($L910,'Category Dictionary'!$D$5:$D$135,0)),"")),OR('Assignment Builder'!$B$8="",$D910='Assignment Builder'!$B$8),OR('Assignment Builder'!$B$9="",$F910='Assignment Builder'!$B$9),OR('Assignment Builder'!$B$10="",$O910='Assignment Builder'!$B$10),OR('Assignment Builder'!$B$11="",$H910&gt;='Assignment Builder'!$B$11),OR('Assignment Builder'!$B$12="",N($Q910)&lt;='Assignment Builder'!$B$12)))</f>
        <v/>
      </c>
      <c r="T910" s="23" t="n"/>
    </row>
    <row r="911">
      <c r="A911" s="23" t="n"/>
      <c r="B911" s="23" t="n"/>
      <c r="C911" s="24" t="n"/>
      <c r="D911" s="15" t="n"/>
      <c r="E911" s="23" t="n"/>
      <c r="F911" s="15" t="n"/>
      <c r="G911" s="23" t="n"/>
      <c r="H911" s="25" t="n"/>
      <c r="I911" s="15" t="n"/>
      <c r="J911" s="26">
        <f>IF($A911="","",LEN($C911)-LEN(SUBSTITUTE($C911,",",""))+1)</f>
        <v/>
      </c>
      <c r="K911" s="26">
        <f>IF($A911="","",SUMPRODUCT(--ISNUMBER(SEARCH('Category Dictionary'!$D$5:$D$135&amp;"",$C911)),--('Category Dictionary'!$D$5:$D$135&lt;&gt;"")))</f>
        <v/>
      </c>
      <c r="L911" s="27">
        <f>IF($A911="","",TRIM(IF(ISERROR(FIND(",",$C911)),$C911,LEFT($C911,FIND(",",$C911)-1))))</f>
        <v/>
      </c>
      <c r="M911" s="28">
        <f>IF($H911="","",DATE(YEAR($H911),MONTH($H911),1))</f>
        <v/>
      </c>
      <c r="N911" s="26">
        <f>IF($H911="","",TODAY()-$H911)</f>
        <v/>
      </c>
      <c r="O911" s="15" t="n"/>
      <c r="P911" s="15" t="n"/>
      <c r="Q911" s="15" t="n"/>
      <c r="R911" s="25" t="n"/>
      <c r="S911" s="26">
        <f>IF($A911="","",AND(OR('Assignment Builder'!$B$5="",$B911='Assignment Builder'!$B$5),OR('Assignment Builder'!$B$6="",ISNUMBER(SEARCH('Assignment Builder'!$B$6,$C911))),OR('Assignment Builder'!$B$7="",'Assignment Builder'!$B$7=IFERROR(INDEX('Category Dictionary'!$C$5:$C$135,MATCH($L911,'Category Dictionary'!$D$5:$D$135,0)),"")),OR('Assignment Builder'!$B$8="",$D911='Assignment Builder'!$B$8),OR('Assignment Builder'!$B$9="",$F911='Assignment Builder'!$B$9),OR('Assignment Builder'!$B$10="",$O911='Assignment Builder'!$B$10),OR('Assignment Builder'!$B$11="",$H911&gt;='Assignment Builder'!$B$11),OR('Assignment Builder'!$B$12="",N($Q911)&lt;='Assignment Builder'!$B$12)))</f>
        <v/>
      </c>
      <c r="T911" s="23" t="n"/>
    </row>
    <row r="912">
      <c r="A912" s="23" t="n"/>
      <c r="B912" s="23" t="n"/>
      <c r="C912" s="24" t="n"/>
      <c r="D912" s="15" t="n"/>
      <c r="E912" s="23" t="n"/>
      <c r="F912" s="15" t="n"/>
      <c r="G912" s="23" t="n"/>
      <c r="H912" s="25" t="n"/>
      <c r="I912" s="15" t="n"/>
      <c r="J912" s="26">
        <f>IF($A912="","",LEN($C912)-LEN(SUBSTITUTE($C912,",",""))+1)</f>
        <v/>
      </c>
      <c r="K912" s="26">
        <f>IF($A912="","",SUMPRODUCT(--ISNUMBER(SEARCH('Category Dictionary'!$D$5:$D$135&amp;"",$C912)),--('Category Dictionary'!$D$5:$D$135&lt;&gt;"")))</f>
        <v/>
      </c>
      <c r="L912" s="27">
        <f>IF($A912="","",TRIM(IF(ISERROR(FIND(",",$C912)),$C912,LEFT($C912,FIND(",",$C912)-1))))</f>
        <v/>
      </c>
      <c r="M912" s="28">
        <f>IF($H912="","",DATE(YEAR($H912),MONTH($H912),1))</f>
        <v/>
      </c>
      <c r="N912" s="26">
        <f>IF($H912="","",TODAY()-$H912)</f>
        <v/>
      </c>
      <c r="O912" s="15" t="n"/>
      <c r="P912" s="15" t="n"/>
      <c r="Q912" s="15" t="n"/>
      <c r="R912" s="25" t="n"/>
      <c r="S912" s="26">
        <f>IF($A912="","",AND(OR('Assignment Builder'!$B$5="",$B912='Assignment Builder'!$B$5),OR('Assignment Builder'!$B$6="",ISNUMBER(SEARCH('Assignment Builder'!$B$6,$C912))),OR('Assignment Builder'!$B$7="",'Assignment Builder'!$B$7=IFERROR(INDEX('Category Dictionary'!$C$5:$C$135,MATCH($L912,'Category Dictionary'!$D$5:$D$135,0)),"")),OR('Assignment Builder'!$B$8="",$D912='Assignment Builder'!$B$8),OR('Assignment Builder'!$B$9="",$F912='Assignment Builder'!$B$9),OR('Assignment Builder'!$B$10="",$O912='Assignment Builder'!$B$10),OR('Assignment Builder'!$B$11="",$H912&gt;='Assignment Builder'!$B$11),OR('Assignment Builder'!$B$12="",N($Q912)&lt;='Assignment Builder'!$B$12)))</f>
        <v/>
      </c>
      <c r="T912" s="23" t="n"/>
    </row>
    <row r="913">
      <c r="A913" s="23" t="n"/>
      <c r="B913" s="23" t="n"/>
      <c r="C913" s="24" t="n"/>
      <c r="D913" s="15" t="n"/>
      <c r="E913" s="23" t="n"/>
      <c r="F913" s="15" t="n"/>
      <c r="G913" s="23" t="n"/>
      <c r="H913" s="25" t="n"/>
      <c r="I913" s="15" t="n"/>
      <c r="J913" s="26">
        <f>IF($A913="","",LEN($C913)-LEN(SUBSTITUTE($C913,",",""))+1)</f>
        <v/>
      </c>
      <c r="K913" s="26">
        <f>IF($A913="","",SUMPRODUCT(--ISNUMBER(SEARCH('Category Dictionary'!$D$5:$D$135&amp;"",$C913)),--('Category Dictionary'!$D$5:$D$135&lt;&gt;"")))</f>
        <v/>
      </c>
      <c r="L913" s="27">
        <f>IF($A913="","",TRIM(IF(ISERROR(FIND(",",$C913)),$C913,LEFT($C913,FIND(",",$C913)-1))))</f>
        <v/>
      </c>
      <c r="M913" s="28">
        <f>IF($H913="","",DATE(YEAR($H913),MONTH($H913),1))</f>
        <v/>
      </c>
      <c r="N913" s="26">
        <f>IF($H913="","",TODAY()-$H913)</f>
        <v/>
      </c>
      <c r="O913" s="15" t="n"/>
      <c r="P913" s="15" t="n"/>
      <c r="Q913" s="15" t="n"/>
      <c r="R913" s="25" t="n"/>
      <c r="S913" s="26">
        <f>IF($A913="","",AND(OR('Assignment Builder'!$B$5="",$B913='Assignment Builder'!$B$5),OR('Assignment Builder'!$B$6="",ISNUMBER(SEARCH('Assignment Builder'!$B$6,$C913))),OR('Assignment Builder'!$B$7="",'Assignment Builder'!$B$7=IFERROR(INDEX('Category Dictionary'!$C$5:$C$135,MATCH($L913,'Category Dictionary'!$D$5:$D$135,0)),"")),OR('Assignment Builder'!$B$8="",$D913='Assignment Builder'!$B$8),OR('Assignment Builder'!$B$9="",$F913='Assignment Builder'!$B$9),OR('Assignment Builder'!$B$10="",$O913='Assignment Builder'!$B$10),OR('Assignment Builder'!$B$11="",$H913&gt;='Assignment Builder'!$B$11),OR('Assignment Builder'!$B$12="",N($Q913)&lt;='Assignment Builder'!$B$12)))</f>
        <v/>
      </c>
      <c r="T913" s="23" t="n"/>
    </row>
    <row r="914">
      <c r="A914" s="23" t="n"/>
      <c r="B914" s="23" t="n"/>
      <c r="C914" s="24" t="n"/>
      <c r="D914" s="15" t="n"/>
      <c r="E914" s="23" t="n"/>
      <c r="F914" s="15" t="n"/>
      <c r="G914" s="23" t="n"/>
      <c r="H914" s="25" t="n"/>
      <c r="I914" s="15" t="n"/>
      <c r="J914" s="26">
        <f>IF($A914="","",LEN($C914)-LEN(SUBSTITUTE($C914,",",""))+1)</f>
        <v/>
      </c>
      <c r="K914" s="26">
        <f>IF($A914="","",SUMPRODUCT(--ISNUMBER(SEARCH('Category Dictionary'!$D$5:$D$135&amp;"",$C914)),--('Category Dictionary'!$D$5:$D$135&lt;&gt;"")))</f>
        <v/>
      </c>
      <c r="L914" s="27">
        <f>IF($A914="","",TRIM(IF(ISERROR(FIND(",",$C914)),$C914,LEFT($C914,FIND(",",$C914)-1))))</f>
        <v/>
      </c>
      <c r="M914" s="28">
        <f>IF($H914="","",DATE(YEAR($H914),MONTH($H914),1))</f>
        <v/>
      </c>
      <c r="N914" s="26">
        <f>IF($H914="","",TODAY()-$H914)</f>
        <v/>
      </c>
      <c r="O914" s="15" t="n"/>
      <c r="P914" s="15" t="n"/>
      <c r="Q914" s="15" t="n"/>
      <c r="R914" s="25" t="n"/>
      <c r="S914" s="26">
        <f>IF($A914="","",AND(OR('Assignment Builder'!$B$5="",$B914='Assignment Builder'!$B$5),OR('Assignment Builder'!$B$6="",ISNUMBER(SEARCH('Assignment Builder'!$B$6,$C914))),OR('Assignment Builder'!$B$7="",'Assignment Builder'!$B$7=IFERROR(INDEX('Category Dictionary'!$C$5:$C$135,MATCH($L914,'Category Dictionary'!$D$5:$D$135,0)),"")),OR('Assignment Builder'!$B$8="",$D914='Assignment Builder'!$B$8),OR('Assignment Builder'!$B$9="",$F914='Assignment Builder'!$B$9),OR('Assignment Builder'!$B$10="",$O914='Assignment Builder'!$B$10),OR('Assignment Builder'!$B$11="",$H914&gt;='Assignment Builder'!$B$11),OR('Assignment Builder'!$B$12="",N($Q914)&lt;='Assignment Builder'!$B$12)))</f>
        <v/>
      </c>
      <c r="T914" s="23" t="n"/>
    </row>
    <row r="915">
      <c r="A915" s="23" t="n"/>
      <c r="B915" s="23" t="n"/>
      <c r="C915" s="24" t="n"/>
      <c r="D915" s="15" t="n"/>
      <c r="E915" s="23" t="n"/>
      <c r="F915" s="15" t="n"/>
      <c r="G915" s="23" t="n"/>
      <c r="H915" s="25" t="n"/>
      <c r="I915" s="15" t="n"/>
      <c r="J915" s="26">
        <f>IF($A915="","",LEN($C915)-LEN(SUBSTITUTE($C915,",",""))+1)</f>
        <v/>
      </c>
      <c r="K915" s="26">
        <f>IF($A915="","",SUMPRODUCT(--ISNUMBER(SEARCH('Category Dictionary'!$D$5:$D$135&amp;"",$C915)),--('Category Dictionary'!$D$5:$D$135&lt;&gt;"")))</f>
        <v/>
      </c>
      <c r="L915" s="27">
        <f>IF($A915="","",TRIM(IF(ISERROR(FIND(",",$C915)),$C915,LEFT($C915,FIND(",",$C915)-1))))</f>
        <v/>
      </c>
      <c r="M915" s="28">
        <f>IF($H915="","",DATE(YEAR($H915),MONTH($H915),1))</f>
        <v/>
      </c>
      <c r="N915" s="26">
        <f>IF($H915="","",TODAY()-$H915)</f>
        <v/>
      </c>
      <c r="O915" s="15" t="n"/>
      <c r="P915" s="15" t="n"/>
      <c r="Q915" s="15" t="n"/>
      <c r="R915" s="25" t="n"/>
      <c r="S915" s="26">
        <f>IF($A915="","",AND(OR('Assignment Builder'!$B$5="",$B915='Assignment Builder'!$B$5),OR('Assignment Builder'!$B$6="",ISNUMBER(SEARCH('Assignment Builder'!$B$6,$C915))),OR('Assignment Builder'!$B$7="",'Assignment Builder'!$B$7=IFERROR(INDEX('Category Dictionary'!$C$5:$C$135,MATCH($L915,'Category Dictionary'!$D$5:$D$135,0)),"")),OR('Assignment Builder'!$B$8="",$D915='Assignment Builder'!$B$8),OR('Assignment Builder'!$B$9="",$F915='Assignment Builder'!$B$9),OR('Assignment Builder'!$B$10="",$O915='Assignment Builder'!$B$10),OR('Assignment Builder'!$B$11="",$H915&gt;='Assignment Builder'!$B$11),OR('Assignment Builder'!$B$12="",N($Q915)&lt;='Assignment Builder'!$B$12)))</f>
        <v/>
      </c>
      <c r="T915" s="23" t="n"/>
    </row>
    <row r="916">
      <c r="A916" s="23" t="n"/>
      <c r="B916" s="23" t="n"/>
      <c r="C916" s="24" t="n"/>
      <c r="D916" s="15" t="n"/>
      <c r="E916" s="23" t="n"/>
      <c r="F916" s="15" t="n"/>
      <c r="G916" s="23" t="n"/>
      <c r="H916" s="25" t="n"/>
      <c r="I916" s="15" t="n"/>
      <c r="J916" s="26">
        <f>IF($A916="","",LEN($C916)-LEN(SUBSTITUTE($C916,",",""))+1)</f>
        <v/>
      </c>
      <c r="K916" s="26">
        <f>IF($A916="","",SUMPRODUCT(--ISNUMBER(SEARCH('Category Dictionary'!$D$5:$D$135&amp;"",$C916)),--('Category Dictionary'!$D$5:$D$135&lt;&gt;"")))</f>
        <v/>
      </c>
      <c r="L916" s="27">
        <f>IF($A916="","",TRIM(IF(ISERROR(FIND(",",$C916)),$C916,LEFT($C916,FIND(",",$C916)-1))))</f>
        <v/>
      </c>
      <c r="M916" s="28">
        <f>IF($H916="","",DATE(YEAR($H916),MONTH($H916),1))</f>
        <v/>
      </c>
      <c r="N916" s="26">
        <f>IF($H916="","",TODAY()-$H916)</f>
        <v/>
      </c>
      <c r="O916" s="15" t="n"/>
      <c r="P916" s="15" t="n"/>
      <c r="Q916" s="15" t="n"/>
      <c r="R916" s="25" t="n"/>
      <c r="S916" s="26">
        <f>IF($A916="","",AND(OR('Assignment Builder'!$B$5="",$B916='Assignment Builder'!$B$5),OR('Assignment Builder'!$B$6="",ISNUMBER(SEARCH('Assignment Builder'!$B$6,$C916))),OR('Assignment Builder'!$B$7="",'Assignment Builder'!$B$7=IFERROR(INDEX('Category Dictionary'!$C$5:$C$135,MATCH($L916,'Category Dictionary'!$D$5:$D$135,0)),"")),OR('Assignment Builder'!$B$8="",$D916='Assignment Builder'!$B$8),OR('Assignment Builder'!$B$9="",$F916='Assignment Builder'!$B$9),OR('Assignment Builder'!$B$10="",$O916='Assignment Builder'!$B$10),OR('Assignment Builder'!$B$11="",$H916&gt;='Assignment Builder'!$B$11),OR('Assignment Builder'!$B$12="",N($Q916)&lt;='Assignment Builder'!$B$12)))</f>
        <v/>
      </c>
      <c r="T916" s="23" t="n"/>
    </row>
    <row r="917">
      <c r="A917" s="23" t="n"/>
      <c r="B917" s="23" t="n"/>
      <c r="C917" s="24" t="n"/>
      <c r="D917" s="15" t="n"/>
      <c r="E917" s="23" t="n"/>
      <c r="F917" s="15" t="n"/>
      <c r="G917" s="23" t="n"/>
      <c r="H917" s="25" t="n"/>
      <c r="I917" s="15" t="n"/>
      <c r="J917" s="26">
        <f>IF($A917="","",LEN($C917)-LEN(SUBSTITUTE($C917,",",""))+1)</f>
        <v/>
      </c>
      <c r="K917" s="26">
        <f>IF($A917="","",SUMPRODUCT(--ISNUMBER(SEARCH('Category Dictionary'!$D$5:$D$135&amp;"",$C917)),--('Category Dictionary'!$D$5:$D$135&lt;&gt;"")))</f>
        <v/>
      </c>
      <c r="L917" s="27">
        <f>IF($A917="","",TRIM(IF(ISERROR(FIND(",",$C917)),$C917,LEFT($C917,FIND(",",$C917)-1))))</f>
        <v/>
      </c>
      <c r="M917" s="28">
        <f>IF($H917="","",DATE(YEAR($H917),MONTH($H917),1))</f>
        <v/>
      </c>
      <c r="N917" s="26">
        <f>IF($H917="","",TODAY()-$H917)</f>
        <v/>
      </c>
      <c r="O917" s="15" t="n"/>
      <c r="P917" s="15" t="n"/>
      <c r="Q917" s="15" t="n"/>
      <c r="R917" s="25" t="n"/>
      <c r="S917" s="26">
        <f>IF($A917="","",AND(OR('Assignment Builder'!$B$5="",$B917='Assignment Builder'!$B$5),OR('Assignment Builder'!$B$6="",ISNUMBER(SEARCH('Assignment Builder'!$B$6,$C917))),OR('Assignment Builder'!$B$7="",'Assignment Builder'!$B$7=IFERROR(INDEX('Category Dictionary'!$C$5:$C$135,MATCH($L917,'Category Dictionary'!$D$5:$D$135,0)),"")),OR('Assignment Builder'!$B$8="",$D917='Assignment Builder'!$B$8),OR('Assignment Builder'!$B$9="",$F917='Assignment Builder'!$B$9),OR('Assignment Builder'!$B$10="",$O917='Assignment Builder'!$B$10),OR('Assignment Builder'!$B$11="",$H917&gt;='Assignment Builder'!$B$11),OR('Assignment Builder'!$B$12="",N($Q917)&lt;='Assignment Builder'!$B$12)))</f>
        <v/>
      </c>
      <c r="T917" s="23" t="n"/>
    </row>
    <row r="918">
      <c r="A918" s="23" t="n"/>
      <c r="B918" s="23" t="n"/>
      <c r="C918" s="24" t="n"/>
      <c r="D918" s="15" t="n"/>
      <c r="E918" s="23" t="n"/>
      <c r="F918" s="15" t="n"/>
      <c r="G918" s="23" t="n"/>
      <c r="H918" s="25" t="n"/>
      <c r="I918" s="15" t="n"/>
      <c r="J918" s="26">
        <f>IF($A918="","",LEN($C918)-LEN(SUBSTITUTE($C918,",",""))+1)</f>
        <v/>
      </c>
      <c r="K918" s="26">
        <f>IF($A918="","",SUMPRODUCT(--ISNUMBER(SEARCH('Category Dictionary'!$D$5:$D$135&amp;"",$C918)),--('Category Dictionary'!$D$5:$D$135&lt;&gt;"")))</f>
        <v/>
      </c>
      <c r="L918" s="27">
        <f>IF($A918="","",TRIM(IF(ISERROR(FIND(",",$C918)),$C918,LEFT($C918,FIND(",",$C918)-1))))</f>
        <v/>
      </c>
      <c r="M918" s="28">
        <f>IF($H918="","",DATE(YEAR($H918),MONTH($H918),1))</f>
        <v/>
      </c>
      <c r="N918" s="26">
        <f>IF($H918="","",TODAY()-$H918)</f>
        <v/>
      </c>
      <c r="O918" s="15" t="n"/>
      <c r="P918" s="15" t="n"/>
      <c r="Q918" s="15" t="n"/>
      <c r="R918" s="25" t="n"/>
      <c r="S918" s="26">
        <f>IF($A918="","",AND(OR('Assignment Builder'!$B$5="",$B918='Assignment Builder'!$B$5),OR('Assignment Builder'!$B$6="",ISNUMBER(SEARCH('Assignment Builder'!$B$6,$C918))),OR('Assignment Builder'!$B$7="",'Assignment Builder'!$B$7=IFERROR(INDEX('Category Dictionary'!$C$5:$C$135,MATCH($L918,'Category Dictionary'!$D$5:$D$135,0)),"")),OR('Assignment Builder'!$B$8="",$D918='Assignment Builder'!$B$8),OR('Assignment Builder'!$B$9="",$F918='Assignment Builder'!$B$9),OR('Assignment Builder'!$B$10="",$O918='Assignment Builder'!$B$10),OR('Assignment Builder'!$B$11="",$H918&gt;='Assignment Builder'!$B$11),OR('Assignment Builder'!$B$12="",N($Q918)&lt;='Assignment Builder'!$B$12)))</f>
        <v/>
      </c>
      <c r="T918" s="23" t="n"/>
    </row>
    <row r="919">
      <c r="A919" s="23" t="n"/>
      <c r="B919" s="23" t="n"/>
      <c r="C919" s="24" t="n"/>
      <c r="D919" s="15" t="n"/>
      <c r="E919" s="23" t="n"/>
      <c r="F919" s="15" t="n"/>
      <c r="G919" s="23" t="n"/>
      <c r="H919" s="25" t="n"/>
      <c r="I919" s="15" t="n"/>
      <c r="J919" s="26">
        <f>IF($A919="","",LEN($C919)-LEN(SUBSTITUTE($C919,",",""))+1)</f>
        <v/>
      </c>
      <c r="K919" s="26">
        <f>IF($A919="","",SUMPRODUCT(--ISNUMBER(SEARCH('Category Dictionary'!$D$5:$D$135&amp;"",$C919)),--('Category Dictionary'!$D$5:$D$135&lt;&gt;"")))</f>
        <v/>
      </c>
      <c r="L919" s="27">
        <f>IF($A919="","",TRIM(IF(ISERROR(FIND(",",$C919)),$C919,LEFT($C919,FIND(",",$C919)-1))))</f>
        <v/>
      </c>
      <c r="M919" s="28">
        <f>IF($H919="","",DATE(YEAR($H919),MONTH($H919),1))</f>
        <v/>
      </c>
      <c r="N919" s="26">
        <f>IF($H919="","",TODAY()-$H919)</f>
        <v/>
      </c>
      <c r="O919" s="15" t="n"/>
      <c r="P919" s="15" t="n"/>
      <c r="Q919" s="15" t="n"/>
      <c r="R919" s="25" t="n"/>
      <c r="S919" s="26">
        <f>IF($A919="","",AND(OR('Assignment Builder'!$B$5="",$B919='Assignment Builder'!$B$5),OR('Assignment Builder'!$B$6="",ISNUMBER(SEARCH('Assignment Builder'!$B$6,$C919))),OR('Assignment Builder'!$B$7="",'Assignment Builder'!$B$7=IFERROR(INDEX('Category Dictionary'!$C$5:$C$135,MATCH($L919,'Category Dictionary'!$D$5:$D$135,0)),"")),OR('Assignment Builder'!$B$8="",$D919='Assignment Builder'!$B$8),OR('Assignment Builder'!$B$9="",$F919='Assignment Builder'!$B$9),OR('Assignment Builder'!$B$10="",$O919='Assignment Builder'!$B$10),OR('Assignment Builder'!$B$11="",$H919&gt;='Assignment Builder'!$B$11),OR('Assignment Builder'!$B$12="",N($Q919)&lt;='Assignment Builder'!$B$12)))</f>
        <v/>
      </c>
      <c r="T919" s="23" t="n"/>
    </row>
    <row r="920">
      <c r="A920" s="23" t="n"/>
      <c r="B920" s="23" t="n"/>
      <c r="C920" s="24" t="n"/>
      <c r="D920" s="15" t="n"/>
      <c r="E920" s="23" t="n"/>
      <c r="F920" s="15" t="n"/>
      <c r="G920" s="23" t="n"/>
      <c r="H920" s="25" t="n"/>
      <c r="I920" s="15" t="n"/>
      <c r="J920" s="26">
        <f>IF($A920="","",LEN($C920)-LEN(SUBSTITUTE($C920,",",""))+1)</f>
        <v/>
      </c>
      <c r="K920" s="26">
        <f>IF($A920="","",SUMPRODUCT(--ISNUMBER(SEARCH('Category Dictionary'!$D$5:$D$135&amp;"",$C920)),--('Category Dictionary'!$D$5:$D$135&lt;&gt;"")))</f>
        <v/>
      </c>
      <c r="L920" s="27">
        <f>IF($A920="","",TRIM(IF(ISERROR(FIND(",",$C920)),$C920,LEFT($C920,FIND(",",$C920)-1))))</f>
        <v/>
      </c>
      <c r="M920" s="28">
        <f>IF($H920="","",DATE(YEAR($H920),MONTH($H920),1))</f>
        <v/>
      </c>
      <c r="N920" s="26">
        <f>IF($H920="","",TODAY()-$H920)</f>
        <v/>
      </c>
      <c r="O920" s="15" t="n"/>
      <c r="P920" s="15" t="n"/>
      <c r="Q920" s="15" t="n"/>
      <c r="R920" s="25" t="n"/>
      <c r="S920" s="26">
        <f>IF($A920="","",AND(OR('Assignment Builder'!$B$5="",$B920='Assignment Builder'!$B$5),OR('Assignment Builder'!$B$6="",ISNUMBER(SEARCH('Assignment Builder'!$B$6,$C920))),OR('Assignment Builder'!$B$7="",'Assignment Builder'!$B$7=IFERROR(INDEX('Category Dictionary'!$C$5:$C$135,MATCH($L920,'Category Dictionary'!$D$5:$D$135,0)),"")),OR('Assignment Builder'!$B$8="",$D920='Assignment Builder'!$B$8),OR('Assignment Builder'!$B$9="",$F920='Assignment Builder'!$B$9),OR('Assignment Builder'!$B$10="",$O920='Assignment Builder'!$B$10),OR('Assignment Builder'!$B$11="",$H920&gt;='Assignment Builder'!$B$11),OR('Assignment Builder'!$B$12="",N($Q920)&lt;='Assignment Builder'!$B$12)))</f>
        <v/>
      </c>
      <c r="T920" s="23" t="n"/>
    </row>
    <row r="921">
      <c r="A921" s="23" t="n"/>
      <c r="B921" s="23" t="n"/>
      <c r="C921" s="24" t="n"/>
      <c r="D921" s="15" t="n"/>
      <c r="E921" s="23" t="n"/>
      <c r="F921" s="15" t="n"/>
      <c r="G921" s="23" t="n"/>
      <c r="H921" s="25" t="n"/>
      <c r="I921" s="15" t="n"/>
      <c r="J921" s="26">
        <f>IF($A921="","",LEN($C921)-LEN(SUBSTITUTE($C921,",",""))+1)</f>
        <v/>
      </c>
      <c r="K921" s="26">
        <f>IF($A921="","",SUMPRODUCT(--ISNUMBER(SEARCH('Category Dictionary'!$D$5:$D$135&amp;"",$C921)),--('Category Dictionary'!$D$5:$D$135&lt;&gt;"")))</f>
        <v/>
      </c>
      <c r="L921" s="27">
        <f>IF($A921="","",TRIM(IF(ISERROR(FIND(",",$C921)),$C921,LEFT($C921,FIND(",",$C921)-1))))</f>
        <v/>
      </c>
      <c r="M921" s="28">
        <f>IF($H921="","",DATE(YEAR($H921),MONTH($H921),1))</f>
        <v/>
      </c>
      <c r="N921" s="26">
        <f>IF($H921="","",TODAY()-$H921)</f>
        <v/>
      </c>
      <c r="O921" s="15" t="n"/>
      <c r="P921" s="15" t="n"/>
      <c r="Q921" s="15" t="n"/>
      <c r="R921" s="25" t="n"/>
      <c r="S921" s="26">
        <f>IF($A921="","",AND(OR('Assignment Builder'!$B$5="",$B921='Assignment Builder'!$B$5),OR('Assignment Builder'!$B$6="",ISNUMBER(SEARCH('Assignment Builder'!$B$6,$C921))),OR('Assignment Builder'!$B$7="",'Assignment Builder'!$B$7=IFERROR(INDEX('Category Dictionary'!$C$5:$C$135,MATCH($L921,'Category Dictionary'!$D$5:$D$135,0)),"")),OR('Assignment Builder'!$B$8="",$D921='Assignment Builder'!$B$8),OR('Assignment Builder'!$B$9="",$F921='Assignment Builder'!$B$9),OR('Assignment Builder'!$B$10="",$O921='Assignment Builder'!$B$10),OR('Assignment Builder'!$B$11="",$H921&gt;='Assignment Builder'!$B$11),OR('Assignment Builder'!$B$12="",N($Q921)&lt;='Assignment Builder'!$B$12)))</f>
        <v/>
      </c>
      <c r="T921" s="23" t="n"/>
    </row>
    <row r="922">
      <c r="A922" s="23" t="n"/>
      <c r="B922" s="23" t="n"/>
      <c r="C922" s="24" t="n"/>
      <c r="D922" s="15" t="n"/>
      <c r="E922" s="23" t="n"/>
      <c r="F922" s="15" t="n"/>
      <c r="G922" s="23" t="n"/>
      <c r="H922" s="25" t="n"/>
      <c r="I922" s="15" t="n"/>
      <c r="J922" s="26">
        <f>IF($A922="","",LEN($C922)-LEN(SUBSTITUTE($C922,",",""))+1)</f>
        <v/>
      </c>
      <c r="K922" s="26">
        <f>IF($A922="","",SUMPRODUCT(--ISNUMBER(SEARCH('Category Dictionary'!$D$5:$D$135&amp;"",$C922)),--('Category Dictionary'!$D$5:$D$135&lt;&gt;"")))</f>
        <v/>
      </c>
      <c r="L922" s="27">
        <f>IF($A922="","",TRIM(IF(ISERROR(FIND(",",$C922)),$C922,LEFT($C922,FIND(",",$C922)-1))))</f>
        <v/>
      </c>
      <c r="M922" s="28">
        <f>IF($H922="","",DATE(YEAR($H922),MONTH($H922),1))</f>
        <v/>
      </c>
      <c r="N922" s="26">
        <f>IF($H922="","",TODAY()-$H922)</f>
        <v/>
      </c>
      <c r="O922" s="15" t="n"/>
      <c r="P922" s="15" t="n"/>
      <c r="Q922" s="15" t="n"/>
      <c r="R922" s="25" t="n"/>
      <c r="S922" s="26">
        <f>IF($A922="","",AND(OR('Assignment Builder'!$B$5="",$B922='Assignment Builder'!$B$5),OR('Assignment Builder'!$B$6="",ISNUMBER(SEARCH('Assignment Builder'!$B$6,$C922))),OR('Assignment Builder'!$B$7="",'Assignment Builder'!$B$7=IFERROR(INDEX('Category Dictionary'!$C$5:$C$135,MATCH($L922,'Category Dictionary'!$D$5:$D$135,0)),"")),OR('Assignment Builder'!$B$8="",$D922='Assignment Builder'!$B$8),OR('Assignment Builder'!$B$9="",$F922='Assignment Builder'!$B$9),OR('Assignment Builder'!$B$10="",$O922='Assignment Builder'!$B$10),OR('Assignment Builder'!$B$11="",$H922&gt;='Assignment Builder'!$B$11),OR('Assignment Builder'!$B$12="",N($Q922)&lt;='Assignment Builder'!$B$12)))</f>
        <v/>
      </c>
      <c r="T922" s="23" t="n"/>
    </row>
    <row r="923">
      <c r="A923" s="23" t="n"/>
      <c r="B923" s="23" t="n"/>
      <c r="C923" s="24" t="n"/>
      <c r="D923" s="15" t="n"/>
      <c r="E923" s="23" t="n"/>
      <c r="F923" s="15" t="n"/>
      <c r="G923" s="23" t="n"/>
      <c r="H923" s="25" t="n"/>
      <c r="I923" s="15" t="n"/>
      <c r="J923" s="26">
        <f>IF($A923="","",LEN($C923)-LEN(SUBSTITUTE($C923,",",""))+1)</f>
        <v/>
      </c>
      <c r="K923" s="26">
        <f>IF($A923="","",SUMPRODUCT(--ISNUMBER(SEARCH('Category Dictionary'!$D$5:$D$135&amp;"",$C923)),--('Category Dictionary'!$D$5:$D$135&lt;&gt;"")))</f>
        <v/>
      </c>
      <c r="L923" s="27">
        <f>IF($A923="","",TRIM(IF(ISERROR(FIND(",",$C923)),$C923,LEFT($C923,FIND(",",$C923)-1))))</f>
        <v/>
      </c>
      <c r="M923" s="28">
        <f>IF($H923="","",DATE(YEAR($H923),MONTH($H923),1))</f>
        <v/>
      </c>
      <c r="N923" s="26">
        <f>IF($H923="","",TODAY()-$H923)</f>
        <v/>
      </c>
      <c r="O923" s="15" t="n"/>
      <c r="P923" s="15" t="n"/>
      <c r="Q923" s="15" t="n"/>
      <c r="R923" s="25" t="n"/>
      <c r="S923" s="26">
        <f>IF($A923="","",AND(OR('Assignment Builder'!$B$5="",$B923='Assignment Builder'!$B$5),OR('Assignment Builder'!$B$6="",ISNUMBER(SEARCH('Assignment Builder'!$B$6,$C923))),OR('Assignment Builder'!$B$7="",'Assignment Builder'!$B$7=IFERROR(INDEX('Category Dictionary'!$C$5:$C$135,MATCH($L923,'Category Dictionary'!$D$5:$D$135,0)),"")),OR('Assignment Builder'!$B$8="",$D923='Assignment Builder'!$B$8),OR('Assignment Builder'!$B$9="",$F923='Assignment Builder'!$B$9),OR('Assignment Builder'!$B$10="",$O923='Assignment Builder'!$B$10),OR('Assignment Builder'!$B$11="",$H923&gt;='Assignment Builder'!$B$11),OR('Assignment Builder'!$B$12="",N($Q923)&lt;='Assignment Builder'!$B$12)))</f>
        <v/>
      </c>
      <c r="T923" s="23" t="n"/>
    </row>
    <row r="924">
      <c r="A924" s="23" t="n"/>
      <c r="B924" s="23" t="n"/>
      <c r="C924" s="24" t="n"/>
      <c r="D924" s="15" t="n"/>
      <c r="E924" s="23" t="n"/>
      <c r="F924" s="15" t="n"/>
      <c r="G924" s="23" t="n"/>
      <c r="H924" s="25" t="n"/>
      <c r="I924" s="15" t="n"/>
      <c r="J924" s="26">
        <f>IF($A924="","",LEN($C924)-LEN(SUBSTITUTE($C924,",",""))+1)</f>
        <v/>
      </c>
      <c r="K924" s="26">
        <f>IF($A924="","",SUMPRODUCT(--ISNUMBER(SEARCH('Category Dictionary'!$D$5:$D$135&amp;"",$C924)),--('Category Dictionary'!$D$5:$D$135&lt;&gt;"")))</f>
        <v/>
      </c>
      <c r="L924" s="27">
        <f>IF($A924="","",TRIM(IF(ISERROR(FIND(",",$C924)),$C924,LEFT($C924,FIND(",",$C924)-1))))</f>
        <v/>
      </c>
      <c r="M924" s="28">
        <f>IF($H924="","",DATE(YEAR($H924),MONTH($H924),1))</f>
        <v/>
      </c>
      <c r="N924" s="26">
        <f>IF($H924="","",TODAY()-$H924)</f>
        <v/>
      </c>
      <c r="O924" s="15" t="n"/>
      <c r="P924" s="15" t="n"/>
      <c r="Q924" s="15" t="n"/>
      <c r="R924" s="25" t="n"/>
      <c r="S924" s="26">
        <f>IF($A924="","",AND(OR('Assignment Builder'!$B$5="",$B924='Assignment Builder'!$B$5),OR('Assignment Builder'!$B$6="",ISNUMBER(SEARCH('Assignment Builder'!$B$6,$C924))),OR('Assignment Builder'!$B$7="",'Assignment Builder'!$B$7=IFERROR(INDEX('Category Dictionary'!$C$5:$C$135,MATCH($L924,'Category Dictionary'!$D$5:$D$135,0)),"")),OR('Assignment Builder'!$B$8="",$D924='Assignment Builder'!$B$8),OR('Assignment Builder'!$B$9="",$F924='Assignment Builder'!$B$9),OR('Assignment Builder'!$B$10="",$O924='Assignment Builder'!$B$10),OR('Assignment Builder'!$B$11="",$H924&gt;='Assignment Builder'!$B$11),OR('Assignment Builder'!$B$12="",N($Q924)&lt;='Assignment Builder'!$B$12)))</f>
        <v/>
      </c>
      <c r="T924" s="23" t="n"/>
    </row>
    <row r="925">
      <c r="A925" s="23" t="n"/>
      <c r="B925" s="23" t="n"/>
      <c r="C925" s="24" t="n"/>
      <c r="D925" s="15" t="n"/>
      <c r="E925" s="23" t="n"/>
      <c r="F925" s="15" t="n"/>
      <c r="G925" s="23" t="n"/>
      <c r="H925" s="25" t="n"/>
      <c r="I925" s="15" t="n"/>
      <c r="J925" s="26">
        <f>IF($A925="","",LEN($C925)-LEN(SUBSTITUTE($C925,",",""))+1)</f>
        <v/>
      </c>
      <c r="K925" s="26">
        <f>IF($A925="","",SUMPRODUCT(--ISNUMBER(SEARCH('Category Dictionary'!$D$5:$D$135&amp;"",$C925)),--('Category Dictionary'!$D$5:$D$135&lt;&gt;"")))</f>
        <v/>
      </c>
      <c r="L925" s="27">
        <f>IF($A925="","",TRIM(IF(ISERROR(FIND(",",$C925)),$C925,LEFT($C925,FIND(",",$C925)-1))))</f>
        <v/>
      </c>
      <c r="M925" s="28">
        <f>IF($H925="","",DATE(YEAR($H925),MONTH($H925),1))</f>
        <v/>
      </c>
      <c r="N925" s="26">
        <f>IF($H925="","",TODAY()-$H925)</f>
        <v/>
      </c>
      <c r="O925" s="15" t="n"/>
      <c r="P925" s="15" t="n"/>
      <c r="Q925" s="15" t="n"/>
      <c r="R925" s="25" t="n"/>
      <c r="S925" s="26">
        <f>IF($A925="","",AND(OR('Assignment Builder'!$B$5="",$B925='Assignment Builder'!$B$5),OR('Assignment Builder'!$B$6="",ISNUMBER(SEARCH('Assignment Builder'!$B$6,$C925))),OR('Assignment Builder'!$B$7="",'Assignment Builder'!$B$7=IFERROR(INDEX('Category Dictionary'!$C$5:$C$135,MATCH($L925,'Category Dictionary'!$D$5:$D$135,0)),"")),OR('Assignment Builder'!$B$8="",$D925='Assignment Builder'!$B$8),OR('Assignment Builder'!$B$9="",$F925='Assignment Builder'!$B$9),OR('Assignment Builder'!$B$10="",$O925='Assignment Builder'!$B$10),OR('Assignment Builder'!$B$11="",$H925&gt;='Assignment Builder'!$B$11),OR('Assignment Builder'!$B$12="",N($Q925)&lt;='Assignment Builder'!$B$12)))</f>
        <v/>
      </c>
      <c r="T925" s="23" t="n"/>
    </row>
    <row r="926">
      <c r="A926" s="23" t="n"/>
      <c r="B926" s="23" t="n"/>
      <c r="C926" s="24" t="n"/>
      <c r="D926" s="15" t="n"/>
      <c r="E926" s="23" t="n"/>
      <c r="F926" s="15" t="n"/>
      <c r="G926" s="23" t="n"/>
      <c r="H926" s="25" t="n"/>
      <c r="I926" s="15" t="n"/>
      <c r="J926" s="26">
        <f>IF($A926="","",LEN($C926)-LEN(SUBSTITUTE($C926,",",""))+1)</f>
        <v/>
      </c>
      <c r="K926" s="26">
        <f>IF($A926="","",SUMPRODUCT(--ISNUMBER(SEARCH('Category Dictionary'!$D$5:$D$135&amp;"",$C926)),--('Category Dictionary'!$D$5:$D$135&lt;&gt;"")))</f>
        <v/>
      </c>
      <c r="L926" s="27">
        <f>IF($A926="","",TRIM(IF(ISERROR(FIND(",",$C926)),$C926,LEFT($C926,FIND(",",$C926)-1))))</f>
        <v/>
      </c>
      <c r="M926" s="28">
        <f>IF($H926="","",DATE(YEAR($H926),MONTH($H926),1))</f>
        <v/>
      </c>
      <c r="N926" s="26">
        <f>IF($H926="","",TODAY()-$H926)</f>
        <v/>
      </c>
      <c r="O926" s="15" t="n"/>
      <c r="P926" s="15" t="n"/>
      <c r="Q926" s="15" t="n"/>
      <c r="R926" s="25" t="n"/>
      <c r="S926" s="26">
        <f>IF($A926="","",AND(OR('Assignment Builder'!$B$5="",$B926='Assignment Builder'!$B$5),OR('Assignment Builder'!$B$6="",ISNUMBER(SEARCH('Assignment Builder'!$B$6,$C926))),OR('Assignment Builder'!$B$7="",'Assignment Builder'!$B$7=IFERROR(INDEX('Category Dictionary'!$C$5:$C$135,MATCH($L926,'Category Dictionary'!$D$5:$D$135,0)),"")),OR('Assignment Builder'!$B$8="",$D926='Assignment Builder'!$B$8),OR('Assignment Builder'!$B$9="",$F926='Assignment Builder'!$B$9),OR('Assignment Builder'!$B$10="",$O926='Assignment Builder'!$B$10),OR('Assignment Builder'!$B$11="",$H926&gt;='Assignment Builder'!$B$11),OR('Assignment Builder'!$B$12="",N($Q926)&lt;='Assignment Builder'!$B$12)))</f>
        <v/>
      </c>
      <c r="T926" s="23" t="n"/>
    </row>
    <row r="927">
      <c r="A927" s="23" t="n"/>
      <c r="B927" s="23" t="n"/>
      <c r="C927" s="24" t="n"/>
      <c r="D927" s="15" t="n"/>
      <c r="E927" s="23" t="n"/>
      <c r="F927" s="15" t="n"/>
      <c r="G927" s="23" t="n"/>
      <c r="H927" s="25" t="n"/>
      <c r="I927" s="15" t="n"/>
      <c r="J927" s="26">
        <f>IF($A927="","",LEN($C927)-LEN(SUBSTITUTE($C927,",",""))+1)</f>
        <v/>
      </c>
      <c r="K927" s="26">
        <f>IF($A927="","",SUMPRODUCT(--ISNUMBER(SEARCH('Category Dictionary'!$D$5:$D$135&amp;"",$C927)),--('Category Dictionary'!$D$5:$D$135&lt;&gt;"")))</f>
        <v/>
      </c>
      <c r="L927" s="27">
        <f>IF($A927="","",TRIM(IF(ISERROR(FIND(",",$C927)),$C927,LEFT($C927,FIND(",",$C927)-1))))</f>
        <v/>
      </c>
      <c r="M927" s="28">
        <f>IF($H927="","",DATE(YEAR($H927),MONTH($H927),1))</f>
        <v/>
      </c>
      <c r="N927" s="26">
        <f>IF($H927="","",TODAY()-$H927)</f>
        <v/>
      </c>
      <c r="O927" s="15" t="n"/>
      <c r="P927" s="15" t="n"/>
      <c r="Q927" s="15" t="n"/>
      <c r="R927" s="25" t="n"/>
      <c r="S927" s="26">
        <f>IF($A927="","",AND(OR('Assignment Builder'!$B$5="",$B927='Assignment Builder'!$B$5),OR('Assignment Builder'!$B$6="",ISNUMBER(SEARCH('Assignment Builder'!$B$6,$C927))),OR('Assignment Builder'!$B$7="",'Assignment Builder'!$B$7=IFERROR(INDEX('Category Dictionary'!$C$5:$C$135,MATCH($L927,'Category Dictionary'!$D$5:$D$135,0)),"")),OR('Assignment Builder'!$B$8="",$D927='Assignment Builder'!$B$8),OR('Assignment Builder'!$B$9="",$F927='Assignment Builder'!$B$9),OR('Assignment Builder'!$B$10="",$O927='Assignment Builder'!$B$10),OR('Assignment Builder'!$B$11="",$H927&gt;='Assignment Builder'!$B$11),OR('Assignment Builder'!$B$12="",N($Q927)&lt;='Assignment Builder'!$B$12)))</f>
        <v/>
      </c>
      <c r="T927" s="23" t="n"/>
    </row>
    <row r="928">
      <c r="A928" s="23" t="n"/>
      <c r="B928" s="23" t="n"/>
      <c r="C928" s="24" t="n"/>
      <c r="D928" s="15" t="n"/>
      <c r="E928" s="23" t="n"/>
      <c r="F928" s="15" t="n"/>
      <c r="G928" s="23" t="n"/>
      <c r="H928" s="25" t="n"/>
      <c r="I928" s="15" t="n"/>
      <c r="J928" s="26">
        <f>IF($A928="","",LEN($C928)-LEN(SUBSTITUTE($C928,",",""))+1)</f>
        <v/>
      </c>
      <c r="K928" s="26">
        <f>IF($A928="","",SUMPRODUCT(--ISNUMBER(SEARCH('Category Dictionary'!$D$5:$D$135&amp;"",$C928)),--('Category Dictionary'!$D$5:$D$135&lt;&gt;"")))</f>
        <v/>
      </c>
      <c r="L928" s="27">
        <f>IF($A928="","",TRIM(IF(ISERROR(FIND(",",$C928)),$C928,LEFT($C928,FIND(",",$C928)-1))))</f>
        <v/>
      </c>
      <c r="M928" s="28">
        <f>IF($H928="","",DATE(YEAR($H928),MONTH($H928),1))</f>
        <v/>
      </c>
      <c r="N928" s="26">
        <f>IF($H928="","",TODAY()-$H928)</f>
        <v/>
      </c>
      <c r="O928" s="15" t="n"/>
      <c r="P928" s="15" t="n"/>
      <c r="Q928" s="15" t="n"/>
      <c r="R928" s="25" t="n"/>
      <c r="S928" s="26">
        <f>IF($A928="","",AND(OR('Assignment Builder'!$B$5="",$B928='Assignment Builder'!$B$5),OR('Assignment Builder'!$B$6="",ISNUMBER(SEARCH('Assignment Builder'!$B$6,$C928))),OR('Assignment Builder'!$B$7="",'Assignment Builder'!$B$7=IFERROR(INDEX('Category Dictionary'!$C$5:$C$135,MATCH($L928,'Category Dictionary'!$D$5:$D$135,0)),"")),OR('Assignment Builder'!$B$8="",$D928='Assignment Builder'!$B$8),OR('Assignment Builder'!$B$9="",$F928='Assignment Builder'!$B$9),OR('Assignment Builder'!$B$10="",$O928='Assignment Builder'!$B$10),OR('Assignment Builder'!$B$11="",$H928&gt;='Assignment Builder'!$B$11),OR('Assignment Builder'!$B$12="",N($Q928)&lt;='Assignment Builder'!$B$12)))</f>
        <v/>
      </c>
      <c r="T928" s="23" t="n"/>
    </row>
    <row r="929">
      <c r="A929" s="23" t="n"/>
      <c r="B929" s="23" t="n"/>
      <c r="C929" s="24" t="n"/>
      <c r="D929" s="15" t="n"/>
      <c r="E929" s="23" t="n"/>
      <c r="F929" s="15" t="n"/>
      <c r="G929" s="23" t="n"/>
      <c r="H929" s="25" t="n"/>
      <c r="I929" s="15" t="n"/>
      <c r="J929" s="26">
        <f>IF($A929="","",LEN($C929)-LEN(SUBSTITUTE($C929,",",""))+1)</f>
        <v/>
      </c>
      <c r="K929" s="26">
        <f>IF($A929="","",SUMPRODUCT(--ISNUMBER(SEARCH('Category Dictionary'!$D$5:$D$135&amp;"",$C929)),--('Category Dictionary'!$D$5:$D$135&lt;&gt;"")))</f>
        <v/>
      </c>
      <c r="L929" s="27">
        <f>IF($A929="","",TRIM(IF(ISERROR(FIND(",",$C929)),$C929,LEFT($C929,FIND(",",$C929)-1))))</f>
        <v/>
      </c>
      <c r="M929" s="28">
        <f>IF($H929="","",DATE(YEAR($H929),MONTH($H929),1))</f>
        <v/>
      </c>
      <c r="N929" s="26">
        <f>IF($H929="","",TODAY()-$H929)</f>
        <v/>
      </c>
      <c r="O929" s="15" t="n"/>
      <c r="P929" s="15" t="n"/>
      <c r="Q929" s="15" t="n"/>
      <c r="R929" s="25" t="n"/>
      <c r="S929" s="26">
        <f>IF($A929="","",AND(OR('Assignment Builder'!$B$5="",$B929='Assignment Builder'!$B$5),OR('Assignment Builder'!$B$6="",ISNUMBER(SEARCH('Assignment Builder'!$B$6,$C929))),OR('Assignment Builder'!$B$7="",'Assignment Builder'!$B$7=IFERROR(INDEX('Category Dictionary'!$C$5:$C$135,MATCH($L929,'Category Dictionary'!$D$5:$D$135,0)),"")),OR('Assignment Builder'!$B$8="",$D929='Assignment Builder'!$B$8),OR('Assignment Builder'!$B$9="",$F929='Assignment Builder'!$B$9),OR('Assignment Builder'!$B$10="",$O929='Assignment Builder'!$B$10),OR('Assignment Builder'!$B$11="",$H929&gt;='Assignment Builder'!$B$11),OR('Assignment Builder'!$B$12="",N($Q929)&lt;='Assignment Builder'!$B$12)))</f>
        <v/>
      </c>
      <c r="T929" s="23" t="n"/>
    </row>
    <row r="930">
      <c r="A930" s="23" t="n"/>
      <c r="B930" s="23" t="n"/>
      <c r="C930" s="24" t="n"/>
      <c r="D930" s="15" t="n"/>
      <c r="E930" s="23" t="n"/>
      <c r="F930" s="15" t="n"/>
      <c r="G930" s="23" t="n"/>
      <c r="H930" s="25" t="n"/>
      <c r="I930" s="15" t="n"/>
      <c r="J930" s="26">
        <f>IF($A930="","",LEN($C930)-LEN(SUBSTITUTE($C930,",",""))+1)</f>
        <v/>
      </c>
      <c r="K930" s="26">
        <f>IF($A930="","",SUMPRODUCT(--ISNUMBER(SEARCH('Category Dictionary'!$D$5:$D$135&amp;"",$C930)),--('Category Dictionary'!$D$5:$D$135&lt;&gt;"")))</f>
        <v/>
      </c>
      <c r="L930" s="27">
        <f>IF($A930="","",TRIM(IF(ISERROR(FIND(",",$C930)),$C930,LEFT($C930,FIND(",",$C930)-1))))</f>
        <v/>
      </c>
      <c r="M930" s="28">
        <f>IF($H930="","",DATE(YEAR($H930),MONTH($H930),1))</f>
        <v/>
      </c>
      <c r="N930" s="26">
        <f>IF($H930="","",TODAY()-$H930)</f>
        <v/>
      </c>
      <c r="O930" s="15" t="n"/>
      <c r="P930" s="15" t="n"/>
      <c r="Q930" s="15" t="n"/>
      <c r="R930" s="25" t="n"/>
      <c r="S930" s="26">
        <f>IF($A930="","",AND(OR('Assignment Builder'!$B$5="",$B930='Assignment Builder'!$B$5),OR('Assignment Builder'!$B$6="",ISNUMBER(SEARCH('Assignment Builder'!$B$6,$C930))),OR('Assignment Builder'!$B$7="",'Assignment Builder'!$B$7=IFERROR(INDEX('Category Dictionary'!$C$5:$C$135,MATCH($L930,'Category Dictionary'!$D$5:$D$135,0)),"")),OR('Assignment Builder'!$B$8="",$D930='Assignment Builder'!$B$8),OR('Assignment Builder'!$B$9="",$F930='Assignment Builder'!$B$9),OR('Assignment Builder'!$B$10="",$O930='Assignment Builder'!$B$10),OR('Assignment Builder'!$B$11="",$H930&gt;='Assignment Builder'!$B$11),OR('Assignment Builder'!$B$12="",N($Q930)&lt;='Assignment Builder'!$B$12)))</f>
        <v/>
      </c>
      <c r="T930" s="23" t="n"/>
    </row>
    <row r="931">
      <c r="A931" s="23" t="n"/>
      <c r="B931" s="23" t="n"/>
      <c r="C931" s="24" t="n"/>
      <c r="D931" s="15" t="n"/>
      <c r="E931" s="23" t="n"/>
      <c r="F931" s="15" t="n"/>
      <c r="G931" s="23" t="n"/>
      <c r="H931" s="25" t="n"/>
      <c r="I931" s="15" t="n"/>
      <c r="J931" s="26">
        <f>IF($A931="","",LEN($C931)-LEN(SUBSTITUTE($C931,",",""))+1)</f>
        <v/>
      </c>
      <c r="K931" s="26">
        <f>IF($A931="","",SUMPRODUCT(--ISNUMBER(SEARCH('Category Dictionary'!$D$5:$D$135&amp;"",$C931)),--('Category Dictionary'!$D$5:$D$135&lt;&gt;"")))</f>
        <v/>
      </c>
      <c r="L931" s="27">
        <f>IF($A931="","",TRIM(IF(ISERROR(FIND(",",$C931)),$C931,LEFT($C931,FIND(",",$C931)-1))))</f>
        <v/>
      </c>
      <c r="M931" s="28">
        <f>IF($H931="","",DATE(YEAR($H931),MONTH($H931),1))</f>
        <v/>
      </c>
      <c r="N931" s="26">
        <f>IF($H931="","",TODAY()-$H931)</f>
        <v/>
      </c>
      <c r="O931" s="15" t="n"/>
      <c r="P931" s="15" t="n"/>
      <c r="Q931" s="15" t="n"/>
      <c r="R931" s="25" t="n"/>
      <c r="S931" s="26">
        <f>IF($A931="","",AND(OR('Assignment Builder'!$B$5="",$B931='Assignment Builder'!$B$5),OR('Assignment Builder'!$B$6="",ISNUMBER(SEARCH('Assignment Builder'!$B$6,$C931))),OR('Assignment Builder'!$B$7="",'Assignment Builder'!$B$7=IFERROR(INDEX('Category Dictionary'!$C$5:$C$135,MATCH($L931,'Category Dictionary'!$D$5:$D$135,0)),"")),OR('Assignment Builder'!$B$8="",$D931='Assignment Builder'!$B$8),OR('Assignment Builder'!$B$9="",$F931='Assignment Builder'!$B$9),OR('Assignment Builder'!$B$10="",$O931='Assignment Builder'!$B$10),OR('Assignment Builder'!$B$11="",$H931&gt;='Assignment Builder'!$B$11),OR('Assignment Builder'!$B$12="",N($Q931)&lt;='Assignment Builder'!$B$12)))</f>
        <v/>
      </c>
      <c r="T931" s="23" t="n"/>
    </row>
    <row r="932">
      <c r="A932" s="23" t="n"/>
      <c r="B932" s="23" t="n"/>
      <c r="C932" s="24" t="n"/>
      <c r="D932" s="15" t="n"/>
      <c r="E932" s="23" t="n"/>
      <c r="F932" s="15" t="n"/>
      <c r="G932" s="23" t="n"/>
      <c r="H932" s="25" t="n"/>
      <c r="I932" s="15" t="n"/>
      <c r="J932" s="26">
        <f>IF($A932="","",LEN($C932)-LEN(SUBSTITUTE($C932,",",""))+1)</f>
        <v/>
      </c>
      <c r="K932" s="26">
        <f>IF($A932="","",SUMPRODUCT(--ISNUMBER(SEARCH('Category Dictionary'!$D$5:$D$135&amp;"",$C932)),--('Category Dictionary'!$D$5:$D$135&lt;&gt;"")))</f>
        <v/>
      </c>
      <c r="L932" s="27">
        <f>IF($A932="","",TRIM(IF(ISERROR(FIND(",",$C932)),$C932,LEFT($C932,FIND(",",$C932)-1))))</f>
        <v/>
      </c>
      <c r="M932" s="28">
        <f>IF($H932="","",DATE(YEAR($H932),MONTH($H932),1))</f>
        <v/>
      </c>
      <c r="N932" s="26">
        <f>IF($H932="","",TODAY()-$H932)</f>
        <v/>
      </c>
      <c r="O932" s="15" t="n"/>
      <c r="P932" s="15" t="n"/>
      <c r="Q932" s="15" t="n"/>
      <c r="R932" s="25" t="n"/>
      <c r="S932" s="26">
        <f>IF($A932="","",AND(OR('Assignment Builder'!$B$5="",$B932='Assignment Builder'!$B$5),OR('Assignment Builder'!$B$6="",ISNUMBER(SEARCH('Assignment Builder'!$B$6,$C932))),OR('Assignment Builder'!$B$7="",'Assignment Builder'!$B$7=IFERROR(INDEX('Category Dictionary'!$C$5:$C$135,MATCH($L932,'Category Dictionary'!$D$5:$D$135,0)),"")),OR('Assignment Builder'!$B$8="",$D932='Assignment Builder'!$B$8),OR('Assignment Builder'!$B$9="",$F932='Assignment Builder'!$B$9),OR('Assignment Builder'!$B$10="",$O932='Assignment Builder'!$B$10),OR('Assignment Builder'!$B$11="",$H932&gt;='Assignment Builder'!$B$11),OR('Assignment Builder'!$B$12="",N($Q932)&lt;='Assignment Builder'!$B$12)))</f>
        <v/>
      </c>
      <c r="T932" s="23" t="n"/>
    </row>
    <row r="933">
      <c r="A933" s="23" t="n"/>
      <c r="B933" s="23" t="n"/>
      <c r="C933" s="24" t="n"/>
      <c r="D933" s="15" t="n"/>
      <c r="E933" s="23" t="n"/>
      <c r="F933" s="15" t="n"/>
      <c r="G933" s="23" t="n"/>
      <c r="H933" s="25" t="n"/>
      <c r="I933" s="15" t="n"/>
      <c r="J933" s="26">
        <f>IF($A933="","",LEN($C933)-LEN(SUBSTITUTE($C933,",",""))+1)</f>
        <v/>
      </c>
      <c r="K933" s="26">
        <f>IF($A933="","",SUMPRODUCT(--ISNUMBER(SEARCH('Category Dictionary'!$D$5:$D$135&amp;"",$C933)),--('Category Dictionary'!$D$5:$D$135&lt;&gt;"")))</f>
        <v/>
      </c>
      <c r="L933" s="27">
        <f>IF($A933="","",TRIM(IF(ISERROR(FIND(",",$C933)),$C933,LEFT($C933,FIND(",",$C933)-1))))</f>
        <v/>
      </c>
      <c r="M933" s="28">
        <f>IF($H933="","",DATE(YEAR($H933),MONTH($H933),1))</f>
        <v/>
      </c>
      <c r="N933" s="26">
        <f>IF($H933="","",TODAY()-$H933)</f>
        <v/>
      </c>
      <c r="O933" s="15" t="n"/>
      <c r="P933" s="15" t="n"/>
      <c r="Q933" s="15" t="n"/>
      <c r="R933" s="25" t="n"/>
      <c r="S933" s="26">
        <f>IF($A933="","",AND(OR('Assignment Builder'!$B$5="",$B933='Assignment Builder'!$B$5),OR('Assignment Builder'!$B$6="",ISNUMBER(SEARCH('Assignment Builder'!$B$6,$C933))),OR('Assignment Builder'!$B$7="",'Assignment Builder'!$B$7=IFERROR(INDEX('Category Dictionary'!$C$5:$C$135,MATCH($L933,'Category Dictionary'!$D$5:$D$135,0)),"")),OR('Assignment Builder'!$B$8="",$D933='Assignment Builder'!$B$8),OR('Assignment Builder'!$B$9="",$F933='Assignment Builder'!$B$9),OR('Assignment Builder'!$B$10="",$O933='Assignment Builder'!$B$10),OR('Assignment Builder'!$B$11="",$H933&gt;='Assignment Builder'!$B$11),OR('Assignment Builder'!$B$12="",N($Q933)&lt;='Assignment Builder'!$B$12)))</f>
        <v/>
      </c>
      <c r="T933" s="23" t="n"/>
    </row>
    <row r="934">
      <c r="A934" s="23" t="n"/>
      <c r="B934" s="23" t="n"/>
      <c r="C934" s="24" t="n"/>
      <c r="D934" s="15" t="n"/>
      <c r="E934" s="23" t="n"/>
      <c r="F934" s="15" t="n"/>
      <c r="G934" s="23" t="n"/>
      <c r="H934" s="25" t="n"/>
      <c r="I934" s="15" t="n"/>
      <c r="J934" s="26">
        <f>IF($A934="","",LEN($C934)-LEN(SUBSTITUTE($C934,",",""))+1)</f>
        <v/>
      </c>
      <c r="K934" s="26">
        <f>IF($A934="","",SUMPRODUCT(--ISNUMBER(SEARCH('Category Dictionary'!$D$5:$D$135&amp;"",$C934)),--('Category Dictionary'!$D$5:$D$135&lt;&gt;"")))</f>
        <v/>
      </c>
      <c r="L934" s="27">
        <f>IF($A934="","",TRIM(IF(ISERROR(FIND(",",$C934)),$C934,LEFT($C934,FIND(",",$C934)-1))))</f>
        <v/>
      </c>
      <c r="M934" s="28">
        <f>IF($H934="","",DATE(YEAR($H934),MONTH($H934),1))</f>
        <v/>
      </c>
      <c r="N934" s="26">
        <f>IF($H934="","",TODAY()-$H934)</f>
        <v/>
      </c>
      <c r="O934" s="15" t="n"/>
      <c r="P934" s="15" t="n"/>
      <c r="Q934" s="15" t="n"/>
      <c r="R934" s="25" t="n"/>
      <c r="S934" s="26">
        <f>IF($A934="","",AND(OR('Assignment Builder'!$B$5="",$B934='Assignment Builder'!$B$5),OR('Assignment Builder'!$B$6="",ISNUMBER(SEARCH('Assignment Builder'!$B$6,$C934))),OR('Assignment Builder'!$B$7="",'Assignment Builder'!$B$7=IFERROR(INDEX('Category Dictionary'!$C$5:$C$135,MATCH($L934,'Category Dictionary'!$D$5:$D$135,0)),"")),OR('Assignment Builder'!$B$8="",$D934='Assignment Builder'!$B$8),OR('Assignment Builder'!$B$9="",$F934='Assignment Builder'!$B$9),OR('Assignment Builder'!$B$10="",$O934='Assignment Builder'!$B$10),OR('Assignment Builder'!$B$11="",$H934&gt;='Assignment Builder'!$B$11),OR('Assignment Builder'!$B$12="",N($Q934)&lt;='Assignment Builder'!$B$12)))</f>
        <v/>
      </c>
      <c r="T934" s="23" t="n"/>
    </row>
    <row r="935">
      <c r="A935" s="23" t="n"/>
      <c r="B935" s="23" t="n"/>
      <c r="C935" s="24" t="n"/>
      <c r="D935" s="15" t="n"/>
      <c r="E935" s="23" t="n"/>
      <c r="F935" s="15" t="n"/>
      <c r="G935" s="23" t="n"/>
      <c r="H935" s="25" t="n"/>
      <c r="I935" s="15" t="n"/>
      <c r="J935" s="26">
        <f>IF($A935="","",LEN($C935)-LEN(SUBSTITUTE($C935,",",""))+1)</f>
        <v/>
      </c>
      <c r="K935" s="26">
        <f>IF($A935="","",SUMPRODUCT(--ISNUMBER(SEARCH('Category Dictionary'!$D$5:$D$135&amp;"",$C935)),--('Category Dictionary'!$D$5:$D$135&lt;&gt;"")))</f>
        <v/>
      </c>
      <c r="L935" s="27">
        <f>IF($A935="","",TRIM(IF(ISERROR(FIND(",",$C935)),$C935,LEFT($C935,FIND(",",$C935)-1))))</f>
        <v/>
      </c>
      <c r="M935" s="28">
        <f>IF($H935="","",DATE(YEAR($H935),MONTH($H935),1))</f>
        <v/>
      </c>
      <c r="N935" s="26">
        <f>IF($H935="","",TODAY()-$H935)</f>
        <v/>
      </c>
      <c r="O935" s="15" t="n"/>
      <c r="P935" s="15" t="n"/>
      <c r="Q935" s="15" t="n"/>
      <c r="R935" s="25" t="n"/>
      <c r="S935" s="26">
        <f>IF($A935="","",AND(OR('Assignment Builder'!$B$5="",$B935='Assignment Builder'!$B$5),OR('Assignment Builder'!$B$6="",ISNUMBER(SEARCH('Assignment Builder'!$B$6,$C935))),OR('Assignment Builder'!$B$7="",'Assignment Builder'!$B$7=IFERROR(INDEX('Category Dictionary'!$C$5:$C$135,MATCH($L935,'Category Dictionary'!$D$5:$D$135,0)),"")),OR('Assignment Builder'!$B$8="",$D935='Assignment Builder'!$B$8),OR('Assignment Builder'!$B$9="",$F935='Assignment Builder'!$B$9),OR('Assignment Builder'!$B$10="",$O935='Assignment Builder'!$B$10),OR('Assignment Builder'!$B$11="",$H935&gt;='Assignment Builder'!$B$11),OR('Assignment Builder'!$B$12="",N($Q935)&lt;='Assignment Builder'!$B$12)))</f>
        <v/>
      </c>
      <c r="T935" s="23" t="n"/>
    </row>
    <row r="936">
      <c r="A936" s="23" t="n"/>
      <c r="B936" s="23" t="n"/>
      <c r="C936" s="24" t="n"/>
      <c r="D936" s="15" t="n"/>
      <c r="E936" s="23" t="n"/>
      <c r="F936" s="15" t="n"/>
      <c r="G936" s="23" t="n"/>
      <c r="H936" s="25" t="n"/>
      <c r="I936" s="15" t="n"/>
      <c r="J936" s="26">
        <f>IF($A936="","",LEN($C936)-LEN(SUBSTITUTE($C936,",",""))+1)</f>
        <v/>
      </c>
      <c r="K936" s="26">
        <f>IF($A936="","",SUMPRODUCT(--ISNUMBER(SEARCH('Category Dictionary'!$D$5:$D$135&amp;"",$C936)),--('Category Dictionary'!$D$5:$D$135&lt;&gt;"")))</f>
        <v/>
      </c>
      <c r="L936" s="27">
        <f>IF($A936="","",TRIM(IF(ISERROR(FIND(",",$C936)),$C936,LEFT($C936,FIND(",",$C936)-1))))</f>
        <v/>
      </c>
      <c r="M936" s="28">
        <f>IF($H936="","",DATE(YEAR($H936),MONTH($H936),1))</f>
        <v/>
      </c>
      <c r="N936" s="26">
        <f>IF($H936="","",TODAY()-$H936)</f>
        <v/>
      </c>
      <c r="O936" s="15" t="n"/>
      <c r="P936" s="15" t="n"/>
      <c r="Q936" s="15" t="n"/>
      <c r="R936" s="25" t="n"/>
      <c r="S936" s="26">
        <f>IF($A936="","",AND(OR('Assignment Builder'!$B$5="",$B936='Assignment Builder'!$B$5),OR('Assignment Builder'!$B$6="",ISNUMBER(SEARCH('Assignment Builder'!$B$6,$C936))),OR('Assignment Builder'!$B$7="",'Assignment Builder'!$B$7=IFERROR(INDEX('Category Dictionary'!$C$5:$C$135,MATCH($L936,'Category Dictionary'!$D$5:$D$135,0)),"")),OR('Assignment Builder'!$B$8="",$D936='Assignment Builder'!$B$8),OR('Assignment Builder'!$B$9="",$F936='Assignment Builder'!$B$9),OR('Assignment Builder'!$B$10="",$O936='Assignment Builder'!$B$10),OR('Assignment Builder'!$B$11="",$H936&gt;='Assignment Builder'!$B$11),OR('Assignment Builder'!$B$12="",N($Q936)&lt;='Assignment Builder'!$B$12)))</f>
        <v/>
      </c>
      <c r="T936" s="23" t="n"/>
    </row>
    <row r="937">
      <c r="A937" s="23" t="n"/>
      <c r="B937" s="23" t="n"/>
      <c r="C937" s="24" t="n"/>
      <c r="D937" s="15" t="n"/>
      <c r="E937" s="23" t="n"/>
      <c r="F937" s="15" t="n"/>
      <c r="G937" s="23" t="n"/>
      <c r="H937" s="25" t="n"/>
      <c r="I937" s="15" t="n"/>
      <c r="J937" s="26">
        <f>IF($A937="","",LEN($C937)-LEN(SUBSTITUTE($C937,",",""))+1)</f>
        <v/>
      </c>
      <c r="K937" s="26">
        <f>IF($A937="","",SUMPRODUCT(--ISNUMBER(SEARCH('Category Dictionary'!$D$5:$D$135&amp;"",$C937)),--('Category Dictionary'!$D$5:$D$135&lt;&gt;"")))</f>
        <v/>
      </c>
      <c r="L937" s="27">
        <f>IF($A937="","",TRIM(IF(ISERROR(FIND(",",$C937)),$C937,LEFT($C937,FIND(",",$C937)-1))))</f>
        <v/>
      </c>
      <c r="M937" s="28">
        <f>IF($H937="","",DATE(YEAR($H937),MONTH($H937),1))</f>
        <v/>
      </c>
      <c r="N937" s="26">
        <f>IF($H937="","",TODAY()-$H937)</f>
        <v/>
      </c>
      <c r="O937" s="15" t="n"/>
      <c r="P937" s="15" t="n"/>
      <c r="Q937" s="15" t="n"/>
      <c r="R937" s="25" t="n"/>
      <c r="S937" s="26">
        <f>IF($A937="","",AND(OR('Assignment Builder'!$B$5="",$B937='Assignment Builder'!$B$5),OR('Assignment Builder'!$B$6="",ISNUMBER(SEARCH('Assignment Builder'!$B$6,$C937))),OR('Assignment Builder'!$B$7="",'Assignment Builder'!$B$7=IFERROR(INDEX('Category Dictionary'!$C$5:$C$135,MATCH($L937,'Category Dictionary'!$D$5:$D$135,0)),"")),OR('Assignment Builder'!$B$8="",$D937='Assignment Builder'!$B$8),OR('Assignment Builder'!$B$9="",$F937='Assignment Builder'!$B$9),OR('Assignment Builder'!$B$10="",$O937='Assignment Builder'!$B$10),OR('Assignment Builder'!$B$11="",$H937&gt;='Assignment Builder'!$B$11),OR('Assignment Builder'!$B$12="",N($Q937)&lt;='Assignment Builder'!$B$12)))</f>
        <v/>
      </c>
      <c r="T937" s="23" t="n"/>
    </row>
    <row r="938">
      <c r="A938" s="23" t="n"/>
      <c r="B938" s="23" t="n"/>
      <c r="C938" s="24" t="n"/>
      <c r="D938" s="15" t="n"/>
      <c r="E938" s="23" t="n"/>
      <c r="F938" s="15" t="n"/>
      <c r="G938" s="23" t="n"/>
      <c r="H938" s="25" t="n"/>
      <c r="I938" s="15" t="n"/>
      <c r="J938" s="26">
        <f>IF($A938="","",LEN($C938)-LEN(SUBSTITUTE($C938,",",""))+1)</f>
        <v/>
      </c>
      <c r="K938" s="26">
        <f>IF($A938="","",SUMPRODUCT(--ISNUMBER(SEARCH('Category Dictionary'!$D$5:$D$135&amp;"",$C938)),--('Category Dictionary'!$D$5:$D$135&lt;&gt;"")))</f>
        <v/>
      </c>
      <c r="L938" s="27">
        <f>IF($A938="","",TRIM(IF(ISERROR(FIND(",",$C938)),$C938,LEFT($C938,FIND(",",$C938)-1))))</f>
        <v/>
      </c>
      <c r="M938" s="28">
        <f>IF($H938="","",DATE(YEAR($H938),MONTH($H938),1))</f>
        <v/>
      </c>
      <c r="N938" s="26">
        <f>IF($H938="","",TODAY()-$H938)</f>
        <v/>
      </c>
      <c r="O938" s="15" t="n"/>
      <c r="P938" s="15" t="n"/>
      <c r="Q938" s="15" t="n"/>
      <c r="R938" s="25" t="n"/>
      <c r="S938" s="26">
        <f>IF($A938="","",AND(OR('Assignment Builder'!$B$5="",$B938='Assignment Builder'!$B$5),OR('Assignment Builder'!$B$6="",ISNUMBER(SEARCH('Assignment Builder'!$B$6,$C938))),OR('Assignment Builder'!$B$7="",'Assignment Builder'!$B$7=IFERROR(INDEX('Category Dictionary'!$C$5:$C$135,MATCH($L938,'Category Dictionary'!$D$5:$D$135,0)),"")),OR('Assignment Builder'!$B$8="",$D938='Assignment Builder'!$B$8),OR('Assignment Builder'!$B$9="",$F938='Assignment Builder'!$B$9),OR('Assignment Builder'!$B$10="",$O938='Assignment Builder'!$B$10),OR('Assignment Builder'!$B$11="",$H938&gt;='Assignment Builder'!$B$11),OR('Assignment Builder'!$B$12="",N($Q938)&lt;='Assignment Builder'!$B$12)))</f>
        <v/>
      </c>
      <c r="T938" s="23" t="n"/>
    </row>
    <row r="939">
      <c r="A939" s="23" t="n"/>
      <c r="B939" s="23" t="n"/>
      <c r="C939" s="24" t="n"/>
      <c r="D939" s="15" t="n"/>
      <c r="E939" s="23" t="n"/>
      <c r="F939" s="15" t="n"/>
      <c r="G939" s="23" t="n"/>
      <c r="H939" s="25" t="n"/>
      <c r="I939" s="15" t="n"/>
      <c r="J939" s="26">
        <f>IF($A939="","",LEN($C939)-LEN(SUBSTITUTE($C939,",",""))+1)</f>
        <v/>
      </c>
      <c r="K939" s="26">
        <f>IF($A939="","",SUMPRODUCT(--ISNUMBER(SEARCH('Category Dictionary'!$D$5:$D$135&amp;"",$C939)),--('Category Dictionary'!$D$5:$D$135&lt;&gt;"")))</f>
        <v/>
      </c>
      <c r="L939" s="27">
        <f>IF($A939="","",TRIM(IF(ISERROR(FIND(",",$C939)),$C939,LEFT($C939,FIND(",",$C939)-1))))</f>
        <v/>
      </c>
      <c r="M939" s="28">
        <f>IF($H939="","",DATE(YEAR($H939),MONTH($H939),1))</f>
        <v/>
      </c>
      <c r="N939" s="26">
        <f>IF($H939="","",TODAY()-$H939)</f>
        <v/>
      </c>
      <c r="O939" s="15" t="n"/>
      <c r="P939" s="15" t="n"/>
      <c r="Q939" s="15" t="n"/>
      <c r="R939" s="25" t="n"/>
      <c r="S939" s="26">
        <f>IF($A939="","",AND(OR('Assignment Builder'!$B$5="",$B939='Assignment Builder'!$B$5),OR('Assignment Builder'!$B$6="",ISNUMBER(SEARCH('Assignment Builder'!$B$6,$C939))),OR('Assignment Builder'!$B$7="",'Assignment Builder'!$B$7=IFERROR(INDEX('Category Dictionary'!$C$5:$C$135,MATCH($L939,'Category Dictionary'!$D$5:$D$135,0)),"")),OR('Assignment Builder'!$B$8="",$D939='Assignment Builder'!$B$8),OR('Assignment Builder'!$B$9="",$F939='Assignment Builder'!$B$9),OR('Assignment Builder'!$B$10="",$O939='Assignment Builder'!$B$10),OR('Assignment Builder'!$B$11="",$H939&gt;='Assignment Builder'!$B$11),OR('Assignment Builder'!$B$12="",N($Q939)&lt;='Assignment Builder'!$B$12)))</f>
        <v/>
      </c>
      <c r="T939" s="23" t="n"/>
    </row>
    <row r="940">
      <c r="A940" s="23" t="n"/>
      <c r="B940" s="23" t="n"/>
      <c r="C940" s="24" t="n"/>
      <c r="D940" s="15" t="n"/>
      <c r="E940" s="23" t="n"/>
      <c r="F940" s="15" t="n"/>
      <c r="G940" s="23" t="n"/>
      <c r="H940" s="25" t="n"/>
      <c r="I940" s="15" t="n"/>
      <c r="J940" s="26">
        <f>IF($A940="","",LEN($C940)-LEN(SUBSTITUTE($C940,",",""))+1)</f>
        <v/>
      </c>
      <c r="K940" s="26">
        <f>IF($A940="","",SUMPRODUCT(--ISNUMBER(SEARCH('Category Dictionary'!$D$5:$D$135&amp;"",$C940)),--('Category Dictionary'!$D$5:$D$135&lt;&gt;"")))</f>
        <v/>
      </c>
      <c r="L940" s="27">
        <f>IF($A940="","",TRIM(IF(ISERROR(FIND(",",$C940)),$C940,LEFT($C940,FIND(",",$C940)-1))))</f>
        <v/>
      </c>
      <c r="M940" s="28">
        <f>IF($H940="","",DATE(YEAR($H940),MONTH($H940),1))</f>
        <v/>
      </c>
      <c r="N940" s="26">
        <f>IF($H940="","",TODAY()-$H940)</f>
        <v/>
      </c>
      <c r="O940" s="15" t="n"/>
      <c r="P940" s="15" t="n"/>
      <c r="Q940" s="15" t="n"/>
      <c r="R940" s="25" t="n"/>
      <c r="S940" s="26">
        <f>IF($A940="","",AND(OR('Assignment Builder'!$B$5="",$B940='Assignment Builder'!$B$5),OR('Assignment Builder'!$B$6="",ISNUMBER(SEARCH('Assignment Builder'!$B$6,$C940))),OR('Assignment Builder'!$B$7="",'Assignment Builder'!$B$7=IFERROR(INDEX('Category Dictionary'!$C$5:$C$135,MATCH($L940,'Category Dictionary'!$D$5:$D$135,0)),"")),OR('Assignment Builder'!$B$8="",$D940='Assignment Builder'!$B$8),OR('Assignment Builder'!$B$9="",$F940='Assignment Builder'!$B$9),OR('Assignment Builder'!$B$10="",$O940='Assignment Builder'!$B$10),OR('Assignment Builder'!$B$11="",$H940&gt;='Assignment Builder'!$B$11),OR('Assignment Builder'!$B$12="",N($Q940)&lt;='Assignment Builder'!$B$12)))</f>
        <v/>
      </c>
      <c r="T940" s="23" t="n"/>
    </row>
    <row r="941">
      <c r="A941" s="23" t="n"/>
      <c r="B941" s="23" t="n"/>
      <c r="C941" s="24" t="n"/>
      <c r="D941" s="15" t="n"/>
      <c r="E941" s="23" t="n"/>
      <c r="F941" s="15" t="n"/>
      <c r="G941" s="23" t="n"/>
      <c r="H941" s="25" t="n"/>
      <c r="I941" s="15" t="n"/>
      <c r="J941" s="26">
        <f>IF($A941="","",LEN($C941)-LEN(SUBSTITUTE($C941,",",""))+1)</f>
        <v/>
      </c>
      <c r="K941" s="26">
        <f>IF($A941="","",SUMPRODUCT(--ISNUMBER(SEARCH('Category Dictionary'!$D$5:$D$135&amp;"",$C941)),--('Category Dictionary'!$D$5:$D$135&lt;&gt;"")))</f>
        <v/>
      </c>
      <c r="L941" s="27">
        <f>IF($A941="","",TRIM(IF(ISERROR(FIND(",",$C941)),$C941,LEFT($C941,FIND(",",$C941)-1))))</f>
        <v/>
      </c>
      <c r="M941" s="28">
        <f>IF($H941="","",DATE(YEAR($H941),MONTH($H941),1))</f>
        <v/>
      </c>
      <c r="N941" s="26">
        <f>IF($H941="","",TODAY()-$H941)</f>
        <v/>
      </c>
      <c r="O941" s="15" t="n"/>
      <c r="P941" s="15" t="n"/>
      <c r="Q941" s="15" t="n"/>
      <c r="R941" s="25" t="n"/>
      <c r="S941" s="26">
        <f>IF($A941="","",AND(OR('Assignment Builder'!$B$5="",$B941='Assignment Builder'!$B$5),OR('Assignment Builder'!$B$6="",ISNUMBER(SEARCH('Assignment Builder'!$B$6,$C941))),OR('Assignment Builder'!$B$7="",'Assignment Builder'!$B$7=IFERROR(INDEX('Category Dictionary'!$C$5:$C$135,MATCH($L941,'Category Dictionary'!$D$5:$D$135,0)),"")),OR('Assignment Builder'!$B$8="",$D941='Assignment Builder'!$B$8),OR('Assignment Builder'!$B$9="",$F941='Assignment Builder'!$B$9),OR('Assignment Builder'!$B$10="",$O941='Assignment Builder'!$B$10),OR('Assignment Builder'!$B$11="",$H941&gt;='Assignment Builder'!$B$11),OR('Assignment Builder'!$B$12="",N($Q941)&lt;='Assignment Builder'!$B$12)))</f>
        <v/>
      </c>
      <c r="T941" s="23" t="n"/>
    </row>
    <row r="942">
      <c r="A942" s="23" t="n"/>
      <c r="B942" s="23" t="n"/>
      <c r="C942" s="24" t="n"/>
      <c r="D942" s="15" t="n"/>
      <c r="E942" s="23" t="n"/>
      <c r="F942" s="15" t="n"/>
      <c r="G942" s="23" t="n"/>
      <c r="H942" s="25" t="n"/>
      <c r="I942" s="15" t="n"/>
      <c r="J942" s="26">
        <f>IF($A942="","",LEN($C942)-LEN(SUBSTITUTE($C942,",",""))+1)</f>
        <v/>
      </c>
      <c r="K942" s="26">
        <f>IF($A942="","",SUMPRODUCT(--ISNUMBER(SEARCH('Category Dictionary'!$D$5:$D$135&amp;"",$C942)),--('Category Dictionary'!$D$5:$D$135&lt;&gt;"")))</f>
        <v/>
      </c>
      <c r="L942" s="27">
        <f>IF($A942="","",TRIM(IF(ISERROR(FIND(",",$C942)),$C942,LEFT($C942,FIND(",",$C942)-1))))</f>
        <v/>
      </c>
      <c r="M942" s="28">
        <f>IF($H942="","",DATE(YEAR($H942),MONTH($H942),1))</f>
        <v/>
      </c>
      <c r="N942" s="26">
        <f>IF($H942="","",TODAY()-$H942)</f>
        <v/>
      </c>
      <c r="O942" s="15" t="n"/>
      <c r="P942" s="15" t="n"/>
      <c r="Q942" s="15" t="n"/>
      <c r="R942" s="25" t="n"/>
      <c r="S942" s="26">
        <f>IF($A942="","",AND(OR('Assignment Builder'!$B$5="",$B942='Assignment Builder'!$B$5),OR('Assignment Builder'!$B$6="",ISNUMBER(SEARCH('Assignment Builder'!$B$6,$C942))),OR('Assignment Builder'!$B$7="",'Assignment Builder'!$B$7=IFERROR(INDEX('Category Dictionary'!$C$5:$C$135,MATCH($L942,'Category Dictionary'!$D$5:$D$135,0)),"")),OR('Assignment Builder'!$B$8="",$D942='Assignment Builder'!$B$8),OR('Assignment Builder'!$B$9="",$F942='Assignment Builder'!$B$9),OR('Assignment Builder'!$B$10="",$O942='Assignment Builder'!$B$10),OR('Assignment Builder'!$B$11="",$H942&gt;='Assignment Builder'!$B$11),OR('Assignment Builder'!$B$12="",N($Q942)&lt;='Assignment Builder'!$B$12)))</f>
        <v/>
      </c>
      <c r="T942" s="23" t="n"/>
    </row>
    <row r="943">
      <c r="A943" s="23" t="n"/>
      <c r="B943" s="23" t="n"/>
      <c r="C943" s="24" t="n"/>
      <c r="D943" s="15" t="n"/>
      <c r="E943" s="23" t="n"/>
      <c r="F943" s="15" t="n"/>
      <c r="G943" s="23" t="n"/>
      <c r="H943" s="25" t="n"/>
      <c r="I943" s="15" t="n"/>
      <c r="J943" s="26">
        <f>IF($A943="","",LEN($C943)-LEN(SUBSTITUTE($C943,",",""))+1)</f>
        <v/>
      </c>
      <c r="K943" s="26">
        <f>IF($A943="","",SUMPRODUCT(--ISNUMBER(SEARCH('Category Dictionary'!$D$5:$D$135&amp;"",$C943)),--('Category Dictionary'!$D$5:$D$135&lt;&gt;"")))</f>
        <v/>
      </c>
      <c r="L943" s="27">
        <f>IF($A943="","",TRIM(IF(ISERROR(FIND(",",$C943)),$C943,LEFT($C943,FIND(",",$C943)-1))))</f>
        <v/>
      </c>
      <c r="M943" s="28">
        <f>IF($H943="","",DATE(YEAR($H943),MONTH($H943),1))</f>
        <v/>
      </c>
      <c r="N943" s="26">
        <f>IF($H943="","",TODAY()-$H943)</f>
        <v/>
      </c>
      <c r="O943" s="15" t="n"/>
      <c r="P943" s="15" t="n"/>
      <c r="Q943" s="15" t="n"/>
      <c r="R943" s="25" t="n"/>
      <c r="S943" s="26">
        <f>IF($A943="","",AND(OR('Assignment Builder'!$B$5="",$B943='Assignment Builder'!$B$5),OR('Assignment Builder'!$B$6="",ISNUMBER(SEARCH('Assignment Builder'!$B$6,$C943))),OR('Assignment Builder'!$B$7="",'Assignment Builder'!$B$7=IFERROR(INDEX('Category Dictionary'!$C$5:$C$135,MATCH($L943,'Category Dictionary'!$D$5:$D$135,0)),"")),OR('Assignment Builder'!$B$8="",$D943='Assignment Builder'!$B$8),OR('Assignment Builder'!$B$9="",$F943='Assignment Builder'!$B$9),OR('Assignment Builder'!$B$10="",$O943='Assignment Builder'!$B$10),OR('Assignment Builder'!$B$11="",$H943&gt;='Assignment Builder'!$B$11),OR('Assignment Builder'!$B$12="",N($Q943)&lt;='Assignment Builder'!$B$12)))</f>
        <v/>
      </c>
      <c r="T943" s="23" t="n"/>
    </row>
    <row r="944">
      <c r="A944" s="23" t="n"/>
      <c r="B944" s="23" t="n"/>
      <c r="C944" s="24" t="n"/>
      <c r="D944" s="15" t="n"/>
      <c r="E944" s="23" t="n"/>
      <c r="F944" s="15" t="n"/>
      <c r="G944" s="23" t="n"/>
      <c r="H944" s="25" t="n"/>
      <c r="I944" s="15" t="n"/>
      <c r="J944" s="26">
        <f>IF($A944="","",LEN($C944)-LEN(SUBSTITUTE($C944,",",""))+1)</f>
        <v/>
      </c>
      <c r="K944" s="26">
        <f>IF($A944="","",SUMPRODUCT(--ISNUMBER(SEARCH('Category Dictionary'!$D$5:$D$135&amp;"",$C944)),--('Category Dictionary'!$D$5:$D$135&lt;&gt;"")))</f>
        <v/>
      </c>
      <c r="L944" s="27">
        <f>IF($A944="","",TRIM(IF(ISERROR(FIND(",",$C944)),$C944,LEFT($C944,FIND(",",$C944)-1))))</f>
        <v/>
      </c>
      <c r="M944" s="28">
        <f>IF($H944="","",DATE(YEAR($H944),MONTH($H944),1))</f>
        <v/>
      </c>
      <c r="N944" s="26">
        <f>IF($H944="","",TODAY()-$H944)</f>
        <v/>
      </c>
      <c r="O944" s="15" t="n"/>
      <c r="P944" s="15" t="n"/>
      <c r="Q944" s="15" t="n"/>
      <c r="R944" s="25" t="n"/>
      <c r="S944" s="26">
        <f>IF($A944="","",AND(OR('Assignment Builder'!$B$5="",$B944='Assignment Builder'!$B$5),OR('Assignment Builder'!$B$6="",ISNUMBER(SEARCH('Assignment Builder'!$B$6,$C944))),OR('Assignment Builder'!$B$7="",'Assignment Builder'!$B$7=IFERROR(INDEX('Category Dictionary'!$C$5:$C$135,MATCH($L944,'Category Dictionary'!$D$5:$D$135,0)),"")),OR('Assignment Builder'!$B$8="",$D944='Assignment Builder'!$B$8),OR('Assignment Builder'!$B$9="",$F944='Assignment Builder'!$B$9),OR('Assignment Builder'!$B$10="",$O944='Assignment Builder'!$B$10),OR('Assignment Builder'!$B$11="",$H944&gt;='Assignment Builder'!$B$11),OR('Assignment Builder'!$B$12="",N($Q944)&lt;='Assignment Builder'!$B$12)))</f>
        <v/>
      </c>
      <c r="T944" s="23" t="n"/>
    </row>
    <row r="945">
      <c r="A945" s="23" t="n"/>
      <c r="B945" s="23" t="n"/>
      <c r="C945" s="24" t="n"/>
      <c r="D945" s="15" t="n"/>
      <c r="E945" s="23" t="n"/>
      <c r="F945" s="15" t="n"/>
      <c r="G945" s="23" t="n"/>
      <c r="H945" s="25" t="n"/>
      <c r="I945" s="15" t="n"/>
      <c r="J945" s="26">
        <f>IF($A945="","",LEN($C945)-LEN(SUBSTITUTE($C945,",",""))+1)</f>
        <v/>
      </c>
      <c r="K945" s="26">
        <f>IF($A945="","",SUMPRODUCT(--ISNUMBER(SEARCH('Category Dictionary'!$D$5:$D$135&amp;"",$C945)),--('Category Dictionary'!$D$5:$D$135&lt;&gt;"")))</f>
        <v/>
      </c>
      <c r="L945" s="27">
        <f>IF($A945="","",TRIM(IF(ISERROR(FIND(",",$C945)),$C945,LEFT($C945,FIND(",",$C945)-1))))</f>
        <v/>
      </c>
      <c r="M945" s="28">
        <f>IF($H945="","",DATE(YEAR($H945),MONTH($H945),1))</f>
        <v/>
      </c>
      <c r="N945" s="26">
        <f>IF($H945="","",TODAY()-$H945)</f>
        <v/>
      </c>
      <c r="O945" s="15" t="n"/>
      <c r="P945" s="15" t="n"/>
      <c r="Q945" s="15" t="n"/>
      <c r="R945" s="25" t="n"/>
      <c r="S945" s="26">
        <f>IF($A945="","",AND(OR('Assignment Builder'!$B$5="",$B945='Assignment Builder'!$B$5),OR('Assignment Builder'!$B$6="",ISNUMBER(SEARCH('Assignment Builder'!$B$6,$C945))),OR('Assignment Builder'!$B$7="",'Assignment Builder'!$B$7=IFERROR(INDEX('Category Dictionary'!$C$5:$C$135,MATCH($L945,'Category Dictionary'!$D$5:$D$135,0)),"")),OR('Assignment Builder'!$B$8="",$D945='Assignment Builder'!$B$8),OR('Assignment Builder'!$B$9="",$F945='Assignment Builder'!$B$9),OR('Assignment Builder'!$B$10="",$O945='Assignment Builder'!$B$10),OR('Assignment Builder'!$B$11="",$H945&gt;='Assignment Builder'!$B$11),OR('Assignment Builder'!$B$12="",N($Q945)&lt;='Assignment Builder'!$B$12)))</f>
        <v/>
      </c>
      <c r="T945" s="23" t="n"/>
    </row>
    <row r="946">
      <c r="A946" s="23" t="n"/>
      <c r="B946" s="23" t="n"/>
      <c r="C946" s="24" t="n"/>
      <c r="D946" s="15" t="n"/>
      <c r="E946" s="23" t="n"/>
      <c r="F946" s="15" t="n"/>
      <c r="G946" s="23" t="n"/>
      <c r="H946" s="25" t="n"/>
      <c r="I946" s="15" t="n"/>
      <c r="J946" s="26">
        <f>IF($A946="","",LEN($C946)-LEN(SUBSTITUTE($C946,",",""))+1)</f>
        <v/>
      </c>
      <c r="K946" s="26">
        <f>IF($A946="","",SUMPRODUCT(--ISNUMBER(SEARCH('Category Dictionary'!$D$5:$D$135&amp;"",$C946)),--('Category Dictionary'!$D$5:$D$135&lt;&gt;"")))</f>
        <v/>
      </c>
      <c r="L946" s="27">
        <f>IF($A946="","",TRIM(IF(ISERROR(FIND(",",$C946)),$C946,LEFT($C946,FIND(",",$C946)-1))))</f>
        <v/>
      </c>
      <c r="M946" s="28">
        <f>IF($H946="","",DATE(YEAR($H946),MONTH($H946),1))</f>
        <v/>
      </c>
      <c r="N946" s="26">
        <f>IF($H946="","",TODAY()-$H946)</f>
        <v/>
      </c>
      <c r="O946" s="15" t="n"/>
      <c r="P946" s="15" t="n"/>
      <c r="Q946" s="15" t="n"/>
      <c r="R946" s="25" t="n"/>
      <c r="S946" s="26">
        <f>IF($A946="","",AND(OR('Assignment Builder'!$B$5="",$B946='Assignment Builder'!$B$5),OR('Assignment Builder'!$B$6="",ISNUMBER(SEARCH('Assignment Builder'!$B$6,$C946))),OR('Assignment Builder'!$B$7="",'Assignment Builder'!$B$7=IFERROR(INDEX('Category Dictionary'!$C$5:$C$135,MATCH($L946,'Category Dictionary'!$D$5:$D$135,0)),"")),OR('Assignment Builder'!$B$8="",$D946='Assignment Builder'!$B$8),OR('Assignment Builder'!$B$9="",$F946='Assignment Builder'!$B$9),OR('Assignment Builder'!$B$10="",$O946='Assignment Builder'!$B$10),OR('Assignment Builder'!$B$11="",$H946&gt;='Assignment Builder'!$B$11),OR('Assignment Builder'!$B$12="",N($Q946)&lt;='Assignment Builder'!$B$12)))</f>
        <v/>
      </c>
      <c r="T946" s="23" t="n"/>
    </row>
    <row r="947">
      <c r="A947" s="23" t="n"/>
      <c r="B947" s="23" t="n"/>
      <c r="C947" s="24" t="n"/>
      <c r="D947" s="15" t="n"/>
      <c r="E947" s="23" t="n"/>
      <c r="F947" s="15" t="n"/>
      <c r="G947" s="23" t="n"/>
      <c r="H947" s="25" t="n"/>
      <c r="I947" s="15" t="n"/>
      <c r="J947" s="26">
        <f>IF($A947="","",LEN($C947)-LEN(SUBSTITUTE($C947,",",""))+1)</f>
        <v/>
      </c>
      <c r="K947" s="26">
        <f>IF($A947="","",SUMPRODUCT(--ISNUMBER(SEARCH('Category Dictionary'!$D$5:$D$135&amp;"",$C947)),--('Category Dictionary'!$D$5:$D$135&lt;&gt;"")))</f>
        <v/>
      </c>
      <c r="L947" s="27">
        <f>IF($A947="","",TRIM(IF(ISERROR(FIND(",",$C947)),$C947,LEFT($C947,FIND(",",$C947)-1))))</f>
        <v/>
      </c>
      <c r="M947" s="28">
        <f>IF($H947="","",DATE(YEAR($H947),MONTH($H947),1))</f>
        <v/>
      </c>
      <c r="N947" s="26">
        <f>IF($H947="","",TODAY()-$H947)</f>
        <v/>
      </c>
      <c r="O947" s="15" t="n"/>
      <c r="P947" s="15" t="n"/>
      <c r="Q947" s="15" t="n"/>
      <c r="R947" s="25" t="n"/>
      <c r="S947" s="26">
        <f>IF($A947="","",AND(OR('Assignment Builder'!$B$5="",$B947='Assignment Builder'!$B$5),OR('Assignment Builder'!$B$6="",ISNUMBER(SEARCH('Assignment Builder'!$B$6,$C947))),OR('Assignment Builder'!$B$7="",'Assignment Builder'!$B$7=IFERROR(INDEX('Category Dictionary'!$C$5:$C$135,MATCH($L947,'Category Dictionary'!$D$5:$D$135,0)),"")),OR('Assignment Builder'!$B$8="",$D947='Assignment Builder'!$B$8),OR('Assignment Builder'!$B$9="",$F947='Assignment Builder'!$B$9),OR('Assignment Builder'!$B$10="",$O947='Assignment Builder'!$B$10),OR('Assignment Builder'!$B$11="",$H947&gt;='Assignment Builder'!$B$11),OR('Assignment Builder'!$B$12="",N($Q947)&lt;='Assignment Builder'!$B$12)))</f>
        <v/>
      </c>
      <c r="T947" s="23" t="n"/>
    </row>
    <row r="948">
      <c r="A948" s="23" t="n"/>
      <c r="B948" s="23" t="n"/>
      <c r="C948" s="24" t="n"/>
      <c r="D948" s="15" t="n"/>
      <c r="E948" s="23" t="n"/>
      <c r="F948" s="15" t="n"/>
      <c r="G948" s="23" t="n"/>
      <c r="H948" s="25" t="n"/>
      <c r="I948" s="15" t="n"/>
      <c r="J948" s="26">
        <f>IF($A948="","",LEN($C948)-LEN(SUBSTITUTE($C948,",",""))+1)</f>
        <v/>
      </c>
      <c r="K948" s="26">
        <f>IF($A948="","",SUMPRODUCT(--ISNUMBER(SEARCH('Category Dictionary'!$D$5:$D$135&amp;"",$C948)),--('Category Dictionary'!$D$5:$D$135&lt;&gt;"")))</f>
        <v/>
      </c>
      <c r="L948" s="27">
        <f>IF($A948="","",TRIM(IF(ISERROR(FIND(",",$C948)),$C948,LEFT($C948,FIND(",",$C948)-1))))</f>
        <v/>
      </c>
      <c r="M948" s="28">
        <f>IF($H948="","",DATE(YEAR($H948),MONTH($H948),1))</f>
        <v/>
      </c>
      <c r="N948" s="26">
        <f>IF($H948="","",TODAY()-$H948)</f>
        <v/>
      </c>
      <c r="O948" s="15" t="n"/>
      <c r="P948" s="15" t="n"/>
      <c r="Q948" s="15" t="n"/>
      <c r="R948" s="25" t="n"/>
      <c r="S948" s="26">
        <f>IF($A948="","",AND(OR('Assignment Builder'!$B$5="",$B948='Assignment Builder'!$B$5),OR('Assignment Builder'!$B$6="",ISNUMBER(SEARCH('Assignment Builder'!$B$6,$C948))),OR('Assignment Builder'!$B$7="",'Assignment Builder'!$B$7=IFERROR(INDEX('Category Dictionary'!$C$5:$C$135,MATCH($L948,'Category Dictionary'!$D$5:$D$135,0)),"")),OR('Assignment Builder'!$B$8="",$D948='Assignment Builder'!$B$8),OR('Assignment Builder'!$B$9="",$F948='Assignment Builder'!$B$9),OR('Assignment Builder'!$B$10="",$O948='Assignment Builder'!$B$10),OR('Assignment Builder'!$B$11="",$H948&gt;='Assignment Builder'!$B$11),OR('Assignment Builder'!$B$12="",N($Q948)&lt;='Assignment Builder'!$B$12)))</f>
        <v/>
      </c>
      <c r="T948" s="23" t="n"/>
    </row>
    <row r="949">
      <c r="A949" s="23" t="n"/>
      <c r="B949" s="23" t="n"/>
      <c r="C949" s="24" t="n"/>
      <c r="D949" s="15" t="n"/>
      <c r="E949" s="23" t="n"/>
      <c r="F949" s="15" t="n"/>
      <c r="G949" s="23" t="n"/>
      <c r="H949" s="25" t="n"/>
      <c r="I949" s="15" t="n"/>
      <c r="J949" s="26">
        <f>IF($A949="","",LEN($C949)-LEN(SUBSTITUTE($C949,",",""))+1)</f>
        <v/>
      </c>
      <c r="K949" s="26">
        <f>IF($A949="","",SUMPRODUCT(--ISNUMBER(SEARCH('Category Dictionary'!$D$5:$D$135&amp;"",$C949)),--('Category Dictionary'!$D$5:$D$135&lt;&gt;"")))</f>
        <v/>
      </c>
      <c r="L949" s="27">
        <f>IF($A949="","",TRIM(IF(ISERROR(FIND(",",$C949)),$C949,LEFT($C949,FIND(",",$C949)-1))))</f>
        <v/>
      </c>
      <c r="M949" s="28">
        <f>IF($H949="","",DATE(YEAR($H949),MONTH($H949),1))</f>
        <v/>
      </c>
      <c r="N949" s="26">
        <f>IF($H949="","",TODAY()-$H949)</f>
        <v/>
      </c>
      <c r="O949" s="15" t="n"/>
      <c r="P949" s="15" t="n"/>
      <c r="Q949" s="15" t="n"/>
      <c r="R949" s="25" t="n"/>
      <c r="S949" s="26">
        <f>IF($A949="","",AND(OR('Assignment Builder'!$B$5="",$B949='Assignment Builder'!$B$5),OR('Assignment Builder'!$B$6="",ISNUMBER(SEARCH('Assignment Builder'!$B$6,$C949))),OR('Assignment Builder'!$B$7="",'Assignment Builder'!$B$7=IFERROR(INDEX('Category Dictionary'!$C$5:$C$135,MATCH($L949,'Category Dictionary'!$D$5:$D$135,0)),"")),OR('Assignment Builder'!$B$8="",$D949='Assignment Builder'!$B$8),OR('Assignment Builder'!$B$9="",$F949='Assignment Builder'!$B$9),OR('Assignment Builder'!$B$10="",$O949='Assignment Builder'!$B$10),OR('Assignment Builder'!$B$11="",$H949&gt;='Assignment Builder'!$B$11),OR('Assignment Builder'!$B$12="",N($Q949)&lt;='Assignment Builder'!$B$12)))</f>
        <v/>
      </c>
      <c r="T949" s="23" t="n"/>
    </row>
    <row r="950">
      <c r="A950" s="23" t="n"/>
      <c r="B950" s="23" t="n"/>
      <c r="C950" s="24" t="n"/>
      <c r="D950" s="15" t="n"/>
      <c r="E950" s="23" t="n"/>
      <c r="F950" s="15" t="n"/>
      <c r="G950" s="23" t="n"/>
      <c r="H950" s="25" t="n"/>
      <c r="I950" s="15" t="n"/>
      <c r="J950" s="26">
        <f>IF($A950="","",LEN($C950)-LEN(SUBSTITUTE($C950,",",""))+1)</f>
        <v/>
      </c>
      <c r="K950" s="26">
        <f>IF($A950="","",SUMPRODUCT(--ISNUMBER(SEARCH('Category Dictionary'!$D$5:$D$135&amp;"",$C950)),--('Category Dictionary'!$D$5:$D$135&lt;&gt;"")))</f>
        <v/>
      </c>
      <c r="L950" s="27">
        <f>IF($A950="","",TRIM(IF(ISERROR(FIND(",",$C950)),$C950,LEFT($C950,FIND(",",$C950)-1))))</f>
        <v/>
      </c>
      <c r="M950" s="28">
        <f>IF($H950="","",DATE(YEAR($H950),MONTH($H950),1))</f>
        <v/>
      </c>
      <c r="N950" s="26">
        <f>IF($H950="","",TODAY()-$H950)</f>
        <v/>
      </c>
      <c r="O950" s="15" t="n"/>
      <c r="P950" s="15" t="n"/>
      <c r="Q950" s="15" t="n"/>
      <c r="R950" s="25" t="n"/>
      <c r="S950" s="26">
        <f>IF($A950="","",AND(OR('Assignment Builder'!$B$5="",$B950='Assignment Builder'!$B$5),OR('Assignment Builder'!$B$6="",ISNUMBER(SEARCH('Assignment Builder'!$B$6,$C950))),OR('Assignment Builder'!$B$7="",'Assignment Builder'!$B$7=IFERROR(INDEX('Category Dictionary'!$C$5:$C$135,MATCH($L950,'Category Dictionary'!$D$5:$D$135,0)),"")),OR('Assignment Builder'!$B$8="",$D950='Assignment Builder'!$B$8),OR('Assignment Builder'!$B$9="",$F950='Assignment Builder'!$B$9),OR('Assignment Builder'!$B$10="",$O950='Assignment Builder'!$B$10),OR('Assignment Builder'!$B$11="",$H950&gt;='Assignment Builder'!$B$11),OR('Assignment Builder'!$B$12="",N($Q950)&lt;='Assignment Builder'!$B$12)))</f>
        <v/>
      </c>
      <c r="T950" s="23" t="n"/>
    </row>
    <row r="951">
      <c r="A951" s="23" t="n"/>
      <c r="B951" s="23" t="n"/>
      <c r="C951" s="24" t="n"/>
      <c r="D951" s="15" t="n"/>
      <c r="E951" s="23" t="n"/>
      <c r="F951" s="15" t="n"/>
      <c r="G951" s="23" t="n"/>
      <c r="H951" s="25" t="n"/>
      <c r="I951" s="15" t="n"/>
      <c r="J951" s="26">
        <f>IF($A951="","",LEN($C951)-LEN(SUBSTITUTE($C951,",",""))+1)</f>
        <v/>
      </c>
      <c r="K951" s="26">
        <f>IF($A951="","",SUMPRODUCT(--ISNUMBER(SEARCH('Category Dictionary'!$D$5:$D$135&amp;"",$C951)),--('Category Dictionary'!$D$5:$D$135&lt;&gt;"")))</f>
        <v/>
      </c>
      <c r="L951" s="27">
        <f>IF($A951="","",TRIM(IF(ISERROR(FIND(",",$C951)),$C951,LEFT($C951,FIND(",",$C951)-1))))</f>
        <v/>
      </c>
      <c r="M951" s="28">
        <f>IF($H951="","",DATE(YEAR($H951),MONTH($H951),1))</f>
        <v/>
      </c>
      <c r="N951" s="26">
        <f>IF($H951="","",TODAY()-$H951)</f>
        <v/>
      </c>
      <c r="O951" s="15" t="n"/>
      <c r="P951" s="15" t="n"/>
      <c r="Q951" s="15" t="n"/>
      <c r="R951" s="25" t="n"/>
      <c r="S951" s="26">
        <f>IF($A951="","",AND(OR('Assignment Builder'!$B$5="",$B951='Assignment Builder'!$B$5),OR('Assignment Builder'!$B$6="",ISNUMBER(SEARCH('Assignment Builder'!$B$6,$C951))),OR('Assignment Builder'!$B$7="",'Assignment Builder'!$B$7=IFERROR(INDEX('Category Dictionary'!$C$5:$C$135,MATCH($L951,'Category Dictionary'!$D$5:$D$135,0)),"")),OR('Assignment Builder'!$B$8="",$D951='Assignment Builder'!$B$8),OR('Assignment Builder'!$B$9="",$F951='Assignment Builder'!$B$9),OR('Assignment Builder'!$B$10="",$O951='Assignment Builder'!$B$10),OR('Assignment Builder'!$B$11="",$H951&gt;='Assignment Builder'!$B$11),OR('Assignment Builder'!$B$12="",N($Q951)&lt;='Assignment Builder'!$B$12)))</f>
        <v/>
      </c>
      <c r="T951" s="23" t="n"/>
    </row>
    <row r="952">
      <c r="A952" s="23" t="n"/>
      <c r="B952" s="23" t="n"/>
      <c r="C952" s="24" t="n"/>
      <c r="D952" s="15" t="n"/>
      <c r="E952" s="23" t="n"/>
      <c r="F952" s="15" t="n"/>
      <c r="G952" s="23" t="n"/>
      <c r="H952" s="25" t="n"/>
      <c r="I952" s="15" t="n"/>
      <c r="J952" s="26">
        <f>IF($A952="","",LEN($C952)-LEN(SUBSTITUTE($C952,",",""))+1)</f>
        <v/>
      </c>
      <c r="K952" s="26">
        <f>IF($A952="","",SUMPRODUCT(--ISNUMBER(SEARCH('Category Dictionary'!$D$5:$D$135&amp;"",$C952)),--('Category Dictionary'!$D$5:$D$135&lt;&gt;"")))</f>
        <v/>
      </c>
      <c r="L952" s="27">
        <f>IF($A952="","",TRIM(IF(ISERROR(FIND(",",$C952)),$C952,LEFT($C952,FIND(",",$C952)-1))))</f>
        <v/>
      </c>
      <c r="M952" s="28">
        <f>IF($H952="","",DATE(YEAR($H952),MONTH($H952),1))</f>
        <v/>
      </c>
      <c r="N952" s="26">
        <f>IF($H952="","",TODAY()-$H952)</f>
        <v/>
      </c>
      <c r="O952" s="15" t="n"/>
      <c r="P952" s="15" t="n"/>
      <c r="Q952" s="15" t="n"/>
      <c r="R952" s="25" t="n"/>
      <c r="S952" s="26">
        <f>IF($A952="","",AND(OR('Assignment Builder'!$B$5="",$B952='Assignment Builder'!$B$5),OR('Assignment Builder'!$B$6="",ISNUMBER(SEARCH('Assignment Builder'!$B$6,$C952))),OR('Assignment Builder'!$B$7="",'Assignment Builder'!$B$7=IFERROR(INDEX('Category Dictionary'!$C$5:$C$135,MATCH($L952,'Category Dictionary'!$D$5:$D$135,0)),"")),OR('Assignment Builder'!$B$8="",$D952='Assignment Builder'!$B$8),OR('Assignment Builder'!$B$9="",$F952='Assignment Builder'!$B$9),OR('Assignment Builder'!$B$10="",$O952='Assignment Builder'!$B$10),OR('Assignment Builder'!$B$11="",$H952&gt;='Assignment Builder'!$B$11),OR('Assignment Builder'!$B$12="",N($Q952)&lt;='Assignment Builder'!$B$12)))</f>
        <v/>
      </c>
      <c r="T952" s="23" t="n"/>
    </row>
    <row r="953">
      <c r="A953" s="23" t="n"/>
      <c r="B953" s="23" t="n"/>
      <c r="C953" s="24" t="n"/>
      <c r="D953" s="15" t="n"/>
      <c r="E953" s="23" t="n"/>
      <c r="F953" s="15" t="n"/>
      <c r="G953" s="23" t="n"/>
      <c r="H953" s="25" t="n"/>
      <c r="I953" s="15" t="n"/>
      <c r="J953" s="26">
        <f>IF($A953="","",LEN($C953)-LEN(SUBSTITUTE($C953,",",""))+1)</f>
        <v/>
      </c>
      <c r="K953" s="26">
        <f>IF($A953="","",SUMPRODUCT(--ISNUMBER(SEARCH('Category Dictionary'!$D$5:$D$135&amp;"",$C953)),--('Category Dictionary'!$D$5:$D$135&lt;&gt;"")))</f>
        <v/>
      </c>
      <c r="L953" s="27">
        <f>IF($A953="","",TRIM(IF(ISERROR(FIND(",",$C953)),$C953,LEFT($C953,FIND(",",$C953)-1))))</f>
        <v/>
      </c>
      <c r="M953" s="28">
        <f>IF($H953="","",DATE(YEAR($H953),MONTH($H953),1))</f>
        <v/>
      </c>
      <c r="N953" s="26">
        <f>IF($H953="","",TODAY()-$H953)</f>
        <v/>
      </c>
      <c r="O953" s="15" t="n"/>
      <c r="P953" s="15" t="n"/>
      <c r="Q953" s="15" t="n"/>
      <c r="R953" s="25" t="n"/>
      <c r="S953" s="26">
        <f>IF($A953="","",AND(OR('Assignment Builder'!$B$5="",$B953='Assignment Builder'!$B$5),OR('Assignment Builder'!$B$6="",ISNUMBER(SEARCH('Assignment Builder'!$B$6,$C953))),OR('Assignment Builder'!$B$7="",'Assignment Builder'!$B$7=IFERROR(INDEX('Category Dictionary'!$C$5:$C$135,MATCH($L953,'Category Dictionary'!$D$5:$D$135,0)),"")),OR('Assignment Builder'!$B$8="",$D953='Assignment Builder'!$B$8),OR('Assignment Builder'!$B$9="",$F953='Assignment Builder'!$B$9),OR('Assignment Builder'!$B$10="",$O953='Assignment Builder'!$B$10),OR('Assignment Builder'!$B$11="",$H953&gt;='Assignment Builder'!$B$11),OR('Assignment Builder'!$B$12="",N($Q953)&lt;='Assignment Builder'!$B$12)))</f>
        <v/>
      </c>
      <c r="T953" s="23" t="n"/>
    </row>
    <row r="954">
      <c r="A954" s="23" t="n"/>
      <c r="B954" s="23" t="n"/>
      <c r="C954" s="24" t="n"/>
      <c r="D954" s="15" t="n"/>
      <c r="E954" s="23" t="n"/>
      <c r="F954" s="15" t="n"/>
      <c r="G954" s="23" t="n"/>
      <c r="H954" s="25" t="n"/>
      <c r="I954" s="15" t="n"/>
      <c r="J954" s="26">
        <f>IF($A954="","",LEN($C954)-LEN(SUBSTITUTE($C954,",",""))+1)</f>
        <v/>
      </c>
      <c r="K954" s="26">
        <f>IF($A954="","",SUMPRODUCT(--ISNUMBER(SEARCH('Category Dictionary'!$D$5:$D$135&amp;"",$C954)),--('Category Dictionary'!$D$5:$D$135&lt;&gt;"")))</f>
        <v/>
      </c>
      <c r="L954" s="27">
        <f>IF($A954="","",TRIM(IF(ISERROR(FIND(",",$C954)),$C954,LEFT($C954,FIND(",",$C954)-1))))</f>
        <v/>
      </c>
      <c r="M954" s="28">
        <f>IF($H954="","",DATE(YEAR($H954),MONTH($H954),1))</f>
        <v/>
      </c>
      <c r="N954" s="26">
        <f>IF($H954="","",TODAY()-$H954)</f>
        <v/>
      </c>
      <c r="O954" s="15" t="n"/>
      <c r="P954" s="15" t="n"/>
      <c r="Q954" s="15" t="n"/>
      <c r="R954" s="25" t="n"/>
      <c r="S954" s="26">
        <f>IF($A954="","",AND(OR('Assignment Builder'!$B$5="",$B954='Assignment Builder'!$B$5),OR('Assignment Builder'!$B$6="",ISNUMBER(SEARCH('Assignment Builder'!$B$6,$C954))),OR('Assignment Builder'!$B$7="",'Assignment Builder'!$B$7=IFERROR(INDEX('Category Dictionary'!$C$5:$C$135,MATCH($L954,'Category Dictionary'!$D$5:$D$135,0)),"")),OR('Assignment Builder'!$B$8="",$D954='Assignment Builder'!$B$8),OR('Assignment Builder'!$B$9="",$F954='Assignment Builder'!$B$9),OR('Assignment Builder'!$B$10="",$O954='Assignment Builder'!$B$10),OR('Assignment Builder'!$B$11="",$H954&gt;='Assignment Builder'!$B$11),OR('Assignment Builder'!$B$12="",N($Q954)&lt;='Assignment Builder'!$B$12)))</f>
        <v/>
      </c>
      <c r="T954" s="23" t="n"/>
    </row>
    <row r="955">
      <c r="A955" s="23" t="n"/>
      <c r="B955" s="23" t="n"/>
      <c r="C955" s="24" t="n"/>
      <c r="D955" s="15" t="n"/>
      <c r="E955" s="23" t="n"/>
      <c r="F955" s="15" t="n"/>
      <c r="G955" s="23" t="n"/>
      <c r="H955" s="25" t="n"/>
      <c r="I955" s="15" t="n"/>
      <c r="J955" s="26">
        <f>IF($A955="","",LEN($C955)-LEN(SUBSTITUTE($C955,",",""))+1)</f>
        <v/>
      </c>
      <c r="K955" s="26">
        <f>IF($A955="","",SUMPRODUCT(--ISNUMBER(SEARCH('Category Dictionary'!$D$5:$D$135&amp;"",$C955)),--('Category Dictionary'!$D$5:$D$135&lt;&gt;"")))</f>
        <v/>
      </c>
      <c r="L955" s="27">
        <f>IF($A955="","",TRIM(IF(ISERROR(FIND(",",$C955)),$C955,LEFT($C955,FIND(",",$C955)-1))))</f>
        <v/>
      </c>
      <c r="M955" s="28">
        <f>IF($H955="","",DATE(YEAR($H955),MONTH($H955),1))</f>
        <v/>
      </c>
      <c r="N955" s="26">
        <f>IF($H955="","",TODAY()-$H955)</f>
        <v/>
      </c>
      <c r="O955" s="15" t="n"/>
      <c r="P955" s="15" t="n"/>
      <c r="Q955" s="15" t="n"/>
      <c r="R955" s="25" t="n"/>
      <c r="S955" s="26">
        <f>IF($A955="","",AND(OR('Assignment Builder'!$B$5="",$B955='Assignment Builder'!$B$5),OR('Assignment Builder'!$B$6="",ISNUMBER(SEARCH('Assignment Builder'!$B$6,$C955))),OR('Assignment Builder'!$B$7="",'Assignment Builder'!$B$7=IFERROR(INDEX('Category Dictionary'!$C$5:$C$135,MATCH($L955,'Category Dictionary'!$D$5:$D$135,0)),"")),OR('Assignment Builder'!$B$8="",$D955='Assignment Builder'!$B$8),OR('Assignment Builder'!$B$9="",$F955='Assignment Builder'!$B$9),OR('Assignment Builder'!$B$10="",$O955='Assignment Builder'!$B$10),OR('Assignment Builder'!$B$11="",$H955&gt;='Assignment Builder'!$B$11),OR('Assignment Builder'!$B$12="",N($Q955)&lt;='Assignment Builder'!$B$12)))</f>
        <v/>
      </c>
      <c r="T955" s="23" t="n"/>
    </row>
    <row r="956">
      <c r="A956" s="23" t="n"/>
      <c r="B956" s="23" t="n"/>
      <c r="C956" s="24" t="n"/>
      <c r="D956" s="15" t="n"/>
      <c r="E956" s="23" t="n"/>
      <c r="F956" s="15" t="n"/>
      <c r="G956" s="23" t="n"/>
      <c r="H956" s="25" t="n"/>
      <c r="I956" s="15" t="n"/>
      <c r="J956" s="26">
        <f>IF($A956="","",LEN($C956)-LEN(SUBSTITUTE($C956,",",""))+1)</f>
        <v/>
      </c>
      <c r="K956" s="26">
        <f>IF($A956="","",SUMPRODUCT(--ISNUMBER(SEARCH('Category Dictionary'!$D$5:$D$135&amp;"",$C956)),--('Category Dictionary'!$D$5:$D$135&lt;&gt;"")))</f>
        <v/>
      </c>
      <c r="L956" s="27">
        <f>IF($A956="","",TRIM(IF(ISERROR(FIND(",",$C956)),$C956,LEFT($C956,FIND(",",$C956)-1))))</f>
        <v/>
      </c>
      <c r="M956" s="28">
        <f>IF($H956="","",DATE(YEAR($H956),MONTH($H956),1))</f>
        <v/>
      </c>
      <c r="N956" s="26">
        <f>IF($H956="","",TODAY()-$H956)</f>
        <v/>
      </c>
      <c r="O956" s="15" t="n"/>
      <c r="P956" s="15" t="n"/>
      <c r="Q956" s="15" t="n"/>
      <c r="R956" s="25" t="n"/>
      <c r="S956" s="26">
        <f>IF($A956="","",AND(OR('Assignment Builder'!$B$5="",$B956='Assignment Builder'!$B$5),OR('Assignment Builder'!$B$6="",ISNUMBER(SEARCH('Assignment Builder'!$B$6,$C956))),OR('Assignment Builder'!$B$7="",'Assignment Builder'!$B$7=IFERROR(INDEX('Category Dictionary'!$C$5:$C$135,MATCH($L956,'Category Dictionary'!$D$5:$D$135,0)),"")),OR('Assignment Builder'!$B$8="",$D956='Assignment Builder'!$B$8),OR('Assignment Builder'!$B$9="",$F956='Assignment Builder'!$B$9),OR('Assignment Builder'!$B$10="",$O956='Assignment Builder'!$B$10),OR('Assignment Builder'!$B$11="",$H956&gt;='Assignment Builder'!$B$11),OR('Assignment Builder'!$B$12="",N($Q956)&lt;='Assignment Builder'!$B$12)))</f>
        <v/>
      </c>
      <c r="T956" s="23" t="n"/>
    </row>
    <row r="957">
      <c r="A957" s="23" t="n"/>
      <c r="B957" s="23" t="n"/>
      <c r="C957" s="24" t="n"/>
      <c r="D957" s="15" t="n"/>
      <c r="E957" s="23" t="n"/>
      <c r="F957" s="15" t="n"/>
      <c r="G957" s="23" t="n"/>
      <c r="H957" s="25" t="n"/>
      <c r="I957" s="15" t="n"/>
      <c r="J957" s="26">
        <f>IF($A957="","",LEN($C957)-LEN(SUBSTITUTE($C957,",",""))+1)</f>
        <v/>
      </c>
      <c r="K957" s="26">
        <f>IF($A957="","",SUMPRODUCT(--ISNUMBER(SEARCH('Category Dictionary'!$D$5:$D$135&amp;"",$C957)),--('Category Dictionary'!$D$5:$D$135&lt;&gt;"")))</f>
        <v/>
      </c>
      <c r="L957" s="27">
        <f>IF($A957="","",TRIM(IF(ISERROR(FIND(",",$C957)),$C957,LEFT($C957,FIND(",",$C957)-1))))</f>
        <v/>
      </c>
      <c r="M957" s="28">
        <f>IF($H957="","",DATE(YEAR($H957),MONTH($H957),1))</f>
        <v/>
      </c>
      <c r="N957" s="26">
        <f>IF($H957="","",TODAY()-$H957)</f>
        <v/>
      </c>
      <c r="O957" s="15" t="n"/>
      <c r="P957" s="15" t="n"/>
      <c r="Q957" s="15" t="n"/>
      <c r="R957" s="25" t="n"/>
      <c r="S957" s="26">
        <f>IF($A957="","",AND(OR('Assignment Builder'!$B$5="",$B957='Assignment Builder'!$B$5),OR('Assignment Builder'!$B$6="",ISNUMBER(SEARCH('Assignment Builder'!$B$6,$C957))),OR('Assignment Builder'!$B$7="",'Assignment Builder'!$B$7=IFERROR(INDEX('Category Dictionary'!$C$5:$C$135,MATCH($L957,'Category Dictionary'!$D$5:$D$135,0)),"")),OR('Assignment Builder'!$B$8="",$D957='Assignment Builder'!$B$8),OR('Assignment Builder'!$B$9="",$F957='Assignment Builder'!$B$9),OR('Assignment Builder'!$B$10="",$O957='Assignment Builder'!$B$10),OR('Assignment Builder'!$B$11="",$H957&gt;='Assignment Builder'!$B$11),OR('Assignment Builder'!$B$12="",N($Q957)&lt;='Assignment Builder'!$B$12)))</f>
        <v/>
      </c>
      <c r="T957" s="23" t="n"/>
    </row>
    <row r="958">
      <c r="A958" s="23" t="n"/>
      <c r="B958" s="23" t="n"/>
      <c r="C958" s="24" t="n"/>
      <c r="D958" s="15" t="n"/>
      <c r="E958" s="23" t="n"/>
      <c r="F958" s="15" t="n"/>
      <c r="G958" s="23" t="n"/>
      <c r="H958" s="25" t="n"/>
      <c r="I958" s="15" t="n"/>
      <c r="J958" s="26">
        <f>IF($A958="","",LEN($C958)-LEN(SUBSTITUTE($C958,",",""))+1)</f>
        <v/>
      </c>
      <c r="K958" s="26">
        <f>IF($A958="","",SUMPRODUCT(--ISNUMBER(SEARCH('Category Dictionary'!$D$5:$D$135&amp;"",$C958)),--('Category Dictionary'!$D$5:$D$135&lt;&gt;"")))</f>
        <v/>
      </c>
      <c r="L958" s="27">
        <f>IF($A958="","",TRIM(IF(ISERROR(FIND(",",$C958)),$C958,LEFT($C958,FIND(",",$C958)-1))))</f>
        <v/>
      </c>
      <c r="M958" s="28">
        <f>IF($H958="","",DATE(YEAR($H958),MONTH($H958),1))</f>
        <v/>
      </c>
      <c r="N958" s="26">
        <f>IF($H958="","",TODAY()-$H958)</f>
        <v/>
      </c>
      <c r="O958" s="15" t="n"/>
      <c r="P958" s="15" t="n"/>
      <c r="Q958" s="15" t="n"/>
      <c r="R958" s="25" t="n"/>
      <c r="S958" s="26">
        <f>IF($A958="","",AND(OR('Assignment Builder'!$B$5="",$B958='Assignment Builder'!$B$5),OR('Assignment Builder'!$B$6="",ISNUMBER(SEARCH('Assignment Builder'!$B$6,$C958))),OR('Assignment Builder'!$B$7="",'Assignment Builder'!$B$7=IFERROR(INDEX('Category Dictionary'!$C$5:$C$135,MATCH($L958,'Category Dictionary'!$D$5:$D$135,0)),"")),OR('Assignment Builder'!$B$8="",$D958='Assignment Builder'!$B$8),OR('Assignment Builder'!$B$9="",$F958='Assignment Builder'!$B$9),OR('Assignment Builder'!$B$10="",$O958='Assignment Builder'!$B$10),OR('Assignment Builder'!$B$11="",$H958&gt;='Assignment Builder'!$B$11),OR('Assignment Builder'!$B$12="",N($Q958)&lt;='Assignment Builder'!$B$12)))</f>
        <v/>
      </c>
      <c r="T958" s="23" t="n"/>
    </row>
    <row r="959">
      <c r="A959" s="23" t="n"/>
      <c r="B959" s="23" t="n"/>
      <c r="C959" s="24" t="n"/>
      <c r="D959" s="15" t="n"/>
      <c r="E959" s="23" t="n"/>
      <c r="F959" s="15" t="n"/>
      <c r="G959" s="23" t="n"/>
      <c r="H959" s="25" t="n"/>
      <c r="I959" s="15" t="n"/>
      <c r="J959" s="26">
        <f>IF($A959="","",LEN($C959)-LEN(SUBSTITUTE($C959,",",""))+1)</f>
        <v/>
      </c>
      <c r="K959" s="26">
        <f>IF($A959="","",SUMPRODUCT(--ISNUMBER(SEARCH('Category Dictionary'!$D$5:$D$135&amp;"",$C959)),--('Category Dictionary'!$D$5:$D$135&lt;&gt;"")))</f>
        <v/>
      </c>
      <c r="L959" s="27">
        <f>IF($A959="","",TRIM(IF(ISERROR(FIND(",",$C959)),$C959,LEFT($C959,FIND(",",$C959)-1))))</f>
        <v/>
      </c>
      <c r="M959" s="28">
        <f>IF($H959="","",DATE(YEAR($H959),MONTH($H959),1))</f>
        <v/>
      </c>
      <c r="N959" s="26">
        <f>IF($H959="","",TODAY()-$H959)</f>
        <v/>
      </c>
      <c r="O959" s="15" t="n"/>
      <c r="P959" s="15" t="n"/>
      <c r="Q959" s="15" t="n"/>
      <c r="R959" s="25" t="n"/>
      <c r="S959" s="26">
        <f>IF($A959="","",AND(OR('Assignment Builder'!$B$5="",$B959='Assignment Builder'!$B$5),OR('Assignment Builder'!$B$6="",ISNUMBER(SEARCH('Assignment Builder'!$B$6,$C959))),OR('Assignment Builder'!$B$7="",'Assignment Builder'!$B$7=IFERROR(INDEX('Category Dictionary'!$C$5:$C$135,MATCH($L959,'Category Dictionary'!$D$5:$D$135,0)),"")),OR('Assignment Builder'!$B$8="",$D959='Assignment Builder'!$B$8),OR('Assignment Builder'!$B$9="",$F959='Assignment Builder'!$B$9),OR('Assignment Builder'!$B$10="",$O959='Assignment Builder'!$B$10),OR('Assignment Builder'!$B$11="",$H959&gt;='Assignment Builder'!$B$11),OR('Assignment Builder'!$B$12="",N($Q959)&lt;='Assignment Builder'!$B$12)))</f>
        <v/>
      </c>
      <c r="T959" s="23" t="n"/>
    </row>
    <row r="960">
      <c r="A960" s="23" t="n"/>
      <c r="B960" s="23" t="n"/>
      <c r="C960" s="24" t="n"/>
      <c r="D960" s="15" t="n"/>
      <c r="E960" s="23" t="n"/>
      <c r="F960" s="15" t="n"/>
      <c r="G960" s="23" t="n"/>
      <c r="H960" s="25" t="n"/>
      <c r="I960" s="15" t="n"/>
      <c r="J960" s="26">
        <f>IF($A960="","",LEN($C960)-LEN(SUBSTITUTE($C960,",",""))+1)</f>
        <v/>
      </c>
      <c r="K960" s="26">
        <f>IF($A960="","",SUMPRODUCT(--ISNUMBER(SEARCH('Category Dictionary'!$D$5:$D$135&amp;"",$C960)),--('Category Dictionary'!$D$5:$D$135&lt;&gt;"")))</f>
        <v/>
      </c>
      <c r="L960" s="27">
        <f>IF($A960="","",TRIM(IF(ISERROR(FIND(",",$C960)),$C960,LEFT($C960,FIND(",",$C960)-1))))</f>
        <v/>
      </c>
      <c r="M960" s="28">
        <f>IF($H960="","",DATE(YEAR($H960),MONTH($H960),1))</f>
        <v/>
      </c>
      <c r="N960" s="26">
        <f>IF($H960="","",TODAY()-$H960)</f>
        <v/>
      </c>
      <c r="O960" s="15" t="n"/>
      <c r="P960" s="15" t="n"/>
      <c r="Q960" s="15" t="n"/>
      <c r="R960" s="25" t="n"/>
      <c r="S960" s="26">
        <f>IF($A960="","",AND(OR('Assignment Builder'!$B$5="",$B960='Assignment Builder'!$B$5),OR('Assignment Builder'!$B$6="",ISNUMBER(SEARCH('Assignment Builder'!$B$6,$C960))),OR('Assignment Builder'!$B$7="",'Assignment Builder'!$B$7=IFERROR(INDEX('Category Dictionary'!$C$5:$C$135,MATCH($L960,'Category Dictionary'!$D$5:$D$135,0)),"")),OR('Assignment Builder'!$B$8="",$D960='Assignment Builder'!$B$8),OR('Assignment Builder'!$B$9="",$F960='Assignment Builder'!$B$9),OR('Assignment Builder'!$B$10="",$O960='Assignment Builder'!$B$10),OR('Assignment Builder'!$B$11="",$H960&gt;='Assignment Builder'!$B$11),OR('Assignment Builder'!$B$12="",N($Q960)&lt;='Assignment Builder'!$B$12)))</f>
        <v/>
      </c>
      <c r="T960" s="23" t="n"/>
    </row>
    <row r="961">
      <c r="A961" s="23" t="n"/>
      <c r="B961" s="23" t="n"/>
      <c r="C961" s="24" t="n"/>
      <c r="D961" s="15" t="n"/>
      <c r="E961" s="23" t="n"/>
      <c r="F961" s="15" t="n"/>
      <c r="G961" s="23" t="n"/>
      <c r="H961" s="25" t="n"/>
      <c r="I961" s="15" t="n"/>
      <c r="J961" s="26">
        <f>IF($A961="","",LEN($C961)-LEN(SUBSTITUTE($C961,",",""))+1)</f>
        <v/>
      </c>
      <c r="K961" s="26">
        <f>IF($A961="","",SUMPRODUCT(--ISNUMBER(SEARCH('Category Dictionary'!$D$5:$D$135&amp;"",$C961)),--('Category Dictionary'!$D$5:$D$135&lt;&gt;"")))</f>
        <v/>
      </c>
      <c r="L961" s="27">
        <f>IF($A961="","",TRIM(IF(ISERROR(FIND(",",$C961)),$C961,LEFT($C961,FIND(",",$C961)-1))))</f>
        <v/>
      </c>
      <c r="M961" s="28">
        <f>IF($H961="","",DATE(YEAR($H961),MONTH($H961),1))</f>
        <v/>
      </c>
      <c r="N961" s="26">
        <f>IF($H961="","",TODAY()-$H961)</f>
        <v/>
      </c>
      <c r="O961" s="15" t="n"/>
      <c r="P961" s="15" t="n"/>
      <c r="Q961" s="15" t="n"/>
      <c r="R961" s="25" t="n"/>
      <c r="S961" s="26">
        <f>IF($A961="","",AND(OR('Assignment Builder'!$B$5="",$B961='Assignment Builder'!$B$5),OR('Assignment Builder'!$B$6="",ISNUMBER(SEARCH('Assignment Builder'!$B$6,$C961))),OR('Assignment Builder'!$B$7="",'Assignment Builder'!$B$7=IFERROR(INDEX('Category Dictionary'!$C$5:$C$135,MATCH($L961,'Category Dictionary'!$D$5:$D$135,0)),"")),OR('Assignment Builder'!$B$8="",$D961='Assignment Builder'!$B$8),OR('Assignment Builder'!$B$9="",$F961='Assignment Builder'!$B$9),OR('Assignment Builder'!$B$10="",$O961='Assignment Builder'!$B$10),OR('Assignment Builder'!$B$11="",$H961&gt;='Assignment Builder'!$B$11),OR('Assignment Builder'!$B$12="",N($Q961)&lt;='Assignment Builder'!$B$12)))</f>
        <v/>
      </c>
      <c r="T961" s="23" t="n"/>
    </row>
    <row r="962">
      <c r="A962" s="23" t="n"/>
      <c r="B962" s="23" t="n"/>
      <c r="C962" s="24" t="n"/>
      <c r="D962" s="15" t="n"/>
      <c r="E962" s="23" t="n"/>
      <c r="F962" s="15" t="n"/>
      <c r="G962" s="23" t="n"/>
      <c r="H962" s="25" t="n"/>
      <c r="I962" s="15" t="n"/>
      <c r="J962" s="26">
        <f>IF($A962="","",LEN($C962)-LEN(SUBSTITUTE($C962,",",""))+1)</f>
        <v/>
      </c>
      <c r="K962" s="26">
        <f>IF($A962="","",SUMPRODUCT(--ISNUMBER(SEARCH('Category Dictionary'!$D$5:$D$135&amp;"",$C962)),--('Category Dictionary'!$D$5:$D$135&lt;&gt;"")))</f>
        <v/>
      </c>
      <c r="L962" s="27">
        <f>IF($A962="","",TRIM(IF(ISERROR(FIND(",",$C962)),$C962,LEFT($C962,FIND(",",$C962)-1))))</f>
        <v/>
      </c>
      <c r="M962" s="28">
        <f>IF($H962="","",DATE(YEAR($H962),MONTH($H962),1))</f>
        <v/>
      </c>
      <c r="N962" s="26">
        <f>IF($H962="","",TODAY()-$H962)</f>
        <v/>
      </c>
      <c r="O962" s="15" t="n"/>
      <c r="P962" s="15" t="n"/>
      <c r="Q962" s="15" t="n"/>
      <c r="R962" s="25" t="n"/>
      <c r="S962" s="26">
        <f>IF($A962="","",AND(OR('Assignment Builder'!$B$5="",$B962='Assignment Builder'!$B$5),OR('Assignment Builder'!$B$6="",ISNUMBER(SEARCH('Assignment Builder'!$B$6,$C962))),OR('Assignment Builder'!$B$7="",'Assignment Builder'!$B$7=IFERROR(INDEX('Category Dictionary'!$C$5:$C$135,MATCH($L962,'Category Dictionary'!$D$5:$D$135,0)),"")),OR('Assignment Builder'!$B$8="",$D962='Assignment Builder'!$B$8),OR('Assignment Builder'!$B$9="",$F962='Assignment Builder'!$B$9),OR('Assignment Builder'!$B$10="",$O962='Assignment Builder'!$B$10),OR('Assignment Builder'!$B$11="",$H962&gt;='Assignment Builder'!$B$11),OR('Assignment Builder'!$B$12="",N($Q962)&lt;='Assignment Builder'!$B$12)))</f>
        <v/>
      </c>
      <c r="T962" s="23" t="n"/>
    </row>
    <row r="963">
      <c r="A963" s="23" t="n"/>
      <c r="B963" s="23" t="n"/>
      <c r="C963" s="24" t="n"/>
      <c r="D963" s="15" t="n"/>
      <c r="E963" s="23" t="n"/>
      <c r="F963" s="15" t="n"/>
      <c r="G963" s="23" t="n"/>
      <c r="H963" s="25" t="n"/>
      <c r="I963" s="15" t="n"/>
      <c r="J963" s="26">
        <f>IF($A963="","",LEN($C963)-LEN(SUBSTITUTE($C963,",",""))+1)</f>
        <v/>
      </c>
      <c r="K963" s="26">
        <f>IF($A963="","",SUMPRODUCT(--ISNUMBER(SEARCH('Category Dictionary'!$D$5:$D$135&amp;"",$C963)),--('Category Dictionary'!$D$5:$D$135&lt;&gt;"")))</f>
        <v/>
      </c>
      <c r="L963" s="27">
        <f>IF($A963="","",TRIM(IF(ISERROR(FIND(",",$C963)),$C963,LEFT($C963,FIND(",",$C963)-1))))</f>
        <v/>
      </c>
      <c r="M963" s="28">
        <f>IF($H963="","",DATE(YEAR($H963),MONTH($H963),1))</f>
        <v/>
      </c>
      <c r="N963" s="26">
        <f>IF($H963="","",TODAY()-$H963)</f>
        <v/>
      </c>
      <c r="O963" s="15" t="n"/>
      <c r="P963" s="15" t="n"/>
      <c r="Q963" s="15" t="n"/>
      <c r="R963" s="25" t="n"/>
      <c r="S963" s="26">
        <f>IF($A963="","",AND(OR('Assignment Builder'!$B$5="",$B963='Assignment Builder'!$B$5),OR('Assignment Builder'!$B$6="",ISNUMBER(SEARCH('Assignment Builder'!$B$6,$C963))),OR('Assignment Builder'!$B$7="",'Assignment Builder'!$B$7=IFERROR(INDEX('Category Dictionary'!$C$5:$C$135,MATCH($L963,'Category Dictionary'!$D$5:$D$135,0)),"")),OR('Assignment Builder'!$B$8="",$D963='Assignment Builder'!$B$8),OR('Assignment Builder'!$B$9="",$F963='Assignment Builder'!$B$9),OR('Assignment Builder'!$B$10="",$O963='Assignment Builder'!$B$10),OR('Assignment Builder'!$B$11="",$H963&gt;='Assignment Builder'!$B$11),OR('Assignment Builder'!$B$12="",N($Q963)&lt;='Assignment Builder'!$B$12)))</f>
        <v/>
      </c>
      <c r="T963" s="23" t="n"/>
    </row>
    <row r="964">
      <c r="A964" s="23" t="n"/>
      <c r="B964" s="23" t="n"/>
      <c r="C964" s="24" t="n"/>
      <c r="D964" s="15" t="n"/>
      <c r="E964" s="23" t="n"/>
      <c r="F964" s="15" t="n"/>
      <c r="G964" s="23" t="n"/>
      <c r="H964" s="25" t="n"/>
      <c r="I964" s="15" t="n"/>
      <c r="J964" s="26">
        <f>IF($A964="","",LEN($C964)-LEN(SUBSTITUTE($C964,",",""))+1)</f>
        <v/>
      </c>
      <c r="K964" s="26">
        <f>IF($A964="","",SUMPRODUCT(--ISNUMBER(SEARCH('Category Dictionary'!$D$5:$D$135&amp;"",$C964)),--('Category Dictionary'!$D$5:$D$135&lt;&gt;"")))</f>
        <v/>
      </c>
      <c r="L964" s="27">
        <f>IF($A964="","",TRIM(IF(ISERROR(FIND(",",$C964)),$C964,LEFT($C964,FIND(",",$C964)-1))))</f>
        <v/>
      </c>
      <c r="M964" s="28">
        <f>IF($H964="","",DATE(YEAR($H964),MONTH($H964),1))</f>
        <v/>
      </c>
      <c r="N964" s="26">
        <f>IF($H964="","",TODAY()-$H964)</f>
        <v/>
      </c>
      <c r="O964" s="15" t="n"/>
      <c r="P964" s="15" t="n"/>
      <c r="Q964" s="15" t="n"/>
      <c r="R964" s="25" t="n"/>
      <c r="S964" s="26">
        <f>IF($A964="","",AND(OR('Assignment Builder'!$B$5="",$B964='Assignment Builder'!$B$5),OR('Assignment Builder'!$B$6="",ISNUMBER(SEARCH('Assignment Builder'!$B$6,$C964))),OR('Assignment Builder'!$B$7="",'Assignment Builder'!$B$7=IFERROR(INDEX('Category Dictionary'!$C$5:$C$135,MATCH($L964,'Category Dictionary'!$D$5:$D$135,0)),"")),OR('Assignment Builder'!$B$8="",$D964='Assignment Builder'!$B$8),OR('Assignment Builder'!$B$9="",$F964='Assignment Builder'!$B$9),OR('Assignment Builder'!$B$10="",$O964='Assignment Builder'!$B$10),OR('Assignment Builder'!$B$11="",$H964&gt;='Assignment Builder'!$B$11),OR('Assignment Builder'!$B$12="",N($Q964)&lt;='Assignment Builder'!$B$12)))</f>
        <v/>
      </c>
      <c r="T964" s="23" t="n"/>
    </row>
    <row r="965">
      <c r="A965" s="23" t="n"/>
      <c r="B965" s="23" t="n"/>
      <c r="C965" s="24" t="n"/>
      <c r="D965" s="15" t="n"/>
      <c r="E965" s="23" t="n"/>
      <c r="F965" s="15" t="n"/>
      <c r="G965" s="23" t="n"/>
      <c r="H965" s="25" t="n"/>
      <c r="I965" s="15" t="n"/>
      <c r="J965" s="26">
        <f>IF($A965="","",LEN($C965)-LEN(SUBSTITUTE($C965,",",""))+1)</f>
        <v/>
      </c>
      <c r="K965" s="26">
        <f>IF($A965="","",SUMPRODUCT(--ISNUMBER(SEARCH('Category Dictionary'!$D$5:$D$135&amp;"",$C965)),--('Category Dictionary'!$D$5:$D$135&lt;&gt;"")))</f>
        <v/>
      </c>
      <c r="L965" s="27">
        <f>IF($A965="","",TRIM(IF(ISERROR(FIND(",",$C965)),$C965,LEFT($C965,FIND(",",$C965)-1))))</f>
        <v/>
      </c>
      <c r="M965" s="28">
        <f>IF($H965="","",DATE(YEAR($H965),MONTH($H965),1))</f>
        <v/>
      </c>
      <c r="N965" s="26">
        <f>IF($H965="","",TODAY()-$H965)</f>
        <v/>
      </c>
      <c r="O965" s="15" t="n"/>
      <c r="P965" s="15" t="n"/>
      <c r="Q965" s="15" t="n"/>
      <c r="R965" s="25" t="n"/>
      <c r="S965" s="26">
        <f>IF($A965="","",AND(OR('Assignment Builder'!$B$5="",$B965='Assignment Builder'!$B$5),OR('Assignment Builder'!$B$6="",ISNUMBER(SEARCH('Assignment Builder'!$B$6,$C965))),OR('Assignment Builder'!$B$7="",'Assignment Builder'!$B$7=IFERROR(INDEX('Category Dictionary'!$C$5:$C$135,MATCH($L965,'Category Dictionary'!$D$5:$D$135,0)),"")),OR('Assignment Builder'!$B$8="",$D965='Assignment Builder'!$B$8),OR('Assignment Builder'!$B$9="",$F965='Assignment Builder'!$B$9),OR('Assignment Builder'!$B$10="",$O965='Assignment Builder'!$B$10),OR('Assignment Builder'!$B$11="",$H965&gt;='Assignment Builder'!$B$11),OR('Assignment Builder'!$B$12="",N($Q965)&lt;='Assignment Builder'!$B$12)))</f>
        <v/>
      </c>
      <c r="T965" s="23" t="n"/>
    </row>
    <row r="966">
      <c r="A966" s="23" t="n"/>
      <c r="B966" s="23" t="n"/>
      <c r="C966" s="24" t="n"/>
      <c r="D966" s="15" t="n"/>
      <c r="E966" s="23" t="n"/>
      <c r="F966" s="15" t="n"/>
      <c r="G966" s="23" t="n"/>
      <c r="H966" s="25" t="n"/>
      <c r="I966" s="15" t="n"/>
      <c r="J966" s="26">
        <f>IF($A966="","",LEN($C966)-LEN(SUBSTITUTE($C966,",",""))+1)</f>
        <v/>
      </c>
      <c r="K966" s="26">
        <f>IF($A966="","",SUMPRODUCT(--ISNUMBER(SEARCH('Category Dictionary'!$D$5:$D$135&amp;"",$C966)),--('Category Dictionary'!$D$5:$D$135&lt;&gt;"")))</f>
        <v/>
      </c>
      <c r="L966" s="27">
        <f>IF($A966="","",TRIM(IF(ISERROR(FIND(",",$C966)),$C966,LEFT($C966,FIND(",",$C966)-1))))</f>
        <v/>
      </c>
      <c r="M966" s="28">
        <f>IF($H966="","",DATE(YEAR($H966),MONTH($H966),1))</f>
        <v/>
      </c>
      <c r="N966" s="26">
        <f>IF($H966="","",TODAY()-$H966)</f>
        <v/>
      </c>
      <c r="O966" s="15" t="n"/>
      <c r="P966" s="15" t="n"/>
      <c r="Q966" s="15" t="n"/>
      <c r="R966" s="25" t="n"/>
      <c r="S966" s="26">
        <f>IF($A966="","",AND(OR('Assignment Builder'!$B$5="",$B966='Assignment Builder'!$B$5),OR('Assignment Builder'!$B$6="",ISNUMBER(SEARCH('Assignment Builder'!$B$6,$C966))),OR('Assignment Builder'!$B$7="",'Assignment Builder'!$B$7=IFERROR(INDEX('Category Dictionary'!$C$5:$C$135,MATCH($L966,'Category Dictionary'!$D$5:$D$135,0)),"")),OR('Assignment Builder'!$B$8="",$D966='Assignment Builder'!$B$8),OR('Assignment Builder'!$B$9="",$F966='Assignment Builder'!$B$9),OR('Assignment Builder'!$B$10="",$O966='Assignment Builder'!$B$10),OR('Assignment Builder'!$B$11="",$H966&gt;='Assignment Builder'!$B$11),OR('Assignment Builder'!$B$12="",N($Q966)&lt;='Assignment Builder'!$B$12)))</f>
        <v/>
      </c>
      <c r="T966" s="23" t="n"/>
    </row>
    <row r="967">
      <c r="A967" s="23" t="n"/>
      <c r="B967" s="23" t="n"/>
      <c r="C967" s="24" t="n"/>
      <c r="D967" s="15" t="n"/>
      <c r="E967" s="23" t="n"/>
      <c r="F967" s="15" t="n"/>
      <c r="G967" s="23" t="n"/>
      <c r="H967" s="25" t="n"/>
      <c r="I967" s="15" t="n"/>
      <c r="J967" s="26">
        <f>IF($A967="","",LEN($C967)-LEN(SUBSTITUTE($C967,",",""))+1)</f>
        <v/>
      </c>
      <c r="K967" s="26">
        <f>IF($A967="","",SUMPRODUCT(--ISNUMBER(SEARCH('Category Dictionary'!$D$5:$D$135&amp;"",$C967)),--('Category Dictionary'!$D$5:$D$135&lt;&gt;"")))</f>
        <v/>
      </c>
      <c r="L967" s="27">
        <f>IF($A967="","",TRIM(IF(ISERROR(FIND(",",$C967)),$C967,LEFT($C967,FIND(",",$C967)-1))))</f>
        <v/>
      </c>
      <c r="M967" s="28">
        <f>IF($H967="","",DATE(YEAR($H967),MONTH($H967),1))</f>
        <v/>
      </c>
      <c r="N967" s="26">
        <f>IF($H967="","",TODAY()-$H967)</f>
        <v/>
      </c>
      <c r="O967" s="15" t="n"/>
      <c r="P967" s="15" t="n"/>
      <c r="Q967" s="15" t="n"/>
      <c r="R967" s="25" t="n"/>
      <c r="S967" s="26">
        <f>IF($A967="","",AND(OR('Assignment Builder'!$B$5="",$B967='Assignment Builder'!$B$5),OR('Assignment Builder'!$B$6="",ISNUMBER(SEARCH('Assignment Builder'!$B$6,$C967))),OR('Assignment Builder'!$B$7="",'Assignment Builder'!$B$7=IFERROR(INDEX('Category Dictionary'!$C$5:$C$135,MATCH($L967,'Category Dictionary'!$D$5:$D$135,0)),"")),OR('Assignment Builder'!$B$8="",$D967='Assignment Builder'!$B$8),OR('Assignment Builder'!$B$9="",$F967='Assignment Builder'!$B$9),OR('Assignment Builder'!$B$10="",$O967='Assignment Builder'!$B$10),OR('Assignment Builder'!$B$11="",$H967&gt;='Assignment Builder'!$B$11),OR('Assignment Builder'!$B$12="",N($Q967)&lt;='Assignment Builder'!$B$12)))</f>
        <v/>
      </c>
      <c r="T967" s="23" t="n"/>
    </row>
    <row r="968">
      <c r="A968" s="23" t="n"/>
      <c r="B968" s="23" t="n"/>
      <c r="C968" s="24" t="n"/>
      <c r="D968" s="15" t="n"/>
      <c r="E968" s="23" t="n"/>
      <c r="F968" s="15" t="n"/>
      <c r="G968" s="23" t="n"/>
      <c r="H968" s="25" t="n"/>
      <c r="I968" s="15" t="n"/>
      <c r="J968" s="26">
        <f>IF($A968="","",LEN($C968)-LEN(SUBSTITUTE($C968,",",""))+1)</f>
        <v/>
      </c>
      <c r="K968" s="26">
        <f>IF($A968="","",SUMPRODUCT(--ISNUMBER(SEARCH('Category Dictionary'!$D$5:$D$135&amp;"",$C968)),--('Category Dictionary'!$D$5:$D$135&lt;&gt;"")))</f>
        <v/>
      </c>
      <c r="L968" s="27">
        <f>IF($A968="","",TRIM(IF(ISERROR(FIND(",",$C968)),$C968,LEFT($C968,FIND(",",$C968)-1))))</f>
        <v/>
      </c>
      <c r="M968" s="28">
        <f>IF($H968="","",DATE(YEAR($H968),MONTH($H968),1))</f>
        <v/>
      </c>
      <c r="N968" s="26">
        <f>IF($H968="","",TODAY()-$H968)</f>
        <v/>
      </c>
      <c r="O968" s="15" t="n"/>
      <c r="P968" s="15" t="n"/>
      <c r="Q968" s="15" t="n"/>
      <c r="R968" s="25" t="n"/>
      <c r="S968" s="26">
        <f>IF($A968="","",AND(OR('Assignment Builder'!$B$5="",$B968='Assignment Builder'!$B$5),OR('Assignment Builder'!$B$6="",ISNUMBER(SEARCH('Assignment Builder'!$B$6,$C968))),OR('Assignment Builder'!$B$7="",'Assignment Builder'!$B$7=IFERROR(INDEX('Category Dictionary'!$C$5:$C$135,MATCH($L968,'Category Dictionary'!$D$5:$D$135,0)),"")),OR('Assignment Builder'!$B$8="",$D968='Assignment Builder'!$B$8),OR('Assignment Builder'!$B$9="",$F968='Assignment Builder'!$B$9),OR('Assignment Builder'!$B$10="",$O968='Assignment Builder'!$B$10),OR('Assignment Builder'!$B$11="",$H968&gt;='Assignment Builder'!$B$11),OR('Assignment Builder'!$B$12="",N($Q968)&lt;='Assignment Builder'!$B$12)))</f>
        <v/>
      </c>
      <c r="T968" s="23" t="n"/>
    </row>
    <row r="969">
      <c r="A969" s="23" t="n"/>
      <c r="B969" s="23" t="n"/>
      <c r="C969" s="24" t="n"/>
      <c r="D969" s="15" t="n"/>
      <c r="E969" s="23" t="n"/>
      <c r="F969" s="15" t="n"/>
      <c r="G969" s="23" t="n"/>
      <c r="H969" s="25" t="n"/>
      <c r="I969" s="15" t="n"/>
      <c r="J969" s="26">
        <f>IF($A969="","",LEN($C969)-LEN(SUBSTITUTE($C969,",",""))+1)</f>
        <v/>
      </c>
      <c r="K969" s="26">
        <f>IF($A969="","",SUMPRODUCT(--ISNUMBER(SEARCH('Category Dictionary'!$D$5:$D$135&amp;"",$C969)),--('Category Dictionary'!$D$5:$D$135&lt;&gt;"")))</f>
        <v/>
      </c>
      <c r="L969" s="27">
        <f>IF($A969="","",TRIM(IF(ISERROR(FIND(",",$C969)),$C969,LEFT($C969,FIND(",",$C969)-1))))</f>
        <v/>
      </c>
      <c r="M969" s="28">
        <f>IF($H969="","",DATE(YEAR($H969),MONTH($H969),1))</f>
        <v/>
      </c>
      <c r="N969" s="26">
        <f>IF($H969="","",TODAY()-$H969)</f>
        <v/>
      </c>
      <c r="O969" s="15" t="n"/>
      <c r="P969" s="15" t="n"/>
      <c r="Q969" s="15" t="n"/>
      <c r="R969" s="25" t="n"/>
      <c r="S969" s="26">
        <f>IF($A969="","",AND(OR('Assignment Builder'!$B$5="",$B969='Assignment Builder'!$B$5),OR('Assignment Builder'!$B$6="",ISNUMBER(SEARCH('Assignment Builder'!$B$6,$C969))),OR('Assignment Builder'!$B$7="",'Assignment Builder'!$B$7=IFERROR(INDEX('Category Dictionary'!$C$5:$C$135,MATCH($L969,'Category Dictionary'!$D$5:$D$135,0)),"")),OR('Assignment Builder'!$B$8="",$D969='Assignment Builder'!$B$8),OR('Assignment Builder'!$B$9="",$F969='Assignment Builder'!$B$9),OR('Assignment Builder'!$B$10="",$O969='Assignment Builder'!$B$10),OR('Assignment Builder'!$B$11="",$H969&gt;='Assignment Builder'!$B$11),OR('Assignment Builder'!$B$12="",N($Q969)&lt;='Assignment Builder'!$B$12)))</f>
        <v/>
      </c>
      <c r="T969" s="23" t="n"/>
    </row>
    <row r="970">
      <c r="A970" s="23" t="n"/>
      <c r="B970" s="23" t="n"/>
      <c r="C970" s="24" t="n"/>
      <c r="D970" s="15" t="n"/>
      <c r="E970" s="23" t="n"/>
      <c r="F970" s="15" t="n"/>
      <c r="G970" s="23" t="n"/>
      <c r="H970" s="25" t="n"/>
      <c r="I970" s="15" t="n"/>
      <c r="J970" s="26">
        <f>IF($A970="","",LEN($C970)-LEN(SUBSTITUTE($C970,",",""))+1)</f>
        <v/>
      </c>
      <c r="K970" s="26">
        <f>IF($A970="","",SUMPRODUCT(--ISNUMBER(SEARCH('Category Dictionary'!$D$5:$D$135&amp;"",$C970)),--('Category Dictionary'!$D$5:$D$135&lt;&gt;"")))</f>
        <v/>
      </c>
      <c r="L970" s="27">
        <f>IF($A970="","",TRIM(IF(ISERROR(FIND(",",$C970)),$C970,LEFT($C970,FIND(",",$C970)-1))))</f>
        <v/>
      </c>
      <c r="M970" s="28">
        <f>IF($H970="","",DATE(YEAR($H970),MONTH($H970),1))</f>
        <v/>
      </c>
      <c r="N970" s="26">
        <f>IF($H970="","",TODAY()-$H970)</f>
        <v/>
      </c>
      <c r="O970" s="15" t="n"/>
      <c r="P970" s="15" t="n"/>
      <c r="Q970" s="15" t="n"/>
      <c r="R970" s="25" t="n"/>
      <c r="S970" s="26">
        <f>IF($A970="","",AND(OR('Assignment Builder'!$B$5="",$B970='Assignment Builder'!$B$5),OR('Assignment Builder'!$B$6="",ISNUMBER(SEARCH('Assignment Builder'!$B$6,$C970))),OR('Assignment Builder'!$B$7="",'Assignment Builder'!$B$7=IFERROR(INDEX('Category Dictionary'!$C$5:$C$135,MATCH($L970,'Category Dictionary'!$D$5:$D$135,0)),"")),OR('Assignment Builder'!$B$8="",$D970='Assignment Builder'!$B$8),OR('Assignment Builder'!$B$9="",$F970='Assignment Builder'!$B$9),OR('Assignment Builder'!$B$10="",$O970='Assignment Builder'!$B$10),OR('Assignment Builder'!$B$11="",$H970&gt;='Assignment Builder'!$B$11),OR('Assignment Builder'!$B$12="",N($Q970)&lt;='Assignment Builder'!$B$12)))</f>
        <v/>
      </c>
      <c r="T970" s="23" t="n"/>
    </row>
    <row r="971">
      <c r="A971" s="23" t="n"/>
      <c r="B971" s="23" t="n"/>
      <c r="C971" s="24" t="n"/>
      <c r="D971" s="15" t="n"/>
      <c r="E971" s="23" t="n"/>
      <c r="F971" s="15" t="n"/>
      <c r="G971" s="23" t="n"/>
      <c r="H971" s="25" t="n"/>
      <c r="I971" s="15" t="n"/>
      <c r="J971" s="26">
        <f>IF($A971="","",LEN($C971)-LEN(SUBSTITUTE($C971,",",""))+1)</f>
        <v/>
      </c>
      <c r="K971" s="26">
        <f>IF($A971="","",SUMPRODUCT(--ISNUMBER(SEARCH('Category Dictionary'!$D$5:$D$135&amp;"",$C971)),--('Category Dictionary'!$D$5:$D$135&lt;&gt;"")))</f>
        <v/>
      </c>
      <c r="L971" s="27">
        <f>IF($A971="","",TRIM(IF(ISERROR(FIND(",",$C971)),$C971,LEFT($C971,FIND(",",$C971)-1))))</f>
        <v/>
      </c>
      <c r="M971" s="28">
        <f>IF($H971="","",DATE(YEAR($H971),MONTH($H971),1))</f>
        <v/>
      </c>
      <c r="N971" s="26">
        <f>IF($H971="","",TODAY()-$H971)</f>
        <v/>
      </c>
      <c r="O971" s="15" t="n"/>
      <c r="P971" s="15" t="n"/>
      <c r="Q971" s="15" t="n"/>
      <c r="R971" s="25" t="n"/>
      <c r="S971" s="26">
        <f>IF($A971="","",AND(OR('Assignment Builder'!$B$5="",$B971='Assignment Builder'!$B$5),OR('Assignment Builder'!$B$6="",ISNUMBER(SEARCH('Assignment Builder'!$B$6,$C971))),OR('Assignment Builder'!$B$7="",'Assignment Builder'!$B$7=IFERROR(INDEX('Category Dictionary'!$C$5:$C$135,MATCH($L971,'Category Dictionary'!$D$5:$D$135,0)),"")),OR('Assignment Builder'!$B$8="",$D971='Assignment Builder'!$B$8),OR('Assignment Builder'!$B$9="",$F971='Assignment Builder'!$B$9),OR('Assignment Builder'!$B$10="",$O971='Assignment Builder'!$B$10),OR('Assignment Builder'!$B$11="",$H971&gt;='Assignment Builder'!$B$11),OR('Assignment Builder'!$B$12="",N($Q971)&lt;='Assignment Builder'!$B$12)))</f>
        <v/>
      </c>
      <c r="T971" s="23" t="n"/>
    </row>
    <row r="972">
      <c r="A972" s="23" t="n"/>
      <c r="B972" s="23" t="n"/>
      <c r="C972" s="24" t="n"/>
      <c r="D972" s="15" t="n"/>
      <c r="E972" s="23" t="n"/>
      <c r="F972" s="15" t="n"/>
      <c r="G972" s="23" t="n"/>
      <c r="H972" s="25" t="n"/>
      <c r="I972" s="15" t="n"/>
      <c r="J972" s="26">
        <f>IF($A972="","",LEN($C972)-LEN(SUBSTITUTE($C972,",",""))+1)</f>
        <v/>
      </c>
      <c r="K972" s="26">
        <f>IF($A972="","",SUMPRODUCT(--ISNUMBER(SEARCH('Category Dictionary'!$D$5:$D$135&amp;"",$C972)),--('Category Dictionary'!$D$5:$D$135&lt;&gt;"")))</f>
        <v/>
      </c>
      <c r="L972" s="27">
        <f>IF($A972="","",TRIM(IF(ISERROR(FIND(",",$C972)),$C972,LEFT($C972,FIND(",",$C972)-1))))</f>
        <v/>
      </c>
      <c r="M972" s="28">
        <f>IF($H972="","",DATE(YEAR($H972),MONTH($H972),1))</f>
        <v/>
      </c>
      <c r="N972" s="26">
        <f>IF($H972="","",TODAY()-$H972)</f>
        <v/>
      </c>
      <c r="O972" s="15" t="n"/>
      <c r="P972" s="15" t="n"/>
      <c r="Q972" s="15" t="n"/>
      <c r="R972" s="25" t="n"/>
      <c r="S972" s="26">
        <f>IF($A972="","",AND(OR('Assignment Builder'!$B$5="",$B972='Assignment Builder'!$B$5),OR('Assignment Builder'!$B$6="",ISNUMBER(SEARCH('Assignment Builder'!$B$6,$C972))),OR('Assignment Builder'!$B$7="",'Assignment Builder'!$B$7=IFERROR(INDEX('Category Dictionary'!$C$5:$C$135,MATCH($L972,'Category Dictionary'!$D$5:$D$135,0)),"")),OR('Assignment Builder'!$B$8="",$D972='Assignment Builder'!$B$8),OR('Assignment Builder'!$B$9="",$F972='Assignment Builder'!$B$9),OR('Assignment Builder'!$B$10="",$O972='Assignment Builder'!$B$10),OR('Assignment Builder'!$B$11="",$H972&gt;='Assignment Builder'!$B$11),OR('Assignment Builder'!$B$12="",N($Q972)&lt;='Assignment Builder'!$B$12)))</f>
        <v/>
      </c>
      <c r="T972" s="23" t="n"/>
    </row>
    <row r="973">
      <c r="A973" s="23" t="n"/>
      <c r="B973" s="23" t="n"/>
      <c r="C973" s="24" t="n"/>
      <c r="D973" s="15" t="n"/>
      <c r="E973" s="23" t="n"/>
      <c r="F973" s="15" t="n"/>
      <c r="G973" s="23" t="n"/>
      <c r="H973" s="25" t="n"/>
      <c r="I973" s="15" t="n"/>
      <c r="J973" s="26">
        <f>IF($A973="","",LEN($C973)-LEN(SUBSTITUTE($C973,",",""))+1)</f>
        <v/>
      </c>
      <c r="K973" s="26">
        <f>IF($A973="","",SUMPRODUCT(--ISNUMBER(SEARCH('Category Dictionary'!$D$5:$D$135&amp;"",$C973)),--('Category Dictionary'!$D$5:$D$135&lt;&gt;"")))</f>
        <v/>
      </c>
      <c r="L973" s="27">
        <f>IF($A973="","",TRIM(IF(ISERROR(FIND(",",$C973)),$C973,LEFT($C973,FIND(",",$C973)-1))))</f>
        <v/>
      </c>
      <c r="M973" s="28">
        <f>IF($H973="","",DATE(YEAR($H973),MONTH($H973),1))</f>
        <v/>
      </c>
      <c r="N973" s="26">
        <f>IF($H973="","",TODAY()-$H973)</f>
        <v/>
      </c>
      <c r="O973" s="15" t="n"/>
      <c r="P973" s="15" t="n"/>
      <c r="Q973" s="15" t="n"/>
      <c r="R973" s="25" t="n"/>
      <c r="S973" s="26">
        <f>IF($A973="","",AND(OR('Assignment Builder'!$B$5="",$B973='Assignment Builder'!$B$5),OR('Assignment Builder'!$B$6="",ISNUMBER(SEARCH('Assignment Builder'!$B$6,$C973))),OR('Assignment Builder'!$B$7="",'Assignment Builder'!$B$7=IFERROR(INDEX('Category Dictionary'!$C$5:$C$135,MATCH($L973,'Category Dictionary'!$D$5:$D$135,0)),"")),OR('Assignment Builder'!$B$8="",$D973='Assignment Builder'!$B$8),OR('Assignment Builder'!$B$9="",$F973='Assignment Builder'!$B$9),OR('Assignment Builder'!$B$10="",$O973='Assignment Builder'!$B$10),OR('Assignment Builder'!$B$11="",$H973&gt;='Assignment Builder'!$B$11),OR('Assignment Builder'!$B$12="",N($Q973)&lt;='Assignment Builder'!$B$12)))</f>
        <v/>
      </c>
      <c r="T973" s="23" t="n"/>
    </row>
    <row r="974">
      <c r="A974" s="23" t="n"/>
      <c r="B974" s="23" t="n"/>
      <c r="C974" s="24" t="n"/>
      <c r="D974" s="15" t="n"/>
      <c r="E974" s="23" t="n"/>
      <c r="F974" s="15" t="n"/>
      <c r="G974" s="23" t="n"/>
      <c r="H974" s="25" t="n"/>
      <c r="I974" s="15" t="n"/>
      <c r="J974" s="26">
        <f>IF($A974="","",LEN($C974)-LEN(SUBSTITUTE($C974,",",""))+1)</f>
        <v/>
      </c>
      <c r="K974" s="26">
        <f>IF($A974="","",SUMPRODUCT(--ISNUMBER(SEARCH('Category Dictionary'!$D$5:$D$135&amp;"",$C974)),--('Category Dictionary'!$D$5:$D$135&lt;&gt;"")))</f>
        <v/>
      </c>
      <c r="L974" s="27">
        <f>IF($A974="","",TRIM(IF(ISERROR(FIND(",",$C974)),$C974,LEFT($C974,FIND(",",$C974)-1))))</f>
        <v/>
      </c>
      <c r="M974" s="28">
        <f>IF($H974="","",DATE(YEAR($H974),MONTH($H974),1))</f>
        <v/>
      </c>
      <c r="N974" s="26">
        <f>IF($H974="","",TODAY()-$H974)</f>
        <v/>
      </c>
      <c r="O974" s="15" t="n"/>
      <c r="P974" s="15" t="n"/>
      <c r="Q974" s="15" t="n"/>
      <c r="R974" s="25" t="n"/>
      <c r="S974" s="26">
        <f>IF($A974="","",AND(OR('Assignment Builder'!$B$5="",$B974='Assignment Builder'!$B$5),OR('Assignment Builder'!$B$6="",ISNUMBER(SEARCH('Assignment Builder'!$B$6,$C974))),OR('Assignment Builder'!$B$7="",'Assignment Builder'!$B$7=IFERROR(INDEX('Category Dictionary'!$C$5:$C$135,MATCH($L974,'Category Dictionary'!$D$5:$D$135,0)),"")),OR('Assignment Builder'!$B$8="",$D974='Assignment Builder'!$B$8),OR('Assignment Builder'!$B$9="",$F974='Assignment Builder'!$B$9),OR('Assignment Builder'!$B$10="",$O974='Assignment Builder'!$B$10),OR('Assignment Builder'!$B$11="",$H974&gt;='Assignment Builder'!$B$11),OR('Assignment Builder'!$B$12="",N($Q974)&lt;='Assignment Builder'!$B$12)))</f>
        <v/>
      </c>
      <c r="T974" s="23" t="n"/>
    </row>
    <row r="975">
      <c r="A975" s="23" t="n"/>
      <c r="B975" s="23" t="n"/>
      <c r="C975" s="24" t="n"/>
      <c r="D975" s="15" t="n"/>
      <c r="E975" s="23" t="n"/>
      <c r="F975" s="15" t="n"/>
      <c r="G975" s="23" t="n"/>
      <c r="H975" s="25" t="n"/>
      <c r="I975" s="15" t="n"/>
      <c r="J975" s="26">
        <f>IF($A975="","",LEN($C975)-LEN(SUBSTITUTE($C975,",",""))+1)</f>
        <v/>
      </c>
      <c r="K975" s="26">
        <f>IF($A975="","",SUMPRODUCT(--ISNUMBER(SEARCH('Category Dictionary'!$D$5:$D$135&amp;"",$C975)),--('Category Dictionary'!$D$5:$D$135&lt;&gt;"")))</f>
        <v/>
      </c>
      <c r="L975" s="27">
        <f>IF($A975="","",TRIM(IF(ISERROR(FIND(",",$C975)),$C975,LEFT($C975,FIND(",",$C975)-1))))</f>
        <v/>
      </c>
      <c r="M975" s="28">
        <f>IF($H975="","",DATE(YEAR($H975),MONTH($H975),1))</f>
        <v/>
      </c>
      <c r="N975" s="26">
        <f>IF($H975="","",TODAY()-$H975)</f>
        <v/>
      </c>
      <c r="O975" s="15" t="n"/>
      <c r="P975" s="15" t="n"/>
      <c r="Q975" s="15" t="n"/>
      <c r="R975" s="25" t="n"/>
      <c r="S975" s="26">
        <f>IF($A975="","",AND(OR('Assignment Builder'!$B$5="",$B975='Assignment Builder'!$B$5),OR('Assignment Builder'!$B$6="",ISNUMBER(SEARCH('Assignment Builder'!$B$6,$C975))),OR('Assignment Builder'!$B$7="",'Assignment Builder'!$B$7=IFERROR(INDEX('Category Dictionary'!$C$5:$C$135,MATCH($L975,'Category Dictionary'!$D$5:$D$135,0)),"")),OR('Assignment Builder'!$B$8="",$D975='Assignment Builder'!$B$8),OR('Assignment Builder'!$B$9="",$F975='Assignment Builder'!$B$9),OR('Assignment Builder'!$B$10="",$O975='Assignment Builder'!$B$10),OR('Assignment Builder'!$B$11="",$H975&gt;='Assignment Builder'!$B$11),OR('Assignment Builder'!$B$12="",N($Q975)&lt;='Assignment Builder'!$B$12)))</f>
        <v/>
      </c>
      <c r="T975" s="23" t="n"/>
    </row>
    <row r="976">
      <c r="A976" s="23" t="n"/>
      <c r="B976" s="23" t="n"/>
      <c r="C976" s="24" t="n"/>
      <c r="D976" s="15" t="n"/>
      <c r="E976" s="23" t="n"/>
      <c r="F976" s="15" t="n"/>
      <c r="G976" s="23" t="n"/>
      <c r="H976" s="25" t="n"/>
      <c r="I976" s="15" t="n"/>
      <c r="J976" s="26">
        <f>IF($A976="","",LEN($C976)-LEN(SUBSTITUTE($C976,",",""))+1)</f>
        <v/>
      </c>
      <c r="K976" s="26">
        <f>IF($A976="","",SUMPRODUCT(--ISNUMBER(SEARCH('Category Dictionary'!$D$5:$D$135&amp;"",$C976)),--('Category Dictionary'!$D$5:$D$135&lt;&gt;"")))</f>
        <v/>
      </c>
      <c r="L976" s="27">
        <f>IF($A976="","",TRIM(IF(ISERROR(FIND(",",$C976)),$C976,LEFT($C976,FIND(",",$C976)-1))))</f>
        <v/>
      </c>
      <c r="M976" s="28">
        <f>IF($H976="","",DATE(YEAR($H976),MONTH($H976),1))</f>
        <v/>
      </c>
      <c r="N976" s="26">
        <f>IF($H976="","",TODAY()-$H976)</f>
        <v/>
      </c>
      <c r="O976" s="15" t="n"/>
      <c r="P976" s="15" t="n"/>
      <c r="Q976" s="15" t="n"/>
      <c r="R976" s="25" t="n"/>
      <c r="S976" s="26">
        <f>IF($A976="","",AND(OR('Assignment Builder'!$B$5="",$B976='Assignment Builder'!$B$5),OR('Assignment Builder'!$B$6="",ISNUMBER(SEARCH('Assignment Builder'!$B$6,$C976))),OR('Assignment Builder'!$B$7="",'Assignment Builder'!$B$7=IFERROR(INDEX('Category Dictionary'!$C$5:$C$135,MATCH($L976,'Category Dictionary'!$D$5:$D$135,0)),"")),OR('Assignment Builder'!$B$8="",$D976='Assignment Builder'!$B$8),OR('Assignment Builder'!$B$9="",$F976='Assignment Builder'!$B$9),OR('Assignment Builder'!$B$10="",$O976='Assignment Builder'!$B$10),OR('Assignment Builder'!$B$11="",$H976&gt;='Assignment Builder'!$B$11),OR('Assignment Builder'!$B$12="",N($Q976)&lt;='Assignment Builder'!$B$12)))</f>
        <v/>
      </c>
      <c r="T976" s="23" t="n"/>
    </row>
    <row r="977">
      <c r="A977" s="23" t="n"/>
      <c r="B977" s="23" t="n"/>
      <c r="C977" s="24" t="n"/>
      <c r="D977" s="15" t="n"/>
      <c r="E977" s="23" t="n"/>
      <c r="F977" s="15" t="n"/>
      <c r="G977" s="23" t="n"/>
      <c r="H977" s="25" t="n"/>
      <c r="I977" s="15" t="n"/>
      <c r="J977" s="26">
        <f>IF($A977="","",LEN($C977)-LEN(SUBSTITUTE($C977,",",""))+1)</f>
        <v/>
      </c>
      <c r="K977" s="26">
        <f>IF($A977="","",SUMPRODUCT(--ISNUMBER(SEARCH('Category Dictionary'!$D$5:$D$135&amp;"",$C977)),--('Category Dictionary'!$D$5:$D$135&lt;&gt;"")))</f>
        <v/>
      </c>
      <c r="L977" s="27">
        <f>IF($A977="","",TRIM(IF(ISERROR(FIND(",",$C977)),$C977,LEFT($C977,FIND(",",$C977)-1))))</f>
        <v/>
      </c>
      <c r="M977" s="28">
        <f>IF($H977="","",DATE(YEAR($H977),MONTH($H977),1))</f>
        <v/>
      </c>
      <c r="N977" s="26">
        <f>IF($H977="","",TODAY()-$H977)</f>
        <v/>
      </c>
      <c r="O977" s="15" t="n"/>
      <c r="P977" s="15" t="n"/>
      <c r="Q977" s="15" t="n"/>
      <c r="R977" s="25" t="n"/>
      <c r="S977" s="26">
        <f>IF($A977="","",AND(OR('Assignment Builder'!$B$5="",$B977='Assignment Builder'!$B$5),OR('Assignment Builder'!$B$6="",ISNUMBER(SEARCH('Assignment Builder'!$B$6,$C977))),OR('Assignment Builder'!$B$7="",'Assignment Builder'!$B$7=IFERROR(INDEX('Category Dictionary'!$C$5:$C$135,MATCH($L977,'Category Dictionary'!$D$5:$D$135,0)),"")),OR('Assignment Builder'!$B$8="",$D977='Assignment Builder'!$B$8),OR('Assignment Builder'!$B$9="",$F977='Assignment Builder'!$B$9),OR('Assignment Builder'!$B$10="",$O977='Assignment Builder'!$B$10),OR('Assignment Builder'!$B$11="",$H977&gt;='Assignment Builder'!$B$11),OR('Assignment Builder'!$B$12="",N($Q977)&lt;='Assignment Builder'!$B$12)))</f>
        <v/>
      </c>
      <c r="T977" s="23" t="n"/>
    </row>
    <row r="978">
      <c r="A978" s="23" t="n"/>
      <c r="B978" s="23" t="n"/>
      <c r="C978" s="24" t="n"/>
      <c r="D978" s="15" t="n"/>
      <c r="E978" s="23" t="n"/>
      <c r="F978" s="15" t="n"/>
      <c r="G978" s="23" t="n"/>
      <c r="H978" s="25" t="n"/>
      <c r="I978" s="15" t="n"/>
      <c r="J978" s="26">
        <f>IF($A978="","",LEN($C978)-LEN(SUBSTITUTE($C978,",",""))+1)</f>
        <v/>
      </c>
      <c r="K978" s="26">
        <f>IF($A978="","",SUMPRODUCT(--ISNUMBER(SEARCH('Category Dictionary'!$D$5:$D$135&amp;"",$C978)),--('Category Dictionary'!$D$5:$D$135&lt;&gt;"")))</f>
        <v/>
      </c>
      <c r="L978" s="27">
        <f>IF($A978="","",TRIM(IF(ISERROR(FIND(",",$C978)),$C978,LEFT($C978,FIND(",",$C978)-1))))</f>
        <v/>
      </c>
      <c r="M978" s="28">
        <f>IF($H978="","",DATE(YEAR($H978),MONTH($H978),1))</f>
        <v/>
      </c>
      <c r="N978" s="26">
        <f>IF($H978="","",TODAY()-$H978)</f>
        <v/>
      </c>
      <c r="O978" s="15" t="n"/>
      <c r="P978" s="15" t="n"/>
      <c r="Q978" s="15" t="n"/>
      <c r="R978" s="25" t="n"/>
      <c r="S978" s="26">
        <f>IF($A978="","",AND(OR('Assignment Builder'!$B$5="",$B978='Assignment Builder'!$B$5),OR('Assignment Builder'!$B$6="",ISNUMBER(SEARCH('Assignment Builder'!$B$6,$C978))),OR('Assignment Builder'!$B$7="",'Assignment Builder'!$B$7=IFERROR(INDEX('Category Dictionary'!$C$5:$C$135,MATCH($L978,'Category Dictionary'!$D$5:$D$135,0)),"")),OR('Assignment Builder'!$B$8="",$D978='Assignment Builder'!$B$8),OR('Assignment Builder'!$B$9="",$F978='Assignment Builder'!$B$9),OR('Assignment Builder'!$B$10="",$O978='Assignment Builder'!$B$10),OR('Assignment Builder'!$B$11="",$H978&gt;='Assignment Builder'!$B$11),OR('Assignment Builder'!$B$12="",N($Q978)&lt;='Assignment Builder'!$B$12)))</f>
        <v/>
      </c>
      <c r="T978" s="23" t="n"/>
    </row>
    <row r="979">
      <c r="A979" s="23" t="n"/>
      <c r="B979" s="23" t="n"/>
      <c r="C979" s="24" t="n"/>
      <c r="D979" s="15" t="n"/>
      <c r="E979" s="23" t="n"/>
      <c r="F979" s="15" t="n"/>
      <c r="G979" s="23" t="n"/>
      <c r="H979" s="25" t="n"/>
      <c r="I979" s="15" t="n"/>
      <c r="J979" s="26">
        <f>IF($A979="","",LEN($C979)-LEN(SUBSTITUTE($C979,",",""))+1)</f>
        <v/>
      </c>
      <c r="K979" s="26">
        <f>IF($A979="","",SUMPRODUCT(--ISNUMBER(SEARCH('Category Dictionary'!$D$5:$D$135&amp;"",$C979)),--('Category Dictionary'!$D$5:$D$135&lt;&gt;"")))</f>
        <v/>
      </c>
      <c r="L979" s="27">
        <f>IF($A979="","",TRIM(IF(ISERROR(FIND(",",$C979)),$C979,LEFT($C979,FIND(",",$C979)-1))))</f>
        <v/>
      </c>
      <c r="M979" s="28">
        <f>IF($H979="","",DATE(YEAR($H979),MONTH($H979),1))</f>
        <v/>
      </c>
      <c r="N979" s="26">
        <f>IF($H979="","",TODAY()-$H979)</f>
        <v/>
      </c>
      <c r="O979" s="15" t="n"/>
      <c r="P979" s="15" t="n"/>
      <c r="Q979" s="15" t="n"/>
      <c r="R979" s="25" t="n"/>
      <c r="S979" s="26">
        <f>IF($A979="","",AND(OR('Assignment Builder'!$B$5="",$B979='Assignment Builder'!$B$5),OR('Assignment Builder'!$B$6="",ISNUMBER(SEARCH('Assignment Builder'!$B$6,$C979))),OR('Assignment Builder'!$B$7="",'Assignment Builder'!$B$7=IFERROR(INDEX('Category Dictionary'!$C$5:$C$135,MATCH($L979,'Category Dictionary'!$D$5:$D$135,0)),"")),OR('Assignment Builder'!$B$8="",$D979='Assignment Builder'!$B$8),OR('Assignment Builder'!$B$9="",$F979='Assignment Builder'!$B$9),OR('Assignment Builder'!$B$10="",$O979='Assignment Builder'!$B$10),OR('Assignment Builder'!$B$11="",$H979&gt;='Assignment Builder'!$B$11),OR('Assignment Builder'!$B$12="",N($Q979)&lt;='Assignment Builder'!$B$12)))</f>
        <v/>
      </c>
      <c r="T979" s="23" t="n"/>
    </row>
    <row r="980">
      <c r="A980" s="23" t="n"/>
      <c r="B980" s="23" t="n"/>
      <c r="C980" s="24" t="n"/>
      <c r="D980" s="15" t="n"/>
      <c r="E980" s="23" t="n"/>
      <c r="F980" s="15" t="n"/>
      <c r="G980" s="23" t="n"/>
      <c r="H980" s="25" t="n"/>
      <c r="I980" s="15" t="n"/>
      <c r="J980" s="26">
        <f>IF($A980="","",LEN($C980)-LEN(SUBSTITUTE($C980,",",""))+1)</f>
        <v/>
      </c>
      <c r="K980" s="26">
        <f>IF($A980="","",SUMPRODUCT(--ISNUMBER(SEARCH('Category Dictionary'!$D$5:$D$135&amp;"",$C980)),--('Category Dictionary'!$D$5:$D$135&lt;&gt;"")))</f>
        <v/>
      </c>
      <c r="L980" s="27">
        <f>IF($A980="","",TRIM(IF(ISERROR(FIND(",",$C980)),$C980,LEFT($C980,FIND(",",$C980)-1))))</f>
        <v/>
      </c>
      <c r="M980" s="28">
        <f>IF($H980="","",DATE(YEAR($H980),MONTH($H980),1))</f>
        <v/>
      </c>
      <c r="N980" s="26">
        <f>IF($H980="","",TODAY()-$H980)</f>
        <v/>
      </c>
      <c r="O980" s="15" t="n"/>
      <c r="P980" s="15" t="n"/>
      <c r="Q980" s="15" t="n"/>
      <c r="R980" s="25" t="n"/>
      <c r="S980" s="26">
        <f>IF($A980="","",AND(OR('Assignment Builder'!$B$5="",$B980='Assignment Builder'!$B$5),OR('Assignment Builder'!$B$6="",ISNUMBER(SEARCH('Assignment Builder'!$B$6,$C980))),OR('Assignment Builder'!$B$7="",'Assignment Builder'!$B$7=IFERROR(INDEX('Category Dictionary'!$C$5:$C$135,MATCH($L980,'Category Dictionary'!$D$5:$D$135,0)),"")),OR('Assignment Builder'!$B$8="",$D980='Assignment Builder'!$B$8),OR('Assignment Builder'!$B$9="",$F980='Assignment Builder'!$B$9),OR('Assignment Builder'!$B$10="",$O980='Assignment Builder'!$B$10),OR('Assignment Builder'!$B$11="",$H980&gt;='Assignment Builder'!$B$11),OR('Assignment Builder'!$B$12="",N($Q980)&lt;='Assignment Builder'!$B$12)))</f>
        <v/>
      </c>
      <c r="T980" s="23" t="n"/>
    </row>
    <row r="981">
      <c r="A981" s="23" t="n"/>
      <c r="B981" s="23" t="n"/>
      <c r="C981" s="24" t="n"/>
      <c r="D981" s="15" t="n"/>
      <c r="E981" s="23" t="n"/>
      <c r="F981" s="15" t="n"/>
      <c r="G981" s="23" t="n"/>
      <c r="H981" s="25" t="n"/>
      <c r="I981" s="15" t="n"/>
      <c r="J981" s="26">
        <f>IF($A981="","",LEN($C981)-LEN(SUBSTITUTE($C981,",",""))+1)</f>
        <v/>
      </c>
      <c r="K981" s="26">
        <f>IF($A981="","",SUMPRODUCT(--ISNUMBER(SEARCH('Category Dictionary'!$D$5:$D$135&amp;"",$C981)),--('Category Dictionary'!$D$5:$D$135&lt;&gt;"")))</f>
        <v/>
      </c>
      <c r="L981" s="27">
        <f>IF($A981="","",TRIM(IF(ISERROR(FIND(",",$C981)),$C981,LEFT($C981,FIND(",",$C981)-1))))</f>
        <v/>
      </c>
      <c r="M981" s="28">
        <f>IF($H981="","",DATE(YEAR($H981),MONTH($H981),1))</f>
        <v/>
      </c>
      <c r="N981" s="26">
        <f>IF($H981="","",TODAY()-$H981)</f>
        <v/>
      </c>
      <c r="O981" s="15" t="n"/>
      <c r="P981" s="15" t="n"/>
      <c r="Q981" s="15" t="n"/>
      <c r="R981" s="25" t="n"/>
      <c r="S981" s="26">
        <f>IF($A981="","",AND(OR('Assignment Builder'!$B$5="",$B981='Assignment Builder'!$B$5),OR('Assignment Builder'!$B$6="",ISNUMBER(SEARCH('Assignment Builder'!$B$6,$C981))),OR('Assignment Builder'!$B$7="",'Assignment Builder'!$B$7=IFERROR(INDEX('Category Dictionary'!$C$5:$C$135,MATCH($L981,'Category Dictionary'!$D$5:$D$135,0)),"")),OR('Assignment Builder'!$B$8="",$D981='Assignment Builder'!$B$8),OR('Assignment Builder'!$B$9="",$F981='Assignment Builder'!$B$9),OR('Assignment Builder'!$B$10="",$O981='Assignment Builder'!$B$10),OR('Assignment Builder'!$B$11="",$H981&gt;='Assignment Builder'!$B$11),OR('Assignment Builder'!$B$12="",N($Q981)&lt;='Assignment Builder'!$B$12)))</f>
        <v/>
      </c>
      <c r="T981" s="23" t="n"/>
    </row>
    <row r="982">
      <c r="A982" s="23" t="n"/>
      <c r="B982" s="23" t="n"/>
      <c r="C982" s="24" t="n"/>
      <c r="D982" s="15" t="n"/>
      <c r="E982" s="23" t="n"/>
      <c r="F982" s="15" t="n"/>
      <c r="G982" s="23" t="n"/>
      <c r="H982" s="25" t="n"/>
      <c r="I982" s="15" t="n"/>
      <c r="J982" s="26">
        <f>IF($A982="","",LEN($C982)-LEN(SUBSTITUTE($C982,",",""))+1)</f>
        <v/>
      </c>
      <c r="K982" s="26">
        <f>IF($A982="","",SUMPRODUCT(--ISNUMBER(SEARCH('Category Dictionary'!$D$5:$D$135&amp;"",$C982)),--('Category Dictionary'!$D$5:$D$135&lt;&gt;"")))</f>
        <v/>
      </c>
      <c r="L982" s="27">
        <f>IF($A982="","",TRIM(IF(ISERROR(FIND(",",$C982)),$C982,LEFT($C982,FIND(",",$C982)-1))))</f>
        <v/>
      </c>
      <c r="M982" s="28">
        <f>IF($H982="","",DATE(YEAR($H982),MONTH($H982),1))</f>
        <v/>
      </c>
      <c r="N982" s="26">
        <f>IF($H982="","",TODAY()-$H982)</f>
        <v/>
      </c>
      <c r="O982" s="15" t="n"/>
      <c r="P982" s="15" t="n"/>
      <c r="Q982" s="15" t="n"/>
      <c r="R982" s="25" t="n"/>
      <c r="S982" s="26">
        <f>IF($A982="","",AND(OR('Assignment Builder'!$B$5="",$B982='Assignment Builder'!$B$5),OR('Assignment Builder'!$B$6="",ISNUMBER(SEARCH('Assignment Builder'!$B$6,$C982))),OR('Assignment Builder'!$B$7="",'Assignment Builder'!$B$7=IFERROR(INDEX('Category Dictionary'!$C$5:$C$135,MATCH($L982,'Category Dictionary'!$D$5:$D$135,0)),"")),OR('Assignment Builder'!$B$8="",$D982='Assignment Builder'!$B$8),OR('Assignment Builder'!$B$9="",$F982='Assignment Builder'!$B$9),OR('Assignment Builder'!$B$10="",$O982='Assignment Builder'!$B$10),OR('Assignment Builder'!$B$11="",$H982&gt;='Assignment Builder'!$B$11),OR('Assignment Builder'!$B$12="",N($Q982)&lt;='Assignment Builder'!$B$12)))</f>
        <v/>
      </c>
      <c r="T982" s="23" t="n"/>
    </row>
    <row r="983">
      <c r="A983" s="23" t="n"/>
      <c r="B983" s="23" t="n"/>
      <c r="C983" s="24" t="n"/>
      <c r="D983" s="15" t="n"/>
      <c r="E983" s="23" t="n"/>
      <c r="F983" s="15" t="n"/>
      <c r="G983" s="23" t="n"/>
      <c r="H983" s="25" t="n"/>
      <c r="I983" s="15" t="n"/>
      <c r="J983" s="26">
        <f>IF($A983="","",LEN($C983)-LEN(SUBSTITUTE($C983,",",""))+1)</f>
        <v/>
      </c>
      <c r="K983" s="26">
        <f>IF($A983="","",SUMPRODUCT(--ISNUMBER(SEARCH('Category Dictionary'!$D$5:$D$135&amp;"",$C983)),--('Category Dictionary'!$D$5:$D$135&lt;&gt;"")))</f>
        <v/>
      </c>
      <c r="L983" s="27">
        <f>IF($A983="","",TRIM(IF(ISERROR(FIND(",",$C983)),$C983,LEFT($C983,FIND(",",$C983)-1))))</f>
        <v/>
      </c>
      <c r="M983" s="28">
        <f>IF($H983="","",DATE(YEAR($H983),MONTH($H983),1))</f>
        <v/>
      </c>
      <c r="N983" s="26">
        <f>IF($H983="","",TODAY()-$H983)</f>
        <v/>
      </c>
      <c r="O983" s="15" t="n"/>
      <c r="P983" s="15" t="n"/>
      <c r="Q983" s="15" t="n"/>
      <c r="R983" s="25" t="n"/>
      <c r="S983" s="26">
        <f>IF($A983="","",AND(OR('Assignment Builder'!$B$5="",$B983='Assignment Builder'!$B$5),OR('Assignment Builder'!$B$6="",ISNUMBER(SEARCH('Assignment Builder'!$B$6,$C983))),OR('Assignment Builder'!$B$7="",'Assignment Builder'!$B$7=IFERROR(INDEX('Category Dictionary'!$C$5:$C$135,MATCH($L983,'Category Dictionary'!$D$5:$D$135,0)),"")),OR('Assignment Builder'!$B$8="",$D983='Assignment Builder'!$B$8),OR('Assignment Builder'!$B$9="",$F983='Assignment Builder'!$B$9),OR('Assignment Builder'!$B$10="",$O983='Assignment Builder'!$B$10),OR('Assignment Builder'!$B$11="",$H983&gt;='Assignment Builder'!$B$11),OR('Assignment Builder'!$B$12="",N($Q983)&lt;='Assignment Builder'!$B$12)))</f>
        <v/>
      </c>
      <c r="T983" s="23" t="n"/>
    </row>
    <row r="984">
      <c r="A984" s="23" t="n"/>
      <c r="B984" s="23" t="n"/>
      <c r="C984" s="24" t="n"/>
      <c r="D984" s="15" t="n"/>
      <c r="E984" s="23" t="n"/>
      <c r="F984" s="15" t="n"/>
      <c r="G984" s="23" t="n"/>
      <c r="H984" s="25" t="n"/>
      <c r="I984" s="15" t="n"/>
      <c r="J984" s="26">
        <f>IF($A984="","",LEN($C984)-LEN(SUBSTITUTE($C984,",",""))+1)</f>
        <v/>
      </c>
      <c r="K984" s="26">
        <f>IF($A984="","",SUMPRODUCT(--ISNUMBER(SEARCH('Category Dictionary'!$D$5:$D$135&amp;"",$C984)),--('Category Dictionary'!$D$5:$D$135&lt;&gt;"")))</f>
        <v/>
      </c>
      <c r="L984" s="27">
        <f>IF($A984="","",TRIM(IF(ISERROR(FIND(",",$C984)),$C984,LEFT($C984,FIND(",",$C984)-1))))</f>
        <v/>
      </c>
      <c r="M984" s="28">
        <f>IF($H984="","",DATE(YEAR($H984),MONTH($H984),1))</f>
        <v/>
      </c>
      <c r="N984" s="26">
        <f>IF($H984="","",TODAY()-$H984)</f>
        <v/>
      </c>
      <c r="O984" s="15" t="n"/>
      <c r="P984" s="15" t="n"/>
      <c r="Q984" s="15" t="n"/>
      <c r="R984" s="25" t="n"/>
      <c r="S984" s="26">
        <f>IF($A984="","",AND(OR('Assignment Builder'!$B$5="",$B984='Assignment Builder'!$B$5),OR('Assignment Builder'!$B$6="",ISNUMBER(SEARCH('Assignment Builder'!$B$6,$C984))),OR('Assignment Builder'!$B$7="",'Assignment Builder'!$B$7=IFERROR(INDEX('Category Dictionary'!$C$5:$C$135,MATCH($L984,'Category Dictionary'!$D$5:$D$135,0)),"")),OR('Assignment Builder'!$B$8="",$D984='Assignment Builder'!$B$8),OR('Assignment Builder'!$B$9="",$F984='Assignment Builder'!$B$9),OR('Assignment Builder'!$B$10="",$O984='Assignment Builder'!$B$10),OR('Assignment Builder'!$B$11="",$H984&gt;='Assignment Builder'!$B$11),OR('Assignment Builder'!$B$12="",N($Q984)&lt;='Assignment Builder'!$B$12)))</f>
        <v/>
      </c>
      <c r="T984" s="23" t="n"/>
    </row>
    <row r="985">
      <c r="A985" s="23" t="n"/>
      <c r="B985" s="23" t="n"/>
      <c r="C985" s="24" t="n"/>
      <c r="D985" s="15" t="n"/>
      <c r="E985" s="23" t="n"/>
      <c r="F985" s="15" t="n"/>
      <c r="G985" s="23" t="n"/>
      <c r="H985" s="25" t="n"/>
      <c r="I985" s="15" t="n"/>
      <c r="J985" s="26">
        <f>IF($A985="","",LEN($C985)-LEN(SUBSTITUTE($C985,",",""))+1)</f>
        <v/>
      </c>
      <c r="K985" s="26">
        <f>IF($A985="","",SUMPRODUCT(--ISNUMBER(SEARCH('Category Dictionary'!$D$5:$D$135&amp;"",$C985)),--('Category Dictionary'!$D$5:$D$135&lt;&gt;"")))</f>
        <v/>
      </c>
      <c r="L985" s="27">
        <f>IF($A985="","",TRIM(IF(ISERROR(FIND(",",$C985)),$C985,LEFT($C985,FIND(",",$C985)-1))))</f>
        <v/>
      </c>
      <c r="M985" s="28">
        <f>IF($H985="","",DATE(YEAR($H985),MONTH($H985),1))</f>
        <v/>
      </c>
      <c r="N985" s="26">
        <f>IF($H985="","",TODAY()-$H985)</f>
        <v/>
      </c>
      <c r="O985" s="15" t="n"/>
      <c r="P985" s="15" t="n"/>
      <c r="Q985" s="15" t="n"/>
      <c r="R985" s="25" t="n"/>
      <c r="S985" s="26">
        <f>IF($A985="","",AND(OR('Assignment Builder'!$B$5="",$B985='Assignment Builder'!$B$5),OR('Assignment Builder'!$B$6="",ISNUMBER(SEARCH('Assignment Builder'!$B$6,$C985))),OR('Assignment Builder'!$B$7="",'Assignment Builder'!$B$7=IFERROR(INDEX('Category Dictionary'!$C$5:$C$135,MATCH($L985,'Category Dictionary'!$D$5:$D$135,0)),"")),OR('Assignment Builder'!$B$8="",$D985='Assignment Builder'!$B$8),OR('Assignment Builder'!$B$9="",$F985='Assignment Builder'!$B$9),OR('Assignment Builder'!$B$10="",$O985='Assignment Builder'!$B$10),OR('Assignment Builder'!$B$11="",$H985&gt;='Assignment Builder'!$B$11),OR('Assignment Builder'!$B$12="",N($Q985)&lt;='Assignment Builder'!$B$12)))</f>
        <v/>
      </c>
      <c r="T985" s="23" t="n"/>
    </row>
    <row r="986">
      <c r="A986" s="23" t="n"/>
      <c r="B986" s="23" t="n"/>
      <c r="C986" s="24" t="n"/>
      <c r="D986" s="15" t="n"/>
      <c r="E986" s="23" t="n"/>
      <c r="F986" s="15" t="n"/>
      <c r="G986" s="23" t="n"/>
      <c r="H986" s="25" t="n"/>
      <c r="I986" s="15" t="n"/>
      <c r="J986" s="26">
        <f>IF($A986="","",LEN($C986)-LEN(SUBSTITUTE($C986,",",""))+1)</f>
        <v/>
      </c>
      <c r="K986" s="26">
        <f>IF($A986="","",SUMPRODUCT(--ISNUMBER(SEARCH('Category Dictionary'!$D$5:$D$135&amp;"",$C986)),--('Category Dictionary'!$D$5:$D$135&lt;&gt;"")))</f>
        <v/>
      </c>
      <c r="L986" s="27">
        <f>IF($A986="","",TRIM(IF(ISERROR(FIND(",",$C986)),$C986,LEFT($C986,FIND(",",$C986)-1))))</f>
        <v/>
      </c>
      <c r="M986" s="28">
        <f>IF($H986="","",DATE(YEAR($H986),MONTH($H986),1))</f>
        <v/>
      </c>
      <c r="N986" s="26">
        <f>IF($H986="","",TODAY()-$H986)</f>
        <v/>
      </c>
      <c r="O986" s="15" t="n"/>
      <c r="P986" s="15" t="n"/>
      <c r="Q986" s="15" t="n"/>
      <c r="R986" s="25" t="n"/>
      <c r="S986" s="26">
        <f>IF($A986="","",AND(OR('Assignment Builder'!$B$5="",$B986='Assignment Builder'!$B$5),OR('Assignment Builder'!$B$6="",ISNUMBER(SEARCH('Assignment Builder'!$B$6,$C986))),OR('Assignment Builder'!$B$7="",'Assignment Builder'!$B$7=IFERROR(INDEX('Category Dictionary'!$C$5:$C$135,MATCH($L986,'Category Dictionary'!$D$5:$D$135,0)),"")),OR('Assignment Builder'!$B$8="",$D986='Assignment Builder'!$B$8),OR('Assignment Builder'!$B$9="",$F986='Assignment Builder'!$B$9),OR('Assignment Builder'!$B$10="",$O986='Assignment Builder'!$B$10),OR('Assignment Builder'!$B$11="",$H986&gt;='Assignment Builder'!$B$11),OR('Assignment Builder'!$B$12="",N($Q986)&lt;='Assignment Builder'!$B$12)))</f>
        <v/>
      </c>
      <c r="T986" s="23" t="n"/>
    </row>
    <row r="987">
      <c r="A987" s="23" t="n"/>
      <c r="B987" s="23" t="n"/>
      <c r="C987" s="24" t="n"/>
      <c r="D987" s="15" t="n"/>
      <c r="E987" s="23" t="n"/>
      <c r="F987" s="15" t="n"/>
      <c r="G987" s="23" t="n"/>
      <c r="H987" s="25" t="n"/>
      <c r="I987" s="15" t="n"/>
      <c r="J987" s="26">
        <f>IF($A987="","",LEN($C987)-LEN(SUBSTITUTE($C987,",",""))+1)</f>
        <v/>
      </c>
      <c r="K987" s="26">
        <f>IF($A987="","",SUMPRODUCT(--ISNUMBER(SEARCH('Category Dictionary'!$D$5:$D$135&amp;"",$C987)),--('Category Dictionary'!$D$5:$D$135&lt;&gt;"")))</f>
        <v/>
      </c>
      <c r="L987" s="27">
        <f>IF($A987="","",TRIM(IF(ISERROR(FIND(",",$C987)),$C987,LEFT($C987,FIND(",",$C987)-1))))</f>
        <v/>
      </c>
      <c r="M987" s="28">
        <f>IF($H987="","",DATE(YEAR($H987),MONTH($H987),1))</f>
        <v/>
      </c>
      <c r="N987" s="26">
        <f>IF($H987="","",TODAY()-$H987)</f>
        <v/>
      </c>
      <c r="O987" s="15" t="n"/>
      <c r="P987" s="15" t="n"/>
      <c r="Q987" s="15" t="n"/>
      <c r="R987" s="25" t="n"/>
      <c r="S987" s="26">
        <f>IF($A987="","",AND(OR('Assignment Builder'!$B$5="",$B987='Assignment Builder'!$B$5),OR('Assignment Builder'!$B$6="",ISNUMBER(SEARCH('Assignment Builder'!$B$6,$C987))),OR('Assignment Builder'!$B$7="",'Assignment Builder'!$B$7=IFERROR(INDEX('Category Dictionary'!$C$5:$C$135,MATCH($L987,'Category Dictionary'!$D$5:$D$135,0)),"")),OR('Assignment Builder'!$B$8="",$D987='Assignment Builder'!$B$8),OR('Assignment Builder'!$B$9="",$F987='Assignment Builder'!$B$9),OR('Assignment Builder'!$B$10="",$O987='Assignment Builder'!$B$10),OR('Assignment Builder'!$B$11="",$H987&gt;='Assignment Builder'!$B$11),OR('Assignment Builder'!$B$12="",N($Q987)&lt;='Assignment Builder'!$B$12)))</f>
        <v/>
      </c>
      <c r="T987" s="23" t="n"/>
    </row>
    <row r="988">
      <c r="A988" s="23" t="n"/>
      <c r="B988" s="23" t="n"/>
      <c r="C988" s="24" t="n"/>
      <c r="D988" s="15" t="n"/>
      <c r="E988" s="23" t="n"/>
      <c r="F988" s="15" t="n"/>
      <c r="G988" s="23" t="n"/>
      <c r="H988" s="25" t="n"/>
      <c r="I988" s="15" t="n"/>
      <c r="J988" s="26">
        <f>IF($A988="","",LEN($C988)-LEN(SUBSTITUTE($C988,",",""))+1)</f>
        <v/>
      </c>
      <c r="K988" s="26">
        <f>IF($A988="","",SUMPRODUCT(--ISNUMBER(SEARCH('Category Dictionary'!$D$5:$D$135&amp;"",$C988)),--('Category Dictionary'!$D$5:$D$135&lt;&gt;"")))</f>
        <v/>
      </c>
      <c r="L988" s="27">
        <f>IF($A988="","",TRIM(IF(ISERROR(FIND(",",$C988)),$C988,LEFT($C988,FIND(",",$C988)-1))))</f>
        <v/>
      </c>
      <c r="M988" s="28">
        <f>IF($H988="","",DATE(YEAR($H988),MONTH($H988),1))</f>
        <v/>
      </c>
      <c r="N988" s="26">
        <f>IF($H988="","",TODAY()-$H988)</f>
        <v/>
      </c>
      <c r="O988" s="15" t="n"/>
      <c r="P988" s="15" t="n"/>
      <c r="Q988" s="15" t="n"/>
      <c r="R988" s="25" t="n"/>
      <c r="S988" s="26">
        <f>IF($A988="","",AND(OR('Assignment Builder'!$B$5="",$B988='Assignment Builder'!$B$5),OR('Assignment Builder'!$B$6="",ISNUMBER(SEARCH('Assignment Builder'!$B$6,$C988))),OR('Assignment Builder'!$B$7="",'Assignment Builder'!$B$7=IFERROR(INDEX('Category Dictionary'!$C$5:$C$135,MATCH($L988,'Category Dictionary'!$D$5:$D$135,0)),"")),OR('Assignment Builder'!$B$8="",$D988='Assignment Builder'!$B$8),OR('Assignment Builder'!$B$9="",$F988='Assignment Builder'!$B$9),OR('Assignment Builder'!$B$10="",$O988='Assignment Builder'!$B$10),OR('Assignment Builder'!$B$11="",$H988&gt;='Assignment Builder'!$B$11),OR('Assignment Builder'!$B$12="",N($Q988)&lt;='Assignment Builder'!$B$12)))</f>
        <v/>
      </c>
      <c r="T988" s="23" t="n"/>
    </row>
    <row r="989">
      <c r="A989" s="23" t="n"/>
      <c r="B989" s="23" t="n"/>
      <c r="C989" s="24" t="n"/>
      <c r="D989" s="15" t="n"/>
      <c r="E989" s="23" t="n"/>
      <c r="F989" s="15" t="n"/>
      <c r="G989" s="23" t="n"/>
      <c r="H989" s="25" t="n"/>
      <c r="I989" s="15" t="n"/>
      <c r="J989" s="26">
        <f>IF($A989="","",LEN($C989)-LEN(SUBSTITUTE($C989,",",""))+1)</f>
        <v/>
      </c>
      <c r="K989" s="26">
        <f>IF($A989="","",SUMPRODUCT(--ISNUMBER(SEARCH('Category Dictionary'!$D$5:$D$135&amp;"",$C989)),--('Category Dictionary'!$D$5:$D$135&lt;&gt;"")))</f>
        <v/>
      </c>
      <c r="L989" s="27">
        <f>IF($A989="","",TRIM(IF(ISERROR(FIND(",",$C989)),$C989,LEFT($C989,FIND(",",$C989)-1))))</f>
        <v/>
      </c>
      <c r="M989" s="28">
        <f>IF($H989="","",DATE(YEAR($H989),MONTH($H989),1))</f>
        <v/>
      </c>
      <c r="N989" s="26">
        <f>IF($H989="","",TODAY()-$H989)</f>
        <v/>
      </c>
      <c r="O989" s="15" t="n"/>
      <c r="P989" s="15" t="n"/>
      <c r="Q989" s="15" t="n"/>
      <c r="R989" s="25" t="n"/>
      <c r="S989" s="26">
        <f>IF($A989="","",AND(OR('Assignment Builder'!$B$5="",$B989='Assignment Builder'!$B$5),OR('Assignment Builder'!$B$6="",ISNUMBER(SEARCH('Assignment Builder'!$B$6,$C989))),OR('Assignment Builder'!$B$7="",'Assignment Builder'!$B$7=IFERROR(INDEX('Category Dictionary'!$C$5:$C$135,MATCH($L989,'Category Dictionary'!$D$5:$D$135,0)),"")),OR('Assignment Builder'!$B$8="",$D989='Assignment Builder'!$B$8),OR('Assignment Builder'!$B$9="",$F989='Assignment Builder'!$B$9),OR('Assignment Builder'!$B$10="",$O989='Assignment Builder'!$B$10),OR('Assignment Builder'!$B$11="",$H989&gt;='Assignment Builder'!$B$11),OR('Assignment Builder'!$B$12="",N($Q989)&lt;='Assignment Builder'!$B$12)))</f>
        <v/>
      </c>
      <c r="T989" s="23" t="n"/>
    </row>
    <row r="990">
      <c r="A990" s="23" t="n"/>
      <c r="B990" s="23" t="n"/>
      <c r="C990" s="24" t="n"/>
      <c r="D990" s="15" t="n"/>
      <c r="E990" s="23" t="n"/>
      <c r="F990" s="15" t="n"/>
      <c r="G990" s="23" t="n"/>
      <c r="H990" s="25" t="n"/>
      <c r="I990" s="15" t="n"/>
      <c r="J990" s="26">
        <f>IF($A990="","",LEN($C990)-LEN(SUBSTITUTE($C990,",",""))+1)</f>
        <v/>
      </c>
      <c r="K990" s="26">
        <f>IF($A990="","",SUMPRODUCT(--ISNUMBER(SEARCH('Category Dictionary'!$D$5:$D$135&amp;"",$C990)),--('Category Dictionary'!$D$5:$D$135&lt;&gt;"")))</f>
        <v/>
      </c>
      <c r="L990" s="27">
        <f>IF($A990="","",TRIM(IF(ISERROR(FIND(",",$C990)),$C990,LEFT($C990,FIND(",",$C990)-1))))</f>
        <v/>
      </c>
      <c r="M990" s="28">
        <f>IF($H990="","",DATE(YEAR($H990),MONTH($H990),1))</f>
        <v/>
      </c>
      <c r="N990" s="26">
        <f>IF($H990="","",TODAY()-$H990)</f>
        <v/>
      </c>
      <c r="O990" s="15" t="n"/>
      <c r="P990" s="15" t="n"/>
      <c r="Q990" s="15" t="n"/>
      <c r="R990" s="25" t="n"/>
      <c r="S990" s="26">
        <f>IF($A990="","",AND(OR('Assignment Builder'!$B$5="",$B990='Assignment Builder'!$B$5),OR('Assignment Builder'!$B$6="",ISNUMBER(SEARCH('Assignment Builder'!$B$6,$C990))),OR('Assignment Builder'!$B$7="",'Assignment Builder'!$B$7=IFERROR(INDEX('Category Dictionary'!$C$5:$C$135,MATCH($L990,'Category Dictionary'!$D$5:$D$135,0)),"")),OR('Assignment Builder'!$B$8="",$D990='Assignment Builder'!$B$8),OR('Assignment Builder'!$B$9="",$F990='Assignment Builder'!$B$9),OR('Assignment Builder'!$B$10="",$O990='Assignment Builder'!$B$10),OR('Assignment Builder'!$B$11="",$H990&gt;='Assignment Builder'!$B$11),OR('Assignment Builder'!$B$12="",N($Q990)&lt;='Assignment Builder'!$B$12)))</f>
        <v/>
      </c>
      <c r="T990" s="23" t="n"/>
    </row>
    <row r="991">
      <c r="A991" s="23" t="n"/>
      <c r="B991" s="23" t="n"/>
      <c r="C991" s="24" t="n"/>
      <c r="D991" s="15" t="n"/>
      <c r="E991" s="23" t="n"/>
      <c r="F991" s="15" t="n"/>
      <c r="G991" s="23" t="n"/>
      <c r="H991" s="25" t="n"/>
      <c r="I991" s="15" t="n"/>
      <c r="J991" s="26">
        <f>IF($A991="","",LEN($C991)-LEN(SUBSTITUTE($C991,",",""))+1)</f>
        <v/>
      </c>
      <c r="K991" s="26">
        <f>IF($A991="","",SUMPRODUCT(--ISNUMBER(SEARCH('Category Dictionary'!$D$5:$D$135&amp;"",$C991)),--('Category Dictionary'!$D$5:$D$135&lt;&gt;"")))</f>
        <v/>
      </c>
      <c r="L991" s="27">
        <f>IF($A991="","",TRIM(IF(ISERROR(FIND(",",$C991)),$C991,LEFT($C991,FIND(",",$C991)-1))))</f>
        <v/>
      </c>
      <c r="M991" s="28">
        <f>IF($H991="","",DATE(YEAR($H991),MONTH($H991),1))</f>
        <v/>
      </c>
      <c r="N991" s="26">
        <f>IF($H991="","",TODAY()-$H991)</f>
        <v/>
      </c>
      <c r="O991" s="15" t="n"/>
      <c r="P991" s="15" t="n"/>
      <c r="Q991" s="15" t="n"/>
      <c r="R991" s="25" t="n"/>
      <c r="S991" s="26">
        <f>IF($A991="","",AND(OR('Assignment Builder'!$B$5="",$B991='Assignment Builder'!$B$5),OR('Assignment Builder'!$B$6="",ISNUMBER(SEARCH('Assignment Builder'!$B$6,$C991))),OR('Assignment Builder'!$B$7="",'Assignment Builder'!$B$7=IFERROR(INDEX('Category Dictionary'!$C$5:$C$135,MATCH($L991,'Category Dictionary'!$D$5:$D$135,0)),"")),OR('Assignment Builder'!$B$8="",$D991='Assignment Builder'!$B$8),OR('Assignment Builder'!$B$9="",$F991='Assignment Builder'!$B$9),OR('Assignment Builder'!$B$10="",$O991='Assignment Builder'!$B$10),OR('Assignment Builder'!$B$11="",$H991&gt;='Assignment Builder'!$B$11),OR('Assignment Builder'!$B$12="",N($Q991)&lt;='Assignment Builder'!$B$12)))</f>
        <v/>
      </c>
      <c r="T991" s="23" t="n"/>
    </row>
    <row r="992">
      <c r="A992" s="23" t="n"/>
      <c r="B992" s="23" t="n"/>
      <c r="C992" s="24" t="n"/>
      <c r="D992" s="15" t="n"/>
      <c r="E992" s="23" t="n"/>
      <c r="F992" s="15" t="n"/>
      <c r="G992" s="23" t="n"/>
      <c r="H992" s="25" t="n"/>
      <c r="I992" s="15" t="n"/>
      <c r="J992" s="26">
        <f>IF($A992="","",LEN($C992)-LEN(SUBSTITUTE($C992,",",""))+1)</f>
        <v/>
      </c>
      <c r="K992" s="26">
        <f>IF($A992="","",SUMPRODUCT(--ISNUMBER(SEARCH('Category Dictionary'!$D$5:$D$135&amp;"",$C992)),--('Category Dictionary'!$D$5:$D$135&lt;&gt;"")))</f>
        <v/>
      </c>
      <c r="L992" s="27">
        <f>IF($A992="","",TRIM(IF(ISERROR(FIND(",",$C992)),$C992,LEFT($C992,FIND(",",$C992)-1))))</f>
        <v/>
      </c>
      <c r="M992" s="28">
        <f>IF($H992="","",DATE(YEAR($H992),MONTH($H992),1))</f>
        <v/>
      </c>
      <c r="N992" s="26">
        <f>IF($H992="","",TODAY()-$H992)</f>
        <v/>
      </c>
      <c r="O992" s="15" t="n"/>
      <c r="P992" s="15" t="n"/>
      <c r="Q992" s="15" t="n"/>
      <c r="R992" s="25" t="n"/>
      <c r="S992" s="26">
        <f>IF($A992="","",AND(OR('Assignment Builder'!$B$5="",$B992='Assignment Builder'!$B$5),OR('Assignment Builder'!$B$6="",ISNUMBER(SEARCH('Assignment Builder'!$B$6,$C992))),OR('Assignment Builder'!$B$7="",'Assignment Builder'!$B$7=IFERROR(INDEX('Category Dictionary'!$C$5:$C$135,MATCH($L992,'Category Dictionary'!$D$5:$D$135,0)),"")),OR('Assignment Builder'!$B$8="",$D992='Assignment Builder'!$B$8),OR('Assignment Builder'!$B$9="",$F992='Assignment Builder'!$B$9),OR('Assignment Builder'!$B$10="",$O992='Assignment Builder'!$B$10),OR('Assignment Builder'!$B$11="",$H992&gt;='Assignment Builder'!$B$11),OR('Assignment Builder'!$B$12="",N($Q992)&lt;='Assignment Builder'!$B$12)))</f>
        <v/>
      </c>
      <c r="T992" s="23" t="n"/>
    </row>
    <row r="993">
      <c r="A993" s="23" t="n"/>
      <c r="B993" s="23" t="n"/>
      <c r="C993" s="24" t="n"/>
      <c r="D993" s="15" t="n"/>
      <c r="E993" s="23" t="n"/>
      <c r="F993" s="15" t="n"/>
      <c r="G993" s="23" t="n"/>
      <c r="H993" s="25" t="n"/>
      <c r="I993" s="15" t="n"/>
      <c r="J993" s="26">
        <f>IF($A993="","",LEN($C993)-LEN(SUBSTITUTE($C993,",",""))+1)</f>
        <v/>
      </c>
      <c r="K993" s="26">
        <f>IF($A993="","",SUMPRODUCT(--ISNUMBER(SEARCH('Category Dictionary'!$D$5:$D$135&amp;"",$C993)),--('Category Dictionary'!$D$5:$D$135&lt;&gt;"")))</f>
        <v/>
      </c>
      <c r="L993" s="27">
        <f>IF($A993="","",TRIM(IF(ISERROR(FIND(",",$C993)),$C993,LEFT($C993,FIND(",",$C993)-1))))</f>
        <v/>
      </c>
      <c r="M993" s="28">
        <f>IF($H993="","",DATE(YEAR($H993),MONTH($H993),1))</f>
        <v/>
      </c>
      <c r="N993" s="26">
        <f>IF($H993="","",TODAY()-$H993)</f>
        <v/>
      </c>
      <c r="O993" s="15" t="n"/>
      <c r="P993" s="15" t="n"/>
      <c r="Q993" s="15" t="n"/>
      <c r="R993" s="25" t="n"/>
      <c r="S993" s="26">
        <f>IF($A993="","",AND(OR('Assignment Builder'!$B$5="",$B993='Assignment Builder'!$B$5),OR('Assignment Builder'!$B$6="",ISNUMBER(SEARCH('Assignment Builder'!$B$6,$C993))),OR('Assignment Builder'!$B$7="",'Assignment Builder'!$B$7=IFERROR(INDEX('Category Dictionary'!$C$5:$C$135,MATCH($L993,'Category Dictionary'!$D$5:$D$135,0)),"")),OR('Assignment Builder'!$B$8="",$D993='Assignment Builder'!$B$8),OR('Assignment Builder'!$B$9="",$F993='Assignment Builder'!$B$9),OR('Assignment Builder'!$B$10="",$O993='Assignment Builder'!$B$10),OR('Assignment Builder'!$B$11="",$H993&gt;='Assignment Builder'!$B$11),OR('Assignment Builder'!$B$12="",N($Q993)&lt;='Assignment Builder'!$B$12)))</f>
        <v/>
      </c>
      <c r="T993" s="23" t="n"/>
    </row>
    <row r="994">
      <c r="A994" s="23" t="n"/>
      <c r="B994" s="23" t="n"/>
      <c r="C994" s="24" t="n"/>
      <c r="D994" s="15" t="n"/>
      <c r="E994" s="23" t="n"/>
      <c r="F994" s="15" t="n"/>
      <c r="G994" s="23" t="n"/>
      <c r="H994" s="25" t="n"/>
      <c r="I994" s="15" t="n"/>
      <c r="J994" s="26">
        <f>IF($A994="","",LEN($C994)-LEN(SUBSTITUTE($C994,",",""))+1)</f>
        <v/>
      </c>
      <c r="K994" s="26">
        <f>IF($A994="","",SUMPRODUCT(--ISNUMBER(SEARCH('Category Dictionary'!$D$5:$D$135&amp;"",$C994)),--('Category Dictionary'!$D$5:$D$135&lt;&gt;"")))</f>
        <v/>
      </c>
      <c r="L994" s="27">
        <f>IF($A994="","",TRIM(IF(ISERROR(FIND(",",$C994)),$C994,LEFT($C994,FIND(",",$C994)-1))))</f>
        <v/>
      </c>
      <c r="M994" s="28">
        <f>IF($H994="","",DATE(YEAR($H994),MONTH($H994),1))</f>
        <v/>
      </c>
      <c r="N994" s="26">
        <f>IF($H994="","",TODAY()-$H994)</f>
        <v/>
      </c>
      <c r="O994" s="15" t="n"/>
      <c r="P994" s="15" t="n"/>
      <c r="Q994" s="15" t="n"/>
      <c r="R994" s="25" t="n"/>
      <c r="S994" s="26">
        <f>IF($A994="","",AND(OR('Assignment Builder'!$B$5="",$B994='Assignment Builder'!$B$5),OR('Assignment Builder'!$B$6="",ISNUMBER(SEARCH('Assignment Builder'!$B$6,$C994))),OR('Assignment Builder'!$B$7="",'Assignment Builder'!$B$7=IFERROR(INDEX('Category Dictionary'!$C$5:$C$135,MATCH($L994,'Category Dictionary'!$D$5:$D$135,0)),"")),OR('Assignment Builder'!$B$8="",$D994='Assignment Builder'!$B$8),OR('Assignment Builder'!$B$9="",$F994='Assignment Builder'!$B$9),OR('Assignment Builder'!$B$10="",$O994='Assignment Builder'!$B$10),OR('Assignment Builder'!$B$11="",$H994&gt;='Assignment Builder'!$B$11),OR('Assignment Builder'!$B$12="",N($Q994)&lt;='Assignment Builder'!$B$12)))</f>
        <v/>
      </c>
      <c r="T994" s="23" t="n"/>
    </row>
    <row r="995">
      <c r="A995" s="23" t="n"/>
      <c r="B995" s="23" t="n"/>
      <c r="C995" s="24" t="n"/>
      <c r="D995" s="15" t="n"/>
      <c r="E995" s="23" t="n"/>
      <c r="F995" s="15" t="n"/>
      <c r="G995" s="23" t="n"/>
      <c r="H995" s="25" t="n"/>
      <c r="I995" s="15" t="n"/>
      <c r="J995" s="26">
        <f>IF($A995="","",LEN($C995)-LEN(SUBSTITUTE($C995,",",""))+1)</f>
        <v/>
      </c>
      <c r="K995" s="26">
        <f>IF($A995="","",SUMPRODUCT(--ISNUMBER(SEARCH('Category Dictionary'!$D$5:$D$135&amp;"",$C995)),--('Category Dictionary'!$D$5:$D$135&lt;&gt;"")))</f>
        <v/>
      </c>
      <c r="L995" s="27">
        <f>IF($A995="","",TRIM(IF(ISERROR(FIND(",",$C995)),$C995,LEFT($C995,FIND(",",$C995)-1))))</f>
        <v/>
      </c>
      <c r="M995" s="28">
        <f>IF($H995="","",DATE(YEAR($H995),MONTH($H995),1))</f>
        <v/>
      </c>
      <c r="N995" s="26">
        <f>IF($H995="","",TODAY()-$H995)</f>
        <v/>
      </c>
      <c r="O995" s="15" t="n"/>
      <c r="P995" s="15" t="n"/>
      <c r="Q995" s="15" t="n"/>
      <c r="R995" s="25" t="n"/>
      <c r="S995" s="26">
        <f>IF($A995="","",AND(OR('Assignment Builder'!$B$5="",$B995='Assignment Builder'!$B$5),OR('Assignment Builder'!$B$6="",ISNUMBER(SEARCH('Assignment Builder'!$B$6,$C995))),OR('Assignment Builder'!$B$7="",'Assignment Builder'!$B$7=IFERROR(INDEX('Category Dictionary'!$C$5:$C$135,MATCH($L995,'Category Dictionary'!$D$5:$D$135,0)),"")),OR('Assignment Builder'!$B$8="",$D995='Assignment Builder'!$B$8),OR('Assignment Builder'!$B$9="",$F995='Assignment Builder'!$B$9),OR('Assignment Builder'!$B$10="",$O995='Assignment Builder'!$B$10),OR('Assignment Builder'!$B$11="",$H995&gt;='Assignment Builder'!$B$11),OR('Assignment Builder'!$B$12="",N($Q995)&lt;='Assignment Builder'!$B$12)))</f>
        <v/>
      </c>
      <c r="T995" s="23" t="n"/>
    </row>
    <row r="996">
      <c r="A996" s="23" t="n"/>
      <c r="B996" s="23" t="n"/>
      <c r="C996" s="24" t="n"/>
      <c r="D996" s="15" t="n"/>
      <c r="E996" s="23" t="n"/>
      <c r="F996" s="15" t="n"/>
      <c r="G996" s="23" t="n"/>
      <c r="H996" s="25" t="n"/>
      <c r="I996" s="15" t="n"/>
      <c r="J996" s="26">
        <f>IF($A996="","",LEN($C996)-LEN(SUBSTITUTE($C996,",",""))+1)</f>
        <v/>
      </c>
      <c r="K996" s="26">
        <f>IF($A996="","",SUMPRODUCT(--ISNUMBER(SEARCH('Category Dictionary'!$D$5:$D$135&amp;"",$C996)),--('Category Dictionary'!$D$5:$D$135&lt;&gt;"")))</f>
        <v/>
      </c>
      <c r="L996" s="27">
        <f>IF($A996="","",TRIM(IF(ISERROR(FIND(",",$C996)),$C996,LEFT($C996,FIND(",",$C996)-1))))</f>
        <v/>
      </c>
      <c r="M996" s="28">
        <f>IF($H996="","",DATE(YEAR($H996),MONTH($H996),1))</f>
        <v/>
      </c>
      <c r="N996" s="26">
        <f>IF($H996="","",TODAY()-$H996)</f>
        <v/>
      </c>
      <c r="O996" s="15" t="n"/>
      <c r="P996" s="15" t="n"/>
      <c r="Q996" s="15" t="n"/>
      <c r="R996" s="25" t="n"/>
      <c r="S996" s="26">
        <f>IF($A996="","",AND(OR('Assignment Builder'!$B$5="",$B996='Assignment Builder'!$B$5),OR('Assignment Builder'!$B$6="",ISNUMBER(SEARCH('Assignment Builder'!$B$6,$C996))),OR('Assignment Builder'!$B$7="",'Assignment Builder'!$B$7=IFERROR(INDEX('Category Dictionary'!$C$5:$C$135,MATCH($L996,'Category Dictionary'!$D$5:$D$135,0)),"")),OR('Assignment Builder'!$B$8="",$D996='Assignment Builder'!$B$8),OR('Assignment Builder'!$B$9="",$F996='Assignment Builder'!$B$9),OR('Assignment Builder'!$B$10="",$O996='Assignment Builder'!$B$10),OR('Assignment Builder'!$B$11="",$H996&gt;='Assignment Builder'!$B$11),OR('Assignment Builder'!$B$12="",N($Q996)&lt;='Assignment Builder'!$B$12)))</f>
        <v/>
      </c>
      <c r="T996" s="23" t="n"/>
    </row>
    <row r="997">
      <c r="A997" s="23" t="n"/>
      <c r="B997" s="23" t="n"/>
      <c r="C997" s="24" t="n"/>
      <c r="D997" s="15" t="n"/>
      <c r="E997" s="23" t="n"/>
      <c r="F997" s="15" t="n"/>
      <c r="G997" s="23" t="n"/>
      <c r="H997" s="25" t="n"/>
      <c r="I997" s="15" t="n"/>
      <c r="J997" s="26">
        <f>IF($A997="","",LEN($C997)-LEN(SUBSTITUTE($C997,",",""))+1)</f>
        <v/>
      </c>
      <c r="K997" s="26">
        <f>IF($A997="","",SUMPRODUCT(--ISNUMBER(SEARCH('Category Dictionary'!$D$5:$D$135&amp;"",$C997)),--('Category Dictionary'!$D$5:$D$135&lt;&gt;"")))</f>
        <v/>
      </c>
      <c r="L997" s="27">
        <f>IF($A997="","",TRIM(IF(ISERROR(FIND(",",$C997)),$C997,LEFT($C997,FIND(",",$C997)-1))))</f>
        <v/>
      </c>
      <c r="M997" s="28">
        <f>IF($H997="","",DATE(YEAR($H997),MONTH($H997),1))</f>
        <v/>
      </c>
      <c r="N997" s="26">
        <f>IF($H997="","",TODAY()-$H997)</f>
        <v/>
      </c>
      <c r="O997" s="15" t="n"/>
      <c r="P997" s="15" t="n"/>
      <c r="Q997" s="15" t="n"/>
      <c r="R997" s="25" t="n"/>
      <c r="S997" s="26">
        <f>IF($A997="","",AND(OR('Assignment Builder'!$B$5="",$B997='Assignment Builder'!$B$5),OR('Assignment Builder'!$B$6="",ISNUMBER(SEARCH('Assignment Builder'!$B$6,$C997))),OR('Assignment Builder'!$B$7="",'Assignment Builder'!$B$7=IFERROR(INDEX('Category Dictionary'!$C$5:$C$135,MATCH($L997,'Category Dictionary'!$D$5:$D$135,0)),"")),OR('Assignment Builder'!$B$8="",$D997='Assignment Builder'!$B$8),OR('Assignment Builder'!$B$9="",$F997='Assignment Builder'!$B$9),OR('Assignment Builder'!$B$10="",$O997='Assignment Builder'!$B$10),OR('Assignment Builder'!$B$11="",$H997&gt;='Assignment Builder'!$B$11),OR('Assignment Builder'!$B$12="",N($Q997)&lt;='Assignment Builder'!$B$12)))</f>
        <v/>
      </c>
      <c r="T997" s="23" t="n"/>
    </row>
    <row r="998">
      <c r="A998" s="23" t="n"/>
      <c r="B998" s="23" t="n"/>
      <c r="C998" s="24" t="n"/>
      <c r="D998" s="15" t="n"/>
      <c r="E998" s="23" t="n"/>
      <c r="F998" s="15" t="n"/>
      <c r="G998" s="23" t="n"/>
      <c r="H998" s="25" t="n"/>
      <c r="I998" s="15" t="n"/>
      <c r="J998" s="26">
        <f>IF($A998="","",LEN($C998)-LEN(SUBSTITUTE($C998,",",""))+1)</f>
        <v/>
      </c>
      <c r="K998" s="26">
        <f>IF($A998="","",SUMPRODUCT(--ISNUMBER(SEARCH('Category Dictionary'!$D$5:$D$135&amp;"",$C998)),--('Category Dictionary'!$D$5:$D$135&lt;&gt;"")))</f>
        <v/>
      </c>
      <c r="L998" s="27">
        <f>IF($A998="","",TRIM(IF(ISERROR(FIND(",",$C998)),$C998,LEFT($C998,FIND(",",$C998)-1))))</f>
        <v/>
      </c>
      <c r="M998" s="28">
        <f>IF($H998="","",DATE(YEAR($H998),MONTH($H998),1))</f>
        <v/>
      </c>
      <c r="N998" s="26">
        <f>IF($H998="","",TODAY()-$H998)</f>
        <v/>
      </c>
      <c r="O998" s="15" t="n"/>
      <c r="P998" s="15" t="n"/>
      <c r="Q998" s="15" t="n"/>
      <c r="R998" s="25" t="n"/>
      <c r="S998" s="26">
        <f>IF($A998="","",AND(OR('Assignment Builder'!$B$5="",$B998='Assignment Builder'!$B$5),OR('Assignment Builder'!$B$6="",ISNUMBER(SEARCH('Assignment Builder'!$B$6,$C998))),OR('Assignment Builder'!$B$7="",'Assignment Builder'!$B$7=IFERROR(INDEX('Category Dictionary'!$C$5:$C$135,MATCH($L998,'Category Dictionary'!$D$5:$D$135,0)),"")),OR('Assignment Builder'!$B$8="",$D998='Assignment Builder'!$B$8),OR('Assignment Builder'!$B$9="",$F998='Assignment Builder'!$B$9),OR('Assignment Builder'!$B$10="",$O998='Assignment Builder'!$B$10),OR('Assignment Builder'!$B$11="",$H998&gt;='Assignment Builder'!$B$11),OR('Assignment Builder'!$B$12="",N($Q998)&lt;='Assignment Builder'!$B$12)))</f>
        <v/>
      </c>
      <c r="T998" s="23" t="n"/>
    </row>
    <row r="999">
      <c r="A999" s="23" t="n"/>
      <c r="B999" s="23" t="n"/>
      <c r="C999" s="24" t="n"/>
      <c r="D999" s="15" t="n"/>
      <c r="E999" s="23" t="n"/>
      <c r="F999" s="15" t="n"/>
      <c r="G999" s="23" t="n"/>
      <c r="H999" s="25" t="n"/>
      <c r="I999" s="15" t="n"/>
      <c r="J999" s="26">
        <f>IF($A999="","",LEN($C999)-LEN(SUBSTITUTE($C999,",",""))+1)</f>
        <v/>
      </c>
      <c r="K999" s="26">
        <f>IF($A999="","",SUMPRODUCT(--ISNUMBER(SEARCH('Category Dictionary'!$D$5:$D$135&amp;"",$C999)),--('Category Dictionary'!$D$5:$D$135&lt;&gt;"")))</f>
        <v/>
      </c>
      <c r="L999" s="27">
        <f>IF($A999="","",TRIM(IF(ISERROR(FIND(",",$C999)),$C999,LEFT($C999,FIND(",",$C999)-1))))</f>
        <v/>
      </c>
      <c r="M999" s="28">
        <f>IF($H999="","",DATE(YEAR($H999),MONTH($H999),1))</f>
        <v/>
      </c>
      <c r="N999" s="26">
        <f>IF($H999="","",TODAY()-$H999)</f>
        <v/>
      </c>
      <c r="O999" s="15" t="n"/>
      <c r="P999" s="15" t="n"/>
      <c r="Q999" s="15" t="n"/>
      <c r="R999" s="25" t="n"/>
      <c r="S999" s="26">
        <f>IF($A999="","",AND(OR('Assignment Builder'!$B$5="",$B999='Assignment Builder'!$B$5),OR('Assignment Builder'!$B$6="",ISNUMBER(SEARCH('Assignment Builder'!$B$6,$C999))),OR('Assignment Builder'!$B$7="",'Assignment Builder'!$B$7=IFERROR(INDEX('Category Dictionary'!$C$5:$C$135,MATCH($L999,'Category Dictionary'!$D$5:$D$135,0)),"")),OR('Assignment Builder'!$B$8="",$D999='Assignment Builder'!$B$8),OR('Assignment Builder'!$B$9="",$F999='Assignment Builder'!$B$9),OR('Assignment Builder'!$B$10="",$O999='Assignment Builder'!$B$10),OR('Assignment Builder'!$B$11="",$H999&gt;='Assignment Builder'!$B$11),OR('Assignment Builder'!$B$12="",N($Q999)&lt;='Assignment Builder'!$B$12)))</f>
        <v/>
      </c>
      <c r="T999" s="23" t="n"/>
    </row>
    <row r="1000">
      <c r="A1000" s="23" t="n"/>
      <c r="B1000" s="23" t="n"/>
      <c r="C1000" s="24" t="n"/>
      <c r="D1000" s="15" t="n"/>
      <c r="E1000" s="23" t="n"/>
      <c r="F1000" s="15" t="n"/>
      <c r="G1000" s="23" t="n"/>
      <c r="H1000" s="25" t="n"/>
      <c r="I1000" s="15" t="n"/>
      <c r="J1000" s="26">
        <f>IF($A1000="","",LEN($C1000)-LEN(SUBSTITUTE($C1000,",",""))+1)</f>
        <v/>
      </c>
      <c r="K1000" s="26">
        <f>IF($A1000="","",SUMPRODUCT(--ISNUMBER(SEARCH('Category Dictionary'!$D$5:$D$135&amp;"",$C1000)),--('Category Dictionary'!$D$5:$D$135&lt;&gt;"")))</f>
        <v/>
      </c>
      <c r="L1000" s="27">
        <f>IF($A1000="","",TRIM(IF(ISERROR(FIND(",",$C1000)),$C1000,LEFT($C1000,FIND(",",$C1000)-1))))</f>
        <v/>
      </c>
      <c r="M1000" s="28">
        <f>IF($H1000="","",DATE(YEAR($H1000),MONTH($H1000),1))</f>
        <v/>
      </c>
      <c r="N1000" s="26">
        <f>IF($H1000="","",TODAY()-$H1000)</f>
        <v/>
      </c>
      <c r="O1000" s="15" t="n"/>
      <c r="P1000" s="15" t="n"/>
      <c r="Q1000" s="15" t="n"/>
      <c r="R1000" s="25" t="n"/>
      <c r="S1000" s="26">
        <f>IF($A1000="","",AND(OR('Assignment Builder'!$B$5="",$B1000='Assignment Builder'!$B$5),OR('Assignment Builder'!$B$6="",ISNUMBER(SEARCH('Assignment Builder'!$B$6,$C1000))),OR('Assignment Builder'!$B$7="",'Assignment Builder'!$B$7=IFERROR(INDEX('Category Dictionary'!$C$5:$C$135,MATCH($L1000,'Category Dictionary'!$D$5:$D$135,0)),"")),OR('Assignment Builder'!$B$8="",$D1000='Assignment Builder'!$B$8),OR('Assignment Builder'!$B$9="",$F1000='Assignment Builder'!$B$9),OR('Assignment Builder'!$B$10="",$O1000='Assignment Builder'!$B$10),OR('Assignment Builder'!$B$11="",$H1000&gt;='Assignment Builder'!$B$11),OR('Assignment Builder'!$B$12="",N($Q1000)&lt;='Assignment Builder'!$B$12)))</f>
        <v/>
      </c>
      <c r="T1000" s="23" t="n"/>
    </row>
    <row r="1001">
      <c r="A1001" s="23" t="n"/>
      <c r="B1001" s="23" t="n"/>
      <c r="C1001" s="24" t="n"/>
      <c r="D1001" s="15" t="n"/>
      <c r="E1001" s="23" t="n"/>
      <c r="F1001" s="15" t="n"/>
      <c r="G1001" s="23" t="n"/>
      <c r="H1001" s="25" t="n"/>
      <c r="I1001" s="15" t="n"/>
      <c r="J1001" s="26">
        <f>IF($A1001="","",LEN($C1001)-LEN(SUBSTITUTE($C1001,",",""))+1)</f>
        <v/>
      </c>
      <c r="K1001" s="26">
        <f>IF($A1001="","",SUMPRODUCT(--ISNUMBER(SEARCH('Category Dictionary'!$D$5:$D$135&amp;"",$C1001)),--('Category Dictionary'!$D$5:$D$135&lt;&gt;"")))</f>
        <v/>
      </c>
      <c r="L1001" s="27">
        <f>IF($A1001="","",TRIM(IF(ISERROR(FIND(",",$C1001)),$C1001,LEFT($C1001,FIND(",",$C1001)-1))))</f>
        <v/>
      </c>
      <c r="M1001" s="28">
        <f>IF($H1001="","",DATE(YEAR($H1001),MONTH($H1001),1))</f>
        <v/>
      </c>
      <c r="N1001" s="26">
        <f>IF($H1001="","",TODAY()-$H1001)</f>
        <v/>
      </c>
      <c r="O1001" s="15" t="n"/>
      <c r="P1001" s="15" t="n"/>
      <c r="Q1001" s="15" t="n"/>
      <c r="R1001" s="25" t="n"/>
      <c r="S1001" s="26">
        <f>IF($A1001="","",AND(OR('Assignment Builder'!$B$5="",$B1001='Assignment Builder'!$B$5),OR('Assignment Builder'!$B$6="",ISNUMBER(SEARCH('Assignment Builder'!$B$6,$C1001))),OR('Assignment Builder'!$B$7="",'Assignment Builder'!$B$7=IFERROR(INDEX('Category Dictionary'!$C$5:$C$135,MATCH($L1001,'Category Dictionary'!$D$5:$D$135,0)),"")),OR('Assignment Builder'!$B$8="",$D1001='Assignment Builder'!$B$8),OR('Assignment Builder'!$B$9="",$F1001='Assignment Builder'!$B$9),OR('Assignment Builder'!$B$10="",$O1001='Assignment Builder'!$B$10),OR('Assignment Builder'!$B$11="",$H1001&gt;='Assignment Builder'!$B$11),OR('Assignment Builder'!$B$12="",N($Q1001)&lt;='Assignment Builder'!$B$12)))</f>
        <v/>
      </c>
      <c r="T1001" s="23" t="n"/>
    </row>
    <row r="1002">
      <c r="A1002" s="23" t="n"/>
      <c r="B1002" s="23" t="n"/>
      <c r="C1002" s="24" t="n"/>
      <c r="D1002" s="15" t="n"/>
      <c r="E1002" s="23" t="n"/>
      <c r="F1002" s="15" t="n"/>
      <c r="G1002" s="23" t="n"/>
      <c r="H1002" s="25" t="n"/>
      <c r="I1002" s="15" t="n"/>
      <c r="J1002" s="26">
        <f>IF($A1002="","",LEN($C1002)-LEN(SUBSTITUTE($C1002,",",""))+1)</f>
        <v/>
      </c>
      <c r="K1002" s="26">
        <f>IF($A1002="","",SUMPRODUCT(--ISNUMBER(SEARCH('Category Dictionary'!$D$5:$D$135&amp;"",$C1002)),--('Category Dictionary'!$D$5:$D$135&lt;&gt;"")))</f>
        <v/>
      </c>
      <c r="L1002" s="27">
        <f>IF($A1002="","",TRIM(IF(ISERROR(FIND(",",$C1002)),$C1002,LEFT($C1002,FIND(",",$C1002)-1))))</f>
        <v/>
      </c>
      <c r="M1002" s="28">
        <f>IF($H1002="","",DATE(YEAR($H1002),MONTH($H1002),1))</f>
        <v/>
      </c>
      <c r="N1002" s="26">
        <f>IF($H1002="","",TODAY()-$H1002)</f>
        <v/>
      </c>
      <c r="O1002" s="15" t="n"/>
      <c r="P1002" s="15" t="n"/>
      <c r="Q1002" s="15" t="n"/>
      <c r="R1002" s="25" t="n"/>
      <c r="S1002" s="26">
        <f>IF($A1002="","",AND(OR('Assignment Builder'!$B$5="",$B1002='Assignment Builder'!$B$5),OR('Assignment Builder'!$B$6="",ISNUMBER(SEARCH('Assignment Builder'!$B$6,$C1002))),OR('Assignment Builder'!$B$7="",'Assignment Builder'!$B$7=IFERROR(INDEX('Category Dictionary'!$C$5:$C$135,MATCH($L1002,'Category Dictionary'!$D$5:$D$135,0)),"")),OR('Assignment Builder'!$B$8="",$D1002='Assignment Builder'!$B$8),OR('Assignment Builder'!$B$9="",$F1002='Assignment Builder'!$B$9),OR('Assignment Builder'!$B$10="",$O1002='Assignment Builder'!$B$10),OR('Assignment Builder'!$B$11="",$H1002&gt;='Assignment Builder'!$B$11),OR('Assignment Builder'!$B$12="",N($Q1002)&lt;='Assignment Builder'!$B$12)))</f>
        <v/>
      </c>
      <c r="T1002" s="23" t="n"/>
    </row>
    <row r="1003">
      <c r="A1003" s="23" t="n"/>
      <c r="B1003" s="23" t="n"/>
      <c r="C1003" s="24" t="n"/>
      <c r="D1003" s="15" t="n"/>
      <c r="E1003" s="23" t="n"/>
      <c r="F1003" s="15" t="n"/>
      <c r="G1003" s="23" t="n"/>
      <c r="H1003" s="25" t="n"/>
      <c r="I1003" s="15" t="n"/>
      <c r="J1003" s="26">
        <f>IF($A1003="","",LEN($C1003)-LEN(SUBSTITUTE($C1003,",",""))+1)</f>
        <v/>
      </c>
      <c r="K1003" s="26">
        <f>IF($A1003="","",SUMPRODUCT(--ISNUMBER(SEARCH('Category Dictionary'!$D$5:$D$135&amp;"",$C1003)),--('Category Dictionary'!$D$5:$D$135&lt;&gt;"")))</f>
        <v/>
      </c>
      <c r="L1003" s="27">
        <f>IF($A1003="","",TRIM(IF(ISERROR(FIND(",",$C1003)),$C1003,LEFT($C1003,FIND(",",$C1003)-1))))</f>
        <v/>
      </c>
      <c r="M1003" s="28">
        <f>IF($H1003="","",DATE(YEAR($H1003),MONTH($H1003),1))</f>
        <v/>
      </c>
      <c r="N1003" s="26">
        <f>IF($H1003="","",TODAY()-$H1003)</f>
        <v/>
      </c>
      <c r="O1003" s="15" t="n"/>
      <c r="P1003" s="15" t="n"/>
      <c r="Q1003" s="15" t="n"/>
      <c r="R1003" s="25" t="n"/>
      <c r="S1003" s="26">
        <f>IF($A1003="","",AND(OR('Assignment Builder'!$B$5="",$B1003='Assignment Builder'!$B$5),OR('Assignment Builder'!$B$6="",ISNUMBER(SEARCH('Assignment Builder'!$B$6,$C1003))),OR('Assignment Builder'!$B$7="",'Assignment Builder'!$B$7=IFERROR(INDEX('Category Dictionary'!$C$5:$C$135,MATCH($L1003,'Category Dictionary'!$D$5:$D$135,0)),"")),OR('Assignment Builder'!$B$8="",$D1003='Assignment Builder'!$B$8),OR('Assignment Builder'!$B$9="",$F1003='Assignment Builder'!$B$9),OR('Assignment Builder'!$B$10="",$O1003='Assignment Builder'!$B$10),OR('Assignment Builder'!$B$11="",$H1003&gt;='Assignment Builder'!$B$11),OR('Assignment Builder'!$B$12="",N($Q1003)&lt;='Assignment Builder'!$B$12)))</f>
        <v/>
      </c>
      <c r="T1003" s="23" t="n"/>
    </row>
    <row r="1004">
      <c r="A1004" s="23" t="n"/>
      <c r="B1004" s="23" t="n"/>
      <c r="C1004" s="24" t="n"/>
      <c r="D1004" s="15" t="n"/>
      <c r="E1004" s="23" t="n"/>
      <c r="F1004" s="15" t="n"/>
      <c r="G1004" s="23" t="n"/>
      <c r="H1004" s="25" t="n"/>
      <c r="I1004" s="15" t="n"/>
      <c r="J1004" s="26">
        <f>IF($A1004="","",LEN($C1004)-LEN(SUBSTITUTE($C1004,",",""))+1)</f>
        <v/>
      </c>
      <c r="K1004" s="26">
        <f>IF($A1004="","",SUMPRODUCT(--ISNUMBER(SEARCH('Category Dictionary'!$D$5:$D$135&amp;"",$C1004)),--('Category Dictionary'!$D$5:$D$135&lt;&gt;"")))</f>
        <v/>
      </c>
      <c r="L1004" s="27">
        <f>IF($A1004="","",TRIM(IF(ISERROR(FIND(",",$C1004)),$C1004,LEFT($C1004,FIND(",",$C1004)-1))))</f>
        <v/>
      </c>
      <c r="M1004" s="28">
        <f>IF($H1004="","",DATE(YEAR($H1004),MONTH($H1004),1))</f>
        <v/>
      </c>
      <c r="N1004" s="26">
        <f>IF($H1004="","",TODAY()-$H1004)</f>
        <v/>
      </c>
      <c r="O1004" s="15" t="n"/>
      <c r="P1004" s="15" t="n"/>
      <c r="Q1004" s="15" t="n"/>
      <c r="R1004" s="25" t="n"/>
      <c r="S1004" s="26">
        <f>IF($A1004="","",AND(OR('Assignment Builder'!$B$5="",$B1004='Assignment Builder'!$B$5),OR('Assignment Builder'!$B$6="",ISNUMBER(SEARCH('Assignment Builder'!$B$6,$C1004))),OR('Assignment Builder'!$B$7="",'Assignment Builder'!$B$7=IFERROR(INDEX('Category Dictionary'!$C$5:$C$135,MATCH($L1004,'Category Dictionary'!$D$5:$D$135,0)),"")),OR('Assignment Builder'!$B$8="",$D1004='Assignment Builder'!$B$8),OR('Assignment Builder'!$B$9="",$F1004='Assignment Builder'!$B$9),OR('Assignment Builder'!$B$10="",$O1004='Assignment Builder'!$B$10),OR('Assignment Builder'!$B$11="",$H1004&gt;='Assignment Builder'!$B$11),OR('Assignment Builder'!$B$12="",N($Q1004)&lt;='Assignment Builder'!$B$12)))</f>
        <v/>
      </c>
      <c r="T1004" s="23" t="n"/>
    </row>
    <row r="1005">
      <c r="A1005" s="23" t="n"/>
      <c r="B1005" s="23" t="n"/>
      <c r="C1005" s="24" t="n"/>
      <c r="D1005" s="15" t="n"/>
      <c r="E1005" s="23" t="n"/>
      <c r="F1005" s="15" t="n"/>
      <c r="G1005" s="23" t="n"/>
      <c r="H1005" s="25" t="n"/>
      <c r="I1005" s="15" t="n"/>
      <c r="J1005" s="26">
        <f>IF($A1005="","",LEN($C1005)-LEN(SUBSTITUTE($C1005,",",""))+1)</f>
        <v/>
      </c>
      <c r="K1005" s="26">
        <f>IF($A1005="","",SUMPRODUCT(--ISNUMBER(SEARCH('Category Dictionary'!$D$5:$D$135&amp;"",$C1005)),--('Category Dictionary'!$D$5:$D$135&lt;&gt;"")))</f>
        <v/>
      </c>
      <c r="L1005" s="27">
        <f>IF($A1005="","",TRIM(IF(ISERROR(FIND(",",$C1005)),$C1005,LEFT($C1005,FIND(",",$C1005)-1))))</f>
        <v/>
      </c>
      <c r="M1005" s="28">
        <f>IF($H1005="","",DATE(YEAR($H1005),MONTH($H1005),1))</f>
        <v/>
      </c>
      <c r="N1005" s="26">
        <f>IF($H1005="","",TODAY()-$H1005)</f>
        <v/>
      </c>
      <c r="O1005" s="15" t="n"/>
      <c r="P1005" s="15" t="n"/>
      <c r="Q1005" s="15" t="n"/>
      <c r="R1005" s="25" t="n"/>
      <c r="S1005" s="26">
        <f>IF($A1005="","",AND(OR('Assignment Builder'!$B$5="",$B1005='Assignment Builder'!$B$5),OR('Assignment Builder'!$B$6="",ISNUMBER(SEARCH('Assignment Builder'!$B$6,$C1005))),OR('Assignment Builder'!$B$7="",'Assignment Builder'!$B$7=IFERROR(INDEX('Category Dictionary'!$C$5:$C$135,MATCH($L1005,'Category Dictionary'!$D$5:$D$135,0)),"")),OR('Assignment Builder'!$B$8="",$D1005='Assignment Builder'!$B$8),OR('Assignment Builder'!$B$9="",$F1005='Assignment Builder'!$B$9),OR('Assignment Builder'!$B$10="",$O1005='Assignment Builder'!$B$10),OR('Assignment Builder'!$B$11="",$H1005&gt;='Assignment Builder'!$B$11),OR('Assignment Builder'!$B$12="",N($Q1005)&lt;='Assignment Builder'!$B$12)))</f>
        <v/>
      </c>
      <c r="T1005" s="23" t="n"/>
    </row>
    <row r="1006">
      <c r="A1006" s="23" t="n"/>
      <c r="B1006" s="23" t="n"/>
      <c r="C1006" s="24" t="n"/>
      <c r="D1006" s="15" t="n"/>
      <c r="E1006" s="23" t="n"/>
      <c r="F1006" s="15" t="n"/>
      <c r="G1006" s="23" t="n"/>
      <c r="H1006" s="25" t="n"/>
      <c r="I1006" s="15" t="n"/>
      <c r="J1006" s="26">
        <f>IF($A1006="","",LEN($C1006)-LEN(SUBSTITUTE($C1006,",",""))+1)</f>
        <v/>
      </c>
      <c r="K1006" s="26">
        <f>IF($A1006="","",SUMPRODUCT(--ISNUMBER(SEARCH('Category Dictionary'!$D$5:$D$135&amp;"",$C1006)),--('Category Dictionary'!$D$5:$D$135&lt;&gt;"")))</f>
        <v/>
      </c>
      <c r="L1006" s="27">
        <f>IF($A1006="","",TRIM(IF(ISERROR(FIND(",",$C1006)),$C1006,LEFT($C1006,FIND(",",$C1006)-1))))</f>
        <v/>
      </c>
      <c r="M1006" s="28">
        <f>IF($H1006="","",DATE(YEAR($H1006),MONTH($H1006),1))</f>
        <v/>
      </c>
      <c r="N1006" s="26">
        <f>IF($H1006="","",TODAY()-$H1006)</f>
        <v/>
      </c>
      <c r="O1006" s="15" t="n"/>
      <c r="P1006" s="15" t="n"/>
      <c r="Q1006" s="15" t="n"/>
      <c r="R1006" s="25" t="n"/>
      <c r="S1006" s="26">
        <f>IF($A1006="","",AND(OR('Assignment Builder'!$B$5="",$B1006='Assignment Builder'!$B$5),OR('Assignment Builder'!$B$6="",ISNUMBER(SEARCH('Assignment Builder'!$B$6,$C1006))),OR('Assignment Builder'!$B$7="",'Assignment Builder'!$B$7=IFERROR(INDEX('Category Dictionary'!$C$5:$C$135,MATCH($L1006,'Category Dictionary'!$D$5:$D$135,0)),"")),OR('Assignment Builder'!$B$8="",$D1006='Assignment Builder'!$B$8),OR('Assignment Builder'!$B$9="",$F1006='Assignment Builder'!$B$9),OR('Assignment Builder'!$B$10="",$O1006='Assignment Builder'!$B$10),OR('Assignment Builder'!$B$11="",$H1006&gt;='Assignment Builder'!$B$11),OR('Assignment Builder'!$B$12="",N($Q1006)&lt;='Assignment Builder'!$B$12)))</f>
        <v/>
      </c>
      <c r="T1006" s="23" t="n"/>
    </row>
    <row r="1007">
      <c r="A1007" s="23" t="n"/>
      <c r="B1007" s="23" t="n"/>
      <c r="C1007" s="24" t="n"/>
      <c r="D1007" s="15" t="n"/>
      <c r="E1007" s="23" t="n"/>
      <c r="F1007" s="15" t="n"/>
      <c r="G1007" s="23" t="n"/>
      <c r="H1007" s="25" t="n"/>
      <c r="I1007" s="15" t="n"/>
      <c r="J1007" s="26">
        <f>IF($A1007="","",LEN($C1007)-LEN(SUBSTITUTE($C1007,",",""))+1)</f>
        <v/>
      </c>
      <c r="K1007" s="26">
        <f>IF($A1007="","",SUMPRODUCT(--ISNUMBER(SEARCH('Category Dictionary'!$D$5:$D$135&amp;"",$C1007)),--('Category Dictionary'!$D$5:$D$135&lt;&gt;"")))</f>
        <v/>
      </c>
      <c r="L1007" s="27">
        <f>IF($A1007="","",TRIM(IF(ISERROR(FIND(",",$C1007)),$C1007,LEFT($C1007,FIND(",",$C1007)-1))))</f>
        <v/>
      </c>
      <c r="M1007" s="28">
        <f>IF($H1007="","",DATE(YEAR($H1007),MONTH($H1007),1))</f>
        <v/>
      </c>
      <c r="N1007" s="26">
        <f>IF($H1007="","",TODAY()-$H1007)</f>
        <v/>
      </c>
      <c r="O1007" s="15" t="n"/>
      <c r="P1007" s="15" t="n"/>
      <c r="Q1007" s="15" t="n"/>
      <c r="R1007" s="25" t="n"/>
      <c r="S1007" s="26">
        <f>IF($A1007="","",AND(OR('Assignment Builder'!$B$5="",$B1007='Assignment Builder'!$B$5),OR('Assignment Builder'!$B$6="",ISNUMBER(SEARCH('Assignment Builder'!$B$6,$C1007))),OR('Assignment Builder'!$B$7="",'Assignment Builder'!$B$7=IFERROR(INDEX('Category Dictionary'!$C$5:$C$135,MATCH($L1007,'Category Dictionary'!$D$5:$D$135,0)),"")),OR('Assignment Builder'!$B$8="",$D1007='Assignment Builder'!$B$8),OR('Assignment Builder'!$B$9="",$F1007='Assignment Builder'!$B$9),OR('Assignment Builder'!$B$10="",$O1007='Assignment Builder'!$B$10),OR('Assignment Builder'!$B$11="",$H1007&gt;='Assignment Builder'!$B$11),OR('Assignment Builder'!$B$12="",N($Q1007)&lt;='Assignment Builder'!$B$12)))</f>
        <v/>
      </c>
      <c r="T1007" s="23" t="n"/>
    </row>
    <row r="1008">
      <c r="A1008" s="23" t="n"/>
      <c r="B1008" s="23" t="n"/>
      <c r="C1008" s="24" t="n"/>
      <c r="D1008" s="15" t="n"/>
      <c r="E1008" s="23" t="n"/>
      <c r="F1008" s="15" t="n"/>
      <c r="G1008" s="23" t="n"/>
      <c r="H1008" s="25" t="n"/>
      <c r="I1008" s="15" t="n"/>
      <c r="J1008" s="26">
        <f>IF($A1008="","",LEN($C1008)-LEN(SUBSTITUTE($C1008,",",""))+1)</f>
        <v/>
      </c>
      <c r="K1008" s="26">
        <f>IF($A1008="","",SUMPRODUCT(--ISNUMBER(SEARCH('Category Dictionary'!$D$5:$D$135&amp;"",$C1008)),--('Category Dictionary'!$D$5:$D$135&lt;&gt;"")))</f>
        <v/>
      </c>
      <c r="L1008" s="27">
        <f>IF($A1008="","",TRIM(IF(ISERROR(FIND(",",$C1008)),$C1008,LEFT($C1008,FIND(",",$C1008)-1))))</f>
        <v/>
      </c>
      <c r="M1008" s="28">
        <f>IF($H1008="","",DATE(YEAR($H1008),MONTH($H1008),1))</f>
        <v/>
      </c>
      <c r="N1008" s="26">
        <f>IF($H1008="","",TODAY()-$H1008)</f>
        <v/>
      </c>
      <c r="O1008" s="15" t="n"/>
      <c r="P1008" s="15" t="n"/>
      <c r="Q1008" s="15" t="n"/>
      <c r="R1008" s="25" t="n"/>
      <c r="S1008" s="26">
        <f>IF($A1008="","",AND(OR('Assignment Builder'!$B$5="",$B1008='Assignment Builder'!$B$5),OR('Assignment Builder'!$B$6="",ISNUMBER(SEARCH('Assignment Builder'!$B$6,$C1008))),OR('Assignment Builder'!$B$7="",'Assignment Builder'!$B$7=IFERROR(INDEX('Category Dictionary'!$C$5:$C$135,MATCH($L1008,'Category Dictionary'!$D$5:$D$135,0)),"")),OR('Assignment Builder'!$B$8="",$D1008='Assignment Builder'!$B$8),OR('Assignment Builder'!$B$9="",$F1008='Assignment Builder'!$B$9),OR('Assignment Builder'!$B$10="",$O1008='Assignment Builder'!$B$10),OR('Assignment Builder'!$B$11="",$H1008&gt;='Assignment Builder'!$B$11),OR('Assignment Builder'!$B$12="",N($Q1008)&lt;='Assignment Builder'!$B$12)))</f>
        <v/>
      </c>
      <c r="T1008" s="23" t="n"/>
    </row>
    <row r="1009">
      <c r="A1009" s="23" t="n"/>
      <c r="B1009" s="23" t="n"/>
      <c r="C1009" s="24" t="n"/>
      <c r="D1009" s="15" t="n"/>
      <c r="E1009" s="23" t="n"/>
      <c r="F1009" s="15" t="n"/>
      <c r="G1009" s="23" t="n"/>
      <c r="H1009" s="25" t="n"/>
      <c r="I1009" s="15" t="n"/>
      <c r="J1009" s="26">
        <f>IF($A1009="","",LEN($C1009)-LEN(SUBSTITUTE($C1009,",",""))+1)</f>
        <v/>
      </c>
      <c r="K1009" s="26">
        <f>IF($A1009="","",SUMPRODUCT(--ISNUMBER(SEARCH('Category Dictionary'!$D$5:$D$135&amp;"",$C1009)),--('Category Dictionary'!$D$5:$D$135&lt;&gt;"")))</f>
        <v/>
      </c>
      <c r="L1009" s="27">
        <f>IF($A1009="","",TRIM(IF(ISERROR(FIND(",",$C1009)),$C1009,LEFT($C1009,FIND(",",$C1009)-1))))</f>
        <v/>
      </c>
      <c r="M1009" s="28">
        <f>IF($H1009="","",DATE(YEAR($H1009),MONTH($H1009),1))</f>
        <v/>
      </c>
      <c r="N1009" s="26">
        <f>IF($H1009="","",TODAY()-$H1009)</f>
        <v/>
      </c>
      <c r="O1009" s="15" t="n"/>
      <c r="P1009" s="15" t="n"/>
      <c r="Q1009" s="15" t="n"/>
      <c r="R1009" s="25" t="n"/>
      <c r="S1009" s="26">
        <f>IF($A1009="","",AND(OR('Assignment Builder'!$B$5="",$B1009='Assignment Builder'!$B$5),OR('Assignment Builder'!$B$6="",ISNUMBER(SEARCH('Assignment Builder'!$B$6,$C1009))),OR('Assignment Builder'!$B$7="",'Assignment Builder'!$B$7=IFERROR(INDEX('Category Dictionary'!$C$5:$C$135,MATCH($L1009,'Category Dictionary'!$D$5:$D$135,0)),"")),OR('Assignment Builder'!$B$8="",$D1009='Assignment Builder'!$B$8),OR('Assignment Builder'!$B$9="",$F1009='Assignment Builder'!$B$9),OR('Assignment Builder'!$B$10="",$O1009='Assignment Builder'!$B$10),OR('Assignment Builder'!$B$11="",$H1009&gt;='Assignment Builder'!$B$11),OR('Assignment Builder'!$B$12="",N($Q1009)&lt;='Assignment Builder'!$B$12)))</f>
        <v/>
      </c>
      <c r="T1009" s="23" t="n"/>
    </row>
    <row r="1010">
      <c r="A1010" s="23" t="n"/>
      <c r="B1010" s="23" t="n"/>
      <c r="C1010" s="24" t="n"/>
      <c r="D1010" s="15" t="n"/>
      <c r="E1010" s="23" t="n"/>
      <c r="F1010" s="15" t="n"/>
      <c r="G1010" s="23" t="n"/>
      <c r="H1010" s="25" t="n"/>
      <c r="I1010" s="15" t="n"/>
      <c r="J1010" s="26">
        <f>IF($A1010="","",LEN($C1010)-LEN(SUBSTITUTE($C1010,",",""))+1)</f>
        <v/>
      </c>
      <c r="K1010" s="26">
        <f>IF($A1010="","",SUMPRODUCT(--ISNUMBER(SEARCH('Category Dictionary'!$D$5:$D$135&amp;"",$C1010)),--('Category Dictionary'!$D$5:$D$135&lt;&gt;"")))</f>
        <v/>
      </c>
      <c r="L1010" s="27">
        <f>IF($A1010="","",TRIM(IF(ISERROR(FIND(",",$C1010)),$C1010,LEFT($C1010,FIND(",",$C1010)-1))))</f>
        <v/>
      </c>
      <c r="M1010" s="28">
        <f>IF($H1010="","",DATE(YEAR($H1010),MONTH($H1010),1))</f>
        <v/>
      </c>
      <c r="N1010" s="26">
        <f>IF($H1010="","",TODAY()-$H1010)</f>
        <v/>
      </c>
      <c r="O1010" s="15" t="n"/>
      <c r="P1010" s="15" t="n"/>
      <c r="Q1010" s="15" t="n"/>
      <c r="R1010" s="25" t="n"/>
      <c r="S1010" s="26">
        <f>IF($A1010="","",AND(OR('Assignment Builder'!$B$5="",$B1010='Assignment Builder'!$B$5),OR('Assignment Builder'!$B$6="",ISNUMBER(SEARCH('Assignment Builder'!$B$6,$C1010))),OR('Assignment Builder'!$B$7="",'Assignment Builder'!$B$7=IFERROR(INDEX('Category Dictionary'!$C$5:$C$135,MATCH($L1010,'Category Dictionary'!$D$5:$D$135,0)),"")),OR('Assignment Builder'!$B$8="",$D1010='Assignment Builder'!$B$8),OR('Assignment Builder'!$B$9="",$F1010='Assignment Builder'!$B$9),OR('Assignment Builder'!$B$10="",$O1010='Assignment Builder'!$B$10),OR('Assignment Builder'!$B$11="",$H1010&gt;='Assignment Builder'!$B$11),OR('Assignment Builder'!$B$12="",N($Q1010)&lt;='Assignment Builder'!$B$12)))</f>
        <v/>
      </c>
      <c r="T1010" s="23" t="n"/>
    </row>
    <row r="1011">
      <c r="A1011" s="23" t="n"/>
      <c r="B1011" s="23" t="n"/>
      <c r="C1011" s="24" t="n"/>
      <c r="D1011" s="15" t="n"/>
      <c r="E1011" s="23" t="n"/>
      <c r="F1011" s="15" t="n"/>
      <c r="G1011" s="23" t="n"/>
      <c r="H1011" s="25" t="n"/>
      <c r="I1011" s="15" t="n"/>
      <c r="J1011" s="26">
        <f>IF($A1011="","",LEN($C1011)-LEN(SUBSTITUTE($C1011,",",""))+1)</f>
        <v/>
      </c>
      <c r="K1011" s="26">
        <f>IF($A1011="","",SUMPRODUCT(--ISNUMBER(SEARCH('Category Dictionary'!$D$5:$D$135&amp;"",$C1011)),--('Category Dictionary'!$D$5:$D$135&lt;&gt;"")))</f>
        <v/>
      </c>
      <c r="L1011" s="27">
        <f>IF($A1011="","",TRIM(IF(ISERROR(FIND(",",$C1011)),$C1011,LEFT($C1011,FIND(",",$C1011)-1))))</f>
        <v/>
      </c>
      <c r="M1011" s="28">
        <f>IF($H1011="","",DATE(YEAR($H1011),MONTH($H1011),1))</f>
        <v/>
      </c>
      <c r="N1011" s="26">
        <f>IF($H1011="","",TODAY()-$H1011)</f>
        <v/>
      </c>
      <c r="O1011" s="15" t="n"/>
      <c r="P1011" s="15" t="n"/>
      <c r="Q1011" s="15" t="n"/>
      <c r="R1011" s="25" t="n"/>
      <c r="S1011" s="26">
        <f>IF($A1011="","",AND(OR('Assignment Builder'!$B$5="",$B1011='Assignment Builder'!$B$5),OR('Assignment Builder'!$B$6="",ISNUMBER(SEARCH('Assignment Builder'!$B$6,$C1011))),OR('Assignment Builder'!$B$7="",'Assignment Builder'!$B$7=IFERROR(INDEX('Category Dictionary'!$C$5:$C$135,MATCH($L1011,'Category Dictionary'!$D$5:$D$135,0)),"")),OR('Assignment Builder'!$B$8="",$D1011='Assignment Builder'!$B$8),OR('Assignment Builder'!$B$9="",$F1011='Assignment Builder'!$B$9),OR('Assignment Builder'!$B$10="",$O1011='Assignment Builder'!$B$10),OR('Assignment Builder'!$B$11="",$H1011&gt;='Assignment Builder'!$B$11),OR('Assignment Builder'!$B$12="",N($Q1011)&lt;='Assignment Builder'!$B$12)))</f>
        <v/>
      </c>
      <c r="T1011" s="23" t="n"/>
    </row>
    <row r="1012">
      <c r="A1012" s="23" t="n"/>
      <c r="B1012" s="23" t="n"/>
      <c r="C1012" s="24" t="n"/>
      <c r="D1012" s="15" t="n"/>
      <c r="E1012" s="23" t="n"/>
      <c r="F1012" s="15" t="n"/>
      <c r="G1012" s="23" t="n"/>
      <c r="H1012" s="25" t="n"/>
      <c r="I1012" s="15" t="n"/>
      <c r="J1012" s="26">
        <f>IF($A1012="","",LEN($C1012)-LEN(SUBSTITUTE($C1012,",",""))+1)</f>
        <v/>
      </c>
      <c r="K1012" s="26">
        <f>IF($A1012="","",SUMPRODUCT(--ISNUMBER(SEARCH('Category Dictionary'!$D$5:$D$135&amp;"",$C1012)),--('Category Dictionary'!$D$5:$D$135&lt;&gt;"")))</f>
        <v/>
      </c>
      <c r="L1012" s="27">
        <f>IF($A1012="","",TRIM(IF(ISERROR(FIND(",",$C1012)),$C1012,LEFT($C1012,FIND(",",$C1012)-1))))</f>
        <v/>
      </c>
      <c r="M1012" s="28">
        <f>IF($H1012="","",DATE(YEAR($H1012),MONTH($H1012),1))</f>
        <v/>
      </c>
      <c r="N1012" s="26">
        <f>IF($H1012="","",TODAY()-$H1012)</f>
        <v/>
      </c>
      <c r="O1012" s="15" t="n"/>
      <c r="P1012" s="15" t="n"/>
      <c r="Q1012" s="15" t="n"/>
      <c r="R1012" s="25" t="n"/>
      <c r="S1012" s="26">
        <f>IF($A1012="","",AND(OR('Assignment Builder'!$B$5="",$B1012='Assignment Builder'!$B$5),OR('Assignment Builder'!$B$6="",ISNUMBER(SEARCH('Assignment Builder'!$B$6,$C1012))),OR('Assignment Builder'!$B$7="",'Assignment Builder'!$B$7=IFERROR(INDEX('Category Dictionary'!$C$5:$C$135,MATCH($L1012,'Category Dictionary'!$D$5:$D$135,0)),"")),OR('Assignment Builder'!$B$8="",$D1012='Assignment Builder'!$B$8),OR('Assignment Builder'!$B$9="",$F1012='Assignment Builder'!$B$9),OR('Assignment Builder'!$B$10="",$O1012='Assignment Builder'!$B$10),OR('Assignment Builder'!$B$11="",$H1012&gt;='Assignment Builder'!$B$11),OR('Assignment Builder'!$B$12="",N($Q1012)&lt;='Assignment Builder'!$B$12)))</f>
        <v/>
      </c>
      <c r="T1012" s="23" t="n"/>
    </row>
    <row r="1013">
      <c r="A1013" s="23" t="n"/>
      <c r="B1013" s="23" t="n"/>
      <c r="C1013" s="24" t="n"/>
      <c r="D1013" s="15" t="n"/>
      <c r="E1013" s="23" t="n"/>
      <c r="F1013" s="15" t="n"/>
      <c r="G1013" s="23" t="n"/>
      <c r="H1013" s="25" t="n"/>
      <c r="I1013" s="15" t="n"/>
      <c r="J1013" s="26">
        <f>IF($A1013="","",LEN($C1013)-LEN(SUBSTITUTE($C1013,",",""))+1)</f>
        <v/>
      </c>
      <c r="K1013" s="26">
        <f>IF($A1013="","",SUMPRODUCT(--ISNUMBER(SEARCH('Category Dictionary'!$D$5:$D$135&amp;"",$C1013)),--('Category Dictionary'!$D$5:$D$135&lt;&gt;"")))</f>
        <v/>
      </c>
      <c r="L1013" s="27">
        <f>IF($A1013="","",TRIM(IF(ISERROR(FIND(",",$C1013)),$C1013,LEFT($C1013,FIND(",",$C1013)-1))))</f>
        <v/>
      </c>
      <c r="M1013" s="28">
        <f>IF($H1013="","",DATE(YEAR($H1013),MONTH($H1013),1))</f>
        <v/>
      </c>
      <c r="N1013" s="26">
        <f>IF($H1013="","",TODAY()-$H1013)</f>
        <v/>
      </c>
      <c r="O1013" s="15" t="n"/>
      <c r="P1013" s="15" t="n"/>
      <c r="Q1013" s="15" t="n"/>
      <c r="R1013" s="25" t="n"/>
      <c r="S1013" s="26">
        <f>IF($A1013="","",AND(OR('Assignment Builder'!$B$5="",$B1013='Assignment Builder'!$B$5),OR('Assignment Builder'!$B$6="",ISNUMBER(SEARCH('Assignment Builder'!$B$6,$C1013))),OR('Assignment Builder'!$B$7="",'Assignment Builder'!$B$7=IFERROR(INDEX('Category Dictionary'!$C$5:$C$135,MATCH($L1013,'Category Dictionary'!$D$5:$D$135,0)),"")),OR('Assignment Builder'!$B$8="",$D1013='Assignment Builder'!$B$8),OR('Assignment Builder'!$B$9="",$F1013='Assignment Builder'!$B$9),OR('Assignment Builder'!$B$10="",$O1013='Assignment Builder'!$B$10),OR('Assignment Builder'!$B$11="",$H1013&gt;='Assignment Builder'!$B$11),OR('Assignment Builder'!$B$12="",N($Q1013)&lt;='Assignment Builder'!$B$12)))</f>
        <v/>
      </c>
      <c r="T1013" s="23" t="n"/>
    </row>
    <row r="1014">
      <c r="A1014" s="23" t="n"/>
      <c r="B1014" s="23" t="n"/>
      <c r="C1014" s="24" t="n"/>
      <c r="D1014" s="15" t="n"/>
      <c r="E1014" s="23" t="n"/>
      <c r="F1014" s="15" t="n"/>
      <c r="G1014" s="23" t="n"/>
      <c r="H1014" s="25" t="n"/>
      <c r="I1014" s="15" t="n"/>
      <c r="J1014" s="26">
        <f>IF($A1014="","",LEN($C1014)-LEN(SUBSTITUTE($C1014,",",""))+1)</f>
        <v/>
      </c>
      <c r="K1014" s="26">
        <f>IF($A1014="","",SUMPRODUCT(--ISNUMBER(SEARCH('Category Dictionary'!$D$5:$D$135&amp;"",$C1014)),--('Category Dictionary'!$D$5:$D$135&lt;&gt;"")))</f>
        <v/>
      </c>
      <c r="L1014" s="27">
        <f>IF($A1014="","",TRIM(IF(ISERROR(FIND(",",$C1014)),$C1014,LEFT($C1014,FIND(",",$C1014)-1))))</f>
        <v/>
      </c>
      <c r="M1014" s="28">
        <f>IF($H1014="","",DATE(YEAR($H1014),MONTH($H1014),1))</f>
        <v/>
      </c>
      <c r="N1014" s="26">
        <f>IF($H1014="","",TODAY()-$H1014)</f>
        <v/>
      </c>
      <c r="O1014" s="15" t="n"/>
      <c r="P1014" s="15" t="n"/>
      <c r="Q1014" s="15" t="n"/>
      <c r="R1014" s="25" t="n"/>
      <c r="S1014" s="26">
        <f>IF($A1014="","",AND(OR('Assignment Builder'!$B$5="",$B1014='Assignment Builder'!$B$5),OR('Assignment Builder'!$B$6="",ISNUMBER(SEARCH('Assignment Builder'!$B$6,$C1014))),OR('Assignment Builder'!$B$7="",'Assignment Builder'!$B$7=IFERROR(INDEX('Category Dictionary'!$C$5:$C$135,MATCH($L1014,'Category Dictionary'!$D$5:$D$135,0)),"")),OR('Assignment Builder'!$B$8="",$D1014='Assignment Builder'!$B$8),OR('Assignment Builder'!$B$9="",$F1014='Assignment Builder'!$B$9),OR('Assignment Builder'!$B$10="",$O1014='Assignment Builder'!$B$10),OR('Assignment Builder'!$B$11="",$H1014&gt;='Assignment Builder'!$B$11),OR('Assignment Builder'!$B$12="",N($Q1014)&lt;='Assignment Builder'!$B$12)))</f>
        <v/>
      </c>
      <c r="T1014" s="23" t="n"/>
    </row>
    <row r="1015">
      <c r="A1015" s="23" t="n"/>
      <c r="B1015" s="23" t="n"/>
      <c r="C1015" s="24" t="n"/>
      <c r="D1015" s="15" t="n"/>
      <c r="E1015" s="23" t="n"/>
      <c r="F1015" s="15" t="n"/>
      <c r="G1015" s="23" t="n"/>
      <c r="H1015" s="25" t="n"/>
      <c r="I1015" s="15" t="n"/>
      <c r="J1015" s="26">
        <f>IF($A1015="","",LEN($C1015)-LEN(SUBSTITUTE($C1015,",",""))+1)</f>
        <v/>
      </c>
      <c r="K1015" s="26">
        <f>IF($A1015="","",SUMPRODUCT(--ISNUMBER(SEARCH('Category Dictionary'!$D$5:$D$135&amp;"",$C1015)),--('Category Dictionary'!$D$5:$D$135&lt;&gt;"")))</f>
        <v/>
      </c>
      <c r="L1015" s="27">
        <f>IF($A1015="","",TRIM(IF(ISERROR(FIND(",",$C1015)),$C1015,LEFT($C1015,FIND(",",$C1015)-1))))</f>
        <v/>
      </c>
      <c r="M1015" s="28">
        <f>IF($H1015="","",DATE(YEAR($H1015),MONTH($H1015),1))</f>
        <v/>
      </c>
      <c r="N1015" s="26">
        <f>IF($H1015="","",TODAY()-$H1015)</f>
        <v/>
      </c>
      <c r="O1015" s="15" t="n"/>
      <c r="P1015" s="15" t="n"/>
      <c r="Q1015" s="15" t="n"/>
      <c r="R1015" s="25" t="n"/>
      <c r="S1015" s="26">
        <f>IF($A1015="","",AND(OR('Assignment Builder'!$B$5="",$B1015='Assignment Builder'!$B$5),OR('Assignment Builder'!$B$6="",ISNUMBER(SEARCH('Assignment Builder'!$B$6,$C1015))),OR('Assignment Builder'!$B$7="",'Assignment Builder'!$B$7=IFERROR(INDEX('Category Dictionary'!$C$5:$C$135,MATCH($L1015,'Category Dictionary'!$D$5:$D$135,0)),"")),OR('Assignment Builder'!$B$8="",$D1015='Assignment Builder'!$B$8),OR('Assignment Builder'!$B$9="",$F1015='Assignment Builder'!$B$9),OR('Assignment Builder'!$B$10="",$O1015='Assignment Builder'!$B$10),OR('Assignment Builder'!$B$11="",$H1015&gt;='Assignment Builder'!$B$11),OR('Assignment Builder'!$B$12="",N($Q1015)&lt;='Assignment Builder'!$B$12)))</f>
        <v/>
      </c>
      <c r="T1015" s="23" t="n"/>
    </row>
    <row r="1016">
      <c r="A1016" s="23" t="n"/>
      <c r="B1016" s="23" t="n"/>
      <c r="C1016" s="24" t="n"/>
      <c r="D1016" s="15" t="n"/>
      <c r="E1016" s="23" t="n"/>
      <c r="F1016" s="15" t="n"/>
      <c r="G1016" s="23" t="n"/>
      <c r="H1016" s="25" t="n"/>
      <c r="I1016" s="15" t="n"/>
      <c r="J1016" s="26">
        <f>IF($A1016="","",LEN($C1016)-LEN(SUBSTITUTE($C1016,",",""))+1)</f>
        <v/>
      </c>
      <c r="K1016" s="26">
        <f>IF($A1016="","",SUMPRODUCT(--ISNUMBER(SEARCH('Category Dictionary'!$D$5:$D$135&amp;"",$C1016)),--('Category Dictionary'!$D$5:$D$135&lt;&gt;"")))</f>
        <v/>
      </c>
      <c r="L1016" s="27">
        <f>IF($A1016="","",TRIM(IF(ISERROR(FIND(",",$C1016)),$C1016,LEFT($C1016,FIND(",",$C1016)-1))))</f>
        <v/>
      </c>
      <c r="M1016" s="28">
        <f>IF($H1016="","",DATE(YEAR($H1016),MONTH($H1016),1))</f>
        <v/>
      </c>
      <c r="N1016" s="26">
        <f>IF($H1016="","",TODAY()-$H1016)</f>
        <v/>
      </c>
      <c r="O1016" s="15" t="n"/>
      <c r="P1016" s="15" t="n"/>
      <c r="Q1016" s="15" t="n"/>
      <c r="R1016" s="25" t="n"/>
      <c r="S1016" s="26">
        <f>IF($A1016="","",AND(OR('Assignment Builder'!$B$5="",$B1016='Assignment Builder'!$B$5),OR('Assignment Builder'!$B$6="",ISNUMBER(SEARCH('Assignment Builder'!$B$6,$C1016))),OR('Assignment Builder'!$B$7="",'Assignment Builder'!$B$7=IFERROR(INDEX('Category Dictionary'!$C$5:$C$135,MATCH($L1016,'Category Dictionary'!$D$5:$D$135,0)),"")),OR('Assignment Builder'!$B$8="",$D1016='Assignment Builder'!$B$8),OR('Assignment Builder'!$B$9="",$F1016='Assignment Builder'!$B$9),OR('Assignment Builder'!$B$10="",$O1016='Assignment Builder'!$B$10),OR('Assignment Builder'!$B$11="",$H1016&gt;='Assignment Builder'!$B$11),OR('Assignment Builder'!$B$12="",N($Q1016)&lt;='Assignment Builder'!$B$12)))</f>
        <v/>
      </c>
      <c r="T1016" s="23" t="n"/>
    </row>
    <row r="1017">
      <c r="A1017" s="23" t="n"/>
      <c r="B1017" s="23" t="n"/>
      <c r="C1017" s="24" t="n"/>
      <c r="D1017" s="15" t="n"/>
      <c r="E1017" s="23" t="n"/>
      <c r="F1017" s="15" t="n"/>
      <c r="G1017" s="23" t="n"/>
      <c r="H1017" s="25" t="n"/>
      <c r="I1017" s="15" t="n"/>
      <c r="J1017" s="26">
        <f>IF($A1017="","",LEN($C1017)-LEN(SUBSTITUTE($C1017,",",""))+1)</f>
        <v/>
      </c>
      <c r="K1017" s="26">
        <f>IF($A1017="","",SUMPRODUCT(--ISNUMBER(SEARCH('Category Dictionary'!$D$5:$D$135&amp;"",$C1017)),--('Category Dictionary'!$D$5:$D$135&lt;&gt;"")))</f>
        <v/>
      </c>
      <c r="L1017" s="27">
        <f>IF($A1017="","",TRIM(IF(ISERROR(FIND(",",$C1017)),$C1017,LEFT($C1017,FIND(",",$C1017)-1))))</f>
        <v/>
      </c>
      <c r="M1017" s="28">
        <f>IF($H1017="","",DATE(YEAR($H1017),MONTH($H1017),1))</f>
        <v/>
      </c>
      <c r="N1017" s="26">
        <f>IF($H1017="","",TODAY()-$H1017)</f>
        <v/>
      </c>
      <c r="O1017" s="15" t="n"/>
      <c r="P1017" s="15" t="n"/>
      <c r="Q1017" s="15" t="n"/>
      <c r="R1017" s="25" t="n"/>
      <c r="S1017" s="26">
        <f>IF($A1017="","",AND(OR('Assignment Builder'!$B$5="",$B1017='Assignment Builder'!$B$5),OR('Assignment Builder'!$B$6="",ISNUMBER(SEARCH('Assignment Builder'!$B$6,$C1017))),OR('Assignment Builder'!$B$7="",'Assignment Builder'!$B$7=IFERROR(INDEX('Category Dictionary'!$C$5:$C$135,MATCH($L1017,'Category Dictionary'!$D$5:$D$135,0)),"")),OR('Assignment Builder'!$B$8="",$D1017='Assignment Builder'!$B$8),OR('Assignment Builder'!$B$9="",$F1017='Assignment Builder'!$B$9),OR('Assignment Builder'!$B$10="",$O1017='Assignment Builder'!$B$10),OR('Assignment Builder'!$B$11="",$H1017&gt;='Assignment Builder'!$B$11),OR('Assignment Builder'!$B$12="",N($Q1017)&lt;='Assignment Builder'!$B$12)))</f>
        <v/>
      </c>
      <c r="T1017" s="23" t="n"/>
    </row>
    <row r="1018">
      <c r="A1018" s="23" t="n"/>
      <c r="B1018" s="23" t="n"/>
      <c r="C1018" s="24" t="n"/>
      <c r="D1018" s="15" t="n"/>
      <c r="E1018" s="23" t="n"/>
      <c r="F1018" s="15" t="n"/>
      <c r="G1018" s="23" t="n"/>
      <c r="H1018" s="25" t="n"/>
      <c r="I1018" s="15" t="n"/>
      <c r="J1018" s="26">
        <f>IF($A1018="","",LEN($C1018)-LEN(SUBSTITUTE($C1018,",",""))+1)</f>
        <v/>
      </c>
      <c r="K1018" s="26">
        <f>IF($A1018="","",SUMPRODUCT(--ISNUMBER(SEARCH('Category Dictionary'!$D$5:$D$135&amp;"",$C1018)),--('Category Dictionary'!$D$5:$D$135&lt;&gt;"")))</f>
        <v/>
      </c>
      <c r="L1018" s="27">
        <f>IF($A1018="","",TRIM(IF(ISERROR(FIND(",",$C1018)),$C1018,LEFT($C1018,FIND(",",$C1018)-1))))</f>
        <v/>
      </c>
      <c r="M1018" s="28">
        <f>IF($H1018="","",DATE(YEAR($H1018),MONTH($H1018),1))</f>
        <v/>
      </c>
      <c r="N1018" s="26">
        <f>IF($H1018="","",TODAY()-$H1018)</f>
        <v/>
      </c>
      <c r="O1018" s="15" t="n"/>
      <c r="P1018" s="15" t="n"/>
      <c r="Q1018" s="15" t="n"/>
      <c r="R1018" s="25" t="n"/>
      <c r="S1018" s="26">
        <f>IF($A1018="","",AND(OR('Assignment Builder'!$B$5="",$B1018='Assignment Builder'!$B$5),OR('Assignment Builder'!$B$6="",ISNUMBER(SEARCH('Assignment Builder'!$B$6,$C1018))),OR('Assignment Builder'!$B$7="",'Assignment Builder'!$B$7=IFERROR(INDEX('Category Dictionary'!$C$5:$C$135,MATCH($L1018,'Category Dictionary'!$D$5:$D$135,0)),"")),OR('Assignment Builder'!$B$8="",$D1018='Assignment Builder'!$B$8),OR('Assignment Builder'!$B$9="",$F1018='Assignment Builder'!$B$9),OR('Assignment Builder'!$B$10="",$O1018='Assignment Builder'!$B$10),OR('Assignment Builder'!$B$11="",$H1018&gt;='Assignment Builder'!$B$11),OR('Assignment Builder'!$B$12="",N($Q1018)&lt;='Assignment Builder'!$B$12)))</f>
        <v/>
      </c>
      <c r="T1018" s="23" t="n"/>
    </row>
    <row r="1019">
      <c r="A1019" s="23" t="n"/>
      <c r="B1019" s="23" t="n"/>
      <c r="C1019" s="24" t="n"/>
      <c r="D1019" s="15" t="n"/>
      <c r="E1019" s="23" t="n"/>
      <c r="F1019" s="15" t="n"/>
      <c r="G1019" s="23" t="n"/>
      <c r="H1019" s="25" t="n"/>
      <c r="I1019" s="15" t="n"/>
      <c r="J1019" s="26">
        <f>IF($A1019="","",LEN($C1019)-LEN(SUBSTITUTE($C1019,",",""))+1)</f>
        <v/>
      </c>
      <c r="K1019" s="26">
        <f>IF($A1019="","",SUMPRODUCT(--ISNUMBER(SEARCH('Category Dictionary'!$D$5:$D$135&amp;"",$C1019)),--('Category Dictionary'!$D$5:$D$135&lt;&gt;"")))</f>
        <v/>
      </c>
      <c r="L1019" s="27">
        <f>IF($A1019="","",TRIM(IF(ISERROR(FIND(",",$C1019)),$C1019,LEFT($C1019,FIND(",",$C1019)-1))))</f>
        <v/>
      </c>
      <c r="M1019" s="28">
        <f>IF($H1019="","",DATE(YEAR($H1019),MONTH($H1019),1))</f>
        <v/>
      </c>
      <c r="N1019" s="26">
        <f>IF($H1019="","",TODAY()-$H1019)</f>
        <v/>
      </c>
      <c r="O1019" s="15" t="n"/>
      <c r="P1019" s="15" t="n"/>
      <c r="Q1019" s="15" t="n"/>
      <c r="R1019" s="25" t="n"/>
      <c r="S1019" s="26">
        <f>IF($A1019="","",AND(OR('Assignment Builder'!$B$5="",$B1019='Assignment Builder'!$B$5),OR('Assignment Builder'!$B$6="",ISNUMBER(SEARCH('Assignment Builder'!$B$6,$C1019))),OR('Assignment Builder'!$B$7="",'Assignment Builder'!$B$7=IFERROR(INDEX('Category Dictionary'!$C$5:$C$135,MATCH($L1019,'Category Dictionary'!$D$5:$D$135,0)),"")),OR('Assignment Builder'!$B$8="",$D1019='Assignment Builder'!$B$8),OR('Assignment Builder'!$B$9="",$F1019='Assignment Builder'!$B$9),OR('Assignment Builder'!$B$10="",$O1019='Assignment Builder'!$B$10),OR('Assignment Builder'!$B$11="",$H1019&gt;='Assignment Builder'!$B$11),OR('Assignment Builder'!$B$12="",N($Q1019)&lt;='Assignment Builder'!$B$12)))</f>
        <v/>
      </c>
      <c r="T1019" s="23" t="n"/>
    </row>
    <row r="1020">
      <c r="A1020" s="23" t="n"/>
      <c r="B1020" s="23" t="n"/>
      <c r="C1020" s="24" t="n"/>
      <c r="D1020" s="15" t="n"/>
      <c r="E1020" s="23" t="n"/>
      <c r="F1020" s="15" t="n"/>
      <c r="G1020" s="23" t="n"/>
      <c r="H1020" s="25" t="n"/>
      <c r="I1020" s="15" t="n"/>
      <c r="J1020" s="26">
        <f>IF($A1020="","",LEN($C1020)-LEN(SUBSTITUTE($C1020,",",""))+1)</f>
        <v/>
      </c>
      <c r="K1020" s="26">
        <f>IF($A1020="","",SUMPRODUCT(--ISNUMBER(SEARCH('Category Dictionary'!$D$5:$D$135&amp;"",$C1020)),--('Category Dictionary'!$D$5:$D$135&lt;&gt;"")))</f>
        <v/>
      </c>
      <c r="L1020" s="27">
        <f>IF($A1020="","",TRIM(IF(ISERROR(FIND(",",$C1020)),$C1020,LEFT($C1020,FIND(",",$C1020)-1))))</f>
        <v/>
      </c>
      <c r="M1020" s="28">
        <f>IF($H1020="","",DATE(YEAR($H1020),MONTH($H1020),1))</f>
        <v/>
      </c>
      <c r="N1020" s="26">
        <f>IF($H1020="","",TODAY()-$H1020)</f>
        <v/>
      </c>
      <c r="O1020" s="15" t="n"/>
      <c r="P1020" s="15" t="n"/>
      <c r="Q1020" s="15" t="n"/>
      <c r="R1020" s="25" t="n"/>
      <c r="S1020" s="26">
        <f>IF($A1020="","",AND(OR('Assignment Builder'!$B$5="",$B1020='Assignment Builder'!$B$5),OR('Assignment Builder'!$B$6="",ISNUMBER(SEARCH('Assignment Builder'!$B$6,$C1020))),OR('Assignment Builder'!$B$7="",'Assignment Builder'!$B$7=IFERROR(INDEX('Category Dictionary'!$C$5:$C$135,MATCH($L1020,'Category Dictionary'!$D$5:$D$135,0)),"")),OR('Assignment Builder'!$B$8="",$D1020='Assignment Builder'!$B$8),OR('Assignment Builder'!$B$9="",$F1020='Assignment Builder'!$B$9),OR('Assignment Builder'!$B$10="",$O1020='Assignment Builder'!$B$10),OR('Assignment Builder'!$B$11="",$H1020&gt;='Assignment Builder'!$B$11),OR('Assignment Builder'!$B$12="",N($Q1020)&lt;='Assignment Builder'!$B$12)))</f>
        <v/>
      </c>
      <c r="T1020" s="23" t="n"/>
    </row>
    <row r="1021">
      <c r="A1021" s="23" t="n"/>
      <c r="B1021" s="23" t="n"/>
      <c r="C1021" s="24" t="n"/>
      <c r="D1021" s="15" t="n"/>
      <c r="E1021" s="23" t="n"/>
      <c r="F1021" s="15" t="n"/>
      <c r="G1021" s="23" t="n"/>
      <c r="H1021" s="25" t="n"/>
      <c r="I1021" s="15" t="n"/>
      <c r="J1021" s="26">
        <f>IF($A1021="","",LEN($C1021)-LEN(SUBSTITUTE($C1021,",",""))+1)</f>
        <v/>
      </c>
      <c r="K1021" s="26">
        <f>IF($A1021="","",SUMPRODUCT(--ISNUMBER(SEARCH('Category Dictionary'!$D$5:$D$135&amp;"",$C1021)),--('Category Dictionary'!$D$5:$D$135&lt;&gt;"")))</f>
        <v/>
      </c>
      <c r="L1021" s="27">
        <f>IF($A1021="","",TRIM(IF(ISERROR(FIND(",",$C1021)),$C1021,LEFT($C1021,FIND(",",$C1021)-1))))</f>
        <v/>
      </c>
      <c r="M1021" s="28">
        <f>IF($H1021="","",DATE(YEAR($H1021),MONTH($H1021),1))</f>
        <v/>
      </c>
      <c r="N1021" s="26">
        <f>IF($H1021="","",TODAY()-$H1021)</f>
        <v/>
      </c>
      <c r="O1021" s="15" t="n"/>
      <c r="P1021" s="15" t="n"/>
      <c r="Q1021" s="15" t="n"/>
      <c r="R1021" s="25" t="n"/>
      <c r="S1021" s="26">
        <f>IF($A1021="","",AND(OR('Assignment Builder'!$B$5="",$B1021='Assignment Builder'!$B$5),OR('Assignment Builder'!$B$6="",ISNUMBER(SEARCH('Assignment Builder'!$B$6,$C1021))),OR('Assignment Builder'!$B$7="",'Assignment Builder'!$B$7=IFERROR(INDEX('Category Dictionary'!$C$5:$C$135,MATCH($L1021,'Category Dictionary'!$D$5:$D$135,0)),"")),OR('Assignment Builder'!$B$8="",$D1021='Assignment Builder'!$B$8),OR('Assignment Builder'!$B$9="",$F1021='Assignment Builder'!$B$9),OR('Assignment Builder'!$B$10="",$O1021='Assignment Builder'!$B$10),OR('Assignment Builder'!$B$11="",$H1021&gt;='Assignment Builder'!$B$11),OR('Assignment Builder'!$B$12="",N($Q1021)&lt;='Assignment Builder'!$B$12)))</f>
        <v/>
      </c>
      <c r="T1021" s="23" t="n"/>
    </row>
    <row r="1022">
      <c r="A1022" s="23" t="n"/>
      <c r="B1022" s="23" t="n"/>
      <c r="C1022" s="24" t="n"/>
      <c r="D1022" s="15" t="n"/>
      <c r="E1022" s="23" t="n"/>
      <c r="F1022" s="15" t="n"/>
      <c r="G1022" s="23" t="n"/>
      <c r="H1022" s="25" t="n"/>
      <c r="I1022" s="15" t="n"/>
      <c r="J1022" s="26">
        <f>IF($A1022="","",LEN($C1022)-LEN(SUBSTITUTE($C1022,",",""))+1)</f>
        <v/>
      </c>
      <c r="K1022" s="26">
        <f>IF($A1022="","",SUMPRODUCT(--ISNUMBER(SEARCH('Category Dictionary'!$D$5:$D$135&amp;"",$C1022)),--('Category Dictionary'!$D$5:$D$135&lt;&gt;"")))</f>
        <v/>
      </c>
      <c r="L1022" s="27">
        <f>IF($A1022="","",TRIM(IF(ISERROR(FIND(",",$C1022)),$C1022,LEFT($C1022,FIND(",",$C1022)-1))))</f>
        <v/>
      </c>
      <c r="M1022" s="28">
        <f>IF($H1022="","",DATE(YEAR($H1022),MONTH($H1022),1))</f>
        <v/>
      </c>
      <c r="N1022" s="26">
        <f>IF($H1022="","",TODAY()-$H1022)</f>
        <v/>
      </c>
      <c r="O1022" s="15" t="n"/>
      <c r="P1022" s="15" t="n"/>
      <c r="Q1022" s="15" t="n"/>
      <c r="R1022" s="25" t="n"/>
      <c r="S1022" s="26">
        <f>IF($A1022="","",AND(OR('Assignment Builder'!$B$5="",$B1022='Assignment Builder'!$B$5),OR('Assignment Builder'!$B$6="",ISNUMBER(SEARCH('Assignment Builder'!$B$6,$C1022))),OR('Assignment Builder'!$B$7="",'Assignment Builder'!$B$7=IFERROR(INDEX('Category Dictionary'!$C$5:$C$135,MATCH($L1022,'Category Dictionary'!$D$5:$D$135,0)),"")),OR('Assignment Builder'!$B$8="",$D1022='Assignment Builder'!$B$8),OR('Assignment Builder'!$B$9="",$F1022='Assignment Builder'!$B$9),OR('Assignment Builder'!$B$10="",$O1022='Assignment Builder'!$B$10),OR('Assignment Builder'!$B$11="",$H1022&gt;='Assignment Builder'!$B$11),OR('Assignment Builder'!$B$12="",N($Q1022)&lt;='Assignment Builder'!$B$12)))</f>
        <v/>
      </c>
      <c r="T1022" s="23" t="n"/>
    </row>
    <row r="1023">
      <c r="A1023" s="23" t="n"/>
      <c r="B1023" s="23" t="n"/>
      <c r="C1023" s="24" t="n"/>
      <c r="D1023" s="15" t="n"/>
      <c r="E1023" s="23" t="n"/>
      <c r="F1023" s="15" t="n"/>
      <c r="G1023" s="23" t="n"/>
      <c r="H1023" s="25" t="n"/>
      <c r="I1023" s="15" t="n"/>
      <c r="J1023" s="26">
        <f>IF($A1023="","",LEN($C1023)-LEN(SUBSTITUTE($C1023,",",""))+1)</f>
        <v/>
      </c>
      <c r="K1023" s="26">
        <f>IF($A1023="","",SUMPRODUCT(--ISNUMBER(SEARCH('Category Dictionary'!$D$5:$D$135&amp;"",$C1023)),--('Category Dictionary'!$D$5:$D$135&lt;&gt;"")))</f>
        <v/>
      </c>
      <c r="L1023" s="27">
        <f>IF($A1023="","",TRIM(IF(ISERROR(FIND(",",$C1023)),$C1023,LEFT($C1023,FIND(",",$C1023)-1))))</f>
        <v/>
      </c>
      <c r="M1023" s="28">
        <f>IF($H1023="","",DATE(YEAR($H1023),MONTH($H1023),1))</f>
        <v/>
      </c>
      <c r="N1023" s="26">
        <f>IF($H1023="","",TODAY()-$H1023)</f>
        <v/>
      </c>
      <c r="O1023" s="15" t="n"/>
      <c r="P1023" s="15" t="n"/>
      <c r="Q1023" s="15" t="n"/>
      <c r="R1023" s="25" t="n"/>
      <c r="S1023" s="26">
        <f>IF($A1023="","",AND(OR('Assignment Builder'!$B$5="",$B1023='Assignment Builder'!$B$5),OR('Assignment Builder'!$B$6="",ISNUMBER(SEARCH('Assignment Builder'!$B$6,$C1023))),OR('Assignment Builder'!$B$7="",'Assignment Builder'!$B$7=IFERROR(INDEX('Category Dictionary'!$C$5:$C$135,MATCH($L1023,'Category Dictionary'!$D$5:$D$135,0)),"")),OR('Assignment Builder'!$B$8="",$D1023='Assignment Builder'!$B$8),OR('Assignment Builder'!$B$9="",$F1023='Assignment Builder'!$B$9),OR('Assignment Builder'!$B$10="",$O1023='Assignment Builder'!$B$10),OR('Assignment Builder'!$B$11="",$H1023&gt;='Assignment Builder'!$B$11),OR('Assignment Builder'!$B$12="",N($Q1023)&lt;='Assignment Builder'!$B$12)))</f>
        <v/>
      </c>
      <c r="T1023" s="23" t="n"/>
    </row>
    <row r="1024">
      <c r="A1024" s="23" t="n"/>
      <c r="B1024" s="23" t="n"/>
      <c r="C1024" s="24" t="n"/>
      <c r="D1024" s="15" t="n"/>
      <c r="E1024" s="23" t="n"/>
      <c r="F1024" s="15" t="n"/>
      <c r="G1024" s="23" t="n"/>
      <c r="H1024" s="25" t="n"/>
      <c r="I1024" s="15" t="n"/>
      <c r="J1024" s="26">
        <f>IF($A1024="","",LEN($C1024)-LEN(SUBSTITUTE($C1024,",",""))+1)</f>
        <v/>
      </c>
      <c r="K1024" s="26">
        <f>IF($A1024="","",SUMPRODUCT(--ISNUMBER(SEARCH('Category Dictionary'!$D$5:$D$135&amp;"",$C1024)),--('Category Dictionary'!$D$5:$D$135&lt;&gt;"")))</f>
        <v/>
      </c>
      <c r="L1024" s="27">
        <f>IF($A1024="","",TRIM(IF(ISERROR(FIND(",",$C1024)),$C1024,LEFT($C1024,FIND(",",$C1024)-1))))</f>
        <v/>
      </c>
      <c r="M1024" s="28">
        <f>IF($H1024="","",DATE(YEAR($H1024),MONTH($H1024),1))</f>
        <v/>
      </c>
      <c r="N1024" s="26">
        <f>IF($H1024="","",TODAY()-$H1024)</f>
        <v/>
      </c>
      <c r="O1024" s="15" t="n"/>
      <c r="P1024" s="15" t="n"/>
      <c r="Q1024" s="15" t="n"/>
      <c r="R1024" s="25" t="n"/>
      <c r="S1024" s="26">
        <f>IF($A1024="","",AND(OR('Assignment Builder'!$B$5="",$B1024='Assignment Builder'!$B$5),OR('Assignment Builder'!$B$6="",ISNUMBER(SEARCH('Assignment Builder'!$B$6,$C1024))),OR('Assignment Builder'!$B$7="",'Assignment Builder'!$B$7=IFERROR(INDEX('Category Dictionary'!$C$5:$C$135,MATCH($L1024,'Category Dictionary'!$D$5:$D$135,0)),"")),OR('Assignment Builder'!$B$8="",$D1024='Assignment Builder'!$B$8),OR('Assignment Builder'!$B$9="",$F1024='Assignment Builder'!$B$9),OR('Assignment Builder'!$B$10="",$O1024='Assignment Builder'!$B$10),OR('Assignment Builder'!$B$11="",$H1024&gt;='Assignment Builder'!$B$11),OR('Assignment Builder'!$B$12="",N($Q1024)&lt;='Assignment Builder'!$B$12)))</f>
        <v/>
      </c>
      <c r="T1024" s="23" t="n"/>
    </row>
    <row r="1025">
      <c r="A1025" s="23" t="n"/>
      <c r="B1025" s="23" t="n"/>
      <c r="C1025" s="24" t="n"/>
      <c r="D1025" s="15" t="n"/>
      <c r="E1025" s="23" t="n"/>
      <c r="F1025" s="15" t="n"/>
      <c r="G1025" s="23" t="n"/>
      <c r="H1025" s="25" t="n"/>
      <c r="I1025" s="15" t="n"/>
      <c r="J1025" s="26">
        <f>IF($A1025="","",LEN($C1025)-LEN(SUBSTITUTE($C1025,",",""))+1)</f>
        <v/>
      </c>
      <c r="K1025" s="26">
        <f>IF($A1025="","",SUMPRODUCT(--ISNUMBER(SEARCH('Category Dictionary'!$D$5:$D$135&amp;"",$C1025)),--('Category Dictionary'!$D$5:$D$135&lt;&gt;"")))</f>
        <v/>
      </c>
      <c r="L1025" s="27">
        <f>IF($A1025="","",TRIM(IF(ISERROR(FIND(",",$C1025)),$C1025,LEFT($C1025,FIND(",",$C1025)-1))))</f>
        <v/>
      </c>
      <c r="M1025" s="28">
        <f>IF($H1025="","",DATE(YEAR($H1025),MONTH($H1025),1))</f>
        <v/>
      </c>
      <c r="N1025" s="26">
        <f>IF($H1025="","",TODAY()-$H1025)</f>
        <v/>
      </c>
      <c r="O1025" s="15" t="n"/>
      <c r="P1025" s="15" t="n"/>
      <c r="Q1025" s="15" t="n"/>
      <c r="R1025" s="25" t="n"/>
      <c r="S1025" s="26">
        <f>IF($A1025="","",AND(OR('Assignment Builder'!$B$5="",$B1025='Assignment Builder'!$B$5),OR('Assignment Builder'!$B$6="",ISNUMBER(SEARCH('Assignment Builder'!$B$6,$C1025))),OR('Assignment Builder'!$B$7="",'Assignment Builder'!$B$7=IFERROR(INDEX('Category Dictionary'!$C$5:$C$135,MATCH($L1025,'Category Dictionary'!$D$5:$D$135,0)),"")),OR('Assignment Builder'!$B$8="",$D1025='Assignment Builder'!$B$8),OR('Assignment Builder'!$B$9="",$F1025='Assignment Builder'!$B$9),OR('Assignment Builder'!$B$10="",$O1025='Assignment Builder'!$B$10),OR('Assignment Builder'!$B$11="",$H1025&gt;='Assignment Builder'!$B$11),OR('Assignment Builder'!$B$12="",N($Q1025)&lt;='Assignment Builder'!$B$12)))</f>
        <v/>
      </c>
      <c r="T1025" s="23" t="n"/>
    </row>
    <row r="1026">
      <c r="A1026" s="23" t="n"/>
      <c r="B1026" s="23" t="n"/>
      <c r="C1026" s="24" t="n"/>
      <c r="D1026" s="15" t="n"/>
      <c r="E1026" s="23" t="n"/>
      <c r="F1026" s="15" t="n"/>
      <c r="G1026" s="23" t="n"/>
      <c r="H1026" s="25" t="n"/>
      <c r="I1026" s="15" t="n"/>
      <c r="J1026" s="26">
        <f>IF($A1026="","",LEN($C1026)-LEN(SUBSTITUTE($C1026,",",""))+1)</f>
        <v/>
      </c>
      <c r="K1026" s="26">
        <f>IF($A1026="","",SUMPRODUCT(--ISNUMBER(SEARCH('Category Dictionary'!$D$5:$D$135&amp;"",$C1026)),--('Category Dictionary'!$D$5:$D$135&lt;&gt;"")))</f>
        <v/>
      </c>
      <c r="L1026" s="27">
        <f>IF($A1026="","",TRIM(IF(ISERROR(FIND(",",$C1026)),$C1026,LEFT($C1026,FIND(",",$C1026)-1))))</f>
        <v/>
      </c>
      <c r="M1026" s="28">
        <f>IF($H1026="","",DATE(YEAR($H1026),MONTH($H1026),1))</f>
        <v/>
      </c>
      <c r="N1026" s="26">
        <f>IF($H1026="","",TODAY()-$H1026)</f>
        <v/>
      </c>
      <c r="O1026" s="15" t="n"/>
      <c r="P1026" s="15" t="n"/>
      <c r="Q1026" s="15" t="n"/>
      <c r="R1026" s="25" t="n"/>
      <c r="S1026" s="26">
        <f>IF($A1026="","",AND(OR('Assignment Builder'!$B$5="",$B1026='Assignment Builder'!$B$5),OR('Assignment Builder'!$B$6="",ISNUMBER(SEARCH('Assignment Builder'!$B$6,$C1026))),OR('Assignment Builder'!$B$7="",'Assignment Builder'!$B$7=IFERROR(INDEX('Category Dictionary'!$C$5:$C$135,MATCH($L1026,'Category Dictionary'!$D$5:$D$135,0)),"")),OR('Assignment Builder'!$B$8="",$D1026='Assignment Builder'!$B$8),OR('Assignment Builder'!$B$9="",$F1026='Assignment Builder'!$B$9),OR('Assignment Builder'!$B$10="",$O1026='Assignment Builder'!$B$10),OR('Assignment Builder'!$B$11="",$H1026&gt;='Assignment Builder'!$B$11),OR('Assignment Builder'!$B$12="",N($Q1026)&lt;='Assignment Builder'!$B$12)))</f>
        <v/>
      </c>
      <c r="T1026" s="23" t="n"/>
    </row>
    <row r="1027">
      <c r="A1027" s="23" t="n"/>
      <c r="B1027" s="23" t="n"/>
      <c r="C1027" s="24" t="n"/>
      <c r="D1027" s="15" t="n"/>
      <c r="E1027" s="23" t="n"/>
      <c r="F1027" s="15" t="n"/>
      <c r="G1027" s="23" t="n"/>
      <c r="H1027" s="25" t="n"/>
      <c r="I1027" s="15" t="n"/>
      <c r="J1027" s="26">
        <f>IF($A1027="","",LEN($C1027)-LEN(SUBSTITUTE($C1027,",",""))+1)</f>
        <v/>
      </c>
      <c r="K1027" s="26">
        <f>IF($A1027="","",SUMPRODUCT(--ISNUMBER(SEARCH('Category Dictionary'!$D$5:$D$135&amp;"",$C1027)),--('Category Dictionary'!$D$5:$D$135&lt;&gt;"")))</f>
        <v/>
      </c>
      <c r="L1027" s="27">
        <f>IF($A1027="","",TRIM(IF(ISERROR(FIND(",",$C1027)),$C1027,LEFT($C1027,FIND(",",$C1027)-1))))</f>
        <v/>
      </c>
      <c r="M1027" s="28">
        <f>IF($H1027="","",DATE(YEAR($H1027),MONTH($H1027),1))</f>
        <v/>
      </c>
      <c r="N1027" s="26">
        <f>IF($H1027="","",TODAY()-$H1027)</f>
        <v/>
      </c>
      <c r="O1027" s="15" t="n"/>
      <c r="P1027" s="15" t="n"/>
      <c r="Q1027" s="15" t="n"/>
      <c r="R1027" s="25" t="n"/>
      <c r="S1027" s="26">
        <f>IF($A1027="","",AND(OR('Assignment Builder'!$B$5="",$B1027='Assignment Builder'!$B$5),OR('Assignment Builder'!$B$6="",ISNUMBER(SEARCH('Assignment Builder'!$B$6,$C1027))),OR('Assignment Builder'!$B$7="",'Assignment Builder'!$B$7=IFERROR(INDEX('Category Dictionary'!$C$5:$C$135,MATCH($L1027,'Category Dictionary'!$D$5:$D$135,0)),"")),OR('Assignment Builder'!$B$8="",$D1027='Assignment Builder'!$B$8),OR('Assignment Builder'!$B$9="",$F1027='Assignment Builder'!$B$9),OR('Assignment Builder'!$B$10="",$O1027='Assignment Builder'!$B$10),OR('Assignment Builder'!$B$11="",$H1027&gt;='Assignment Builder'!$B$11),OR('Assignment Builder'!$B$12="",N($Q1027)&lt;='Assignment Builder'!$B$12)))</f>
        <v/>
      </c>
      <c r="T1027" s="23" t="n"/>
    </row>
    <row r="1028">
      <c r="A1028" s="23" t="n"/>
      <c r="B1028" s="23" t="n"/>
      <c r="C1028" s="24" t="n"/>
      <c r="D1028" s="15" t="n"/>
      <c r="E1028" s="23" t="n"/>
      <c r="F1028" s="15" t="n"/>
      <c r="G1028" s="23" t="n"/>
      <c r="H1028" s="25" t="n"/>
      <c r="I1028" s="15" t="n"/>
      <c r="J1028" s="26">
        <f>IF($A1028="","",LEN($C1028)-LEN(SUBSTITUTE($C1028,",",""))+1)</f>
        <v/>
      </c>
      <c r="K1028" s="26">
        <f>IF($A1028="","",SUMPRODUCT(--ISNUMBER(SEARCH('Category Dictionary'!$D$5:$D$135&amp;"",$C1028)),--('Category Dictionary'!$D$5:$D$135&lt;&gt;"")))</f>
        <v/>
      </c>
      <c r="L1028" s="27">
        <f>IF($A1028="","",TRIM(IF(ISERROR(FIND(",",$C1028)),$C1028,LEFT($C1028,FIND(",",$C1028)-1))))</f>
        <v/>
      </c>
      <c r="M1028" s="28">
        <f>IF($H1028="","",DATE(YEAR($H1028),MONTH($H1028),1))</f>
        <v/>
      </c>
      <c r="N1028" s="26">
        <f>IF($H1028="","",TODAY()-$H1028)</f>
        <v/>
      </c>
      <c r="O1028" s="15" t="n"/>
      <c r="P1028" s="15" t="n"/>
      <c r="Q1028" s="15" t="n"/>
      <c r="R1028" s="25" t="n"/>
      <c r="S1028" s="26">
        <f>IF($A1028="","",AND(OR('Assignment Builder'!$B$5="",$B1028='Assignment Builder'!$B$5),OR('Assignment Builder'!$B$6="",ISNUMBER(SEARCH('Assignment Builder'!$B$6,$C1028))),OR('Assignment Builder'!$B$7="",'Assignment Builder'!$B$7=IFERROR(INDEX('Category Dictionary'!$C$5:$C$135,MATCH($L1028,'Category Dictionary'!$D$5:$D$135,0)),"")),OR('Assignment Builder'!$B$8="",$D1028='Assignment Builder'!$B$8),OR('Assignment Builder'!$B$9="",$F1028='Assignment Builder'!$B$9),OR('Assignment Builder'!$B$10="",$O1028='Assignment Builder'!$B$10),OR('Assignment Builder'!$B$11="",$H1028&gt;='Assignment Builder'!$B$11),OR('Assignment Builder'!$B$12="",N($Q1028)&lt;='Assignment Builder'!$B$12)))</f>
        <v/>
      </c>
      <c r="T1028" s="23" t="n"/>
    </row>
    <row r="1029">
      <c r="A1029" s="23" t="n"/>
      <c r="B1029" s="23" t="n"/>
      <c r="C1029" s="24" t="n"/>
      <c r="D1029" s="15" t="n"/>
      <c r="E1029" s="23" t="n"/>
      <c r="F1029" s="15" t="n"/>
      <c r="G1029" s="23" t="n"/>
      <c r="H1029" s="25" t="n"/>
      <c r="I1029" s="15" t="n"/>
      <c r="J1029" s="26">
        <f>IF($A1029="","",LEN($C1029)-LEN(SUBSTITUTE($C1029,",",""))+1)</f>
        <v/>
      </c>
      <c r="K1029" s="26">
        <f>IF($A1029="","",SUMPRODUCT(--ISNUMBER(SEARCH('Category Dictionary'!$D$5:$D$135&amp;"",$C1029)),--('Category Dictionary'!$D$5:$D$135&lt;&gt;"")))</f>
        <v/>
      </c>
      <c r="L1029" s="27">
        <f>IF($A1029="","",TRIM(IF(ISERROR(FIND(",",$C1029)),$C1029,LEFT($C1029,FIND(",",$C1029)-1))))</f>
        <v/>
      </c>
      <c r="M1029" s="28">
        <f>IF($H1029="","",DATE(YEAR($H1029),MONTH($H1029),1))</f>
        <v/>
      </c>
      <c r="N1029" s="26">
        <f>IF($H1029="","",TODAY()-$H1029)</f>
        <v/>
      </c>
      <c r="O1029" s="15" t="n"/>
      <c r="P1029" s="15" t="n"/>
      <c r="Q1029" s="15" t="n"/>
      <c r="R1029" s="25" t="n"/>
      <c r="S1029" s="26">
        <f>IF($A1029="","",AND(OR('Assignment Builder'!$B$5="",$B1029='Assignment Builder'!$B$5),OR('Assignment Builder'!$B$6="",ISNUMBER(SEARCH('Assignment Builder'!$B$6,$C1029))),OR('Assignment Builder'!$B$7="",'Assignment Builder'!$B$7=IFERROR(INDEX('Category Dictionary'!$C$5:$C$135,MATCH($L1029,'Category Dictionary'!$D$5:$D$135,0)),"")),OR('Assignment Builder'!$B$8="",$D1029='Assignment Builder'!$B$8),OR('Assignment Builder'!$B$9="",$F1029='Assignment Builder'!$B$9),OR('Assignment Builder'!$B$10="",$O1029='Assignment Builder'!$B$10),OR('Assignment Builder'!$B$11="",$H1029&gt;='Assignment Builder'!$B$11),OR('Assignment Builder'!$B$12="",N($Q1029)&lt;='Assignment Builder'!$B$12)))</f>
        <v/>
      </c>
      <c r="T1029" s="23" t="n"/>
    </row>
    <row r="1030">
      <c r="A1030" s="23" t="n"/>
      <c r="B1030" s="23" t="n"/>
      <c r="C1030" s="24" t="n"/>
      <c r="D1030" s="15" t="n"/>
      <c r="E1030" s="23" t="n"/>
      <c r="F1030" s="15" t="n"/>
      <c r="G1030" s="23" t="n"/>
      <c r="H1030" s="25" t="n"/>
      <c r="I1030" s="15" t="n"/>
      <c r="J1030" s="26">
        <f>IF($A1030="","",LEN($C1030)-LEN(SUBSTITUTE($C1030,",",""))+1)</f>
        <v/>
      </c>
      <c r="K1030" s="26">
        <f>IF($A1030="","",SUMPRODUCT(--ISNUMBER(SEARCH('Category Dictionary'!$D$5:$D$135&amp;"",$C1030)),--('Category Dictionary'!$D$5:$D$135&lt;&gt;"")))</f>
        <v/>
      </c>
      <c r="L1030" s="27">
        <f>IF($A1030="","",TRIM(IF(ISERROR(FIND(",",$C1030)),$C1030,LEFT($C1030,FIND(",",$C1030)-1))))</f>
        <v/>
      </c>
      <c r="M1030" s="28">
        <f>IF($H1030="","",DATE(YEAR($H1030),MONTH($H1030),1))</f>
        <v/>
      </c>
      <c r="N1030" s="26">
        <f>IF($H1030="","",TODAY()-$H1030)</f>
        <v/>
      </c>
      <c r="O1030" s="15" t="n"/>
      <c r="P1030" s="15" t="n"/>
      <c r="Q1030" s="15" t="n"/>
      <c r="R1030" s="25" t="n"/>
      <c r="S1030" s="26">
        <f>IF($A1030="","",AND(OR('Assignment Builder'!$B$5="",$B1030='Assignment Builder'!$B$5),OR('Assignment Builder'!$B$6="",ISNUMBER(SEARCH('Assignment Builder'!$B$6,$C1030))),OR('Assignment Builder'!$B$7="",'Assignment Builder'!$B$7=IFERROR(INDEX('Category Dictionary'!$C$5:$C$135,MATCH($L1030,'Category Dictionary'!$D$5:$D$135,0)),"")),OR('Assignment Builder'!$B$8="",$D1030='Assignment Builder'!$B$8),OR('Assignment Builder'!$B$9="",$F1030='Assignment Builder'!$B$9),OR('Assignment Builder'!$B$10="",$O1030='Assignment Builder'!$B$10),OR('Assignment Builder'!$B$11="",$H1030&gt;='Assignment Builder'!$B$11),OR('Assignment Builder'!$B$12="",N($Q1030)&lt;='Assignment Builder'!$B$12)))</f>
        <v/>
      </c>
      <c r="T1030" s="23" t="n"/>
    </row>
    <row r="1031">
      <c r="A1031" s="23" t="n"/>
      <c r="B1031" s="23" t="n"/>
      <c r="C1031" s="24" t="n"/>
      <c r="D1031" s="15" t="n"/>
      <c r="E1031" s="23" t="n"/>
      <c r="F1031" s="15" t="n"/>
      <c r="G1031" s="23" t="n"/>
      <c r="H1031" s="25" t="n"/>
      <c r="I1031" s="15" t="n"/>
      <c r="J1031" s="26">
        <f>IF($A1031="","",LEN($C1031)-LEN(SUBSTITUTE($C1031,",",""))+1)</f>
        <v/>
      </c>
      <c r="K1031" s="26">
        <f>IF($A1031="","",SUMPRODUCT(--ISNUMBER(SEARCH('Category Dictionary'!$D$5:$D$135&amp;"",$C1031)),--('Category Dictionary'!$D$5:$D$135&lt;&gt;"")))</f>
        <v/>
      </c>
      <c r="L1031" s="27">
        <f>IF($A1031="","",TRIM(IF(ISERROR(FIND(",",$C1031)),$C1031,LEFT($C1031,FIND(",",$C1031)-1))))</f>
        <v/>
      </c>
      <c r="M1031" s="28">
        <f>IF($H1031="","",DATE(YEAR($H1031),MONTH($H1031),1))</f>
        <v/>
      </c>
      <c r="N1031" s="26">
        <f>IF($H1031="","",TODAY()-$H1031)</f>
        <v/>
      </c>
      <c r="O1031" s="15" t="n"/>
      <c r="P1031" s="15" t="n"/>
      <c r="Q1031" s="15" t="n"/>
      <c r="R1031" s="25" t="n"/>
      <c r="S1031" s="26">
        <f>IF($A1031="","",AND(OR('Assignment Builder'!$B$5="",$B1031='Assignment Builder'!$B$5),OR('Assignment Builder'!$B$6="",ISNUMBER(SEARCH('Assignment Builder'!$B$6,$C1031))),OR('Assignment Builder'!$B$7="",'Assignment Builder'!$B$7=IFERROR(INDEX('Category Dictionary'!$C$5:$C$135,MATCH($L1031,'Category Dictionary'!$D$5:$D$135,0)),"")),OR('Assignment Builder'!$B$8="",$D1031='Assignment Builder'!$B$8),OR('Assignment Builder'!$B$9="",$F1031='Assignment Builder'!$B$9),OR('Assignment Builder'!$B$10="",$O1031='Assignment Builder'!$B$10),OR('Assignment Builder'!$B$11="",$H1031&gt;='Assignment Builder'!$B$11),OR('Assignment Builder'!$B$12="",N($Q1031)&lt;='Assignment Builder'!$B$12)))</f>
        <v/>
      </c>
      <c r="T1031" s="23" t="n"/>
    </row>
    <row r="1032">
      <c r="A1032" s="23" t="n"/>
      <c r="B1032" s="23" t="n"/>
      <c r="C1032" s="24" t="n"/>
      <c r="D1032" s="15" t="n"/>
      <c r="E1032" s="23" t="n"/>
      <c r="F1032" s="15" t="n"/>
      <c r="G1032" s="23" t="n"/>
      <c r="H1032" s="25" t="n"/>
      <c r="I1032" s="15" t="n"/>
      <c r="J1032" s="26">
        <f>IF($A1032="","",LEN($C1032)-LEN(SUBSTITUTE($C1032,",",""))+1)</f>
        <v/>
      </c>
      <c r="K1032" s="26">
        <f>IF($A1032="","",SUMPRODUCT(--ISNUMBER(SEARCH('Category Dictionary'!$D$5:$D$135&amp;"",$C1032)),--('Category Dictionary'!$D$5:$D$135&lt;&gt;"")))</f>
        <v/>
      </c>
      <c r="L1032" s="27">
        <f>IF($A1032="","",TRIM(IF(ISERROR(FIND(",",$C1032)),$C1032,LEFT($C1032,FIND(",",$C1032)-1))))</f>
        <v/>
      </c>
      <c r="M1032" s="28">
        <f>IF($H1032="","",DATE(YEAR($H1032),MONTH($H1032),1))</f>
        <v/>
      </c>
      <c r="N1032" s="26">
        <f>IF($H1032="","",TODAY()-$H1032)</f>
        <v/>
      </c>
      <c r="O1032" s="15" t="n"/>
      <c r="P1032" s="15" t="n"/>
      <c r="Q1032" s="15" t="n"/>
      <c r="R1032" s="25" t="n"/>
      <c r="S1032" s="26">
        <f>IF($A1032="","",AND(OR('Assignment Builder'!$B$5="",$B1032='Assignment Builder'!$B$5),OR('Assignment Builder'!$B$6="",ISNUMBER(SEARCH('Assignment Builder'!$B$6,$C1032))),OR('Assignment Builder'!$B$7="",'Assignment Builder'!$B$7=IFERROR(INDEX('Category Dictionary'!$C$5:$C$135,MATCH($L1032,'Category Dictionary'!$D$5:$D$135,0)),"")),OR('Assignment Builder'!$B$8="",$D1032='Assignment Builder'!$B$8),OR('Assignment Builder'!$B$9="",$F1032='Assignment Builder'!$B$9),OR('Assignment Builder'!$B$10="",$O1032='Assignment Builder'!$B$10),OR('Assignment Builder'!$B$11="",$H1032&gt;='Assignment Builder'!$B$11),OR('Assignment Builder'!$B$12="",N($Q1032)&lt;='Assignment Builder'!$B$12)))</f>
        <v/>
      </c>
      <c r="T1032" s="23" t="n"/>
    </row>
    <row r="1033">
      <c r="A1033" s="23" t="n"/>
      <c r="B1033" s="23" t="n"/>
      <c r="C1033" s="24" t="n"/>
      <c r="D1033" s="15" t="n"/>
      <c r="E1033" s="23" t="n"/>
      <c r="F1033" s="15" t="n"/>
      <c r="G1033" s="23" t="n"/>
      <c r="H1033" s="25" t="n"/>
      <c r="I1033" s="15" t="n"/>
      <c r="J1033" s="26">
        <f>IF($A1033="","",LEN($C1033)-LEN(SUBSTITUTE($C1033,",",""))+1)</f>
        <v/>
      </c>
      <c r="K1033" s="26">
        <f>IF($A1033="","",SUMPRODUCT(--ISNUMBER(SEARCH('Category Dictionary'!$D$5:$D$135&amp;"",$C1033)),--('Category Dictionary'!$D$5:$D$135&lt;&gt;"")))</f>
        <v/>
      </c>
      <c r="L1033" s="27">
        <f>IF($A1033="","",TRIM(IF(ISERROR(FIND(",",$C1033)),$C1033,LEFT($C1033,FIND(",",$C1033)-1))))</f>
        <v/>
      </c>
      <c r="M1033" s="28">
        <f>IF($H1033="","",DATE(YEAR($H1033),MONTH($H1033),1))</f>
        <v/>
      </c>
      <c r="N1033" s="26">
        <f>IF($H1033="","",TODAY()-$H1033)</f>
        <v/>
      </c>
      <c r="O1033" s="15" t="n"/>
      <c r="P1033" s="15" t="n"/>
      <c r="Q1033" s="15" t="n"/>
      <c r="R1033" s="25" t="n"/>
      <c r="S1033" s="26">
        <f>IF($A1033="","",AND(OR('Assignment Builder'!$B$5="",$B1033='Assignment Builder'!$B$5),OR('Assignment Builder'!$B$6="",ISNUMBER(SEARCH('Assignment Builder'!$B$6,$C1033))),OR('Assignment Builder'!$B$7="",'Assignment Builder'!$B$7=IFERROR(INDEX('Category Dictionary'!$C$5:$C$135,MATCH($L1033,'Category Dictionary'!$D$5:$D$135,0)),"")),OR('Assignment Builder'!$B$8="",$D1033='Assignment Builder'!$B$8),OR('Assignment Builder'!$B$9="",$F1033='Assignment Builder'!$B$9),OR('Assignment Builder'!$B$10="",$O1033='Assignment Builder'!$B$10),OR('Assignment Builder'!$B$11="",$H1033&gt;='Assignment Builder'!$B$11),OR('Assignment Builder'!$B$12="",N($Q1033)&lt;='Assignment Builder'!$B$12)))</f>
        <v/>
      </c>
      <c r="T1033" s="23" t="n"/>
    </row>
    <row r="1034">
      <c r="A1034" s="23" t="n"/>
      <c r="B1034" s="23" t="n"/>
      <c r="C1034" s="24" t="n"/>
      <c r="D1034" s="15" t="n"/>
      <c r="E1034" s="23" t="n"/>
      <c r="F1034" s="15" t="n"/>
      <c r="G1034" s="23" t="n"/>
      <c r="H1034" s="25" t="n"/>
      <c r="I1034" s="15" t="n"/>
      <c r="J1034" s="26">
        <f>IF($A1034="","",LEN($C1034)-LEN(SUBSTITUTE($C1034,",",""))+1)</f>
        <v/>
      </c>
      <c r="K1034" s="26">
        <f>IF($A1034="","",SUMPRODUCT(--ISNUMBER(SEARCH('Category Dictionary'!$D$5:$D$135&amp;"",$C1034)),--('Category Dictionary'!$D$5:$D$135&lt;&gt;"")))</f>
        <v/>
      </c>
      <c r="L1034" s="27">
        <f>IF($A1034="","",TRIM(IF(ISERROR(FIND(",",$C1034)),$C1034,LEFT($C1034,FIND(",",$C1034)-1))))</f>
        <v/>
      </c>
      <c r="M1034" s="28">
        <f>IF($H1034="","",DATE(YEAR($H1034),MONTH($H1034),1))</f>
        <v/>
      </c>
      <c r="N1034" s="26">
        <f>IF($H1034="","",TODAY()-$H1034)</f>
        <v/>
      </c>
      <c r="O1034" s="15" t="n"/>
      <c r="P1034" s="15" t="n"/>
      <c r="Q1034" s="15" t="n"/>
      <c r="R1034" s="25" t="n"/>
      <c r="S1034" s="26">
        <f>IF($A1034="","",AND(OR('Assignment Builder'!$B$5="",$B1034='Assignment Builder'!$B$5),OR('Assignment Builder'!$B$6="",ISNUMBER(SEARCH('Assignment Builder'!$B$6,$C1034))),OR('Assignment Builder'!$B$7="",'Assignment Builder'!$B$7=IFERROR(INDEX('Category Dictionary'!$C$5:$C$135,MATCH($L1034,'Category Dictionary'!$D$5:$D$135,0)),"")),OR('Assignment Builder'!$B$8="",$D1034='Assignment Builder'!$B$8),OR('Assignment Builder'!$B$9="",$F1034='Assignment Builder'!$B$9),OR('Assignment Builder'!$B$10="",$O1034='Assignment Builder'!$B$10),OR('Assignment Builder'!$B$11="",$H1034&gt;='Assignment Builder'!$B$11),OR('Assignment Builder'!$B$12="",N($Q1034)&lt;='Assignment Builder'!$B$12)))</f>
        <v/>
      </c>
      <c r="T1034" s="23" t="n"/>
    </row>
    <row r="1035">
      <c r="A1035" s="23" t="n"/>
      <c r="B1035" s="23" t="n"/>
      <c r="C1035" s="24" t="n"/>
      <c r="D1035" s="15" t="n"/>
      <c r="E1035" s="23" t="n"/>
      <c r="F1035" s="15" t="n"/>
      <c r="G1035" s="23" t="n"/>
      <c r="H1035" s="25" t="n"/>
      <c r="I1035" s="15" t="n"/>
      <c r="J1035" s="26">
        <f>IF($A1035="","",LEN($C1035)-LEN(SUBSTITUTE($C1035,",",""))+1)</f>
        <v/>
      </c>
      <c r="K1035" s="26">
        <f>IF($A1035="","",SUMPRODUCT(--ISNUMBER(SEARCH('Category Dictionary'!$D$5:$D$135&amp;"",$C1035)),--('Category Dictionary'!$D$5:$D$135&lt;&gt;"")))</f>
        <v/>
      </c>
      <c r="L1035" s="27">
        <f>IF($A1035="","",TRIM(IF(ISERROR(FIND(",",$C1035)),$C1035,LEFT($C1035,FIND(",",$C1035)-1))))</f>
        <v/>
      </c>
      <c r="M1035" s="28">
        <f>IF($H1035="","",DATE(YEAR($H1035),MONTH($H1035),1))</f>
        <v/>
      </c>
      <c r="N1035" s="26">
        <f>IF($H1035="","",TODAY()-$H1035)</f>
        <v/>
      </c>
      <c r="O1035" s="15" t="n"/>
      <c r="P1035" s="15" t="n"/>
      <c r="Q1035" s="15" t="n"/>
      <c r="R1035" s="25" t="n"/>
      <c r="S1035" s="26">
        <f>IF($A1035="","",AND(OR('Assignment Builder'!$B$5="",$B1035='Assignment Builder'!$B$5),OR('Assignment Builder'!$B$6="",ISNUMBER(SEARCH('Assignment Builder'!$B$6,$C1035))),OR('Assignment Builder'!$B$7="",'Assignment Builder'!$B$7=IFERROR(INDEX('Category Dictionary'!$C$5:$C$135,MATCH($L1035,'Category Dictionary'!$D$5:$D$135,0)),"")),OR('Assignment Builder'!$B$8="",$D1035='Assignment Builder'!$B$8),OR('Assignment Builder'!$B$9="",$F1035='Assignment Builder'!$B$9),OR('Assignment Builder'!$B$10="",$O1035='Assignment Builder'!$B$10),OR('Assignment Builder'!$B$11="",$H1035&gt;='Assignment Builder'!$B$11),OR('Assignment Builder'!$B$12="",N($Q1035)&lt;='Assignment Builder'!$B$12)))</f>
        <v/>
      </c>
      <c r="T1035" s="23" t="n"/>
    </row>
    <row r="1036">
      <c r="A1036" s="23" t="n"/>
      <c r="B1036" s="23" t="n"/>
      <c r="C1036" s="24" t="n"/>
      <c r="D1036" s="15" t="n"/>
      <c r="E1036" s="23" t="n"/>
      <c r="F1036" s="15" t="n"/>
      <c r="G1036" s="23" t="n"/>
      <c r="H1036" s="25" t="n"/>
      <c r="I1036" s="15" t="n"/>
      <c r="J1036" s="26">
        <f>IF($A1036="","",LEN($C1036)-LEN(SUBSTITUTE($C1036,",",""))+1)</f>
        <v/>
      </c>
      <c r="K1036" s="26">
        <f>IF($A1036="","",SUMPRODUCT(--ISNUMBER(SEARCH('Category Dictionary'!$D$5:$D$135&amp;"",$C1036)),--('Category Dictionary'!$D$5:$D$135&lt;&gt;"")))</f>
        <v/>
      </c>
      <c r="L1036" s="27">
        <f>IF($A1036="","",TRIM(IF(ISERROR(FIND(",",$C1036)),$C1036,LEFT($C1036,FIND(",",$C1036)-1))))</f>
        <v/>
      </c>
      <c r="M1036" s="28">
        <f>IF($H1036="","",DATE(YEAR($H1036),MONTH($H1036),1))</f>
        <v/>
      </c>
      <c r="N1036" s="26">
        <f>IF($H1036="","",TODAY()-$H1036)</f>
        <v/>
      </c>
      <c r="O1036" s="15" t="n"/>
      <c r="P1036" s="15" t="n"/>
      <c r="Q1036" s="15" t="n"/>
      <c r="R1036" s="25" t="n"/>
      <c r="S1036" s="26">
        <f>IF($A1036="","",AND(OR('Assignment Builder'!$B$5="",$B1036='Assignment Builder'!$B$5),OR('Assignment Builder'!$B$6="",ISNUMBER(SEARCH('Assignment Builder'!$B$6,$C1036))),OR('Assignment Builder'!$B$7="",'Assignment Builder'!$B$7=IFERROR(INDEX('Category Dictionary'!$C$5:$C$135,MATCH($L1036,'Category Dictionary'!$D$5:$D$135,0)),"")),OR('Assignment Builder'!$B$8="",$D1036='Assignment Builder'!$B$8),OR('Assignment Builder'!$B$9="",$F1036='Assignment Builder'!$B$9),OR('Assignment Builder'!$B$10="",$O1036='Assignment Builder'!$B$10),OR('Assignment Builder'!$B$11="",$H1036&gt;='Assignment Builder'!$B$11),OR('Assignment Builder'!$B$12="",N($Q1036)&lt;='Assignment Builder'!$B$12)))</f>
        <v/>
      </c>
      <c r="T1036" s="23" t="n"/>
    </row>
    <row r="1037">
      <c r="A1037" s="23" t="n"/>
      <c r="B1037" s="23" t="n"/>
      <c r="C1037" s="24" t="n"/>
      <c r="D1037" s="15" t="n"/>
      <c r="E1037" s="23" t="n"/>
      <c r="F1037" s="15" t="n"/>
      <c r="G1037" s="23" t="n"/>
      <c r="H1037" s="25" t="n"/>
      <c r="I1037" s="15" t="n"/>
      <c r="J1037" s="26">
        <f>IF($A1037="","",LEN($C1037)-LEN(SUBSTITUTE($C1037,",",""))+1)</f>
        <v/>
      </c>
      <c r="K1037" s="26">
        <f>IF($A1037="","",SUMPRODUCT(--ISNUMBER(SEARCH('Category Dictionary'!$D$5:$D$135&amp;"",$C1037)),--('Category Dictionary'!$D$5:$D$135&lt;&gt;"")))</f>
        <v/>
      </c>
      <c r="L1037" s="27">
        <f>IF($A1037="","",TRIM(IF(ISERROR(FIND(",",$C1037)),$C1037,LEFT($C1037,FIND(",",$C1037)-1))))</f>
        <v/>
      </c>
      <c r="M1037" s="28">
        <f>IF($H1037="","",DATE(YEAR($H1037),MONTH($H1037),1))</f>
        <v/>
      </c>
      <c r="N1037" s="26">
        <f>IF($H1037="","",TODAY()-$H1037)</f>
        <v/>
      </c>
      <c r="O1037" s="15" t="n"/>
      <c r="P1037" s="15" t="n"/>
      <c r="Q1037" s="15" t="n"/>
      <c r="R1037" s="25" t="n"/>
      <c r="S1037" s="26">
        <f>IF($A1037="","",AND(OR('Assignment Builder'!$B$5="",$B1037='Assignment Builder'!$B$5),OR('Assignment Builder'!$B$6="",ISNUMBER(SEARCH('Assignment Builder'!$B$6,$C1037))),OR('Assignment Builder'!$B$7="",'Assignment Builder'!$B$7=IFERROR(INDEX('Category Dictionary'!$C$5:$C$135,MATCH($L1037,'Category Dictionary'!$D$5:$D$135,0)),"")),OR('Assignment Builder'!$B$8="",$D1037='Assignment Builder'!$B$8),OR('Assignment Builder'!$B$9="",$F1037='Assignment Builder'!$B$9),OR('Assignment Builder'!$B$10="",$O1037='Assignment Builder'!$B$10),OR('Assignment Builder'!$B$11="",$H1037&gt;='Assignment Builder'!$B$11),OR('Assignment Builder'!$B$12="",N($Q1037)&lt;='Assignment Builder'!$B$12)))</f>
        <v/>
      </c>
      <c r="T1037" s="23" t="n"/>
    </row>
    <row r="1038">
      <c r="A1038" s="23" t="n"/>
      <c r="B1038" s="23" t="n"/>
      <c r="C1038" s="24" t="n"/>
      <c r="D1038" s="15" t="n"/>
      <c r="E1038" s="23" t="n"/>
      <c r="F1038" s="15" t="n"/>
      <c r="G1038" s="23" t="n"/>
      <c r="H1038" s="25" t="n"/>
      <c r="I1038" s="15" t="n"/>
      <c r="J1038" s="26">
        <f>IF($A1038="","",LEN($C1038)-LEN(SUBSTITUTE($C1038,",",""))+1)</f>
        <v/>
      </c>
      <c r="K1038" s="26">
        <f>IF($A1038="","",SUMPRODUCT(--ISNUMBER(SEARCH('Category Dictionary'!$D$5:$D$135&amp;"",$C1038)),--('Category Dictionary'!$D$5:$D$135&lt;&gt;"")))</f>
        <v/>
      </c>
      <c r="L1038" s="27">
        <f>IF($A1038="","",TRIM(IF(ISERROR(FIND(",",$C1038)),$C1038,LEFT($C1038,FIND(",",$C1038)-1))))</f>
        <v/>
      </c>
      <c r="M1038" s="28">
        <f>IF($H1038="","",DATE(YEAR($H1038),MONTH($H1038),1))</f>
        <v/>
      </c>
      <c r="N1038" s="26">
        <f>IF($H1038="","",TODAY()-$H1038)</f>
        <v/>
      </c>
      <c r="O1038" s="15" t="n"/>
      <c r="P1038" s="15" t="n"/>
      <c r="Q1038" s="15" t="n"/>
      <c r="R1038" s="25" t="n"/>
      <c r="S1038" s="26">
        <f>IF($A1038="","",AND(OR('Assignment Builder'!$B$5="",$B1038='Assignment Builder'!$B$5),OR('Assignment Builder'!$B$6="",ISNUMBER(SEARCH('Assignment Builder'!$B$6,$C1038))),OR('Assignment Builder'!$B$7="",'Assignment Builder'!$B$7=IFERROR(INDEX('Category Dictionary'!$C$5:$C$135,MATCH($L1038,'Category Dictionary'!$D$5:$D$135,0)),"")),OR('Assignment Builder'!$B$8="",$D1038='Assignment Builder'!$B$8),OR('Assignment Builder'!$B$9="",$F1038='Assignment Builder'!$B$9),OR('Assignment Builder'!$B$10="",$O1038='Assignment Builder'!$B$10),OR('Assignment Builder'!$B$11="",$H1038&gt;='Assignment Builder'!$B$11),OR('Assignment Builder'!$B$12="",N($Q1038)&lt;='Assignment Builder'!$B$12)))</f>
        <v/>
      </c>
      <c r="T1038" s="23" t="n"/>
    </row>
    <row r="1039">
      <c r="A1039" s="23" t="n"/>
      <c r="B1039" s="23" t="n"/>
      <c r="C1039" s="24" t="n"/>
      <c r="D1039" s="15" t="n"/>
      <c r="E1039" s="23" t="n"/>
      <c r="F1039" s="15" t="n"/>
      <c r="G1039" s="23" t="n"/>
      <c r="H1039" s="25" t="n"/>
      <c r="I1039" s="15" t="n"/>
      <c r="J1039" s="26">
        <f>IF($A1039="","",LEN($C1039)-LEN(SUBSTITUTE($C1039,",",""))+1)</f>
        <v/>
      </c>
      <c r="K1039" s="26">
        <f>IF($A1039="","",SUMPRODUCT(--ISNUMBER(SEARCH('Category Dictionary'!$D$5:$D$135&amp;"",$C1039)),--('Category Dictionary'!$D$5:$D$135&lt;&gt;"")))</f>
        <v/>
      </c>
      <c r="L1039" s="27">
        <f>IF($A1039="","",TRIM(IF(ISERROR(FIND(",",$C1039)),$C1039,LEFT($C1039,FIND(",",$C1039)-1))))</f>
        <v/>
      </c>
      <c r="M1039" s="28">
        <f>IF($H1039="","",DATE(YEAR($H1039),MONTH($H1039),1))</f>
        <v/>
      </c>
      <c r="N1039" s="26">
        <f>IF($H1039="","",TODAY()-$H1039)</f>
        <v/>
      </c>
      <c r="O1039" s="15" t="n"/>
      <c r="P1039" s="15" t="n"/>
      <c r="Q1039" s="15" t="n"/>
      <c r="R1039" s="25" t="n"/>
      <c r="S1039" s="26">
        <f>IF($A1039="","",AND(OR('Assignment Builder'!$B$5="",$B1039='Assignment Builder'!$B$5),OR('Assignment Builder'!$B$6="",ISNUMBER(SEARCH('Assignment Builder'!$B$6,$C1039))),OR('Assignment Builder'!$B$7="",'Assignment Builder'!$B$7=IFERROR(INDEX('Category Dictionary'!$C$5:$C$135,MATCH($L1039,'Category Dictionary'!$D$5:$D$135,0)),"")),OR('Assignment Builder'!$B$8="",$D1039='Assignment Builder'!$B$8),OR('Assignment Builder'!$B$9="",$F1039='Assignment Builder'!$B$9),OR('Assignment Builder'!$B$10="",$O1039='Assignment Builder'!$B$10),OR('Assignment Builder'!$B$11="",$H1039&gt;='Assignment Builder'!$B$11),OR('Assignment Builder'!$B$12="",N($Q1039)&lt;='Assignment Builder'!$B$12)))</f>
        <v/>
      </c>
      <c r="T1039" s="23" t="n"/>
    </row>
    <row r="1040">
      <c r="A1040" s="23" t="n"/>
      <c r="B1040" s="23" t="n"/>
      <c r="C1040" s="24" t="n"/>
      <c r="D1040" s="15" t="n"/>
      <c r="E1040" s="23" t="n"/>
      <c r="F1040" s="15" t="n"/>
      <c r="G1040" s="23" t="n"/>
      <c r="H1040" s="25" t="n"/>
      <c r="I1040" s="15" t="n"/>
      <c r="J1040" s="26">
        <f>IF($A1040="","",LEN($C1040)-LEN(SUBSTITUTE($C1040,",",""))+1)</f>
        <v/>
      </c>
      <c r="K1040" s="26">
        <f>IF($A1040="","",SUMPRODUCT(--ISNUMBER(SEARCH('Category Dictionary'!$D$5:$D$135&amp;"",$C1040)),--('Category Dictionary'!$D$5:$D$135&lt;&gt;"")))</f>
        <v/>
      </c>
      <c r="L1040" s="27">
        <f>IF($A1040="","",TRIM(IF(ISERROR(FIND(",",$C1040)),$C1040,LEFT($C1040,FIND(",",$C1040)-1))))</f>
        <v/>
      </c>
      <c r="M1040" s="28">
        <f>IF($H1040="","",DATE(YEAR($H1040),MONTH($H1040),1))</f>
        <v/>
      </c>
      <c r="N1040" s="26">
        <f>IF($H1040="","",TODAY()-$H1040)</f>
        <v/>
      </c>
      <c r="O1040" s="15" t="n"/>
      <c r="P1040" s="15" t="n"/>
      <c r="Q1040" s="15" t="n"/>
      <c r="R1040" s="25" t="n"/>
      <c r="S1040" s="26">
        <f>IF($A1040="","",AND(OR('Assignment Builder'!$B$5="",$B1040='Assignment Builder'!$B$5),OR('Assignment Builder'!$B$6="",ISNUMBER(SEARCH('Assignment Builder'!$B$6,$C1040))),OR('Assignment Builder'!$B$7="",'Assignment Builder'!$B$7=IFERROR(INDEX('Category Dictionary'!$C$5:$C$135,MATCH($L1040,'Category Dictionary'!$D$5:$D$135,0)),"")),OR('Assignment Builder'!$B$8="",$D1040='Assignment Builder'!$B$8),OR('Assignment Builder'!$B$9="",$F1040='Assignment Builder'!$B$9),OR('Assignment Builder'!$B$10="",$O1040='Assignment Builder'!$B$10),OR('Assignment Builder'!$B$11="",$H1040&gt;='Assignment Builder'!$B$11),OR('Assignment Builder'!$B$12="",N($Q1040)&lt;='Assignment Builder'!$B$12)))</f>
        <v/>
      </c>
      <c r="T1040" s="23" t="n"/>
    </row>
    <row r="1041">
      <c r="A1041" s="23" t="n"/>
      <c r="B1041" s="23" t="n"/>
      <c r="C1041" s="24" t="n"/>
      <c r="D1041" s="15" t="n"/>
      <c r="E1041" s="23" t="n"/>
      <c r="F1041" s="15" t="n"/>
      <c r="G1041" s="23" t="n"/>
      <c r="H1041" s="25" t="n"/>
      <c r="I1041" s="15" t="n"/>
      <c r="J1041" s="26">
        <f>IF($A1041="","",LEN($C1041)-LEN(SUBSTITUTE($C1041,",",""))+1)</f>
        <v/>
      </c>
      <c r="K1041" s="26">
        <f>IF($A1041="","",SUMPRODUCT(--ISNUMBER(SEARCH('Category Dictionary'!$D$5:$D$135&amp;"",$C1041)),--('Category Dictionary'!$D$5:$D$135&lt;&gt;"")))</f>
        <v/>
      </c>
      <c r="L1041" s="27">
        <f>IF($A1041="","",TRIM(IF(ISERROR(FIND(",",$C1041)),$C1041,LEFT($C1041,FIND(",",$C1041)-1))))</f>
        <v/>
      </c>
      <c r="M1041" s="28">
        <f>IF($H1041="","",DATE(YEAR($H1041),MONTH($H1041),1))</f>
        <v/>
      </c>
      <c r="N1041" s="26">
        <f>IF($H1041="","",TODAY()-$H1041)</f>
        <v/>
      </c>
      <c r="O1041" s="15" t="n"/>
      <c r="P1041" s="15" t="n"/>
      <c r="Q1041" s="15" t="n"/>
      <c r="R1041" s="25" t="n"/>
      <c r="S1041" s="26">
        <f>IF($A1041="","",AND(OR('Assignment Builder'!$B$5="",$B1041='Assignment Builder'!$B$5),OR('Assignment Builder'!$B$6="",ISNUMBER(SEARCH('Assignment Builder'!$B$6,$C1041))),OR('Assignment Builder'!$B$7="",'Assignment Builder'!$B$7=IFERROR(INDEX('Category Dictionary'!$C$5:$C$135,MATCH($L1041,'Category Dictionary'!$D$5:$D$135,0)),"")),OR('Assignment Builder'!$B$8="",$D1041='Assignment Builder'!$B$8),OR('Assignment Builder'!$B$9="",$F1041='Assignment Builder'!$B$9),OR('Assignment Builder'!$B$10="",$O1041='Assignment Builder'!$B$10),OR('Assignment Builder'!$B$11="",$H1041&gt;='Assignment Builder'!$B$11),OR('Assignment Builder'!$B$12="",N($Q1041)&lt;='Assignment Builder'!$B$12)))</f>
        <v/>
      </c>
      <c r="T1041" s="23" t="n"/>
    </row>
    <row r="1042">
      <c r="A1042" s="23" t="n"/>
      <c r="B1042" s="23" t="n"/>
      <c r="C1042" s="24" t="n"/>
      <c r="D1042" s="15" t="n"/>
      <c r="E1042" s="23" t="n"/>
      <c r="F1042" s="15" t="n"/>
      <c r="G1042" s="23" t="n"/>
      <c r="H1042" s="25" t="n"/>
      <c r="I1042" s="15" t="n"/>
      <c r="J1042" s="26">
        <f>IF($A1042="","",LEN($C1042)-LEN(SUBSTITUTE($C1042,",",""))+1)</f>
        <v/>
      </c>
      <c r="K1042" s="26">
        <f>IF($A1042="","",SUMPRODUCT(--ISNUMBER(SEARCH('Category Dictionary'!$D$5:$D$135&amp;"",$C1042)),--('Category Dictionary'!$D$5:$D$135&lt;&gt;"")))</f>
        <v/>
      </c>
      <c r="L1042" s="27">
        <f>IF($A1042="","",TRIM(IF(ISERROR(FIND(",",$C1042)),$C1042,LEFT($C1042,FIND(",",$C1042)-1))))</f>
        <v/>
      </c>
      <c r="M1042" s="28">
        <f>IF($H1042="","",DATE(YEAR($H1042),MONTH($H1042),1))</f>
        <v/>
      </c>
      <c r="N1042" s="26">
        <f>IF($H1042="","",TODAY()-$H1042)</f>
        <v/>
      </c>
      <c r="O1042" s="15" t="n"/>
      <c r="P1042" s="15" t="n"/>
      <c r="Q1042" s="15" t="n"/>
      <c r="R1042" s="25" t="n"/>
      <c r="S1042" s="26">
        <f>IF($A1042="","",AND(OR('Assignment Builder'!$B$5="",$B1042='Assignment Builder'!$B$5),OR('Assignment Builder'!$B$6="",ISNUMBER(SEARCH('Assignment Builder'!$B$6,$C1042))),OR('Assignment Builder'!$B$7="",'Assignment Builder'!$B$7=IFERROR(INDEX('Category Dictionary'!$C$5:$C$135,MATCH($L1042,'Category Dictionary'!$D$5:$D$135,0)),"")),OR('Assignment Builder'!$B$8="",$D1042='Assignment Builder'!$B$8),OR('Assignment Builder'!$B$9="",$F1042='Assignment Builder'!$B$9),OR('Assignment Builder'!$B$10="",$O1042='Assignment Builder'!$B$10),OR('Assignment Builder'!$B$11="",$H1042&gt;='Assignment Builder'!$B$11),OR('Assignment Builder'!$B$12="",N($Q1042)&lt;='Assignment Builder'!$B$12)))</f>
        <v/>
      </c>
      <c r="T1042" s="23" t="n"/>
    </row>
    <row r="1043">
      <c r="A1043" s="23" t="n"/>
      <c r="B1043" s="23" t="n"/>
      <c r="C1043" s="24" t="n"/>
      <c r="D1043" s="15" t="n"/>
      <c r="E1043" s="23" t="n"/>
      <c r="F1043" s="15" t="n"/>
      <c r="G1043" s="23" t="n"/>
      <c r="H1043" s="25" t="n"/>
      <c r="I1043" s="15" t="n"/>
      <c r="J1043" s="26">
        <f>IF($A1043="","",LEN($C1043)-LEN(SUBSTITUTE($C1043,",",""))+1)</f>
        <v/>
      </c>
      <c r="K1043" s="26">
        <f>IF($A1043="","",SUMPRODUCT(--ISNUMBER(SEARCH('Category Dictionary'!$D$5:$D$135&amp;"",$C1043)),--('Category Dictionary'!$D$5:$D$135&lt;&gt;"")))</f>
        <v/>
      </c>
      <c r="L1043" s="27">
        <f>IF($A1043="","",TRIM(IF(ISERROR(FIND(",",$C1043)),$C1043,LEFT($C1043,FIND(",",$C1043)-1))))</f>
        <v/>
      </c>
      <c r="M1043" s="28">
        <f>IF($H1043="","",DATE(YEAR($H1043),MONTH($H1043),1))</f>
        <v/>
      </c>
      <c r="N1043" s="26">
        <f>IF($H1043="","",TODAY()-$H1043)</f>
        <v/>
      </c>
      <c r="O1043" s="15" t="n"/>
      <c r="P1043" s="15" t="n"/>
      <c r="Q1043" s="15" t="n"/>
      <c r="R1043" s="25" t="n"/>
      <c r="S1043" s="26">
        <f>IF($A1043="","",AND(OR('Assignment Builder'!$B$5="",$B1043='Assignment Builder'!$B$5),OR('Assignment Builder'!$B$6="",ISNUMBER(SEARCH('Assignment Builder'!$B$6,$C1043))),OR('Assignment Builder'!$B$7="",'Assignment Builder'!$B$7=IFERROR(INDEX('Category Dictionary'!$C$5:$C$135,MATCH($L1043,'Category Dictionary'!$D$5:$D$135,0)),"")),OR('Assignment Builder'!$B$8="",$D1043='Assignment Builder'!$B$8),OR('Assignment Builder'!$B$9="",$F1043='Assignment Builder'!$B$9),OR('Assignment Builder'!$B$10="",$O1043='Assignment Builder'!$B$10),OR('Assignment Builder'!$B$11="",$H1043&gt;='Assignment Builder'!$B$11),OR('Assignment Builder'!$B$12="",N($Q1043)&lt;='Assignment Builder'!$B$12)))</f>
        <v/>
      </c>
      <c r="T1043" s="23" t="n"/>
    </row>
    <row r="1044">
      <c r="A1044" s="23" t="n"/>
      <c r="B1044" s="23" t="n"/>
      <c r="C1044" s="24" t="n"/>
      <c r="D1044" s="15" t="n"/>
      <c r="E1044" s="23" t="n"/>
      <c r="F1044" s="15" t="n"/>
      <c r="G1044" s="23" t="n"/>
      <c r="H1044" s="25" t="n"/>
      <c r="I1044" s="15" t="n"/>
      <c r="J1044" s="26">
        <f>IF($A1044="","",LEN($C1044)-LEN(SUBSTITUTE($C1044,",",""))+1)</f>
        <v/>
      </c>
      <c r="K1044" s="26">
        <f>IF($A1044="","",SUMPRODUCT(--ISNUMBER(SEARCH('Category Dictionary'!$D$5:$D$135&amp;"",$C1044)),--('Category Dictionary'!$D$5:$D$135&lt;&gt;"")))</f>
        <v/>
      </c>
      <c r="L1044" s="27">
        <f>IF($A1044="","",TRIM(IF(ISERROR(FIND(",",$C1044)),$C1044,LEFT($C1044,FIND(",",$C1044)-1))))</f>
        <v/>
      </c>
      <c r="M1044" s="28">
        <f>IF($H1044="","",DATE(YEAR($H1044),MONTH($H1044),1))</f>
        <v/>
      </c>
      <c r="N1044" s="26">
        <f>IF($H1044="","",TODAY()-$H1044)</f>
        <v/>
      </c>
      <c r="O1044" s="15" t="n"/>
      <c r="P1044" s="15" t="n"/>
      <c r="Q1044" s="15" t="n"/>
      <c r="R1044" s="25" t="n"/>
      <c r="S1044" s="26">
        <f>IF($A1044="","",AND(OR('Assignment Builder'!$B$5="",$B1044='Assignment Builder'!$B$5),OR('Assignment Builder'!$B$6="",ISNUMBER(SEARCH('Assignment Builder'!$B$6,$C1044))),OR('Assignment Builder'!$B$7="",'Assignment Builder'!$B$7=IFERROR(INDEX('Category Dictionary'!$C$5:$C$135,MATCH($L1044,'Category Dictionary'!$D$5:$D$135,0)),"")),OR('Assignment Builder'!$B$8="",$D1044='Assignment Builder'!$B$8),OR('Assignment Builder'!$B$9="",$F1044='Assignment Builder'!$B$9),OR('Assignment Builder'!$B$10="",$O1044='Assignment Builder'!$B$10),OR('Assignment Builder'!$B$11="",$H1044&gt;='Assignment Builder'!$B$11),OR('Assignment Builder'!$B$12="",N($Q1044)&lt;='Assignment Builder'!$B$12)))</f>
        <v/>
      </c>
      <c r="T1044" s="23" t="n"/>
    </row>
    <row r="1045">
      <c r="A1045" s="23" t="n"/>
      <c r="B1045" s="23" t="n"/>
      <c r="C1045" s="24" t="n"/>
      <c r="D1045" s="15" t="n"/>
      <c r="E1045" s="23" t="n"/>
      <c r="F1045" s="15" t="n"/>
      <c r="G1045" s="23" t="n"/>
      <c r="H1045" s="25" t="n"/>
      <c r="I1045" s="15" t="n"/>
      <c r="J1045" s="26">
        <f>IF($A1045="","",LEN($C1045)-LEN(SUBSTITUTE($C1045,",",""))+1)</f>
        <v/>
      </c>
      <c r="K1045" s="26">
        <f>IF($A1045="","",SUMPRODUCT(--ISNUMBER(SEARCH('Category Dictionary'!$D$5:$D$135&amp;"",$C1045)),--('Category Dictionary'!$D$5:$D$135&lt;&gt;"")))</f>
        <v/>
      </c>
      <c r="L1045" s="27">
        <f>IF($A1045="","",TRIM(IF(ISERROR(FIND(",",$C1045)),$C1045,LEFT($C1045,FIND(",",$C1045)-1))))</f>
        <v/>
      </c>
      <c r="M1045" s="28">
        <f>IF($H1045="","",DATE(YEAR($H1045),MONTH($H1045),1))</f>
        <v/>
      </c>
      <c r="N1045" s="26">
        <f>IF($H1045="","",TODAY()-$H1045)</f>
        <v/>
      </c>
      <c r="O1045" s="15" t="n"/>
      <c r="P1045" s="15" t="n"/>
      <c r="Q1045" s="15" t="n"/>
      <c r="R1045" s="25" t="n"/>
      <c r="S1045" s="26">
        <f>IF($A1045="","",AND(OR('Assignment Builder'!$B$5="",$B1045='Assignment Builder'!$B$5),OR('Assignment Builder'!$B$6="",ISNUMBER(SEARCH('Assignment Builder'!$B$6,$C1045))),OR('Assignment Builder'!$B$7="",'Assignment Builder'!$B$7=IFERROR(INDEX('Category Dictionary'!$C$5:$C$135,MATCH($L1045,'Category Dictionary'!$D$5:$D$135,0)),"")),OR('Assignment Builder'!$B$8="",$D1045='Assignment Builder'!$B$8),OR('Assignment Builder'!$B$9="",$F1045='Assignment Builder'!$B$9),OR('Assignment Builder'!$B$10="",$O1045='Assignment Builder'!$B$10),OR('Assignment Builder'!$B$11="",$H1045&gt;='Assignment Builder'!$B$11),OR('Assignment Builder'!$B$12="",N($Q1045)&lt;='Assignment Builder'!$B$12)))</f>
        <v/>
      </c>
      <c r="T1045" s="23" t="n"/>
    </row>
    <row r="1046">
      <c r="A1046" s="23" t="n"/>
      <c r="B1046" s="23" t="n"/>
      <c r="C1046" s="24" t="n"/>
      <c r="D1046" s="15" t="n"/>
      <c r="E1046" s="23" t="n"/>
      <c r="F1046" s="15" t="n"/>
      <c r="G1046" s="23" t="n"/>
      <c r="H1046" s="25" t="n"/>
      <c r="I1046" s="15" t="n"/>
      <c r="J1046" s="26">
        <f>IF($A1046="","",LEN($C1046)-LEN(SUBSTITUTE($C1046,",",""))+1)</f>
        <v/>
      </c>
      <c r="K1046" s="26">
        <f>IF($A1046="","",SUMPRODUCT(--ISNUMBER(SEARCH('Category Dictionary'!$D$5:$D$135&amp;"",$C1046)),--('Category Dictionary'!$D$5:$D$135&lt;&gt;"")))</f>
        <v/>
      </c>
      <c r="L1046" s="27">
        <f>IF($A1046="","",TRIM(IF(ISERROR(FIND(",",$C1046)),$C1046,LEFT($C1046,FIND(",",$C1046)-1))))</f>
        <v/>
      </c>
      <c r="M1046" s="28">
        <f>IF($H1046="","",DATE(YEAR($H1046),MONTH($H1046),1))</f>
        <v/>
      </c>
      <c r="N1046" s="26">
        <f>IF($H1046="","",TODAY()-$H1046)</f>
        <v/>
      </c>
      <c r="O1046" s="15" t="n"/>
      <c r="P1046" s="15" t="n"/>
      <c r="Q1046" s="15" t="n"/>
      <c r="R1046" s="25" t="n"/>
      <c r="S1046" s="26">
        <f>IF($A1046="","",AND(OR('Assignment Builder'!$B$5="",$B1046='Assignment Builder'!$B$5),OR('Assignment Builder'!$B$6="",ISNUMBER(SEARCH('Assignment Builder'!$B$6,$C1046))),OR('Assignment Builder'!$B$7="",'Assignment Builder'!$B$7=IFERROR(INDEX('Category Dictionary'!$C$5:$C$135,MATCH($L1046,'Category Dictionary'!$D$5:$D$135,0)),"")),OR('Assignment Builder'!$B$8="",$D1046='Assignment Builder'!$B$8),OR('Assignment Builder'!$B$9="",$F1046='Assignment Builder'!$B$9),OR('Assignment Builder'!$B$10="",$O1046='Assignment Builder'!$B$10),OR('Assignment Builder'!$B$11="",$H1046&gt;='Assignment Builder'!$B$11),OR('Assignment Builder'!$B$12="",N($Q1046)&lt;='Assignment Builder'!$B$12)))</f>
        <v/>
      </c>
      <c r="T1046" s="23" t="n"/>
    </row>
    <row r="1047">
      <c r="A1047" s="23" t="n"/>
      <c r="B1047" s="23" t="n"/>
      <c r="C1047" s="24" t="n"/>
      <c r="D1047" s="15" t="n"/>
      <c r="E1047" s="23" t="n"/>
      <c r="F1047" s="15" t="n"/>
      <c r="G1047" s="23" t="n"/>
      <c r="H1047" s="25" t="n"/>
      <c r="I1047" s="15" t="n"/>
      <c r="J1047" s="26">
        <f>IF($A1047="","",LEN($C1047)-LEN(SUBSTITUTE($C1047,",",""))+1)</f>
        <v/>
      </c>
      <c r="K1047" s="26">
        <f>IF($A1047="","",SUMPRODUCT(--ISNUMBER(SEARCH('Category Dictionary'!$D$5:$D$135&amp;"",$C1047)),--('Category Dictionary'!$D$5:$D$135&lt;&gt;"")))</f>
        <v/>
      </c>
      <c r="L1047" s="27">
        <f>IF($A1047="","",TRIM(IF(ISERROR(FIND(",",$C1047)),$C1047,LEFT($C1047,FIND(",",$C1047)-1))))</f>
        <v/>
      </c>
      <c r="M1047" s="28">
        <f>IF($H1047="","",DATE(YEAR($H1047),MONTH($H1047),1))</f>
        <v/>
      </c>
      <c r="N1047" s="26">
        <f>IF($H1047="","",TODAY()-$H1047)</f>
        <v/>
      </c>
      <c r="O1047" s="15" t="n"/>
      <c r="P1047" s="15" t="n"/>
      <c r="Q1047" s="15" t="n"/>
      <c r="R1047" s="25" t="n"/>
      <c r="S1047" s="26">
        <f>IF($A1047="","",AND(OR('Assignment Builder'!$B$5="",$B1047='Assignment Builder'!$B$5),OR('Assignment Builder'!$B$6="",ISNUMBER(SEARCH('Assignment Builder'!$B$6,$C1047))),OR('Assignment Builder'!$B$7="",'Assignment Builder'!$B$7=IFERROR(INDEX('Category Dictionary'!$C$5:$C$135,MATCH($L1047,'Category Dictionary'!$D$5:$D$135,0)),"")),OR('Assignment Builder'!$B$8="",$D1047='Assignment Builder'!$B$8),OR('Assignment Builder'!$B$9="",$F1047='Assignment Builder'!$B$9),OR('Assignment Builder'!$B$10="",$O1047='Assignment Builder'!$B$10),OR('Assignment Builder'!$B$11="",$H1047&gt;='Assignment Builder'!$B$11),OR('Assignment Builder'!$B$12="",N($Q1047)&lt;='Assignment Builder'!$B$12)))</f>
        <v/>
      </c>
      <c r="T1047" s="23" t="n"/>
    </row>
    <row r="1048">
      <c r="A1048" s="23" t="n"/>
      <c r="B1048" s="23" t="n"/>
      <c r="C1048" s="24" t="n"/>
      <c r="D1048" s="15" t="n"/>
      <c r="E1048" s="23" t="n"/>
      <c r="F1048" s="15" t="n"/>
      <c r="G1048" s="23" t="n"/>
      <c r="H1048" s="25" t="n"/>
      <c r="I1048" s="15" t="n"/>
      <c r="J1048" s="26">
        <f>IF($A1048="","",LEN($C1048)-LEN(SUBSTITUTE($C1048,",",""))+1)</f>
        <v/>
      </c>
      <c r="K1048" s="26">
        <f>IF($A1048="","",SUMPRODUCT(--ISNUMBER(SEARCH('Category Dictionary'!$D$5:$D$135&amp;"",$C1048)),--('Category Dictionary'!$D$5:$D$135&lt;&gt;"")))</f>
        <v/>
      </c>
      <c r="L1048" s="27">
        <f>IF($A1048="","",TRIM(IF(ISERROR(FIND(",",$C1048)),$C1048,LEFT($C1048,FIND(",",$C1048)-1))))</f>
        <v/>
      </c>
      <c r="M1048" s="28">
        <f>IF($H1048="","",DATE(YEAR($H1048),MONTH($H1048),1))</f>
        <v/>
      </c>
      <c r="N1048" s="26">
        <f>IF($H1048="","",TODAY()-$H1048)</f>
        <v/>
      </c>
      <c r="O1048" s="15" t="n"/>
      <c r="P1048" s="15" t="n"/>
      <c r="Q1048" s="15" t="n"/>
      <c r="R1048" s="25" t="n"/>
      <c r="S1048" s="26">
        <f>IF($A1048="","",AND(OR('Assignment Builder'!$B$5="",$B1048='Assignment Builder'!$B$5),OR('Assignment Builder'!$B$6="",ISNUMBER(SEARCH('Assignment Builder'!$B$6,$C1048))),OR('Assignment Builder'!$B$7="",'Assignment Builder'!$B$7=IFERROR(INDEX('Category Dictionary'!$C$5:$C$135,MATCH($L1048,'Category Dictionary'!$D$5:$D$135,0)),"")),OR('Assignment Builder'!$B$8="",$D1048='Assignment Builder'!$B$8),OR('Assignment Builder'!$B$9="",$F1048='Assignment Builder'!$B$9),OR('Assignment Builder'!$B$10="",$O1048='Assignment Builder'!$B$10),OR('Assignment Builder'!$B$11="",$H1048&gt;='Assignment Builder'!$B$11),OR('Assignment Builder'!$B$12="",N($Q1048)&lt;='Assignment Builder'!$B$12)))</f>
        <v/>
      </c>
      <c r="T1048" s="23" t="n"/>
    </row>
    <row r="1049">
      <c r="A1049" s="23" t="n"/>
      <c r="B1049" s="23" t="n"/>
      <c r="C1049" s="24" t="n"/>
      <c r="D1049" s="15" t="n"/>
      <c r="E1049" s="23" t="n"/>
      <c r="F1049" s="15" t="n"/>
      <c r="G1049" s="23" t="n"/>
      <c r="H1049" s="25" t="n"/>
      <c r="I1049" s="15" t="n"/>
      <c r="J1049" s="26">
        <f>IF($A1049="","",LEN($C1049)-LEN(SUBSTITUTE($C1049,",",""))+1)</f>
        <v/>
      </c>
      <c r="K1049" s="26">
        <f>IF($A1049="","",SUMPRODUCT(--ISNUMBER(SEARCH('Category Dictionary'!$D$5:$D$135&amp;"",$C1049)),--('Category Dictionary'!$D$5:$D$135&lt;&gt;"")))</f>
        <v/>
      </c>
      <c r="L1049" s="27">
        <f>IF($A1049="","",TRIM(IF(ISERROR(FIND(",",$C1049)),$C1049,LEFT($C1049,FIND(",",$C1049)-1))))</f>
        <v/>
      </c>
      <c r="M1049" s="28">
        <f>IF($H1049="","",DATE(YEAR($H1049),MONTH($H1049),1))</f>
        <v/>
      </c>
      <c r="N1049" s="26">
        <f>IF($H1049="","",TODAY()-$H1049)</f>
        <v/>
      </c>
      <c r="O1049" s="15" t="n"/>
      <c r="P1049" s="15" t="n"/>
      <c r="Q1049" s="15" t="n"/>
      <c r="R1049" s="25" t="n"/>
      <c r="S1049" s="26">
        <f>IF($A1049="","",AND(OR('Assignment Builder'!$B$5="",$B1049='Assignment Builder'!$B$5),OR('Assignment Builder'!$B$6="",ISNUMBER(SEARCH('Assignment Builder'!$B$6,$C1049))),OR('Assignment Builder'!$B$7="",'Assignment Builder'!$B$7=IFERROR(INDEX('Category Dictionary'!$C$5:$C$135,MATCH($L1049,'Category Dictionary'!$D$5:$D$135,0)),"")),OR('Assignment Builder'!$B$8="",$D1049='Assignment Builder'!$B$8),OR('Assignment Builder'!$B$9="",$F1049='Assignment Builder'!$B$9),OR('Assignment Builder'!$B$10="",$O1049='Assignment Builder'!$B$10),OR('Assignment Builder'!$B$11="",$H1049&gt;='Assignment Builder'!$B$11),OR('Assignment Builder'!$B$12="",N($Q1049)&lt;='Assignment Builder'!$B$12)))</f>
        <v/>
      </c>
      <c r="T1049" s="23" t="n"/>
    </row>
    <row r="1050">
      <c r="A1050" s="23" t="n"/>
      <c r="B1050" s="23" t="n"/>
      <c r="C1050" s="24" t="n"/>
      <c r="D1050" s="15" t="n"/>
      <c r="E1050" s="23" t="n"/>
      <c r="F1050" s="15" t="n"/>
      <c r="G1050" s="23" t="n"/>
      <c r="H1050" s="25" t="n"/>
      <c r="I1050" s="15" t="n"/>
      <c r="J1050" s="26">
        <f>IF($A1050="","",LEN($C1050)-LEN(SUBSTITUTE($C1050,",",""))+1)</f>
        <v/>
      </c>
      <c r="K1050" s="26">
        <f>IF($A1050="","",SUMPRODUCT(--ISNUMBER(SEARCH('Category Dictionary'!$D$5:$D$135&amp;"",$C1050)),--('Category Dictionary'!$D$5:$D$135&lt;&gt;"")))</f>
        <v/>
      </c>
      <c r="L1050" s="27">
        <f>IF($A1050="","",TRIM(IF(ISERROR(FIND(",",$C1050)),$C1050,LEFT($C1050,FIND(",",$C1050)-1))))</f>
        <v/>
      </c>
      <c r="M1050" s="28">
        <f>IF($H1050="","",DATE(YEAR($H1050),MONTH($H1050),1))</f>
        <v/>
      </c>
      <c r="N1050" s="26">
        <f>IF($H1050="","",TODAY()-$H1050)</f>
        <v/>
      </c>
      <c r="O1050" s="15" t="n"/>
      <c r="P1050" s="15" t="n"/>
      <c r="Q1050" s="15" t="n"/>
      <c r="R1050" s="25" t="n"/>
      <c r="S1050" s="26">
        <f>IF($A1050="","",AND(OR('Assignment Builder'!$B$5="",$B1050='Assignment Builder'!$B$5),OR('Assignment Builder'!$B$6="",ISNUMBER(SEARCH('Assignment Builder'!$B$6,$C1050))),OR('Assignment Builder'!$B$7="",'Assignment Builder'!$B$7=IFERROR(INDEX('Category Dictionary'!$C$5:$C$135,MATCH($L1050,'Category Dictionary'!$D$5:$D$135,0)),"")),OR('Assignment Builder'!$B$8="",$D1050='Assignment Builder'!$B$8),OR('Assignment Builder'!$B$9="",$F1050='Assignment Builder'!$B$9),OR('Assignment Builder'!$B$10="",$O1050='Assignment Builder'!$B$10),OR('Assignment Builder'!$B$11="",$H1050&gt;='Assignment Builder'!$B$11),OR('Assignment Builder'!$B$12="",N($Q1050)&lt;='Assignment Builder'!$B$12)))</f>
        <v/>
      </c>
      <c r="T1050" s="23" t="n"/>
    </row>
    <row r="1051">
      <c r="A1051" s="23" t="n"/>
      <c r="B1051" s="23" t="n"/>
      <c r="C1051" s="24" t="n"/>
      <c r="D1051" s="15" t="n"/>
      <c r="E1051" s="23" t="n"/>
      <c r="F1051" s="15" t="n"/>
      <c r="G1051" s="23" t="n"/>
      <c r="H1051" s="25" t="n"/>
      <c r="I1051" s="15" t="n"/>
      <c r="J1051" s="26">
        <f>IF($A1051="","",LEN($C1051)-LEN(SUBSTITUTE($C1051,",",""))+1)</f>
        <v/>
      </c>
      <c r="K1051" s="26">
        <f>IF($A1051="","",SUMPRODUCT(--ISNUMBER(SEARCH('Category Dictionary'!$D$5:$D$135&amp;"",$C1051)),--('Category Dictionary'!$D$5:$D$135&lt;&gt;"")))</f>
        <v/>
      </c>
      <c r="L1051" s="27">
        <f>IF($A1051="","",TRIM(IF(ISERROR(FIND(",",$C1051)),$C1051,LEFT($C1051,FIND(",",$C1051)-1))))</f>
        <v/>
      </c>
      <c r="M1051" s="28">
        <f>IF($H1051="","",DATE(YEAR($H1051),MONTH($H1051),1))</f>
        <v/>
      </c>
      <c r="N1051" s="26">
        <f>IF($H1051="","",TODAY()-$H1051)</f>
        <v/>
      </c>
      <c r="O1051" s="15" t="n"/>
      <c r="P1051" s="15" t="n"/>
      <c r="Q1051" s="15" t="n"/>
      <c r="R1051" s="25" t="n"/>
      <c r="S1051" s="26">
        <f>IF($A1051="","",AND(OR('Assignment Builder'!$B$5="",$B1051='Assignment Builder'!$B$5),OR('Assignment Builder'!$B$6="",ISNUMBER(SEARCH('Assignment Builder'!$B$6,$C1051))),OR('Assignment Builder'!$B$7="",'Assignment Builder'!$B$7=IFERROR(INDEX('Category Dictionary'!$C$5:$C$135,MATCH($L1051,'Category Dictionary'!$D$5:$D$135,0)),"")),OR('Assignment Builder'!$B$8="",$D1051='Assignment Builder'!$B$8),OR('Assignment Builder'!$B$9="",$F1051='Assignment Builder'!$B$9),OR('Assignment Builder'!$B$10="",$O1051='Assignment Builder'!$B$10),OR('Assignment Builder'!$B$11="",$H1051&gt;='Assignment Builder'!$B$11),OR('Assignment Builder'!$B$12="",N($Q1051)&lt;='Assignment Builder'!$B$12)))</f>
        <v/>
      </c>
      <c r="T1051" s="23" t="n"/>
    </row>
    <row r="1052">
      <c r="A1052" s="23" t="n"/>
      <c r="B1052" s="23" t="n"/>
      <c r="C1052" s="24" t="n"/>
      <c r="D1052" s="15" t="n"/>
      <c r="E1052" s="23" t="n"/>
      <c r="F1052" s="15" t="n"/>
      <c r="G1052" s="23" t="n"/>
      <c r="H1052" s="25" t="n"/>
      <c r="I1052" s="15" t="n"/>
      <c r="J1052" s="26">
        <f>IF($A1052="","",LEN($C1052)-LEN(SUBSTITUTE($C1052,",",""))+1)</f>
        <v/>
      </c>
      <c r="K1052" s="26">
        <f>IF($A1052="","",SUMPRODUCT(--ISNUMBER(SEARCH('Category Dictionary'!$D$5:$D$135&amp;"",$C1052)),--('Category Dictionary'!$D$5:$D$135&lt;&gt;"")))</f>
        <v/>
      </c>
      <c r="L1052" s="27">
        <f>IF($A1052="","",TRIM(IF(ISERROR(FIND(",",$C1052)),$C1052,LEFT($C1052,FIND(",",$C1052)-1))))</f>
        <v/>
      </c>
      <c r="M1052" s="28">
        <f>IF($H1052="","",DATE(YEAR($H1052),MONTH($H1052),1))</f>
        <v/>
      </c>
      <c r="N1052" s="26">
        <f>IF($H1052="","",TODAY()-$H1052)</f>
        <v/>
      </c>
      <c r="O1052" s="15" t="n"/>
      <c r="P1052" s="15" t="n"/>
      <c r="Q1052" s="15" t="n"/>
      <c r="R1052" s="25" t="n"/>
      <c r="S1052" s="26">
        <f>IF($A1052="","",AND(OR('Assignment Builder'!$B$5="",$B1052='Assignment Builder'!$B$5),OR('Assignment Builder'!$B$6="",ISNUMBER(SEARCH('Assignment Builder'!$B$6,$C1052))),OR('Assignment Builder'!$B$7="",'Assignment Builder'!$B$7=IFERROR(INDEX('Category Dictionary'!$C$5:$C$135,MATCH($L1052,'Category Dictionary'!$D$5:$D$135,0)),"")),OR('Assignment Builder'!$B$8="",$D1052='Assignment Builder'!$B$8),OR('Assignment Builder'!$B$9="",$F1052='Assignment Builder'!$B$9),OR('Assignment Builder'!$B$10="",$O1052='Assignment Builder'!$B$10),OR('Assignment Builder'!$B$11="",$H1052&gt;='Assignment Builder'!$B$11),OR('Assignment Builder'!$B$12="",N($Q1052)&lt;='Assignment Builder'!$B$12)))</f>
        <v/>
      </c>
      <c r="T1052" s="23" t="n"/>
    </row>
    <row r="1053">
      <c r="A1053" s="23" t="n"/>
      <c r="B1053" s="23" t="n"/>
      <c r="C1053" s="24" t="n"/>
      <c r="D1053" s="15" t="n"/>
      <c r="E1053" s="23" t="n"/>
      <c r="F1053" s="15" t="n"/>
      <c r="G1053" s="23" t="n"/>
      <c r="H1053" s="25" t="n"/>
      <c r="I1053" s="15" t="n"/>
      <c r="J1053" s="26">
        <f>IF($A1053="","",LEN($C1053)-LEN(SUBSTITUTE($C1053,",",""))+1)</f>
        <v/>
      </c>
      <c r="K1053" s="26">
        <f>IF($A1053="","",SUMPRODUCT(--ISNUMBER(SEARCH('Category Dictionary'!$D$5:$D$135&amp;"",$C1053)),--('Category Dictionary'!$D$5:$D$135&lt;&gt;"")))</f>
        <v/>
      </c>
      <c r="L1053" s="27">
        <f>IF($A1053="","",TRIM(IF(ISERROR(FIND(",",$C1053)),$C1053,LEFT($C1053,FIND(",",$C1053)-1))))</f>
        <v/>
      </c>
      <c r="M1053" s="28">
        <f>IF($H1053="","",DATE(YEAR($H1053),MONTH($H1053),1))</f>
        <v/>
      </c>
      <c r="N1053" s="26">
        <f>IF($H1053="","",TODAY()-$H1053)</f>
        <v/>
      </c>
      <c r="O1053" s="15" t="n"/>
      <c r="P1053" s="15" t="n"/>
      <c r="Q1053" s="15" t="n"/>
      <c r="R1053" s="25" t="n"/>
      <c r="S1053" s="26">
        <f>IF($A1053="","",AND(OR('Assignment Builder'!$B$5="",$B1053='Assignment Builder'!$B$5),OR('Assignment Builder'!$B$6="",ISNUMBER(SEARCH('Assignment Builder'!$B$6,$C1053))),OR('Assignment Builder'!$B$7="",'Assignment Builder'!$B$7=IFERROR(INDEX('Category Dictionary'!$C$5:$C$135,MATCH($L1053,'Category Dictionary'!$D$5:$D$135,0)),"")),OR('Assignment Builder'!$B$8="",$D1053='Assignment Builder'!$B$8),OR('Assignment Builder'!$B$9="",$F1053='Assignment Builder'!$B$9),OR('Assignment Builder'!$B$10="",$O1053='Assignment Builder'!$B$10),OR('Assignment Builder'!$B$11="",$H1053&gt;='Assignment Builder'!$B$11),OR('Assignment Builder'!$B$12="",N($Q1053)&lt;='Assignment Builder'!$B$12)))</f>
        <v/>
      </c>
      <c r="T1053" s="23" t="n"/>
    </row>
    <row r="1054">
      <c r="A1054" s="23" t="n"/>
      <c r="B1054" s="23" t="n"/>
      <c r="C1054" s="24" t="n"/>
      <c r="D1054" s="15" t="n"/>
      <c r="E1054" s="23" t="n"/>
      <c r="F1054" s="15" t="n"/>
      <c r="G1054" s="23" t="n"/>
      <c r="H1054" s="25" t="n"/>
      <c r="I1054" s="15" t="n"/>
      <c r="J1054" s="26">
        <f>IF($A1054="","",LEN($C1054)-LEN(SUBSTITUTE($C1054,",",""))+1)</f>
        <v/>
      </c>
      <c r="K1054" s="26">
        <f>IF($A1054="","",SUMPRODUCT(--ISNUMBER(SEARCH('Category Dictionary'!$D$5:$D$135&amp;"",$C1054)),--('Category Dictionary'!$D$5:$D$135&lt;&gt;"")))</f>
        <v/>
      </c>
      <c r="L1054" s="27">
        <f>IF($A1054="","",TRIM(IF(ISERROR(FIND(",",$C1054)),$C1054,LEFT($C1054,FIND(",",$C1054)-1))))</f>
        <v/>
      </c>
      <c r="M1054" s="28">
        <f>IF($H1054="","",DATE(YEAR($H1054),MONTH($H1054),1))</f>
        <v/>
      </c>
      <c r="N1054" s="26">
        <f>IF($H1054="","",TODAY()-$H1054)</f>
        <v/>
      </c>
      <c r="O1054" s="15" t="n"/>
      <c r="P1054" s="15" t="n"/>
      <c r="Q1054" s="15" t="n"/>
      <c r="R1054" s="25" t="n"/>
      <c r="S1054" s="26">
        <f>IF($A1054="","",AND(OR('Assignment Builder'!$B$5="",$B1054='Assignment Builder'!$B$5),OR('Assignment Builder'!$B$6="",ISNUMBER(SEARCH('Assignment Builder'!$B$6,$C1054))),OR('Assignment Builder'!$B$7="",'Assignment Builder'!$B$7=IFERROR(INDEX('Category Dictionary'!$C$5:$C$135,MATCH($L1054,'Category Dictionary'!$D$5:$D$135,0)),"")),OR('Assignment Builder'!$B$8="",$D1054='Assignment Builder'!$B$8),OR('Assignment Builder'!$B$9="",$F1054='Assignment Builder'!$B$9),OR('Assignment Builder'!$B$10="",$O1054='Assignment Builder'!$B$10),OR('Assignment Builder'!$B$11="",$H1054&gt;='Assignment Builder'!$B$11),OR('Assignment Builder'!$B$12="",N($Q1054)&lt;='Assignment Builder'!$B$12)))</f>
        <v/>
      </c>
      <c r="T1054" s="23" t="n"/>
    </row>
    <row r="1055">
      <c r="A1055" s="23" t="n"/>
      <c r="B1055" s="23" t="n"/>
      <c r="C1055" s="24" t="n"/>
      <c r="D1055" s="15" t="n"/>
      <c r="E1055" s="23" t="n"/>
      <c r="F1055" s="15" t="n"/>
      <c r="G1055" s="23" t="n"/>
      <c r="H1055" s="25" t="n"/>
      <c r="I1055" s="15" t="n"/>
      <c r="J1055" s="26">
        <f>IF($A1055="","",LEN($C1055)-LEN(SUBSTITUTE($C1055,",",""))+1)</f>
        <v/>
      </c>
      <c r="K1055" s="26">
        <f>IF($A1055="","",SUMPRODUCT(--ISNUMBER(SEARCH('Category Dictionary'!$D$5:$D$135&amp;"",$C1055)),--('Category Dictionary'!$D$5:$D$135&lt;&gt;"")))</f>
        <v/>
      </c>
      <c r="L1055" s="27">
        <f>IF($A1055="","",TRIM(IF(ISERROR(FIND(",",$C1055)),$C1055,LEFT($C1055,FIND(",",$C1055)-1))))</f>
        <v/>
      </c>
      <c r="M1055" s="28">
        <f>IF($H1055="","",DATE(YEAR($H1055),MONTH($H1055),1))</f>
        <v/>
      </c>
      <c r="N1055" s="26">
        <f>IF($H1055="","",TODAY()-$H1055)</f>
        <v/>
      </c>
      <c r="O1055" s="15" t="n"/>
      <c r="P1055" s="15" t="n"/>
      <c r="Q1055" s="15" t="n"/>
      <c r="R1055" s="25" t="n"/>
      <c r="S1055" s="26">
        <f>IF($A1055="","",AND(OR('Assignment Builder'!$B$5="",$B1055='Assignment Builder'!$B$5),OR('Assignment Builder'!$B$6="",ISNUMBER(SEARCH('Assignment Builder'!$B$6,$C1055))),OR('Assignment Builder'!$B$7="",'Assignment Builder'!$B$7=IFERROR(INDEX('Category Dictionary'!$C$5:$C$135,MATCH($L1055,'Category Dictionary'!$D$5:$D$135,0)),"")),OR('Assignment Builder'!$B$8="",$D1055='Assignment Builder'!$B$8),OR('Assignment Builder'!$B$9="",$F1055='Assignment Builder'!$B$9),OR('Assignment Builder'!$B$10="",$O1055='Assignment Builder'!$B$10),OR('Assignment Builder'!$B$11="",$H1055&gt;='Assignment Builder'!$B$11),OR('Assignment Builder'!$B$12="",N($Q1055)&lt;='Assignment Builder'!$B$12)))</f>
        <v/>
      </c>
      <c r="T1055" s="23" t="n"/>
    </row>
    <row r="1056">
      <c r="A1056" s="23" t="n"/>
      <c r="B1056" s="23" t="n"/>
      <c r="C1056" s="24" t="n"/>
      <c r="D1056" s="15" t="n"/>
      <c r="E1056" s="23" t="n"/>
      <c r="F1056" s="15" t="n"/>
      <c r="G1056" s="23" t="n"/>
      <c r="H1056" s="25" t="n"/>
      <c r="I1056" s="15" t="n"/>
      <c r="J1056" s="26">
        <f>IF($A1056="","",LEN($C1056)-LEN(SUBSTITUTE($C1056,",",""))+1)</f>
        <v/>
      </c>
      <c r="K1056" s="26">
        <f>IF($A1056="","",SUMPRODUCT(--ISNUMBER(SEARCH('Category Dictionary'!$D$5:$D$135&amp;"",$C1056)),--('Category Dictionary'!$D$5:$D$135&lt;&gt;"")))</f>
        <v/>
      </c>
      <c r="L1056" s="27">
        <f>IF($A1056="","",TRIM(IF(ISERROR(FIND(",",$C1056)),$C1056,LEFT($C1056,FIND(",",$C1056)-1))))</f>
        <v/>
      </c>
      <c r="M1056" s="28">
        <f>IF($H1056="","",DATE(YEAR($H1056),MONTH($H1056),1))</f>
        <v/>
      </c>
      <c r="N1056" s="26">
        <f>IF($H1056="","",TODAY()-$H1056)</f>
        <v/>
      </c>
      <c r="O1056" s="15" t="n"/>
      <c r="P1056" s="15" t="n"/>
      <c r="Q1056" s="15" t="n"/>
      <c r="R1056" s="25" t="n"/>
      <c r="S1056" s="26">
        <f>IF($A1056="","",AND(OR('Assignment Builder'!$B$5="",$B1056='Assignment Builder'!$B$5),OR('Assignment Builder'!$B$6="",ISNUMBER(SEARCH('Assignment Builder'!$B$6,$C1056))),OR('Assignment Builder'!$B$7="",'Assignment Builder'!$B$7=IFERROR(INDEX('Category Dictionary'!$C$5:$C$135,MATCH($L1056,'Category Dictionary'!$D$5:$D$135,0)),"")),OR('Assignment Builder'!$B$8="",$D1056='Assignment Builder'!$B$8),OR('Assignment Builder'!$B$9="",$F1056='Assignment Builder'!$B$9),OR('Assignment Builder'!$B$10="",$O1056='Assignment Builder'!$B$10),OR('Assignment Builder'!$B$11="",$H1056&gt;='Assignment Builder'!$B$11),OR('Assignment Builder'!$B$12="",N($Q1056)&lt;='Assignment Builder'!$B$12)))</f>
        <v/>
      </c>
      <c r="T1056" s="23" t="n"/>
    </row>
    <row r="1057">
      <c r="A1057" s="23" t="n"/>
      <c r="B1057" s="23" t="n"/>
      <c r="C1057" s="24" t="n"/>
      <c r="D1057" s="15" t="n"/>
      <c r="E1057" s="23" t="n"/>
      <c r="F1057" s="15" t="n"/>
      <c r="G1057" s="23" t="n"/>
      <c r="H1057" s="25" t="n"/>
      <c r="I1057" s="15" t="n"/>
      <c r="J1057" s="26">
        <f>IF($A1057="","",LEN($C1057)-LEN(SUBSTITUTE($C1057,",",""))+1)</f>
        <v/>
      </c>
      <c r="K1057" s="26">
        <f>IF($A1057="","",SUMPRODUCT(--ISNUMBER(SEARCH('Category Dictionary'!$D$5:$D$135&amp;"",$C1057)),--('Category Dictionary'!$D$5:$D$135&lt;&gt;"")))</f>
        <v/>
      </c>
      <c r="L1057" s="27">
        <f>IF($A1057="","",TRIM(IF(ISERROR(FIND(",",$C1057)),$C1057,LEFT($C1057,FIND(",",$C1057)-1))))</f>
        <v/>
      </c>
      <c r="M1057" s="28">
        <f>IF($H1057="","",DATE(YEAR($H1057),MONTH($H1057),1))</f>
        <v/>
      </c>
      <c r="N1057" s="26">
        <f>IF($H1057="","",TODAY()-$H1057)</f>
        <v/>
      </c>
      <c r="O1057" s="15" t="n"/>
      <c r="P1057" s="15" t="n"/>
      <c r="Q1057" s="15" t="n"/>
      <c r="R1057" s="25" t="n"/>
      <c r="S1057" s="26">
        <f>IF($A1057="","",AND(OR('Assignment Builder'!$B$5="",$B1057='Assignment Builder'!$B$5),OR('Assignment Builder'!$B$6="",ISNUMBER(SEARCH('Assignment Builder'!$B$6,$C1057))),OR('Assignment Builder'!$B$7="",'Assignment Builder'!$B$7=IFERROR(INDEX('Category Dictionary'!$C$5:$C$135,MATCH($L1057,'Category Dictionary'!$D$5:$D$135,0)),"")),OR('Assignment Builder'!$B$8="",$D1057='Assignment Builder'!$B$8),OR('Assignment Builder'!$B$9="",$F1057='Assignment Builder'!$B$9),OR('Assignment Builder'!$B$10="",$O1057='Assignment Builder'!$B$10),OR('Assignment Builder'!$B$11="",$H1057&gt;='Assignment Builder'!$B$11),OR('Assignment Builder'!$B$12="",N($Q1057)&lt;='Assignment Builder'!$B$12)))</f>
        <v/>
      </c>
      <c r="T1057" s="23" t="n"/>
    </row>
    <row r="1058">
      <c r="A1058" s="23" t="n"/>
      <c r="B1058" s="23" t="n"/>
      <c r="C1058" s="24" t="n"/>
      <c r="D1058" s="15" t="n"/>
      <c r="E1058" s="23" t="n"/>
      <c r="F1058" s="15" t="n"/>
      <c r="G1058" s="23" t="n"/>
      <c r="H1058" s="25" t="n"/>
      <c r="I1058" s="15" t="n"/>
      <c r="J1058" s="26">
        <f>IF($A1058="","",LEN($C1058)-LEN(SUBSTITUTE($C1058,",",""))+1)</f>
        <v/>
      </c>
      <c r="K1058" s="26">
        <f>IF($A1058="","",SUMPRODUCT(--ISNUMBER(SEARCH('Category Dictionary'!$D$5:$D$135&amp;"",$C1058)),--('Category Dictionary'!$D$5:$D$135&lt;&gt;"")))</f>
        <v/>
      </c>
      <c r="L1058" s="27">
        <f>IF($A1058="","",TRIM(IF(ISERROR(FIND(",",$C1058)),$C1058,LEFT($C1058,FIND(",",$C1058)-1))))</f>
        <v/>
      </c>
      <c r="M1058" s="28">
        <f>IF($H1058="","",DATE(YEAR($H1058),MONTH($H1058),1))</f>
        <v/>
      </c>
      <c r="N1058" s="26">
        <f>IF($H1058="","",TODAY()-$H1058)</f>
        <v/>
      </c>
      <c r="O1058" s="15" t="n"/>
      <c r="P1058" s="15" t="n"/>
      <c r="Q1058" s="15" t="n"/>
      <c r="R1058" s="25" t="n"/>
      <c r="S1058" s="26">
        <f>IF($A1058="","",AND(OR('Assignment Builder'!$B$5="",$B1058='Assignment Builder'!$B$5),OR('Assignment Builder'!$B$6="",ISNUMBER(SEARCH('Assignment Builder'!$B$6,$C1058))),OR('Assignment Builder'!$B$7="",'Assignment Builder'!$B$7=IFERROR(INDEX('Category Dictionary'!$C$5:$C$135,MATCH($L1058,'Category Dictionary'!$D$5:$D$135,0)),"")),OR('Assignment Builder'!$B$8="",$D1058='Assignment Builder'!$B$8),OR('Assignment Builder'!$B$9="",$F1058='Assignment Builder'!$B$9),OR('Assignment Builder'!$B$10="",$O1058='Assignment Builder'!$B$10),OR('Assignment Builder'!$B$11="",$H1058&gt;='Assignment Builder'!$B$11),OR('Assignment Builder'!$B$12="",N($Q1058)&lt;='Assignment Builder'!$B$12)))</f>
        <v/>
      </c>
      <c r="T1058" s="23" t="n"/>
    </row>
    <row r="1059">
      <c r="A1059" s="23" t="n"/>
      <c r="B1059" s="23" t="n"/>
      <c r="C1059" s="24" t="n"/>
      <c r="D1059" s="15" t="n"/>
      <c r="E1059" s="23" t="n"/>
      <c r="F1059" s="15" t="n"/>
      <c r="G1059" s="23" t="n"/>
      <c r="H1059" s="25" t="n"/>
      <c r="I1059" s="15" t="n"/>
      <c r="J1059" s="26">
        <f>IF($A1059="","",LEN($C1059)-LEN(SUBSTITUTE($C1059,",",""))+1)</f>
        <v/>
      </c>
      <c r="K1059" s="26">
        <f>IF($A1059="","",SUMPRODUCT(--ISNUMBER(SEARCH('Category Dictionary'!$D$5:$D$135&amp;"",$C1059)),--('Category Dictionary'!$D$5:$D$135&lt;&gt;"")))</f>
        <v/>
      </c>
      <c r="L1059" s="27">
        <f>IF($A1059="","",TRIM(IF(ISERROR(FIND(",",$C1059)),$C1059,LEFT($C1059,FIND(",",$C1059)-1))))</f>
        <v/>
      </c>
      <c r="M1059" s="28">
        <f>IF($H1059="","",DATE(YEAR($H1059),MONTH($H1059),1))</f>
        <v/>
      </c>
      <c r="N1059" s="26">
        <f>IF($H1059="","",TODAY()-$H1059)</f>
        <v/>
      </c>
      <c r="O1059" s="15" t="n"/>
      <c r="P1059" s="15" t="n"/>
      <c r="Q1059" s="15" t="n"/>
      <c r="R1059" s="25" t="n"/>
      <c r="S1059" s="26">
        <f>IF($A1059="","",AND(OR('Assignment Builder'!$B$5="",$B1059='Assignment Builder'!$B$5),OR('Assignment Builder'!$B$6="",ISNUMBER(SEARCH('Assignment Builder'!$B$6,$C1059))),OR('Assignment Builder'!$B$7="",'Assignment Builder'!$B$7=IFERROR(INDEX('Category Dictionary'!$C$5:$C$135,MATCH($L1059,'Category Dictionary'!$D$5:$D$135,0)),"")),OR('Assignment Builder'!$B$8="",$D1059='Assignment Builder'!$B$8),OR('Assignment Builder'!$B$9="",$F1059='Assignment Builder'!$B$9),OR('Assignment Builder'!$B$10="",$O1059='Assignment Builder'!$B$10),OR('Assignment Builder'!$B$11="",$H1059&gt;='Assignment Builder'!$B$11),OR('Assignment Builder'!$B$12="",N($Q1059)&lt;='Assignment Builder'!$B$12)))</f>
        <v/>
      </c>
      <c r="T1059" s="23" t="n"/>
    </row>
    <row r="1060">
      <c r="A1060" s="23" t="n"/>
      <c r="B1060" s="23" t="n"/>
      <c r="C1060" s="24" t="n"/>
      <c r="D1060" s="15" t="n"/>
      <c r="E1060" s="23" t="n"/>
      <c r="F1060" s="15" t="n"/>
      <c r="G1060" s="23" t="n"/>
      <c r="H1060" s="25" t="n"/>
      <c r="I1060" s="15" t="n"/>
      <c r="J1060" s="26">
        <f>IF($A1060="","",LEN($C1060)-LEN(SUBSTITUTE($C1060,",",""))+1)</f>
        <v/>
      </c>
      <c r="K1060" s="26">
        <f>IF($A1060="","",SUMPRODUCT(--ISNUMBER(SEARCH('Category Dictionary'!$D$5:$D$135&amp;"",$C1060)),--('Category Dictionary'!$D$5:$D$135&lt;&gt;"")))</f>
        <v/>
      </c>
      <c r="L1060" s="27">
        <f>IF($A1060="","",TRIM(IF(ISERROR(FIND(",",$C1060)),$C1060,LEFT($C1060,FIND(",",$C1060)-1))))</f>
        <v/>
      </c>
      <c r="M1060" s="28">
        <f>IF($H1060="","",DATE(YEAR($H1060),MONTH($H1060),1))</f>
        <v/>
      </c>
      <c r="N1060" s="26">
        <f>IF($H1060="","",TODAY()-$H1060)</f>
        <v/>
      </c>
      <c r="O1060" s="15" t="n"/>
      <c r="P1060" s="15" t="n"/>
      <c r="Q1060" s="15" t="n"/>
      <c r="R1060" s="25" t="n"/>
      <c r="S1060" s="26">
        <f>IF($A1060="","",AND(OR('Assignment Builder'!$B$5="",$B1060='Assignment Builder'!$B$5),OR('Assignment Builder'!$B$6="",ISNUMBER(SEARCH('Assignment Builder'!$B$6,$C1060))),OR('Assignment Builder'!$B$7="",'Assignment Builder'!$B$7=IFERROR(INDEX('Category Dictionary'!$C$5:$C$135,MATCH($L1060,'Category Dictionary'!$D$5:$D$135,0)),"")),OR('Assignment Builder'!$B$8="",$D1060='Assignment Builder'!$B$8),OR('Assignment Builder'!$B$9="",$F1060='Assignment Builder'!$B$9),OR('Assignment Builder'!$B$10="",$O1060='Assignment Builder'!$B$10),OR('Assignment Builder'!$B$11="",$H1060&gt;='Assignment Builder'!$B$11),OR('Assignment Builder'!$B$12="",N($Q1060)&lt;='Assignment Builder'!$B$12)))</f>
        <v/>
      </c>
      <c r="T1060" s="23" t="n"/>
    </row>
    <row r="1061">
      <c r="A1061" s="23" t="n"/>
      <c r="B1061" s="23" t="n"/>
      <c r="C1061" s="24" t="n"/>
      <c r="D1061" s="15" t="n"/>
      <c r="E1061" s="23" t="n"/>
      <c r="F1061" s="15" t="n"/>
      <c r="G1061" s="23" t="n"/>
      <c r="H1061" s="25" t="n"/>
      <c r="I1061" s="15" t="n"/>
      <c r="J1061" s="26">
        <f>IF($A1061="","",LEN($C1061)-LEN(SUBSTITUTE($C1061,",",""))+1)</f>
        <v/>
      </c>
      <c r="K1061" s="26">
        <f>IF($A1061="","",SUMPRODUCT(--ISNUMBER(SEARCH('Category Dictionary'!$D$5:$D$135&amp;"",$C1061)),--('Category Dictionary'!$D$5:$D$135&lt;&gt;"")))</f>
        <v/>
      </c>
      <c r="L1061" s="27">
        <f>IF($A1061="","",TRIM(IF(ISERROR(FIND(",",$C1061)),$C1061,LEFT($C1061,FIND(",",$C1061)-1))))</f>
        <v/>
      </c>
      <c r="M1061" s="28">
        <f>IF($H1061="","",DATE(YEAR($H1061),MONTH($H1061),1))</f>
        <v/>
      </c>
      <c r="N1061" s="26">
        <f>IF($H1061="","",TODAY()-$H1061)</f>
        <v/>
      </c>
      <c r="O1061" s="15" t="n"/>
      <c r="P1061" s="15" t="n"/>
      <c r="Q1061" s="15" t="n"/>
      <c r="R1061" s="25" t="n"/>
      <c r="S1061" s="26">
        <f>IF($A1061="","",AND(OR('Assignment Builder'!$B$5="",$B1061='Assignment Builder'!$B$5),OR('Assignment Builder'!$B$6="",ISNUMBER(SEARCH('Assignment Builder'!$B$6,$C1061))),OR('Assignment Builder'!$B$7="",'Assignment Builder'!$B$7=IFERROR(INDEX('Category Dictionary'!$C$5:$C$135,MATCH($L1061,'Category Dictionary'!$D$5:$D$135,0)),"")),OR('Assignment Builder'!$B$8="",$D1061='Assignment Builder'!$B$8),OR('Assignment Builder'!$B$9="",$F1061='Assignment Builder'!$B$9),OR('Assignment Builder'!$B$10="",$O1061='Assignment Builder'!$B$10),OR('Assignment Builder'!$B$11="",$H1061&gt;='Assignment Builder'!$B$11),OR('Assignment Builder'!$B$12="",N($Q1061)&lt;='Assignment Builder'!$B$12)))</f>
        <v/>
      </c>
      <c r="T1061" s="23" t="n"/>
    </row>
    <row r="1062">
      <c r="A1062" s="23" t="n"/>
      <c r="B1062" s="23" t="n"/>
      <c r="C1062" s="24" t="n"/>
      <c r="D1062" s="15" t="n"/>
      <c r="E1062" s="23" t="n"/>
      <c r="F1062" s="15" t="n"/>
      <c r="G1062" s="23" t="n"/>
      <c r="H1062" s="25" t="n"/>
      <c r="I1062" s="15" t="n"/>
      <c r="J1062" s="26">
        <f>IF($A1062="","",LEN($C1062)-LEN(SUBSTITUTE($C1062,",",""))+1)</f>
        <v/>
      </c>
      <c r="K1062" s="26">
        <f>IF($A1062="","",SUMPRODUCT(--ISNUMBER(SEARCH('Category Dictionary'!$D$5:$D$135&amp;"",$C1062)),--('Category Dictionary'!$D$5:$D$135&lt;&gt;"")))</f>
        <v/>
      </c>
      <c r="L1062" s="27">
        <f>IF($A1062="","",TRIM(IF(ISERROR(FIND(",",$C1062)),$C1062,LEFT($C1062,FIND(",",$C1062)-1))))</f>
        <v/>
      </c>
      <c r="M1062" s="28">
        <f>IF($H1062="","",DATE(YEAR($H1062),MONTH($H1062),1))</f>
        <v/>
      </c>
      <c r="N1062" s="26">
        <f>IF($H1062="","",TODAY()-$H1062)</f>
        <v/>
      </c>
      <c r="O1062" s="15" t="n"/>
      <c r="P1062" s="15" t="n"/>
      <c r="Q1062" s="15" t="n"/>
      <c r="R1062" s="25" t="n"/>
      <c r="S1062" s="26">
        <f>IF($A1062="","",AND(OR('Assignment Builder'!$B$5="",$B1062='Assignment Builder'!$B$5),OR('Assignment Builder'!$B$6="",ISNUMBER(SEARCH('Assignment Builder'!$B$6,$C1062))),OR('Assignment Builder'!$B$7="",'Assignment Builder'!$B$7=IFERROR(INDEX('Category Dictionary'!$C$5:$C$135,MATCH($L1062,'Category Dictionary'!$D$5:$D$135,0)),"")),OR('Assignment Builder'!$B$8="",$D1062='Assignment Builder'!$B$8),OR('Assignment Builder'!$B$9="",$F1062='Assignment Builder'!$B$9),OR('Assignment Builder'!$B$10="",$O1062='Assignment Builder'!$B$10),OR('Assignment Builder'!$B$11="",$H1062&gt;='Assignment Builder'!$B$11),OR('Assignment Builder'!$B$12="",N($Q1062)&lt;='Assignment Builder'!$B$12)))</f>
        <v/>
      </c>
      <c r="T1062" s="23" t="n"/>
    </row>
    <row r="1063">
      <c r="A1063" s="23" t="n"/>
      <c r="B1063" s="23" t="n"/>
      <c r="C1063" s="24" t="n"/>
      <c r="D1063" s="15" t="n"/>
      <c r="E1063" s="23" t="n"/>
      <c r="F1063" s="15" t="n"/>
      <c r="G1063" s="23" t="n"/>
      <c r="H1063" s="25" t="n"/>
      <c r="I1063" s="15" t="n"/>
      <c r="J1063" s="26">
        <f>IF($A1063="","",LEN($C1063)-LEN(SUBSTITUTE($C1063,",",""))+1)</f>
        <v/>
      </c>
      <c r="K1063" s="26">
        <f>IF($A1063="","",SUMPRODUCT(--ISNUMBER(SEARCH('Category Dictionary'!$D$5:$D$135&amp;"",$C1063)),--('Category Dictionary'!$D$5:$D$135&lt;&gt;"")))</f>
        <v/>
      </c>
      <c r="L1063" s="27">
        <f>IF($A1063="","",TRIM(IF(ISERROR(FIND(",",$C1063)),$C1063,LEFT($C1063,FIND(",",$C1063)-1))))</f>
        <v/>
      </c>
      <c r="M1063" s="28">
        <f>IF($H1063="","",DATE(YEAR($H1063),MONTH($H1063),1))</f>
        <v/>
      </c>
      <c r="N1063" s="26">
        <f>IF($H1063="","",TODAY()-$H1063)</f>
        <v/>
      </c>
      <c r="O1063" s="15" t="n"/>
      <c r="P1063" s="15" t="n"/>
      <c r="Q1063" s="15" t="n"/>
      <c r="R1063" s="25" t="n"/>
      <c r="S1063" s="26">
        <f>IF($A1063="","",AND(OR('Assignment Builder'!$B$5="",$B1063='Assignment Builder'!$B$5),OR('Assignment Builder'!$B$6="",ISNUMBER(SEARCH('Assignment Builder'!$B$6,$C1063))),OR('Assignment Builder'!$B$7="",'Assignment Builder'!$B$7=IFERROR(INDEX('Category Dictionary'!$C$5:$C$135,MATCH($L1063,'Category Dictionary'!$D$5:$D$135,0)),"")),OR('Assignment Builder'!$B$8="",$D1063='Assignment Builder'!$B$8),OR('Assignment Builder'!$B$9="",$F1063='Assignment Builder'!$B$9),OR('Assignment Builder'!$B$10="",$O1063='Assignment Builder'!$B$10),OR('Assignment Builder'!$B$11="",$H1063&gt;='Assignment Builder'!$B$11),OR('Assignment Builder'!$B$12="",N($Q1063)&lt;='Assignment Builder'!$B$12)))</f>
        <v/>
      </c>
      <c r="T1063" s="23" t="n"/>
    </row>
    <row r="1064">
      <c r="A1064" s="23" t="n"/>
      <c r="B1064" s="23" t="n"/>
      <c r="C1064" s="24" t="n"/>
      <c r="D1064" s="15" t="n"/>
      <c r="E1064" s="23" t="n"/>
      <c r="F1064" s="15" t="n"/>
      <c r="G1064" s="23" t="n"/>
      <c r="H1064" s="25" t="n"/>
      <c r="I1064" s="15" t="n"/>
      <c r="J1064" s="26">
        <f>IF($A1064="","",LEN($C1064)-LEN(SUBSTITUTE($C1064,",",""))+1)</f>
        <v/>
      </c>
      <c r="K1064" s="26">
        <f>IF($A1064="","",SUMPRODUCT(--ISNUMBER(SEARCH('Category Dictionary'!$D$5:$D$135&amp;"",$C1064)),--('Category Dictionary'!$D$5:$D$135&lt;&gt;"")))</f>
        <v/>
      </c>
      <c r="L1064" s="27">
        <f>IF($A1064="","",TRIM(IF(ISERROR(FIND(",",$C1064)),$C1064,LEFT($C1064,FIND(",",$C1064)-1))))</f>
        <v/>
      </c>
      <c r="M1064" s="28">
        <f>IF($H1064="","",DATE(YEAR($H1064),MONTH($H1064),1))</f>
        <v/>
      </c>
      <c r="N1064" s="26">
        <f>IF($H1064="","",TODAY()-$H1064)</f>
        <v/>
      </c>
      <c r="O1064" s="15" t="n"/>
      <c r="P1064" s="15" t="n"/>
      <c r="Q1064" s="15" t="n"/>
      <c r="R1064" s="25" t="n"/>
      <c r="S1064" s="26">
        <f>IF($A1064="","",AND(OR('Assignment Builder'!$B$5="",$B1064='Assignment Builder'!$B$5),OR('Assignment Builder'!$B$6="",ISNUMBER(SEARCH('Assignment Builder'!$B$6,$C1064))),OR('Assignment Builder'!$B$7="",'Assignment Builder'!$B$7=IFERROR(INDEX('Category Dictionary'!$C$5:$C$135,MATCH($L1064,'Category Dictionary'!$D$5:$D$135,0)),"")),OR('Assignment Builder'!$B$8="",$D1064='Assignment Builder'!$B$8),OR('Assignment Builder'!$B$9="",$F1064='Assignment Builder'!$B$9),OR('Assignment Builder'!$B$10="",$O1064='Assignment Builder'!$B$10),OR('Assignment Builder'!$B$11="",$H1064&gt;='Assignment Builder'!$B$11),OR('Assignment Builder'!$B$12="",N($Q1064)&lt;='Assignment Builder'!$B$12)))</f>
        <v/>
      </c>
      <c r="T1064" s="23" t="n"/>
    </row>
    <row r="1065">
      <c r="A1065" s="23" t="n"/>
      <c r="B1065" s="23" t="n"/>
      <c r="C1065" s="24" t="n"/>
      <c r="D1065" s="15" t="n"/>
      <c r="E1065" s="23" t="n"/>
      <c r="F1065" s="15" t="n"/>
      <c r="G1065" s="23" t="n"/>
      <c r="H1065" s="25" t="n"/>
      <c r="I1065" s="15" t="n"/>
      <c r="J1065" s="26">
        <f>IF($A1065="","",LEN($C1065)-LEN(SUBSTITUTE($C1065,",",""))+1)</f>
        <v/>
      </c>
      <c r="K1065" s="26">
        <f>IF($A1065="","",SUMPRODUCT(--ISNUMBER(SEARCH('Category Dictionary'!$D$5:$D$135&amp;"",$C1065)),--('Category Dictionary'!$D$5:$D$135&lt;&gt;"")))</f>
        <v/>
      </c>
      <c r="L1065" s="27">
        <f>IF($A1065="","",TRIM(IF(ISERROR(FIND(",",$C1065)),$C1065,LEFT($C1065,FIND(",",$C1065)-1))))</f>
        <v/>
      </c>
      <c r="M1065" s="28">
        <f>IF($H1065="","",DATE(YEAR($H1065),MONTH($H1065),1))</f>
        <v/>
      </c>
      <c r="N1065" s="26">
        <f>IF($H1065="","",TODAY()-$H1065)</f>
        <v/>
      </c>
      <c r="O1065" s="15" t="n"/>
      <c r="P1065" s="15" t="n"/>
      <c r="Q1065" s="15" t="n"/>
      <c r="R1065" s="25" t="n"/>
      <c r="S1065" s="26">
        <f>IF($A1065="","",AND(OR('Assignment Builder'!$B$5="",$B1065='Assignment Builder'!$B$5),OR('Assignment Builder'!$B$6="",ISNUMBER(SEARCH('Assignment Builder'!$B$6,$C1065))),OR('Assignment Builder'!$B$7="",'Assignment Builder'!$B$7=IFERROR(INDEX('Category Dictionary'!$C$5:$C$135,MATCH($L1065,'Category Dictionary'!$D$5:$D$135,0)),"")),OR('Assignment Builder'!$B$8="",$D1065='Assignment Builder'!$B$8),OR('Assignment Builder'!$B$9="",$F1065='Assignment Builder'!$B$9),OR('Assignment Builder'!$B$10="",$O1065='Assignment Builder'!$B$10),OR('Assignment Builder'!$B$11="",$H1065&gt;='Assignment Builder'!$B$11),OR('Assignment Builder'!$B$12="",N($Q1065)&lt;='Assignment Builder'!$B$12)))</f>
        <v/>
      </c>
      <c r="T1065" s="23" t="n"/>
    </row>
    <row r="1066">
      <c r="A1066" s="23" t="n"/>
      <c r="B1066" s="23" t="n"/>
      <c r="C1066" s="24" t="n"/>
      <c r="D1066" s="15" t="n"/>
      <c r="E1066" s="23" t="n"/>
      <c r="F1066" s="15" t="n"/>
      <c r="G1066" s="23" t="n"/>
      <c r="H1066" s="25" t="n"/>
      <c r="I1066" s="15" t="n"/>
      <c r="J1066" s="26">
        <f>IF($A1066="","",LEN($C1066)-LEN(SUBSTITUTE($C1066,",",""))+1)</f>
        <v/>
      </c>
      <c r="K1066" s="26">
        <f>IF($A1066="","",SUMPRODUCT(--ISNUMBER(SEARCH('Category Dictionary'!$D$5:$D$135&amp;"",$C1066)),--('Category Dictionary'!$D$5:$D$135&lt;&gt;"")))</f>
        <v/>
      </c>
      <c r="L1066" s="27">
        <f>IF($A1066="","",TRIM(IF(ISERROR(FIND(",",$C1066)),$C1066,LEFT($C1066,FIND(",",$C1066)-1))))</f>
        <v/>
      </c>
      <c r="M1066" s="28">
        <f>IF($H1066="","",DATE(YEAR($H1066),MONTH($H1066),1))</f>
        <v/>
      </c>
      <c r="N1066" s="26">
        <f>IF($H1066="","",TODAY()-$H1066)</f>
        <v/>
      </c>
      <c r="O1066" s="15" t="n"/>
      <c r="P1066" s="15" t="n"/>
      <c r="Q1066" s="15" t="n"/>
      <c r="R1066" s="25" t="n"/>
      <c r="S1066" s="26">
        <f>IF($A1066="","",AND(OR('Assignment Builder'!$B$5="",$B1066='Assignment Builder'!$B$5),OR('Assignment Builder'!$B$6="",ISNUMBER(SEARCH('Assignment Builder'!$B$6,$C1066))),OR('Assignment Builder'!$B$7="",'Assignment Builder'!$B$7=IFERROR(INDEX('Category Dictionary'!$C$5:$C$135,MATCH($L1066,'Category Dictionary'!$D$5:$D$135,0)),"")),OR('Assignment Builder'!$B$8="",$D1066='Assignment Builder'!$B$8),OR('Assignment Builder'!$B$9="",$F1066='Assignment Builder'!$B$9),OR('Assignment Builder'!$B$10="",$O1066='Assignment Builder'!$B$10),OR('Assignment Builder'!$B$11="",$H1066&gt;='Assignment Builder'!$B$11),OR('Assignment Builder'!$B$12="",N($Q1066)&lt;='Assignment Builder'!$B$12)))</f>
        <v/>
      </c>
      <c r="T1066" s="23" t="n"/>
    </row>
    <row r="1067">
      <c r="A1067" s="23" t="n"/>
      <c r="B1067" s="23" t="n"/>
      <c r="C1067" s="24" t="n"/>
      <c r="D1067" s="15" t="n"/>
      <c r="E1067" s="23" t="n"/>
      <c r="F1067" s="15" t="n"/>
      <c r="G1067" s="23" t="n"/>
      <c r="H1067" s="25" t="n"/>
      <c r="I1067" s="15" t="n"/>
      <c r="J1067" s="26">
        <f>IF($A1067="","",LEN($C1067)-LEN(SUBSTITUTE($C1067,",",""))+1)</f>
        <v/>
      </c>
      <c r="K1067" s="26">
        <f>IF($A1067="","",SUMPRODUCT(--ISNUMBER(SEARCH('Category Dictionary'!$D$5:$D$135&amp;"",$C1067)),--('Category Dictionary'!$D$5:$D$135&lt;&gt;"")))</f>
        <v/>
      </c>
      <c r="L1067" s="27">
        <f>IF($A1067="","",TRIM(IF(ISERROR(FIND(",",$C1067)),$C1067,LEFT($C1067,FIND(",",$C1067)-1))))</f>
        <v/>
      </c>
      <c r="M1067" s="28">
        <f>IF($H1067="","",DATE(YEAR($H1067),MONTH($H1067),1))</f>
        <v/>
      </c>
      <c r="N1067" s="26">
        <f>IF($H1067="","",TODAY()-$H1067)</f>
        <v/>
      </c>
      <c r="O1067" s="15" t="n"/>
      <c r="P1067" s="15" t="n"/>
      <c r="Q1067" s="15" t="n"/>
      <c r="R1067" s="25" t="n"/>
      <c r="S1067" s="26">
        <f>IF($A1067="","",AND(OR('Assignment Builder'!$B$5="",$B1067='Assignment Builder'!$B$5),OR('Assignment Builder'!$B$6="",ISNUMBER(SEARCH('Assignment Builder'!$B$6,$C1067))),OR('Assignment Builder'!$B$7="",'Assignment Builder'!$B$7=IFERROR(INDEX('Category Dictionary'!$C$5:$C$135,MATCH($L1067,'Category Dictionary'!$D$5:$D$135,0)),"")),OR('Assignment Builder'!$B$8="",$D1067='Assignment Builder'!$B$8),OR('Assignment Builder'!$B$9="",$F1067='Assignment Builder'!$B$9),OR('Assignment Builder'!$B$10="",$O1067='Assignment Builder'!$B$10),OR('Assignment Builder'!$B$11="",$H1067&gt;='Assignment Builder'!$B$11),OR('Assignment Builder'!$B$12="",N($Q1067)&lt;='Assignment Builder'!$B$12)))</f>
        <v/>
      </c>
      <c r="T1067" s="23" t="n"/>
    </row>
    <row r="1068">
      <c r="A1068" s="23" t="n"/>
      <c r="B1068" s="23" t="n"/>
      <c r="C1068" s="24" t="n"/>
      <c r="D1068" s="15" t="n"/>
      <c r="E1068" s="23" t="n"/>
      <c r="F1068" s="15" t="n"/>
      <c r="G1068" s="23" t="n"/>
      <c r="H1068" s="25" t="n"/>
      <c r="I1068" s="15" t="n"/>
      <c r="J1068" s="26">
        <f>IF($A1068="","",LEN($C1068)-LEN(SUBSTITUTE($C1068,",",""))+1)</f>
        <v/>
      </c>
      <c r="K1068" s="26">
        <f>IF($A1068="","",SUMPRODUCT(--ISNUMBER(SEARCH('Category Dictionary'!$D$5:$D$135&amp;"",$C1068)),--('Category Dictionary'!$D$5:$D$135&lt;&gt;"")))</f>
        <v/>
      </c>
      <c r="L1068" s="27">
        <f>IF($A1068="","",TRIM(IF(ISERROR(FIND(",",$C1068)),$C1068,LEFT($C1068,FIND(",",$C1068)-1))))</f>
        <v/>
      </c>
      <c r="M1068" s="28">
        <f>IF($H1068="","",DATE(YEAR($H1068),MONTH($H1068),1))</f>
        <v/>
      </c>
      <c r="N1068" s="26">
        <f>IF($H1068="","",TODAY()-$H1068)</f>
        <v/>
      </c>
      <c r="O1068" s="15" t="n"/>
      <c r="P1068" s="15" t="n"/>
      <c r="Q1068" s="15" t="n"/>
      <c r="R1068" s="25" t="n"/>
      <c r="S1068" s="26">
        <f>IF($A1068="","",AND(OR('Assignment Builder'!$B$5="",$B1068='Assignment Builder'!$B$5),OR('Assignment Builder'!$B$6="",ISNUMBER(SEARCH('Assignment Builder'!$B$6,$C1068))),OR('Assignment Builder'!$B$7="",'Assignment Builder'!$B$7=IFERROR(INDEX('Category Dictionary'!$C$5:$C$135,MATCH($L1068,'Category Dictionary'!$D$5:$D$135,0)),"")),OR('Assignment Builder'!$B$8="",$D1068='Assignment Builder'!$B$8),OR('Assignment Builder'!$B$9="",$F1068='Assignment Builder'!$B$9),OR('Assignment Builder'!$B$10="",$O1068='Assignment Builder'!$B$10),OR('Assignment Builder'!$B$11="",$H1068&gt;='Assignment Builder'!$B$11),OR('Assignment Builder'!$B$12="",N($Q1068)&lt;='Assignment Builder'!$B$12)))</f>
        <v/>
      </c>
      <c r="T1068" s="23" t="n"/>
    </row>
    <row r="1069">
      <c r="A1069" s="23" t="n"/>
      <c r="B1069" s="23" t="n"/>
      <c r="C1069" s="24" t="n"/>
      <c r="D1069" s="15" t="n"/>
      <c r="E1069" s="23" t="n"/>
      <c r="F1069" s="15" t="n"/>
      <c r="G1069" s="23" t="n"/>
      <c r="H1069" s="25" t="n"/>
      <c r="I1069" s="15" t="n"/>
      <c r="J1069" s="26">
        <f>IF($A1069="","",LEN($C1069)-LEN(SUBSTITUTE($C1069,",",""))+1)</f>
        <v/>
      </c>
      <c r="K1069" s="26">
        <f>IF($A1069="","",SUMPRODUCT(--ISNUMBER(SEARCH('Category Dictionary'!$D$5:$D$135&amp;"",$C1069)),--('Category Dictionary'!$D$5:$D$135&lt;&gt;"")))</f>
        <v/>
      </c>
      <c r="L1069" s="27">
        <f>IF($A1069="","",TRIM(IF(ISERROR(FIND(",",$C1069)),$C1069,LEFT($C1069,FIND(",",$C1069)-1))))</f>
        <v/>
      </c>
      <c r="M1069" s="28">
        <f>IF($H1069="","",DATE(YEAR($H1069),MONTH($H1069),1))</f>
        <v/>
      </c>
      <c r="N1069" s="26">
        <f>IF($H1069="","",TODAY()-$H1069)</f>
        <v/>
      </c>
      <c r="O1069" s="15" t="n"/>
      <c r="P1069" s="15" t="n"/>
      <c r="Q1069" s="15" t="n"/>
      <c r="R1069" s="25" t="n"/>
      <c r="S1069" s="26">
        <f>IF($A1069="","",AND(OR('Assignment Builder'!$B$5="",$B1069='Assignment Builder'!$B$5),OR('Assignment Builder'!$B$6="",ISNUMBER(SEARCH('Assignment Builder'!$B$6,$C1069))),OR('Assignment Builder'!$B$7="",'Assignment Builder'!$B$7=IFERROR(INDEX('Category Dictionary'!$C$5:$C$135,MATCH($L1069,'Category Dictionary'!$D$5:$D$135,0)),"")),OR('Assignment Builder'!$B$8="",$D1069='Assignment Builder'!$B$8),OR('Assignment Builder'!$B$9="",$F1069='Assignment Builder'!$B$9),OR('Assignment Builder'!$B$10="",$O1069='Assignment Builder'!$B$10),OR('Assignment Builder'!$B$11="",$H1069&gt;='Assignment Builder'!$B$11),OR('Assignment Builder'!$B$12="",N($Q1069)&lt;='Assignment Builder'!$B$12)))</f>
        <v/>
      </c>
      <c r="T1069" s="23" t="n"/>
    </row>
    <row r="1070">
      <c r="A1070" s="23" t="n"/>
      <c r="B1070" s="23" t="n"/>
      <c r="C1070" s="24" t="n"/>
      <c r="D1070" s="15" t="n"/>
      <c r="E1070" s="23" t="n"/>
      <c r="F1070" s="15" t="n"/>
      <c r="G1070" s="23" t="n"/>
      <c r="H1070" s="25" t="n"/>
      <c r="I1070" s="15" t="n"/>
      <c r="J1070" s="26">
        <f>IF($A1070="","",LEN($C1070)-LEN(SUBSTITUTE($C1070,",",""))+1)</f>
        <v/>
      </c>
      <c r="K1070" s="26">
        <f>IF($A1070="","",SUMPRODUCT(--ISNUMBER(SEARCH('Category Dictionary'!$D$5:$D$135&amp;"",$C1070)),--('Category Dictionary'!$D$5:$D$135&lt;&gt;"")))</f>
        <v/>
      </c>
      <c r="L1070" s="27">
        <f>IF($A1070="","",TRIM(IF(ISERROR(FIND(",",$C1070)),$C1070,LEFT($C1070,FIND(",",$C1070)-1))))</f>
        <v/>
      </c>
      <c r="M1070" s="28">
        <f>IF($H1070="","",DATE(YEAR($H1070),MONTH($H1070),1))</f>
        <v/>
      </c>
      <c r="N1070" s="26">
        <f>IF($H1070="","",TODAY()-$H1070)</f>
        <v/>
      </c>
      <c r="O1070" s="15" t="n"/>
      <c r="P1070" s="15" t="n"/>
      <c r="Q1070" s="15" t="n"/>
      <c r="R1070" s="25" t="n"/>
      <c r="S1070" s="26">
        <f>IF($A1070="","",AND(OR('Assignment Builder'!$B$5="",$B1070='Assignment Builder'!$B$5),OR('Assignment Builder'!$B$6="",ISNUMBER(SEARCH('Assignment Builder'!$B$6,$C1070))),OR('Assignment Builder'!$B$7="",'Assignment Builder'!$B$7=IFERROR(INDEX('Category Dictionary'!$C$5:$C$135,MATCH($L1070,'Category Dictionary'!$D$5:$D$135,0)),"")),OR('Assignment Builder'!$B$8="",$D1070='Assignment Builder'!$B$8),OR('Assignment Builder'!$B$9="",$F1070='Assignment Builder'!$B$9),OR('Assignment Builder'!$B$10="",$O1070='Assignment Builder'!$B$10),OR('Assignment Builder'!$B$11="",$H1070&gt;='Assignment Builder'!$B$11),OR('Assignment Builder'!$B$12="",N($Q1070)&lt;='Assignment Builder'!$B$12)))</f>
        <v/>
      </c>
      <c r="T1070" s="23" t="n"/>
    </row>
    <row r="1071">
      <c r="A1071" s="23" t="n"/>
      <c r="B1071" s="23" t="n"/>
      <c r="C1071" s="24" t="n"/>
      <c r="D1071" s="15" t="n"/>
      <c r="E1071" s="23" t="n"/>
      <c r="F1071" s="15" t="n"/>
      <c r="G1071" s="23" t="n"/>
      <c r="H1071" s="25" t="n"/>
      <c r="I1071" s="15" t="n"/>
      <c r="J1071" s="26">
        <f>IF($A1071="","",LEN($C1071)-LEN(SUBSTITUTE($C1071,",",""))+1)</f>
        <v/>
      </c>
      <c r="K1071" s="26">
        <f>IF($A1071="","",SUMPRODUCT(--ISNUMBER(SEARCH('Category Dictionary'!$D$5:$D$135&amp;"",$C1071)),--('Category Dictionary'!$D$5:$D$135&lt;&gt;"")))</f>
        <v/>
      </c>
      <c r="L1071" s="27">
        <f>IF($A1071="","",TRIM(IF(ISERROR(FIND(",",$C1071)),$C1071,LEFT($C1071,FIND(",",$C1071)-1))))</f>
        <v/>
      </c>
      <c r="M1071" s="28">
        <f>IF($H1071="","",DATE(YEAR($H1071),MONTH($H1071),1))</f>
        <v/>
      </c>
      <c r="N1071" s="26">
        <f>IF($H1071="","",TODAY()-$H1071)</f>
        <v/>
      </c>
      <c r="O1071" s="15" t="n"/>
      <c r="P1071" s="15" t="n"/>
      <c r="Q1071" s="15" t="n"/>
      <c r="R1071" s="25" t="n"/>
      <c r="S1071" s="26">
        <f>IF($A1071="","",AND(OR('Assignment Builder'!$B$5="",$B1071='Assignment Builder'!$B$5),OR('Assignment Builder'!$B$6="",ISNUMBER(SEARCH('Assignment Builder'!$B$6,$C1071))),OR('Assignment Builder'!$B$7="",'Assignment Builder'!$B$7=IFERROR(INDEX('Category Dictionary'!$C$5:$C$135,MATCH($L1071,'Category Dictionary'!$D$5:$D$135,0)),"")),OR('Assignment Builder'!$B$8="",$D1071='Assignment Builder'!$B$8),OR('Assignment Builder'!$B$9="",$F1071='Assignment Builder'!$B$9),OR('Assignment Builder'!$B$10="",$O1071='Assignment Builder'!$B$10),OR('Assignment Builder'!$B$11="",$H1071&gt;='Assignment Builder'!$B$11),OR('Assignment Builder'!$B$12="",N($Q1071)&lt;='Assignment Builder'!$B$12)))</f>
        <v/>
      </c>
      <c r="T1071" s="23" t="n"/>
    </row>
    <row r="1072">
      <c r="A1072" s="23" t="n"/>
      <c r="B1072" s="23" t="n"/>
      <c r="C1072" s="24" t="n"/>
      <c r="D1072" s="15" t="n"/>
      <c r="E1072" s="23" t="n"/>
      <c r="F1072" s="15" t="n"/>
      <c r="G1072" s="23" t="n"/>
      <c r="H1072" s="25" t="n"/>
      <c r="I1072" s="15" t="n"/>
      <c r="J1072" s="26">
        <f>IF($A1072="","",LEN($C1072)-LEN(SUBSTITUTE($C1072,",",""))+1)</f>
        <v/>
      </c>
      <c r="K1072" s="26">
        <f>IF($A1072="","",SUMPRODUCT(--ISNUMBER(SEARCH('Category Dictionary'!$D$5:$D$135&amp;"",$C1072)),--('Category Dictionary'!$D$5:$D$135&lt;&gt;"")))</f>
        <v/>
      </c>
      <c r="L1072" s="27">
        <f>IF($A1072="","",TRIM(IF(ISERROR(FIND(",",$C1072)),$C1072,LEFT($C1072,FIND(",",$C1072)-1))))</f>
        <v/>
      </c>
      <c r="M1072" s="28">
        <f>IF($H1072="","",DATE(YEAR($H1072),MONTH($H1072),1))</f>
        <v/>
      </c>
      <c r="N1072" s="26">
        <f>IF($H1072="","",TODAY()-$H1072)</f>
        <v/>
      </c>
      <c r="O1072" s="15" t="n"/>
      <c r="P1072" s="15" t="n"/>
      <c r="Q1072" s="15" t="n"/>
      <c r="R1072" s="25" t="n"/>
      <c r="S1072" s="26">
        <f>IF($A1072="","",AND(OR('Assignment Builder'!$B$5="",$B1072='Assignment Builder'!$B$5),OR('Assignment Builder'!$B$6="",ISNUMBER(SEARCH('Assignment Builder'!$B$6,$C1072))),OR('Assignment Builder'!$B$7="",'Assignment Builder'!$B$7=IFERROR(INDEX('Category Dictionary'!$C$5:$C$135,MATCH($L1072,'Category Dictionary'!$D$5:$D$135,0)),"")),OR('Assignment Builder'!$B$8="",$D1072='Assignment Builder'!$B$8),OR('Assignment Builder'!$B$9="",$F1072='Assignment Builder'!$B$9),OR('Assignment Builder'!$B$10="",$O1072='Assignment Builder'!$B$10),OR('Assignment Builder'!$B$11="",$H1072&gt;='Assignment Builder'!$B$11),OR('Assignment Builder'!$B$12="",N($Q1072)&lt;='Assignment Builder'!$B$12)))</f>
        <v/>
      </c>
      <c r="T1072" s="23" t="n"/>
    </row>
    <row r="1073">
      <c r="A1073" s="23" t="n"/>
      <c r="B1073" s="23" t="n"/>
      <c r="C1073" s="24" t="n"/>
      <c r="D1073" s="15" t="n"/>
      <c r="E1073" s="23" t="n"/>
      <c r="F1073" s="15" t="n"/>
      <c r="G1073" s="23" t="n"/>
      <c r="H1073" s="25" t="n"/>
      <c r="I1073" s="15" t="n"/>
      <c r="J1073" s="26">
        <f>IF($A1073="","",LEN($C1073)-LEN(SUBSTITUTE($C1073,",",""))+1)</f>
        <v/>
      </c>
      <c r="K1073" s="26">
        <f>IF($A1073="","",SUMPRODUCT(--ISNUMBER(SEARCH('Category Dictionary'!$D$5:$D$135&amp;"",$C1073)),--('Category Dictionary'!$D$5:$D$135&lt;&gt;"")))</f>
        <v/>
      </c>
      <c r="L1073" s="27">
        <f>IF($A1073="","",TRIM(IF(ISERROR(FIND(",",$C1073)),$C1073,LEFT($C1073,FIND(",",$C1073)-1))))</f>
        <v/>
      </c>
      <c r="M1073" s="28">
        <f>IF($H1073="","",DATE(YEAR($H1073),MONTH($H1073),1))</f>
        <v/>
      </c>
      <c r="N1073" s="26">
        <f>IF($H1073="","",TODAY()-$H1073)</f>
        <v/>
      </c>
      <c r="O1073" s="15" t="n"/>
      <c r="P1073" s="15" t="n"/>
      <c r="Q1073" s="15" t="n"/>
      <c r="R1073" s="25" t="n"/>
      <c r="S1073" s="26">
        <f>IF($A1073="","",AND(OR('Assignment Builder'!$B$5="",$B1073='Assignment Builder'!$B$5),OR('Assignment Builder'!$B$6="",ISNUMBER(SEARCH('Assignment Builder'!$B$6,$C1073))),OR('Assignment Builder'!$B$7="",'Assignment Builder'!$B$7=IFERROR(INDEX('Category Dictionary'!$C$5:$C$135,MATCH($L1073,'Category Dictionary'!$D$5:$D$135,0)),"")),OR('Assignment Builder'!$B$8="",$D1073='Assignment Builder'!$B$8),OR('Assignment Builder'!$B$9="",$F1073='Assignment Builder'!$B$9),OR('Assignment Builder'!$B$10="",$O1073='Assignment Builder'!$B$10),OR('Assignment Builder'!$B$11="",$H1073&gt;='Assignment Builder'!$B$11),OR('Assignment Builder'!$B$12="",N($Q1073)&lt;='Assignment Builder'!$B$12)))</f>
        <v/>
      </c>
      <c r="T1073" s="23" t="n"/>
    </row>
    <row r="1074">
      <c r="A1074" s="23" t="n"/>
      <c r="B1074" s="23" t="n"/>
      <c r="C1074" s="24" t="n"/>
      <c r="D1074" s="15" t="n"/>
      <c r="E1074" s="23" t="n"/>
      <c r="F1074" s="15" t="n"/>
      <c r="G1074" s="23" t="n"/>
      <c r="H1074" s="25" t="n"/>
      <c r="I1074" s="15" t="n"/>
      <c r="J1074" s="26">
        <f>IF($A1074="","",LEN($C1074)-LEN(SUBSTITUTE($C1074,",",""))+1)</f>
        <v/>
      </c>
      <c r="K1074" s="26">
        <f>IF($A1074="","",SUMPRODUCT(--ISNUMBER(SEARCH('Category Dictionary'!$D$5:$D$135&amp;"",$C1074)),--('Category Dictionary'!$D$5:$D$135&lt;&gt;"")))</f>
        <v/>
      </c>
      <c r="L1074" s="27">
        <f>IF($A1074="","",TRIM(IF(ISERROR(FIND(",",$C1074)),$C1074,LEFT($C1074,FIND(",",$C1074)-1))))</f>
        <v/>
      </c>
      <c r="M1074" s="28">
        <f>IF($H1074="","",DATE(YEAR($H1074),MONTH($H1074),1))</f>
        <v/>
      </c>
      <c r="N1074" s="26">
        <f>IF($H1074="","",TODAY()-$H1074)</f>
        <v/>
      </c>
      <c r="O1074" s="15" t="n"/>
      <c r="P1074" s="15" t="n"/>
      <c r="Q1074" s="15" t="n"/>
      <c r="R1074" s="25" t="n"/>
      <c r="S1074" s="26">
        <f>IF($A1074="","",AND(OR('Assignment Builder'!$B$5="",$B1074='Assignment Builder'!$B$5),OR('Assignment Builder'!$B$6="",ISNUMBER(SEARCH('Assignment Builder'!$B$6,$C1074))),OR('Assignment Builder'!$B$7="",'Assignment Builder'!$B$7=IFERROR(INDEX('Category Dictionary'!$C$5:$C$135,MATCH($L1074,'Category Dictionary'!$D$5:$D$135,0)),"")),OR('Assignment Builder'!$B$8="",$D1074='Assignment Builder'!$B$8),OR('Assignment Builder'!$B$9="",$F1074='Assignment Builder'!$B$9),OR('Assignment Builder'!$B$10="",$O1074='Assignment Builder'!$B$10),OR('Assignment Builder'!$B$11="",$H1074&gt;='Assignment Builder'!$B$11),OR('Assignment Builder'!$B$12="",N($Q1074)&lt;='Assignment Builder'!$B$12)))</f>
        <v/>
      </c>
      <c r="T1074" s="23" t="n"/>
    </row>
    <row r="1075">
      <c r="A1075" s="23" t="n"/>
      <c r="B1075" s="23" t="n"/>
      <c r="C1075" s="24" t="n"/>
      <c r="D1075" s="15" t="n"/>
      <c r="E1075" s="23" t="n"/>
      <c r="F1075" s="15" t="n"/>
      <c r="G1075" s="23" t="n"/>
      <c r="H1075" s="25" t="n"/>
      <c r="I1075" s="15" t="n"/>
      <c r="J1075" s="26">
        <f>IF($A1075="","",LEN($C1075)-LEN(SUBSTITUTE($C1075,",",""))+1)</f>
        <v/>
      </c>
      <c r="K1075" s="26">
        <f>IF($A1075="","",SUMPRODUCT(--ISNUMBER(SEARCH('Category Dictionary'!$D$5:$D$135&amp;"",$C1075)),--('Category Dictionary'!$D$5:$D$135&lt;&gt;"")))</f>
        <v/>
      </c>
      <c r="L1075" s="27">
        <f>IF($A1075="","",TRIM(IF(ISERROR(FIND(",",$C1075)),$C1075,LEFT($C1075,FIND(",",$C1075)-1))))</f>
        <v/>
      </c>
      <c r="M1075" s="28">
        <f>IF($H1075="","",DATE(YEAR($H1075),MONTH($H1075),1))</f>
        <v/>
      </c>
      <c r="N1075" s="26">
        <f>IF($H1075="","",TODAY()-$H1075)</f>
        <v/>
      </c>
      <c r="O1075" s="15" t="n"/>
      <c r="P1075" s="15" t="n"/>
      <c r="Q1075" s="15" t="n"/>
      <c r="R1075" s="25" t="n"/>
      <c r="S1075" s="26">
        <f>IF($A1075="","",AND(OR('Assignment Builder'!$B$5="",$B1075='Assignment Builder'!$B$5),OR('Assignment Builder'!$B$6="",ISNUMBER(SEARCH('Assignment Builder'!$B$6,$C1075))),OR('Assignment Builder'!$B$7="",'Assignment Builder'!$B$7=IFERROR(INDEX('Category Dictionary'!$C$5:$C$135,MATCH($L1075,'Category Dictionary'!$D$5:$D$135,0)),"")),OR('Assignment Builder'!$B$8="",$D1075='Assignment Builder'!$B$8),OR('Assignment Builder'!$B$9="",$F1075='Assignment Builder'!$B$9),OR('Assignment Builder'!$B$10="",$O1075='Assignment Builder'!$B$10),OR('Assignment Builder'!$B$11="",$H1075&gt;='Assignment Builder'!$B$11),OR('Assignment Builder'!$B$12="",N($Q1075)&lt;='Assignment Builder'!$B$12)))</f>
        <v/>
      </c>
      <c r="T1075" s="23" t="n"/>
    </row>
    <row r="1076">
      <c r="A1076" s="23" t="n"/>
      <c r="B1076" s="23" t="n"/>
      <c r="C1076" s="24" t="n"/>
      <c r="D1076" s="15" t="n"/>
      <c r="E1076" s="23" t="n"/>
      <c r="F1076" s="15" t="n"/>
      <c r="G1076" s="23" t="n"/>
      <c r="H1076" s="25" t="n"/>
      <c r="I1076" s="15" t="n"/>
      <c r="J1076" s="26">
        <f>IF($A1076="","",LEN($C1076)-LEN(SUBSTITUTE($C1076,",",""))+1)</f>
        <v/>
      </c>
      <c r="K1076" s="26">
        <f>IF($A1076="","",SUMPRODUCT(--ISNUMBER(SEARCH('Category Dictionary'!$D$5:$D$135&amp;"",$C1076)),--('Category Dictionary'!$D$5:$D$135&lt;&gt;"")))</f>
        <v/>
      </c>
      <c r="L1076" s="27">
        <f>IF($A1076="","",TRIM(IF(ISERROR(FIND(",",$C1076)),$C1076,LEFT($C1076,FIND(",",$C1076)-1))))</f>
        <v/>
      </c>
      <c r="M1076" s="28">
        <f>IF($H1076="","",DATE(YEAR($H1076),MONTH($H1076),1))</f>
        <v/>
      </c>
      <c r="N1076" s="26">
        <f>IF($H1076="","",TODAY()-$H1076)</f>
        <v/>
      </c>
      <c r="O1076" s="15" t="n"/>
      <c r="P1076" s="15" t="n"/>
      <c r="Q1076" s="15" t="n"/>
      <c r="R1076" s="25" t="n"/>
      <c r="S1076" s="26">
        <f>IF($A1076="","",AND(OR('Assignment Builder'!$B$5="",$B1076='Assignment Builder'!$B$5),OR('Assignment Builder'!$B$6="",ISNUMBER(SEARCH('Assignment Builder'!$B$6,$C1076))),OR('Assignment Builder'!$B$7="",'Assignment Builder'!$B$7=IFERROR(INDEX('Category Dictionary'!$C$5:$C$135,MATCH($L1076,'Category Dictionary'!$D$5:$D$135,0)),"")),OR('Assignment Builder'!$B$8="",$D1076='Assignment Builder'!$B$8),OR('Assignment Builder'!$B$9="",$F1076='Assignment Builder'!$B$9),OR('Assignment Builder'!$B$10="",$O1076='Assignment Builder'!$B$10),OR('Assignment Builder'!$B$11="",$H1076&gt;='Assignment Builder'!$B$11),OR('Assignment Builder'!$B$12="",N($Q1076)&lt;='Assignment Builder'!$B$12)))</f>
        <v/>
      </c>
      <c r="T1076" s="23" t="n"/>
    </row>
    <row r="1077">
      <c r="A1077" s="23" t="n"/>
      <c r="B1077" s="23" t="n"/>
      <c r="C1077" s="24" t="n"/>
      <c r="D1077" s="15" t="n"/>
      <c r="E1077" s="23" t="n"/>
      <c r="F1077" s="15" t="n"/>
      <c r="G1077" s="23" t="n"/>
      <c r="H1077" s="25" t="n"/>
      <c r="I1077" s="15" t="n"/>
      <c r="J1077" s="26">
        <f>IF($A1077="","",LEN($C1077)-LEN(SUBSTITUTE($C1077,",",""))+1)</f>
        <v/>
      </c>
      <c r="K1077" s="26">
        <f>IF($A1077="","",SUMPRODUCT(--ISNUMBER(SEARCH('Category Dictionary'!$D$5:$D$135&amp;"",$C1077)),--('Category Dictionary'!$D$5:$D$135&lt;&gt;"")))</f>
        <v/>
      </c>
      <c r="L1077" s="27">
        <f>IF($A1077="","",TRIM(IF(ISERROR(FIND(",",$C1077)),$C1077,LEFT($C1077,FIND(",",$C1077)-1))))</f>
        <v/>
      </c>
      <c r="M1077" s="28">
        <f>IF($H1077="","",DATE(YEAR($H1077),MONTH($H1077),1))</f>
        <v/>
      </c>
      <c r="N1077" s="26">
        <f>IF($H1077="","",TODAY()-$H1077)</f>
        <v/>
      </c>
      <c r="O1077" s="15" t="n"/>
      <c r="P1077" s="15" t="n"/>
      <c r="Q1077" s="15" t="n"/>
      <c r="R1077" s="25" t="n"/>
      <c r="S1077" s="26">
        <f>IF($A1077="","",AND(OR('Assignment Builder'!$B$5="",$B1077='Assignment Builder'!$B$5),OR('Assignment Builder'!$B$6="",ISNUMBER(SEARCH('Assignment Builder'!$B$6,$C1077))),OR('Assignment Builder'!$B$7="",'Assignment Builder'!$B$7=IFERROR(INDEX('Category Dictionary'!$C$5:$C$135,MATCH($L1077,'Category Dictionary'!$D$5:$D$135,0)),"")),OR('Assignment Builder'!$B$8="",$D1077='Assignment Builder'!$B$8),OR('Assignment Builder'!$B$9="",$F1077='Assignment Builder'!$B$9),OR('Assignment Builder'!$B$10="",$O1077='Assignment Builder'!$B$10),OR('Assignment Builder'!$B$11="",$H1077&gt;='Assignment Builder'!$B$11),OR('Assignment Builder'!$B$12="",N($Q1077)&lt;='Assignment Builder'!$B$12)))</f>
        <v/>
      </c>
      <c r="T1077" s="23" t="n"/>
    </row>
    <row r="1078">
      <c r="A1078" s="23" t="n"/>
      <c r="B1078" s="23" t="n"/>
      <c r="C1078" s="24" t="n"/>
      <c r="D1078" s="15" t="n"/>
      <c r="E1078" s="23" t="n"/>
      <c r="F1078" s="15" t="n"/>
      <c r="G1078" s="23" t="n"/>
      <c r="H1078" s="25" t="n"/>
      <c r="I1078" s="15" t="n"/>
      <c r="J1078" s="26">
        <f>IF($A1078="","",LEN($C1078)-LEN(SUBSTITUTE($C1078,",",""))+1)</f>
        <v/>
      </c>
      <c r="K1078" s="26">
        <f>IF($A1078="","",SUMPRODUCT(--ISNUMBER(SEARCH('Category Dictionary'!$D$5:$D$135&amp;"",$C1078)),--('Category Dictionary'!$D$5:$D$135&lt;&gt;"")))</f>
        <v/>
      </c>
      <c r="L1078" s="27">
        <f>IF($A1078="","",TRIM(IF(ISERROR(FIND(",",$C1078)),$C1078,LEFT($C1078,FIND(",",$C1078)-1))))</f>
        <v/>
      </c>
      <c r="M1078" s="28">
        <f>IF($H1078="","",DATE(YEAR($H1078),MONTH($H1078),1))</f>
        <v/>
      </c>
      <c r="N1078" s="26">
        <f>IF($H1078="","",TODAY()-$H1078)</f>
        <v/>
      </c>
      <c r="O1078" s="15" t="n"/>
      <c r="P1078" s="15" t="n"/>
      <c r="Q1078" s="15" t="n"/>
      <c r="R1078" s="25" t="n"/>
      <c r="S1078" s="26">
        <f>IF($A1078="","",AND(OR('Assignment Builder'!$B$5="",$B1078='Assignment Builder'!$B$5),OR('Assignment Builder'!$B$6="",ISNUMBER(SEARCH('Assignment Builder'!$B$6,$C1078))),OR('Assignment Builder'!$B$7="",'Assignment Builder'!$B$7=IFERROR(INDEX('Category Dictionary'!$C$5:$C$135,MATCH($L1078,'Category Dictionary'!$D$5:$D$135,0)),"")),OR('Assignment Builder'!$B$8="",$D1078='Assignment Builder'!$B$8),OR('Assignment Builder'!$B$9="",$F1078='Assignment Builder'!$B$9),OR('Assignment Builder'!$B$10="",$O1078='Assignment Builder'!$B$10),OR('Assignment Builder'!$B$11="",$H1078&gt;='Assignment Builder'!$B$11),OR('Assignment Builder'!$B$12="",N($Q1078)&lt;='Assignment Builder'!$B$12)))</f>
        <v/>
      </c>
      <c r="T1078" s="23" t="n"/>
    </row>
    <row r="1079">
      <c r="A1079" s="23" t="n"/>
      <c r="B1079" s="23" t="n"/>
      <c r="C1079" s="24" t="n"/>
      <c r="D1079" s="15" t="n"/>
      <c r="E1079" s="23" t="n"/>
      <c r="F1079" s="15" t="n"/>
      <c r="G1079" s="23" t="n"/>
      <c r="H1079" s="25" t="n"/>
      <c r="I1079" s="15" t="n"/>
      <c r="J1079" s="26">
        <f>IF($A1079="","",LEN($C1079)-LEN(SUBSTITUTE($C1079,",",""))+1)</f>
        <v/>
      </c>
      <c r="K1079" s="26">
        <f>IF($A1079="","",SUMPRODUCT(--ISNUMBER(SEARCH('Category Dictionary'!$D$5:$D$135&amp;"",$C1079)),--('Category Dictionary'!$D$5:$D$135&lt;&gt;"")))</f>
        <v/>
      </c>
      <c r="L1079" s="27">
        <f>IF($A1079="","",TRIM(IF(ISERROR(FIND(",",$C1079)),$C1079,LEFT($C1079,FIND(",",$C1079)-1))))</f>
        <v/>
      </c>
      <c r="M1079" s="28">
        <f>IF($H1079="","",DATE(YEAR($H1079),MONTH($H1079),1))</f>
        <v/>
      </c>
      <c r="N1079" s="26">
        <f>IF($H1079="","",TODAY()-$H1079)</f>
        <v/>
      </c>
      <c r="O1079" s="15" t="n"/>
      <c r="P1079" s="15" t="n"/>
      <c r="Q1079" s="15" t="n"/>
      <c r="R1079" s="25" t="n"/>
      <c r="S1079" s="26">
        <f>IF($A1079="","",AND(OR('Assignment Builder'!$B$5="",$B1079='Assignment Builder'!$B$5),OR('Assignment Builder'!$B$6="",ISNUMBER(SEARCH('Assignment Builder'!$B$6,$C1079))),OR('Assignment Builder'!$B$7="",'Assignment Builder'!$B$7=IFERROR(INDEX('Category Dictionary'!$C$5:$C$135,MATCH($L1079,'Category Dictionary'!$D$5:$D$135,0)),"")),OR('Assignment Builder'!$B$8="",$D1079='Assignment Builder'!$B$8),OR('Assignment Builder'!$B$9="",$F1079='Assignment Builder'!$B$9),OR('Assignment Builder'!$B$10="",$O1079='Assignment Builder'!$B$10),OR('Assignment Builder'!$B$11="",$H1079&gt;='Assignment Builder'!$B$11),OR('Assignment Builder'!$B$12="",N($Q1079)&lt;='Assignment Builder'!$B$12)))</f>
        <v/>
      </c>
      <c r="T1079" s="23" t="n"/>
    </row>
    <row r="1080">
      <c r="A1080" s="23" t="n"/>
      <c r="B1080" s="23" t="n"/>
      <c r="C1080" s="24" t="n"/>
      <c r="D1080" s="15" t="n"/>
      <c r="E1080" s="23" t="n"/>
      <c r="F1080" s="15" t="n"/>
      <c r="G1080" s="23" t="n"/>
      <c r="H1080" s="25" t="n"/>
      <c r="I1080" s="15" t="n"/>
      <c r="J1080" s="26">
        <f>IF($A1080="","",LEN($C1080)-LEN(SUBSTITUTE($C1080,",",""))+1)</f>
        <v/>
      </c>
      <c r="K1080" s="26">
        <f>IF($A1080="","",SUMPRODUCT(--ISNUMBER(SEARCH('Category Dictionary'!$D$5:$D$135&amp;"",$C1080)),--('Category Dictionary'!$D$5:$D$135&lt;&gt;"")))</f>
        <v/>
      </c>
      <c r="L1080" s="27">
        <f>IF($A1080="","",TRIM(IF(ISERROR(FIND(",",$C1080)),$C1080,LEFT($C1080,FIND(",",$C1080)-1))))</f>
        <v/>
      </c>
      <c r="M1080" s="28">
        <f>IF($H1080="","",DATE(YEAR($H1080),MONTH($H1080),1))</f>
        <v/>
      </c>
      <c r="N1080" s="26">
        <f>IF($H1080="","",TODAY()-$H1080)</f>
        <v/>
      </c>
      <c r="O1080" s="15" t="n"/>
      <c r="P1080" s="15" t="n"/>
      <c r="Q1080" s="15" t="n"/>
      <c r="R1080" s="25" t="n"/>
      <c r="S1080" s="26">
        <f>IF($A1080="","",AND(OR('Assignment Builder'!$B$5="",$B1080='Assignment Builder'!$B$5),OR('Assignment Builder'!$B$6="",ISNUMBER(SEARCH('Assignment Builder'!$B$6,$C1080))),OR('Assignment Builder'!$B$7="",'Assignment Builder'!$B$7=IFERROR(INDEX('Category Dictionary'!$C$5:$C$135,MATCH($L1080,'Category Dictionary'!$D$5:$D$135,0)),"")),OR('Assignment Builder'!$B$8="",$D1080='Assignment Builder'!$B$8),OR('Assignment Builder'!$B$9="",$F1080='Assignment Builder'!$B$9),OR('Assignment Builder'!$B$10="",$O1080='Assignment Builder'!$B$10),OR('Assignment Builder'!$B$11="",$H1080&gt;='Assignment Builder'!$B$11),OR('Assignment Builder'!$B$12="",N($Q1080)&lt;='Assignment Builder'!$B$12)))</f>
        <v/>
      </c>
      <c r="T1080" s="23" t="n"/>
    </row>
    <row r="1081">
      <c r="A1081" s="23" t="n"/>
      <c r="B1081" s="23" t="n"/>
      <c r="C1081" s="24" t="n"/>
      <c r="D1081" s="15" t="n"/>
      <c r="E1081" s="23" t="n"/>
      <c r="F1081" s="15" t="n"/>
      <c r="G1081" s="23" t="n"/>
      <c r="H1081" s="25" t="n"/>
      <c r="I1081" s="15" t="n"/>
      <c r="J1081" s="26">
        <f>IF($A1081="","",LEN($C1081)-LEN(SUBSTITUTE($C1081,",",""))+1)</f>
        <v/>
      </c>
      <c r="K1081" s="26">
        <f>IF($A1081="","",SUMPRODUCT(--ISNUMBER(SEARCH('Category Dictionary'!$D$5:$D$135&amp;"",$C1081)),--('Category Dictionary'!$D$5:$D$135&lt;&gt;"")))</f>
        <v/>
      </c>
      <c r="L1081" s="27">
        <f>IF($A1081="","",TRIM(IF(ISERROR(FIND(",",$C1081)),$C1081,LEFT($C1081,FIND(",",$C1081)-1))))</f>
        <v/>
      </c>
      <c r="M1081" s="28">
        <f>IF($H1081="","",DATE(YEAR($H1081),MONTH($H1081),1))</f>
        <v/>
      </c>
      <c r="N1081" s="26">
        <f>IF($H1081="","",TODAY()-$H1081)</f>
        <v/>
      </c>
      <c r="O1081" s="15" t="n"/>
      <c r="P1081" s="15" t="n"/>
      <c r="Q1081" s="15" t="n"/>
      <c r="R1081" s="25" t="n"/>
      <c r="S1081" s="26">
        <f>IF($A1081="","",AND(OR('Assignment Builder'!$B$5="",$B1081='Assignment Builder'!$B$5),OR('Assignment Builder'!$B$6="",ISNUMBER(SEARCH('Assignment Builder'!$B$6,$C1081))),OR('Assignment Builder'!$B$7="",'Assignment Builder'!$B$7=IFERROR(INDEX('Category Dictionary'!$C$5:$C$135,MATCH($L1081,'Category Dictionary'!$D$5:$D$135,0)),"")),OR('Assignment Builder'!$B$8="",$D1081='Assignment Builder'!$B$8),OR('Assignment Builder'!$B$9="",$F1081='Assignment Builder'!$B$9),OR('Assignment Builder'!$B$10="",$O1081='Assignment Builder'!$B$10),OR('Assignment Builder'!$B$11="",$H1081&gt;='Assignment Builder'!$B$11),OR('Assignment Builder'!$B$12="",N($Q1081)&lt;='Assignment Builder'!$B$12)))</f>
        <v/>
      </c>
      <c r="T1081" s="23" t="n"/>
    </row>
    <row r="1082">
      <c r="A1082" s="23" t="n"/>
      <c r="B1082" s="23" t="n"/>
      <c r="C1082" s="24" t="n"/>
      <c r="D1082" s="15" t="n"/>
      <c r="E1082" s="23" t="n"/>
      <c r="F1082" s="15" t="n"/>
      <c r="G1082" s="23" t="n"/>
      <c r="H1082" s="25" t="n"/>
      <c r="I1082" s="15" t="n"/>
      <c r="J1082" s="26">
        <f>IF($A1082="","",LEN($C1082)-LEN(SUBSTITUTE($C1082,",",""))+1)</f>
        <v/>
      </c>
      <c r="K1082" s="26">
        <f>IF($A1082="","",SUMPRODUCT(--ISNUMBER(SEARCH('Category Dictionary'!$D$5:$D$135&amp;"",$C1082)),--('Category Dictionary'!$D$5:$D$135&lt;&gt;"")))</f>
        <v/>
      </c>
      <c r="L1082" s="27">
        <f>IF($A1082="","",TRIM(IF(ISERROR(FIND(",",$C1082)),$C1082,LEFT($C1082,FIND(",",$C1082)-1))))</f>
        <v/>
      </c>
      <c r="M1082" s="28">
        <f>IF($H1082="","",DATE(YEAR($H1082),MONTH($H1082),1))</f>
        <v/>
      </c>
      <c r="N1082" s="26">
        <f>IF($H1082="","",TODAY()-$H1082)</f>
        <v/>
      </c>
      <c r="O1082" s="15" t="n"/>
      <c r="P1082" s="15" t="n"/>
      <c r="Q1082" s="15" t="n"/>
      <c r="R1082" s="25" t="n"/>
      <c r="S1082" s="26">
        <f>IF($A1082="","",AND(OR('Assignment Builder'!$B$5="",$B1082='Assignment Builder'!$B$5),OR('Assignment Builder'!$B$6="",ISNUMBER(SEARCH('Assignment Builder'!$B$6,$C1082))),OR('Assignment Builder'!$B$7="",'Assignment Builder'!$B$7=IFERROR(INDEX('Category Dictionary'!$C$5:$C$135,MATCH($L1082,'Category Dictionary'!$D$5:$D$135,0)),"")),OR('Assignment Builder'!$B$8="",$D1082='Assignment Builder'!$B$8),OR('Assignment Builder'!$B$9="",$F1082='Assignment Builder'!$B$9),OR('Assignment Builder'!$B$10="",$O1082='Assignment Builder'!$B$10),OR('Assignment Builder'!$B$11="",$H1082&gt;='Assignment Builder'!$B$11),OR('Assignment Builder'!$B$12="",N($Q1082)&lt;='Assignment Builder'!$B$12)))</f>
        <v/>
      </c>
      <c r="T1082" s="23" t="n"/>
    </row>
    <row r="1083">
      <c r="A1083" s="23" t="n"/>
      <c r="B1083" s="23" t="n"/>
      <c r="C1083" s="24" t="n"/>
      <c r="D1083" s="15" t="n"/>
      <c r="E1083" s="23" t="n"/>
      <c r="F1083" s="15" t="n"/>
      <c r="G1083" s="23" t="n"/>
      <c r="H1083" s="25" t="n"/>
      <c r="I1083" s="15" t="n"/>
      <c r="J1083" s="26">
        <f>IF($A1083="","",LEN($C1083)-LEN(SUBSTITUTE($C1083,",",""))+1)</f>
        <v/>
      </c>
      <c r="K1083" s="26">
        <f>IF($A1083="","",SUMPRODUCT(--ISNUMBER(SEARCH('Category Dictionary'!$D$5:$D$135&amp;"",$C1083)),--('Category Dictionary'!$D$5:$D$135&lt;&gt;"")))</f>
        <v/>
      </c>
      <c r="L1083" s="27">
        <f>IF($A1083="","",TRIM(IF(ISERROR(FIND(",",$C1083)),$C1083,LEFT($C1083,FIND(",",$C1083)-1))))</f>
        <v/>
      </c>
      <c r="M1083" s="28">
        <f>IF($H1083="","",DATE(YEAR($H1083),MONTH($H1083),1))</f>
        <v/>
      </c>
      <c r="N1083" s="26">
        <f>IF($H1083="","",TODAY()-$H1083)</f>
        <v/>
      </c>
      <c r="O1083" s="15" t="n"/>
      <c r="P1083" s="15" t="n"/>
      <c r="Q1083" s="15" t="n"/>
      <c r="R1083" s="25" t="n"/>
      <c r="S1083" s="26">
        <f>IF($A1083="","",AND(OR('Assignment Builder'!$B$5="",$B1083='Assignment Builder'!$B$5),OR('Assignment Builder'!$B$6="",ISNUMBER(SEARCH('Assignment Builder'!$B$6,$C1083))),OR('Assignment Builder'!$B$7="",'Assignment Builder'!$B$7=IFERROR(INDEX('Category Dictionary'!$C$5:$C$135,MATCH($L1083,'Category Dictionary'!$D$5:$D$135,0)),"")),OR('Assignment Builder'!$B$8="",$D1083='Assignment Builder'!$B$8),OR('Assignment Builder'!$B$9="",$F1083='Assignment Builder'!$B$9),OR('Assignment Builder'!$B$10="",$O1083='Assignment Builder'!$B$10),OR('Assignment Builder'!$B$11="",$H1083&gt;='Assignment Builder'!$B$11),OR('Assignment Builder'!$B$12="",N($Q1083)&lt;='Assignment Builder'!$B$12)))</f>
        <v/>
      </c>
      <c r="T1083" s="23" t="n"/>
    </row>
    <row r="1084">
      <c r="A1084" s="23" t="n"/>
      <c r="B1084" s="23" t="n"/>
      <c r="C1084" s="24" t="n"/>
      <c r="D1084" s="15" t="n"/>
      <c r="E1084" s="23" t="n"/>
      <c r="F1084" s="15" t="n"/>
      <c r="G1084" s="23" t="n"/>
      <c r="H1084" s="25" t="n"/>
      <c r="I1084" s="15" t="n"/>
      <c r="J1084" s="26">
        <f>IF($A1084="","",LEN($C1084)-LEN(SUBSTITUTE($C1084,",",""))+1)</f>
        <v/>
      </c>
      <c r="K1084" s="26">
        <f>IF($A1084="","",SUMPRODUCT(--ISNUMBER(SEARCH('Category Dictionary'!$D$5:$D$135&amp;"",$C1084)),--('Category Dictionary'!$D$5:$D$135&lt;&gt;"")))</f>
        <v/>
      </c>
      <c r="L1084" s="27">
        <f>IF($A1084="","",TRIM(IF(ISERROR(FIND(",",$C1084)),$C1084,LEFT($C1084,FIND(",",$C1084)-1))))</f>
        <v/>
      </c>
      <c r="M1084" s="28">
        <f>IF($H1084="","",DATE(YEAR($H1084),MONTH($H1084),1))</f>
        <v/>
      </c>
      <c r="N1084" s="26">
        <f>IF($H1084="","",TODAY()-$H1084)</f>
        <v/>
      </c>
      <c r="O1084" s="15" t="n"/>
      <c r="P1084" s="15" t="n"/>
      <c r="Q1084" s="15" t="n"/>
      <c r="R1084" s="25" t="n"/>
      <c r="S1084" s="26">
        <f>IF($A1084="","",AND(OR('Assignment Builder'!$B$5="",$B1084='Assignment Builder'!$B$5),OR('Assignment Builder'!$B$6="",ISNUMBER(SEARCH('Assignment Builder'!$B$6,$C1084))),OR('Assignment Builder'!$B$7="",'Assignment Builder'!$B$7=IFERROR(INDEX('Category Dictionary'!$C$5:$C$135,MATCH($L1084,'Category Dictionary'!$D$5:$D$135,0)),"")),OR('Assignment Builder'!$B$8="",$D1084='Assignment Builder'!$B$8),OR('Assignment Builder'!$B$9="",$F1084='Assignment Builder'!$B$9),OR('Assignment Builder'!$B$10="",$O1084='Assignment Builder'!$B$10),OR('Assignment Builder'!$B$11="",$H1084&gt;='Assignment Builder'!$B$11),OR('Assignment Builder'!$B$12="",N($Q1084)&lt;='Assignment Builder'!$B$12)))</f>
        <v/>
      </c>
      <c r="T1084" s="23" t="n"/>
    </row>
    <row r="1085">
      <c r="A1085" s="23" t="n"/>
      <c r="B1085" s="23" t="n"/>
      <c r="C1085" s="24" t="n"/>
      <c r="D1085" s="15" t="n"/>
      <c r="E1085" s="23" t="n"/>
      <c r="F1085" s="15" t="n"/>
      <c r="G1085" s="23" t="n"/>
      <c r="H1085" s="25" t="n"/>
      <c r="I1085" s="15" t="n"/>
      <c r="J1085" s="26">
        <f>IF($A1085="","",LEN($C1085)-LEN(SUBSTITUTE($C1085,",",""))+1)</f>
        <v/>
      </c>
      <c r="K1085" s="26">
        <f>IF($A1085="","",SUMPRODUCT(--ISNUMBER(SEARCH('Category Dictionary'!$D$5:$D$135&amp;"",$C1085)),--('Category Dictionary'!$D$5:$D$135&lt;&gt;"")))</f>
        <v/>
      </c>
      <c r="L1085" s="27">
        <f>IF($A1085="","",TRIM(IF(ISERROR(FIND(",",$C1085)),$C1085,LEFT($C1085,FIND(",",$C1085)-1))))</f>
        <v/>
      </c>
      <c r="M1085" s="28">
        <f>IF($H1085="","",DATE(YEAR($H1085),MONTH($H1085),1))</f>
        <v/>
      </c>
      <c r="N1085" s="26">
        <f>IF($H1085="","",TODAY()-$H1085)</f>
        <v/>
      </c>
      <c r="O1085" s="15" t="n"/>
      <c r="P1085" s="15" t="n"/>
      <c r="Q1085" s="15" t="n"/>
      <c r="R1085" s="25" t="n"/>
      <c r="S1085" s="26">
        <f>IF($A1085="","",AND(OR('Assignment Builder'!$B$5="",$B1085='Assignment Builder'!$B$5),OR('Assignment Builder'!$B$6="",ISNUMBER(SEARCH('Assignment Builder'!$B$6,$C1085))),OR('Assignment Builder'!$B$7="",'Assignment Builder'!$B$7=IFERROR(INDEX('Category Dictionary'!$C$5:$C$135,MATCH($L1085,'Category Dictionary'!$D$5:$D$135,0)),"")),OR('Assignment Builder'!$B$8="",$D1085='Assignment Builder'!$B$8),OR('Assignment Builder'!$B$9="",$F1085='Assignment Builder'!$B$9),OR('Assignment Builder'!$B$10="",$O1085='Assignment Builder'!$B$10),OR('Assignment Builder'!$B$11="",$H1085&gt;='Assignment Builder'!$B$11),OR('Assignment Builder'!$B$12="",N($Q1085)&lt;='Assignment Builder'!$B$12)))</f>
        <v/>
      </c>
      <c r="T1085" s="23" t="n"/>
    </row>
    <row r="1086">
      <c r="A1086" s="23" t="n"/>
      <c r="B1086" s="23" t="n"/>
      <c r="C1086" s="24" t="n"/>
      <c r="D1086" s="15" t="n"/>
      <c r="E1086" s="23" t="n"/>
      <c r="F1086" s="15" t="n"/>
      <c r="G1086" s="23" t="n"/>
      <c r="H1086" s="25" t="n"/>
      <c r="I1086" s="15" t="n"/>
      <c r="J1086" s="26">
        <f>IF($A1086="","",LEN($C1086)-LEN(SUBSTITUTE($C1086,",",""))+1)</f>
        <v/>
      </c>
      <c r="K1086" s="26">
        <f>IF($A1086="","",SUMPRODUCT(--ISNUMBER(SEARCH('Category Dictionary'!$D$5:$D$135&amp;"",$C1086)),--('Category Dictionary'!$D$5:$D$135&lt;&gt;"")))</f>
        <v/>
      </c>
      <c r="L1086" s="27">
        <f>IF($A1086="","",TRIM(IF(ISERROR(FIND(",",$C1086)),$C1086,LEFT($C1086,FIND(",",$C1086)-1))))</f>
        <v/>
      </c>
      <c r="M1086" s="28">
        <f>IF($H1086="","",DATE(YEAR($H1086),MONTH($H1086),1))</f>
        <v/>
      </c>
      <c r="N1086" s="26">
        <f>IF($H1086="","",TODAY()-$H1086)</f>
        <v/>
      </c>
      <c r="O1086" s="15" t="n"/>
      <c r="P1086" s="15" t="n"/>
      <c r="Q1086" s="15" t="n"/>
      <c r="R1086" s="25" t="n"/>
      <c r="S1086" s="26">
        <f>IF($A1086="","",AND(OR('Assignment Builder'!$B$5="",$B1086='Assignment Builder'!$B$5),OR('Assignment Builder'!$B$6="",ISNUMBER(SEARCH('Assignment Builder'!$B$6,$C1086))),OR('Assignment Builder'!$B$7="",'Assignment Builder'!$B$7=IFERROR(INDEX('Category Dictionary'!$C$5:$C$135,MATCH($L1086,'Category Dictionary'!$D$5:$D$135,0)),"")),OR('Assignment Builder'!$B$8="",$D1086='Assignment Builder'!$B$8),OR('Assignment Builder'!$B$9="",$F1086='Assignment Builder'!$B$9),OR('Assignment Builder'!$B$10="",$O1086='Assignment Builder'!$B$10),OR('Assignment Builder'!$B$11="",$H1086&gt;='Assignment Builder'!$B$11),OR('Assignment Builder'!$B$12="",N($Q1086)&lt;='Assignment Builder'!$B$12)))</f>
        <v/>
      </c>
      <c r="T1086" s="23" t="n"/>
    </row>
    <row r="1087">
      <c r="A1087" s="23" t="n"/>
      <c r="B1087" s="23" t="n"/>
      <c r="C1087" s="24" t="n"/>
      <c r="D1087" s="15" t="n"/>
      <c r="E1087" s="23" t="n"/>
      <c r="F1087" s="15" t="n"/>
      <c r="G1087" s="23" t="n"/>
      <c r="H1087" s="25" t="n"/>
      <c r="I1087" s="15" t="n"/>
      <c r="J1087" s="26">
        <f>IF($A1087="","",LEN($C1087)-LEN(SUBSTITUTE($C1087,",",""))+1)</f>
        <v/>
      </c>
      <c r="K1087" s="26">
        <f>IF($A1087="","",SUMPRODUCT(--ISNUMBER(SEARCH('Category Dictionary'!$D$5:$D$135&amp;"",$C1087)),--('Category Dictionary'!$D$5:$D$135&lt;&gt;"")))</f>
        <v/>
      </c>
      <c r="L1087" s="27">
        <f>IF($A1087="","",TRIM(IF(ISERROR(FIND(",",$C1087)),$C1087,LEFT($C1087,FIND(",",$C1087)-1))))</f>
        <v/>
      </c>
      <c r="M1087" s="28">
        <f>IF($H1087="","",DATE(YEAR($H1087),MONTH($H1087),1))</f>
        <v/>
      </c>
      <c r="N1087" s="26">
        <f>IF($H1087="","",TODAY()-$H1087)</f>
        <v/>
      </c>
      <c r="O1087" s="15" t="n"/>
      <c r="P1087" s="15" t="n"/>
      <c r="Q1087" s="15" t="n"/>
      <c r="R1087" s="25" t="n"/>
      <c r="S1087" s="26">
        <f>IF($A1087="","",AND(OR('Assignment Builder'!$B$5="",$B1087='Assignment Builder'!$B$5),OR('Assignment Builder'!$B$6="",ISNUMBER(SEARCH('Assignment Builder'!$B$6,$C1087))),OR('Assignment Builder'!$B$7="",'Assignment Builder'!$B$7=IFERROR(INDEX('Category Dictionary'!$C$5:$C$135,MATCH($L1087,'Category Dictionary'!$D$5:$D$135,0)),"")),OR('Assignment Builder'!$B$8="",$D1087='Assignment Builder'!$B$8),OR('Assignment Builder'!$B$9="",$F1087='Assignment Builder'!$B$9),OR('Assignment Builder'!$B$10="",$O1087='Assignment Builder'!$B$10),OR('Assignment Builder'!$B$11="",$H1087&gt;='Assignment Builder'!$B$11),OR('Assignment Builder'!$B$12="",N($Q1087)&lt;='Assignment Builder'!$B$12)))</f>
        <v/>
      </c>
      <c r="T1087" s="23" t="n"/>
    </row>
    <row r="1088">
      <c r="A1088" s="23" t="n"/>
      <c r="B1088" s="23" t="n"/>
      <c r="C1088" s="24" t="n"/>
      <c r="D1088" s="15" t="n"/>
      <c r="E1088" s="23" t="n"/>
      <c r="F1088" s="15" t="n"/>
      <c r="G1088" s="23" t="n"/>
      <c r="H1088" s="25" t="n"/>
      <c r="I1088" s="15" t="n"/>
      <c r="J1088" s="26">
        <f>IF($A1088="","",LEN($C1088)-LEN(SUBSTITUTE($C1088,",",""))+1)</f>
        <v/>
      </c>
      <c r="K1088" s="26">
        <f>IF($A1088="","",SUMPRODUCT(--ISNUMBER(SEARCH('Category Dictionary'!$D$5:$D$135&amp;"",$C1088)),--('Category Dictionary'!$D$5:$D$135&lt;&gt;"")))</f>
        <v/>
      </c>
      <c r="L1088" s="27">
        <f>IF($A1088="","",TRIM(IF(ISERROR(FIND(",",$C1088)),$C1088,LEFT($C1088,FIND(",",$C1088)-1))))</f>
        <v/>
      </c>
      <c r="M1088" s="28">
        <f>IF($H1088="","",DATE(YEAR($H1088),MONTH($H1088),1))</f>
        <v/>
      </c>
      <c r="N1088" s="26">
        <f>IF($H1088="","",TODAY()-$H1088)</f>
        <v/>
      </c>
      <c r="O1088" s="15" t="n"/>
      <c r="P1088" s="15" t="n"/>
      <c r="Q1088" s="15" t="n"/>
      <c r="R1088" s="25" t="n"/>
      <c r="S1088" s="26">
        <f>IF($A1088="","",AND(OR('Assignment Builder'!$B$5="",$B1088='Assignment Builder'!$B$5),OR('Assignment Builder'!$B$6="",ISNUMBER(SEARCH('Assignment Builder'!$B$6,$C1088))),OR('Assignment Builder'!$B$7="",'Assignment Builder'!$B$7=IFERROR(INDEX('Category Dictionary'!$C$5:$C$135,MATCH($L1088,'Category Dictionary'!$D$5:$D$135,0)),"")),OR('Assignment Builder'!$B$8="",$D1088='Assignment Builder'!$B$8),OR('Assignment Builder'!$B$9="",$F1088='Assignment Builder'!$B$9),OR('Assignment Builder'!$B$10="",$O1088='Assignment Builder'!$B$10),OR('Assignment Builder'!$B$11="",$H1088&gt;='Assignment Builder'!$B$11),OR('Assignment Builder'!$B$12="",N($Q1088)&lt;='Assignment Builder'!$B$12)))</f>
        <v/>
      </c>
      <c r="T1088" s="23" t="n"/>
    </row>
    <row r="1089">
      <c r="A1089" s="23" t="n"/>
      <c r="B1089" s="23" t="n"/>
      <c r="C1089" s="24" t="n"/>
      <c r="D1089" s="15" t="n"/>
      <c r="E1089" s="23" t="n"/>
      <c r="F1089" s="15" t="n"/>
      <c r="G1089" s="23" t="n"/>
      <c r="H1089" s="25" t="n"/>
      <c r="I1089" s="15" t="n"/>
      <c r="J1089" s="26">
        <f>IF($A1089="","",LEN($C1089)-LEN(SUBSTITUTE($C1089,",",""))+1)</f>
        <v/>
      </c>
      <c r="K1089" s="26">
        <f>IF($A1089="","",SUMPRODUCT(--ISNUMBER(SEARCH('Category Dictionary'!$D$5:$D$135&amp;"",$C1089)),--('Category Dictionary'!$D$5:$D$135&lt;&gt;"")))</f>
        <v/>
      </c>
      <c r="L1089" s="27">
        <f>IF($A1089="","",TRIM(IF(ISERROR(FIND(",",$C1089)),$C1089,LEFT($C1089,FIND(",",$C1089)-1))))</f>
        <v/>
      </c>
      <c r="M1089" s="28">
        <f>IF($H1089="","",DATE(YEAR($H1089),MONTH($H1089),1))</f>
        <v/>
      </c>
      <c r="N1089" s="26">
        <f>IF($H1089="","",TODAY()-$H1089)</f>
        <v/>
      </c>
      <c r="O1089" s="15" t="n"/>
      <c r="P1089" s="15" t="n"/>
      <c r="Q1089" s="15" t="n"/>
      <c r="R1089" s="25" t="n"/>
      <c r="S1089" s="26">
        <f>IF($A1089="","",AND(OR('Assignment Builder'!$B$5="",$B1089='Assignment Builder'!$B$5),OR('Assignment Builder'!$B$6="",ISNUMBER(SEARCH('Assignment Builder'!$B$6,$C1089))),OR('Assignment Builder'!$B$7="",'Assignment Builder'!$B$7=IFERROR(INDEX('Category Dictionary'!$C$5:$C$135,MATCH($L1089,'Category Dictionary'!$D$5:$D$135,0)),"")),OR('Assignment Builder'!$B$8="",$D1089='Assignment Builder'!$B$8),OR('Assignment Builder'!$B$9="",$F1089='Assignment Builder'!$B$9),OR('Assignment Builder'!$B$10="",$O1089='Assignment Builder'!$B$10),OR('Assignment Builder'!$B$11="",$H1089&gt;='Assignment Builder'!$B$11),OR('Assignment Builder'!$B$12="",N($Q1089)&lt;='Assignment Builder'!$B$12)))</f>
        <v/>
      </c>
      <c r="T1089" s="23" t="n"/>
    </row>
    <row r="1090">
      <c r="A1090" s="23" t="n"/>
      <c r="B1090" s="23" t="n"/>
      <c r="C1090" s="24" t="n"/>
      <c r="D1090" s="15" t="n"/>
      <c r="E1090" s="23" t="n"/>
      <c r="F1090" s="15" t="n"/>
      <c r="G1090" s="23" t="n"/>
      <c r="H1090" s="25" t="n"/>
      <c r="I1090" s="15" t="n"/>
      <c r="J1090" s="26">
        <f>IF($A1090="","",LEN($C1090)-LEN(SUBSTITUTE($C1090,",",""))+1)</f>
        <v/>
      </c>
      <c r="K1090" s="26">
        <f>IF($A1090="","",SUMPRODUCT(--ISNUMBER(SEARCH('Category Dictionary'!$D$5:$D$135&amp;"",$C1090)),--('Category Dictionary'!$D$5:$D$135&lt;&gt;"")))</f>
        <v/>
      </c>
      <c r="L1090" s="27">
        <f>IF($A1090="","",TRIM(IF(ISERROR(FIND(",",$C1090)),$C1090,LEFT($C1090,FIND(",",$C1090)-1))))</f>
        <v/>
      </c>
      <c r="M1090" s="28">
        <f>IF($H1090="","",DATE(YEAR($H1090),MONTH($H1090),1))</f>
        <v/>
      </c>
      <c r="N1090" s="26">
        <f>IF($H1090="","",TODAY()-$H1090)</f>
        <v/>
      </c>
      <c r="O1090" s="15" t="n"/>
      <c r="P1090" s="15" t="n"/>
      <c r="Q1090" s="15" t="n"/>
      <c r="R1090" s="25" t="n"/>
      <c r="S1090" s="26">
        <f>IF($A1090="","",AND(OR('Assignment Builder'!$B$5="",$B1090='Assignment Builder'!$B$5),OR('Assignment Builder'!$B$6="",ISNUMBER(SEARCH('Assignment Builder'!$B$6,$C1090))),OR('Assignment Builder'!$B$7="",'Assignment Builder'!$B$7=IFERROR(INDEX('Category Dictionary'!$C$5:$C$135,MATCH($L1090,'Category Dictionary'!$D$5:$D$135,0)),"")),OR('Assignment Builder'!$B$8="",$D1090='Assignment Builder'!$B$8),OR('Assignment Builder'!$B$9="",$F1090='Assignment Builder'!$B$9),OR('Assignment Builder'!$B$10="",$O1090='Assignment Builder'!$B$10),OR('Assignment Builder'!$B$11="",$H1090&gt;='Assignment Builder'!$B$11),OR('Assignment Builder'!$B$12="",N($Q1090)&lt;='Assignment Builder'!$B$12)))</f>
        <v/>
      </c>
      <c r="T1090" s="23" t="n"/>
    </row>
    <row r="1091">
      <c r="A1091" s="23" t="n"/>
      <c r="B1091" s="23" t="n"/>
      <c r="C1091" s="24" t="n"/>
      <c r="D1091" s="15" t="n"/>
      <c r="E1091" s="23" t="n"/>
      <c r="F1091" s="15" t="n"/>
      <c r="G1091" s="23" t="n"/>
      <c r="H1091" s="25" t="n"/>
      <c r="I1091" s="15" t="n"/>
      <c r="J1091" s="26">
        <f>IF($A1091="","",LEN($C1091)-LEN(SUBSTITUTE($C1091,",",""))+1)</f>
        <v/>
      </c>
      <c r="K1091" s="26">
        <f>IF($A1091="","",SUMPRODUCT(--ISNUMBER(SEARCH('Category Dictionary'!$D$5:$D$135&amp;"",$C1091)),--('Category Dictionary'!$D$5:$D$135&lt;&gt;"")))</f>
        <v/>
      </c>
      <c r="L1091" s="27">
        <f>IF($A1091="","",TRIM(IF(ISERROR(FIND(",",$C1091)),$C1091,LEFT($C1091,FIND(",",$C1091)-1))))</f>
        <v/>
      </c>
      <c r="M1091" s="28">
        <f>IF($H1091="","",DATE(YEAR($H1091),MONTH($H1091),1))</f>
        <v/>
      </c>
      <c r="N1091" s="26">
        <f>IF($H1091="","",TODAY()-$H1091)</f>
        <v/>
      </c>
      <c r="O1091" s="15" t="n"/>
      <c r="P1091" s="15" t="n"/>
      <c r="Q1091" s="15" t="n"/>
      <c r="R1091" s="25" t="n"/>
      <c r="S1091" s="26">
        <f>IF($A1091="","",AND(OR('Assignment Builder'!$B$5="",$B1091='Assignment Builder'!$B$5),OR('Assignment Builder'!$B$6="",ISNUMBER(SEARCH('Assignment Builder'!$B$6,$C1091))),OR('Assignment Builder'!$B$7="",'Assignment Builder'!$B$7=IFERROR(INDEX('Category Dictionary'!$C$5:$C$135,MATCH($L1091,'Category Dictionary'!$D$5:$D$135,0)),"")),OR('Assignment Builder'!$B$8="",$D1091='Assignment Builder'!$B$8),OR('Assignment Builder'!$B$9="",$F1091='Assignment Builder'!$B$9),OR('Assignment Builder'!$B$10="",$O1091='Assignment Builder'!$B$10),OR('Assignment Builder'!$B$11="",$H1091&gt;='Assignment Builder'!$B$11),OR('Assignment Builder'!$B$12="",N($Q1091)&lt;='Assignment Builder'!$B$12)))</f>
        <v/>
      </c>
      <c r="T1091" s="23" t="n"/>
    </row>
    <row r="1092">
      <c r="A1092" s="23" t="n"/>
      <c r="B1092" s="23" t="n"/>
      <c r="C1092" s="24" t="n"/>
      <c r="D1092" s="15" t="n"/>
      <c r="E1092" s="23" t="n"/>
      <c r="F1092" s="15" t="n"/>
      <c r="G1092" s="23" t="n"/>
      <c r="H1092" s="25" t="n"/>
      <c r="I1092" s="15" t="n"/>
      <c r="J1092" s="26">
        <f>IF($A1092="","",LEN($C1092)-LEN(SUBSTITUTE($C1092,",",""))+1)</f>
        <v/>
      </c>
      <c r="K1092" s="26">
        <f>IF($A1092="","",SUMPRODUCT(--ISNUMBER(SEARCH('Category Dictionary'!$D$5:$D$135&amp;"",$C1092)),--('Category Dictionary'!$D$5:$D$135&lt;&gt;"")))</f>
        <v/>
      </c>
      <c r="L1092" s="27">
        <f>IF($A1092="","",TRIM(IF(ISERROR(FIND(",",$C1092)),$C1092,LEFT($C1092,FIND(",",$C1092)-1))))</f>
        <v/>
      </c>
      <c r="M1092" s="28">
        <f>IF($H1092="","",DATE(YEAR($H1092),MONTH($H1092),1))</f>
        <v/>
      </c>
      <c r="N1092" s="26">
        <f>IF($H1092="","",TODAY()-$H1092)</f>
        <v/>
      </c>
      <c r="O1092" s="15" t="n"/>
      <c r="P1092" s="15" t="n"/>
      <c r="Q1092" s="15" t="n"/>
      <c r="R1092" s="25" t="n"/>
      <c r="S1092" s="26">
        <f>IF($A1092="","",AND(OR('Assignment Builder'!$B$5="",$B1092='Assignment Builder'!$B$5),OR('Assignment Builder'!$B$6="",ISNUMBER(SEARCH('Assignment Builder'!$B$6,$C1092))),OR('Assignment Builder'!$B$7="",'Assignment Builder'!$B$7=IFERROR(INDEX('Category Dictionary'!$C$5:$C$135,MATCH($L1092,'Category Dictionary'!$D$5:$D$135,0)),"")),OR('Assignment Builder'!$B$8="",$D1092='Assignment Builder'!$B$8),OR('Assignment Builder'!$B$9="",$F1092='Assignment Builder'!$B$9),OR('Assignment Builder'!$B$10="",$O1092='Assignment Builder'!$B$10),OR('Assignment Builder'!$B$11="",$H1092&gt;='Assignment Builder'!$B$11),OR('Assignment Builder'!$B$12="",N($Q1092)&lt;='Assignment Builder'!$B$12)))</f>
        <v/>
      </c>
      <c r="T1092" s="23" t="n"/>
    </row>
    <row r="1093">
      <c r="A1093" s="23" t="n"/>
      <c r="B1093" s="23" t="n"/>
      <c r="C1093" s="24" t="n"/>
      <c r="D1093" s="15" t="n"/>
      <c r="E1093" s="23" t="n"/>
      <c r="F1093" s="15" t="n"/>
      <c r="G1093" s="23" t="n"/>
      <c r="H1093" s="25" t="n"/>
      <c r="I1093" s="15" t="n"/>
      <c r="J1093" s="26">
        <f>IF($A1093="","",LEN($C1093)-LEN(SUBSTITUTE($C1093,",",""))+1)</f>
        <v/>
      </c>
      <c r="K1093" s="26">
        <f>IF($A1093="","",SUMPRODUCT(--ISNUMBER(SEARCH('Category Dictionary'!$D$5:$D$135&amp;"",$C1093)),--('Category Dictionary'!$D$5:$D$135&lt;&gt;"")))</f>
        <v/>
      </c>
      <c r="L1093" s="27">
        <f>IF($A1093="","",TRIM(IF(ISERROR(FIND(",",$C1093)),$C1093,LEFT($C1093,FIND(",",$C1093)-1))))</f>
        <v/>
      </c>
      <c r="M1093" s="28">
        <f>IF($H1093="","",DATE(YEAR($H1093),MONTH($H1093),1))</f>
        <v/>
      </c>
      <c r="N1093" s="26">
        <f>IF($H1093="","",TODAY()-$H1093)</f>
        <v/>
      </c>
      <c r="O1093" s="15" t="n"/>
      <c r="P1093" s="15" t="n"/>
      <c r="Q1093" s="15" t="n"/>
      <c r="R1093" s="25" t="n"/>
      <c r="S1093" s="26">
        <f>IF($A1093="","",AND(OR('Assignment Builder'!$B$5="",$B1093='Assignment Builder'!$B$5),OR('Assignment Builder'!$B$6="",ISNUMBER(SEARCH('Assignment Builder'!$B$6,$C1093))),OR('Assignment Builder'!$B$7="",'Assignment Builder'!$B$7=IFERROR(INDEX('Category Dictionary'!$C$5:$C$135,MATCH($L1093,'Category Dictionary'!$D$5:$D$135,0)),"")),OR('Assignment Builder'!$B$8="",$D1093='Assignment Builder'!$B$8),OR('Assignment Builder'!$B$9="",$F1093='Assignment Builder'!$B$9),OR('Assignment Builder'!$B$10="",$O1093='Assignment Builder'!$B$10),OR('Assignment Builder'!$B$11="",$H1093&gt;='Assignment Builder'!$B$11),OR('Assignment Builder'!$B$12="",N($Q1093)&lt;='Assignment Builder'!$B$12)))</f>
        <v/>
      </c>
      <c r="T1093" s="23" t="n"/>
    </row>
    <row r="1094">
      <c r="A1094" s="23" t="n"/>
      <c r="B1094" s="23" t="n"/>
      <c r="C1094" s="24" t="n"/>
      <c r="D1094" s="15" t="n"/>
      <c r="E1094" s="23" t="n"/>
      <c r="F1094" s="15" t="n"/>
      <c r="G1094" s="23" t="n"/>
      <c r="H1094" s="25" t="n"/>
      <c r="I1094" s="15" t="n"/>
      <c r="J1094" s="26">
        <f>IF($A1094="","",LEN($C1094)-LEN(SUBSTITUTE($C1094,",",""))+1)</f>
        <v/>
      </c>
      <c r="K1094" s="26">
        <f>IF($A1094="","",SUMPRODUCT(--ISNUMBER(SEARCH('Category Dictionary'!$D$5:$D$135&amp;"",$C1094)),--('Category Dictionary'!$D$5:$D$135&lt;&gt;"")))</f>
        <v/>
      </c>
      <c r="L1094" s="27">
        <f>IF($A1094="","",TRIM(IF(ISERROR(FIND(",",$C1094)),$C1094,LEFT($C1094,FIND(",",$C1094)-1))))</f>
        <v/>
      </c>
      <c r="M1094" s="28">
        <f>IF($H1094="","",DATE(YEAR($H1094),MONTH($H1094),1))</f>
        <v/>
      </c>
      <c r="N1094" s="26">
        <f>IF($H1094="","",TODAY()-$H1094)</f>
        <v/>
      </c>
      <c r="O1094" s="15" t="n"/>
      <c r="P1094" s="15" t="n"/>
      <c r="Q1094" s="15" t="n"/>
      <c r="R1094" s="25" t="n"/>
      <c r="S1094" s="26">
        <f>IF($A1094="","",AND(OR('Assignment Builder'!$B$5="",$B1094='Assignment Builder'!$B$5),OR('Assignment Builder'!$B$6="",ISNUMBER(SEARCH('Assignment Builder'!$B$6,$C1094))),OR('Assignment Builder'!$B$7="",'Assignment Builder'!$B$7=IFERROR(INDEX('Category Dictionary'!$C$5:$C$135,MATCH($L1094,'Category Dictionary'!$D$5:$D$135,0)),"")),OR('Assignment Builder'!$B$8="",$D1094='Assignment Builder'!$B$8),OR('Assignment Builder'!$B$9="",$F1094='Assignment Builder'!$B$9),OR('Assignment Builder'!$B$10="",$O1094='Assignment Builder'!$B$10),OR('Assignment Builder'!$B$11="",$H1094&gt;='Assignment Builder'!$B$11),OR('Assignment Builder'!$B$12="",N($Q1094)&lt;='Assignment Builder'!$B$12)))</f>
        <v/>
      </c>
      <c r="T1094" s="23" t="n"/>
    </row>
    <row r="1095">
      <c r="A1095" s="23" t="n"/>
      <c r="B1095" s="23" t="n"/>
      <c r="C1095" s="24" t="n"/>
      <c r="D1095" s="15" t="n"/>
      <c r="E1095" s="23" t="n"/>
      <c r="F1095" s="15" t="n"/>
      <c r="G1095" s="23" t="n"/>
      <c r="H1095" s="25" t="n"/>
      <c r="I1095" s="15" t="n"/>
      <c r="J1095" s="26">
        <f>IF($A1095="","",LEN($C1095)-LEN(SUBSTITUTE($C1095,",",""))+1)</f>
        <v/>
      </c>
      <c r="K1095" s="26">
        <f>IF($A1095="","",SUMPRODUCT(--ISNUMBER(SEARCH('Category Dictionary'!$D$5:$D$135&amp;"",$C1095)),--('Category Dictionary'!$D$5:$D$135&lt;&gt;"")))</f>
        <v/>
      </c>
      <c r="L1095" s="27">
        <f>IF($A1095="","",TRIM(IF(ISERROR(FIND(",",$C1095)),$C1095,LEFT($C1095,FIND(",",$C1095)-1))))</f>
        <v/>
      </c>
      <c r="M1095" s="28">
        <f>IF($H1095="","",DATE(YEAR($H1095),MONTH($H1095),1))</f>
        <v/>
      </c>
      <c r="N1095" s="26">
        <f>IF($H1095="","",TODAY()-$H1095)</f>
        <v/>
      </c>
      <c r="O1095" s="15" t="n"/>
      <c r="P1095" s="15" t="n"/>
      <c r="Q1095" s="15" t="n"/>
      <c r="R1095" s="25" t="n"/>
      <c r="S1095" s="26">
        <f>IF($A1095="","",AND(OR('Assignment Builder'!$B$5="",$B1095='Assignment Builder'!$B$5),OR('Assignment Builder'!$B$6="",ISNUMBER(SEARCH('Assignment Builder'!$B$6,$C1095))),OR('Assignment Builder'!$B$7="",'Assignment Builder'!$B$7=IFERROR(INDEX('Category Dictionary'!$C$5:$C$135,MATCH($L1095,'Category Dictionary'!$D$5:$D$135,0)),"")),OR('Assignment Builder'!$B$8="",$D1095='Assignment Builder'!$B$8),OR('Assignment Builder'!$B$9="",$F1095='Assignment Builder'!$B$9),OR('Assignment Builder'!$B$10="",$O1095='Assignment Builder'!$B$10),OR('Assignment Builder'!$B$11="",$H1095&gt;='Assignment Builder'!$B$11),OR('Assignment Builder'!$B$12="",N($Q1095)&lt;='Assignment Builder'!$B$12)))</f>
        <v/>
      </c>
      <c r="T1095" s="23" t="n"/>
    </row>
    <row r="1096">
      <c r="A1096" s="23" t="n"/>
      <c r="B1096" s="23" t="n"/>
      <c r="C1096" s="24" t="n"/>
      <c r="D1096" s="15" t="n"/>
      <c r="E1096" s="23" t="n"/>
      <c r="F1096" s="15" t="n"/>
      <c r="G1096" s="23" t="n"/>
      <c r="H1096" s="25" t="n"/>
      <c r="I1096" s="15" t="n"/>
      <c r="J1096" s="26">
        <f>IF($A1096="","",LEN($C1096)-LEN(SUBSTITUTE($C1096,",",""))+1)</f>
        <v/>
      </c>
      <c r="K1096" s="26">
        <f>IF($A1096="","",SUMPRODUCT(--ISNUMBER(SEARCH('Category Dictionary'!$D$5:$D$135&amp;"",$C1096)),--('Category Dictionary'!$D$5:$D$135&lt;&gt;"")))</f>
        <v/>
      </c>
      <c r="L1096" s="27">
        <f>IF($A1096="","",TRIM(IF(ISERROR(FIND(",",$C1096)),$C1096,LEFT($C1096,FIND(",",$C1096)-1))))</f>
        <v/>
      </c>
      <c r="M1096" s="28">
        <f>IF($H1096="","",DATE(YEAR($H1096),MONTH($H1096),1))</f>
        <v/>
      </c>
      <c r="N1096" s="26">
        <f>IF($H1096="","",TODAY()-$H1096)</f>
        <v/>
      </c>
      <c r="O1096" s="15" t="n"/>
      <c r="P1096" s="15" t="n"/>
      <c r="Q1096" s="15" t="n"/>
      <c r="R1096" s="25" t="n"/>
      <c r="S1096" s="26">
        <f>IF($A1096="","",AND(OR('Assignment Builder'!$B$5="",$B1096='Assignment Builder'!$B$5),OR('Assignment Builder'!$B$6="",ISNUMBER(SEARCH('Assignment Builder'!$B$6,$C1096))),OR('Assignment Builder'!$B$7="",'Assignment Builder'!$B$7=IFERROR(INDEX('Category Dictionary'!$C$5:$C$135,MATCH($L1096,'Category Dictionary'!$D$5:$D$135,0)),"")),OR('Assignment Builder'!$B$8="",$D1096='Assignment Builder'!$B$8),OR('Assignment Builder'!$B$9="",$F1096='Assignment Builder'!$B$9),OR('Assignment Builder'!$B$10="",$O1096='Assignment Builder'!$B$10),OR('Assignment Builder'!$B$11="",$H1096&gt;='Assignment Builder'!$B$11),OR('Assignment Builder'!$B$12="",N($Q1096)&lt;='Assignment Builder'!$B$12)))</f>
        <v/>
      </c>
      <c r="T1096" s="23" t="n"/>
    </row>
    <row r="1097">
      <c r="A1097" s="23" t="n"/>
      <c r="B1097" s="23" t="n"/>
      <c r="C1097" s="24" t="n"/>
      <c r="D1097" s="15" t="n"/>
      <c r="E1097" s="23" t="n"/>
      <c r="F1097" s="15" t="n"/>
      <c r="G1097" s="23" t="n"/>
      <c r="H1097" s="25" t="n"/>
      <c r="I1097" s="15" t="n"/>
      <c r="J1097" s="26">
        <f>IF($A1097="","",LEN($C1097)-LEN(SUBSTITUTE($C1097,",",""))+1)</f>
        <v/>
      </c>
      <c r="K1097" s="26">
        <f>IF($A1097="","",SUMPRODUCT(--ISNUMBER(SEARCH('Category Dictionary'!$D$5:$D$135&amp;"",$C1097)),--('Category Dictionary'!$D$5:$D$135&lt;&gt;"")))</f>
        <v/>
      </c>
      <c r="L1097" s="27">
        <f>IF($A1097="","",TRIM(IF(ISERROR(FIND(",",$C1097)),$C1097,LEFT($C1097,FIND(",",$C1097)-1))))</f>
        <v/>
      </c>
      <c r="M1097" s="28">
        <f>IF($H1097="","",DATE(YEAR($H1097),MONTH($H1097),1))</f>
        <v/>
      </c>
      <c r="N1097" s="26">
        <f>IF($H1097="","",TODAY()-$H1097)</f>
        <v/>
      </c>
      <c r="O1097" s="15" t="n"/>
      <c r="P1097" s="15" t="n"/>
      <c r="Q1097" s="15" t="n"/>
      <c r="R1097" s="25" t="n"/>
      <c r="S1097" s="26">
        <f>IF($A1097="","",AND(OR('Assignment Builder'!$B$5="",$B1097='Assignment Builder'!$B$5),OR('Assignment Builder'!$B$6="",ISNUMBER(SEARCH('Assignment Builder'!$B$6,$C1097))),OR('Assignment Builder'!$B$7="",'Assignment Builder'!$B$7=IFERROR(INDEX('Category Dictionary'!$C$5:$C$135,MATCH($L1097,'Category Dictionary'!$D$5:$D$135,0)),"")),OR('Assignment Builder'!$B$8="",$D1097='Assignment Builder'!$B$8),OR('Assignment Builder'!$B$9="",$F1097='Assignment Builder'!$B$9),OR('Assignment Builder'!$B$10="",$O1097='Assignment Builder'!$B$10),OR('Assignment Builder'!$B$11="",$H1097&gt;='Assignment Builder'!$B$11),OR('Assignment Builder'!$B$12="",N($Q1097)&lt;='Assignment Builder'!$B$12)))</f>
        <v/>
      </c>
      <c r="T1097" s="23" t="n"/>
    </row>
    <row r="1098">
      <c r="A1098" s="23" t="n"/>
      <c r="B1098" s="23" t="n"/>
      <c r="C1098" s="24" t="n"/>
      <c r="D1098" s="15" t="n"/>
      <c r="E1098" s="23" t="n"/>
      <c r="F1098" s="15" t="n"/>
      <c r="G1098" s="23" t="n"/>
      <c r="H1098" s="25" t="n"/>
      <c r="I1098" s="15" t="n"/>
      <c r="J1098" s="26">
        <f>IF($A1098="","",LEN($C1098)-LEN(SUBSTITUTE($C1098,",",""))+1)</f>
        <v/>
      </c>
      <c r="K1098" s="26">
        <f>IF($A1098="","",SUMPRODUCT(--ISNUMBER(SEARCH('Category Dictionary'!$D$5:$D$135&amp;"",$C1098)),--('Category Dictionary'!$D$5:$D$135&lt;&gt;"")))</f>
        <v/>
      </c>
      <c r="L1098" s="27">
        <f>IF($A1098="","",TRIM(IF(ISERROR(FIND(",",$C1098)),$C1098,LEFT($C1098,FIND(",",$C1098)-1))))</f>
        <v/>
      </c>
      <c r="M1098" s="28">
        <f>IF($H1098="","",DATE(YEAR($H1098),MONTH($H1098),1))</f>
        <v/>
      </c>
      <c r="N1098" s="26">
        <f>IF($H1098="","",TODAY()-$H1098)</f>
        <v/>
      </c>
      <c r="O1098" s="15" t="n"/>
      <c r="P1098" s="15" t="n"/>
      <c r="Q1098" s="15" t="n"/>
      <c r="R1098" s="25" t="n"/>
      <c r="S1098" s="26">
        <f>IF($A1098="","",AND(OR('Assignment Builder'!$B$5="",$B1098='Assignment Builder'!$B$5),OR('Assignment Builder'!$B$6="",ISNUMBER(SEARCH('Assignment Builder'!$B$6,$C1098))),OR('Assignment Builder'!$B$7="",'Assignment Builder'!$B$7=IFERROR(INDEX('Category Dictionary'!$C$5:$C$135,MATCH($L1098,'Category Dictionary'!$D$5:$D$135,0)),"")),OR('Assignment Builder'!$B$8="",$D1098='Assignment Builder'!$B$8),OR('Assignment Builder'!$B$9="",$F1098='Assignment Builder'!$B$9),OR('Assignment Builder'!$B$10="",$O1098='Assignment Builder'!$B$10),OR('Assignment Builder'!$B$11="",$H1098&gt;='Assignment Builder'!$B$11),OR('Assignment Builder'!$B$12="",N($Q1098)&lt;='Assignment Builder'!$B$12)))</f>
        <v/>
      </c>
      <c r="T1098" s="23" t="n"/>
    </row>
    <row r="1099">
      <c r="A1099" s="23" t="n"/>
      <c r="B1099" s="23" t="n"/>
      <c r="C1099" s="24" t="n"/>
      <c r="D1099" s="15" t="n"/>
      <c r="E1099" s="23" t="n"/>
      <c r="F1099" s="15" t="n"/>
      <c r="G1099" s="23" t="n"/>
      <c r="H1099" s="25" t="n"/>
      <c r="I1099" s="15" t="n"/>
      <c r="J1099" s="26">
        <f>IF($A1099="","",LEN($C1099)-LEN(SUBSTITUTE($C1099,",",""))+1)</f>
        <v/>
      </c>
      <c r="K1099" s="26">
        <f>IF($A1099="","",SUMPRODUCT(--ISNUMBER(SEARCH('Category Dictionary'!$D$5:$D$135&amp;"",$C1099)),--('Category Dictionary'!$D$5:$D$135&lt;&gt;"")))</f>
        <v/>
      </c>
      <c r="L1099" s="27">
        <f>IF($A1099="","",TRIM(IF(ISERROR(FIND(",",$C1099)),$C1099,LEFT($C1099,FIND(",",$C1099)-1))))</f>
        <v/>
      </c>
      <c r="M1099" s="28">
        <f>IF($H1099="","",DATE(YEAR($H1099),MONTH($H1099),1))</f>
        <v/>
      </c>
      <c r="N1099" s="26">
        <f>IF($H1099="","",TODAY()-$H1099)</f>
        <v/>
      </c>
      <c r="O1099" s="15" t="n"/>
      <c r="P1099" s="15" t="n"/>
      <c r="Q1099" s="15" t="n"/>
      <c r="R1099" s="25" t="n"/>
      <c r="S1099" s="26">
        <f>IF($A1099="","",AND(OR('Assignment Builder'!$B$5="",$B1099='Assignment Builder'!$B$5),OR('Assignment Builder'!$B$6="",ISNUMBER(SEARCH('Assignment Builder'!$B$6,$C1099))),OR('Assignment Builder'!$B$7="",'Assignment Builder'!$B$7=IFERROR(INDEX('Category Dictionary'!$C$5:$C$135,MATCH($L1099,'Category Dictionary'!$D$5:$D$135,0)),"")),OR('Assignment Builder'!$B$8="",$D1099='Assignment Builder'!$B$8),OR('Assignment Builder'!$B$9="",$F1099='Assignment Builder'!$B$9),OR('Assignment Builder'!$B$10="",$O1099='Assignment Builder'!$B$10),OR('Assignment Builder'!$B$11="",$H1099&gt;='Assignment Builder'!$B$11),OR('Assignment Builder'!$B$12="",N($Q1099)&lt;='Assignment Builder'!$B$12)))</f>
        <v/>
      </c>
      <c r="T1099" s="23" t="n"/>
    </row>
    <row r="1100">
      <c r="A1100" s="23" t="n"/>
      <c r="B1100" s="23" t="n"/>
      <c r="C1100" s="24" t="n"/>
      <c r="D1100" s="15" t="n"/>
      <c r="E1100" s="23" t="n"/>
      <c r="F1100" s="15" t="n"/>
      <c r="G1100" s="23" t="n"/>
      <c r="H1100" s="25" t="n"/>
      <c r="I1100" s="15" t="n"/>
      <c r="J1100" s="26">
        <f>IF($A1100="","",LEN($C1100)-LEN(SUBSTITUTE($C1100,",",""))+1)</f>
        <v/>
      </c>
      <c r="K1100" s="26">
        <f>IF($A1100="","",SUMPRODUCT(--ISNUMBER(SEARCH('Category Dictionary'!$D$5:$D$135&amp;"",$C1100)),--('Category Dictionary'!$D$5:$D$135&lt;&gt;"")))</f>
        <v/>
      </c>
      <c r="L1100" s="27">
        <f>IF($A1100="","",TRIM(IF(ISERROR(FIND(",",$C1100)),$C1100,LEFT($C1100,FIND(",",$C1100)-1))))</f>
        <v/>
      </c>
      <c r="M1100" s="28">
        <f>IF($H1100="","",DATE(YEAR($H1100),MONTH($H1100),1))</f>
        <v/>
      </c>
      <c r="N1100" s="26">
        <f>IF($H1100="","",TODAY()-$H1100)</f>
        <v/>
      </c>
      <c r="O1100" s="15" t="n"/>
      <c r="P1100" s="15" t="n"/>
      <c r="Q1100" s="15" t="n"/>
      <c r="R1100" s="25" t="n"/>
      <c r="S1100" s="26">
        <f>IF($A1100="","",AND(OR('Assignment Builder'!$B$5="",$B1100='Assignment Builder'!$B$5),OR('Assignment Builder'!$B$6="",ISNUMBER(SEARCH('Assignment Builder'!$B$6,$C1100))),OR('Assignment Builder'!$B$7="",'Assignment Builder'!$B$7=IFERROR(INDEX('Category Dictionary'!$C$5:$C$135,MATCH($L1100,'Category Dictionary'!$D$5:$D$135,0)),"")),OR('Assignment Builder'!$B$8="",$D1100='Assignment Builder'!$B$8),OR('Assignment Builder'!$B$9="",$F1100='Assignment Builder'!$B$9),OR('Assignment Builder'!$B$10="",$O1100='Assignment Builder'!$B$10),OR('Assignment Builder'!$B$11="",$H1100&gt;='Assignment Builder'!$B$11),OR('Assignment Builder'!$B$12="",N($Q1100)&lt;='Assignment Builder'!$B$12)))</f>
        <v/>
      </c>
      <c r="T1100" s="23" t="n"/>
    </row>
    <row r="1101">
      <c r="A1101" s="23" t="n"/>
      <c r="B1101" s="23" t="n"/>
      <c r="C1101" s="24" t="n"/>
      <c r="D1101" s="15" t="n"/>
      <c r="E1101" s="23" t="n"/>
      <c r="F1101" s="15" t="n"/>
      <c r="G1101" s="23" t="n"/>
      <c r="H1101" s="25" t="n"/>
      <c r="I1101" s="15" t="n"/>
      <c r="J1101" s="26">
        <f>IF($A1101="","",LEN($C1101)-LEN(SUBSTITUTE($C1101,",",""))+1)</f>
        <v/>
      </c>
      <c r="K1101" s="26">
        <f>IF($A1101="","",SUMPRODUCT(--ISNUMBER(SEARCH('Category Dictionary'!$D$5:$D$135&amp;"",$C1101)),--('Category Dictionary'!$D$5:$D$135&lt;&gt;"")))</f>
        <v/>
      </c>
      <c r="L1101" s="27">
        <f>IF($A1101="","",TRIM(IF(ISERROR(FIND(",",$C1101)),$C1101,LEFT($C1101,FIND(",",$C1101)-1))))</f>
        <v/>
      </c>
      <c r="M1101" s="28">
        <f>IF($H1101="","",DATE(YEAR($H1101),MONTH($H1101),1))</f>
        <v/>
      </c>
      <c r="N1101" s="26">
        <f>IF($H1101="","",TODAY()-$H1101)</f>
        <v/>
      </c>
      <c r="O1101" s="15" t="n"/>
      <c r="P1101" s="15" t="n"/>
      <c r="Q1101" s="15" t="n"/>
      <c r="R1101" s="25" t="n"/>
      <c r="S1101" s="26">
        <f>IF($A1101="","",AND(OR('Assignment Builder'!$B$5="",$B1101='Assignment Builder'!$B$5),OR('Assignment Builder'!$B$6="",ISNUMBER(SEARCH('Assignment Builder'!$B$6,$C1101))),OR('Assignment Builder'!$B$7="",'Assignment Builder'!$B$7=IFERROR(INDEX('Category Dictionary'!$C$5:$C$135,MATCH($L1101,'Category Dictionary'!$D$5:$D$135,0)),"")),OR('Assignment Builder'!$B$8="",$D1101='Assignment Builder'!$B$8),OR('Assignment Builder'!$B$9="",$F1101='Assignment Builder'!$B$9),OR('Assignment Builder'!$B$10="",$O1101='Assignment Builder'!$B$10),OR('Assignment Builder'!$B$11="",$H1101&gt;='Assignment Builder'!$B$11),OR('Assignment Builder'!$B$12="",N($Q1101)&lt;='Assignment Builder'!$B$12)))</f>
        <v/>
      </c>
      <c r="T1101" s="23" t="n"/>
    </row>
    <row r="1102">
      <c r="A1102" s="23" t="n"/>
      <c r="B1102" s="23" t="n"/>
      <c r="C1102" s="24" t="n"/>
      <c r="D1102" s="15" t="n"/>
      <c r="E1102" s="23" t="n"/>
      <c r="F1102" s="15" t="n"/>
      <c r="G1102" s="23" t="n"/>
      <c r="H1102" s="25" t="n"/>
      <c r="I1102" s="15" t="n"/>
      <c r="J1102" s="26">
        <f>IF($A1102="","",LEN($C1102)-LEN(SUBSTITUTE($C1102,",",""))+1)</f>
        <v/>
      </c>
      <c r="K1102" s="26">
        <f>IF($A1102="","",SUMPRODUCT(--ISNUMBER(SEARCH('Category Dictionary'!$D$5:$D$135&amp;"",$C1102)),--('Category Dictionary'!$D$5:$D$135&lt;&gt;"")))</f>
        <v/>
      </c>
      <c r="L1102" s="27">
        <f>IF($A1102="","",TRIM(IF(ISERROR(FIND(",",$C1102)),$C1102,LEFT($C1102,FIND(",",$C1102)-1))))</f>
        <v/>
      </c>
      <c r="M1102" s="28">
        <f>IF($H1102="","",DATE(YEAR($H1102),MONTH($H1102),1))</f>
        <v/>
      </c>
      <c r="N1102" s="26">
        <f>IF($H1102="","",TODAY()-$H1102)</f>
        <v/>
      </c>
      <c r="O1102" s="15" t="n"/>
      <c r="P1102" s="15" t="n"/>
      <c r="Q1102" s="15" t="n"/>
      <c r="R1102" s="25" t="n"/>
      <c r="S1102" s="26">
        <f>IF($A1102="","",AND(OR('Assignment Builder'!$B$5="",$B1102='Assignment Builder'!$B$5),OR('Assignment Builder'!$B$6="",ISNUMBER(SEARCH('Assignment Builder'!$B$6,$C1102))),OR('Assignment Builder'!$B$7="",'Assignment Builder'!$B$7=IFERROR(INDEX('Category Dictionary'!$C$5:$C$135,MATCH($L1102,'Category Dictionary'!$D$5:$D$135,0)),"")),OR('Assignment Builder'!$B$8="",$D1102='Assignment Builder'!$B$8),OR('Assignment Builder'!$B$9="",$F1102='Assignment Builder'!$B$9),OR('Assignment Builder'!$B$10="",$O1102='Assignment Builder'!$B$10),OR('Assignment Builder'!$B$11="",$H1102&gt;='Assignment Builder'!$B$11),OR('Assignment Builder'!$B$12="",N($Q1102)&lt;='Assignment Builder'!$B$12)))</f>
        <v/>
      </c>
      <c r="T1102" s="23" t="n"/>
    </row>
    <row r="1103">
      <c r="A1103" s="23" t="n"/>
      <c r="B1103" s="23" t="n"/>
      <c r="C1103" s="24" t="n"/>
      <c r="D1103" s="15" t="n"/>
      <c r="E1103" s="23" t="n"/>
      <c r="F1103" s="15" t="n"/>
      <c r="G1103" s="23" t="n"/>
      <c r="H1103" s="25" t="n"/>
      <c r="I1103" s="15" t="n"/>
      <c r="J1103" s="26">
        <f>IF($A1103="","",LEN($C1103)-LEN(SUBSTITUTE($C1103,",",""))+1)</f>
        <v/>
      </c>
      <c r="K1103" s="26">
        <f>IF($A1103="","",SUMPRODUCT(--ISNUMBER(SEARCH('Category Dictionary'!$D$5:$D$135&amp;"",$C1103)),--('Category Dictionary'!$D$5:$D$135&lt;&gt;"")))</f>
        <v/>
      </c>
      <c r="L1103" s="27">
        <f>IF($A1103="","",TRIM(IF(ISERROR(FIND(",",$C1103)),$C1103,LEFT($C1103,FIND(",",$C1103)-1))))</f>
        <v/>
      </c>
      <c r="M1103" s="28">
        <f>IF($H1103="","",DATE(YEAR($H1103),MONTH($H1103),1))</f>
        <v/>
      </c>
      <c r="N1103" s="26">
        <f>IF($H1103="","",TODAY()-$H1103)</f>
        <v/>
      </c>
      <c r="O1103" s="15" t="n"/>
      <c r="P1103" s="15" t="n"/>
      <c r="Q1103" s="15" t="n"/>
      <c r="R1103" s="25" t="n"/>
      <c r="S1103" s="26">
        <f>IF($A1103="","",AND(OR('Assignment Builder'!$B$5="",$B1103='Assignment Builder'!$B$5),OR('Assignment Builder'!$B$6="",ISNUMBER(SEARCH('Assignment Builder'!$B$6,$C1103))),OR('Assignment Builder'!$B$7="",'Assignment Builder'!$B$7=IFERROR(INDEX('Category Dictionary'!$C$5:$C$135,MATCH($L1103,'Category Dictionary'!$D$5:$D$135,0)),"")),OR('Assignment Builder'!$B$8="",$D1103='Assignment Builder'!$B$8),OR('Assignment Builder'!$B$9="",$F1103='Assignment Builder'!$B$9),OR('Assignment Builder'!$B$10="",$O1103='Assignment Builder'!$B$10),OR('Assignment Builder'!$B$11="",$H1103&gt;='Assignment Builder'!$B$11),OR('Assignment Builder'!$B$12="",N($Q1103)&lt;='Assignment Builder'!$B$12)))</f>
        <v/>
      </c>
      <c r="T1103" s="23" t="n"/>
    </row>
    <row r="1104">
      <c r="A1104" s="23" t="n"/>
      <c r="B1104" s="23" t="n"/>
      <c r="C1104" s="24" t="n"/>
      <c r="D1104" s="15" t="n"/>
      <c r="E1104" s="23" t="n"/>
      <c r="F1104" s="15" t="n"/>
      <c r="G1104" s="23" t="n"/>
      <c r="H1104" s="25" t="n"/>
      <c r="I1104" s="15" t="n"/>
      <c r="J1104" s="26">
        <f>IF($A1104="","",LEN($C1104)-LEN(SUBSTITUTE($C1104,",",""))+1)</f>
        <v/>
      </c>
      <c r="K1104" s="26">
        <f>IF($A1104="","",SUMPRODUCT(--ISNUMBER(SEARCH('Category Dictionary'!$D$5:$D$135&amp;"",$C1104)),--('Category Dictionary'!$D$5:$D$135&lt;&gt;"")))</f>
        <v/>
      </c>
      <c r="L1104" s="27">
        <f>IF($A1104="","",TRIM(IF(ISERROR(FIND(",",$C1104)),$C1104,LEFT($C1104,FIND(",",$C1104)-1))))</f>
        <v/>
      </c>
      <c r="M1104" s="28">
        <f>IF($H1104="","",DATE(YEAR($H1104),MONTH($H1104),1))</f>
        <v/>
      </c>
      <c r="N1104" s="26">
        <f>IF($H1104="","",TODAY()-$H1104)</f>
        <v/>
      </c>
      <c r="O1104" s="15" t="n"/>
      <c r="P1104" s="15" t="n"/>
      <c r="Q1104" s="15" t="n"/>
      <c r="R1104" s="25" t="n"/>
      <c r="S1104" s="26">
        <f>IF($A1104="","",AND(OR('Assignment Builder'!$B$5="",$B1104='Assignment Builder'!$B$5),OR('Assignment Builder'!$B$6="",ISNUMBER(SEARCH('Assignment Builder'!$B$6,$C1104))),OR('Assignment Builder'!$B$7="",'Assignment Builder'!$B$7=IFERROR(INDEX('Category Dictionary'!$C$5:$C$135,MATCH($L1104,'Category Dictionary'!$D$5:$D$135,0)),"")),OR('Assignment Builder'!$B$8="",$D1104='Assignment Builder'!$B$8),OR('Assignment Builder'!$B$9="",$F1104='Assignment Builder'!$B$9),OR('Assignment Builder'!$B$10="",$O1104='Assignment Builder'!$B$10),OR('Assignment Builder'!$B$11="",$H1104&gt;='Assignment Builder'!$B$11),OR('Assignment Builder'!$B$12="",N($Q1104)&lt;='Assignment Builder'!$B$12)))</f>
        <v/>
      </c>
      <c r="T1104" s="23" t="n"/>
    </row>
    <row r="1105">
      <c r="A1105" s="23" t="n"/>
      <c r="B1105" s="23" t="n"/>
      <c r="C1105" s="24" t="n"/>
      <c r="D1105" s="15" t="n"/>
      <c r="E1105" s="23" t="n"/>
      <c r="F1105" s="15" t="n"/>
      <c r="G1105" s="23" t="n"/>
      <c r="H1105" s="25" t="n"/>
      <c r="I1105" s="15" t="n"/>
      <c r="J1105" s="26">
        <f>IF($A1105="","",LEN($C1105)-LEN(SUBSTITUTE($C1105,",",""))+1)</f>
        <v/>
      </c>
      <c r="K1105" s="26">
        <f>IF($A1105="","",SUMPRODUCT(--ISNUMBER(SEARCH('Category Dictionary'!$D$5:$D$135&amp;"",$C1105)),--('Category Dictionary'!$D$5:$D$135&lt;&gt;"")))</f>
        <v/>
      </c>
      <c r="L1105" s="27">
        <f>IF($A1105="","",TRIM(IF(ISERROR(FIND(",",$C1105)),$C1105,LEFT($C1105,FIND(",",$C1105)-1))))</f>
        <v/>
      </c>
      <c r="M1105" s="28">
        <f>IF($H1105="","",DATE(YEAR($H1105),MONTH($H1105),1))</f>
        <v/>
      </c>
      <c r="N1105" s="26">
        <f>IF($H1105="","",TODAY()-$H1105)</f>
        <v/>
      </c>
      <c r="O1105" s="15" t="n"/>
      <c r="P1105" s="15" t="n"/>
      <c r="Q1105" s="15" t="n"/>
      <c r="R1105" s="25" t="n"/>
      <c r="S1105" s="26">
        <f>IF($A1105="","",AND(OR('Assignment Builder'!$B$5="",$B1105='Assignment Builder'!$B$5),OR('Assignment Builder'!$B$6="",ISNUMBER(SEARCH('Assignment Builder'!$B$6,$C1105))),OR('Assignment Builder'!$B$7="",'Assignment Builder'!$B$7=IFERROR(INDEX('Category Dictionary'!$C$5:$C$135,MATCH($L1105,'Category Dictionary'!$D$5:$D$135,0)),"")),OR('Assignment Builder'!$B$8="",$D1105='Assignment Builder'!$B$8),OR('Assignment Builder'!$B$9="",$F1105='Assignment Builder'!$B$9),OR('Assignment Builder'!$B$10="",$O1105='Assignment Builder'!$B$10),OR('Assignment Builder'!$B$11="",$H1105&gt;='Assignment Builder'!$B$11),OR('Assignment Builder'!$B$12="",N($Q1105)&lt;='Assignment Builder'!$B$12)))</f>
        <v/>
      </c>
      <c r="T1105" s="23" t="n"/>
    </row>
    <row r="1106">
      <c r="A1106" s="23" t="n"/>
      <c r="B1106" s="23" t="n"/>
      <c r="C1106" s="24" t="n"/>
      <c r="D1106" s="15" t="n"/>
      <c r="E1106" s="23" t="n"/>
      <c r="F1106" s="15" t="n"/>
      <c r="G1106" s="23" t="n"/>
      <c r="H1106" s="25" t="n"/>
      <c r="I1106" s="15" t="n"/>
      <c r="J1106" s="26">
        <f>IF($A1106="","",LEN($C1106)-LEN(SUBSTITUTE($C1106,",",""))+1)</f>
        <v/>
      </c>
      <c r="K1106" s="26">
        <f>IF($A1106="","",SUMPRODUCT(--ISNUMBER(SEARCH('Category Dictionary'!$D$5:$D$135&amp;"",$C1106)),--('Category Dictionary'!$D$5:$D$135&lt;&gt;"")))</f>
        <v/>
      </c>
      <c r="L1106" s="27">
        <f>IF($A1106="","",TRIM(IF(ISERROR(FIND(",",$C1106)),$C1106,LEFT($C1106,FIND(",",$C1106)-1))))</f>
        <v/>
      </c>
      <c r="M1106" s="28">
        <f>IF($H1106="","",DATE(YEAR($H1106),MONTH($H1106),1))</f>
        <v/>
      </c>
      <c r="N1106" s="26">
        <f>IF($H1106="","",TODAY()-$H1106)</f>
        <v/>
      </c>
      <c r="O1106" s="15" t="n"/>
      <c r="P1106" s="15" t="n"/>
      <c r="Q1106" s="15" t="n"/>
      <c r="R1106" s="25" t="n"/>
      <c r="S1106" s="26">
        <f>IF($A1106="","",AND(OR('Assignment Builder'!$B$5="",$B1106='Assignment Builder'!$B$5),OR('Assignment Builder'!$B$6="",ISNUMBER(SEARCH('Assignment Builder'!$B$6,$C1106))),OR('Assignment Builder'!$B$7="",'Assignment Builder'!$B$7=IFERROR(INDEX('Category Dictionary'!$C$5:$C$135,MATCH($L1106,'Category Dictionary'!$D$5:$D$135,0)),"")),OR('Assignment Builder'!$B$8="",$D1106='Assignment Builder'!$B$8),OR('Assignment Builder'!$B$9="",$F1106='Assignment Builder'!$B$9),OR('Assignment Builder'!$B$10="",$O1106='Assignment Builder'!$B$10),OR('Assignment Builder'!$B$11="",$H1106&gt;='Assignment Builder'!$B$11),OR('Assignment Builder'!$B$12="",N($Q1106)&lt;='Assignment Builder'!$B$12)))</f>
        <v/>
      </c>
      <c r="T1106" s="23" t="n"/>
    </row>
    <row r="1107">
      <c r="A1107" s="23" t="n"/>
      <c r="B1107" s="23" t="n"/>
      <c r="C1107" s="24" t="n"/>
      <c r="D1107" s="15" t="n"/>
      <c r="E1107" s="23" t="n"/>
      <c r="F1107" s="15" t="n"/>
      <c r="G1107" s="23" t="n"/>
      <c r="H1107" s="25" t="n"/>
      <c r="I1107" s="15" t="n"/>
      <c r="J1107" s="26">
        <f>IF($A1107="","",LEN($C1107)-LEN(SUBSTITUTE($C1107,",",""))+1)</f>
        <v/>
      </c>
      <c r="K1107" s="26">
        <f>IF($A1107="","",SUMPRODUCT(--ISNUMBER(SEARCH('Category Dictionary'!$D$5:$D$135&amp;"",$C1107)),--('Category Dictionary'!$D$5:$D$135&lt;&gt;"")))</f>
        <v/>
      </c>
      <c r="L1107" s="27">
        <f>IF($A1107="","",TRIM(IF(ISERROR(FIND(",",$C1107)),$C1107,LEFT($C1107,FIND(",",$C1107)-1))))</f>
        <v/>
      </c>
      <c r="M1107" s="28">
        <f>IF($H1107="","",DATE(YEAR($H1107),MONTH($H1107),1))</f>
        <v/>
      </c>
      <c r="N1107" s="26">
        <f>IF($H1107="","",TODAY()-$H1107)</f>
        <v/>
      </c>
      <c r="O1107" s="15" t="n"/>
      <c r="P1107" s="15" t="n"/>
      <c r="Q1107" s="15" t="n"/>
      <c r="R1107" s="25" t="n"/>
      <c r="S1107" s="26">
        <f>IF($A1107="","",AND(OR('Assignment Builder'!$B$5="",$B1107='Assignment Builder'!$B$5),OR('Assignment Builder'!$B$6="",ISNUMBER(SEARCH('Assignment Builder'!$B$6,$C1107))),OR('Assignment Builder'!$B$7="",'Assignment Builder'!$B$7=IFERROR(INDEX('Category Dictionary'!$C$5:$C$135,MATCH($L1107,'Category Dictionary'!$D$5:$D$135,0)),"")),OR('Assignment Builder'!$B$8="",$D1107='Assignment Builder'!$B$8),OR('Assignment Builder'!$B$9="",$F1107='Assignment Builder'!$B$9),OR('Assignment Builder'!$B$10="",$O1107='Assignment Builder'!$B$10),OR('Assignment Builder'!$B$11="",$H1107&gt;='Assignment Builder'!$B$11),OR('Assignment Builder'!$B$12="",N($Q1107)&lt;='Assignment Builder'!$B$12)))</f>
        <v/>
      </c>
      <c r="T1107" s="23" t="n"/>
    </row>
    <row r="1108">
      <c r="A1108" s="23" t="n"/>
      <c r="B1108" s="23" t="n"/>
      <c r="C1108" s="24" t="n"/>
      <c r="D1108" s="15" t="n"/>
      <c r="E1108" s="23" t="n"/>
      <c r="F1108" s="15" t="n"/>
      <c r="G1108" s="23" t="n"/>
      <c r="H1108" s="25" t="n"/>
      <c r="I1108" s="15" t="n"/>
      <c r="J1108" s="26">
        <f>IF($A1108="","",LEN($C1108)-LEN(SUBSTITUTE($C1108,",",""))+1)</f>
        <v/>
      </c>
      <c r="K1108" s="26">
        <f>IF($A1108="","",SUMPRODUCT(--ISNUMBER(SEARCH('Category Dictionary'!$D$5:$D$135&amp;"",$C1108)),--('Category Dictionary'!$D$5:$D$135&lt;&gt;"")))</f>
        <v/>
      </c>
      <c r="L1108" s="27">
        <f>IF($A1108="","",TRIM(IF(ISERROR(FIND(",",$C1108)),$C1108,LEFT($C1108,FIND(",",$C1108)-1))))</f>
        <v/>
      </c>
      <c r="M1108" s="28">
        <f>IF($H1108="","",DATE(YEAR($H1108),MONTH($H1108),1))</f>
        <v/>
      </c>
      <c r="N1108" s="26">
        <f>IF($H1108="","",TODAY()-$H1108)</f>
        <v/>
      </c>
      <c r="O1108" s="15" t="n"/>
      <c r="P1108" s="15" t="n"/>
      <c r="Q1108" s="15" t="n"/>
      <c r="R1108" s="25" t="n"/>
      <c r="S1108" s="26">
        <f>IF($A1108="","",AND(OR('Assignment Builder'!$B$5="",$B1108='Assignment Builder'!$B$5),OR('Assignment Builder'!$B$6="",ISNUMBER(SEARCH('Assignment Builder'!$B$6,$C1108))),OR('Assignment Builder'!$B$7="",'Assignment Builder'!$B$7=IFERROR(INDEX('Category Dictionary'!$C$5:$C$135,MATCH($L1108,'Category Dictionary'!$D$5:$D$135,0)),"")),OR('Assignment Builder'!$B$8="",$D1108='Assignment Builder'!$B$8),OR('Assignment Builder'!$B$9="",$F1108='Assignment Builder'!$B$9),OR('Assignment Builder'!$B$10="",$O1108='Assignment Builder'!$B$10),OR('Assignment Builder'!$B$11="",$H1108&gt;='Assignment Builder'!$B$11),OR('Assignment Builder'!$B$12="",N($Q1108)&lt;='Assignment Builder'!$B$12)))</f>
        <v/>
      </c>
      <c r="T1108" s="23" t="n"/>
    </row>
    <row r="1109">
      <c r="A1109" s="23" t="n"/>
      <c r="B1109" s="23" t="n"/>
      <c r="C1109" s="24" t="n"/>
      <c r="D1109" s="15" t="n"/>
      <c r="E1109" s="23" t="n"/>
      <c r="F1109" s="15" t="n"/>
      <c r="G1109" s="23" t="n"/>
      <c r="H1109" s="25" t="n"/>
      <c r="I1109" s="15" t="n"/>
      <c r="J1109" s="26">
        <f>IF($A1109="","",LEN($C1109)-LEN(SUBSTITUTE($C1109,",",""))+1)</f>
        <v/>
      </c>
      <c r="K1109" s="26">
        <f>IF($A1109="","",SUMPRODUCT(--ISNUMBER(SEARCH('Category Dictionary'!$D$5:$D$135&amp;"",$C1109)),--('Category Dictionary'!$D$5:$D$135&lt;&gt;"")))</f>
        <v/>
      </c>
      <c r="L1109" s="27">
        <f>IF($A1109="","",TRIM(IF(ISERROR(FIND(",",$C1109)),$C1109,LEFT($C1109,FIND(",",$C1109)-1))))</f>
        <v/>
      </c>
      <c r="M1109" s="28">
        <f>IF($H1109="","",DATE(YEAR($H1109),MONTH($H1109),1))</f>
        <v/>
      </c>
      <c r="N1109" s="26">
        <f>IF($H1109="","",TODAY()-$H1109)</f>
        <v/>
      </c>
      <c r="O1109" s="15" t="n"/>
      <c r="P1109" s="15" t="n"/>
      <c r="Q1109" s="15" t="n"/>
      <c r="R1109" s="25" t="n"/>
      <c r="S1109" s="26">
        <f>IF($A1109="","",AND(OR('Assignment Builder'!$B$5="",$B1109='Assignment Builder'!$B$5),OR('Assignment Builder'!$B$6="",ISNUMBER(SEARCH('Assignment Builder'!$B$6,$C1109))),OR('Assignment Builder'!$B$7="",'Assignment Builder'!$B$7=IFERROR(INDEX('Category Dictionary'!$C$5:$C$135,MATCH($L1109,'Category Dictionary'!$D$5:$D$135,0)),"")),OR('Assignment Builder'!$B$8="",$D1109='Assignment Builder'!$B$8),OR('Assignment Builder'!$B$9="",$F1109='Assignment Builder'!$B$9),OR('Assignment Builder'!$B$10="",$O1109='Assignment Builder'!$B$10),OR('Assignment Builder'!$B$11="",$H1109&gt;='Assignment Builder'!$B$11),OR('Assignment Builder'!$B$12="",N($Q1109)&lt;='Assignment Builder'!$B$12)))</f>
        <v/>
      </c>
      <c r="T1109" s="23" t="n"/>
    </row>
    <row r="1110">
      <c r="A1110" s="23" t="n"/>
      <c r="B1110" s="23" t="n"/>
      <c r="C1110" s="24" t="n"/>
      <c r="D1110" s="15" t="n"/>
      <c r="E1110" s="23" t="n"/>
      <c r="F1110" s="15" t="n"/>
      <c r="G1110" s="23" t="n"/>
      <c r="H1110" s="25" t="n"/>
      <c r="I1110" s="15" t="n"/>
      <c r="J1110" s="26">
        <f>IF($A1110="","",LEN($C1110)-LEN(SUBSTITUTE($C1110,",",""))+1)</f>
        <v/>
      </c>
      <c r="K1110" s="26">
        <f>IF($A1110="","",SUMPRODUCT(--ISNUMBER(SEARCH('Category Dictionary'!$D$5:$D$135&amp;"",$C1110)),--('Category Dictionary'!$D$5:$D$135&lt;&gt;"")))</f>
        <v/>
      </c>
      <c r="L1110" s="27">
        <f>IF($A1110="","",TRIM(IF(ISERROR(FIND(",",$C1110)),$C1110,LEFT($C1110,FIND(",",$C1110)-1))))</f>
        <v/>
      </c>
      <c r="M1110" s="28">
        <f>IF($H1110="","",DATE(YEAR($H1110),MONTH($H1110),1))</f>
        <v/>
      </c>
      <c r="N1110" s="26">
        <f>IF($H1110="","",TODAY()-$H1110)</f>
        <v/>
      </c>
      <c r="O1110" s="15" t="n"/>
      <c r="P1110" s="15" t="n"/>
      <c r="Q1110" s="15" t="n"/>
      <c r="R1110" s="25" t="n"/>
      <c r="S1110" s="26">
        <f>IF($A1110="","",AND(OR('Assignment Builder'!$B$5="",$B1110='Assignment Builder'!$B$5),OR('Assignment Builder'!$B$6="",ISNUMBER(SEARCH('Assignment Builder'!$B$6,$C1110))),OR('Assignment Builder'!$B$7="",'Assignment Builder'!$B$7=IFERROR(INDEX('Category Dictionary'!$C$5:$C$135,MATCH($L1110,'Category Dictionary'!$D$5:$D$135,0)),"")),OR('Assignment Builder'!$B$8="",$D1110='Assignment Builder'!$B$8),OR('Assignment Builder'!$B$9="",$F1110='Assignment Builder'!$B$9),OR('Assignment Builder'!$B$10="",$O1110='Assignment Builder'!$B$10),OR('Assignment Builder'!$B$11="",$H1110&gt;='Assignment Builder'!$B$11),OR('Assignment Builder'!$B$12="",N($Q1110)&lt;='Assignment Builder'!$B$12)))</f>
        <v/>
      </c>
      <c r="T1110" s="23" t="n"/>
    </row>
    <row r="1111">
      <c r="A1111" s="23" t="n"/>
      <c r="B1111" s="23" t="n"/>
      <c r="C1111" s="24" t="n"/>
      <c r="D1111" s="15" t="n"/>
      <c r="E1111" s="23" t="n"/>
      <c r="F1111" s="15" t="n"/>
      <c r="G1111" s="23" t="n"/>
      <c r="H1111" s="25" t="n"/>
      <c r="I1111" s="15" t="n"/>
      <c r="J1111" s="26">
        <f>IF($A1111="","",LEN($C1111)-LEN(SUBSTITUTE($C1111,",",""))+1)</f>
        <v/>
      </c>
      <c r="K1111" s="26">
        <f>IF($A1111="","",SUMPRODUCT(--ISNUMBER(SEARCH('Category Dictionary'!$D$5:$D$135&amp;"",$C1111)),--('Category Dictionary'!$D$5:$D$135&lt;&gt;"")))</f>
        <v/>
      </c>
      <c r="L1111" s="27">
        <f>IF($A1111="","",TRIM(IF(ISERROR(FIND(",",$C1111)),$C1111,LEFT($C1111,FIND(",",$C1111)-1))))</f>
        <v/>
      </c>
      <c r="M1111" s="28">
        <f>IF($H1111="","",DATE(YEAR($H1111),MONTH($H1111),1))</f>
        <v/>
      </c>
      <c r="N1111" s="26">
        <f>IF($H1111="","",TODAY()-$H1111)</f>
        <v/>
      </c>
      <c r="O1111" s="15" t="n"/>
      <c r="P1111" s="15" t="n"/>
      <c r="Q1111" s="15" t="n"/>
      <c r="R1111" s="25" t="n"/>
      <c r="S1111" s="26">
        <f>IF($A1111="","",AND(OR('Assignment Builder'!$B$5="",$B1111='Assignment Builder'!$B$5),OR('Assignment Builder'!$B$6="",ISNUMBER(SEARCH('Assignment Builder'!$B$6,$C1111))),OR('Assignment Builder'!$B$7="",'Assignment Builder'!$B$7=IFERROR(INDEX('Category Dictionary'!$C$5:$C$135,MATCH($L1111,'Category Dictionary'!$D$5:$D$135,0)),"")),OR('Assignment Builder'!$B$8="",$D1111='Assignment Builder'!$B$8),OR('Assignment Builder'!$B$9="",$F1111='Assignment Builder'!$B$9),OR('Assignment Builder'!$B$10="",$O1111='Assignment Builder'!$B$10),OR('Assignment Builder'!$B$11="",$H1111&gt;='Assignment Builder'!$B$11),OR('Assignment Builder'!$B$12="",N($Q1111)&lt;='Assignment Builder'!$B$12)))</f>
        <v/>
      </c>
      <c r="T1111" s="23" t="n"/>
    </row>
    <row r="1112">
      <c r="A1112" s="23" t="n"/>
      <c r="B1112" s="23" t="n"/>
      <c r="C1112" s="24" t="n"/>
      <c r="D1112" s="15" t="n"/>
      <c r="E1112" s="23" t="n"/>
      <c r="F1112" s="15" t="n"/>
      <c r="G1112" s="23" t="n"/>
      <c r="H1112" s="25" t="n"/>
      <c r="I1112" s="15" t="n"/>
      <c r="J1112" s="26">
        <f>IF($A1112="","",LEN($C1112)-LEN(SUBSTITUTE($C1112,",",""))+1)</f>
        <v/>
      </c>
      <c r="K1112" s="26">
        <f>IF($A1112="","",SUMPRODUCT(--ISNUMBER(SEARCH('Category Dictionary'!$D$5:$D$135&amp;"",$C1112)),--('Category Dictionary'!$D$5:$D$135&lt;&gt;"")))</f>
        <v/>
      </c>
      <c r="L1112" s="27">
        <f>IF($A1112="","",TRIM(IF(ISERROR(FIND(",",$C1112)),$C1112,LEFT($C1112,FIND(",",$C1112)-1))))</f>
        <v/>
      </c>
      <c r="M1112" s="28">
        <f>IF($H1112="","",DATE(YEAR($H1112),MONTH($H1112),1))</f>
        <v/>
      </c>
      <c r="N1112" s="26">
        <f>IF($H1112="","",TODAY()-$H1112)</f>
        <v/>
      </c>
      <c r="O1112" s="15" t="n"/>
      <c r="P1112" s="15" t="n"/>
      <c r="Q1112" s="15" t="n"/>
      <c r="R1112" s="25" t="n"/>
      <c r="S1112" s="26">
        <f>IF($A1112="","",AND(OR('Assignment Builder'!$B$5="",$B1112='Assignment Builder'!$B$5),OR('Assignment Builder'!$B$6="",ISNUMBER(SEARCH('Assignment Builder'!$B$6,$C1112))),OR('Assignment Builder'!$B$7="",'Assignment Builder'!$B$7=IFERROR(INDEX('Category Dictionary'!$C$5:$C$135,MATCH($L1112,'Category Dictionary'!$D$5:$D$135,0)),"")),OR('Assignment Builder'!$B$8="",$D1112='Assignment Builder'!$B$8),OR('Assignment Builder'!$B$9="",$F1112='Assignment Builder'!$B$9),OR('Assignment Builder'!$B$10="",$O1112='Assignment Builder'!$B$10),OR('Assignment Builder'!$B$11="",$H1112&gt;='Assignment Builder'!$B$11),OR('Assignment Builder'!$B$12="",N($Q1112)&lt;='Assignment Builder'!$B$12)))</f>
        <v/>
      </c>
      <c r="T1112" s="23" t="n"/>
    </row>
    <row r="1113">
      <c r="A1113" s="23" t="n"/>
      <c r="B1113" s="23" t="n"/>
      <c r="C1113" s="24" t="n"/>
      <c r="D1113" s="15" t="n"/>
      <c r="E1113" s="23" t="n"/>
      <c r="F1113" s="15" t="n"/>
      <c r="G1113" s="23" t="n"/>
      <c r="H1113" s="25" t="n"/>
      <c r="I1113" s="15" t="n"/>
      <c r="J1113" s="26">
        <f>IF($A1113="","",LEN($C1113)-LEN(SUBSTITUTE($C1113,",",""))+1)</f>
        <v/>
      </c>
      <c r="K1113" s="26">
        <f>IF($A1113="","",SUMPRODUCT(--ISNUMBER(SEARCH('Category Dictionary'!$D$5:$D$135&amp;"",$C1113)),--('Category Dictionary'!$D$5:$D$135&lt;&gt;"")))</f>
        <v/>
      </c>
      <c r="L1113" s="27">
        <f>IF($A1113="","",TRIM(IF(ISERROR(FIND(",",$C1113)),$C1113,LEFT($C1113,FIND(",",$C1113)-1))))</f>
        <v/>
      </c>
      <c r="M1113" s="28">
        <f>IF($H1113="","",DATE(YEAR($H1113),MONTH($H1113),1))</f>
        <v/>
      </c>
      <c r="N1113" s="26">
        <f>IF($H1113="","",TODAY()-$H1113)</f>
        <v/>
      </c>
      <c r="O1113" s="15" t="n"/>
      <c r="P1113" s="15" t="n"/>
      <c r="Q1113" s="15" t="n"/>
      <c r="R1113" s="25" t="n"/>
      <c r="S1113" s="26">
        <f>IF($A1113="","",AND(OR('Assignment Builder'!$B$5="",$B1113='Assignment Builder'!$B$5),OR('Assignment Builder'!$B$6="",ISNUMBER(SEARCH('Assignment Builder'!$B$6,$C1113))),OR('Assignment Builder'!$B$7="",'Assignment Builder'!$B$7=IFERROR(INDEX('Category Dictionary'!$C$5:$C$135,MATCH($L1113,'Category Dictionary'!$D$5:$D$135,0)),"")),OR('Assignment Builder'!$B$8="",$D1113='Assignment Builder'!$B$8),OR('Assignment Builder'!$B$9="",$F1113='Assignment Builder'!$B$9),OR('Assignment Builder'!$B$10="",$O1113='Assignment Builder'!$B$10),OR('Assignment Builder'!$B$11="",$H1113&gt;='Assignment Builder'!$B$11),OR('Assignment Builder'!$B$12="",N($Q1113)&lt;='Assignment Builder'!$B$12)))</f>
        <v/>
      </c>
      <c r="T1113" s="23" t="n"/>
    </row>
    <row r="1114">
      <c r="A1114" s="23" t="n"/>
      <c r="B1114" s="23" t="n"/>
      <c r="C1114" s="24" t="n"/>
      <c r="D1114" s="15" t="n"/>
      <c r="E1114" s="23" t="n"/>
      <c r="F1114" s="15" t="n"/>
      <c r="G1114" s="23" t="n"/>
      <c r="H1114" s="25" t="n"/>
      <c r="I1114" s="15" t="n"/>
      <c r="J1114" s="26">
        <f>IF($A1114="","",LEN($C1114)-LEN(SUBSTITUTE($C1114,",",""))+1)</f>
        <v/>
      </c>
      <c r="K1114" s="26">
        <f>IF($A1114="","",SUMPRODUCT(--ISNUMBER(SEARCH('Category Dictionary'!$D$5:$D$135&amp;"",$C1114)),--('Category Dictionary'!$D$5:$D$135&lt;&gt;"")))</f>
        <v/>
      </c>
      <c r="L1114" s="27">
        <f>IF($A1114="","",TRIM(IF(ISERROR(FIND(",",$C1114)),$C1114,LEFT($C1114,FIND(",",$C1114)-1))))</f>
        <v/>
      </c>
      <c r="M1114" s="28">
        <f>IF($H1114="","",DATE(YEAR($H1114),MONTH($H1114),1))</f>
        <v/>
      </c>
      <c r="N1114" s="26">
        <f>IF($H1114="","",TODAY()-$H1114)</f>
        <v/>
      </c>
      <c r="O1114" s="15" t="n"/>
      <c r="P1114" s="15" t="n"/>
      <c r="Q1114" s="15" t="n"/>
      <c r="R1114" s="25" t="n"/>
      <c r="S1114" s="26">
        <f>IF($A1114="","",AND(OR('Assignment Builder'!$B$5="",$B1114='Assignment Builder'!$B$5),OR('Assignment Builder'!$B$6="",ISNUMBER(SEARCH('Assignment Builder'!$B$6,$C1114))),OR('Assignment Builder'!$B$7="",'Assignment Builder'!$B$7=IFERROR(INDEX('Category Dictionary'!$C$5:$C$135,MATCH($L1114,'Category Dictionary'!$D$5:$D$135,0)),"")),OR('Assignment Builder'!$B$8="",$D1114='Assignment Builder'!$B$8),OR('Assignment Builder'!$B$9="",$F1114='Assignment Builder'!$B$9),OR('Assignment Builder'!$B$10="",$O1114='Assignment Builder'!$B$10),OR('Assignment Builder'!$B$11="",$H1114&gt;='Assignment Builder'!$B$11),OR('Assignment Builder'!$B$12="",N($Q1114)&lt;='Assignment Builder'!$B$12)))</f>
        <v/>
      </c>
      <c r="T1114" s="23" t="n"/>
    </row>
    <row r="1115">
      <c r="A1115" s="23" t="n"/>
      <c r="B1115" s="23" t="n"/>
      <c r="C1115" s="24" t="n"/>
      <c r="D1115" s="15" t="n"/>
      <c r="E1115" s="23" t="n"/>
      <c r="F1115" s="15" t="n"/>
      <c r="G1115" s="23" t="n"/>
      <c r="H1115" s="25" t="n"/>
      <c r="I1115" s="15" t="n"/>
      <c r="J1115" s="26">
        <f>IF($A1115="","",LEN($C1115)-LEN(SUBSTITUTE($C1115,",",""))+1)</f>
        <v/>
      </c>
      <c r="K1115" s="26">
        <f>IF($A1115="","",SUMPRODUCT(--ISNUMBER(SEARCH('Category Dictionary'!$D$5:$D$135&amp;"",$C1115)),--('Category Dictionary'!$D$5:$D$135&lt;&gt;"")))</f>
        <v/>
      </c>
      <c r="L1115" s="27">
        <f>IF($A1115="","",TRIM(IF(ISERROR(FIND(",",$C1115)),$C1115,LEFT($C1115,FIND(",",$C1115)-1))))</f>
        <v/>
      </c>
      <c r="M1115" s="28">
        <f>IF($H1115="","",DATE(YEAR($H1115),MONTH($H1115),1))</f>
        <v/>
      </c>
      <c r="N1115" s="26">
        <f>IF($H1115="","",TODAY()-$H1115)</f>
        <v/>
      </c>
      <c r="O1115" s="15" t="n"/>
      <c r="P1115" s="15" t="n"/>
      <c r="Q1115" s="15" t="n"/>
      <c r="R1115" s="25" t="n"/>
      <c r="S1115" s="26">
        <f>IF($A1115="","",AND(OR('Assignment Builder'!$B$5="",$B1115='Assignment Builder'!$B$5),OR('Assignment Builder'!$B$6="",ISNUMBER(SEARCH('Assignment Builder'!$B$6,$C1115))),OR('Assignment Builder'!$B$7="",'Assignment Builder'!$B$7=IFERROR(INDEX('Category Dictionary'!$C$5:$C$135,MATCH($L1115,'Category Dictionary'!$D$5:$D$135,0)),"")),OR('Assignment Builder'!$B$8="",$D1115='Assignment Builder'!$B$8),OR('Assignment Builder'!$B$9="",$F1115='Assignment Builder'!$B$9),OR('Assignment Builder'!$B$10="",$O1115='Assignment Builder'!$B$10),OR('Assignment Builder'!$B$11="",$H1115&gt;='Assignment Builder'!$B$11),OR('Assignment Builder'!$B$12="",N($Q1115)&lt;='Assignment Builder'!$B$12)))</f>
        <v/>
      </c>
      <c r="T1115" s="23" t="n"/>
    </row>
    <row r="1116">
      <c r="A1116" s="23" t="n"/>
      <c r="B1116" s="23" t="n"/>
      <c r="C1116" s="24" t="n"/>
      <c r="D1116" s="15" t="n"/>
      <c r="E1116" s="23" t="n"/>
      <c r="F1116" s="15" t="n"/>
      <c r="G1116" s="23" t="n"/>
      <c r="H1116" s="25" t="n"/>
      <c r="I1116" s="15" t="n"/>
      <c r="J1116" s="26">
        <f>IF($A1116="","",LEN($C1116)-LEN(SUBSTITUTE($C1116,",",""))+1)</f>
        <v/>
      </c>
      <c r="K1116" s="26">
        <f>IF($A1116="","",SUMPRODUCT(--ISNUMBER(SEARCH('Category Dictionary'!$D$5:$D$135&amp;"",$C1116)),--('Category Dictionary'!$D$5:$D$135&lt;&gt;"")))</f>
        <v/>
      </c>
      <c r="L1116" s="27">
        <f>IF($A1116="","",TRIM(IF(ISERROR(FIND(",",$C1116)),$C1116,LEFT($C1116,FIND(",",$C1116)-1))))</f>
        <v/>
      </c>
      <c r="M1116" s="28">
        <f>IF($H1116="","",DATE(YEAR($H1116),MONTH($H1116),1))</f>
        <v/>
      </c>
      <c r="N1116" s="26">
        <f>IF($H1116="","",TODAY()-$H1116)</f>
        <v/>
      </c>
      <c r="O1116" s="15" t="n"/>
      <c r="P1116" s="15" t="n"/>
      <c r="Q1116" s="15" t="n"/>
      <c r="R1116" s="25" t="n"/>
      <c r="S1116" s="26">
        <f>IF($A1116="","",AND(OR('Assignment Builder'!$B$5="",$B1116='Assignment Builder'!$B$5),OR('Assignment Builder'!$B$6="",ISNUMBER(SEARCH('Assignment Builder'!$B$6,$C1116))),OR('Assignment Builder'!$B$7="",'Assignment Builder'!$B$7=IFERROR(INDEX('Category Dictionary'!$C$5:$C$135,MATCH($L1116,'Category Dictionary'!$D$5:$D$135,0)),"")),OR('Assignment Builder'!$B$8="",$D1116='Assignment Builder'!$B$8),OR('Assignment Builder'!$B$9="",$F1116='Assignment Builder'!$B$9),OR('Assignment Builder'!$B$10="",$O1116='Assignment Builder'!$B$10),OR('Assignment Builder'!$B$11="",$H1116&gt;='Assignment Builder'!$B$11),OR('Assignment Builder'!$B$12="",N($Q1116)&lt;='Assignment Builder'!$B$12)))</f>
        <v/>
      </c>
      <c r="T1116" s="23" t="n"/>
    </row>
    <row r="1117">
      <c r="A1117" s="23" t="n"/>
      <c r="B1117" s="23" t="n"/>
      <c r="C1117" s="24" t="n"/>
      <c r="D1117" s="15" t="n"/>
      <c r="E1117" s="23" t="n"/>
      <c r="F1117" s="15" t="n"/>
      <c r="G1117" s="23" t="n"/>
      <c r="H1117" s="25" t="n"/>
      <c r="I1117" s="15" t="n"/>
      <c r="J1117" s="26">
        <f>IF($A1117="","",LEN($C1117)-LEN(SUBSTITUTE($C1117,",",""))+1)</f>
        <v/>
      </c>
      <c r="K1117" s="26">
        <f>IF($A1117="","",SUMPRODUCT(--ISNUMBER(SEARCH('Category Dictionary'!$D$5:$D$135&amp;"",$C1117)),--('Category Dictionary'!$D$5:$D$135&lt;&gt;"")))</f>
        <v/>
      </c>
      <c r="L1117" s="27">
        <f>IF($A1117="","",TRIM(IF(ISERROR(FIND(",",$C1117)),$C1117,LEFT($C1117,FIND(",",$C1117)-1))))</f>
        <v/>
      </c>
      <c r="M1117" s="28">
        <f>IF($H1117="","",DATE(YEAR($H1117),MONTH($H1117),1))</f>
        <v/>
      </c>
      <c r="N1117" s="26">
        <f>IF($H1117="","",TODAY()-$H1117)</f>
        <v/>
      </c>
      <c r="O1117" s="15" t="n"/>
      <c r="P1117" s="15" t="n"/>
      <c r="Q1117" s="15" t="n"/>
      <c r="R1117" s="25" t="n"/>
      <c r="S1117" s="26">
        <f>IF($A1117="","",AND(OR('Assignment Builder'!$B$5="",$B1117='Assignment Builder'!$B$5),OR('Assignment Builder'!$B$6="",ISNUMBER(SEARCH('Assignment Builder'!$B$6,$C1117))),OR('Assignment Builder'!$B$7="",'Assignment Builder'!$B$7=IFERROR(INDEX('Category Dictionary'!$C$5:$C$135,MATCH($L1117,'Category Dictionary'!$D$5:$D$135,0)),"")),OR('Assignment Builder'!$B$8="",$D1117='Assignment Builder'!$B$8),OR('Assignment Builder'!$B$9="",$F1117='Assignment Builder'!$B$9),OR('Assignment Builder'!$B$10="",$O1117='Assignment Builder'!$B$10),OR('Assignment Builder'!$B$11="",$H1117&gt;='Assignment Builder'!$B$11),OR('Assignment Builder'!$B$12="",N($Q1117)&lt;='Assignment Builder'!$B$12)))</f>
        <v/>
      </c>
      <c r="T1117" s="23" t="n"/>
    </row>
    <row r="1118">
      <c r="A1118" s="23" t="n"/>
      <c r="B1118" s="23" t="n"/>
      <c r="C1118" s="24" t="n"/>
      <c r="D1118" s="15" t="n"/>
      <c r="E1118" s="23" t="n"/>
      <c r="F1118" s="15" t="n"/>
      <c r="G1118" s="23" t="n"/>
      <c r="H1118" s="25" t="n"/>
      <c r="I1118" s="15" t="n"/>
      <c r="J1118" s="26">
        <f>IF($A1118="","",LEN($C1118)-LEN(SUBSTITUTE($C1118,",",""))+1)</f>
        <v/>
      </c>
      <c r="K1118" s="26">
        <f>IF($A1118="","",SUMPRODUCT(--ISNUMBER(SEARCH('Category Dictionary'!$D$5:$D$135&amp;"",$C1118)),--('Category Dictionary'!$D$5:$D$135&lt;&gt;"")))</f>
        <v/>
      </c>
      <c r="L1118" s="27">
        <f>IF($A1118="","",TRIM(IF(ISERROR(FIND(",",$C1118)),$C1118,LEFT($C1118,FIND(",",$C1118)-1))))</f>
        <v/>
      </c>
      <c r="M1118" s="28">
        <f>IF($H1118="","",DATE(YEAR($H1118),MONTH($H1118),1))</f>
        <v/>
      </c>
      <c r="N1118" s="26">
        <f>IF($H1118="","",TODAY()-$H1118)</f>
        <v/>
      </c>
      <c r="O1118" s="15" t="n"/>
      <c r="P1118" s="15" t="n"/>
      <c r="Q1118" s="15" t="n"/>
      <c r="R1118" s="25" t="n"/>
      <c r="S1118" s="26">
        <f>IF($A1118="","",AND(OR('Assignment Builder'!$B$5="",$B1118='Assignment Builder'!$B$5),OR('Assignment Builder'!$B$6="",ISNUMBER(SEARCH('Assignment Builder'!$B$6,$C1118))),OR('Assignment Builder'!$B$7="",'Assignment Builder'!$B$7=IFERROR(INDEX('Category Dictionary'!$C$5:$C$135,MATCH($L1118,'Category Dictionary'!$D$5:$D$135,0)),"")),OR('Assignment Builder'!$B$8="",$D1118='Assignment Builder'!$B$8),OR('Assignment Builder'!$B$9="",$F1118='Assignment Builder'!$B$9),OR('Assignment Builder'!$B$10="",$O1118='Assignment Builder'!$B$10),OR('Assignment Builder'!$B$11="",$H1118&gt;='Assignment Builder'!$B$11),OR('Assignment Builder'!$B$12="",N($Q1118)&lt;='Assignment Builder'!$B$12)))</f>
        <v/>
      </c>
      <c r="T1118" s="23" t="n"/>
    </row>
    <row r="1119">
      <c r="A1119" s="23" t="n"/>
      <c r="B1119" s="23" t="n"/>
      <c r="C1119" s="24" t="n"/>
      <c r="D1119" s="15" t="n"/>
      <c r="E1119" s="23" t="n"/>
      <c r="F1119" s="15" t="n"/>
      <c r="G1119" s="23" t="n"/>
      <c r="H1119" s="25" t="n"/>
      <c r="I1119" s="15" t="n"/>
      <c r="J1119" s="26">
        <f>IF($A1119="","",LEN($C1119)-LEN(SUBSTITUTE($C1119,",",""))+1)</f>
        <v/>
      </c>
      <c r="K1119" s="26">
        <f>IF($A1119="","",SUMPRODUCT(--ISNUMBER(SEARCH('Category Dictionary'!$D$5:$D$135&amp;"",$C1119)),--('Category Dictionary'!$D$5:$D$135&lt;&gt;"")))</f>
        <v/>
      </c>
      <c r="L1119" s="27">
        <f>IF($A1119="","",TRIM(IF(ISERROR(FIND(",",$C1119)),$C1119,LEFT($C1119,FIND(",",$C1119)-1))))</f>
        <v/>
      </c>
      <c r="M1119" s="28">
        <f>IF($H1119="","",DATE(YEAR($H1119),MONTH($H1119),1))</f>
        <v/>
      </c>
      <c r="N1119" s="26">
        <f>IF($H1119="","",TODAY()-$H1119)</f>
        <v/>
      </c>
      <c r="O1119" s="15" t="n"/>
      <c r="P1119" s="15" t="n"/>
      <c r="Q1119" s="15" t="n"/>
      <c r="R1119" s="25" t="n"/>
      <c r="S1119" s="26">
        <f>IF($A1119="","",AND(OR('Assignment Builder'!$B$5="",$B1119='Assignment Builder'!$B$5),OR('Assignment Builder'!$B$6="",ISNUMBER(SEARCH('Assignment Builder'!$B$6,$C1119))),OR('Assignment Builder'!$B$7="",'Assignment Builder'!$B$7=IFERROR(INDEX('Category Dictionary'!$C$5:$C$135,MATCH($L1119,'Category Dictionary'!$D$5:$D$135,0)),"")),OR('Assignment Builder'!$B$8="",$D1119='Assignment Builder'!$B$8),OR('Assignment Builder'!$B$9="",$F1119='Assignment Builder'!$B$9),OR('Assignment Builder'!$B$10="",$O1119='Assignment Builder'!$B$10),OR('Assignment Builder'!$B$11="",$H1119&gt;='Assignment Builder'!$B$11),OR('Assignment Builder'!$B$12="",N($Q1119)&lt;='Assignment Builder'!$B$12)))</f>
        <v/>
      </c>
      <c r="T1119" s="23" t="n"/>
    </row>
    <row r="1120">
      <c r="A1120" s="23" t="n"/>
      <c r="B1120" s="23" t="n"/>
      <c r="C1120" s="24" t="n"/>
      <c r="D1120" s="15" t="n"/>
      <c r="E1120" s="23" t="n"/>
      <c r="F1120" s="15" t="n"/>
      <c r="G1120" s="23" t="n"/>
      <c r="H1120" s="25" t="n"/>
      <c r="I1120" s="15" t="n"/>
      <c r="J1120" s="26">
        <f>IF($A1120="","",LEN($C1120)-LEN(SUBSTITUTE($C1120,",",""))+1)</f>
        <v/>
      </c>
      <c r="K1120" s="26">
        <f>IF($A1120="","",SUMPRODUCT(--ISNUMBER(SEARCH('Category Dictionary'!$D$5:$D$135&amp;"",$C1120)),--('Category Dictionary'!$D$5:$D$135&lt;&gt;"")))</f>
        <v/>
      </c>
      <c r="L1120" s="27">
        <f>IF($A1120="","",TRIM(IF(ISERROR(FIND(",",$C1120)),$C1120,LEFT($C1120,FIND(",",$C1120)-1))))</f>
        <v/>
      </c>
      <c r="M1120" s="28">
        <f>IF($H1120="","",DATE(YEAR($H1120),MONTH($H1120),1))</f>
        <v/>
      </c>
      <c r="N1120" s="26">
        <f>IF($H1120="","",TODAY()-$H1120)</f>
        <v/>
      </c>
      <c r="O1120" s="15" t="n"/>
      <c r="P1120" s="15" t="n"/>
      <c r="Q1120" s="15" t="n"/>
      <c r="R1120" s="25" t="n"/>
      <c r="S1120" s="26">
        <f>IF($A1120="","",AND(OR('Assignment Builder'!$B$5="",$B1120='Assignment Builder'!$B$5),OR('Assignment Builder'!$B$6="",ISNUMBER(SEARCH('Assignment Builder'!$B$6,$C1120))),OR('Assignment Builder'!$B$7="",'Assignment Builder'!$B$7=IFERROR(INDEX('Category Dictionary'!$C$5:$C$135,MATCH($L1120,'Category Dictionary'!$D$5:$D$135,0)),"")),OR('Assignment Builder'!$B$8="",$D1120='Assignment Builder'!$B$8),OR('Assignment Builder'!$B$9="",$F1120='Assignment Builder'!$B$9),OR('Assignment Builder'!$B$10="",$O1120='Assignment Builder'!$B$10),OR('Assignment Builder'!$B$11="",$H1120&gt;='Assignment Builder'!$B$11),OR('Assignment Builder'!$B$12="",N($Q1120)&lt;='Assignment Builder'!$B$12)))</f>
        <v/>
      </c>
      <c r="T1120" s="23" t="n"/>
    </row>
    <row r="1121">
      <c r="A1121" s="23" t="n"/>
      <c r="B1121" s="23" t="n"/>
      <c r="C1121" s="24" t="n"/>
      <c r="D1121" s="15" t="n"/>
      <c r="E1121" s="23" t="n"/>
      <c r="F1121" s="15" t="n"/>
      <c r="G1121" s="23" t="n"/>
      <c r="H1121" s="25" t="n"/>
      <c r="I1121" s="15" t="n"/>
      <c r="J1121" s="26">
        <f>IF($A1121="","",LEN($C1121)-LEN(SUBSTITUTE($C1121,",",""))+1)</f>
        <v/>
      </c>
      <c r="K1121" s="26">
        <f>IF($A1121="","",SUMPRODUCT(--ISNUMBER(SEARCH('Category Dictionary'!$D$5:$D$135&amp;"",$C1121)),--('Category Dictionary'!$D$5:$D$135&lt;&gt;"")))</f>
        <v/>
      </c>
      <c r="L1121" s="27">
        <f>IF($A1121="","",TRIM(IF(ISERROR(FIND(",",$C1121)),$C1121,LEFT($C1121,FIND(",",$C1121)-1))))</f>
        <v/>
      </c>
      <c r="M1121" s="28">
        <f>IF($H1121="","",DATE(YEAR($H1121),MONTH($H1121),1))</f>
        <v/>
      </c>
      <c r="N1121" s="26">
        <f>IF($H1121="","",TODAY()-$H1121)</f>
        <v/>
      </c>
      <c r="O1121" s="15" t="n"/>
      <c r="P1121" s="15" t="n"/>
      <c r="Q1121" s="15" t="n"/>
      <c r="R1121" s="25" t="n"/>
      <c r="S1121" s="26">
        <f>IF($A1121="","",AND(OR('Assignment Builder'!$B$5="",$B1121='Assignment Builder'!$B$5),OR('Assignment Builder'!$B$6="",ISNUMBER(SEARCH('Assignment Builder'!$B$6,$C1121))),OR('Assignment Builder'!$B$7="",'Assignment Builder'!$B$7=IFERROR(INDEX('Category Dictionary'!$C$5:$C$135,MATCH($L1121,'Category Dictionary'!$D$5:$D$135,0)),"")),OR('Assignment Builder'!$B$8="",$D1121='Assignment Builder'!$B$8),OR('Assignment Builder'!$B$9="",$F1121='Assignment Builder'!$B$9),OR('Assignment Builder'!$B$10="",$O1121='Assignment Builder'!$B$10),OR('Assignment Builder'!$B$11="",$H1121&gt;='Assignment Builder'!$B$11),OR('Assignment Builder'!$B$12="",N($Q1121)&lt;='Assignment Builder'!$B$12)))</f>
        <v/>
      </c>
      <c r="T1121" s="23" t="n"/>
    </row>
    <row r="1122">
      <c r="A1122" s="23" t="n"/>
      <c r="B1122" s="23" t="n"/>
      <c r="C1122" s="24" t="n"/>
      <c r="D1122" s="15" t="n"/>
      <c r="E1122" s="23" t="n"/>
      <c r="F1122" s="15" t="n"/>
      <c r="G1122" s="23" t="n"/>
      <c r="H1122" s="25" t="n"/>
      <c r="I1122" s="15" t="n"/>
      <c r="J1122" s="26">
        <f>IF($A1122="","",LEN($C1122)-LEN(SUBSTITUTE($C1122,",",""))+1)</f>
        <v/>
      </c>
      <c r="K1122" s="26">
        <f>IF($A1122="","",SUMPRODUCT(--ISNUMBER(SEARCH('Category Dictionary'!$D$5:$D$135&amp;"",$C1122)),--('Category Dictionary'!$D$5:$D$135&lt;&gt;"")))</f>
        <v/>
      </c>
      <c r="L1122" s="27">
        <f>IF($A1122="","",TRIM(IF(ISERROR(FIND(",",$C1122)),$C1122,LEFT($C1122,FIND(",",$C1122)-1))))</f>
        <v/>
      </c>
      <c r="M1122" s="28">
        <f>IF($H1122="","",DATE(YEAR($H1122),MONTH($H1122),1))</f>
        <v/>
      </c>
      <c r="N1122" s="26">
        <f>IF($H1122="","",TODAY()-$H1122)</f>
        <v/>
      </c>
      <c r="O1122" s="15" t="n"/>
      <c r="P1122" s="15" t="n"/>
      <c r="Q1122" s="15" t="n"/>
      <c r="R1122" s="25" t="n"/>
      <c r="S1122" s="26">
        <f>IF($A1122="","",AND(OR('Assignment Builder'!$B$5="",$B1122='Assignment Builder'!$B$5),OR('Assignment Builder'!$B$6="",ISNUMBER(SEARCH('Assignment Builder'!$B$6,$C1122))),OR('Assignment Builder'!$B$7="",'Assignment Builder'!$B$7=IFERROR(INDEX('Category Dictionary'!$C$5:$C$135,MATCH($L1122,'Category Dictionary'!$D$5:$D$135,0)),"")),OR('Assignment Builder'!$B$8="",$D1122='Assignment Builder'!$B$8),OR('Assignment Builder'!$B$9="",$F1122='Assignment Builder'!$B$9),OR('Assignment Builder'!$B$10="",$O1122='Assignment Builder'!$B$10),OR('Assignment Builder'!$B$11="",$H1122&gt;='Assignment Builder'!$B$11),OR('Assignment Builder'!$B$12="",N($Q1122)&lt;='Assignment Builder'!$B$12)))</f>
        <v/>
      </c>
      <c r="T1122" s="23" t="n"/>
    </row>
    <row r="1123">
      <c r="A1123" s="23" t="n"/>
      <c r="B1123" s="23" t="n"/>
      <c r="C1123" s="24" t="n"/>
      <c r="D1123" s="15" t="n"/>
      <c r="E1123" s="23" t="n"/>
      <c r="F1123" s="15" t="n"/>
      <c r="G1123" s="23" t="n"/>
      <c r="H1123" s="25" t="n"/>
      <c r="I1123" s="15" t="n"/>
      <c r="J1123" s="26">
        <f>IF($A1123="","",LEN($C1123)-LEN(SUBSTITUTE($C1123,",",""))+1)</f>
        <v/>
      </c>
      <c r="K1123" s="26">
        <f>IF($A1123="","",SUMPRODUCT(--ISNUMBER(SEARCH('Category Dictionary'!$D$5:$D$135&amp;"",$C1123)),--('Category Dictionary'!$D$5:$D$135&lt;&gt;"")))</f>
        <v/>
      </c>
      <c r="L1123" s="27">
        <f>IF($A1123="","",TRIM(IF(ISERROR(FIND(",",$C1123)),$C1123,LEFT($C1123,FIND(",",$C1123)-1))))</f>
        <v/>
      </c>
      <c r="M1123" s="28">
        <f>IF($H1123="","",DATE(YEAR($H1123),MONTH($H1123),1))</f>
        <v/>
      </c>
      <c r="N1123" s="26">
        <f>IF($H1123="","",TODAY()-$H1123)</f>
        <v/>
      </c>
      <c r="O1123" s="15" t="n"/>
      <c r="P1123" s="15" t="n"/>
      <c r="Q1123" s="15" t="n"/>
      <c r="R1123" s="25" t="n"/>
      <c r="S1123" s="26">
        <f>IF($A1123="","",AND(OR('Assignment Builder'!$B$5="",$B1123='Assignment Builder'!$B$5),OR('Assignment Builder'!$B$6="",ISNUMBER(SEARCH('Assignment Builder'!$B$6,$C1123))),OR('Assignment Builder'!$B$7="",'Assignment Builder'!$B$7=IFERROR(INDEX('Category Dictionary'!$C$5:$C$135,MATCH($L1123,'Category Dictionary'!$D$5:$D$135,0)),"")),OR('Assignment Builder'!$B$8="",$D1123='Assignment Builder'!$B$8),OR('Assignment Builder'!$B$9="",$F1123='Assignment Builder'!$B$9),OR('Assignment Builder'!$B$10="",$O1123='Assignment Builder'!$B$10),OR('Assignment Builder'!$B$11="",$H1123&gt;='Assignment Builder'!$B$11),OR('Assignment Builder'!$B$12="",N($Q1123)&lt;='Assignment Builder'!$B$12)))</f>
        <v/>
      </c>
      <c r="T1123" s="23" t="n"/>
    </row>
    <row r="1124">
      <c r="A1124" s="23" t="n"/>
      <c r="B1124" s="23" t="n"/>
      <c r="C1124" s="24" t="n"/>
      <c r="D1124" s="15" t="n"/>
      <c r="E1124" s="23" t="n"/>
      <c r="F1124" s="15" t="n"/>
      <c r="G1124" s="23" t="n"/>
      <c r="H1124" s="25" t="n"/>
      <c r="I1124" s="15" t="n"/>
      <c r="J1124" s="26">
        <f>IF($A1124="","",LEN($C1124)-LEN(SUBSTITUTE($C1124,",",""))+1)</f>
        <v/>
      </c>
      <c r="K1124" s="26">
        <f>IF($A1124="","",SUMPRODUCT(--ISNUMBER(SEARCH('Category Dictionary'!$D$5:$D$135&amp;"",$C1124)),--('Category Dictionary'!$D$5:$D$135&lt;&gt;"")))</f>
        <v/>
      </c>
      <c r="L1124" s="27">
        <f>IF($A1124="","",TRIM(IF(ISERROR(FIND(",",$C1124)),$C1124,LEFT($C1124,FIND(",",$C1124)-1))))</f>
        <v/>
      </c>
      <c r="M1124" s="28">
        <f>IF($H1124="","",DATE(YEAR($H1124),MONTH($H1124),1))</f>
        <v/>
      </c>
      <c r="N1124" s="26">
        <f>IF($H1124="","",TODAY()-$H1124)</f>
        <v/>
      </c>
      <c r="O1124" s="15" t="n"/>
      <c r="P1124" s="15" t="n"/>
      <c r="Q1124" s="15" t="n"/>
      <c r="R1124" s="25" t="n"/>
      <c r="S1124" s="26">
        <f>IF($A1124="","",AND(OR('Assignment Builder'!$B$5="",$B1124='Assignment Builder'!$B$5),OR('Assignment Builder'!$B$6="",ISNUMBER(SEARCH('Assignment Builder'!$B$6,$C1124))),OR('Assignment Builder'!$B$7="",'Assignment Builder'!$B$7=IFERROR(INDEX('Category Dictionary'!$C$5:$C$135,MATCH($L1124,'Category Dictionary'!$D$5:$D$135,0)),"")),OR('Assignment Builder'!$B$8="",$D1124='Assignment Builder'!$B$8),OR('Assignment Builder'!$B$9="",$F1124='Assignment Builder'!$B$9),OR('Assignment Builder'!$B$10="",$O1124='Assignment Builder'!$B$10),OR('Assignment Builder'!$B$11="",$H1124&gt;='Assignment Builder'!$B$11),OR('Assignment Builder'!$B$12="",N($Q1124)&lt;='Assignment Builder'!$B$12)))</f>
        <v/>
      </c>
      <c r="T1124" s="23" t="n"/>
    </row>
    <row r="1125">
      <c r="A1125" s="23" t="n"/>
      <c r="B1125" s="23" t="n"/>
      <c r="C1125" s="24" t="n"/>
      <c r="D1125" s="15" t="n"/>
      <c r="E1125" s="23" t="n"/>
      <c r="F1125" s="15" t="n"/>
      <c r="G1125" s="23" t="n"/>
      <c r="H1125" s="25" t="n"/>
      <c r="I1125" s="15" t="n"/>
      <c r="J1125" s="26">
        <f>IF($A1125="","",LEN($C1125)-LEN(SUBSTITUTE($C1125,",",""))+1)</f>
        <v/>
      </c>
      <c r="K1125" s="26">
        <f>IF($A1125="","",SUMPRODUCT(--ISNUMBER(SEARCH('Category Dictionary'!$D$5:$D$135&amp;"",$C1125)),--('Category Dictionary'!$D$5:$D$135&lt;&gt;"")))</f>
        <v/>
      </c>
      <c r="L1125" s="27">
        <f>IF($A1125="","",TRIM(IF(ISERROR(FIND(",",$C1125)),$C1125,LEFT($C1125,FIND(",",$C1125)-1))))</f>
        <v/>
      </c>
      <c r="M1125" s="28">
        <f>IF($H1125="","",DATE(YEAR($H1125),MONTH($H1125),1))</f>
        <v/>
      </c>
      <c r="N1125" s="26">
        <f>IF($H1125="","",TODAY()-$H1125)</f>
        <v/>
      </c>
      <c r="O1125" s="15" t="n"/>
      <c r="P1125" s="15" t="n"/>
      <c r="Q1125" s="15" t="n"/>
      <c r="R1125" s="25" t="n"/>
      <c r="S1125" s="26">
        <f>IF($A1125="","",AND(OR('Assignment Builder'!$B$5="",$B1125='Assignment Builder'!$B$5),OR('Assignment Builder'!$B$6="",ISNUMBER(SEARCH('Assignment Builder'!$B$6,$C1125))),OR('Assignment Builder'!$B$7="",'Assignment Builder'!$B$7=IFERROR(INDEX('Category Dictionary'!$C$5:$C$135,MATCH($L1125,'Category Dictionary'!$D$5:$D$135,0)),"")),OR('Assignment Builder'!$B$8="",$D1125='Assignment Builder'!$B$8),OR('Assignment Builder'!$B$9="",$F1125='Assignment Builder'!$B$9),OR('Assignment Builder'!$B$10="",$O1125='Assignment Builder'!$B$10),OR('Assignment Builder'!$B$11="",$H1125&gt;='Assignment Builder'!$B$11),OR('Assignment Builder'!$B$12="",N($Q1125)&lt;='Assignment Builder'!$B$12)))</f>
        <v/>
      </c>
      <c r="T1125" s="23" t="n"/>
    </row>
    <row r="1126">
      <c r="A1126" s="23" t="n"/>
      <c r="B1126" s="23" t="n"/>
      <c r="C1126" s="24" t="n"/>
      <c r="D1126" s="15" t="n"/>
      <c r="E1126" s="23" t="n"/>
      <c r="F1126" s="15" t="n"/>
      <c r="G1126" s="23" t="n"/>
      <c r="H1126" s="25" t="n"/>
      <c r="I1126" s="15" t="n"/>
      <c r="J1126" s="26">
        <f>IF($A1126="","",LEN($C1126)-LEN(SUBSTITUTE($C1126,",",""))+1)</f>
        <v/>
      </c>
      <c r="K1126" s="26">
        <f>IF($A1126="","",SUMPRODUCT(--ISNUMBER(SEARCH('Category Dictionary'!$D$5:$D$135&amp;"",$C1126)),--('Category Dictionary'!$D$5:$D$135&lt;&gt;"")))</f>
        <v/>
      </c>
      <c r="L1126" s="27">
        <f>IF($A1126="","",TRIM(IF(ISERROR(FIND(",",$C1126)),$C1126,LEFT($C1126,FIND(",",$C1126)-1))))</f>
        <v/>
      </c>
      <c r="M1126" s="28">
        <f>IF($H1126="","",DATE(YEAR($H1126),MONTH($H1126),1))</f>
        <v/>
      </c>
      <c r="N1126" s="26">
        <f>IF($H1126="","",TODAY()-$H1126)</f>
        <v/>
      </c>
      <c r="O1126" s="15" t="n"/>
      <c r="P1126" s="15" t="n"/>
      <c r="Q1126" s="15" t="n"/>
      <c r="R1126" s="25" t="n"/>
      <c r="S1126" s="26">
        <f>IF($A1126="","",AND(OR('Assignment Builder'!$B$5="",$B1126='Assignment Builder'!$B$5),OR('Assignment Builder'!$B$6="",ISNUMBER(SEARCH('Assignment Builder'!$B$6,$C1126))),OR('Assignment Builder'!$B$7="",'Assignment Builder'!$B$7=IFERROR(INDEX('Category Dictionary'!$C$5:$C$135,MATCH($L1126,'Category Dictionary'!$D$5:$D$135,0)),"")),OR('Assignment Builder'!$B$8="",$D1126='Assignment Builder'!$B$8),OR('Assignment Builder'!$B$9="",$F1126='Assignment Builder'!$B$9),OR('Assignment Builder'!$B$10="",$O1126='Assignment Builder'!$B$10),OR('Assignment Builder'!$B$11="",$H1126&gt;='Assignment Builder'!$B$11),OR('Assignment Builder'!$B$12="",N($Q1126)&lt;='Assignment Builder'!$B$12)))</f>
        <v/>
      </c>
      <c r="T1126" s="23" t="n"/>
    </row>
    <row r="1127">
      <c r="A1127" s="23" t="n"/>
      <c r="B1127" s="23" t="n"/>
      <c r="C1127" s="24" t="n"/>
      <c r="D1127" s="15" t="n"/>
      <c r="E1127" s="23" t="n"/>
      <c r="F1127" s="15" t="n"/>
      <c r="G1127" s="23" t="n"/>
      <c r="H1127" s="25" t="n"/>
      <c r="I1127" s="15" t="n"/>
      <c r="J1127" s="26">
        <f>IF($A1127="","",LEN($C1127)-LEN(SUBSTITUTE($C1127,",",""))+1)</f>
        <v/>
      </c>
      <c r="K1127" s="26">
        <f>IF($A1127="","",SUMPRODUCT(--ISNUMBER(SEARCH('Category Dictionary'!$D$5:$D$135&amp;"",$C1127)),--('Category Dictionary'!$D$5:$D$135&lt;&gt;"")))</f>
        <v/>
      </c>
      <c r="L1127" s="27">
        <f>IF($A1127="","",TRIM(IF(ISERROR(FIND(",",$C1127)),$C1127,LEFT($C1127,FIND(",",$C1127)-1))))</f>
        <v/>
      </c>
      <c r="M1127" s="28">
        <f>IF($H1127="","",DATE(YEAR($H1127),MONTH($H1127),1))</f>
        <v/>
      </c>
      <c r="N1127" s="26">
        <f>IF($H1127="","",TODAY()-$H1127)</f>
        <v/>
      </c>
      <c r="O1127" s="15" t="n"/>
      <c r="P1127" s="15" t="n"/>
      <c r="Q1127" s="15" t="n"/>
      <c r="R1127" s="25" t="n"/>
      <c r="S1127" s="26">
        <f>IF($A1127="","",AND(OR('Assignment Builder'!$B$5="",$B1127='Assignment Builder'!$B$5),OR('Assignment Builder'!$B$6="",ISNUMBER(SEARCH('Assignment Builder'!$B$6,$C1127))),OR('Assignment Builder'!$B$7="",'Assignment Builder'!$B$7=IFERROR(INDEX('Category Dictionary'!$C$5:$C$135,MATCH($L1127,'Category Dictionary'!$D$5:$D$135,0)),"")),OR('Assignment Builder'!$B$8="",$D1127='Assignment Builder'!$B$8),OR('Assignment Builder'!$B$9="",$F1127='Assignment Builder'!$B$9),OR('Assignment Builder'!$B$10="",$O1127='Assignment Builder'!$B$10),OR('Assignment Builder'!$B$11="",$H1127&gt;='Assignment Builder'!$B$11),OR('Assignment Builder'!$B$12="",N($Q1127)&lt;='Assignment Builder'!$B$12)))</f>
        <v/>
      </c>
      <c r="T1127" s="23" t="n"/>
    </row>
    <row r="1128">
      <c r="A1128" s="23" t="n"/>
      <c r="B1128" s="23" t="n"/>
      <c r="C1128" s="24" t="n"/>
      <c r="D1128" s="15" t="n"/>
      <c r="E1128" s="23" t="n"/>
      <c r="F1128" s="15" t="n"/>
      <c r="G1128" s="23" t="n"/>
      <c r="H1128" s="25" t="n"/>
      <c r="I1128" s="15" t="n"/>
      <c r="J1128" s="26">
        <f>IF($A1128="","",LEN($C1128)-LEN(SUBSTITUTE($C1128,",",""))+1)</f>
        <v/>
      </c>
      <c r="K1128" s="26">
        <f>IF($A1128="","",SUMPRODUCT(--ISNUMBER(SEARCH('Category Dictionary'!$D$5:$D$135&amp;"",$C1128)),--('Category Dictionary'!$D$5:$D$135&lt;&gt;"")))</f>
        <v/>
      </c>
      <c r="L1128" s="27">
        <f>IF($A1128="","",TRIM(IF(ISERROR(FIND(",",$C1128)),$C1128,LEFT($C1128,FIND(",",$C1128)-1))))</f>
        <v/>
      </c>
      <c r="M1128" s="28">
        <f>IF($H1128="","",DATE(YEAR($H1128),MONTH($H1128),1))</f>
        <v/>
      </c>
      <c r="N1128" s="26">
        <f>IF($H1128="","",TODAY()-$H1128)</f>
        <v/>
      </c>
      <c r="O1128" s="15" t="n"/>
      <c r="P1128" s="15" t="n"/>
      <c r="Q1128" s="15" t="n"/>
      <c r="R1128" s="25" t="n"/>
      <c r="S1128" s="26">
        <f>IF($A1128="","",AND(OR('Assignment Builder'!$B$5="",$B1128='Assignment Builder'!$B$5),OR('Assignment Builder'!$B$6="",ISNUMBER(SEARCH('Assignment Builder'!$B$6,$C1128))),OR('Assignment Builder'!$B$7="",'Assignment Builder'!$B$7=IFERROR(INDEX('Category Dictionary'!$C$5:$C$135,MATCH($L1128,'Category Dictionary'!$D$5:$D$135,0)),"")),OR('Assignment Builder'!$B$8="",$D1128='Assignment Builder'!$B$8),OR('Assignment Builder'!$B$9="",$F1128='Assignment Builder'!$B$9),OR('Assignment Builder'!$B$10="",$O1128='Assignment Builder'!$B$10),OR('Assignment Builder'!$B$11="",$H1128&gt;='Assignment Builder'!$B$11),OR('Assignment Builder'!$B$12="",N($Q1128)&lt;='Assignment Builder'!$B$12)))</f>
        <v/>
      </c>
      <c r="T1128" s="23" t="n"/>
    </row>
    <row r="1129">
      <c r="A1129" s="23" t="n"/>
      <c r="B1129" s="23" t="n"/>
      <c r="C1129" s="24" t="n"/>
      <c r="D1129" s="15" t="n"/>
      <c r="E1129" s="23" t="n"/>
      <c r="F1129" s="15" t="n"/>
      <c r="G1129" s="23" t="n"/>
      <c r="H1129" s="25" t="n"/>
      <c r="I1129" s="15" t="n"/>
      <c r="J1129" s="26">
        <f>IF($A1129="","",LEN($C1129)-LEN(SUBSTITUTE($C1129,",",""))+1)</f>
        <v/>
      </c>
      <c r="K1129" s="26">
        <f>IF($A1129="","",SUMPRODUCT(--ISNUMBER(SEARCH('Category Dictionary'!$D$5:$D$135&amp;"",$C1129)),--('Category Dictionary'!$D$5:$D$135&lt;&gt;"")))</f>
        <v/>
      </c>
      <c r="L1129" s="27">
        <f>IF($A1129="","",TRIM(IF(ISERROR(FIND(",",$C1129)),$C1129,LEFT($C1129,FIND(",",$C1129)-1))))</f>
        <v/>
      </c>
      <c r="M1129" s="28">
        <f>IF($H1129="","",DATE(YEAR($H1129),MONTH($H1129),1))</f>
        <v/>
      </c>
      <c r="N1129" s="26">
        <f>IF($H1129="","",TODAY()-$H1129)</f>
        <v/>
      </c>
      <c r="O1129" s="15" t="n"/>
      <c r="P1129" s="15" t="n"/>
      <c r="Q1129" s="15" t="n"/>
      <c r="R1129" s="25" t="n"/>
      <c r="S1129" s="26">
        <f>IF($A1129="","",AND(OR('Assignment Builder'!$B$5="",$B1129='Assignment Builder'!$B$5),OR('Assignment Builder'!$B$6="",ISNUMBER(SEARCH('Assignment Builder'!$B$6,$C1129))),OR('Assignment Builder'!$B$7="",'Assignment Builder'!$B$7=IFERROR(INDEX('Category Dictionary'!$C$5:$C$135,MATCH($L1129,'Category Dictionary'!$D$5:$D$135,0)),"")),OR('Assignment Builder'!$B$8="",$D1129='Assignment Builder'!$B$8),OR('Assignment Builder'!$B$9="",$F1129='Assignment Builder'!$B$9),OR('Assignment Builder'!$B$10="",$O1129='Assignment Builder'!$B$10),OR('Assignment Builder'!$B$11="",$H1129&gt;='Assignment Builder'!$B$11),OR('Assignment Builder'!$B$12="",N($Q1129)&lt;='Assignment Builder'!$B$12)))</f>
        <v/>
      </c>
      <c r="T1129" s="23" t="n"/>
    </row>
    <row r="1130">
      <c r="A1130" s="23" t="n"/>
      <c r="B1130" s="23" t="n"/>
      <c r="C1130" s="24" t="n"/>
      <c r="D1130" s="15" t="n"/>
      <c r="E1130" s="23" t="n"/>
      <c r="F1130" s="15" t="n"/>
      <c r="G1130" s="23" t="n"/>
      <c r="H1130" s="25" t="n"/>
      <c r="I1130" s="15" t="n"/>
      <c r="J1130" s="26">
        <f>IF($A1130="","",LEN($C1130)-LEN(SUBSTITUTE($C1130,",",""))+1)</f>
        <v/>
      </c>
      <c r="K1130" s="26">
        <f>IF($A1130="","",SUMPRODUCT(--ISNUMBER(SEARCH('Category Dictionary'!$D$5:$D$135&amp;"",$C1130)),--('Category Dictionary'!$D$5:$D$135&lt;&gt;"")))</f>
        <v/>
      </c>
      <c r="L1130" s="27">
        <f>IF($A1130="","",TRIM(IF(ISERROR(FIND(",",$C1130)),$C1130,LEFT($C1130,FIND(",",$C1130)-1))))</f>
        <v/>
      </c>
      <c r="M1130" s="28">
        <f>IF($H1130="","",DATE(YEAR($H1130),MONTH($H1130),1))</f>
        <v/>
      </c>
      <c r="N1130" s="26">
        <f>IF($H1130="","",TODAY()-$H1130)</f>
        <v/>
      </c>
      <c r="O1130" s="15" t="n"/>
      <c r="P1130" s="15" t="n"/>
      <c r="Q1130" s="15" t="n"/>
      <c r="R1130" s="25" t="n"/>
      <c r="S1130" s="26">
        <f>IF($A1130="","",AND(OR('Assignment Builder'!$B$5="",$B1130='Assignment Builder'!$B$5),OR('Assignment Builder'!$B$6="",ISNUMBER(SEARCH('Assignment Builder'!$B$6,$C1130))),OR('Assignment Builder'!$B$7="",'Assignment Builder'!$B$7=IFERROR(INDEX('Category Dictionary'!$C$5:$C$135,MATCH($L1130,'Category Dictionary'!$D$5:$D$135,0)),"")),OR('Assignment Builder'!$B$8="",$D1130='Assignment Builder'!$B$8),OR('Assignment Builder'!$B$9="",$F1130='Assignment Builder'!$B$9),OR('Assignment Builder'!$B$10="",$O1130='Assignment Builder'!$B$10),OR('Assignment Builder'!$B$11="",$H1130&gt;='Assignment Builder'!$B$11),OR('Assignment Builder'!$B$12="",N($Q1130)&lt;='Assignment Builder'!$B$12)))</f>
        <v/>
      </c>
      <c r="T1130" s="23" t="n"/>
    </row>
    <row r="1131">
      <c r="A1131" s="23" t="n"/>
      <c r="B1131" s="23" t="n"/>
      <c r="C1131" s="24" t="n"/>
      <c r="D1131" s="15" t="n"/>
      <c r="E1131" s="23" t="n"/>
      <c r="F1131" s="15" t="n"/>
      <c r="G1131" s="23" t="n"/>
      <c r="H1131" s="25" t="n"/>
      <c r="I1131" s="15" t="n"/>
      <c r="J1131" s="26">
        <f>IF($A1131="","",LEN($C1131)-LEN(SUBSTITUTE($C1131,",",""))+1)</f>
        <v/>
      </c>
      <c r="K1131" s="26">
        <f>IF($A1131="","",SUMPRODUCT(--ISNUMBER(SEARCH('Category Dictionary'!$D$5:$D$135&amp;"",$C1131)),--('Category Dictionary'!$D$5:$D$135&lt;&gt;"")))</f>
        <v/>
      </c>
      <c r="L1131" s="27">
        <f>IF($A1131="","",TRIM(IF(ISERROR(FIND(",",$C1131)),$C1131,LEFT($C1131,FIND(",",$C1131)-1))))</f>
        <v/>
      </c>
      <c r="M1131" s="28">
        <f>IF($H1131="","",DATE(YEAR($H1131),MONTH($H1131),1))</f>
        <v/>
      </c>
      <c r="N1131" s="26">
        <f>IF($H1131="","",TODAY()-$H1131)</f>
        <v/>
      </c>
      <c r="O1131" s="15" t="n"/>
      <c r="P1131" s="15" t="n"/>
      <c r="Q1131" s="15" t="n"/>
      <c r="R1131" s="25" t="n"/>
      <c r="S1131" s="26">
        <f>IF($A1131="","",AND(OR('Assignment Builder'!$B$5="",$B1131='Assignment Builder'!$B$5),OR('Assignment Builder'!$B$6="",ISNUMBER(SEARCH('Assignment Builder'!$B$6,$C1131))),OR('Assignment Builder'!$B$7="",'Assignment Builder'!$B$7=IFERROR(INDEX('Category Dictionary'!$C$5:$C$135,MATCH($L1131,'Category Dictionary'!$D$5:$D$135,0)),"")),OR('Assignment Builder'!$B$8="",$D1131='Assignment Builder'!$B$8),OR('Assignment Builder'!$B$9="",$F1131='Assignment Builder'!$B$9),OR('Assignment Builder'!$B$10="",$O1131='Assignment Builder'!$B$10),OR('Assignment Builder'!$B$11="",$H1131&gt;='Assignment Builder'!$B$11),OR('Assignment Builder'!$B$12="",N($Q1131)&lt;='Assignment Builder'!$B$12)))</f>
        <v/>
      </c>
      <c r="T1131" s="23" t="n"/>
    </row>
    <row r="1132">
      <c r="A1132" s="23" t="n"/>
      <c r="B1132" s="23" t="n"/>
      <c r="C1132" s="24" t="n"/>
      <c r="D1132" s="15" t="n"/>
      <c r="E1132" s="23" t="n"/>
      <c r="F1132" s="15" t="n"/>
      <c r="G1132" s="23" t="n"/>
      <c r="H1132" s="25" t="n"/>
      <c r="I1132" s="15" t="n"/>
      <c r="J1132" s="26">
        <f>IF($A1132="","",LEN($C1132)-LEN(SUBSTITUTE($C1132,",",""))+1)</f>
        <v/>
      </c>
      <c r="K1132" s="26">
        <f>IF($A1132="","",SUMPRODUCT(--ISNUMBER(SEARCH('Category Dictionary'!$D$5:$D$135&amp;"",$C1132)),--('Category Dictionary'!$D$5:$D$135&lt;&gt;"")))</f>
        <v/>
      </c>
      <c r="L1132" s="27">
        <f>IF($A1132="","",TRIM(IF(ISERROR(FIND(",",$C1132)),$C1132,LEFT($C1132,FIND(",",$C1132)-1))))</f>
        <v/>
      </c>
      <c r="M1132" s="28">
        <f>IF($H1132="","",DATE(YEAR($H1132),MONTH($H1132),1))</f>
        <v/>
      </c>
      <c r="N1132" s="26">
        <f>IF($H1132="","",TODAY()-$H1132)</f>
        <v/>
      </c>
      <c r="O1132" s="15" t="n"/>
      <c r="P1132" s="15" t="n"/>
      <c r="Q1132" s="15" t="n"/>
      <c r="R1132" s="25" t="n"/>
      <c r="S1132" s="26">
        <f>IF($A1132="","",AND(OR('Assignment Builder'!$B$5="",$B1132='Assignment Builder'!$B$5),OR('Assignment Builder'!$B$6="",ISNUMBER(SEARCH('Assignment Builder'!$B$6,$C1132))),OR('Assignment Builder'!$B$7="",'Assignment Builder'!$B$7=IFERROR(INDEX('Category Dictionary'!$C$5:$C$135,MATCH($L1132,'Category Dictionary'!$D$5:$D$135,0)),"")),OR('Assignment Builder'!$B$8="",$D1132='Assignment Builder'!$B$8),OR('Assignment Builder'!$B$9="",$F1132='Assignment Builder'!$B$9),OR('Assignment Builder'!$B$10="",$O1132='Assignment Builder'!$B$10),OR('Assignment Builder'!$B$11="",$H1132&gt;='Assignment Builder'!$B$11),OR('Assignment Builder'!$B$12="",N($Q1132)&lt;='Assignment Builder'!$B$12)))</f>
        <v/>
      </c>
      <c r="T1132" s="23" t="n"/>
    </row>
    <row r="1133">
      <c r="A1133" s="23" t="n"/>
      <c r="B1133" s="23" t="n"/>
      <c r="C1133" s="24" t="n"/>
      <c r="D1133" s="15" t="n"/>
      <c r="E1133" s="23" t="n"/>
      <c r="F1133" s="15" t="n"/>
      <c r="G1133" s="23" t="n"/>
      <c r="H1133" s="25" t="n"/>
      <c r="I1133" s="15" t="n"/>
      <c r="J1133" s="26">
        <f>IF($A1133="","",LEN($C1133)-LEN(SUBSTITUTE($C1133,",",""))+1)</f>
        <v/>
      </c>
      <c r="K1133" s="26">
        <f>IF($A1133="","",SUMPRODUCT(--ISNUMBER(SEARCH('Category Dictionary'!$D$5:$D$135&amp;"",$C1133)),--('Category Dictionary'!$D$5:$D$135&lt;&gt;"")))</f>
        <v/>
      </c>
      <c r="L1133" s="27">
        <f>IF($A1133="","",TRIM(IF(ISERROR(FIND(",",$C1133)),$C1133,LEFT($C1133,FIND(",",$C1133)-1))))</f>
        <v/>
      </c>
      <c r="M1133" s="28">
        <f>IF($H1133="","",DATE(YEAR($H1133),MONTH($H1133),1))</f>
        <v/>
      </c>
      <c r="N1133" s="26">
        <f>IF($H1133="","",TODAY()-$H1133)</f>
        <v/>
      </c>
      <c r="O1133" s="15" t="n"/>
      <c r="P1133" s="15" t="n"/>
      <c r="Q1133" s="15" t="n"/>
      <c r="R1133" s="25" t="n"/>
      <c r="S1133" s="26">
        <f>IF($A1133="","",AND(OR('Assignment Builder'!$B$5="",$B1133='Assignment Builder'!$B$5),OR('Assignment Builder'!$B$6="",ISNUMBER(SEARCH('Assignment Builder'!$B$6,$C1133))),OR('Assignment Builder'!$B$7="",'Assignment Builder'!$B$7=IFERROR(INDEX('Category Dictionary'!$C$5:$C$135,MATCH($L1133,'Category Dictionary'!$D$5:$D$135,0)),"")),OR('Assignment Builder'!$B$8="",$D1133='Assignment Builder'!$B$8),OR('Assignment Builder'!$B$9="",$F1133='Assignment Builder'!$B$9),OR('Assignment Builder'!$B$10="",$O1133='Assignment Builder'!$B$10),OR('Assignment Builder'!$B$11="",$H1133&gt;='Assignment Builder'!$B$11),OR('Assignment Builder'!$B$12="",N($Q1133)&lt;='Assignment Builder'!$B$12)))</f>
        <v/>
      </c>
      <c r="T1133" s="23" t="n"/>
    </row>
    <row r="1134">
      <c r="A1134" s="23" t="n"/>
      <c r="B1134" s="23" t="n"/>
      <c r="C1134" s="24" t="n"/>
      <c r="D1134" s="15" t="n"/>
      <c r="E1134" s="23" t="n"/>
      <c r="F1134" s="15" t="n"/>
      <c r="G1134" s="23" t="n"/>
      <c r="H1134" s="25" t="n"/>
      <c r="I1134" s="15" t="n"/>
      <c r="J1134" s="26">
        <f>IF($A1134="","",LEN($C1134)-LEN(SUBSTITUTE($C1134,",",""))+1)</f>
        <v/>
      </c>
      <c r="K1134" s="26">
        <f>IF($A1134="","",SUMPRODUCT(--ISNUMBER(SEARCH('Category Dictionary'!$D$5:$D$135&amp;"",$C1134)),--('Category Dictionary'!$D$5:$D$135&lt;&gt;"")))</f>
        <v/>
      </c>
      <c r="L1134" s="27">
        <f>IF($A1134="","",TRIM(IF(ISERROR(FIND(",",$C1134)),$C1134,LEFT($C1134,FIND(",",$C1134)-1))))</f>
        <v/>
      </c>
      <c r="M1134" s="28">
        <f>IF($H1134="","",DATE(YEAR($H1134),MONTH($H1134),1))</f>
        <v/>
      </c>
      <c r="N1134" s="26">
        <f>IF($H1134="","",TODAY()-$H1134)</f>
        <v/>
      </c>
      <c r="O1134" s="15" t="n"/>
      <c r="P1134" s="15" t="n"/>
      <c r="Q1134" s="15" t="n"/>
      <c r="R1134" s="25" t="n"/>
      <c r="S1134" s="26">
        <f>IF($A1134="","",AND(OR('Assignment Builder'!$B$5="",$B1134='Assignment Builder'!$B$5),OR('Assignment Builder'!$B$6="",ISNUMBER(SEARCH('Assignment Builder'!$B$6,$C1134))),OR('Assignment Builder'!$B$7="",'Assignment Builder'!$B$7=IFERROR(INDEX('Category Dictionary'!$C$5:$C$135,MATCH($L1134,'Category Dictionary'!$D$5:$D$135,0)),"")),OR('Assignment Builder'!$B$8="",$D1134='Assignment Builder'!$B$8),OR('Assignment Builder'!$B$9="",$F1134='Assignment Builder'!$B$9),OR('Assignment Builder'!$B$10="",$O1134='Assignment Builder'!$B$10),OR('Assignment Builder'!$B$11="",$H1134&gt;='Assignment Builder'!$B$11),OR('Assignment Builder'!$B$12="",N($Q1134)&lt;='Assignment Builder'!$B$12)))</f>
        <v/>
      </c>
      <c r="T1134" s="23" t="n"/>
    </row>
    <row r="1135">
      <c r="A1135" s="23" t="n"/>
      <c r="B1135" s="23" t="n"/>
      <c r="C1135" s="24" t="n"/>
      <c r="D1135" s="15" t="n"/>
      <c r="E1135" s="23" t="n"/>
      <c r="F1135" s="15" t="n"/>
      <c r="G1135" s="23" t="n"/>
      <c r="H1135" s="25" t="n"/>
      <c r="I1135" s="15" t="n"/>
      <c r="J1135" s="26">
        <f>IF($A1135="","",LEN($C1135)-LEN(SUBSTITUTE($C1135,",",""))+1)</f>
        <v/>
      </c>
      <c r="K1135" s="26">
        <f>IF($A1135="","",SUMPRODUCT(--ISNUMBER(SEARCH('Category Dictionary'!$D$5:$D$135&amp;"",$C1135)),--('Category Dictionary'!$D$5:$D$135&lt;&gt;"")))</f>
        <v/>
      </c>
      <c r="L1135" s="27">
        <f>IF($A1135="","",TRIM(IF(ISERROR(FIND(",",$C1135)),$C1135,LEFT($C1135,FIND(",",$C1135)-1))))</f>
        <v/>
      </c>
      <c r="M1135" s="28">
        <f>IF($H1135="","",DATE(YEAR($H1135),MONTH($H1135),1))</f>
        <v/>
      </c>
      <c r="N1135" s="26">
        <f>IF($H1135="","",TODAY()-$H1135)</f>
        <v/>
      </c>
      <c r="O1135" s="15" t="n"/>
      <c r="P1135" s="15" t="n"/>
      <c r="Q1135" s="15" t="n"/>
      <c r="R1135" s="25" t="n"/>
      <c r="S1135" s="26">
        <f>IF($A1135="","",AND(OR('Assignment Builder'!$B$5="",$B1135='Assignment Builder'!$B$5),OR('Assignment Builder'!$B$6="",ISNUMBER(SEARCH('Assignment Builder'!$B$6,$C1135))),OR('Assignment Builder'!$B$7="",'Assignment Builder'!$B$7=IFERROR(INDEX('Category Dictionary'!$C$5:$C$135,MATCH($L1135,'Category Dictionary'!$D$5:$D$135,0)),"")),OR('Assignment Builder'!$B$8="",$D1135='Assignment Builder'!$B$8),OR('Assignment Builder'!$B$9="",$F1135='Assignment Builder'!$B$9),OR('Assignment Builder'!$B$10="",$O1135='Assignment Builder'!$B$10),OR('Assignment Builder'!$B$11="",$H1135&gt;='Assignment Builder'!$B$11),OR('Assignment Builder'!$B$12="",N($Q1135)&lt;='Assignment Builder'!$B$12)))</f>
        <v/>
      </c>
      <c r="T1135" s="23" t="n"/>
    </row>
    <row r="1136">
      <c r="A1136" s="23" t="n"/>
      <c r="B1136" s="23" t="n"/>
      <c r="C1136" s="24" t="n"/>
      <c r="D1136" s="15" t="n"/>
      <c r="E1136" s="23" t="n"/>
      <c r="F1136" s="15" t="n"/>
      <c r="G1136" s="23" t="n"/>
      <c r="H1136" s="25" t="n"/>
      <c r="I1136" s="15" t="n"/>
      <c r="J1136" s="26">
        <f>IF($A1136="","",LEN($C1136)-LEN(SUBSTITUTE($C1136,",",""))+1)</f>
        <v/>
      </c>
      <c r="K1136" s="26">
        <f>IF($A1136="","",SUMPRODUCT(--ISNUMBER(SEARCH('Category Dictionary'!$D$5:$D$135&amp;"",$C1136)),--('Category Dictionary'!$D$5:$D$135&lt;&gt;"")))</f>
        <v/>
      </c>
      <c r="L1136" s="27">
        <f>IF($A1136="","",TRIM(IF(ISERROR(FIND(",",$C1136)),$C1136,LEFT($C1136,FIND(",",$C1136)-1))))</f>
        <v/>
      </c>
      <c r="M1136" s="28">
        <f>IF($H1136="","",DATE(YEAR($H1136),MONTH($H1136),1))</f>
        <v/>
      </c>
      <c r="N1136" s="26">
        <f>IF($H1136="","",TODAY()-$H1136)</f>
        <v/>
      </c>
      <c r="O1136" s="15" t="n"/>
      <c r="P1136" s="15" t="n"/>
      <c r="Q1136" s="15" t="n"/>
      <c r="R1136" s="25" t="n"/>
      <c r="S1136" s="26">
        <f>IF($A1136="","",AND(OR('Assignment Builder'!$B$5="",$B1136='Assignment Builder'!$B$5),OR('Assignment Builder'!$B$6="",ISNUMBER(SEARCH('Assignment Builder'!$B$6,$C1136))),OR('Assignment Builder'!$B$7="",'Assignment Builder'!$B$7=IFERROR(INDEX('Category Dictionary'!$C$5:$C$135,MATCH($L1136,'Category Dictionary'!$D$5:$D$135,0)),"")),OR('Assignment Builder'!$B$8="",$D1136='Assignment Builder'!$B$8),OR('Assignment Builder'!$B$9="",$F1136='Assignment Builder'!$B$9),OR('Assignment Builder'!$B$10="",$O1136='Assignment Builder'!$B$10),OR('Assignment Builder'!$B$11="",$H1136&gt;='Assignment Builder'!$B$11),OR('Assignment Builder'!$B$12="",N($Q1136)&lt;='Assignment Builder'!$B$12)))</f>
        <v/>
      </c>
      <c r="T1136" s="23" t="n"/>
    </row>
    <row r="1137">
      <c r="A1137" s="23" t="n"/>
      <c r="B1137" s="23" t="n"/>
      <c r="C1137" s="24" t="n"/>
      <c r="D1137" s="15" t="n"/>
      <c r="E1137" s="23" t="n"/>
      <c r="F1137" s="15" t="n"/>
      <c r="G1137" s="23" t="n"/>
      <c r="H1137" s="25" t="n"/>
      <c r="I1137" s="15" t="n"/>
      <c r="J1137" s="26">
        <f>IF($A1137="","",LEN($C1137)-LEN(SUBSTITUTE($C1137,",",""))+1)</f>
        <v/>
      </c>
      <c r="K1137" s="26">
        <f>IF($A1137="","",SUMPRODUCT(--ISNUMBER(SEARCH('Category Dictionary'!$D$5:$D$135&amp;"",$C1137)),--('Category Dictionary'!$D$5:$D$135&lt;&gt;"")))</f>
        <v/>
      </c>
      <c r="L1137" s="27">
        <f>IF($A1137="","",TRIM(IF(ISERROR(FIND(",",$C1137)),$C1137,LEFT($C1137,FIND(",",$C1137)-1))))</f>
        <v/>
      </c>
      <c r="M1137" s="28">
        <f>IF($H1137="","",DATE(YEAR($H1137),MONTH($H1137),1))</f>
        <v/>
      </c>
      <c r="N1137" s="26">
        <f>IF($H1137="","",TODAY()-$H1137)</f>
        <v/>
      </c>
      <c r="O1137" s="15" t="n"/>
      <c r="P1137" s="15" t="n"/>
      <c r="Q1137" s="15" t="n"/>
      <c r="R1137" s="25" t="n"/>
      <c r="S1137" s="26">
        <f>IF($A1137="","",AND(OR('Assignment Builder'!$B$5="",$B1137='Assignment Builder'!$B$5),OR('Assignment Builder'!$B$6="",ISNUMBER(SEARCH('Assignment Builder'!$B$6,$C1137))),OR('Assignment Builder'!$B$7="",'Assignment Builder'!$B$7=IFERROR(INDEX('Category Dictionary'!$C$5:$C$135,MATCH($L1137,'Category Dictionary'!$D$5:$D$135,0)),"")),OR('Assignment Builder'!$B$8="",$D1137='Assignment Builder'!$B$8),OR('Assignment Builder'!$B$9="",$F1137='Assignment Builder'!$B$9),OR('Assignment Builder'!$B$10="",$O1137='Assignment Builder'!$B$10),OR('Assignment Builder'!$B$11="",$H1137&gt;='Assignment Builder'!$B$11),OR('Assignment Builder'!$B$12="",N($Q1137)&lt;='Assignment Builder'!$B$12)))</f>
        <v/>
      </c>
      <c r="T1137" s="23" t="n"/>
    </row>
    <row r="1138">
      <c r="A1138" s="23" t="n"/>
      <c r="B1138" s="23" t="n"/>
      <c r="C1138" s="24" t="n"/>
      <c r="D1138" s="15" t="n"/>
      <c r="E1138" s="23" t="n"/>
      <c r="F1138" s="15" t="n"/>
      <c r="G1138" s="23" t="n"/>
      <c r="H1138" s="25" t="n"/>
      <c r="I1138" s="15" t="n"/>
      <c r="J1138" s="26">
        <f>IF($A1138="","",LEN($C1138)-LEN(SUBSTITUTE($C1138,",",""))+1)</f>
        <v/>
      </c>
      <c r="K1138" s="26">
        <f>IF($A1138="","",SUMPRODUCT(--ISNUMBER(SEARCH('Category Dictionary'!$D$5:$D$135&amp;"",$C1138)),--('Category Dictionary'!$D$5:$D$135&lt;&gt;"")))</f>
        <v/>
      </c>
      <c r="L1138" s="27">
        <f>IF($A1138="","",TRIM(IF(ISERROR(FIND(",",$C1138)),$C1138,LEFT($C1138,FIND(",",$C1138)-1))))</f>
        <v/>
      </c>
      <c r="M1138" s="28">
        <f>IF($H1138="","",DATE(YEAR($H1138),MONTH($H1138),1))</f>
        <v/>
      </c>
      <c r="N1138" s="26">
        <f>IF($H1138="","",TODAY()-$H1138)</f>
        <v/>
      </c>
      <c r="O1138" s="15" t="n"/>
      <c r="P1138" s="15" t="n"/>
      <c r="Q1138" s="15" t="n"/>
      <c r="R1138" s="25" t="n"/>
      <c r="S1138" s="26">
        <f>IF($A1138="","",AND(OR('Assignment Builder'!$B$5="",$B1138='Assignment Builder'!$B$5),OR('Assignment Builder'!$B$6="",ISNUMBER(SEARCH('Assignment Builder'!$B$6,$C1138))),OR('Assignment Builder'!$B$7="",'Assignment Builder'!$B$7=IFERROR(INDEX('Category Dictionary'!$C$5:$C$135,MATCH($L1138,'Category Dictionary'!$D$5:$D$135,0)),"")),OR('Assignment Builder'!$B$8="",$D1138='Assignment Builder'!$B$8),OR('Assignment Builder'!$B$9="",$F1138='Assignment Builder'!$B$9),OR('Assignment Builder'!$B$10="",$O1138='Assignment Builder'!$B$10),OR('Assignment Builder'!$B$11="",$H1138&gt;='Assignment Builder'!$B$11),OR('Assignment Builder'!$B$12="",N($Q1138)&lt;='Assignment Builder'!$B$12)))</f>
        <v/>
      </c>
      <c r="T1138" s="23" t="n"/>
    </row>
    <row r="1139">
      <c r="A1139" s="23" t="n"/>
      <c r="B1139" s="23" t="n"/>
      <c r="C1139" s="24" t="n"/>
      <c r="D1139" s="15" t="n"/>
      <c r="E1139" s="23" t="n"/>
      <c r="F1139" s="15" t="n"/>
      <c r="G1139" s="23" t="n"/>
      <c r="H1139" s="25" t="n"/>
      <c r="I1139" s="15" t="n"/>
      <c r="J1139" s="26">
        <f>IF($A1139="","",LEN($C1139)-LEN(SUBSTITUTE($C1139,",",""))+1)</f>
        <v/>
      </c>
      <c r="K1139" s="26">
        <f>IF($A1139="","",SUMPRODUCT(--ISNUMBER(SEARCH('Category Dictionary'!$D$5:$D$135&amp;"",$C1139)),--('Category Dictionary'!$D$5:$D$135&lt;&gt;"")))</f>
        <v/>
      </c>
      <c r="L1139" s="27">
        <f>IF($A1139="","",TRIM(IF(ISERROR(FIND(",",$C1139)),$C1139,LEFT($C1139,FIND(",",$C1139)-1))))</f>
        <v/>
      </c>
      <c r="M1139" s="28">
        <f>IF($H1139="","",DATE(YEAR($H1139),MONTH($H1139),1))</f>
        <v/>
      </c>
      <c r="N1139" s="26">
        <f>IF($H1139="","",TODAY()-$H1139)</f>
        <v/>
      </c>
      <c r="O1139" s="15" t="n"/>
      <c r="P1139" s="15" t="n"/>
      <c r="Q1139" s="15" t="n"/>
      <c r="R1139" s="25" t="n"/>
      <c r="S1139" s="26">
        <f>IF($A1139="","",AND(OR('Assignment Builder'!$B$5="",$B1139='Assignment Builder'!$B$5),OR('Assignment Builder'!$B$6="",ISNUMBER(SEARCH('Assignment Builder'!$B$6,$C1139))),OR('Assignment Builder'!$B$7="",'Assignment Builder'!$B$7=IFERROR(INDEX('Category Dictionary'!$C$5:$C$135,MATCH($L1139,'Category Dictionary'!$D$5:$D$135,0)),"")),OR('Assignment Builder'!$B$8="",$D1139='Assignment Builder'!$B$8),OR('Assignment Builder'!$B$9="",$F1139='Assignment Builder'!$B$9),OR('Assignment Builder'!$B$10="",$O1139='Assignment Builder'!$B$10),OR('Assignment Builder'!$B$11="",$H1139&gt;='Assignment Builder'!$B$11),OR('Assignment Builder'!$B$12="",N($Q1139)&lt;='Assignment Builder'!$B$12)))</f>
        <v/>
      </c>
      <c r="T1139" s="23" t="n"/>
    </row>
    <row r="1140">
      <c r="A1140" s="23" t="n"/>
      <c r="B1140" s="23" t="n"/>
      <c r="C1140" s="24" t="n"/>
      <c r="D1140" s="15" t="n"/>
      <c r="E1140" s="23" t="n"/>
      <c r="F1140" s="15" t="n"/>
      <c r="G1140" s="23" t="n"/>
      <c r="H1140" s="25" t="n"/>
      <c r="I1140" s="15" t="n"/>
      <c r="J1140" s="26">
        <f>IF($A1140="","",LEN($C1140)-LEN(SUBSTITUTE($C1140,",",""))+1)</f>
        <v/>
      </c>
      <c r="K1140" s="26">
        <f>IF($A1140="","",SUMPRODUCT(--ISNUMBER(SEARCH('Category Dictionary'!$D$5:$D$135&amp;"",$C1140)),--('Category Dictionary'!$D$5:$D$135&lt;&gt;"")))</f>
        <v/>
      </c>
      <c r="L1140" s="27">
        <f>IF($A1140="","",TRIM(IF(ISERROR(FIND(",",$C1140)),$C1140,LEFT($C1140,FIND(",",$C1140)-1))))</f>
        <v/>
      </c>
      <c r="M1140" s="28">
        <f>IF($H1140="","",DATE(YEAR($H1140),MONTH($H1140),1))</f>
        <v/>
      </c>
      <c r="N1140" s="26">
        <f>IF($H1140="","",TODAY()-$H1140)</f>
        <v/>
      </c>
      <c r="O1140" s="15" t="n"/>
      <c r="P1140" s="15" t="n"/>
      <c r="Q1140" s="15" t="n"/>
      <c r="R1140" s="25" t="n"/>
      <c r="S1140" s="26">
        <f>IF($A1140="","",AND(OR('Assignment Builder'!$B$5="",$B1140='Assignment Builder'!$B$5),OR('Assignment Builder'!$B$6="",ISNUMBER(SEARCH('Assignment Builder'!$B$6,$C1140))),OR('Assignment Builder'!$B$7="",'Assignment Builder'!$B$7=IFERROR(INDEX('Category Dictionary'!$C$5:$C$135,MATCH($L1140,'Category Dictionary'!$D$5:$D$135,0)),"")),OR('Assignment Builder'!$B$8="",$D1140='Assignment Builder'!$B$8),OR('Assignment Builder'!$B$9="",$F1140='Assignment Builder'!$B$9),OR('Assignment Builder'!$B$10="",$O1140='Assignment Builder'!$B$10),OR('Assignment Builder'!$B$11="",$H1140&gt;='Assignment Builder'!$B$11),OR('Assignment Builder'!$B$12="",N($Q1140)&lt;='Assignment Builder'!$B$12)))</f>
        <v/>
      </c>
      <c r="T1140" s="23" t="n"/>
    </row>
    <row r="1141">
      <c r="A1141" s="23" t="n"/>
      <c r="B1141" s="23" t="n"/>
      <c r="C1141" s="24" t="n"/>
      <c r="D1141" s="15" t="n"/>
      <c r="E1141" s="23" t="n"/>
      <c r="F1141" s="15" t="n"/>
      <c r="G1141" s="23" t="n"/>
      <c r="H1141" s="25" t="n"/>
      <c r="I1141" s="15" t="n"/>
      <c r="J1141" s="26">
        <f>IF($A1141="","",LEN($C1141)-LEN(SUBSTITUTE($C1141,",",""))+1)</f>
        <v/>
      </c>
      <c r="K1141" s="26">
        <f>IF($A1141="","",SUMPRODUCT(--ISNUMBER(SEARCH('Category Dictionary'!$D$5:$D$135&amp;"",$C1141)),--('Category Dictionary'!$D$5:$D$135&lt;&gt;"")))</f>
        <v/>
      </c>
      <c r="L1141" s="27">
        <f>IF($A1141="","",TRIM(IF(ISERROR(FIND(",",$C1141)),$C1141,LEFT($C1141,FIND(",",$C1141)-1))))</f>
        <v/>
      </c>
      <c r="M1141" s="28">
        <f>IF($H1141="","",DATE(YEAR($H1141),MONTH($H1141),1))</f>
        <v/>
      </c>
      <c r="N1141" s="26">
        <f>IF($H1141="","",TODAY()-$H1141)</f>
        <v/>
      </c>
      <c r="O1141" s="15" t="n"/>
      <c r="P1141" s="15" t="n"/>
      <c r="Q1141" s="15" t="n"/>
      <c r="R1141" s="25" t="n"/>
      <c r="S1141" s="26">
        <f>IF($A1141="","",AND(OR('Assignment Builder'!$B$5="",$B1141='Assignment Builder'!$B$5),OR('Assignment Builder'!$B$6="",ISNUMBER(SEARCH('Assignment Builder'!$B$6,$C1141))),OR('Assignment Builder'!$B$7="",'Assignment Builder'!$B$7=IFERROR(INDEX('Category Dictionary'!$C$5:$C$135,MATCH($L1141,'Category Dictionary'!$D$5:$D$135,0)),"")),OR('Assignment Builder'!$B$8="",$D1141='Assignment Builder'!$B$8),OR('Assignment Builder'!$B$9="",$F1141='Assignment Builder'!$B$9),OR('Assignment Builder'!$B$10="",$O1141='Assignment Builder'!$B$10),OR('Assignment Builder'!$B$11="",$H1141&gt;='Assignment Builder'!$B$11),OR('Assignment Builder'!$B$12="",N($Q1141)&lt;='Assignment Builder'!$B$12)))</f>
        <v/>
      </c>
      <c r="T1141" s="23" t="n"/>
    </row>
    <row r="1142">
      <c r="A1142" s="23" t="n"/>
      <c r="B1142" s="23" t="n"/>
      <c r="C1142" s="24" t="n"/>
      <c r="D1142" s="15" t="n"/>
      <c r="E1142" s="23" t="n"/>
      <c r="F1142" s="15" t="n"/>
      <c r="G1142" s="23" t="n"/>
      <c r="H1142" s="25" t="n"/>
      <c r="I1142" s="15" t="n"/>
      <c r="J1142" s="26">
        <f>IF($A1142="","",LEN($C1142)-LEN(SUBSTITUTE($C1142,",",""))+1)</f>
        <v/>
      </c>
      <c r="K1142" s="26">
        <f>IF($A1142="","",SUMPRODUCT(--ISNUMBER(SEARCH('Category Dictionary'!$D$5:$D$135&amp;"",$C1142)),--('Category Dictionary'!$D$5:$D$135&lt;&gt;"")))</f>
        <v/>
      </c>
      <c r="L1142" s="27">
        <f>IF($A1142="","",TRIM(IF(ISERROR(FIND(",",$C1142)),$C1142,LEFT($C1142,FIND(",",$C1142)-1))))</f>
        <v/>
      </c>
      <c r="M1142" s="28">
        <f>IF($H1142="","",DATE(YEAR($H1142),MONTH($H1142),1))</f>
        <v/>
      </c>
      <c r="N1142" s="26">
        <f>IF($H1142="","",TODAY()-$H1142)</f>
        <v/>
      </c>
      <c r="O1142" s="15" t="n"/>
      <c r="P1142" s="15" t="n"/>
      <c r="Q1142" s="15" t="n"/>
      <c r="R1142" s="25" t="n"/>
      <c r="S1142" s="26">
        <f>IF($A1142="","",AND(OR('Assignment Builder'!$B$5="",$B1142='Assignment Builder'!$B$5),OR('Assignment Builder'!$B$6="",ISNUMBER(SEARCH('Assignment Builder'!$B$6,$C1142))),OR('Assignment Builder'!$B$7="",'Assignment Builder'!$B$7=IFERROR(INDEX('Category Dictionary'!$C$5:$C$135,MATCH($L1142,'Category Dictionary'!$D$5:$D$135,0)),"")),OR('Assignment Builder'!$B$8="",$D1142='Assignment Builder'!$B$8),OR('Assignment Builder'!$B$9="",$F1142='Assignment Builder'!$B$9),OR('Assignment Builder'!$B$10="",$O1142='Assignment Builder'!$B$10),OR('Assignment Builder'!$B$11="",$H1142&gt;='Assignment Builder'!$B$11),OR('Assignment Builder'!$B$12="",N($Q1142)&lt;='Assignment Builder'!$B$12)))</f>
        <v/>
      </c>
      <c r="T1142" s="23" t="n"/>
    </row>
    <row r="1143">
      <c r="A1143" s="23" t="n"/>
      <c r="B1143" s="23" t="n"/>
      <c r="C1143" s="24" t="n"/>
      <c r="D1143" s="15" t="n"/>
      <c r="E1143" s="23" t="n"/>
      <c r="F1143" s="15" t="n"/>
      <c r="G1143" s="23" t="n"/>
      <c r="H1143" s="25" t="n"/>
      <c r="I1143" s="15" t="n"/>
      <c r="J1143" s="26">
        <f>IF($A1143="","",LEN($C1143)-LEN(SUBSTITUTE($C1143,",",""))+1)</f>
        <v/>
      </c>
      <c r="K1143" s="26">
        <f>IF($A1143="","",SUMPRODUCT(--ISNUMBER(SEARCH('Category Dictionary'!$D$5:$D$135&amp;"",$C1143)),--('Category Dictionary'!$D$5:$D$135&lt;&gt;"")))</f>
        <v/>
      </c>
      <c r="L1143" s="27">
        <f>IF($A1143="","",TRIM(IF(ISERROR(FIND(",",$C1143)),$C1143,LEFT($C1143,FIND(",",$C1143)-1))))</f>
        <v/>
      </c>
      <c r="M1143" s="28">
        <f>IF($H1143="","",DATE(YEAR($H1143),MONTH($H1143),1))</f>
        <v/>
      </c>
      <c r="N1143" s="26">
        <f>IF($H1143="","",TODAY()-$H1143)</f>
        <v/>
      </c>
      <c r="O1143" s="15" t="n"/>
      <c r="P1143" s="15" t="n"/>
      <c r="Q1143" s="15" t="n"/>
      <c r="R1143" s="25" t="n"/>
      <c r="S1143" s="26">
        <f>IF($A1143="","",AND(OR('Assignment Builder'!$B$5="",$B1143='Assignment Builder'!$B$5),OR('Assignment Builder'!$B$6="",ISNUMBER(SEARCH('Assignment Builder'!$B$6,$C1143))),OR('Assignment Builder'!$B$7="",'Assignment Builder'!$B$7=IFERROR(INDEX('Category Dictionary'!$C$5:$C$135,MATCH($L1143,'Category Dictionary'!$D$5:$D$135,0)),"")),OR('Assignment Builder'!$B$8="",$D1143='Assignment Builder'!$B$8),OR('Assignment Builder'!$B$9="",$F1143='Assignment Builder'!$B$9),OR('Assignment Builder'!$B$10="",$O1143='Assignment Builder'!$B$10),OR('Assignment Builder'!$B$11="",$H1143&gt;='Assignment Builder'!$B$11),OR('Assignment Builder'!$B$12="",N($Q1143)&lt;='Assignment Builder'!$B$12)))</f>
        <v/>
      </c>
      <c r="T1143" s="23" t="n"/>
    </row>
    <row r="1144">
      <c r="A1144" s="23" t="n"/>
      <c r="B1144" s="23" t="n"/>
      <c r="C1144" s="24" t="n"/>
      <c r="D1144" s="15" t="n"/>
      <c r="E1144" s="23" t="n"/>
      <c r="F1144" s="15" t="n"/>
      <c r="G1144" s="23" t="n"/>
      <c r="H1144" s="25" t="n"/>
      <c r="I1144" s="15" t="n"/>
      <c r="J1144" s="26">
        <f>IF($A1144="","",LEN($C1144)-LEN(SUBSTITUTE($C1144,",",""))+1)</f>
        <v/>
      </c>
      <c r="K1144" s="26">
        <f>IF($A1144="","",SUMPRODUCT(--ISNUMBER(SEARCH('Category Dictionary'!$D$5:$D$135&amp;"",$C1144)),--('Category Dictionary'!$D$5:$D$135&lt;&gt;"")))</f>
        <v/>
      </c>
      <c r="L1144" s="27">
        <f>IF($A1144="","",TRIM(IF(ISERROR(FIND(",",$C1144)),$C1144,LEFT($C1144,FIND(",",$C1144)-1))))</f>
        <v/>
      </c>
      <c r="M1144" s="28">
        <f>IF($H1144="","",DATE(YEAR($H1144),MONTH($H1144),1))</f>
        <v/>
      </c>
      <c r="N1144" s="26">
        <f>IF($H1144="","",TODAY()-$H1144)</f>
        <v/>
      </c>
      <c r="O1144" s="15" t="n"/>
      <c r="P1144" s="15" t="n"/>
      <c r="Q1144" s="15" t="n"/>
      <c r="R1144" s="25" t="n"/>
      <c r="S1144" s="26">
        <f>IF($A1144="","",AND(OR('Assignment Builder'!$B$5="",$B1144='Assignment Builder'!$B$5),OR('Assignment Builder'!$B$6="",ISNUMBER(SEARCH('Assignment Builder'!$B$6,$C1144))),OR('Assignment Builder'!$B$7="",'Assignment Builder'!$B$7=IFERROR(INDEX('Category Dictionary'!$C$5:$C$135,MATCH($L1144,'Category Dictionary'!$D$5:$D$135,0)),"")),OR('Assignment Builder'!$B$8="",$D1144='Assignment Builder'!$B$8),OR('Assignment Builder'!$B$9="",$F1144='Assignment Builder'!$B$9),OR('Assignment Builder'!$B$10="",$O1144='Assignment Builder'!$B$10),OR('Assignment Builder'!$B$11="",$H1144&gt;='Assignment Builder'!$B$11),OR('Assignment Builder'!$B$12="",N($Q1144)&lt;='Assignment Builder'!$B$12)))</f>
        <v/>
      </c>
      <c r="T1144" s="23" t="n"/>
    </row>
    <row r="1145">
      <c r="A1145" s="23" t="n"/>
      <c r="B1145" s="23" t="n"/>
      <c r="C1145" s="24" t="n"/>
      <c r="D1145" s="15" t="n"/>
      <c r="E1145" s="23" t="n"/>
      <c r="F1145" s="15" t="n"/>
      <c r="G1145" s="23" t="n"/>
      <c r="H1145" s="25" t="n"/>
      <c r="I1145" s="15" t="n"/>
      <c r="J1145" s="26">
        <f>IF($A1145="","",LEN($C1145)-LEN(SUBSTITUTE($C1145,",",""))+1)</f>
        <v/>
      </c>
      <c r="K1145" s="26">
        <f>IF($A1145="","",SUMPRODUCT(--ISNUMBER(SEARCH('Category Dictionary'!$D$5:$D$135&amp;"",$C1145)),--('Category Dictionary'!$D$5:$D$135&lt;&gt;"")))</f>
        <v/>
      </c>
      <c r="L1145" s="27">
        <f>IF($A1145="","",TRIM(IF(ISERROR(FIND(",",$C1145)),$C1145,LEFT($C1145,FIND(",",$C1145)-1))))</f>
        <v/>
      </c>
      <c r="M1145" s="28">
        <f>IF($H1145="","",DATE(YEAR($H1145),MONTH($H1145),1))</f>
        <v/>
      </c>
      <c r="N1145" s="26">
        <f>IF($H1145="","",TODAY()-$H1145)</f>
        <v/>
      </c>
      <c r="O1145" s="15" t="n"/>
      <c r="P1145" s="15" t="n"/>
      <c r="Q1145" s="15" t="n"/>
      <c r="R1145" s="25" t="n"/>
      <c r="S1145" s="26">
        <f>IF($A1145="","",AND(OR('Assignment Builder'!$B$5="",$B1145='Assignment Builder'!$B$5),OR('Assignment Builder'!$B$6="",ISNUMBER(SEARCH('Assignment Builder'!$B$6,$C1145))),OR('Assignment Builder'!$B$7="",'Assignment Builder'!$B$7=IFERROR(INDEX('Category Dictionary'!$C$5:$C$135,MATCH($L1145,'Category Dictionary'!$D$5:$D$135,0)),"")),OR('Assignment Builder'!$B$8="",$D1145='Assignment Builder'!$B$8),OR('Assignment Builder'!$B$9="",$F1145='Assignment Builder'!$B$9),OR('Assignment Builder'!$B$10="",$O1145='Assignment Builder'!$B$10),OR('Assignment Builder'!$B$11="",$H1145&gt;='Assignment Builder'!$B$11),OR('Assignment Builder'!$B$12="",N($Q1145)&lt;='Assignment Builder'!$B$12)))</f>
        <v/>
      </c>
      <c r="T1145" s="23" t="n"/>
    </row>
    <row r="1146">
      <c r="A1146" s="23" t="n"/>
      <c r="B1146" s="23" t="n"/>
      <c r="C1146" s="24" t="n"/>
      <c r="D1146" s="15" t="n"/>
      <c r="E1146" s="23" t="n"/>
      <c r="F1146" s="15" t="n"/>
      <c r="G1146" s="23" t="n"/>
      <c r="H1146" s="25" t="n"/>
      <c r="I1146" s="15" t="n"/>
      <c r="J1146" s="26">
        <f>IF($A1146="","",LEN($C1146)-LEN(SUBSTITUTE($C1146,",",""))+1)</f>
        <v/>
      </c>
      <c r="K1146" s="26">
        <f>IF($A1146="","",SUMPRODUCT(--ISNUMBER(SEARCH('Category Dictionary'!$D$5:$D$135&amp;"",$C1146)),--('Category Dictionary'!$D$5:$D$135&lt;&gt;"")))</f>
        <v/>
      </c>
      <c r="L1146" s="27">
        <f>IF($A1146="","",TRIM(IF(ISERROR(FIND(",",$C1146)),$C1146,LEFT($C1146,FIND(",",$C1146)-1))))</f>
        <v/>
      </c>
      <c r="M1146" s="28">
        <f>IF($H1146="","",DATE(YEAR($H1146),MONTH($H1146),1))</f>
        <v/>
      </c>
      <c r="N1146" s="26">
        <f>IF($H1146="","",TODAY()-$H1146)</f>
        <v/>
      </c>
      <c r="O1146" s="15" t="n"/>
      <c r="P1146" s="15" t="n"/>
      <c r="Q1146" s="15" t="n"/>
      <c r="R1146" s="25" t="n"/>
      <c r="S1146" s="26">
        <f>IF($A1146="","",AND(OR('Assignment Builder'!$B$5="",$B1146='Assignment Builder'!$B$5),OR('Assignment Builder'!$B$6="",ISNUMBER(SEARCH('Assignment Builder'!$B$6,$C1146))),OR('Assignment Builder'!$B$7="",'Assignment Builder'!$B$7=IFERROR(INDEX('Category Dictionary'!$C$5:$C$135,MATCH($L1146,'Category Dictionary'!$D$5:$D$135,0)),"")),OR('Assignment Builder'!$B$8="",$D1146='Assignment Builder'!$B$8),OR('Assignment Builder'!$B$9="",$F1146='Assignment Builder'!$B$9),OR('Assignment Builder'!$B$10="",$O1146='Assignment Builder'!$B$10),OR('Assignment Builder'!$B$11="",$H1146&gt;='Assignment Builder'!$B$11),OR('Assignment Builder'!$B$12="",N($Q1146)&lt;='Assignment Builder'!$B$12)))</f>
        <v/>
      </c>
      <c r="T1146" s="23" t="n"/>
    </row>
    <row r="1147">
      <c r="A1147" s="23" t="n"/>
      <c r="B1147" s="23" t="n"/>
      <c r="C1147" s="24" t="n"/>
      <c r="D1147" s="15" t="n"/>
      <c r="E1147" s="23" t="n"/>
      <c r="F1147" s="15" t="n"/>
      <c r="G1147" s="23" t="n"/>
      <c r="H1147" s="25" t="n"/>
      <c r="I1147" s="15" t="n"/>
      <c r="J1147" s="26">
        <f>IF($A1147="","",LEN($C1147)-LEN(SUBSTITUTE($C1147,",",""))+1)</f>
        <v/>
      </c>
      <c r="K1147" s="26">
        <f>IF($A1147="","",SUMPRODUCT(--ISNUMBER(SEARCH('Category Dictionary'!$D$5:$D$135&amp;"",$C1147)),--('Category Dictionary'!$D$5:$D$135&lt;&gt;"")))</f>
        <v/>
      </c>
      <c r="L1147" s="27">
        <f>IF($A1147="","",TRIM(IF(ISERROR(FIND(",",$C1147)),$C1147,LEFT($C1147,FIND(",",$C1147)-1))))</f>
        <v/>
      </c>
      <c r="M1147" s="28">
        <f>IF($H1147="","",DATE(YEAR($H1147),MONTH($H1147),1))</f>
        <v/>
      </c>
      <c r="N1147" s="26">
        <f>IF($H1147="","",TODAY()-$H1147)</f>
        <v/>
      </c>
      <c r="O1147" s="15" t="n"/>
      <c r="P1147" s="15" t="n"/>
      <c r="Q1147" s="15" t="n"/>
      <c r="R1147" s="25" t="n"/>
      <c r="S1147" s="26">
        <f>IF($A1147="","",AND(OR('Assignment Builder'!$B$5="",$B1147='Assignment Builder'!$B$5),OR('Assignment Builder'!$B$6="",ISNUMBER(SEARCH('Assignment Builder'!$B$6,$C1147))),OR('Assignment Builder'!$B$7="",'Assignment Builder'!$B$7=IFERROR(INDEX('Category Dictionary'!$C$5:$C$135,MATCH($L1147,'Category Dictionary'!$D$5:$D$135,0)),"")),OR('Assignment Builder'!$B$8="",$D1147='Assignment Builder'!$B$8),OR('Assignment Builder'!$B$9="",$F1147='Assignment Builder'!$B$9),OR('Assignment Builder'!$B$10="",$O1147='Assignment Builder'!$B$10),OR('Assignment Builder'!$B$11="",$H1147&gt;='Assignment Builder'!$B$11),OR('Assignment Builder'!$B$12="",N($Q1147)&lt;='Assignment Builder'!$B$12)))</f>
        <v/>
      </c>
      <c r="T1147" s="23" t="n"/>
    </row>
    <row r="1148">
      <c r="A1148" s="23" t="n"/>
      <c r="B1148" s="23" t="n"/>
      <c r="C1148" s="24" t="n"/>
      <c r="D1148" s="15" t="n"/>
      <c r="E1148" s="23" t="n"/>
      <c r="F1148" s="15" t="n"/>
      <c r="G1148" s="23" t="n"/>
      <c r="H1148" s="25" t="n"/>
      <c r="I1148" s="15" t="n"/>
      <c r="J1148" s="26">
        <f>IF($A1148="","",LEN($C1148)-LEN(SUBSTITUTE($C1148,",",""))+1)</f>
        <v/>
      </c>
      <c r="K1148" s="26">
        <f>IF($A1148="","",SUMPRODUCT(--ISNUMBER(SEARCH('Category Dictionary'!$D$5:$D$135&amp;"",$C1148)),--('Category Dictionary'!$D$5:$D$135&lt;&gt;"")))</f>
        <v/>
      </c>
      <c r="L1148" s="27">
        <f>IF($A1148="","",TRIM(IF(ISERROR(FIND(",",$C1148)),$C1148,LEFT($C1148,FIND(",",$C1148)-1))))</f>
        <v/>
      </c>
      <c r="M1148" s="28">
        <f>IF($H1148="","",DATE(YEAR($H1148),MONTH($H1148),1))</f>
        <v/>
      </c>
      <c r="N1148" s="26">
        <f>IF($H1148="","",TODAY()-$H1148)</f>
        <v/>
      </c>
      <c r="O1148" s="15" t="n"/>
      <c r="P1148" s="15" t="n"/>
      <c r="Q1148" s="15" t="n"/>
      <c r="R1148" s="25" t="n"/>
      <c r="S1148" s="26">
        <f>IF($A1148="","",AND(OR('Assignment Builder'!$B$5="",$B1148='Assignment Builder'!$B$5),OR('Assignment Builder'!$B$6="",ISNUMBER(SEARCH('Assignment Builder'!$B$6,$C1148))),OR('Assignment Builder'!$B$7="",'Assignment Builder'!$B$7=IFERROR(INDEX('Category Dictionary'!$C$5:$C$135,MATCH($L1148,'Category Dictionary'!$D$5:$D$135,0)),"")),OR('Assignment Builder'!$B$8="",$D1148='Assignment Builder'!$B$8),OR('Assignment Builder'!$B$9="",$F1148='Assignment Builder'!$B$9),OR('Assignment Builder'!$B$10="",$O1148='Assignment Builder'!$B$10),OR('Assignment Builder'!$B$11="",$H1148&gt;='Assignment Builder'!$B$11),OR('Assignment Builder'!$B$12="",N($Q1148)&lt;='Assignment Builder'!$B$12)))</f>
        <v/>
      </c>
      <c r="T1148" s="23" t="n"/>
    </row>
    <row r="1149">
      <c r="A1149" s="23" t="n"/>
      <c r="B1149" s="23" t="n"/>
      <c r="C1149" s="24" t="n"/>
      <c r="D1149" s="15" t="n"/>
      <c r="E1149" s="23" t="n"/>
      <c r="F1149" s="15" t="n"/>
      <c r="G1149" s="23" t="n"/>
      <c r="H1149" s="25" t="n"/>
      <c r="I1149" s="15" t="n"/>
      <c r="J1149" s="26">
        <f>IF($A1149="","",LEN($C1149)-LEN(SUBSTITUTE($C1149,",",""))+1)</f>
        <v/>
      </c>
      <c r="K1149" s="26">
        <f>IF($A1149="","",SUMPRODUCT(--ISNUMBER(SEARCH('Category Dictionary'!$D$5:$D$135&amp;"",$C1149)),--('Category Dictionary'!$D$5:$D$135&lt;&gt;"")))</f>
        <v/>
      </c>
      <c r="L1149" s="27">
        <f>IF($A1149="","",TRIM(IF(ISERROR(FIND(",",$C1149)),$C1149,LEFT($C1149,FIND(",",$C1149)-1))))</f>
        <v/>
      </c>
      <c r="M1149" s="28">
        <f>IF($H1149="","",DATE(YEAR($H1149),MONTH($H1149),1))</f>
        <v/>
      </c>
      <c r="N1149" s="26">
        <f>IF($H1149="","",TODAY()-$H1149)</f>
        <v/>
      </c>
      <c r="O1149" s="15" t="n"/>
      <c r="P1149" s="15" t="n"/>
      <c r="Q1149" s="15" t="n"/>
      <c r="R1149" s="25" t="n"/>
      <c r="S1149" s="26">
        <f>IF($A1149="","",AND(OR('Assignment Builder'!$B$5="",$B1149='Assignment Builder'!$B$5),OR('Assignment Builder'!$B$6="",ISNUMBER(SEARCH('Assignment Builder'!$B$6,$C1149))),OR('Assignment Builder'!$B$7="",'Assignment Builder'!$B$7=IFERROR(INDEX('Category Dictionary'!$C$5:$C$135,MATCH($L1149,'Category Dictionary'!$D$5:$D$135,0)),"")),OR('Assignment Builder'!$B$8="",$D1149='Assignment Builder'!$B$8),OR('Assignment Builder'!$B$9="",$F1149='Assignment Builder'!$B$9),OR('Assignment Builder'!$B$10="",$O1149='Assignment Builder'!$B$10),OR('Assignment Builder'!$B$11="",$H1149&gt;='Assignment Builder'!$B$11),OR('Assignment Builder'!$B$12="",N($Q1149)&lt;='Assignment Builder'!$B$12)))</f>
        <v/>
      </c>
      <c r="T1149" s="23" t="n"/>
    </row>
    <row r="1150">
      <c r="A1150" s="23" t="n"/>
      <c r="B1150" s="23" t="n"/>
      <c r="C1150" s="24" t="n"/>
      <c r="D1150" s="15" t="n"/>
      <c r="E1150" s="23" t="n"/>
      <c r="F1150" s="15" t="n"/>
      <c r="G1150" s="23" t="n"/>
      <c r="H1150" s="25" t="n"/>
      <c r="I1150" s="15" t="n"/>
      <c r="J1150" s="26">
        <f>IF($A1150="","",LEN($C1150)-LEN(SUBSTITUTE($C1150,",",""))+1)</f>
        <v/>
      </c>
      <c r="K1150" s="26">
        <f>IF($A1150="","",SUMPRODUCT(--ISNUMBER(SEARCH('Category Dictionary'!$D$5:$D$135&amp;"",$C1150)),--('Category Dictionary'!$D$5:$D$135&lt;&gt;"")))</f>
        <v/>
      </c>
      <c r="L1150" s="27">
        <f>IF($A1150="","",TRIM(IF(ISERROR(FIND(",",$C1150)),$C1150,LEFT($C1150,FIND(",",$C1150)-1))))</f>
        <v/>
      </c>
      <c r="M1150" s="28">
        <f>IF($H1150="","",DATE(YEAR($H1150),MONTH($H1150),1))</f>
        <v/>
      </c>
      <c r="N1150" s="26">
        <f>IF($H1150="","",TODAY()-$H1150)</f>
        <v/>
      </c>
      <c r="O1150" s="15" t="n"/>
      <c r="P1150" s="15" t="n"/>
      <c r="Q1150" s="15" t="n"/>
      <c r="R1150" s="25" t="n"/>
      <c r="S1150" s="26">
        <f>IF($A1150="","",AND(OR('Assignment Builder'!$B$5="",$B1150='Assignment Builder'!$B$5),OR('Assignment Builder'!$B$6="",ISNUMBER(SEARCH('Assignment Builder'!$B$6,$C1150))),OR('Assignment Builder'!$B$7="",'Assignment Builder'!$B$7=IFERROR(INDEX('Category Dictionary'!$C$5:$C$135,MATCH($L1150,'Category Dictionary'!$D$5:$D$135,0)),"")),OR('Assignment Builder'!$B$8="",$D1150='Assignment Builder'!$B$8),OR('Assignment Builder'!$B$9="",$F1150='Assignment Builder'!$B$9),OR('Assignment Builder'!$B$10="",$O1150='Assignment Builder'!$B$10),OR('Assignment Builder'!$B$11="",$H1150&gt;='Assignment Builder'!$B$11),OR('Assignment Builder'!$B$12="",N($Q1150)&lt;='Assignment Builder'!$B$12)))</f>
        <v/>
      </c>
      <c r="T1150" s="23" t="n"/>
    </row>
    <row r="1151">
      <c r="A1151" s="23" t="n"/>
      <c r="B1151" s="23" t="n"/>
      <c r="C1151" s="24" t="n"/>
      <c r="D1151" s="15" t="n"/>
      <c r="E1151" s="23" t="n"/>
      <c r="F1151" s="15" t="n"/>
      <c r="G1151" s="23" t="n"/>
      <c r="H1151" s="25" t="n"/>
      <c r="I1151" s="15" t="n"/>
      <c r="J1151" s="26">
        <f>IF($A1151="","",LEN($C1151)-LEN(SUBSTITUTE($C1151,",",""))+1)</f>
        <v/>
      </c>
      <c r="K1151" s="26">
        <f>IF($A1151="","",SUMPRODUCT(--ISNUMBER(SEARCH('Category Dictionary'!$D$5:$D$135&amp;"",$C1151)),--('Category Dictionary'!$D$5:$D$135&lt;&gt;"")))</f>
        <v/>
      </c>
      <c r="L1151" s="27">
        <f>IF($A1151="","",TRIM(IF(ISERROR(FIND(",",$C1151)),$C1151,LEFT($C1151,FIND(",",$C1151)-1))))</f>
        <v/>
      </c>
      <c r="M1151" s="28">
        <f>IF($H1151="","",DATE(YEAR($H1151),MONTH($H1151),1))</f>
        <v/>
      </c>
      <c r="N1151" s="26">
        <f>IF($H1151="","",TODAY()-$H1151)</f>
        <v/>
      </c>
      <c r="O1151" s="15" t="n"/>
      <c r="P1151" s="15" t="n"/>
      <c r="Q1151" s="15" t="n"/>
      <c r="R1151" s="25" t="n"/>
      <c r="S1151" s="26">
        <f>IF($A1151="","",AND(OR('Assignment Builder'!$B$5="",$B1151='Assignment Builder'!$B$5),OR('Assignment Builder'!$B$6="",ISNUMBER(SEARCH('Assignment Builder'!$B$6,$C1151))),OR('Assignment Builder'!$B$7="",'Assignment Builder'!$B$7=IFERROR(INDEX('Category Dictionary'!$C$5:$C$135,MATCH($L1151,'Category Dictionary'!$D$5:$D$135,0)),"")),OR('Assignment Builder'!$B$8="",$D1151='Assignment Builder'!$B$8),OR('Assignment Builder'!$B$9="",$F1151='Assignment Builder'!$B$9),OR('Assignment Builder'!$B$10="",$O1151='Assignment Builder'!$B$10),OR('Assignment Builder'!$B$11="",$H1151&gt;='Assignment Builder'!$B$11),OR('Assignment Builder'!$B$12="",N($Q1151)&lt;='Assignment Builder'!$B$12)))</f>
        <v/>
      </c>
      <c r="T1151" s="23" t="n"/>
    </row>
    <row r="1152">
      <c r="A1152" s="23" t="n"/>
      <c r="B1152" s="23" t="n"/>
      <c r="C1152" s="24" t="n"/>
      <c r="D1152" s="15" t="n"/>
      <c r="E1152" s="23" t="n"/>
      <c r="F1152" s="15" t="n"/>
      <c r="G1152" s="23" t="n"/>
      <c r="H1152" s="25" t="n"/>
      <c r="I1152" s="15" t="n"/>
      <c r="J1152" s="26">
        <f>IF($A1152="","",LEN($C1152)-LEN(SUBSTITUTE($C1152,",",""))+1)</f>
        <v/>
      </c>
      <c r="K1152" s="26">
        <f>IF($A1152="","",SUMPRODUCT(--ISNUMBER(SEARCH('Category Dictionary'!$D$5:$D$135&amp;"",$C1152)),--('Category Dictionary'!$D$5:$D$135&lt;&gt;"")))</f>
        <v/>
      </c>
      <c r="L1152" s="27">
        <f>IF($A1152="","",TRIM(IF(ISERROR(FIND(",",$C1152)),$C1152,LEFT($C1152,FIND(",",$C1152)-1))))</f>
        <v/>
      </c>
      <c r="M1152" s="28">
        <f>IF($H1152="","",DATE(YEAR($H1152),MONTH($H1152),1))</f>
        <v/>
      </c>
      <c r="N1152" s="26">
        <f>IF($H1152="","",TODAY()-$H1152)</f>
        <v/>
      </c>
      <c r="O1152" s="15" t="n"/>
      <c r="P1152" s="15" t="n"/>
      <c r="Q1152" s="15" t="n"/>
      <c r="R1152" s="25" t="n"/>
      <c r="S1152" s="26">
        <f>IF($A1152="","",AND(OR('Assignment Builder'!$B$5="",$B1152='Assignment Builder'!$B$5),OR('Assignment Builder'!$B$6="",ISNUMBER(SEARCH('Assignment Builder'!$B$6,$C1152))),OR('Assignment Builder'!$B$7="",'Assignment Builder'!$B$7=IFERROR(INDEX('Category Dictionary'!$C$5:$C$135,MATCH($L1152,'Category Dictionary'!$D$5:$D$135,0)),"")),OR('Assignment Builder'!$B$8="",$D1152='Assignment Builder'!$B$8),OR('Assignment Builder'!$B$9="",$F1152='Assignment Builder'!$B$9),OR('Assignment Builder'!$B$10="",$O1152='Assignment Builder'!$B$10),OR('Assignment Builder'!$B$11="",$H1152&gt;='Assignment Builder'!$B$11),OR('Assignment Builder'!$B$12="",N($Q1152)&lt;='Assignment Builder'!$B$12)))</f>
        <v/>
      </c>
      <c r="T1152" s="23" t="n"/>
    </row>
    <row r="1153">
      <c r="A1153" s="23" t="n"/>
      <c r="B1153" s="23" t="n"/>
      <c r="C1153" s="24" t="n"/>
      <c r="D1153" s="15" t="n"/>
      <c r="E1153" s="23" t="n"/>
      <c r="F1153" s="15" t="n"/>
      <c r="G1153" s="23" t="n"/>
      <c r="H1153" s="25" t="n"/>
      <c r="I1153" s="15" t="n"/>
      <c r="J1153" s="26">
        <f>IF($A1153="","",LEN($C1153)-LEN(SUBSTITUTE($C1153,",",""))+1)</f>
        <v/>
      </c>
      <c r="K1153" s="26">
        <f>IF($A1153="","",SUMPRODUCT(--ISNUMBER(SEARCH('Category Dictionary'!$D$5:$D$135&amp;"",$C1153)),--('Category Dictionary'!$D$5:$D$135&lt;&gt;"")))</f>
        <v/>
      </c>
      <c r="L1153" s="27">
        <f>IF($A1153="","",TRIM(IF(ISERROR(FIND(",",$C1153)),$C1153,LEFT($C1153,FIND(",",$C1153)-1))))</f>
        <v/>
      </c>
      <c r="M1153" s="28">
        <f>IF($H1153="","",DATE(YEAR($H1153),MONTH($H1153),1))</f>
        <v/>
      </c>
      <c r="N1153" s="26">
        <f>IF($H1153="","",TODAY()-$H1153)</f>
        <v/>
      </c>
      <c r="O1153" s="15" t="n"/>
      <c r="P1153" s="15" t="n"/>
      <c r="Q1153" s="15" t="n"/>
      <c r="R1153" s="25" t="n"/>
      <c r="S1153" s="26">
        <f>IF($A1153="","",AND(OR('Assignment Builder'!$B$5="",$B1153='Assignment Builder'!$B$5),OR('Assignment Builder'!$B$6="",ISNUMBER(SEARCH('Assignment Builder'!$B$6,$C1153))),OR('Assignment Builder'!$B$7="",'Assignment Builder'!$B$7=IFERROR(INDEX('Category Dictionary'!$C$5:$C$135,MATCH($L1153,'Category Dictionary'!$D$5:$D$135,0)),"")),OR('Assignment Builder'!$B$8="",$D1153='Assignment Builder'!$B$8),OR('Assignment Builder'!$B$9="",$F1153='Assignment Builder'!$B$9),OR('Assignment Builder'!$B$10="",$O1153='Assignment Builder'!$B$10),OR('Assignment Builder'!$B$11="",$H1153&gt;='Assignment Builder'!$B$11),OR('Assignment Builder'!$B$12="",N($Q1153)&lt;='Assignment Builder'!$B$12)))</f>
        <v/>
      </c>
      <c r="T1153" s="23" t="n"/>
    </row>
    <row r="1154">
      <c r="A1154" s="23" t="n"/>
      <c r="B1154" s="23" t="n"/>
      <c r="C1154" s="24" t="n"/>
      <c r="D1154" s="15" t="n"/>
      <c r="E1154" s="23" t="n"/>
      <c r="F1154" s="15" t="n"/>
      <c r="G1154" s="23" t="n"/>
      <c r="H1154" s="25" t="n"/>
      <c r="I1154" s="15" t="n"/>
      <c r="J1154" s="26">
        <f>IF($A1154="","",LEN($C1154)-LEN(SUBSTITUTE($C1154,",",""))+1)</f>
        <v/>
      </c>
      <c r="K1154" s="26">
        <f>IF($A1154="","",SUMPRODUCT(--ISNUMBER(SEARCH('Category Dictionary'!$D$5:$D$135&amp;"",$C1154)),--('Category Dictionary'!$D$5:$D$135&lt;&gt;"")))</f>
        <v/>
      </c>
      <c r="L1154" s="27">
        <f>IF($A1154="","",TRIM(IF(ISERROR(FIND(",",$C1154)),$C1154,LEFT($C1154,FIND(",",$C1154)-1))))</f>
        <v/>
      </c>
      <c r="M1154" s="28">
        <f>IF($H1154="","",DATE(YEAR($H1154),MONTH($H1154),1))</f>
        <v/>
      </c>
      <c r="N1154" s="26">
        <f>IF($H1154="","",TODAY()-$H1154)</f>
        <v/>
      </c>
      <c r="O1154" s="15" t="n"/>
      <c r="P1154" s="15" t="n"/>
      <c r="Q1154" s="15" t="n"/>
      <c r="R1154" s="25" t="n"/>
      <c r="S1154" s="26">
        <f>IF($A1154="","",AND(OR('Assignment Builder'!$B$5="",$B1154='Assignment Builder'!$B$5),OR('Assignment Builder'!$B$6="",ISNUMBER(SEARCH('Assignment Builder'!$B$6,$C1154))),OR('Assignment Builder'!$B$7="",'Assignment Builder'!$B$7=IFERROR(INDEX('Category Dictionary'!$C$5:$C$135,MATCH($L1154,'Category Dictionary'!$D$5:$D$135,0)),"")),OR('Assignment Builder'!$B$8="",$D1154='Assignment Builder'!$B$8),OR('Assignment Builder'!$B$9="",$F1154='Assignment Builder'!$B$9),OR('Assignment Builder'!$B$10="",$O1154='Assignment Builder'!$B$10),OR('Assignment Builder'!$B$11="",$H1154&gt;='Assignment Builder'!$B$11),OR('Assignment Builder'!$B$12="",N($Q1154)&lt;='Assignment Builder'!$B$12)))</f>
        <v/>
      </c>
      <c r="T1154" s="23" t="n"/>
    </row>
    <row r="1155">
      <c r="A1155" s="23" t="n"/>
      <c r="B1155" s="23" t="n"/>
      <c r="C1155" s="24" t="n"/>
      <c r="D1155" s="15" t="n"/>
      <c r="E1155" s="23" t="n"/>
      <c r="F1155" s="15" t="n"/>
      <c r="G1155" s="23" t="n"/>
      <c r="H1155" s="25" t="n"/>
      <c r="I1155" s="15" t="n"/>
      <c r="J1155" s="26">
        <f>IF($A1155="","",LEN($C1155)-LEN(SUBSTITUTE($C1155,",",""))+1)</f>
        <v/>
      </c>
      <c r="K1155" s="26">
        <f>IF($A1155="","",SUMPRODUCT(--ISNUMBER(SEARCH('Category Dictionary'!$D$5:$D$135&amp;"",$C1155)),--('Category Dictionary'!$D$5:$D$135&lt;&gt;"")))</f>
        <v/>
      </c>
      <c r="L1155" s="27">
        <f>IF($A1155="","",TRIM(IF(ISERROR(FIND(",",$C1155)),$C1155,LEFT($C1155,FIND(",",$C1155)-1))))</f>
        <v/>
      </c>
      <c r="M1155" s="28">
        <f>IF($H1155="","",DATE(YEAR($H1155),MONTH($H1155),1))</f>
        <v/>
      </c>
      <c r="N1155" s="26">
        <f>IF($H1155="","",TODAY()-$H1155)</f>
        <v/>
      </c>
      <c r="O1155" s="15" t="n"/>
      <c r="P1155" s="15" t="n"/>
      <c r="Q1155" s="15" t="n"/>
      <c r="R1155" s="25" t="n"/>
      <c r="S1155" s="26">
        <f>IF($A1155="","",AND(OR('Assignment Builder'!$B$5="",$B1155='Assignment Builder'!$B$5),OR('Assignment Builder'!$B$6="",ISNUMBER(SEARCH('Assignment Builder'!$B$6,$C1155))),OR('Assignment Builder'!$B$7="",'Assignment Builder'!$B$7=IFERROR(INDEX('Category Dictionary'!$C$5:$C$135,MATCH($L1155,'Category Dictionary'!$D$5:$D$135,0)),"")),OR('Assignment Builder'!$B$8="",$D1155='Assignment Builder'!$B$8),OR('Assignment Builder'!$B$9="",$F1155='Assignment Builder'!$B$9),OR('Assignment Builder'!$B$10="",$O1155='Assignment Builder'!$B$10),OR('Assignment Builder'!$B$11="",$H1155&gt;='Assignment Builder'!$B$11),OR('Assignment Builder'!$B$12="",N($Q1155)&lt;='Assignment Builder'!$B$12)))</f>
        <v/>
      </c>
      <c r="T1155" s="23" t="n"/>
    </row>
    <row r="1156">
      <c r="A1156" s="23" t="n"/>
      <c r="B1156" s="23" t="n"/>
      <c r="C1156" s="24" t="n"/>
      <c r="D1156" s="15" t="n"/>
      <c r="E1156" s="23" t="n"/>
      <c r="F1156" s="15" t="n"/>
      <c r="G1156" s="23" t="n"/>
      <c r="H1156" s="25" t="n"/>
      <c r="I1156" s="15" t="n"/>
      <c r="J1156" s="26">
        <f>IF($A1156="","",LEN($C1156)-LEN(SUBSTITUTE($C1156,",",""))+1)</f>
        <v/>
      </c>
      <c r="K1156" s="26">
        <f>IF($A1156="","",SUMPRODUCT(--ISNUMBER(SEARCH('Category Dictionary'!$D$5:$D$135&amp;"",$C1156)),--('Category Dictionary'!$D$5:$D$135&lt;&gt;"")))</f>
        <v/>
      </c>
      <c r="L1156" s="27">
        <f>IF($A1156="","",TRIM(IF(ISERROR(FIND(",",$C1156)),$C1156,LEFT($C1156,FIND(",",$C1156)-1))))</f>
        <v/>
      </c>
      <c r="M1156" s="28">
        <f>IF($H1156="","",DATE(YEAR($H1156),MONTH($H1156),1))</f>
        <v/>
      </c>
      <c r="N1156" s="26">
        <f>IF($H1156="","",TODAY()-$H1156)</f>
        <v/>
      </c>
      <c r="O1156" s="15" t="n"/>
      <c r="P1156" s="15" t="n"/>
      <c r="Q1156" s="15" t="n"/>
      <c r="R1156" s="25" t="n"/>
      <c r="S1156" s="26">
        <f>IF($A1156="","",AND(OR('Assignment Builder'!$B$5="",$B1156='Assignment Builder'!$B$5),OR('Assignment Builder'!$B$6="",ISNUMBER(SEARCH('Assignment Builder'!$B$6,$C1156))),OR('Assignment Builder'!$B$7="",'Assignment Builder'!$B$7=IFERROR(INDEX('Category Dictionary'!$C$5:$C$135,MATCH($L1156,'Category Dictionary'!$D$5:$D$135,0)),"")),OR('Assignment Builder'!$B$8="",$D1156='Assignment Builder'!$B$8),OR('Assignment Builder'!$B$9="",$F1156='Assignment Builder'!$B$9),OR('Assignment Builder'!$B$10="",$O1156='Assignment Builder'!$B$10),OR('Assignment Builder'!$B$11="",$H1156&gt;='Assignment Builder'!$B$11),OR('Assignment Builder'!$B$12="",N($Q1156)&lt;='Assignment Builder'!$B$12)))</f>
        <v/>
      </c>
      <c r="T1156" s="23" t="n"/>
    </row>
    <row r="1157">
      <c r="A1157" s="23" t="n"/>
      <c r="B1157" s="23" t="n"/>
      <c r="C1157" s="24" t="n"/>
      <c r="D1157" s="15" t="n"/>
      <c r="E1157" s="23" t="n"/>
      <c r="F1157" s="15" t="n"/>
      <c r="G1157" s="23" t="n"/>
      <c r="H1157" s="25" t="n"/>
      <c r="I1157" s="15" t="n"/>
      <c r="J1157" s="26">
        <f>IF($A1157="","",LEN($C1157)-LEN(SUBSTITUTE($C1157,",",""))+1)</f>
        <v/>
      </c>
      <c r="K1157" s="26">
        <f>IF($A1157="","",SUMPRODUCT(--ISNUMBER(SEARCH('Category Dictionary'!$D$5:$D$135&amp;"",$C1157)),--('Category Dictionary'!$D$5:$D$135&lt;&gt;"")))</f>
        <v/>
      </c>
      <c r="L1157" s="27">
        <f>IF($A1157="","",TRIM(IF(ISERROR(FIND(",",$C1157)),$C1157,LEFT($C1157,FIND(",",$C1157)-1))))</f>
        <v/>
      </c>
      <c r="M1157" s="28">
        <f>IF($H1157="","",DATE(YEAR($H1157),MONTH($H1157),1))</f>
        <v/>
      </c>
      <c r="N1157" s="26">
        <f>IF($H1157="","",TODAY()-$H1157)</f>
        <v/>
      </c>
      <c r="O1157" s="15" t="n"/>
      <c r="P1157" s="15" t="n"/>
      <c r="Q1157" s="15" t="n"/>
      <c r="R1157" s="25" t="n"/>
      <c r="S1157" s="26">
        <f>IF($A1157="","",AND(OR('Assignment Builder'!$B$5="",$B1157='Assignment Builder'!$B$5),OR('Assignment Builder'!$B$6="",ISNUMBER(SEARCH('Assignment Builder'!$B$6,$C1157))),OR('Assignment Builder'!$B$7="",'Assignment Builder'!$B$7=IFERROR(INDEX('Category Dictionary'!$C$5:$C$135,MATCH($L1157,'Category Dictionary'!$D$5:$D$135,0)),"")),OR('Assignment Builder'!$B$8="",$D1157='Assignment Builder'!$B$8),OR('Assignment Builder'!$B$9="",$F1157='Assignment Builder'!$B$9),OR('Assignment Builder'!$B$10="",$O1157='Assignment Builder'!$B$10),OR('Assignment Builder'!$B$11="",$H1157&gt;='Assignment Builder'!$B$11),OR('Assignment Builder'!$B$12="",N($Q1157)&lt;='Assignment Builder'!$B$12)))</f>
        <v/>
      </c>
      <c r="T1157" s="23" t="n"/>
    </row>
    <row r="1158">
      <c r="A1158" s="23" t="n"/>
      <c r="B1158" s="23" t="n"/>
      <c r="C1158" s="24" t="n"/>
      <c r="D1158" s="15" t="n"/>
      <c r="E1158" s="23" t="n"/>
      <c r="F1158" s="15" t="n"/>
      <c r="G1158" s="23" t="n"/>
      <c r="H1158" s="25" t="n"/>
      <c r="I1158" s="15" t="n"/>
      <c r="J1158" s="26">
        <f>IF($A1158="","",LEN($C1158)-LEN(SUBSTITUTE($C1158,",",""))+1)</f>
        <v/>
      </c>
      <c r="K1158" s="26">
        <f>IF($A1158="","",SUMPRODUCT(--ISNUMBER(SEARCH('Category Dictionary'!$D$5:$D$135&amp;"",$C1158)),--('Category Dictionary'!$D$5:$D$135&lt;&gt;"")))</f>
        <v/>
      </c>
      <c r="L1158" s="27">
        <f>IF($A1158="","",TRIM(IF(ISERROR(FIND(",",$C1158)),$C1158,LEFT($C1158,FIND(",",$C1158)-1))))</f>
        <v/>
      </c>
      <c r="M1158" s="28">
        <f>IF($H1158="","",DATE(YEAR($H1158),MONTH($H1158),1))</f>
        <v/>
      </c>
      <c r="N1158" s="26">
        <f>IF($H1158="","",TODAY()-$H1158)</f>
        <v/>
      </c>
      <c r="O1158" s="15" t="n"/>
      <c r="P1158" s="15" t="n"/>
      <c r="Q1158" s="15" t="n"/>
      <c r="R1158" s="25" t="n"/>
      <c r="S1158" s="26">
        <f>IF($A1158="","",AND(OR('Assignment Builder'!$B$5="",$B1158='Assignment Builder'!$B$5),OR('Assignment Builder'!$B$6="",ISNUMBER(SEARCH('Assignment Builder'!$B$6,$C1158))),OR('Assignment Builder'!$B$7="",'Assignment Builder'!$B$7=IFERROR(INDEX('Category Dictionary'!$C$5:$C$135,MATCH($L1158,'Category Dictionary'!$D$5:$D$135,0)),"")),OR('Assignment Builder'!$B$8="",$D1158='Assignment Builder'!$B$8),OR('Assignment Builder'!$B$9="",$F1158='Assignment Builder'!$B$9),OR('Assignment Builder'!$B$10="",$O1158='Assignment Builder'!$B$10),OR('Assignment Builder'!$B$11="",$H1158&gt;='Assignment Builder'!$B$11),OR('Assignment Builder'!$B$12="",N($Q1158)&lt;='Assignment Builder'!$B$12)))</f>
        <v/>
      </c>
      <c r="T1158" s="23" t="n"/>
    </row>
    <row r="1159">
      <c r="A1159" s="23" t="n"/>
      <c r="B1159" s="23" t="n"/>
      <c r="C1159" s="24" t="n"/>
      <c r="D1159" s="15" t="n"/>
      <c r="E1159" s="23" t="n"/>
      <c r="F1159" s="15" t="n"/>
      <c r="G1159" s="23" t="n"/>
      <c r="H1159" s="25" t="n"/>
      <c r="I1159" s="15" t="n"/>
      <c r="J1159" s="26">
        <f>IF($A1159="","",LEN($C1159)-LEN(SUBSTITUTE($C1159,",",""))+1)</f>
        <v/>
      </c>
      <c r="K1159" s="26">
        <f>IF($A1159="","",SUMPRODUCT(--ISNUMBER(SEARCH('Category Dictionary'!$D$5:$D$135&amp;"",$C1159)),--('Category Dictionary'!$D$5:$D$135&lt;&gt;"")))</f>
        <v/>
      </c>
      <c r="L1159" s="27">
        <f>IF($A1159="","",TRIM(IF(ISERROR(FIND(",",$C1159)),$C1159,LEFT($C1159,FIND(",",$C1159)-1))))</f>
        <v/>
      </c>
      <c r="M1159" s="28">
        <f>IF($H1159="","",DATE(YEAR($H1159),MONTH($H1159),1))</f>
        <v/>
      </c>
      <c r="N1159" s="26">
        <f>IF($H1159="","",TODAY()-$H1159)</f>
        <v/>
      </c>
      <c r="O1159" s="15" t="n"/>
      <c r="P1159" s="15" t="n"/>
      <c r="Q1159" s="15" t="n"/>
      <c r="R1159" s="25" t="n"/>
      <c r="S1159" s="26">
        <f>IF($A1159="","",AND(OR('Assignment Builder'!$B$5="",$B1159='Assignment Builder'!$B$5),OR('Assignment Builder'!$B$6="",ISNUMBER(SEARCH('Assignment Builder'!$B$6,$C1159))),OR('Assignment Builder'!$B$7="",'Assignment Builder'!$B$7=IFERROR(INDEX('Category Dictionary'!$C$5:$C$135,MATCH($L1159,'Category Dictionary'!$D$5:$D$135,0)),"")),OR('Assignment Builder'!$B$8="",$D1159='Assignment Builder'!$B$8),OR('Assignment Builder'!$B$9="",$F1159='Assignment Builder'!$B$9),OR('Assignment Builder'!$B$10="",$O1159='Assignment Builder'!$B$10),OR('Assignment Builder'!$B$11="",$H1159&gt;='Assignment Builder'!$B$11),OR('Assignment Builder'!$B$12="",N($Q1159)&lt;='Assignment Builder'!$B$12)))</f>
        <v/>
      </c>
      <c r="T1159" s="23" t="n"/>
    </row>
    <row r="1160">
      <c r="A1160" s="23" t="n"/>
      <c r="B1160" s="23" t="n"/>
      <c r="C1160" s="24" t="n"/>
      <c r="D1160" s="15" t="n"/>
      <c r="E1160" s="23" t="n"/>
      <c r="F1160" s="15" t="n"/>
      <c r="G1160" s="23" t="n"/>
      <c r="H1160" s="25" t="n"/>
      <c r="I1160" s="15" t="n"/>
      <c r="J1160" s="26">
        <f>IF($A1160="","",LEN($C1160)-LEN(SUBSTITUTE($C1160,",",""))+1)</f>
        <v/>
      </c>
      <c r="K1160" s="26">
        <f>IF($A1160="","",SUMPRODUCT(--ISNUMBER(SEARCH('Category Dictionary'!$D$5:$D$135&amp;"",$C1160)),--('Category Dictionary'!$D$5:$D$135&lt;&gt;"")))</f>
        <v/>
      </c>
      <c r="L1160" s="27">
        <f>IF($A1160="","",TRIM(IF(ISERROR(FIND(",",$C1160)),$C1160,LEFT($C1160,FIND(",",$C1160)-1))))</f>
        <v/>
      </c>
      <c r="M1160" s="28">
        <f>IF($H1160="","",DATE(YEAR($H1160),MONTH($H1160),1))</f>
        <v/>
      </c>
      <c r="N1160" s="26">
        <f>IF($H1160="","",TODAY()-$H1160)</f>
        <v/>
      </c>
      <c r="O1160" s="15" t="n"/>
      <c r="P1160" s="15" t="n"/>
      <c r="Q1160" s="15" t="n"/>
      <c r="R1160" s="25" t="n"/>
      <c r="S1160" s="26">
        <f>IF($A1160="","",AND(OR('Assignment Builder'!$B$5="",$B1160='Assignment Builder'!$B$5),OR('Assignment Builder'!$B$6="",ISNUMBER(SEARCH('Assignment Builder'!$B$6,$C1160))),OR('Assignment Builder'!$B$7="",'Assignment Builder'!$B$7=IFERROR(INDEX('Category Dictionary'!$C$5:$C$135,MATCH($L1160,'Category Dictionary'!$D$5:$D$135,0)),"")),OR('Assignment Builder'!$B$8="",$D1160='Assignment Builder'!$B$8),OR('Assignment Builder'!$B$9="",$F1160='Assignment Builder'!$B$9),OR('Assignment Builder'!$B$10="",$O1160='Assignment Builder'!$B$10),OR('Assignment Builder'!$B$11="",$H1160&gt;='Assignment Builder'!$B$11),OR('Assignment Builder'!$B$12="",N($Q1160)&lt;='Assignment Builder'!$B$12)))</f>
        <v/>
      </c>
      <c r="T1160" s="23" t="n"/>
    </row>
    <row r="1161">
      <c r="A1161" s="23" t="n"/>
      <c r="B1161" s="23" t="n"/>
      <c r="C1161" s="24" t="n"/>
      <c r="D1161" s="15" t="n"/>
      <c r="E1161" s="23" t="n"/>
      <c r="F1161" s="15" t="n"/>
      <c r="G1161" s="23" t="n"/>
      <c r="H1161" s="25" t="n"/>
      <c r="I1161" s="15" t="n"/>
      <c r="J1161" s="26">
        <f>IF($A1161="","",LEN($C1161)-LEN(SUBSTITUTE($C1161,",",""))+1)</f>
        <v/>
      </c>
      <c r="K1161" s="26">
        <f>IF($A1161="","",SUMPRODUCT(--ISNUMBER(SEARCH('Category Dictionary'!$D$5:$D$135&amp;"",$C1161)),--('Category Dictionary'!$D$5:$D$135&lt;&gt;"")))</f>
        <v/>
      </c>
      <c r="L1161" s="27">
        <f>IF($A1161="","",TRIM(IF(ISERROR(FIND(",",$C1161)),$C1161,LEFT($C1161,FIND(",",$C1161)-1))))</f>
        <v/>
      </c>
      <c r="M1161" s="28">
        <f>IF($H1161="","",DATE(YEAR($H1161),MONTH($H1161),1))</f>
        <v/>
      </c>
      <c r="N1161" s="26">
        <f>IF($H1161="","",TODAY()-$H1161)</f>
        <v/>
      </c>
      <c r="O1161" s="15" t="n"/>
      <c r="P1161" s="15" t="n"/>
      <c r="Q1161" s="15" t="n"/>
      <c r="R1161" s="25" t="n"/>
      <c r="S1161" s="26">
        <f>IF($A1161="","",AND(OR('Assignment Builder'!$B$5="",$B1161='Assignment Builder'!$B$5),OR('Assignment Builder'!$B$6="",ISNUMBER(SEARCH('Assignment Builder'!$B$6,$C1161))),OR('Assignment Builder'!$B$7="",'Assignment Builder'!$B$7=IFERROR(INDEX('Category Dictionary'!$C$5:$C$135,MATCH($L1161,'Category Dictionary'!$D$5:$D$135,0)),"")),OR('Assignment Builder'!$B$8="",$D1161='Assignment Builder'!$B$8),OR('Assignment Builder'!$B$9="",$F1161='Assignment Builder'!$B$9),OR('Assignment Builder'!$B$10="",$O1161='Assignment Builder'!$B$10),OR('Assignment Builder'!$B$11="",$H1161&gt;='Assignment Builder'!$B$11),OR('Assignment Builder'!$B$12="",N($Q1161)&lt;='Assignment Builder'!$B$12)))</f>
        <v/>
      </c>
      <c r="T1161" s="23" t="n"/>
    </row>
    <row r="1162">
      <c r="A1162" s="23" t="n"/>
      <c r="B1162" s="23" t="n"/>
      <c r="C1162" s="24" t="n"/>
      <c r="D1162" s="15" t="n"/>
      <c r="E1162" s="23" t="n"/>
      <c r="F1162" s="15" t="n"/>
      <c r="G1162" s="23" t="n"/>
      <c r="H1162" s="25" t="n"/>
      <c r="I1162" s="15" t="n"/>
      <c r="J1162" s="26">
        <f>IF($A1162="","",LEN($C1162)-LEN(SUBSTITUTE($C1162,",",""))+1)</f>
        <v/>
      </c>
      <c r="K1162" s="26">
        <f>IF($A1162="","",SUMPRODUCT(--ISNUMBER(SEARCH('Category Dictionary'!$D$5:$D$135&amp;"",$C1162)),--('Category Dictionary'!$D$5:$D$135&lt;&gt;"")))</f>
        <v/>
      </c>
      <c r="L1162" s="27">
        <f>IF($A1162="","",TRIM(IF(ISERROR(FIND(",",$C1162)),$C1162,LEFT($C1162,FIND(",",$C1162)-1))))</f>
        <v/>
      </c>
      <c r="M1162" s="28">
        <f>IF($H1162="","",DATE(YEAR($H1162),MONTH($H1162),1))</f>
        <v/>
      </c>
      <c r="N1162" s="26">
        <f>IF($H1162="","",TODAY()-$H1162)</f>
        <v/>
      </c>
      <c r="O1162" s="15" t="n"/>
      <c r="P1162" s="15" t="n"/>
      <c r="Q1162" s="15" t="n"/>
      <c r="R1162" s="25" t="n"/>
      <c r="S1162" s="26">
        <f>IF($A1162="","",AND(OR('Assignment Builder'!$B$5="",$B1162='Assignment Builder'!$B$5),OR('Assignment Builder'!$B$6="",ISNUMBER(SEARCH('Assignment Builder'!$B$6,$C1162))),OR('Assignment Builder'!$B$7="",'Assignment Builder'!$B$7=IFERROR(INDEX('Category Dictionary'!$C$5:$C$135,MATCH($L1162,'Category Dictionary'!$D$5:$D$135,0)),"")),OR('Assignment Builder'!$B$8="",$D1162='Assignment Builder'!$B$8),OR('Assignment Builder'!$B$9="",$F1162='Assignment Builder'!$B$9),OR('Assignment Builder'!$B$10="",$O1162='Assignment Builder'!$B$10),OR('Assignment Builder'!$B$11="",$H1162&gt;='Assignment Builder'!$B$11),OR('Assignment Builder'!$B$12="",N($Q1162)&lt;='Assignment Builder'!$B$12)))</f>
        <v/>
      </c>
      <c r="T1162" s="23" t="n"/>
    </row>
    <row r="1163">
      <c r="A1163" s="23" t="n"/>
      <c r="B1163" s="23" t="n"/>
      <c r="C1163" s="24" t="n"/>
      <c r="D1163" s="15" t="n"/>
      <c r="E1163" s="23" t="n"/>
      <c r="F1163" s="15" t="n"/>
      <c r="G1163" s="23" t="n"/>
      <c r="H1163" s="25" t="n"/>
      <c r="I1163" s="15" t="n"/>
      <c r="J1163" s="26">
        <f>IF($A1163="","",LEN($C1163)-LEN(SUBSTITUTE($C1163,",",""))+1)</f>
        <v/>
      </c>
      <c r="K1163" s="26">
        <f>IF($A1163="","",SUMPRODUCT(--ISNUMBER(SEARCH('Category Dictionary'!$D$5:$D$135&amp;"",$C1163)),--('Category Dictionary'!$D$5:$D$135&lt;&gt;"")))</f>
        <v/>
      </c>
      <c r="L1163" s="27">
        <f>IF($A1163="","",TRIM(IF(ISERROR(FIND(",",$C1163)),$C1163,LEFT($C1163,FIND(",",$C1163)-1))))</f>
        <v/>
      </c>
      <c r="M1163" s="28">
        <f>IF($H1163="","",DATE(YEAR($H1163),MONTH($H1163),1))</f>
        <v/>
      </c>
      <c r="N1163" s="26">
        <f>IF($H1163="","",TODAY()-$H1163)</f>
        <v/>
      </c>
      <c r="O1163" s="15" t="n"/>
      <c r="P1163" s="15" t="n"/>
      <c r="Q1163" s="15" t="n"/>
      <c r="R1163" s="25" t="n"/>
      <c r="S1163" s="26">
        <f>IF($A1163="","",AND(OR('Assignment Builder'!$B$5="",$B1163='Assignment Builder'!$B$5),OR('Assignment Builder'!$B$6="",ISNUMBER(SEARCH('Assignment Builder'!$B$6,$C1163))),OR('Assignment Builder'!$B$7="",'Assignment Builder'!$B$7=IFERROR(INDEX('Category Dictionary'!$C$5:$C$135,MATCH($L1163,'Category Dictionary'!$D$5:$D$135,0)),"")),OR('Assignment Builder'!$B$8="",$D1163='Assignment Builder'!$B$8),OR('Assignment Builder'!$B$9="",$F1163='Assignment Builder'!$B$9),OR('Assignment Builder'!$B$10="",$O1163='Assignment Builder'!$B$10),OR('Assignment Builder'!$B$11="",$H1163&gt;='Assignment Builder'!$B$11),OR('Assignment Builder'!$B$12="",N($Q1163)&lt;='Assignment Builder'!$B$12)))</f>
        <v/>
      </c>
      <c r="T1163" s="23" t="n"/>
    </row>
    <row r="1164">
      <c r="A1164" s="23" t="n"/>
      <c r="B1164" s="23" t="n"/>
      <c r="C1164" s="24" t="n"/>
      <c r="D1164" s="15" t="n"/>
      <c r="E1164" s="23" t="n"/>
      <c r="F1164" s="15" t="n"/>
      <c r="G1164" s="23" t="n"/>
      <c r="H1164" s="25" t="n"/>
      <c r="I1164" s="15" t="n"/>
      <c r="J1164" s="26">
        <f>IF($A1164="","",LEN($C1164)-LEN(SUBSTITUTE($C1164,",",""))+1)</f>
        <v/>
      </c>
      <c r="K1164" s="26">
        <f>IF($A1164="","",SUMPRODUCT(--ISNUMBER(SEARCH('Category Dictionary'!$D$5:$D$135&amp;"",$C1164)),--('Category Dictionary'!$D$5:$D$135&lt;&gt;"")))</f>
        <v/>
      </c>
      <c r="L1164" s="27">
        <f>IF($A1164="","",TRIM(IF(ISERROR(FIND(",",$C1164)),$C1164,LEFT($C1164,FIND(",",$C1164)-1))))</f>
        <v/>
      </c>
      <c r="M1164" s="28">
        <f>IF($H1164="","",DATE(YEAR($H1164),MONTH($H1164),1))</f>
        <v/>
      </c>
      <c r="N1164" s="26">
        <f>IF($H1164="","",TODAY()-$H1164)</f>
        <v/>
      </c>
      <c r="O1164" s="15" t="n"/>
      <c r="P1164" s="15" t="n"/>
      <c r="Q1164" s="15" t="n"/>
      <c r="R1164" s="25" t="n"/>
      <c r="S1164" s="26">
        <f>IF($A1164="","",AND(OR('Assignment Builder'!$B$5="",$B1164='Assignment Builder'!$B$5),OR('Assignment Builder'!$B$6="",ISNUMBER(SEARCH('Assignment Builder'!$B$6,$C1164))),OR('Assignment Builder'!$B$7="",'Assignment Builder'!$B$7=IFERROR(INDEX('Category Dictionary'!$C$5:$C$135,MATCH($L1164,'Category Dictionary'!$D$5:$D$135,0)),"")),OR('Assignment Builder'!$B$8="",$D1164='Assignment Builder'!$B$8),OR('Assignment Builder'!$B$9="",$F1164='Assignment Builder'!$B$9),OR('Assignment Builder'!$B$10="",$O1164='Assignment Builder'!$B$10),OR('Assignment Builder'!$B$11="",$H1164&gt;='Assignment Builder'!$B$11),OR('Assignment Builder'!$B$12="",N($Q1164)&lt;='Assignment Builder'!$B$12)))</f>
        <v/>
      </c>
      <c r="T1164" s="23" t="n"/>
    </row>
    <row r="1165">
      <c r="A1165" s="23" t="n"/>
      <c r="B1165" s="23" t="n"/>
      <c r="C1165" s="24" t="n"/>
      <c r="D1165" s="15" t="n"/>
      <c r="E1165" s="23" t="n"/>
      <c r="F1165" s="15" t="n"/>
      <c r="G1165" s="23" t="n"/>
      <c r="H1165" s="25" t="n"/>
      <c r="I1165" s="15" t="n"/>
      <c r="J1165" s="26">
        <f>IF($A1165="","",LEN($C1165)-LEN(SUBSTITUTE($C1165,",",""))+1)</f>
        <v/>
      </c>
      <c r="K1165" s="26">
        <f>IF($A1165="","",SUMPRODUCT(--ISNUMBER(SEARCH('Category Dictionary'!$D$5:$D$135&amp;"",$C1165)),--('Category Dictionary'!$D$5:$D$135&lt;&gt;"")))</f>
        <v/>
      </c>
      <c r="L1165" s="27">
        <f>IF($A1165="","",TRIM(IF(ISERROR(FIND(",",$C1165)),$C1165,LEFT($C1165,FIND(",",$C1165)-1))))</f>
        <v/>
      </c>
      <c r="M1165" s="28">
        <f>IF($H1165="","",DATE(YEAR($H1165),MONTH($H1165),1))</f>
        <v/>
      </c>
      <c r="N1165" s="26">
        <f>IF($H1165="","",TODAY()-$H1165)</f>
        <v/>
      </c>
      <c r="O1165" s="15" t="n"/>
      <c r="P1165" s="15" t="n"/>
      <c r="Q1165" s="15" t="n"/>
      <c r="R1165" s="25" t="n"/>
      <c r="S1165" s="26">
        <f>IF($A1165="","",AND(OR('Assignment Builder'!$B$5="",$B1165='Assignment Builder'!$B$5),OR('Assignment Builder'!$B$6="",ISNUMBER(SEARCH('Assignment Builder'!$B$6,$C1165))),OR('Assignment Builder'!$B$7="",'Assignment Builder'!$B$7=IFERROR(INDEX('Category Dictionary'!$C$5:$C$135,MATCH($L1165,'Category Dictionary'!$D$5:$D$135,0)),"")),OR('Assignment Builder'!$B$8="",$D1165='Assignment Builder'!$B$8),OR('Assignment Builder'!$B$9="",$F1165='Assignment Builder'!$B$9),OR('Assignment Builder'!$B$10="",$O1165='Assignment Builder'!$B$10),OR('Assignment Builder'!$B$11="",$H1165&gt;='Assignment Builder'!$B$11),OR('Assignment Builder'!$B$12="",N($Q1165)&lt;='Assignment Builder'!$B$12)))</f>
        <v/>
      </c>
      <c r="T1165" s="23" t="n"/>
    </row>
    <row r="1166">
      <c r="A1166" s="23" t="n"/>
      <c r="B1166" s="23" t="n"/>
      <c r="C1166" s="24" t="n"/>
      <c r="D1166" s="15" t="n"/>
      <c r="E1166" s="23" t="n"/>
      <c r="F1166" s="15" t="n"/>
      <c r="G1166" s="23" t="n"/>
      <c r="H1166" s="25" t="n"/>
      <c r="I1166" s="15" t="n"/>
      <c r="J1166" s="26">
        <f>IF($A1166="","",LEN($C1166)-LEN(SUBSTITUTE($C1166,",",""))+1)</f>
        <v/>
      </c>
      <c r="K1166" s="26">
        <f>IF($A1166="","",SUMPRODUCT(--ISNUMBER(SEARCH('Category Dictionary'!$D$5:$D$135&amp;"",$C1166)),--('Category Dictionary'!$D$5:$D$135&lt;&gt;"")))</f>
        <v/>
      </c>
      <c r="L1166" s="27">
        <f>IF($A1166="","",TRIM(IF(ISERROR(FIND(",",$C1166)),$C1166,LEFT($C1166,FIND(",",$C1166)-1))))</f>
        <v/>
      </c>
      <c r="M1166" s="28">
        <f>IF($H1166="","",DATE(YEAR($H1166),MONTH($H1166),1))</f>
        <v/>
      </c>
      <c r="N1166" s="26">
        <f>IF($H1166="","",TODAY()-$H1166)</f>
        <v/>
      </c>
      <c r="O1166" s="15" t="n"/>
      <c r="P1166" s="15" t="n"/>
      <c r="Q1166" s="15" t="n"/>
      <c r="R1166" s="25" t="n"/>
      <c r="S1166" s="26">
        <f>IF($A1166="","",AND(OR('Assignment Builder'!$B$5="",$B1166='Assignment Builder'!$B$5),OR('Assignment Builder'!$B$6="",ISNUMBER(SEARCH('Assignment Builder'!$B$6,$C1166))),OR('Assignment Builder'!$B$7="",'Assignment Builder'!$B$7=IFERROR(INDEX('Category Dictionary'!$C$5:$C$135,MATCH($L1166,'Category Dictionary'!$D$5:$D$135,0)),"")),OR('Assignment Builder'!$B$8="",$D1166='Assignment Builder'!$B$8),OR('Assignment Builder'!$B$9="",$F1166='Assignment Builder'!$B$9),OR('Assignment Builder'!$B$10="",$O1166='Assignment Builder'!$B$10),OR('Assignment Builder'!$B$11="",$H1166&gt;='Assignment Builder'!$B$11),OR('Assignment Builder'!$B$12="",N($Q1166)&lt;='Assignment Builder'!$B$12)))</f>
        <v/>
      </c>
      <c r="T1166" s="23" t="n"/>
    </row>
    <row r="1167">
      <c r="A1167" s="23" t="n"/>
      <c r="B1167" s="23" t="n"/>
      <c r="C1167" s="24" t="n"/>
      <c r="D1167" s="15" t="n"/>
      <c r="E1167" s="23" t="n"/>
      <c r="F1167" s="15" t="n"/>
      <c r="G1167" s="23" t="n"/>
      <c r="H1167" s="25" t="n"/>
      <c r="I1167" s="15" t="n"/>
      <c r="J1167" s="26">
        <f>IF($A1167="","",LEN($C1167)-LEN(SUBSTITUTE($C1167,",",""))+1)</f>
        <v/>
      </c>
      <c r="K1167" s="26">
        <f>IF($A1167="","",SUMPRODUCT(--ISNUMBER(SEARCH('Category Dictionary'!$D$5:$D$135&amp;"",$C1167)),--('Category Dictionary'!$D$5:$D$135&lt;&gt;"")))</f>
        <v/>
      </c>
      <c r="L1167" s="27">
        <f>IF($A1167="","",TRIM(IF(ISERROR(FIND(",",$C1167)),$C1167,LEFT($C1167,FIND(",",$C1167)-1))))</f>
        <v/>
      </c>
      <c r="M1167" s="28">
        <f>IF($H1167="","",DATE(YEAR($H1167),MONTH($H1167),1))</f>
        <v/>
      </c>
      <c r="N1167" s="26">
        <f>IF($H1167="","",TODAY()-$H1167)</f>
        <v/>
      </c>
      <c r="O1167" s="15" t="n"/>
      <c r="P1167" s="15" t="n"/>
      <c r="Q1167" s="15" t="n"/>
      <c r="R1167" s="25" t="n"/>
      <c r="S1167" s="26">
        <f>IF($A1167="","",AND(OR('Assignment Builder'!$B$5="",$B1167='Assignment Builder'!$B$5),OR('Assignment Builder'!$B$6="",ISNUMBER(SEARCH('Assignment Builder'!$B$6,$C1167))),OR('Assignment Builder'!$B$7="",'Assignment Builder'!$B$7=IFERROR(INDEX('Category Dictionary'!$C$5:$C$135,MATCH($L1167,'Category Dictionary'!$D$5:$D$135,0)),"")),OR('Assignment Builder'!$B$8="",$D1167='Assignment Builder'!$B$8),OR('Assignment Builder'!$B$9="",$F1167='Assignment Builder'!$B$9),OR('Assignment Builder'!$B$10="",$O1167='Assignment Builder'!$B$10),OR('Assignment Builder'!$B$11="",$H1167&gt;='Assignment Builder'!$B$11),OR('Assignment Builder'!$B$12="",N($Q1167)&lt;='Assignment Builder'!$B$12)))</f>
        <v/>
      </c>
      <c r="T1167" s="23" t="n"/>
    </row>
    <row r="1168">
      <c r="A1168" s="23" t="n"/>
      <c r="B1168" s="23" t="n"/>
      <c r="C1168" s="24" t="n"/>
      <c r="D1168" s="15" t="n"/>
      <c r="E1168" s="23" t="n"/>
      <c r="F1168" s="15" t="n"/>
      <c r="G1168" s="23" t="n"/>
      <c r="H1168" s="25" t="n"/>
      <c r="I1168" s="15" t="n"/>
      <c r="J1168" s="26">
        <f>IF($A1168="","",LEN($C1168)-LEN(SUBSTITUTE($C1168,",",""))+1)</f>
        <v/>
      </c>
      <c r="K1168" s="26">
        <f>IF($A1168="","",SUMPRODUCT(--ISNUMBER(SEARCH('Category Dictionary'!$D$5:$D$135&amp;"",$C1168)),--('Category Dictionary'!$D$5:$D$135&lt;&gt;"")))</f>
        <v/>
      </c>
      <c r="L1168" s="27">
        <f>IF($A1168="","",TRIM(IF(ISERROR(FIND(",",$C1168)),$C1168,LEFT($C1168,FIND(",",$C1168)-1))))</f>
        <v/>
      </c>
      <c r="M1168" s="28">
        <f>IF($H1168="","",DATE(YEAR($H1168),MONTH($H1168),1))</f>
        <v/>
      </c>
      <c r="N1168" s="26">
        <f>IF($H1168="","",TODAY()-$H1168)</f>
        <v/>
      </c>
      <c r="O1168" s="15" t="n"/>
      <c r="P1168" s="15" t="n"/>
      <c r="Q1168" s="15" t="n"/>
      <c r="R1168" s="25" t="n"/>
      <c r="S1168" s="26">
        <f>IF($A1168="","",AND(OR('Assignment Builder'!$B$5="",$B1168='Assignment Builder'!$B$5),OR('Assignment Builder'!$B$6="",ISNUMBER(SEARCH('Assignment Builder'!$B$6,$C1168))),OR('Assignment Builder'!$B$7="",'Assignment Builder'!$B$7=IFERROR(INDEX('Category Dictionary'!$C$5:$C$135,MATCH($L1168,'Category Dictionary'!$D$5:$D$135,0)),"")),OR('Assignment Builder'!$B$8="",$D1168='Assignment Builder'!$B$8),OR('Assignment Builder'!$B$9="",$F1168='Assignment Builder'!$B$9),OR('Assignment Builder'!$B$10="",$O1168='Assignment Builder'!$B$10),OR('Assignment Builder'!$B$11="",$H1168&gt;='Assignment Builder'!$B$11),OR('Assignment Builder'!$B$12="",N($Q1168)&lt;='Assignment Builder'!$B$12)))</f>
        <v/>
      </c>
      <c r="T1168" s="23" t="n"/>
    </row>
    <row r="1169">
      <c r="A1169" s="23" t="n"/>
      <c r="B1169" s="23" t="n"/>
      <c r="C1169" s="24" t="n"/>
      <c r="D1169" s="15" t="n"/>
      <c r="E1169" s="23" t="n"/>
      <c r="F1169" s="15" t="n"/>
      <c r="G1169" s="23" t="n"/>
      <c r="H1169" s="25" t="n"/>
      <c r="I1169" s="15" t="n"/>
      <c r="J1169" s="26">
        <f>IF($A1169="","",LEN($C1169)-LEN(SUBSTITUTE($C1169,",",""))+1)</f>
        <v/>
      </c>
      <c r="K1169" s="26">
        <f>IF($A1169="","",SUMPRODUCT(--ISNUMBER(SEARCH('Category Dictionary'!$D$5:$D$135&amp;"",$C1169)),--('Category Dictionary'!$D$5:$D$135&lt;&gt;"")))</f>
        <v/>
      </c>
      <c r="L1169" s="27">
        <f>IF($A1169="","",TRIM(IF(ISERROR(FIND(",",$C1169)),$C1169,LEFT($C1169,FIND(",",$C1169)-1))))</f>
        <v/>
      </c>
      <c r="M1169" s="28">
        <f>IF($H1169="","",DATE(YEAR($H1169),MONTH($H1169),1))</f>
        <v/>
      </c>
      <c r="N1169" s="26">
        <f>IF($H1169="","",TODAY()-$H1169)</f>
        <v/>
      </c>
      <c r="O1169" s="15" t="n"/>
      <c r="P1169" s="15" t="n"/>
      <c r="Q1169" s="15" t="n"/>
      <c r="R1169" s="25" t="n"/>
      <c r="S1169" s="26">
        <f>IF($A1169="","",AND(OR('Assignment Builder'!$B$5="",$B1169='Assignment Builder'!$B$5),OR('Assignment Builder'!$B$6="",ISNUMBER(SEARCH('Assignment Builder'!$B$6,$C1169))),OR('Assignment Builder'!$B$7="",'Assignment Builder'!$B$7=IFERROR(INDEX('Category Dictionary'!$C$5:$C$135,MATCH($L1169,'Category Dictionary'!$D$5:$D$135,0)),"")),OR('Assignment Builder'!$B$8="",$D1169='Assignment Builder'!$B$8),OR('Assignment Builder'!$B$9="",$F1169='Assignment Builder'!$B$9),OR('Assignment Builder'!$B$10="",$O1169='Assignment Builder'!$B$10),OR('Assignment Builder'!$B$11="",$H1169&gt;='Assignment Builder'!$B$11),OR('Assignment Builder'!$B$12="",N($Q1169)&lt;='Assignment Builder'!$B$12)))</f>
        <v/>
      </c>
      <c r="T1169" s="23" t="n"/>
    </row>
    <row r="1170">
      <c r="A1170" s="23" t="n"/>
      <c r="B1170" s="23" t="n"/>
      <c r="C1170" s="24" t="n"/>
      <c r="D1170" s="15" t="n"/>
      <c r="E1170" s="23" t="n"/>
      <c r="F1170" s="15" t="n"/>
      <c r="G1170" s="23" t="n"/>
      <c r="H1170" s="25" t="n"/>
      <c r="I1170" s="15" t="n"/>
      <c r="J1170" s="26">
        <f>IF($A1170="","",LEN($C1170)-LEN(SUBSTITUTE($C1170,",",""))+1)</f>
        <v/>
      </c>
      <c r="K1170" s="26">
        <f>IF($A1170="","",SUMPRODUCT(--ISNUMBER(SEARCH('Category Dictionary'!$D$5:$D$135&amp;"",$C1170)),--('Category Dictionary'!$D$5:$D$135&lt;&gt;"")))</f>
        <v/>
      </c>
      <c r="L1170" s="27">
        <f>IF($A1170="","",TRIM(IF(ISERROR(FIND(",",$C1170)),$C1170,LEFT($C1170,FIND(",",$C1170)-1))))</f>
        <v/>
      </c>
      <c r="M1170" s="28">
        <f>IF($H1170="","",DATE(YEAR($H1170),MONTH($H1170),1))</f>
        <v/>
      </c>
      <c r="N1170" s="26">
        <f>IF($H1170="","",TODAY()-$H1170)</f>
        <v/>
      </c>
      <c r="O1170" s="15" t="n"/>
      <c r="P1170" s="15" t="n"/>
      <c r="Q1170" s="15" t="n"/>
      <c r="R1170" s="25" t="n"/>
      <c r="S1170" s="26">
        <f>IF($A1170="","",AND(OR('Assignment Builder'!$B$5="",$B1170='Assignment Builder'!$B$5),OR('Assignment Builder'!$B$6="",ISNUMBER(SEARCH('Assignment Builder'!$B$6,$C1170))),OR('Assignment Builder'!$B$7="",'Assignment Builder'!$B$7=IFERROR(INDEX('Category Dictionary'!$C$5:$C$135,MATCH($L1170,'Category Dictionary'!$D$5:$D$135,0)),"")),OR('Assignment Builder'!$B$8="",$D1170='Assignment Builder'!$B$8),OR('Assignment Builder'!$B$9="",$F1170='Assignment Builder'!$B$9),OR('Assignment Builder'!$B$10="",$O1170='Assignment Builder'!$B$10),OR('Assignment Builder'!$B$11="",$H1170&gt;='Assignment Builder'!$B$11),OR('Assignment Builder'!$B$12="",N($Q1170)&lt;='Assignment Builder'!$B$12)))</f>
        <v/>
      </c>
      <c r="T1170" s="23" t="n"/>
    </row>
    <row r="1171">
      <c r="A1171" s="23" t="n"/>
      <c r="B1171" s="23" t="n"/>
      <c r="C1171" s="24" t="n"/>
      <c r="D1171" s="15" t="n"/>
      <c r="E1171" s="23" t="n"/>
      <c r="F1171" s="15" t="n"/>
      <c r="G1171" s="23" t="n"/>
      <c r="H1171" s="25" t="n"/>
      <c r="I1171" s="15" t="n"/>
      <c r="J1171" s="26">
        <f>IF($A1171="","",LEN($C1171)-LEN(SUBSTITUTE($C1171,",",""))+1)</f>
        <v/>
      </c>
      <c r="K1171" s="26">
        <f>IF($A1171="","",SUMPRODUCT(--ISNUMBER(SEARCH('Category Dictionary'!$D$5:$D$135&amp;"",$C1171)),--('Category Dictionary'!$D$5:$D$135&lt;&gt;"")))</f>
        <v/>
      </c>
      <c r="L1171" s="27">
        <f>IF($A1171="","",TRIM(IF(ISERROR(FIND(",",$C1171)),$C1171,LEFT($C1171,FIND(",",$C1171)-1))))</f>
        <v/>
      </c>
      <c r="M1171" s="28">
        <f>IF($H1171="","",DATE(YEAR($H1171),MONTH($H1171),1))</f>
        <v/>
      </c>
      <c r="N1171" s="26">
        <f>IF($H1171="","",TODAY()-$H1171)</f>
        <v/>
      </c>
      <c r="O1171" s="15" t="n"/>
      <c r="P1171" s="15" t="n"/>
      <c r="Q1171" s="15" t="n"/>
      <c r="R1171" s="25" t="n"/>
      <c r="S1171" s="26">
        <f>IF($A1171="","",AND(OR('Assignment Builder'!$B$5="",$B1171='Assignment Builder'!$B$5),OR('Assignment Builder'!$B$6="",ISNUMBER(SEARCH('Assignment Builder'!$B$6,$C1171))),OR('Assignment Builder'!$B$7="",'Assignment Builder'!$B$7=IFERROR(INDEX('Category Dictionary'!$C$5:$C$135,MATCH($L1171,'Category Dictionary'!$D$5:$D$135,0)),"")),OR('Assignment Builder'!$B$8="",$D1171='Assignment Builder'!$B$8),OR('Assignment Builder'!$B$9="",$F1171='Assignment Builder'!$B$9),OR('Assignment Builder'!$B$10="",$O1171='Assignment Builder'!$B$10),OR('Assignment Builder'!$B$11="",$H1171&gt;='Assignment Builder'!$B$11),OR('Assignment Builder'!$B$12="",N($Q1171)&lt;='Assignment Builder'!$B$12)))</f>
        <v/>
      </c>
      <c r="T1171" s="23" t="n"/>
    </row>
    <row r="1172">
      <c r="A1172" s="23" t="n"/>
      <c r="B1172" s="23" t="n"/>
      <c r="C1172" s="24" t="n"/>
      <c r="D1172" s="15" t="n"/>
      <c r="E1172" s="23" t="n"/>
      <c r="F1172" s="15" t="n"/>
      <c r="G1172" s="23" t="n"/>
      <c r="H1172" s="25" t="n"/>
      <c r="I1172" s="15" t="n"/>
      <c r="J1172" s="26">
        <f>IF($A1172="","",LEN($C1172)-LEN(SUBSTITUTE($C1172,",",""))+1)</f>
        <v/>
      </c>
      <c r="K1172" s="26">
        <f>IF($A1172="","",SUMPRODUCT(--ISNUMBER(SEARCH('Category Dictionary'!$D$5:$D$135&amp;"",$C1172)),--('Category Dictionary'!$D$5:$D$135&lt;&gt;"")))</f>
        <v/>
      </c>
      <c r="L1172" s="27">
        <f>IF($A1172="","",TRIM(IF(ISERROR(FIND(",",$C1172)),$C1172,LEFT($C1172,FIND(",",$C1172)-1))))</f>
        <v/>
      </c>
      <c r="M1172" s="28">
        <f>IF($H1172="","",DATE(YEAR($H1172),MONTH($H1172),1))</f>
        <v/>
      </c>
      <c r="N1172" s="26">
        <f>IF($H1172="","",TODAY()-$H1172)</f>
        <v/>
      </c>
      <c r="O1172" s="15" t="n"/>
      <c r="P1172" s="15" t="n"/>
      <c r="Q1172" s="15" t="n"/>
      <c r="R1172" s="25" t="n"/>
      <c r="S1172" s="26">
        <f>IF($A1172="","",AND(OR('Assignment Builder'!$B$5="",$B1172='Assignment Builder'!$B$5),OR('Assignment Builder'!$B$6="",ISNUMBER(SEARCH('Assignment Builder'!$B$6,$C1172))),OR('Assignment Builder'!$B$7="",'Assignment Builder'!$B$7=IFERROR(INDEX('Category Dictionary'!$C$5:$C$135,MATCH($L1172,'Category Dictionary'!$D$5:$D$135,0)),"")),OR('Assignment Builder'!$B$8="",$D1172='Assignment Builder'!$B$8),OR('Assignment Builder'!$B$9="",$F1172='Assignment Builder'!$B$9),OR('Assignment Builder'!$B$10="",$O1172='Assignment Builder'!$B$10),OR('Assignment Builder'!$B$11="",$H1172&gt;='Assignment Builder'!$B$11),OR('Assignment Builder'!$B$12="",N($Q1172)&lt;='Assignment Builder'!$B$12)))</f>
        <v/>
      </c>
      <c r="T1172" s="23" t="n"/>
    </row>
    <row r="1173">
      <c r="A1173" s="23" t="n"/>
      <c r="B1173" s="23" t="n"/>
      <c r="C1173" s="24" t="n"/>
      <c r="D1173" s="15" t="n"/>
      <c r="E1173" s="23" t="n"/>
      <c r="F1173" s="15" t="n"/>
      <c r="G1173" s="23" t="n"/>
      <c r="H1173" s="25" t="n"/>
      <c r="I1173" s="15" t="n"/>
      <c r="J1173" s="26">
        <f>IF($A1173="","",LEN($C1173)-LEN(SUBSTITUTE($C1173,",",""))+1)</f>
        <v/>
      </c>
      <c r="K1173" s="26">
        <f>IF($A1173="","",SUMPRODUCT(--ISNUMBER(SEARCH('Category Dictionary'!$D$5:$D$135&amp;"",$C1173)),--('Category Dictionary'!$D$5:$D$135&lt;&gt;"")))</f>
        <v/>
      </c>
      <c r="L1173" s="27">
        <f>IF($A1173="","",TRIM(IF(ISERROR(FIND(",",$C1173)),$C1173,LEFT($C1173,FIND(",",$C1173)-1))))</f>
        <v/>
      </c>
      <c r="M1173" s="28">
        <f>IF($H1173="","",DATE(YEAR($H1173),MONTH($H1173),1))</f>
        <v/>
      </c>
      <c r="N1173" s="26">
        <f>IF($H1173="","",TODAY()-$H1173)</f>
        <v/>
      </c>
      <c r="O1173" s="15" t="n"/>
      <c r="P1173" s="15" t="n"/>
      <c r="Q1173" s="15" t="n"/>
      <c r="R1173" s="25" t="n"/>
      <c r="S1173" s="26">
        <f>IF($A1173="","",AND(OR('Assignment Builder'!$B$5="",$B1173='Assignment Builder'!$B$5),OR('Assignment Builder'!$B$6="",ISNUMBER(SEARCH('Assignment Builder'!$B$6,$C1173))),OR('Assignment Builder'!$B$7="",'Assignment Builder'!$B$7=IFERROR(INDEX('Category Dictionary'!$C$5:$C$135,MATCH($L1173,'Category Dictionary'!$D$5:$D$135,0)),"")),OR('Assignment Builder'!$B$8="",$D1173='Assignment Builder'!$B$8),OR('Assignment Builder'!$B$9="",$F1173='Assignment Builder'!$B$9),OR('Assignment Builder'!$B$10="",$O1173='Assignment Builder'!$B$10),OR('Assignment Builder'!$B$11="",$H1173&gt;='Assignment Builder'!$B$11),OR('Assignment Builder'!$B$12="",N($Q1173)&lt;='Assignment Builder'!$B$12)))</f>
        <v/>
      </c>
      <c r="T1173" s="23" t="n"/>
    </row>
    <row r="1174">
      <c r="A1174" s="23" t="n"/>
      <c r="B1174" s="23" t="n"/>
      <c r="C1174" s="24" t="n"/>
      <c r="D1174" s="15" t="n"/>
      <c r="E1174" s="23" t="n"/>
      <c r="F1174" s="15" t="n"/>
      <c r="G1174" s="23" t="n"/>
      <c r="H1174" s="25" t="n"/>
      <c r="I1174" s="15" t="n"/>
      <c r="J1174" s="26">
        <f>IF($A1174="","",LEN($C1174)-LEN(SUBSTITUTE($C1174,",",""))+1)</f>
        <v/>
      </c>
      <c r="K1174" s="26">
        <f>IF($A1174="","",SUMPRODUCT(--ISNUMBER(SEARCH('Category Dictionary'!$D$5:$D$135&amp;"",$C1174)),--('Category Dictionary'!$D$5:$D$135&lt;&gt;"")))</f>
        <v/>
      </c>
      <c r="L1174" s="27">
        <f>IF($A1174="","",TRIM(IF(ISERROR(FIND(",",$C1174)),$C1174,LEFT($C1174,FIND(",",$C1174)-1))))</f>
        <v/>
      </c>
      <c r="M1174" s="28">
        <f>IF($H1174="","",DATE(YEAR($H1174),MONTH($H1174),1))</f>
        <v/>
      </c>
      <c r="N1174" s="26">
        <f>IF($H1174="","",TODAY()-$H1174)</f>
        <v/>
      </c>
      <c r="O1174" s="15" t="n"/>
      <c r="P1174" s="15" t="n"/>
      <c r="Q1174" s="15" t="n"/>
      <c r="R1174" s="25" t="n"/>
      <c r="S1174" s="26">
        <f>IF($A1174="","",AND(OR('Assignment Builder'!$B$5="",$B1174='Assignment Builder'!$B$5),OR('Assignment Builder'!$B$6="",ISNUMBER(SEARCH('Assignment Builder'!$B$6,$C1174))),OR('Assignment Builder'!$B$7="",'Assignment Builder'!$B$7=IFERROR(INDEX('Category Dictionary'!$C$5:$C$135,MATCH($L1174,'Category Dictionary'!$D$5:$D$135,0)),"")),OR('Assignment Builder'!$B$8="",$D1174='Assignment Builder'!$B$8),OR('Assignment Builder'!$B$9="",$F1174='Assignment Builder'!$B$9),OR('Assignment Builder'!$B$10="",$O1174='Assignment Builder'!$B$10),OR('Assignment Builder'!$B$11="",$H1174&gt;='Assignment Builder'!$B$11),OR('Assignment Builder'!$B$12="",N($Q1174)&lt;='Assignment Builder'!$B$12)))</f>
        <v/>
      </c>
      <c r="T1174" s="23" t="n"/>
    </row>
    <row r="1175">
      <c r="A1175" s="23" t="n"/>
      <c r="B1175" s="23" t="n"/>
      <c r="C1175" s="24" t="n"/>
      <c r="D1175" s="15" t="n"/>
      <c r="E1175" s="23" t="n"/>
      <c r="F1175" s="15" t="n"/>
      <c r="G1175" s="23" t="n"/>
      <c r="H1175" s="25" t="n"/>
      <c r="I1175" s="15" t="n"/>
      <c r="J1175" s="26">
        <f>IF($A1175="","",LEN($C1175)-LEN(SUBSTITUTE($C1175,",",""))+1)</f>
        <v/>
      </c>
      <c r="K1175" s="26">
        <f>IF($A1175="","",SUMPRODUCT(--ISNUMBER(SEARCH('Category Dictionary'!$D$5:$D$135&amp;"",$C1175)),--('Category Dictionary'!$D$5:$D$135&lt;&gt;"")))</f>
        <v/>
      </c>
      <c r="L1175" s="27">
        <f>IF($A1175="","",TRIM(IF(ISERROR(FIND(",",$C1175)),$C1175,LEFT($C1175,FIND(",",$C1175)-1))))</f>
        <v/>
      </c>
      <c r="M1175" s="28">
        <f>IF($H1175="","",DATE(YEAR($H1175),MONTH($H1175),1))</f>
        <v/>
      </c>
      <c r="N1175" s="26">
        <f>IF($H1175="","",TODAY()-$H1175)</f>
        <v/>
      </c>
      <c r="O1175" s="15" t="n"/>
      <c r="P1175" s="15" t="n"/>
      <c r="Q1175" s="15" t="n"/>
      <c r="R1175" s="25" t="n"/>
      <c r="S1175" s="26">
        <f>IF($A1175="","",AND(OR('Assignment Builder'!$B$5="",$B1175='Assignment Builder'!$B$5),OR('Assignment Builder'!$B$6="",ISNUMBER(SEARCH('Assignment Builder'!$B$6,$C1175))),OR('Assignment Builder'!$B$7="",'Assignment Builder'!$B$7=IFERROR(INDEX('Category Dictionary'!$C$5:$C$135,MATCH($L1175,'Category Dictionary'!$D$5:$D$135,0)),"")),OR('Assignment Builder'!$B$8="",$D1175='Assignment Builder'!$B$8),OR('Assignment Builder'!$B$9="",$F1175='Assignment Builder'!$B$9),OR('Assignment Builder'!$B$10="",$O1175='Assignment Builder'!$B$10),OR('Assignment Builder'!$B$11="",$H1175&gt;='Assignment Builder'!$B$11),OR('Assignment Builder'!$B$12="",N($Q1175)&lt;='Assignment Builder'!$B$12)))</f>
        <v/>
      </c>
      <c r="T1175" s="23" t="n"/>
    </row>
    <row r="1176">
      <c r="A1176" s="23" t="n"/>
      <c r="B1176" s="23" t="n"/>
      <c r="C1176" s="24" t="n"/>
      <c r="D1176" s="15" t="n"/>
      <c r="E1176" s="23" t="n"/>
      <c r="F1176" s="15" t="n"/>
      <c r="G1176" s="23" t="n"/>
      <c r="H1176" s="25" t="n"/>
      <c r="I1176" s="15" t="n"/>
      <c r="J1176" s="26">
        <f>IF($A1176="","",LEN($C1176)-LEN(SUBSTITUTE($C1176,",",""))+1)</f>
        <v/>
      </c>
      <c r="K1176" s="26">
        <f>IF($A1176="","",SUMPRODUCT(--ISNUMBER(SEARCH('Category Dictionary'!$D$5:$D$135&amp;"",$C1176)),--('Category Dictionary'!$D$5:$D$135&lt;&gt;"")))</f>
        <v/>
      </c>
      <c r="L1176" s="27">
        <f>IF($A1176="","",TRIM(IF(ISERROR(FIND(",",$C1176)),$C1176,LEFT($C1176,FIND(",",$C1176)-1))))</f>
        <v/>
      </c>
      <c r="M1176" s="28">
        <f>IF($H1176="","",DATE(YEAR($H1176),MONTH($H1176),1))</f>
        <v/>
      </c>
      <c r="N1176" s="26">
        <f>IF($H1176="","",TODAY()-$H1176)</f>
        <v/>
      </c>
      <c r="O1176" s="15" t="n"/>
      <c r="P1176" s="15" t="n"/>
      <c r="Q1176" s="15" t="n"/>
      <c r="R1176" s="25" t="n"/>
      <c r="S1176" s="26">
        <f>IF($A1176="","",AND(OR('Assignment Builder'!$B$5="",$B1176='Assignment Builder'!$B$5),OR('Assignment Builder'!$B$6="",ISNUMBER(SEARCH('Assignment Builder'!$B$6,$C1176))),OR('Assignment Builder'!$B$7="",'Assignment Builder'!$B$7=IFERROR(INDEX('Category Dictionary'!$C$5:$C$135,MATCH($L1176,'Category Dictionary'!$D$5:$D$135,0)),"")),OR('Assignment Builder'!$B$8="",$D1176='Assignment Builder'!$B$8),OR('Assignment Builder'!$B$9="",$F1176='Assignment Builder'!$B$9),OR('Assignment Builder'!$B$10="",$O1176='Assignment Builder'!$B$10),OR('Assignment Builder'!$B$11="",$H1176&gt;='Assignment Builder'!$B$11),OR('Assignment Builder'!$B$12="",N($Q1176)&lt;='Assignment Builder'!$B$12)))</f>
        <v/>
      </c>
      <c r="T1176" s="23" t="n"/>
    </row>
    <row r="1177">
      <c r="A1177" s="23" t="n"/>
      <c r="B1177" s="23" t="n"/>
      <c r="C1177" s="24" t="n"/>
      <c r="D1177" s="15" t="n"/>
      <c r="E1177" s="23" t="n"/>
      <c r="F1177" s="15" t="n"/>
      <c r="G1177" s="23" t="n"/>
      <c r="H1177" s="25" t="n"/>
      <c r="I1177" s="15" t="n"/>
      <c r="J1177" s="26">
        <f>IF($A1177="","",LEN($C1177)-LEN(SUBSTITUTE($C1177,",",""))+1)</f>
        <v/>
      </c>
      <c r="K1177" s="26">
        <f>IF($A1177="","",SUMPRODUCT(--ISNUMBER(SEARCH('Category Dictionary'!$D$5:$D$135&amp;"",$C1177)),--('Category Dictionary'!$D$5:$D$135&lt;&gt;"")))</f>
        <v/>
      </c>
      <c r="L1177" s="27">
        <f>IF($A1177="","",TRIM(IF(ISERROR(FIND(",",$C1177)),$C1177,LEFT($C1177,FIND(",",$C1177)-1))))</f>
        <v/>
      </c>
      <c r="M1177" s="28">
        <f>IF($H1177="","",DATE(YEAR($H1177),MONTH($H1177),1))</f>
        <v/>
      </c>
      <c r="N1177" s="26">
        <f>IF($H1177="","",TODAY()-$H1177)</f>
        <v/>
      </c>
      <c r="O1177" s="15" t="n"/>
      <c r="P1177" s="15" t="n"/>
      <c r="Q1177" s="15" t="n"/>
      <c r="R1177" s="25" t="n"/>
      <c r="S1177" s="26">
        <f>IF($A1177="","",AND(OR('Assignment Builder'!$B$5="",$B1177='Assignment Builder'!$B$5),OR('Assignment Builder'!$B$6="",ISNUMBER(SEARCH('Assignment Builder'!$B$6,$C1177))),OR('Assignment Builder'!$B$7="",'Assignment Builder'!$B$7=IFERROR(INDEX('Category Dictionary'!$C$5:$C$135,MATCH($L1177,'Category Dictionary'!$D$5:$D$135,0)),"")),OR('Assignment Builder'!$B$8="",$D1177='Assignment Builder'!$B$8),OR('Assignment Builder'!$B$9="",$F1177='Assignment Builder'!$B$9),OR('Assignment Builder'!$B$10="",$O1177='Assignment Builder'!$B$10),OR('Assignment Builder'!$B$11="",$H1177&gt;='Assignment Builder'!$B$11),OR('Assignment Builder'!$B$12="",N($Q1177)&lt;='Assignment Builder'!$B$12)))</f>
        <v/>
      </c>
      <c r="T1177" s="23" t="n"/>
    </row>
    <row r="1178">
      <c r="A1178" s="23" t="n"/>
      <c r="B1178" s="23" t="n"/>
      <c r="C1178" s="24" t="n"/>
      <c r="D1178" s="15" t="n"/>
      <c r="E1178" s="23" t="n"/>
      <c r="F1178" s="15" t="n"/>
      <c r="G1178" s="23" t="n"/>
      <c r="H1178" s="25" t="n"/>
      <c r="I1178" s="15" t="n"/>
      <c r="J1178" s="26">
        <f>IF($A1178="","",LEN($C1178)-LEN(SUBSTITUTE($C1178,",",""))+1)</f>
        <v/>
      </c>
      <c r="K1178" s="26">
        <f>IF($A1178="","",SUMPRODUCT(--ISNUMBER(SEARCH('Category Dictionary'!$D$5:$D$135&amp;"",$C1178)),--('Category Dictionary'!$D$5:$D$135&lt;&gt;"")))</f>
        <v/>
      </c>
      <c r="L1178" s="27">
        <f>IF($A1178="","",TRIM(IF(ISERROR(FIND(",",$C1178)),$C1178,LEFT($C1178,FIND(",",$C1178)-1))))</f>
        <v/>
      </c>
      <c r="M1178" s="28">
        <f>IF($H1178="","",DATE(YEAR($H1178),MONTH($H1178),1))</f>
        <v/>
      </c>
      <c r="N1178" s="26">
        <f>IF($H1178="","",TODAY()-$H1178)</f>
        <v/>
      </c>
      <c r="O1178" s="15" t="n"/>
      <c r="P1178" s="15" t="n"/>
      <c r="Q1178" s="15" t="n"/>
      <c r="R1178" s="25" t="n"/>
      <c r="S1178" s="26">
        <f>IF($A1178="","",AND(OR('Assignment Builder'!$B$5="",$B1178='Assignment Builder'!$B$5),OR('Assignment Builder'!$B$6="",ISNUMBER(SEARCH('Assignment Builder'!$B$6,$C1178))),OR('Assignment Builder'!$B$7="",'Assignment Builder'!$B$7=IFERROR(INDEX('Category Dictionary'!$C$5:$C$135,MATCH($L1178,'Category Dictionary'!$D$5:$D$135,0)),"")),OR('Assignment Builder'!$B$8="",$D1178='Assignment Builder'!$B$8),OR('Assignment Builder'!$B$9="",$F1178='Assignment Builder'!$B$9),OR('Assignment Builder'!$B$10="",$O1178='Assignment Builder'!$B$10),OR('Assignment Builder'!$B$11="",$H1178&gt;='Assignment Builder'!$B$11),OR('Assignment Builder'!$B$12="",N($Q1178)&lt;='Assignment Builder'!$B$12)))</f>
        <v/>
      </c>
      <c r="T1178" s="23" t="n"/>
    </row>
    <row r="1179">
      <c r="A1179" s="23" t="n"/>
      <c r="B1179" s="23" t="n"/>
      <c r="C1179" s="24" t="n"/>
      <c r="D1179" s="15" t="n"/>
      <c r="E1179" s="23" t="n"/>
      <c r="F1179" s="15" t="n"/>
      <c r="G1179" s="23" t="n"/>
      <c r="H1179" s="25" t="n"/>
      <c r="I1179" s="15" t="n"/>
      <c r="J1179" s="26">
        <f>IF($A1179="","",LEN($C1179)-LEN(SUBSTITUTE($C1179,",",""))+1)</f>
        <v/>
      </c>
      <c r="K1179" s="26">
        <f>IF($A1179="","",SUMPRODUCT(--ISNUMBER(SEARCH('Category Dictionary'!$D$5:$D$135&amp;"",$C1179)),--('Category Dictionary'!$D$5:$D$135&lt;&gt;"")))</f>
        <v/>
      </c>
      <c r="L1179" s="27">
        <f>IF($A1179="","",TRIM(IF(ISERROR(FIND(",",$C1179)),$C1179,LEFT($C1179,FIND(",",$C1179)-1))))</f>
        <v/>
      </c>
      <c r="M1179" s="28">
        <f>IF($H1179="","",DATE(YEAR($H1179),MONTH($H1179),1))</f>
        <v/>
      </c>
      <c r="N1179" s="26">
        <f>IF($H1179="","",TODAY()-$H1179)</f>
        <v/>
      </c>
      <c r="O1179" s="15" t="n"/>
      <c r="P1179" s="15" t="n"/>
      <c r="Q1179" s="15" t="n"/>
      <c r="R1179" s="25" t="n"/>
      <c r="S1179" s="26">
        <f>IF($A1179="","",AND(OR('Assignment Builder'!$B$5="",$B1179='Assignment Builder'!$B$5),OR('Assignment Builder'!$B$6="",ISNUMBER(SEARCH('Assignment Builder'!$B$6,$C1179))),OR('Assignment Builder'!$B$7="",'Assignment Builder'!$B$7=IFERROR(INDEX('Category Dictionary'!$C$5:$C$135,MATCH($L1179,'Category Dictionary'!$D$5:$D$135,0)),"")),OR('Assignment Builder'!$B$8="",$D1179='Assignment Builder'!$B$8),OR('Assignment Builder'!$B$9="",$F1179='Assignment Builder'!$B$9),OR('Assignment Builder'!$B$10="",$O1179='Assignment Builder'!$B$10),OR('Assignment Builder'!$B$11="",$H1179&gt;='Assignment Builder'!$B$11),OR('Assignment Builder'!$B$12="",N($Q1179)&lt;='Assignment Builder'!$B$12)))</f>
        <v/>
      </c>
      <c r="T1179" s="23" t="n"/>
    </row>
    <row r="1180">
      <c r="A1180" s="23" t="n"/>
      <c r="B1180" s="23" t="n"/>
      <c r="C1180" s="24" t="n"/>
      <c r="D1180" s="15" t="n"/>
      <c r="E1180" s="23" t="n"/>
      <c r="F1180" s="15" t="n"/>
      <c r="G1180" s="23" t="n"/>
      <c r="H1180" s="25" t="n"/>
      <c r="I1180" s="15" t="n"/>
      <c r="J1180" s="26">
        <f>IF($A1180="","",LEN($C1180)-LEN(SUBSTITUTE($C1180,",",""))+1)</f>
        <v/>
      </c>
      <c r="K1180" s="26">
        <f>IF($A1180="","",SUMPRODUCT(--ISNUMBER(SEARCH('Category Dictionary'!$D$5:$D$135&amp;"",$C1180)),--('Category Dictionary'!$D$5:$D$135&lt;&gt;"")))</f>
        <v/>
      </c>
      <c r="L1180" s="27">
        <f>IF($A1180="","",TRIM(IF(ISERROR(FIND(",",$C1180)),$C1180,LEFT($C1180,FIND(",",$C1180)-1))))</f>
        <v/>
      </c>
      <c r="M1180" s="28">
        <f>IF($H1180="","",DATE(YEAR($H1180),MONTH($H1180),1))</f>
        <v/>
      </c>
      <c r="N1180" s="26">
        <f>IF($H1180="","",TODAY()-$H1180)</f>
        <v/>
      </c>
      <c r="O1180" s="15" t="n"/>
      <c r="P1180" s="15" t="n"/>
      <c r="Q1180" s="15" t="n"/>
      <c r="R1180" s="25" t="n"/>
      <c r="S1180" s="26">
        <f>IF($A1180="","",AND(OR('Assignment Builder'!$B$5="",$B1180='Assignment Builder'!$B$5),OR('Assignment Builder'!$B$6="",ISNUMBER(SEARCH('Assignment Builder'!$B$6,$C1180))),OR('Assignment Builder'!$B$7="",'Assignment Builder'!$B$7=IFERROR(INDEX('Category Dictionary'!$C$5:$C$135,MATCH($L1180,'Category Dictionary'!$D$5:$D$135,0)),"")),OR('Assignment Builder'!$B$8="",$D1180='Assignment Builder'!$B$8),OR('Assignment Builder'!$B$9="",$F1180='Assignment Builder'!$B$9),OR('Assignment Builder'!$B$10="",$O1180='Assignment Builder'!$B$10),OR('Assignment Builder'!$B$11="",$H1180&gt;='Assignment Builder'!$B$11),OR('Assignment Builder'!$B$12="",N($Q1180)&lt;='Assignment Builder'!$B$12)))</f>
        <v/>
      </c>
      <c r="T1180" s="23" t="n"/>
    </row>
    <row r="1181">
      <c r="A1181" s="23" t="n"/>
      <c r="B1181" s="23" t="n"/>
      <c r="C1181" s="24" t="n"/>
      <c r="D1181" s="15" t="n"/>
      <c r="E1181" s="23" t="n"/>
      <c r="F1181" s="15" t="n"/>
      <c r="G1181" s="23" t="n"/>
      <c r="H1181" s="25" t="n"/>
      <c r="I1181" s="15" t="n"/>
      <c r="J1181" s="26">
        <f>IF($A1181="","",LEN($C1181)-LEN(SUBSTITUTE($C1181,",",""))+1)</f>
        <v/>
      </c>
      <c r="K1181" s="26">
        <f>IF($A1181="","",SUMPRODUCT(--ISNUMBER(SEARCH('Category Dictionary'!$D$5:$D$135&amp;"",$C1181)),--('Category Dictionary'!$D$5:$D$135&lt;&gt;"")))</f>
        <v/>
      </c>
      <c r="L1181" s="27">
        <f>IF($A1181="","",TRIM(IF(ISERROR(FIND(",",$C1181)),$C1181,LEFT($C1181,FIND(",",$C1181)-1))))</f>
        <v/>
      </c>
      <c r="M1181" s="28">
        <f>IF($H1181="","",DATE(YEAR($H1181),MONTH($H1181),1))</f>
        <v/>
      </c>
      <c r="N1181" s="26">
        <f>IF($H1181="","",TODAY()-$H1181)</f>
        <v/>
      </c>
      <c r="O1181" s="15" t="n"/>
      <c r="P1181" s="15" t="n"/>
      <c r="Q1181" s="15" t="n"/>
      <c r="R1181" s="25" t="n"/>
      <c r="S1181" s="26">
        <f>IF($A1181="","",AND(OR('Assignment Builder'!$B$5="",$B1181='Assignment Builder'!$B$5),OR('Assignment Builder'!$B$6="",ISNUMBER(SEARCH('Assignment Builder'!$B$6,$C1181))),OR('Assignment Builder'!$B$7="",'Assignment Builder'!$B$7=IFERROR(INDEX('Category Dictionary'!$C$5:$C$135,MATCH($L1181,'Category Dictionary'!$D$5:$D$135,0)),"")),OR('Assignment Builder'!$B$8="",$D1181='Assignment Builder'!$B$8),OR('Assignment Builder'!$B$9="",$F1181='Assignment Builder'!$B$9),OR('Assignment Builder'!$B$10="",$O1181='Assignment Builder'!$B$10),OR('Assignment Builder'!$B$11="",$H1181&gt;='Assignment Builder'!$B$11),OR('Assignment Builder'!$B$12="",N($Q1181)&lt;='Assignment Builder'!$B$12)))</f>
        <v/>
      </c>
      <c r="T1181" s="23" t="n"/>
    </row>
    <row r="1182">
      <c r="A1182" s="23" t="n"/>
      <c r="B1182" s="23" t="n"/>
      <c r="C1182" s="24" t="n"/>
      <c r="D1182" s="15" t="n"/>
      <c r="E1182" s="23" t="n"/>
      <c r="F1182" s="15" t="n"/>
      <c r="G1182" s="23" t="n"/>
      <c r="H1182" s="25" t="n"/>
      <c r="I1182" s="15" t="n"/>
      <c r="J1182" s="26">
        <f>IF($A1182="","",LEN($C1182)-LEN(SUBSTITUTE($C1182,",",""))+1)</f>
        <v/>
      </c>
      <c r="K1182" s="26">
        <f>IF($A1182="","",SUMPRODUCT(--ISNUMBER(SEARCH('Category Dictionary'!$D$5:$D$135&amp;"",$C1182)),--('Category Dictionary'!$D$5:$D$135&lt;&gt;"")))</f>
        <v/>
      </c>
      <c r="L1182" s="27">
        <f>IF($A1182="","",TRIM(IF(ISERROR(FIND(",",$C1182)),$C1182,LEFT($C1182,FIND(",",$C1182)-1))))</f>
        <v/>
      </c>
      <c r="M1182" s="28">
        <f>IF($H1182="","",DATE(YEAR($H1182),MONTH($H1182),1))</f>
        <v/>
      </c>
      <c r="N1182" s="26">
        <f>IF($H1182="","",TODAY()-$H1182)</f>
        <v/>
      </c>
      <c r="O1182" s="15" t="n"/>
      <c r="P1182" s="15" t="n"/>
      <c r="Q1182" s="15" t="n"/>
      <c r="R1182" s="25" t="n"/>
      <c r="S1182" s="26">
        <f>IF($A1182="","",AND(OR('Assignment Builder'!$B$5="",$B1182='Assignment Builder'!$B$5),OR('Assignment Builder'!$B$6="",ISNUMBER(SEARCH('Assignment Builder'!$B$6,$C1182))),OR('Assignment Builder'!$B$7="",'Assignment Builder'!$B$7=IFERROR(INDEX('Category Dictionary'!$C$5:$C$135,MATCH($L1182,'Category Dictionary'!$D$5:$D$135,0)),"")),OR('Assignment Builder'!$B$8="",$D1182='Assignment Builder'!$B$8),OR('Assignment Builder'!$B$9="",$F1182='Assignment Builder'!$B$9),OR('Assignment Builder'!$B$10="",$O1182='Assignment Builder'!$B$10),OR('Assignment Builder'!$B$11="",$H1182&gt;='Assignment Builder'!$B$11),OR('Assignment Builder'!$B$12="",N($Q1182)&lt;='Assignment Builder'!$B$12)))</f>
        <v/>
      </c>
      <c r="T1182" s="23" t="n"/>
    </row>
    <row r="1183">
      <c r="A1183" s="23" t="n"/>
      <c r="B1183" s="23" t="n"/>
      <c r="C1183" s="24" t="n"/>
      <c r="D1183" s="15" t="n"/>
      <c r="E1183" s="23" t="n"/>
      <c r="F1183" s="15" t="n"/>
      <c r="G1183" s="23" t="n"/>
      <c r="H1183" s="25" t="n"/>
      <c r="I1183" s="15" t="n"/>
      <c r="J1183" s="26">
        <f>IF($A1183="","",LEN($C1183)-LEN(SUBSTITUTE($C1183,",",""))+1)</f>
        <v/>
      </c>
      <c r="K1183" s="26">
        <f>IF($A1183="","",SUMPRODUCT(--ISNUMBER(SEARCH('Category Dictionary'!$D$5:$D$135&amp;"",$C1183)),--('Category Dictionary'!$D$5:$D$135&lt;&gt;"")))</f>
        <v/>
      </c>
      <c r="L1183" s="27">
        <f>IF($A1183="","",TRIM(IF(ISERROR(FIND(",",$C1183)),$C1183,LEFT($C1183,FIND(",",$C1183)-1))))</f>
        <v/>
      </c>
      <c r="M1183" s="28">
        <f>IF($H1183="","",DATE(YEAR($H1183),MONTH($H1183),1))</f>
        <v/>
      </c>
      <c r="N1183" s="26">
        <f>IF($H1183="","",TODAY()-$H1183)</f>
        <v/>
      </c>
      <c r="O1183" s="15" t="n"/>
      <c r="P1183" s="15" t="n"/>
      <c r="Q1183" s="15" t="n"/>
      <c r="R1183" s="25" t="n"/>
      <c r="S1183" s="26">
        <f>IF($A1183="","",AND(OR('Assignment Builder'!$B$5="",$B1183='Assignment Builder'!$B$5),OR('Assignment Builder'!$B$6="",ISNUMBER(SEARCH('Assignment Builder'!$B$6,$C1183))),OR('Assignment Builder'!$B$7="",'Assignment Builder'!$B$7=IFERROR(INDEX('Category Dictionary'!$C$5:$C$135,MATCH($L1183,'Category Dictionary'!$D$5:$D$135,0)),"")),OR('Assignment Builder'!$B$8="",$D1183='Assignment Builder'!$B$8),OR('Assignment Builder'!$B$9="",$F1183='Assignment Builder'!$B$9),OR('Assignment Builder'!$B$10="",$O1183='Assignment Builder'!$B$10),OR('Assignment Builder'!$B$11="",$H1183&gt;='Assignment Builder'!$B$11),OR('Assignment Builder'!$B$12="",N($Q1183)&lt;='Assignment Builder'!$B$12)))</f>
        <v/>
      </c>
      <c r="T1183" s="23" t="n"/>
    </row>
    <row r="1184">
      <c r="A1184" s="23" t="n"/>
      <c r="B1184" s="23" t="n"/>
      <c r="C1184" s="24" t="n"/>
      <c r="D1184" s="15" t="n"/>
      <c r="E1184" s="23" t="n"/>
      <c r="F1184" s="15" t="n"/>
      <c r="G1184" s="23" t="n"/>
      <c r="H1184" s="25" t="n"/>
      <c r="I1184" s="15" t="n"/>
      <c r="J1184" s="26">
        <f>IF($A1184="","",LEN($C1184)-LEN(SUBSTITUTE($C1184,",",""))+1)</f>
        <v/>
      </c>
      <c r="K1184" s="26">
        <f>IF($A1184="","",SUMPRODUCT(--ISNUMBER(SEARCH('Category Dictionary'!$D$5:$D$135&amp;"",$C1184)),--('Category Dictionary'!$D$5:$D$135&lt;&gt;"")))</f>
        <v/>
      </c>
      <c r="L1184" s="27">
        <f>IF($A1184="","",TRIM(IF(ISERROR(FIND(",",$C1184)),$C1184,LEFT($C1184,FIND(",",$C1184)-1))))</f>
        <v/>
      </c>
      <c r="M1184" s="28">
        <f>IF($H1184="","",DATE(YEAR($H1184),MONTH($H1184),1))</f>
        <v/>
      </c>
      <c r="N1184" s="26">
        <f>IF($H1184="","",TODAY()-$H1184)</f>
        <v/>
      </c>
      <c r="O1184" s="15" t="n"/>
      <c r="P1184" s="15" t="n"/>
      <c r="Q1184" s="15" t="n"/>
      <c r="R1184" s="25" t="n"/>
      <c r="S1184" s="26">
        <f>IF($A1184="","",AND(OR('Assignment Builder'!$B$5="",$B1184='Assignment Builder'!$B$5),OR('Assignment Builder'!$B$6="",ISNUMBER(SEARCH('Assignment Builder'!$B$6,$C1184))),OR('Assignment Builder'!$B$7="",'Assignment Builder'!$B$7=IFERROR(INDEX('Category Dictionary'!$C$5:$C$135,MATCH($L1184,'Category Dictionary'!$D$5:$D$135,0)),"")),OR('Assignment Builder'!$B$8="",$D1184='Assignment Builder'!$B$8),OR('Assignment Builder'!$B$9="",$F1184='Assignment Builder'!$B$9),OR('Assignment Builder'!$B$10="",$O1184='Assignment Builder'!$B$10),OR('Assignment Builder'!$B$11="",$H1184&gt;='Assignment Builder'!$B$11),OR('Assignment Builder'!$B$12="",N($Q1184)&lt;='Assignment Builder'!$B$12)))</f>
        <v/>
      </c>
      <c r="T1184" s="23" t="n"/>
    </row>
    <row r="1185">
      <c r="A1185" s="23" t="n"/>
      <c r="B1185" s="23" t="n"/>
      <c r="C1185" s="24" t="n"/>
      <c r="D1185" s="15" t="n"/>
      <c r="E1185" s="23" t="n"/>
      <c r="F1185" s="15" t="n"/>
      <c r="G1185" s="23" t="n"/>
      <c r="H1185" s="25" t="n"/>
      <c r="I1185" s="15" t="n"/>
      <c r="J1185" s="26">
        <f>IF($A1185="","",LEN($C1185)-LEN(SUBSTITUTE($C1185,",",""))+1)</f>
        <v/>
      </c>
      <c r="K1185" s="26">
        <f>IF($A1185="","",SUMPRODUCT(--ISNUMBER(SEARCH('Category Dictionary'!$D$5:$D$135&amp;"",$C1185)),--('Category Dictionary'!$D$5:$D$135&lt;&gt;"")))</f>
        <v/>
      </c>
      <c r="L1185" s="27">
        <f>IF($A1185="","",TRIM(IF(ISERROR(FIND(",",$C1185)),$C1185,LEFT($C1185,FIND(",",$C1185)-1))))</f>
        <v/>
      </c>
      <c r="M1185" s="28">
        <f>IF($H1185="","",DATE(YEAR($H1185),MONTH($H1185),1))</f>
        <v/>
      </c>
      <c r="N1185" s="26">
        <f>IF($H1185="","",TODAY()-$H1185)</f>
        <v/>
      </c>
      <c r="O1185" s="15" t="n"/>
      <c r="P1185" s="15" t="n"/>
      <c r="Q1185" s="15" t="n"/>
      <c r="R1185" s="25" t="n"/>
      <c r="S1185" s="26">
        <f>IF($A1185="","",AND(OR('Assignment Builder'!$B$5="",$B1185='Assignment Builder'!$B$5),OR('Assignment Builder'!$B$6="",ISNUMBER(SEARCH('Assignment Builder'!$B$6,$C1185))),OR('Assignment Builder'!$B$7="",'Assignment Builder'!$B$7=IFERROR(INDEX('Category Dictionary'!$C$5:$C$135,MATCH($L1185,'Category Dictionary'!$D$5:$D$135,0)),"")),OR('Assignment Builder'!$B$8="",$D1185='Assignment Builder'!$B$8),OR('Assignment Builder'!$B$9="",$F1185='Assignment Builder'!$B$9),OR('Assignment Builder'!$B$10="",$O1185='Assignment Builder'!$B$10),OR('Assignment Builder'!$B$11="",$H1185&gt;='Assignment Builder'!$B$11),OR('Assignment Builder'!$B$12="",N($Q1185)&lt;='Assignment Builder'!$B$12)))</f>
        <v/>
      </c>
      <c r="T1185" s="23" t="n"/>
    </row>
    <row r="1186">
      <c r="A1186" s="23" t="n"/>
      <c r="B1186" s="23" t="n"/>
      <c r="C1186" s="24" t="n"/>
      <c r="D1186" s="15" t="n"/>
      <c r="E1186" s="23" t="n"/>
      <c r="F1186" s="15" t="n"/>
      <c r="G1186" s="23" t="n"/>
      <c r="H1186" s="25" t="n"/>
      <c r="I1186" s="15" t="n"/>
      <c r="J1186" s="26">
        <f>IF($A1186="","",LEN($C1186)-LEN(SUBSTITUTE($C1186,",",""))+1)</f>
        <v/>
      </c>
      <c r="K1186" s="26">
        <f>IF($A1186="","",SUMPRODUCT(--ISNUMBER(SEARCH('Category Dictionary'!$D$5:$D$135&amp;"",$C1186)),--('Category Dictionary'!$D$5:$D$135&lt;&gt;"")))</f>
        <v/>
      </c>
      <c r="L1186" s="27">
        <f>IF($A1186="","",TRIM(IF(ISERROR(FIND(",",$C1186)),$C1186,LEFT($C1186,FIND(",",$C1186)-1))))</f>
        <v/>
      </c>
      <c r="M1186" s="28">
        <f>IF($H1186="","",DATE(YEAR($H1186),MONTH($H1186),1))</f>
        <v/>
      </c>
      <c r="N1186" s="26">
        <f>IF($H1186="","",TODAY()-$H1186)</f>
        <v/>
      </c>
      <c r="O1186" s="15" t="n"/>
      <c r="P1186" s="15" t="n"/>
      <c r="Q1186" s="15" t="n"/>
      <c r="R1186" s="25" t="n"/>
      <c r="S1186" s="26">
        <f>IF($A1186="","",AND(OR('Assignment Builder'!$B$5="",$B1186='Assignment Builder'!$B$5),OR('Assignment Builder'!$B$6="",ISNUMBER(SEARCH('Assignment Builder'!$B$6,$C1186))),OR('Assignment Builder'!$B$7="",'Assignment Builder'!$B$7=IFERROR(INDEX('Category Dictionary'!$C$5:$C$135,MATCH($L1186,'Category Dictionary'!$D$5:$D$135,0)),"")),OR('Assignment Builder'!$B$8="",$D1186='Assignment Builder'!$B$8),OR('Assignment Builder'!$B$9="",$F1186='Assignment Builder'!$B$9),OR('Assignment Builder'!$B$10="",$O1186='Assignment Builder'!$B$10),OR('Assignment Builder'!$B$11="",$H1186&gt;='Assignment Builder'!$B$11),OR('Assignment Builder'!$B$12="",N($Q1186)&lt;='Assignment Builder'!$B$12)))</f>
        <v/>
      </c>
      <c r="T1186" s="23" t="n"/>
    </row>
    <row r="1187">
      <c r="A1187" s="23" t="n"/>
      <c r="B1187" s="23" t="n"/>
      <c r="C1187" s="24" t="n"/>
      <c r="D1187" s="15" t="n"/>
      <c r="E1187" s="23" t="n"/>
      <c r="F1187" s="15" t="n"/>
      <c r="G1187" s="23" t="n"/>
      <c r="H1187" s="25" t="n"/>
      <c r="I1187" s="15" t="n"/>
      <c r="J1187" s="26">
        <f>IF($A1187="","",LEN($C1187)-LEN(SUBSTITUTE($C1187,",",""))+1)</f>
        <v/>
      </c>
      <c r="K1187" s="26">
        <f>IF($A1187="","",SUMPRODUCT(--ISNUMBER(SEARCH('Category Dictionary'!$D$5:$D$135&amp;"",$C1187)),--('Category Dictionary'!$D$5:$D$135&lt;&gt;"")))</f>
        <v/>
      </c>
      <c r="L1187" s="27">
        <f>IF($A1187="","",TRIM(IF(ISERROR(FIND(",",$C1187)),$C1187,LEFT($C1187,FIND(",",$C1187)-1))))</f>
        <v/>
      </c>
      <c r="M1187" s="28">
        <f>IF($H1187="","",DATE(YEAR($H1187),MONTH($H1187),1))</f>
        <v/>
      </c>
      <c r="N1187" s="26">
        <f>IF($H1187="","",TODAY()-$H1187)</f>
        <v/>
      </c>
      <c r="O1187" s="15" t="n"/>
      <c r="P1187" s="15" t="n"/>
      <c r="Q1187" s="15" t="n"/>
      <c r="R1187" s="25" t="n"/>
      <c r="S1187" s="26">
        <f>IF($A1187="","",AND(OR('Assignment Builder'!$B$5="",$B1187='Assignment Builder'!$B$5),OR('Assignment Builder'!$B$6="",ISNUMBER(SEARCH('Assignment Builder'!$B$6,$C1187))),OR('Assignment Builder'!$B$7="",'Assignment Builder'!$B$7=IFERROR(INDEX('Category Dictionary'!$C$5:$C$135,MATCH($L1187,'Category Dictionary'!$D$5:$D$135,0)),"")),OR('Assignment Builder'!$B$8="",$D1187='Assignment Builder'!$B$8),OR('Assignment Builder'!$B$9="",$F1187='Assignment Builder'!$B$9),OR('Assignment Builder'!$B$10="",$O1187='Assignment Builder'!$B$10),OR('Assignment Builder'!$B$11="",$H1187&gt;='Assignment Builder'!$B$11),OR('Assignment Builder'!$B$12="",N($Q1187)&lt;='Assignment Builder'!$B$12)))</f>
        <v/>
      </c>
      <c r="T1187" s="23" t="n"/>
    </row>
    <row r="1188">
      <c r="A1188" s="23" t="n"/>
      <c r="B1188" s="23" t="n"/>
      <c r="C1188" s="24" t="n"/>
      <c r="D1188" s="15" t="n"/>
      <c r="E1188" s="23" t="n"/>
      <c r="F1188" s="15" t="n"/>
      <c r="G1188" s="23" t="n"/>
      <c r="H1188" s="25" t="n"/>
      <c r="I1188" s="15" t="n"/>
      <c r="J1188" s="26">
        <f>IF($A1188="","",LEN($C1188)-LEN(SUBSTITUTE($C1188,",",""))+1)</f>
        <v/>
      </c>
      <c r="K1188" s="26">
        <f>IF($A1188="","",SUMPRODUCT(--ISNUMBER(SEARCH('Category Dictionary'!$D$5:$D$135&amp;"",$C1188)),--('Category Dictionary'!$D$5:$D$135&lt;&gt;"")))</f>
        <v/>
      </c>
      <c r="L1188" s="27">
        <f>IF($A1188="","",TRIM(IF(ISERROR(FIND(",",$C1188)),$C1188,LEFT($C1188,FIND(",",$C1188)-1))))</f>
        <v/>
      </c>
      <c r="M1188" s="28">
        <f>IF($H1188="","",DATE(YEAR($H1188),MONTH($H1188),1))</f>
        <v/>
      </c>
      <c r="N1188" s="26">
        <f>IF($H1188="","",TODAY()-$H1188)</f>
        <v/>
      </c>
      <c r="O1188" s="15" t="n"/>
      <c r="P1188" s="15" t="n"/>
      <c r="Q1188" s="15" t="n"/>
      <c r="R1188" s="25" t="n"/>
      <c r="S1188" s="26">
        <f>IF($A1188="","",AND(OR('Assignment Builder'!$B$5="",$B1188='Assignment Builder'!$B$5),OR('Assignment Builder'!$B$6="",ISNUMBER(SEARCH('Assignment Builder'!$B$6,$C1188))),OR('Assignment Builder'!$B$7="",'Assignment Builder'!$B$7=IFERROR(INDEX('Category Dictionary'!$C$5:$C$135,MATCH($L1188,'Category Dictionary'!$D$5:$D$135,0)),"")),OR('Assignment Builder'!$B$8="",$D1188='Assignment Builder'!$B$8),OR('Assignment Builder'!$B$9="",$F1188='Assignment Builder'!$B$9),OR('Assignment Builder'!$B$10="",$O1188='Assignment Builder'!$B$10),OR('Assignment Builder'!$B$11="",$H1188&gt;='Assignment Builder'!$B$11),OR('Assignment Builder'!$B$12="",N($Q1188)&lt;='Assignment Builder'!$B$12)))</f>
        <v/>
      </c>
      <c r="T1188" s="23" t="n"/>
    </row>
    <row r="1189">
      <c r="A1189" s="23" t="n"/>
      <c r="B1189" s="23" t="n"/>
      <c r="C1189" s="24" t="n"/>
      <c r="D1189" s="15" t="n"/>
      <c r="E1189" s="23" t="n"/>
      <c r="F1189" s="15" t="n"/>
      <c r="G1189" s="23" t="n"/>
      <c r="H1189" s="25" t="n"/>
      <c r="I1189" s="15" t="n"/>
      <c r="J1189" s="26">
        <f>IF($A1189="","",LEN($C1189)-LEN(SUBSTITUTE($C1189,",",""))+1)</f>
        <v/>
      </c>
      <c r="K1189" s="26">
        <f>IF($A1189="","",SUMPRODUCT(--ISNUMBER(SEARCH('Category Dictionary'!$D$5:$D$135&amp;"",$C1189)),--('Category Dictionary'!$D$5:$D$135&lt;&gt;"")))</f>
        <v/>
      </c>
      <c r="L1189" s="27">
        <f>IF($A1189="","",TRIM(IF(ISERROR(FIND(",",$C1189)),$C1189,LEFT($C1189,FIND(",",$C1189)-1))))</f>
        <v/>
      </c>
      <c r="M1189" s="28">
        <f>IF($H1189="","",DATE(YEAR($H1189),MONTH($H1189),1))</f>
        <v/>
      </c>
      <c r="N1189" s="26">
        <f>IF($H1189="","",TODAY()-$H1189)</f>
        <v/>
      </c>
      <c r="O1189" s="15" t="n"/>
      <c r="P1189" s="15" t="n"/>
      <c r="Q1189" s="15" t="n"/>
      <c r="R1189" s="25" t="n"/>
      <c r="S1189" s="26">
        <f>IF($A1189="","",AND(OR('Assignment Builder'!$B$5="",$B1189='Assignment Builder'!$B$5),OR('Assignment Builder'!$B$6="",ISNUMBER(SEARCH('Assignment Builder'!$B$6,$C1189))),OR('Assignment Builder'!$B$7="",'Assignment Builder'!$B$7=IFERROR(INDEX('Category Dictionary'!$C$5:$C$135,MATCH($L1189,'Category Dictionary'!$D$5:$D$135,0)),"")),OR('Assignment Builder'!$B$8="",$D1189='Assignment Builder'!$B$8),OR('Assignment Builder'!$B$9="",$F1189='Assignment Builder'!$B$9),OR('Assignment Builder'!$B$10="",$O1189='Assignment Builder'!$B$10),OR('Assignment Builder'!$B$11="",$H1189&gt;='Assignment Builder'!$B$11),OR('Assignment Builder'!$B$12="",N($Q1189)&lt;='Assignment Builder'!$B$12)))</f>
        <v/>
      </c>
      <c r="T1189" s="23" t="n"/>
    </row>
    <row r="1190">
      <c r="A1190" s="23" t="n"/>
      <c r="B1190" s="23" t="n"/>
      <c r="C1190" s="24" t="n"/>
      <c r="D1190" s="15" t="n"/>
      <c r="E1190" s="23" t="n"/>
      <c r="F1190" s="15" t="n"/>
      <c r="G1190" s="23" t="n"/>
      <c r="H1190" s="25" t="n"/>
      <c r="I1190" s="15" t="n"/>
      <c r="J1190" s="26">
        <f>IF($A1190="","",LEN($C1190)-LEN(SUBSTITUTE($C1190,",",""))+1)</f>
        <v/>
      </c>
      <c r="K1190" s="26">
        <f>IF($A1190="","",SUMPRODUCT(--ISNUMBER(SEARCH('Category Dictionary'!$D$5:$D$135&amp;"",$C1190)),--('Category Dictionary'!$D$5:$D$135&lt;&gt;"")))</f>
        <v/>
      </c>
      <c r="L1190" s="27">
        <f>IF($A1190="","",TRIM(IF(ISERROR(FIND(",",$C1190)),$C1190,LEFT($C1190,FIND(",",$C1190)-1))))</f>
        <v/>
      </c>
      <c r="M1190" s="28">
        <f>IF($H1190="","",DATE(YEAR($H1190),MONTH($H1190),1))</f>
        <v/>
      </c>
      <c r="N1190" s="26">
        <f>IF($H1190="","",TODAY()-$H1190)</f>
        <v/>
      </c>
      <c r="O1190" s="15" t="n"/>
      <c r="P1190" s="15" t="n"/>
      <c r="Q1190" s="15" t="n"/>
      <c r="R1190" s="25" t="n"/>
      <c r="S1190" s="26">
        <f>IF($A1190="","",AND(OR('Assignment Builder'!$B$5="",$B1190='Assignment Builder'!$B$5),OR('Assignment Builder'!$B$6="",ISNUMBER(SEARCH('Assignment Builder'!$B$6,$C1190))),OR('Assignment Builder'!$B$7="",'Assignment Builder'!$B$7=IFERROR(INDEX('Category Dictionary'!$C$5:$C$135,MATCH($L1190,'Category Dictionary'!$D$5:$D$135,0)),"")),OR('Assignment Builder'!$B$8="",$D1190='Assignment Builder'!$B$8),OR('Assignment Builder'!$B$9="",$F1190='Assignment Builder'!$B$9),OR('Assignment Builder'!$B$10="",$O1190='Assignment Builder'!$B$10),OR('Assignment Builder'!$B$11="",$H1190&gt;='Assignment Builder'!$B$11),OR('Assignment Builder'!$B$12="",N($Q1190)&lt;='Assignment Builder'!$B$12)))</f>
        <v/>
      </c>
      <c r="T1190" s="23" t="n"/>
    </row>
    <row r="1191">
      <c r="A1191" s="23" t="n"/>
      <c r="B1191" s="23" t="n"/>
      <c r="C1191" s="24" t="n"/>
      <c r="D1191" s="15" t="n"/>
      <c r="E1191" s="23" t="n"/>
      <c r="F1191" s="15" t="n"/>
      <c r="G1191" s="23" t="n"/>
      <c r="H1191" s="25" t="n"/>
      <c r="I1191" s="15" t="n"/>
      <c r="J1191" s="26">
        <f>IF($A1191="","",LEN($C1191)-LEN(SUBSTITUTE($C1191,",",""))+1)</f>
        <v/>
      </c>
      <c r="K1191" s="26">
        <f>IF($A1191="","",SUMPRODUCT(--ISNUMBER(SEARCH('Category Dictionary'!$D$5:$D$135&amp;"",$C1191)),--('Category Dictionary'!$D$5:$D$135&lt;&gt;"")))</f>
        <v/>
      </c>
      <c r="L1191" s="27">
        <f>IF($A1191="","",TRIM(IF(ISERROR(FIND(",",$C1191)),$C1191,LEFT($C1191,FIND(",",$C1191)-1))))</f>
        <v/>
      </c>
      <c r="M1191" s="28">
        <f>IF($H1191="","",DATE(YEAR($H1191),MONTH($H1191),1))</f>
        <v/>
      </c>
      <c r="N1191" s="26">
        <f>IF($H1191="","",TODAY()-$H1191)</f>
        <v/>
      </c>
      <c r="O1191" s="15" t="n"/>
      <c r="P1191" s="15" t="n"/>
      <c r="Q1191" s="15" t="n"/>
      <c r="R1191" s="25" t="n"/>
      <c r="S1191" s="26">
        <f>IF($A1191="","",AND(OR('Assignment Builder'!$B$5="",$B1191='Assignment Builder'!$B$5),OR('Assignment Builder'!$B$6="",ISNUMBER(SEARCH('Assignment Builder'!$B$6,$C1191))),OR('Assignment Builder'!$B$7="",'Assignment Builder'!$B$7=IFERROR(INDEX('Category Dictionary'!$C$5:$C$135,MATCH($L1191,'Category Dictionary'!$D$5:$D$135,0)),"")),OR('Assignment Builder'!$B$8="",$D1191='Assignment Builder'!$B$8),OR('Assignment Builder'!$B$9="",$F1191='Assignment Builder'!$B$9),OR('Assignment Builder'!$B$10="",$O1191='Assignment Builder'!$B$10),OR('Assignment Builder'!$B$11="",$H1191&gt;='Assignment Builder'!$B$11),OR('Assignment Builder'!$B$12="",N($Q1191)&lt;='Assignment Builder'!$B$12)))</f>
        <v/>
      </c>
      <c r="T1191" s="23" t="n"/>
    </row>
    <row r="1192">
      <c r="A1192" s="23" t="n"/>
      <c r="B1192" s="23" t="n"/>
      <c r="C1192" s="24" t="n"/>
      <c r="D1192" s="15" t="n"/>
      <c r="E1192" s="23" t="n"/>
      <c r="F1192" s="15" t="n"/>
      <c r="G1192" s="23" t="n"/>
      <c r="H1192" s="25" t="n"/>
      <c r="I1192" s="15" t="n"/>
      <c r="J1192" s="26">
        <f>IF($A1192="","",LEN($C1192)-LEN(SUBSTITUTE($C1192,",",""))+1)</f>
        <v/>
      </c>
      <c r="K1192" s="26">
        <f>IF($A1192="","",SUMPRODUCT(--ISNUMBER(SEARCH('Category Dictionary'!$D$5:$D$135&amp;"",$C1192)),--('Category Dictionary'!$D$5:$D$135&lt;&gt;"")))</f>
        <v/>
      </c>
      <c r="L1192" s="27">
        <f>IF($A1192="","",TRIM(IF(ISERROR(FIND(",",$C1192)),$C1192,LEFT($C1192,FIND(",",$C1192)-1))))</f>
        <v/>
      </c>
      <c r="M1192" s="28">
        <f>IF($H1192="","",DATE(YEAR($H1192),MONTH($H1192),1))</f>
        <v/>
      </c>
      <c r="N1192" s="26">
        <f>IF($H1192="","",TODAY()-$H1192)</f>
        <v/>
      </c>
      <c r="O1192" s="15" t="n"/>
      <c r="P1192" s="15" t="n"/>
      <c r="Q1192" s="15" t="n"/>
      <c r="R1192" s="25" t="n"/>
      <c r="S1192" s="26">
        <f>IF($A1192="","",AND(OR('Assignment Builder'!$B$5="",$B1192='Assignment Builder'!$B$5),OR('Assignment Builder'!$B$6="",ISNUMBER(SEARCH('Assignment Builder'!$B$6,$C1192))),OR('Assignment Builder'!$B$7="",'Assignment Builder'!$B$7=IFERROR(INDEX('Category Dictionary'!$C$5:$C$135,MATCH($L1192,'Category Dictionary'!$D$5:$D$135,0)),"")),OR('Assignment Builder'!$B$8="",$D1192='Assignment Builder'!$B$8),OR('Assignment Builder'!$B$9="",$F1192='Assignment Builder'!$B$9),OR('Assignment Builder'!$B$10="",$O1192='Assignment Builder'!$B$10),OR('Assignment Builder'!$B$11="",$H1192&gt;='Assignment Builder'!$B$11),OR('Assignment Builder'!$B$12="",N($Q1192)&lt;='Assignment Builder'!$B$12)))</f>
        <v/>
      </c>
      <c r="T1192" s="23" t="n"/>
    </row>
    <row r="1193">
      <c r="A1193" s="23" t="n"/>
      <c r="B1193" s="23" t="n"/>
      <c r="C1193" s="24" t="n"/>
      <c r="D1193" s="15" t="n"/>
      <c r="E1193" s="23" t="n"/>
      <c r="F1193" s="15" t="n"/>
      <c r="G1193" s="23" t="n"/>
      <c r="H1193" s="25" t="n"/>
      <c r="I1193" s="15" t="n"/>
      <c r="J1193" s="26">
        <f>IF($A1193="","",LEN($C1193)-LEN(SUBSTITUTE($C1193,",",""))+1)</f>
        <v/>
      </c>
      <c r="K1193" s="26">
        <f>IF($A1193="","",SUMPRODUCT(--ISNUMBER(SEARCH('Category Dictionary'!$D$5:$D$135&amp;"",$C1193)),--('Category Dictionary'!$D$5:$D$135&lt;&gt;"")))</f>
        <v/>
      </c>
      <c r="L1193" s="27">
        <f>IF($A1193="","",TRIM(IF(ISERROR(FIND(",",$C1193)),$C1193,LEFT($C1193,FIND(",",$C1193)-1))))</f>
        <v/>
      </c>
      <c r="M1193" s="28">
        <f>IF($H1193="","",DATE(YEAR($H1193),MONTH($H1193),1))</f>
        <v/>
      </c>
      <c r="N1193" s="26">
        <f>IF($H1193="","",TODAY()-$H1193)</f>
        <v/>
      </c>
      <c r="O1193" s="15" t="n"/>
      <c r="P1193" s="15" t="n"/>
      <c r="Q1193" s="15" t="n"/>
      <c r="R1193" s="25" t="n"/>
      <c r="S1193" s="26">
        <f>IF($A1193="","",AND(OR('Assignment Builder'!$B$5="",$B1193='Assignment Builder'!$B$5),OR('Assignment Builder'!$B$6="",ISNUMBER(SEARCH('Assignment Builder'!$B$6,$C1193))),OR('Assignment Builder'!$B$7="",'Assignment Builder'!$B$7=IFERROR(INDEX('Category Dictionary'!$C$5:$C$135,MATCH($L1193,'Category Dictionary'!$D$5:$D$135,0)),"")),OR('Assignment Builder'!$B$8="",$D1193='Assignment Builder'!$B$8),OR('Assignment Builder'!$B$9="",$F1193='Assignment Builder'!$B$9),OR('Assignment Builder'!$B$10="",$O1193='Assignment Builder'!$B$10),OR('Assignment Builder'!$B$11="",$H1193&gt;='Assignment Builder'!$B$11),OR('Assignment Builder'!$B$12="",N($Q1193)&lt;='Assignment Builder'!$B$12)))</f>
        <v/>
      </c>
      <c r="T1193" s="23" t="n"/>
    </row>
    <row r="1194">
      <c r="A1194" s="23" t="n"/>
      <c r="B1194" s="23" t="n"/>
      <c r="C1194" s="24" t="n"/>
      <c r="D1194" s="15" t="n"/>
      <c r="E1194" s="23" t="n"/>
      <c r="F1194" s="15" t="n"/>
      <c r="G1194" s="23" t="n"/>
      <c r="H1194" s="25" t="n"/>
      <c r="I1194" s="15" t="n"/>
      <c r="J1194" s="26">
        <f>IF($A1194="","",LEN($C1194)-LEN(SUBSTITUTE($C1194,",",""))+1)</f>
        <v/>
      </c>
      <c r="K1194" s="26">
        <f>IF($A1194="","",SUMPRODUCT(--ISNUMBER(SEARCH('Category Dictionary'!$D$5:$D$135&amp;"",$C1194)),--('Category Dictionary'!$D$5:$D$135&lt;&gt;"")))</f>
        <v/>
      </c>
      <c r="L1194" s="27">
        <f>IF($A1194="","",TRIM(IF(ISERROR(FIND(",",$C1194)),$C1194,LEFT($C1194,FIND(",",$C1194)-1))))</f>
        <v/>
      </c>
      <c r="M1194" s="28">
        <f>IF($H1194="","",DATE(YEAR($H1194),MONTH($H1194),1))</f>
        <v/>
      </c>
      <c r="N1194" s="26">
        <f>IF($H1194="","",TODAY()-$H1194)</f>
        <v/>
      </c>
      <c r="O1194" s="15" t="n"/>
      <c r="P1194" s="15" t="n"/>
      <c r="Q1194" s="15" t="n"/>
      <c r="R1194" s="25" t="n"/>
      <c r="S1194" s="26">
        <f>IF($A1194="","",AND(OR('Assignment Builder'!$B$5="",$B1194='Assignment Builder'!$B$5),OR('Assignment Builder'!$B$6="",ISNUMBER(SEARCH('Assignment Builder'!$B$6,$C1194))),OR('Assignment Builder'!$B$7="",'Assignment Builder'!$B$7=IFERROR(INDEX('Category Dictionary'!$C$5:$C$135,MATCH($L1194,'Category Dictionary'!$D$5:$D$135,0)),"")),OR('Assignment Builder'!$B$8="",$D1194='Assignment Builder'!$B$8),OR('Assignment Builder'!$B$9="",$F1194='Assignment Builder'!$B$9),OR('Assignment Builder'!$B$10="",$O1194='Assignment Builder'!$B$10),OR('Assignment Builder'!$B$11="",$H1194&gt;='Assignment Builder'!$B$11),OR('Assignment Builder'!$B$12="",N($Q1194)&lt;='Assignment Builder'!$B$12)))</f>
        <v/>
      </c>
      <c r="T1194" s="23" t="n"/>
    </row>
    <row r="1195">
      <c r="A1195" s="23" t="n"/>
      <c r="B1195" s="23" t="n"/>
      <c r="C1195" s="24" t="n"/>
      <c r="D1195" s="15" t="n"/>
      <c r="E1195" s="23" t="n"/>
      <c r="F1195" s="15" t="n"/>
      <c r="G1195" s="23" t="n"/>
      <c r="H1195" s="25" t="n"/>
      <c r="I1195" s="15" t="n"/>
      <c r="J1195" s="26">
        <f>IF($A1195="","",LEN($C1195)-LEN(SUBSTITUTE($C1195,",",""))+1)</f>
        <v/>
      </c>
      <c r="K1195" s="26">
        <f>IF($A1195="","",SUMPRODUCT(--ISNUMBER(SEARCH('Category Dictionary'!$D$5:$D$135&amp;"",$C1195)),--('Category Dictionary'!$D$5:$D$135&lt;&gt;"")))</f>
        <v/>
      </c>
      <c r="L1195" s="27">
        <f>IF($A1195="","",TRIM(IF(ISERROR(FIND(",",$C1195)),$C1195,LEFT($C1195,FIND(",",$C1195)-1))))</f>
        <v/>
      </c>
      <c r="M1195" s="28">
        <f>IF($H1195="","",DATE(YEAR($H1195),MONTH($H1195),1))</f>
        <v/>
      </c>
      <c r="N1195" s="26">
        <f>IF($H1195="","",TODAY()-$H1195)</f>
        <v/>
      </c>
      <c r="O1195" s="15" t="n"/>
      <c r="P1195" s="15" t="n"/>
      <c r="Q1195" s="15" t="n"/>
      <c r="R1195" s="25" t="n"/>
      <c r="S1195" s="26">
        <f>IF($A1195="","",AND(OR('Assignment Builder'!$B$5="",$B1195='Assignment Builder'!$B$5),OR('Assignment Builder'!$B$6="",ISNUMBER(SEARCH('Assignment Builder'!$B$6,$C1195))),OR('Assignment Builder'!$B$7="",'Assignment Builder'!$B$7=IFERROR(INDEX('Category Dictionary'!$C$5:$C$135,MATCH($L1195,'Category Dictionary'!$D$5:$D$135,0)),"")),OR('Assignment Builder'!$B$8="",$D1195='Assignment Builder'!$B$8),OR('Assignment Builder'!$B$9="",$F1195='Assignment Builder'!$B$9),OR('Assignment Builder'!$B$10="",$O1195='Assignment Builder'!$B$10),OR('Assignment Builder'!$B$11="",$H1195&gt;='Assignment Builder'!$B$11),OR('Assignment Builder'!$B$12="",N($Q1195)&lt;='Assignment Builder'!$B$12)))</f>
        <v/>
      </c>
      <c r="T1195" s="23" t="n"/>
    </row>
    <row r="1196">
      <c r="A1196" s="23" t="n"/>
      <c r="B1196" s="23" t="n"/>
      <c r="C1196" s="24" t="n"/>
      <c r="D1196" s="15" t="n"/>
      <c r="E1196" s="23" t="n"/>
      <c r="F1196" s="15" t="n"/>
      <c r="G1196" s="23" t="n"/>
      <c r="H1196" s="25" t="n"/>
      <c r="I1196" s="15" t="n"/>
      <c r="J1196" s="26">
        <f>IF($A1196="","",LEN($C1196)-LEN(SUBSTITUTE($C1196,",",""))+1)</f>
        <v/>
      </c>
      <c r="K1196" s="26">
        <f>IF($A1196="","",SUMPRODUCT(--ISNUMBER(SEARCH('Category Dictionary'!$D$5:$D$135&amp;"",$C1196)),--('Category Dictionary'!$D$5:$D$135&lt;&gt;"")))</f>
        <v/>
      </c>
      <c r="L1196" s="27">
        <f>IF($A1196="","",TRIM(IF(ISERROR(FIND(",",$C1196)),$C1196,LEFT($C1196,FIND(",",$C1196)-1))))</f>
        <v/>
      </c>
      <c r="M1196" s="28">
        <f>IF($H1196="","",DATE(YEAR($H1196),MONTH($H1196),1))</f>
        <v/>
      </c>
      <c r="N1196" s="26">
        <f>IF($H1196="","",TODAY()-$H1196)</f>
        <v/>
      </c>
      <c r="O1196" s="15" t="n"/>
      <c r="P1196" s="15" t="n"/>
      <c r="Q1196" s="15" t="n"/>
      <c r="R1196" s="25" t="n"/>
      <c r="S1196" s="26">
        <f>IF($A1196="","",AND(OR('Assignment Builder'!$B$5="",$B1196='Assignment Builder'!$B$5),OR('Assignment Builder'!$B$6="",ISNUMBER(SEARCH('Assignment Builder'!$B$6,$C1196))),OR('Assignment Builder'!$B$7="",'Assignment Builder'!$B$7=IFERROR(INDEX('Category Dictionary'!$C$5:$C$135,MATCH($L1196,'Category Dictionary'!$D$5:$D$135,0)),"")),OR('Assignment Builder'!$B$8="",$D1196='Assignment Builder'!$B$8),OR('Assignment Builder'!$B$9="",$F1196='Assignment Builder'!$B$9),OR('Assignment Builder'!$B$10="",$O1196='Assignment Builder'!$B$10),OR('Assignment Builder'!$B$11="",$H1196&gt;='Assignment Builder'!$B$11),OR('Assignment Builder'!$B$12="",N($Q1196)&lt;='Assignment Builder'!$B$12)))</f>
        <v/>
      </c>
      <c r="T1196" s="23" t="n"/>
    </row>
    <row r="1197">
      <c r="A1197" s="23" t="n"/>
      <c r="B1197" s="23" t="n"/>
      <c r="C1197" s="24" t="n"/>
      <c r="D1197" s="15" t="n"/>
      <c r="E1197" s="23" t="n"/>
      <c r="F1197" s="15" t="n"/>
      <c r="G1197" s="23" t="n"/>
      <c r="H1197" s="25" t="n"/>
      <c r="I1197" s="15" t="n"/>
      <c r="J1197" s="26">
        <f>IF($A1197="","",LEN($C1197)-LEN(SUBSTITUTE($C1197,",",""))+1)</f>
        <v/>
      </c>
      <c r="K1197" s="26">
        <f>IF($A1197="","",SUMPRODUCT(--ISNUMBER(SEARCH('Category Dictionary'!$D$5:$D$135&amp;"",$C1197)),--('Category Dictionary'!$D$5:$D$135&lt;&gt;"")))</f>
        <v/>
      </c>
      <c r="L1197" s="27">
        <f>IF($A1197="","",TRIM(IF(ISERROR(FIND(",",$C1197)),$C1197,LEFT($C1197,FIND(",",$C1197)-1))))</f>
        <v/>
      </c>
      <c r="M1197" s="28">
        <f>IF($H1197="","",DATE(YEAR($H1197),MONTH($H1197),1))</f>
        <v/>
      </c>
      <c r="N1197" s="26">
        <f>IF($H1197="","",TODAY()-$H1197)</f>
        <v/>
      </c>
      <c r="O1197" s="15" t="n"/>
      <c r="P1197" s="15" t="n"/>
      <c r="Q1197" s="15" t="n"/>
      <c r="R1197" s="25" t="n"/>
      <c r="S1197" s="26">
        <f>IF($A1197="","",AND(OR('Assignment Builder'!$B$5="",$B1197='Assignment Builder'!$B$5),OR('Assignment Builder'!$B$6="",ISNUMBER(SEARCH('Assignment Builder'!$B$6,$C1197))),OR('Assignment Builder'!$B$7="",'Assignment Builder'!$B$7=IFERROR(INDEX('Category Dictionary'!$C$5:$C$135,MATCH($L1197,'Category Dictionary'!$D$5:$D$135,0)),"")),OR('Assignment Builder'!$B$8="",$D1197='Assignment Builder'!$B$8),OR('Assignment Builder'!$B$9="",$F1197='Assignment Builder'!$B$9),OR('Assignment Builder'!$B$10="",$O1197='Assignment Builder'!$B$10),OR('Assignment Builder'!$B$11="",$H1197&gt;='Assignment Builder'!$B$11),OR('Assignment Builder'!$B$12="",N($Q1197)&lt;='Assignment Builder'!$B$12)))</f>
        <v/>
      </c>
      <c r="T1197" s="23" t="n"/>
    </row>
    <row r="1198">
      <c r="A1198" s="23" t="n"/>
      <c r="B1198" s="23" t="n"/>
      <c r="C1198" s="24" t="n"/>
      <c r="D1198" s="15" t="n"/>
      <c r="E1198" s="23" t="n"/>
      <c r="F1198" s="15" t="n"/>
      <c r="G1198" s="23" t="n"/>
      <c r="H1198" s="25" t="n"/>
      <c r="I1198" s="15" t="n"/>
      <c r="J1198" s="26">
        <f>IF($A1198="","",LEN($C1198)-LEN(SUBSTITUTE($C1198,",",""))+1)</f>
        <v/>
      </c>
      <c r="K1198" s="26">
        <f>IF($A1198="","",SUMPRODUCT(--ISNUMBER(SEARCH('Category Dictionary'!$D$5:$D$135&amp;"",$C1198)),--('Category Dictionary'!$D$5:$D$135&lt;&gt;"")))</f>
        <v/>
      </c>
      <c r="L1198" s="27">
        <f>IF($A1198="","",TRIM(IF(ISERROR(FIND(",",$C1198)),$C1198,LEFT($C1198,FIND(",",$C1198)-1))))</f>
        <v/>
      </c>
      <c r="M1198" s="28">
        <f>IF($H1198="","",DATE(YEAR($H1198),MONTH($H1198),1))</f>
        <v/>
      </c>
      <c r="N1198" s="26">
        <f>IF($H1198="","",TODAY()-$H1198)</f>
        <v/>
      </c>
      <c r="O1198" s="15" t="n"/>
      <c r="P1198" s="15" t="n"/>
      <c r="Q1198" s="15" t="n"/>
      <c r="R1198" s="25" t="n"/>
      <c r="S1198" s="26">
        <f>IF($A1198="","",AND(OR('Assignment Builder'!$B$5="",$B1198='Assignment Builder'!$B$5),OR('Assignment Builder'!$B$6="",ISNUMBER(SEARCH('Assignment Builder'!$B$6,$C1198))),OR('Assignment Builder'!$B$7="",'Assignment Builder'!$B$7=IFERROR(INDEX('Category Dictionary'!$C$5:$C$135,MATCH($L1198,'Category Dictionary'!$D$5:$D$135,0)),"")),OR('Assignment Builder'!$B$8="",$D1198='Assignment Builder'!$B$8),OR('Assignment Builder'!$B$9="",$F1198='Assignment Builder'!$B$9),OR('Assignment Builder'!$B$10="",$O1198='Assignment Builder'!$B$10),OR('Assignment Builder'!$B$11="",$H1198&gt;='Assignment Builder'!$B$11),OR('Assignment Builder'!$B$12="",N($Q1198)&lt;='Assignment Builder'!$B$12)))</f>
        <v/>
      </c>
      <c r="T1198" s="23" t="n"/>
    </row>
    <row r="1199">
      <c r="A1199" s="23" t="n"/>
      <c r="B1199" s="23" t="n"/>
      <c r="C1199" s="24" t="n"/>
      <c r="D1199" s="15" t="n"/>
      <c r="E1199" s="23" t="n"/>
      <c r="F1199" s="15" t="n"/>
      <c r="G1199" s="23" t="n"/>
      <c r="H1199" s="25" t="n"/>
      <c r="I1199" s="15" t="n"/>
      <c r="J1199" s="26">
        <f>IF($A1199="","",LEN($C1199)-LEN(SUBSTITUTE($C1199,",",""))+1)</f>
        <v/>
      </c>
      <c r="K1199" s="26">
        <f>IF($A1199="","",SUMPRODUCT(--ISNUMBER(SEARCH('Category Dictionary'!$D$5:$D$135&amp;"",$C1199)),--('Category Dictionary'!$D$5:$D$135&lt;&gt;"")))</f>
        <v/>
      </c>
      <c r="L1199" s="27">
        <f>IF($A1199="","",TRIM(IF(ISERROR(FIND(",",$C1199)),$C1199,LEFT($C1199,FIND(",",$C1199)-1))))</f>
        <v/>
      </c>
      <c r="M1199" s="28">
        <f>IF($H1199="","",DATE(YEAR($H1199),MONTH($H1199),1))</f>
        <v/>
      </c>
      <c r="N1199" s="26">
        <f>IF($H1199="","",TODAY()-$H1199)</f>
        <v/>
      </c>
      <c r="O1199" s="15" t="n"/>
      <c r="P1199" s="15" t="n"/>
      <c r="Q1199" s="15" t="n"/>
      <c r="R1199" s="25" t="n"/>
      <c r="S1199" s="26">
        <f>IF($A1199="","",AND(OR('Assignment Builder'!$B$5="",$B1199='Assignment Builder'!$B$5),OR('Assignment Builder'!$B$6="",ISNUMBER(SEARCH('Assignment Builder'!$B$6,$C1199))),OR('Assignment Builder'!$B$7="",'Assignment Builder'!$B$7=IFERROR(INDEX('Category Dictionary'!$C$5:$C$135,MATCH($L1199,'Category Dictionary'!$D$5:$D$135,0)),"")),OR('Assignment Builder'!$B$8="",$D1199='Assignment Builder'!$B$8),OR('Assignment Builder'!$B$9="",$F1199='Assignment Builder'!$B$9),OR('Assignment Builder'!$B$10="",$O1199='Assignment Builder'!$B$10),OR('Assignment Builder'!$B$11="",$H1199&gt;='Assignment Builder'!$B$11),OR('Assignment Builder'!$B$12="",N($Q1199)&lt;='Assignment Builder'!$B$12)))</f>
        <v/>
      </c>
      <c r="T1199" s="23" t="n"/>
    </row>
    <row r="1200">
      <c r="A1200" s="23" t="n"/>
      <c r="B1200" s="23" t="n"/>
      <c r="C1200" s="24" t="n"/>
      <c r="D1200" s="15" t="n"/>
      <c r="E1200" s="23" t="n"/>
      <c r="F1200" s="15" t="n"/>
      <c r="G1200" s="23" t="n"/>
      <c r="H1200" s="25" t="n"/>
      <c r="I1200" s="15" t="n"/>
      <c r="J1200" s="26">
        <f>IF($A1200="","",LEN($C1200)-LEN(SUBSTITUTE($C1200,",",""))+1)</f>
        <v/>
      </c>
      <c r="K1200" s="26">
        <f>IF($A1200="","",SUMPRODUCT(--ISNUMBER(SEARCH('Category Dictionary'!$D$5:$D$135&amp;"",$C1200)),--('Category Dictionary'!$D$5:$D$135&lt;&gt;"")))</f>
        <v/>
      </c>
      <c r="L1200" s="27">
        <f>IF($A1200="","",TRIM(IF(ISERROR(FIND(",",$C1200)),$C1200,LEFT($C1200,FIND(",",$C1200)-1))))</f>
        <v/>
      </c>
      <c r="M1200" s="28">
        <f>IF($H1200="","",DATE(YEAR($H1200),MONTH($H1200),1))</f>
        <v/>
      </c>
      <c r="N1200" s="26">
        <f>IF($H1200="","",TODAY()-$H1200)</f>
        <v/>
      </c>
      <c r="O1200" s="15" t="n"/>
      <c r="P1200" s="15" t="n"/>
      <c r="Q1200" s="15" t="n"/>
      <c r="R1200" s="25" t="n"/>
      <c r="S1200" s="26">
        <f>IF($A1200="","",AND(OR('Assignment Builder'!$B$5="",$B1200='Assignment Builder'!$B$5),OR('Assignment Builder'!$B$6="",ISNUMBER(SEARCH('Assignment Builder'!$B$6,$C1200))),OR('Assignment Builder'!$B$7="",'Assignment Builder'!$B$7=IFERROR(INDEX('Category Dictionary'!$C$5:$C$135,MATCH($L1200,'Category Dictionary'!$D$5:$D$135,0)),"")),OR('Assignment Builder'!$B$8="",$D1200='Assignment Builder'!$B$8),OR('Assignment Builder'!$B$9="",$F1200='Assignment Builder'!$B$9),OR('Assignment Builder'!$B$10="",$O1200='Assignment Builder'!$B$10),OR('Assignment Builder'!$B$11="",$H1200&gt;='Assignment Builder'!$B$11),OR('Assignment Builder'!$B$12="",N($Q1200)&lt;='Assignment Builder'!$B$12)))</f>
        <v/>
      </c>
      <c r="T1200" s="23" t="n"/>
    </row>
    <row r="1201">
      <c r="A1201" s="23" t="n"/>
      <c r="B1201" s="23" t="n"/>
      <c r="C1201" s="24" t="n"/>
      <c r="D1201" s="15" t="n"/>
      <c r="E1201" s="23" t="n"/>
      <c r="F1201" s="15" t="n"/>
      <c r="G1201" s="23" t="n"/>
      <c r="H1201" s="25" t="n"/>
      <c r="I1201" s="15" t="n"/>
      <c r="J1201" s="26">
        <f>IF($A1201="","",LEN($C1201)-LEN(SUBSTITUTE($C1201,",",""))+1)</f>
        <v/>
      </c>
      <c r="K1201" s="26">
        <f>IF($A1201="","",SUMPRODUCT(--ISNUMBER(SEARCH('Category Dictionary'!$D$5:$D$135&amp;"",$C1201)),--('Category Dictionary'!$D$5:$D$135&lt;&gt;"")))</f>
        <v/>
      </c>
      <c r="L1201" s="27">
        <f>IF($A1201="","",TRIM(IF(ISERROR(FIND(",",$C1201)),$C1201,LEFT($C1201,FIND(",",$C1201)-1))))</f>
        <v/>
      </c>
      <c r="M1201" s="28">
        <f>IF($H1201="","",DATE(YEAR($H1201),MONTH($H1201),1))</f>
        <v/>
      </c>
      <c r="N1201" s="26">
        <f>IF($H1201="","",TODAY()-$H1201)</f>
        <v/>
      </c>
      <c r="O1201" s="15" t="n"/>
      <c r="P1201" s="15" t="n"/>
      <c r="Q1201" s="15" t="n"/>
      <c r="R1201" s="25" t="n"/>
      <c r="S1201" s="26">
        <f>IF($A1201="","",AND(OR('Assignment Builder'!$B$5="",$B1201='Assignment Builder'!$B$5),OR('Assignment Builder'!$B$6="",ISNUMBER(SEARCH('Assignment Builder'!$B$6,$C1201))),OR('Assignment Builder'!$B$7="",'Assignment Builder'!$B$7=IFERROR(INDEX('Category Dictionary'!$C$5:$C$135,MATCH($L1201,'Category Dictionary'!$D$5:$D$135,0)),"")),OR('Assignment Builder'!$B$8="",$D1201='Assignment Builder'!$B$8),OR('Assignment Builder'!$B$9="",$F1201='Assignment Builder'!$B$9),OR('Assignment Builder'!$B$10="",$O1201='Assignment Builder'!$B$10),OR('Assignment Builder'!$B$11="",$H1201&gt;='Assignment Builder'!$B$11),OR('Assignment Builder'!$B$12="",N($Q1201)&lt;='Assignment Builder'!$B$12)))</f>
        <v/>
      </c>
      <c r="T1201" s="23" t="n"/>
    </row>
    <row r="1202">
      <c r="A1202" s="23" t="n"/>
      <c r="B1202" s="23" t="n"/>
      <c r="C1202" s="24" t="n"/>
      <c r="D1202" s="15" t="n"/>
      <c r="E1202" s="23" t="n"/>
      <c r="F1202" s="15" t="n"/>
      <c r="G1202" s="23" t="n"/>
      <c r="H1202" s="25" t="n"/>
      <c r="I1202" s="15" t="n"/>
      <c r="J1202" s="26">
        <f>IF($A1202="","",LEN($C1202)-LEN(SUBSTITUTE($C1202,",",""))+1)</f>
        <v/>
      </c>
      <c r="K1202" s="26">
        <f>IF($A1202="","",SUMPRODUCT(--ISNUMBER(SEARCH('Category Dictionary'!$D$5:$D$135&amp;"",$C1202)),--('Category Dictionary'!$D$5:$D$135&lt;&gt;"")))</f>
        <v/>
      </c>
      <c r="L1202" s="27">
        <f>IF($A1202="","",TRIM(IF(ISERROR(FIND(",",$C1202)),$C1202,LEFT($C1202,FIND(",",$C1202)-1))))</f>
        <v/>
      </c>
      <c r="M1202" s="28">
        <f>IF($H1202="","",DATE(YEAR($H1202),MONTH($H1202),1))</f>
        <v/>
      </c>
      <c r="N1202" s="26">
        <f>IF($H1202="","",TODAY()-$H1202)</f>
        <v/>
      </c>
      <c r="O1202" s="15" t="n"/>
      <c r="P1202" s="15" t="n"/>
      <c r="Q1202" s="15" t="n"/>
      <c r="R1202" s="25" t="n"/>
      <c r="S1202" s="26">
        <f>IF($A1202="","",AND(OR('Assignment Builder'!$B$5="",$B1202='Assignment Builder'!$B$5),OR('Assignment Builder'!$B$6="",ISNUMBER(SEARCH('Assignment Builder'!$B$6,$C1202))),OR('Assignment Builder'!$B$7="",'Assignment Builder'!$B$7=IFERROR(INDEX('Category Dictionary'!$C$5:$C$135,MATCH($L1202,'Category Dictionary'!$D$5:$D$135,0)),"")),OR('Assignment Builder'!$B$8="",$D1202='Assignment Builder'!$B$8),OR('Assignment Builder'!$B$9="",$F1202='Assignment Builder'!$B$9),OR('Assignment Builder'!$B$10="",$O1202='Assignment Builder'!$B$10),OR('Assignment Builder'!$B$11="",$H1202&gt;='Assignment Builder'!$B$11),OR('Assignment Builder'!$B$12="",N($Q1202)&lt;='Assignment Builder'!$B$12)))</f>
        <v/>
      </c>
      <c r="T1202" s="23" t="n"/>
    </row>
    <row r="1203">
      <c r="A1203" s="23" t="n"/>
      <c r="B1203" s="23" t="n"/>
      <c r="C1203" s="24" t="n"/>
      <c r="D1203" s="15" t="n"/>
      <c r="E1203" s="23" t="n"/>
      <c r="F1203" s="15" t="n"/>
      <c r="G1203" s="23" t="n"/>
      <c r="H1203" s="25" t="n"/>
      <c r="I1203" s="15" t="n"/>
      <c r="J1203" s="26">
        <f>IF($A1203="","",LEN($C1203)-LEN(SUBSTITUTE($C1203,",",""))+1)</f>
        <v/>
      </c>
      <c r="K1203" s="26">
        <f>IF($A1203="","",SUMPRODUCT(--ISNUMBER(SEARCH('Category Dictionary'!$D$5:$D$135&amp;"",$C1203)),--('Category Dictionary'!$D$5:$D$135&lt;&gt;"")))</f>
        <v/>
      </c>
      <c r="L1203" s="27">
        <f>IF($A1203="","",TRIM(IF(ISERROR(FIND(",",$C1203)),$C1203,LEFT($C1203,FIND(",",$C1203)-1))))</f>
        <v/>
      </c>
      <c r="M1203" s="28">
        <f>IF($H1203="","",DATE(YEAR($H1203),MONTH($H1203),1))</f>
        <v/>
      </c>
      <c r="N1203" s="26">
        <f>IF($H1203="","",TODAY()-$H1203)</f>
        <v/>
      </c>
      <c r="O1203" s="15" t="n"/>
      <c r="P1203" s="15" t="n"/>
      <c r="Q1203" s="15" t="n"/>
      <c r="R1203" s="25" t="n"/>
      <c r="S1203" s="26">
        <f>IF($A1203="","",AND(OR('Assignment Builder'!$B$5="",$B1203='Assignment Builder'!$B$5),OR('Assignment Builder'!$B$6="",ISNUMBER(SEARCH('Assignment Builder'!$B$6,$C1203))),OR('Assignment Builder'!$B$7="",'Assignment Builder'!$B$7=IFERROR(INDEX('Category Dictionary'!$C$5:$C$135,MATCH($L1203,'Category Dictionary'!$D$5:$D$135,0)),"")),OR('Assignment Builder'!$B$8="",$D1203='Assignment Builder'!$B$8),OR('Assignment Builder'!$B$9="",$F1203='Assignment Builder'!$B$9),OR('Assignment Builder'!$B$10="",$O1203='Assignment Builder'!$B$10),OR('Assignment Builder'!$B$11="",$H1203&gt;='Assignment Builder'!$B$11),OR('Assignment Builder'!$B$12="",N($Q1203)&lt;='Assignment Builder'!$B$12)))</f>
        <v/>
      </c>
      <c r="T1203" s="23" t="n"/>
    </row>
    <row r="1204">
      <c r="A1204" s="23" t="n"/>
      <c r="B1204" s="23" t="n"/>
      <c r="C1204" s="24" t="n"/>
      <c r="D1204" s="15" t="n"/>
      <c r="E1204" s="23" t="n"/>
      <c r="F1204" s="15" t="n"/>
      <c r="G1204" s="23" t="n"/>
      <c r="H1204" s="25" t="n"/>
      <c r="I1204" s="15" t="n"/>
      <c r="J1204" s="26">
        <f>IF($A1204="","",LEN($C1204)-LEN(SUBSTITUTE($C1204,",",""))+1)</f>
        <v/>
      </c>
      <c r="K1204" s="26">
        <f>IF($A1204="","",SUMPRODUCT(--ISNUMBER(SEARCH('Category Dictionary'!$D$5:$D$135&amp;"",$C1204)),--('Category Dictionary'!$D$5:$D$135&lt;&gt;"")))</f>
        <v/>
      </c>
      <c r="L1204" s="27">
        <f>IF($A1204="","",TRIM(IF(ISERROR(FIND(",",$C1204)),$C1204,LEFT($C1204,FIND(",",$C1204)-1))))</f>
        <v/>
      </c>
      <c r="M1204" s="28">
        <f>IF($H1204="","",DATE(YEAR($H1204),MONTH($H1204),1))</f>
        <v/>
      </c>
      <c r="N1204" s="26">
        <f>IF($H1204="","",TODAY()-$H1204)</f>
        <v/>
      </c>
      <c r="O1204" s="15" t="n"/>
      <c r="P1204" s="15" t="n"/>
      <c r="Q1204" s="15" t="n"/>
      <c r="R1204" s="25" t="n"/>
      <c r="S1204" s="26">
        <f>IF($A1204="","",AND(OR('Assignment Builder'!$B$5="",$B1204='Assignment Builder'!$B$5),OR('Assignment Builder'!$B$6="",ISNUMBER(SEARCH('Assignment Builder'!$B$6,$C1204))),OR('Assignment Builder'!$B$7="",'Assignment Builder'!$B$7=IFERROR(INDEX('Category Dictionary'!$C$5:$C$135,MATCH($L1204,'Category Dictionary'!$D$5:$D$135,0)),"")),OR('Assignment Builder'!$B$8="",$D1204='Assignment Builder'!$B$8),OR('Assignment Builder'!$B$9="",$F1204='Assignment Builder'!$B$9),OR('Assignment Builder'!$B$10="",$O1204='Assignment Builder'!$B$10),OR('Assignment Builder'!$B$11="",$H1204&gt;='Assignment Builder'!$B$11),OR('Assignment Builder'!$B$12="",N($Q1204)&lt;='Assignment Builder'!$B$12)))</f>
        <v/>
      </c>
      <c r="T1204" s="23" t="n"/>
    </row>
    <row r="1205">
      <c r="A1205" s="23" t="n"/>
      <c r="B1205" s="23" t="n"/>
      <c r="C1205" s="24" t="n"/>
      <c r="D1205" s="15" t="n"/>
      <c r="E1205" s="23" t="n"/>
      <c r="F1205" s="15" t="n"/>
      <c r="G1205" s="23" t="n"/>
      <c r="H1205" s="25" t="n"/>
      <c r="I1205" s="15" t="n"/>
      <c r="J1205" s="26">
        <f>IF($A1205="","",LEN($C1205)-LEN(SUBSTITUTE($C1205,",",""))+1)</f>
        <v/>
      </c>
      <c r="K1205" s="26">
        <f>IF($A1205="","",SUMPRODUCT(--ISNUMBER(SEARCH('Category Dictionary'!$D$5:$D$135&amp;"",$C1205)),--('Category Dictionary'!$D$5:$D$135&lt;&gt;"")))</f>
        <v/>
      </c>
      <c r="L1205" s="27">
        <f>IF($A1205="","",TRIM(IF(ISERROR(FIND(",",$C1205)),$C1205,LEFT($C1205,FIND(",",$C1205)-1))))</f>
        <v/>
      </c>
      <c r="M1205" s="28">
        <f>IF($H1205="","",DATE(YEAR($H1205),MONTH($H1205),1))</f>
        <v/>
      </c>
      <c r="N1205" s="26">
        <f>IF($H1205="","",TODAY()-$H1205)</f>
        <v/>
      </c>
      <c r="O1205" s="15" t="n"/>
      <c r="P1205" s="15" t="n"/>
      <c r="Q1205" s="15" t="n"/>
      <c r="R1205" s="25" t="n"/>
      <c r="S1205" s="26">
        <f>IF($A1205="","",AND(OR('Assignment Builder'!$B$5="",$B1205='Assignment Builder'!$B$5),OR('Assignment Builder'!$B$6="",ISNUMBER(SEARCH('Assignment Builder'!$B$6,$C1205))),OR('Assignment Builder'!$B$7="",'Assignment Builder'!$B$7=IFERROR(INDEX('Category Dictionary'!$C$5:$C$135,MATCH($L1205,'Category Dictionary'!$D$5:$D$135,0)),"")),OR('Assignment Builder'!$B$8="",$D1205='Assignment Builder'!$B$8),OR('Assignment Builder'!$B$9="",$F1205='Assignment Builder'!$B$9),OR('Assignment Builder'!$B$10="",$O1205='Assignment Builder'!$B$10),OR('Assignment Builder'!$B$11="",$H1205&gt;='Assignment Builder'!$B$11),OR('Assignment Builder'!$B$12="",N($Q1205)&lt;='Assignment Builder'!$B$12)))</f>
        <v/>
      </c>
      <c r="T1205" s="23" t="n"/>
    </row>
    <row r="1206">
      <c r="A1206" s="23" t="n"/>
      <c r="B1206" s="23" t="n"/>
      <c r="C1206" s="24" t="n"/>
      <c r="D1206" s="15" t="n"/>
      <c r="E1206" s="23" t="n"/>
      <c r="F1206" s="15" t="n"/>
      <c r="G1206" s="23" t="n"/>
      <c r="H1206" s="25" t="n"/>
      <c r="I1206" s="15" t="n"/>
      <c r="J1206" s="26">
        <f>IF($A1206="","",LEN($C1206)-LEN(SUBSTITUTE($C1206,",",""))+1)</f>
        <v/>
      </c>
      <c r="K1206" s="26">
        <f>IF($A1206="","",SUMPRODUCT(--ISNUMBER(SEARCH('Category Dictionary'!$D$5:$D$135&amp;"",$C1206)),--('Category Dictionary'!$D$5:$D$135&lt;&gt;"")))</f>
        <v/>
      </c>
      <c r="L1206" s="27">
        <f>IF($A1206="","",TRIM(IF(ISERROR(FIND(",",$C1206)),$C1206,LEFT($C1206,FIND(",",$C1206)-1))))</f>
        <v/>
      </c>
      <c r="M1206" s="28">
        <f>IF($H1206="","",DATE(YEAR($H1206),MONTH($H1206),1))</f>
        <v/>
      </c>
      <c r="N1206" s="26">
        <f>IF($H1206="","",TODAY()-$H1206)</f>
        <v/>
      </c>
      <c r="O1206" s="15" t="n"/>
      <c r="P1206" s="15" t="n"/>
      <c r="Q1206" s="15" t="n"/>
      <c r="R1206" s="25" t="n"/>
      <c r="S1206" s="26">
        <f>IF($A1206="","",AND(OR('Assignment Builder'!$B$5="",$B1206='Assignment Builder'!$B$5),OR('Assignment Builder'!$B$6="",ISNUMBER(SEARCH('Assignment Builder'!$B$6,$C1206))),OR('Assignment Builder'!$B$7="",'Assignment Builder'!$B$7=IFERROR(INDEX('Category Dictionary'!$C$5:$C$135,MATCH($L1206,'Category Dictionary'!$D$5:$D$135,0)),"")),OR('Assignment Builder'!$B$8="",$D1206='Assignment Builder'!$B$8),OR('Assignment Builder'!$B$9="",$F1206='Assignment Builder'!$B$9),OR('Assignment Builder'!$B$10="",$O1206='Assignment Builder'!$B$10),OR('Assignment Builder'!$B$11="",$H1206&gt;='Assignment Builder'!$B$11),OR('Assignment Builder'!$B$12="",N($Q1206)&lt;='Assignment Builder'!$B$12)))</f>
        <v/>
      </c>
      <c r="T1206" s="23" t="n"/>
    </row>
    <row r="1207">
      <c r="A1207" s="23" t="n"/>
      <c r="B1207" s="23" t="n"/>
      <c r="C1207" s="24" t="n"/>
      <c r="D1207" s="15" t="n"/>
      <c r="E1207" s="23" t="n"/>
      <c r="F1207" s="15" t="n"/>
      <c r="G1207" s="23" t="n"/>
      <c r="H1207" s="25" t="n"/>
      <c r="I1207" s="15" t="n"/>
      <c r="J1207" s="26">
        <f>IF($A1207="","",LEN($C1207)-LEN(SUBSTITUTE($C1207,",",""))+1)</f>
        <v/>
      </c>
      <c r="K1207" s="26">
        <f>IF($A1207="","",SUMPRODUCT(--ISNUMBER(SEARCH('Category Dictionary'!$D$5:$D$135&amp;"",$C1207)),--('Category Dictionary'!$D$5:$D$135&lt;&gt;"")))</f>
        <v/>
      </c>
      <c r="L1207" s="27">
        <f>IF($A1207="","",TRIM(IF(ISERROR(FIND(",",$C1207)),$C1207,LEFT($C1207,FIND(",",$C1207)-1))))</f>
        <v/>
      </c>
      <c r="M1207" s="28">
        <f>IF($H1207="","",DATE(YEAR($H1207),MONTH($H1207),1))</f>
        <v/>
      </c>
      <c r="N1207" s="26">
        <f>IF($H1207="","",TODAY()-$H1207)</f>
        <v/>
      </c>
      <c r="O1207" s="15" t="n"/>
      <c r="P1207" s="15" t="n"/>
      <c r="Q1207" s="15" t="n"/>
      <c r="R1207" s="25" t="n"/>
      <c r="S1207" s="26">
        <f>IF($A1207="","",AND(OR('Assignment Builder'!$B$5="",$B1207='Assignment Builder'!$B$5),OR('Assignment Builder'!$B$6="",ISNUMBER(SEARCH('Assignment Builder'!$B$6,$C1207))),OR('Assignment Builder'!$B$7="",'Assignment Builder'!$B$7=IFERROR(INDEX('Category Dictionary'!$C$5:$C$135,MATCH($L1207,'Category Dictionary'!$D$5:$D$135,0)),"")),OR('Assignment Builder'!$B$8="",$D1207='Assignment Builder'!$B$8),OR('Assignment Builder'!$B$9="",$F1207='Assignment Builder'!$B$9),OR('Assignment Builder'!$B$10="",$O1207='Assignment Builder'!$B$10),OR('Assignment Builder'!$B$11="",$H1207&gt;='Assignment Builder'!$B$11),OR('Assignment Builder'!$B$12="",N($Q1207)&lt;='Assignment Builder'!$B$12)))</f>
        <v/>
      </c>
      <c r="T1207" s="23" t="n"/>
    </row>
    <row r="1208">
      <c r="A1208" s="23" t="n"/>
      <c r="B1208" s="23" t="n"/>
      <c r="C1208" s="24" t="n"/>
      <c r="D1208" s="15" t="n"/>
      <c r="E1208" s="23" t="n"/>
      <c r="F1208" s="15" t="n"/>
      <c r="G1208" s="23" t="n"/>
      <c r="H1208" s="25" t="n"/>
      <c r="I1208" s="15" t="n"/>
      <c r="J1208" s="26">
        <f>IF($A1208="","",LEN($C1208)-LEN(SUBSTITUTE($C1208,",",""))+1)</f>
        <v/>
      </c>
      <c r="K1208" s="26">
        <f>IF($A1208="","",SUMPRODUCT(--ISNUMBER(SEARCH('Category Dictionary'!$D$5:$D$135&amp;"",$C1208)),--('Category Dictionary'!$D$5:$D$135&lt;&gt;"")))</f>
        <v/>
      </c>
      <c r="L1208" s="27">
        <f>IF($A1208="","",TRIM(IF(ISERROR(FIND(",",$C1208)),$C1208,LEFT($C1208,FIND(",",$C1208)-1))))</f>
        <v/>
      </c>
      <c r="M1208" s="28">
        <f>IF($H1208="","",DATE(YEAR($H1208),MONTH($H1208),1))</f>
        <v/>
      </c>
      <c r="N1208" s="26">
        <f>IF($H1208="","",TODAY()-$H1208)</f>
        <v/>
      </c>
      <c r="O1208" s="15" t="n"/>
      <c r="P1208" s="15" t="n"/>
      <c r="Q1208" s="15" t="n"/>
      <c r="R1208" s="25" t="n"/>
      <c r="S1208" s="26">
        <f>IF($A1208="","",AND(OR('Assignment Builder'!$B$5="",$B1208='Assignment Builder'!$B$5),OR('Assignment Builder'!$B$6="",ISNUMBER(SEARCH('Assignment Builder'!$B$6,$C1208))),OR('Assignment Builder'!$B$7="",'Assignment Builder'!$B$7=IFERROR(INDEX('Category Dictionary'!$C$5:$C$135,MATCH($L1208,'Category Dictionary'!$D$5:$D$135,0)),"")),OR('Assignment Builder'!$B$8="",$D1208='Assignment Builder'!$B$8),OR('Assignment Builder'!$B$9="",$F1208='Assignment Builder'!$B$9),OR('Assignment Builder'!$B$10="",$O1208='Assignment Builder'!$B$10),OR('Assignment Builder'!$B$11="",$H1208&gt;='Assignment Builder'!$B$11),OR('Assignment Builder'!$B$12="",N($Q1208)&lt;='Assignment Builder'!$B$12)))</f>
        <v/>
      </c>
      <c r="T1208" s="23" t="n"/>
    </row>
    <row r="1209">
      <c r="A1209" s="23" t="n"/>
      <c r="B1209" s="23" t="n"/>
      <c r="C1209" s="24" t="n"/>
      <c r="D1209" s="15" t="n"/>
      <c r="E1209" s="23" t="n"/>
      <c r="F1209" s="15" t="n"/>
      <c r="G1209" s="23" t="n"/>
      <c r="H1209" s="25" t="n"/>
      <c r="I1209" s="15" t="n"/>
      <c r="J1209" s="26">
        <f>IF($A1209="","",LEN($C1209)-LEN(SUBSTITUTE($C1209,",",""))+1)</f>
        <v/>
      </c>
      <c r="K1209" s="26">
        <f>IF($A1209="","",SUMPRODUCT(--ISNUMBER(SEARCH('Category Dictionary'!$D$5:$D$135&amp;"",$C1209)),--('Category Dictionary'!$D$5:$D$135&lt;&gt;"")))</f>
        <v/>
      </c>
      <c r="L1209" s="27">
        <f>IF($A1209="","",TRIM(IF(ISERROR(FIND(",",$C1209)),$C1209,LEFT($C1209,FIND(",",$C1209)-1))))</f>
        <v/>
      </c>
      <c r="M1209" s="28">
        <f>IF($H1209="","",DATE(YEAR($H1209),MONTH($H1209),1))</f>
        <v/>
      </c>
      <c r="N1209" s="26">
        <f>IF($H1209="","",TODAY()-$H1209)</f>
        <v/>
      </c>
      <c r="O1209" s="15" t="n"/>
      <c r="P1209" s="15" t="n"/>
      <c r="Q1209" s="15" t="n"/>
      <c r="R1209" s="25" t="n"/>
      <c r="S1209" s="26">
        <f>IF($A1209="","",AND(OR('Assignment Builder'!$B$5="",$B1209='Assignment Builder'!$B$5),OR('Assignment Builder'!$B$6="",ISNUMBER(SEARCH('Assignment Builder'!$B$6,$C1209))),OR('Assignment Builder'!$B$7="",'Assignment Builder'!$B$7=IFERROR(INDEX('Category Dictionary'!$C$5:$C$135,MATCH($L1209,'Category Dictionary'!$D$5:$D$135,0)),"")),OR('Assignment Builder'!$B$8="",$D1209='Assignment Builder'!$B$8),OR('Assignment Builder'!$B$9="",$F1209='Assignment Builder'!$B$9),OR('Assignment Builder'!$B$10="",$O1209='Assignment Builder'!$B$10),OR('Assignment Builder'!$B$11="",$H1209&gt;='Assignment Builder'!$B$11),OR('Assignment Builder'!$B$12="",N($Q1209)&lt;='Assignment Builder'!$B$12)))</f>
        <v/>
      </c>
      <c r="T1209" s="23" t="n"/>
    </row>
    <row r="1210">
      <c r="A1210" s="23" t="n"/>
      <c r="B1210" s="23" t="n"/>
      <c r="C1210" s="24" t="n"/>
      <c r="D1210" s="15" t="n"/>
      <c r="E1210" s="23" t="n"/>
      <c r="F1210" s="15" t="n"/>
      <c r="G1210" s="23" t="n"/>
      <c r="H1210" s="25" t="n"/>
      <c r="I1210" s="15" t="n"/>
      <c r="J1210" s="26">
        <f>IF($A1210="","",LEN($C1210)-LEN(SUBSTITUTE($C1210,",",""))+1)</f>
        <v/>
      </c>
      <c r="K1210" s="26">
        <f>IF($A1210="","",SUMPRODUCT(--ISNUMBER(SEARCH('Category Dictionary'!$D$5:$D$135&amp;"",$C1210)),--('Category Dictionary'!$D$5:$D$135&lt;&gt;"")))</f>
        <v/>
      </c>
      <c r="L1210" s="27">
        <f>IF($A1210="","",TRIM(IF(ISERROR(FIND(",",$C1210)),$C1210,LEFT($C1210,FIND(",",$C1210)-1))))</f>
        <v/>
      </c>
      <c r="M1210" s="28">
        <f>IF($H1210="","",DATE(YEAR($H1210),MONTH($H1210),1))</f>
        <v/>
      </c>
      <c r="N1210" s="26">
        <f>IF($H1210="","",TODAY()-$H1210)</f>
        <v/>
      </c>
      <c r="O1210" s="15" t="n"/>
      <c r="P1210" s="15" t="n"/>
      <c r="Q1210" s="15" t="n"/>
      <c r="R1210" s="25" t="n"/>
      <c r="S1210" s="26">
        <f>IF($A1210="","",AND(OR('Assignment Builder'!$B$5="",$B1210='Assignment Builder'!$B$5),OR('Assignment Builder'!$B$6="",ISNUMBER(SEARCH('Assignment Builder'!$B$6,$C1210))),OR('Assignment Builder'!$B$7="",'Assignment Builder'!$B$7=IFERROR(INDEX('Category Dictionary'!$C$5:$C$135,MATCH($L1210,'Category Dictionary'!$D$5:$D$135,0)),"")),OR('Assignment Builder'!$B$8="",$D1210='Assignment Builder'!$B$8),OR('Assignment Builder'!$B$9="",$F1210='Assignment Builder'!$B$9),OR('Assignment Builder'!$B$10="",$O1210='Assignment Builder'!$B$10),OR('Assignment Builder'!$B$11="",$H1210&gt;='Assignment Builder'!$B$11),OR('Assignment Builder'!$B$12="",N($Q1210)&lt;='Assignment Builder'!$B$12)))</f>
        <v/>
      </c>
      <c r="T1210" s="23" t="n"/>
    </row>
    <row r="1211">
      <c r="A1211" s="23" t="n"/>
      <c r="B1211" s="23" t="n"/>
      <c r="C1211" s="24" t="n"/>
      <c r="D1211" s="15" t="n"/>
      <c r="E1211" s="23" t="n"/>
      <c r="F1211" s="15" t="n"/>
      <c r="G1211" s="23" t="n"/>
      <c r="H1211" s="25" t="n"/>
      <c r="I1211" s="15" t="n"/>
      <c r="J1211" s="26">
        <f>IF($A1211="","",LEN($C1211)-LEN(SUBSTITUTE($C1211,",",""))+1)</f>
        <v/>
      </c>
      <c r="K1211" s="26">
        <f>IF($A1211="","",SUMPRODUCT(--ISNUMBER(SEARCH('Category Dictionary'!$D$5:$D$135&amp;"",$C1211)),--('Category Dictionary'!$D$5:$D$135&lt;&gt;"")))</f>
        <v/>
      </c>
      <c r="L1211" s="27">
        <f>IF($A1211="","",TRIM(IF(ISERROR(FIND(",",$C1211)),$C1211,LEFT($C1211,FIND(",",$C1211)-1))))</f>
        <v/>
      </c>
      <c r="M1211" s="28">
        <f>IF($H1211="","",DATE(YEAR($H1211),MONTH($H1211),1))</f>
        <v/>
      </c>
      <c r="N1211" s="26">
        <f>IF($H1211="","",TODAY()-$H1211)</f>
        <v/>
      </c>
      <c r="O1211" s="15" t="n"/>
      <c r="P1211" s="15" t="n"/>
      <c r="Q1211" s="15" t="n"/>
      <c r="R1211" s="25" t="n"/>
      <c r="S1211" s="26">
        <f>IF($A1211="","",AND(OR('Assignment Builder'!$B$5="",$B1211='Assignment Builder'!$B$5),OR('Assignment Builder'!$B$6="",ISNUMBER(SEARCH('Assignment Builder'!$B$6,$C1211))),OR('Assignment Builder'!$B$7="",'Assignment Builder'!$B$7=IFERROR(INDEX('Category Dictionary'!$C$5:$C$135,MATCH($L1211,'Category Dictionary'!$D$5:$D$135,0)),"")),OR('Assignment Builder'!$B$8="",$D1211='Assignment Builder'!$B$8),OR('Assignment Builder'!$B$9="",$F1211='Assignment Builder'!$B$9),OR('Assignment Builder'!$B$10="",$O1211='Assignment Builder'!$B$10),OR('Assignment Builder'!$B$11="",$H1211&gt;='Assignment Builder'!$B$11),OR('Assignment Builder'!$B$12="",N($Q1211)&lt;='Assignment Builder'!$B$12)))</f>
        <v/>
      </c>
      <c r="T1211" s="23" t="n"/>
    </row>
    <row r="1212">
      <c r="A1212" s="23" t="n"/>
      <c r="B1212" s="23" t="n"/>
      <c r="C1212" s="24" t="n"/>
      <c r="D1212" s="15" t="n"/>
      <c r="E1212" s="23" t="n"/>
      <c r="F1212" s="15" t="n"/>
      <c r="G1212" s="23" t="n"/>
      <c r="H1212" s="25" t="n"/>
      <c r="I1212" s="15" t="n"/>
      <c r="J1212" s="26">
        <f>IF($A1212="","",LEN($C1212)-LEN(SUBSTITUTE($C1212,",",""))+1)</f>
        <v/>
      </c>
      <c r="K1212" s="26">
        <f>IF($A1212="","",SUMPRODUCT(--ISNUMBER(SEARCH('Category Dictionary'!$D$5:$D$135&amp;"",$C1212)),--('Category Dictionary'!$D$5:$D$135&lt;&gt;"")))</f>
        <v/>
      </c>
      <c r="L1212" s="27">
        <f>IF($A1212="","",TRIM(IF(ISERROR(FIND(",",$C1212)),$C1212,LEFT($C1212,FIND(",",$C1212)-1))))</f>
        <v/>
      </c>
      <c r="M1212" s="28">
        <f>IF($H1212="","",DATE(YEAR($H1212),MONTH($H1212),1))</f>
        <v/>
      </c>
      <c r="N1212" s="26">
        <f>IF($H1212="","",TODAY()-$H1212)</f>
        <v/>
      </c>
      <c r="O1212" s="15" t="n"/>
      <c r="P1212" s="15" t="n"/>
      <c r="Q1212" s="15" t="n"/>
      <c r="R1212" s="25" t="n"/>
      <c r="S1212" s="26">
        <f>IF($A1212="","",AND(OR('Assignment Builder'!$B$5="",$B1212='Assignment Builder'!$B$5),OR('Assignment Builder'!$B$6="",ISNUMBER(SEARCH('Assignment Builder'!$B$6,$C1212))),OR('Assignment Builder'!$B$7="",'Assignment Builder'!$B$7=IFERROR(INDEX('Category Dictionary'!$C$5:$C$135,MATCH($L1212,'Category Dictionary'!$D$5:$D$135,0)),"")),OR('Assignment Builder'!$B$8="",$D1212='Assignment Builder'!$B$8),OR('Assignment Builder'!$B$9="",$F1212='Assignment Builder'!$B$9),OR('Assignment Builder'!$B$10="",$O1212='Assignment Builder'!$B$10),OR('Assignment Builder'!$B$11="",$H1212&gt;='Assignment Builder'!$B$11),OR('Assignment Builder'!$B$12="",N($Q1212)&lt;='Assignment Builder'!$B$12)))</f>
        <v/>
      </c>
      <c r="T1212" s="23" t="n"/>
    </row>
    <row r="1213">
      <c r="A1213" s="23" t="n"/>
      <c r="B1213" s="23" t="n"/>
      <c r="C1213" s="24" t="n"/>
      <c r="D1213" s="15" t="n"/>
      <c r="E1213" s="23" t="n"/>
      <c r="F1213" s="15" t="n"/>
      <c r="G1213" s="23" t="n"/>
      <c r="H1213" s="25" t="n"/>
      <c r="I1213" s="15" t="n"/>
      <c r="J1213" s="26">
        <f>IF($A1213="","",LEN($C1213)-LEN(SUBSTITUTE($C1213,",",""))+1)</f>
        <v/>
      </c>
      <c r="K1213" s="26">
        <f>IF($A1213="","",SUMPRODUCT(--ISNUMBER(SEARCH('Category Dictionary'!$D$5:$D$135&amp;"",$C1213)),--('Category Dictionary'!$D$5:$D$135&lt;&gt;"")))</f>
        <v/>
      </c>
      <c r="L1213" s="27">
        <f>IF($A1213="","",TRIM(IF(ISERROR(FIND(",",$C1213)),$C1213,LEFT($C1213,FIND(",",$C1213)-1))))</f>
        <v/>
      </c>
      <c r="M1213" s="28">
        <f>IF($H1213="","",DATE(YEAR($H1213),MONTH($H1213),1))</f>
        <v/>
      </c>
      <c r="N1213" s="26">
        <f>IF($H1213="","",TODAY()-$H1213)</f>
        <v/>
      </c>
      <c r="O1213" s="15" t="n"/>
      <c r="P1213" s="15" t="n"/>
      <c r="Q1213" s="15" t="n"/>
      <c r="R1213" s="25" t="n"/>
      <c r="S1213" s="26">
        <f>IF($A1213="","",AND(OR('Assignment Builder'!$B$5="",$B1213='Assignment Builder'!$B$5),OR('Assignment Builder'!$B$6="",ISNUMBER(SEARCH('Assignment Builder'!$B$6,$C1213))),OR('Assignment Builder'!$B$7="",'Assignment Builder'!$B$7=IFERROR(INDEX('Category Dictionary'!$C$5:$C$135,MATCH($L1213,'Category Dictionary'!$D$5:$D$135,0)),"")),OR('Assignment Builder'!$B$8="",$D1213='Assignment Builder'!$B$8),OR('Assignment Builder'!$B$9="",$F1213='Assignment Builder'!$B$9),OR('Assignment Builder'!$B$10="",$O1213='Assignment Builder'!$B$10),OR('Assignment Builder'!$B$11="",$H1213&gt;='Assignment Builder'!$B$11),OR('Assignment Builder'!$B$12="",N($Q1213)&lt;='Assignment Builder'!$B$12)))</f>
        <v/>
      </c>
      <c r="T1213" s="23" t="n"/>
    </row>
    <row r="1214">
      <c r="A1214" s="23" t="n"/>
      <c r="B1214" s="23" t="n"/>
      <c r="C1214" s="24" t="n"/>
      <c r="D1214" s="15" t="n"/>
      <c r="E1214" s="23" t="n"/>
      <c r="F1214" s="15" t="n"/>
      <c r="G1214" s="23" t="n"/>
      <c r="H1214" s="25" t="n"/>
      <c r="I1214" s="15" t="n"/>
      <c r="J1214" s="26">
        <f>IF($A1214="","",LEN($C1214)-LEN(SUBSTITUTE($C1214,",",""))+1)</f>
        <v/>
      </c>
      <c r="K1214" s="26">
        <f>IF($A1214="","",SUMPRODUCT(--ISNUMBER(SEARCH('Category Dictionary'!$D$5:$D$135&amp;"",$C1214)),--('Category Dictionary'!$D$5:$D$135&lt;&gt;"")))</f>
        <v/>
      </c>
      <c r="L1214" s="27">
        <f>IF($A1214="","",TRIM(IF(ISERROR(FIND(",",$C1214)),$C1214,LEFT($C1214,FIND(",",$C1214)-1))))</f>
        <v/>
      </c>
      <c r="M1214" s="28">
        <f>IF($H1214="","",DATE(YEAR($H1214),MONTH($H1214),1))</f>
        <v/>
      </c>
      <c r="N1214" s="26">
        <f>IF($H1214="","",TODAY()-$H1214)</f>
        <v/>
      </c>
      <c r="O1214" s="15" t="n"/>
      <c r="P1214" s="15" t="n"/>
      <c r="Q1214" s="15" t="n"/>
      <c r="R1214" s="25" t="n"/>
      <c r="S1214" s="26">
        <f>IF($A1214="","",AND(OR('Assignment Builder'!$B$5="",$B1214='Assignment Builder'!$B$5),OR('Assignment Builder'!$B$6="",ISNUMBER(SEARCH('Assignment Builder'!$B$6,$C1214))),OR('Assignment Builder'!$B$7="",'Assignment Builder'!$B$7=IFERROR(INDEX('Category Dictionary'!$C$5:$C$135,MATCH($L1214,'Category Dictionary'!$D$5:$D$135,0)),"")),OR('Assignment Builder'!$B$8="",$D1214='Assignment Builder'!$B$8),OR('Assignment Builder'!$B$9="",$F1214='Assignment Builder'!$B$9),OR('Assignment Builder'!$B$10="",$O1214='Assignment Builder'!$B$10),OR('Assignment Builder'!$B$11="",$H1214&gt;='Assignment Builder'!$B$11),OR('Assignment Builder'!$B$12="",N($Q1214)&lt;='Assignment Builder'!$B$12)))</f>
        <v/>
      </c>
      <c r="T1214" s="23" t="n"/>
    </row>
    <row r="1215">
      <c r="A1215" s="23" t="n"/>
      <c r="B1215" s="23" t="n"/>
      <c r="C1215" s="24" t="n"/>
      <c r="D1215" s="15" t="n"/>
      <c r="E1215" s="23" t="n"/>
      <c r="F1215" s="15" t="n"/>
      <c r="G1215" s="23" t="n"/>
      <c r="H1215" s="25" t="n"/>
      <c r="I1215" s="15" t="n"/>
      <c r="J1215" s="26">
        <f>IF($A1215="","",LEN($C1215)-LEN(SUBSTITUTE($C1215,",",""))+1)</f>
        <v/>
      </c>
      <c r="K1215" s="26">
        <f>IF($A1215="","",SUMPRODUCT(--ISNUMBER(SEARCH('Category Dictionary'!$D$5:$D$135&amp;"",$C1215)),--('Category Dictionary'!$D$5:$D$135&lt;&gt;"")))</f>
        <v/>
      </c>
      <c r="L1215" s="27">
        <f>IF($A1215="","",TRIM(IF(ISERROR(FIND(",",$C1215)),$C1215,LEFT($C1215,FIND(",",$C1215)-1))))</f>
        <v/>
      </c>
      <c r="M1215" s="28">
        <f>IF($H1215="","",DATE(YEAR($H1215),MONTH($H1215),1))</f>
        <v/>
      </c>
      <c r="N1215" s="26">
        <f>IF($H1215="","",TODAY()-$H1215)</f>
        <v/>
      </c>
      <c r="O1215" s="15" t="n"/>
      <c r="P1215" s="15" t="n"/>
      <c r="Q1215" s="15" t="n"/>
      <c r="R1215" s="25" t="n"/>
      <c r="S1215" s="26">
        <f>IF($A1215="","",AND(OR('Assignment Builder'!$B$5="",$B1215='Assignment Builder'!$B$5),OR('Assignment Builder'!$B$6="",ISNUMBER(SEARCH('Assignment Builder'!$B$6,$C1215))),OR('Assignment Builder'!$B$7="",'Assignment Builder'!$B$7=IFERROR(INDEX('Category Dictionary'!$C$5:$C$135,MATCH($L1215,'Category Dictionary'!$D$5:$D$135,0)),"")),OR('Assignment Builder'!$B$8="",$D1215='Assignment Builder'!$B$8),OR('Assignment Builder'!$B$9="",$F1215='Assignment Builder'!$B$9),OR('Assignment Builder'!$B$10="",$O1215='Assignment Builder'!$B$10),OR('Assignment Builder'!$B$11="",$H1215&gt;='Assignment Builder'!$B$11),OR('Assignment Builder'!$B$12="",N($Q1215)&lt;='Assignment Builder'!$B$12)))</f>
        <v/>
      </c>
      <c r="T1215" s="23" t="n"/>
    </row>
    <row r="1216">
      <c r="A1216" s="23" t="n"/>
      <c r="B1216" s="23" t="n"/>
      <c r="C1216" s="24" t="n"/>
      <c r="D1216" s="15" t="n"/>
      <c r="E1216" s="23" t="n"/>
      <c r="F1216" s="15" t="n"/>
      <c r="G1216" s="23" t="n"/>
      <c r="H1216" s="25" t="n"/>
      <c r="I1216" s="15" t="n"/>
      <c r="J1216" s="26">
        <f>IF($A1216="","",LEN($C1216)-LEN(SUBSTITUTE($C1216,",",""))+1)</f>
        <v/>
      </c>
      <c r="K1216" s="26">
        <f>IF($A1216="","",SUMPRODUCT(--ISNUMBER(SEARCH('Category Dictionary'!$D$5:$D$135&amp;"",$C1216)),--('Category Dictionary'!$D$5:$D$135&lt;&gt;"")))</f>
        <v/>
      </c>
      <c r="L1216" s="27">
        <f>IF($A1216="","",TRIM(IF(ISERROR(FIND(",",$C1216)),$C1216,LEFT($C1216,FIND(",",$C1216)-1))))</f>
        <v/>
      </c>
      <c r="M1216" s="28">
        <f>IF($H1216="","",DATE(YEAR($H1216),MONTH($H1216),1))</f>
        <v/>
      </c>
      <c r="N1216" s="26">
        <f>IF($H1216="","",TODAY()-$H1216)</f>
        <v/>
      </c>
      <c r="O1216" s="15" t="n"/>
      <c r="P1216" s="15" t="n"/>
      <c r="Q1216" s="15" t="n"/>
      <c r="R1216" s="25" t="n"/>
      <c r="S1216" s="26">
        <f>IF($A1216="","",AND(OR('Assignment Builder'!$B$5="",$B1216='Assignment Builder'!$B$5),OR('Assignment Builder'!$B$6="",ISNUMBER(SEARCH('Assignment Builder'!$B$6,$C1216))),OR('Assignment Builder'!$B$7="",'Assignment Builder'!$B$7=IFERROR(INDEX('Category Dictionary'!$C$5:$C$135,MATCH($L1216,'Category Dictionary'!$D$5:$D$135,0)),"")),OR('Assignment Builder'!$B$8="",$D1216='Assignment Builder'!$B$8),OR('Assignment Builder'!$B$9="",$F1216='Assignment Builder'!$B$9),OR('Assignment Builder'!$B$10="",$O1216='Assignment Builder'!$B$10),OR('Assignment Builder'!$B$11="",$H1216&gt;='Assignment Builder'!$B$11),OR('Assignment Builder'!$B$12="",N($Q1216)&lt;='Assignment Builder'!$B$12)))</f>
        <v/>
      </c>
      <c r="T1216" s="23" t="n"/>
    </row>
    <row r="1217">
      <c r="A1217" s="23" t="n"/>
      <c r="B1217" s="23" t="n"/>
      <c r="C1217" s="24" t="n"/>
      <c r="D1217" s="15" t="n"/>
      <c r="E1217" s="23" t="n"/>
      <c r="F1217" s="15" t="n"/>
      <c r="G1217" s="23" t="n"/>
      <c r="H1217" s="25" t="n"/>
      <c r="I1217" s="15" t="n"/>
      <c r="J1217" s="26">
        <f>IF($A1217="","",LEN($C1217)-LEN(SUBSTITUTE($C1217,",",""))+1)</f>
        <v/>
      </c>
      <c r="K1217" s="26">
        <f>IF($A1217="","",SUMPRODUCT(--ISNUMBER(SEARCH('Category Dictionary'!$D$5:$D$135&amp;"",$C1217)),--('Category Dictionary'!$D$5:$D$135&lt;&gt;"")))</f>
        <v/>
      </c>
      <c r="L1217" s="27">
        <f>IF($A1217="","",TRIM(IF(ISERROR(FIND(",",$C1217)),$C1217,LEFT($C1217,FIND(",",$C1217)-1))))</f>
        <v/>
      </c>
      <c r="M1217" s="28">
        <f>IF($H1217="","",DATE(YEAR($H1217),MONTH($H1217),1))</f>
        <v/>
      </c>
      <c r="N1217" s="26">
        <f>IF($H1217="","",TODAY()-$H1217)</f>
        <v/>
      </c>
      <c r="O1217" s="15" t="n"/>
      <c r="P1217" s="15" t="n"/>
      <c r="Q1217" s="15" t="n"/>
      <c r="R1217" s="25" t="n"/>
      <c r="S1217" s="26">
        <f>IF($A1217="","",AND(OR('Assignment Builder'!$B$5="",$B1217='Assignment Builder'!$B$5),OR('Assignment Builder'!$B$6="",ISNUMBER(SEARCH('Assignment Builder'!$B$6,$C1217))),OR('Assignment Builder'!$B$7="",'Assignment Builder'!$B$7=IFERROR(INDEX('Category Dictionary'!$C$5:$C$135,MATCH($L1217,'Category Dictionary'!$D$5:$D$135,0)),"")),OR('Assignment Builder'!$B$8="",$D1217='Assignment Builder'!$B$8),OR('Assignment Builder'!$B$9="",$F1217='Assignment Builder'!$B$9),OR('Assignment Builder'!$B$10="",$O1217='Assignment Builder'!$B$10),OR('Assignment Builder'!$B$11="",$H1217&gt;='Assignment Builder'!$B$11),OR('Assignment Builder'!$B$12="",N($Q1217)&lt;='Assignment Builder'!$B$12)))</f>
        <v/>
      </c>
      <c r="T1217" s="23" t="n"/>
    </row>
    <row r="1218">
      <c r="A1218" s="23" t="n"/>
      <c r="B1218" s="23" t="n"/>
      <c r="C1218" s="24" t="n"/>
      <c r="D1218" s="15" t="n"/>
      <c r="E1218" s="23" t="n"/>
      <c r="F1218" s="15" t="n"/>
      <c r="G1218" s="23" t="n"/>
      <c r="H1218" s="25" t="n"/>
      <c r="I1218" s="15" t="n"/>
      <c r="J1218" s="26">
        <f>IF($A1218="","",LEN($C1218)-LEN(SUBSTITUTE($C1218,",",""))+1)</f>
        <v/>
      </c>
      <c r="K1218" s="26">
        <f>IF($A1218="","",SUMPRODUCT(--ISNUMBER(SEARCH('Category Dictionary'!$D$5:$D$135&amp;"",$C1218)),--('Category Dictionary'!$D$5:$D$135&lt;&gt;"")))</f>
        <v/>
      </c>
      <c r="L1218" s="27">
        <f>IF($A1218="","",TRIM(IF(ISERROR(FIND(",",$C1218)),$C1218,LEFT($C1218,FIND(",",$C1218)-1))))</f>
        <v/>
      </c>
      <c r="M1218" s="28">
        <f>IF($H1218="","",DATE(YEAR($H1218),MONTH($H1218),1))</f>
        <v/>
      </c>
      <c r="N1218" s="26">
        <f>IF($H1218="","",TODAY()-$H1218)</f>
        <v/>
      </c>
      <c r="O1218" s="15" t="n"/>
      <c r="P1218" s="15" t="n"/>
      <c r="Q1218" s="15" t="n"/>
      <c r="R1218" s="25" t="n"/>
      <c r="S1218" s="26">
        <f>IF($A1218="","",AND(OR('Assignment Builder'!$B$5="",$B1218='Assignment Builder'!$B$5),OR('Assignment Builder'!$B$6="",ISNUMBER(SEARCH('Assignment Builder'!$B$6,$C1218))),OR('Assignment Builder'!$B$7="",'Assignment Builder'!$B$7=IFERROR(INDEX('Category Dictionary'!$C$5:$C$135,MATCH($L1218,'Category Dictionary'!$D$5:$D$135,0)),"")),OR('Assignment Builder'!$B$8="",$D1218='Assignment Builder'!$B$8),OR('Assignment Builder'!$B$9="",$F1218='Assignment Builder'!$B$9),OR('Assignment Builder'!$B$10="",$O1218='Assignment Builder'!$B$10),OR('Assignment Builder'!$B$11="",$H1218&gt;='Assignment Builder'!$B$11),OR('Assignment Builder'!$B$12="",N($Q1218)&lt;='Assignment Builder'!$B$12)))</f>
        <v/>
      </c>
      <c r="T1218" s="23" t="n"/>
    </row>
    <row r="1219">
      <c r="A1219" s="23" t="n"/>
      <c r="B1219" s="23" t="n"/>
      <c r="C1219" s="24" t="n"/>
      <c r="D1219" s="15" t="n"/>
      <c r="E1219" s="23" t="n"/>
      <c r="F1219" s="15" t="n"/>
      <c r="G1219" s="23" t="n"/>
      <c r="H1219" s="25" t="n"/>
      <c r="I1219" s="15" t="n"/>
      <c r="J1219" s="26">
        <f>IF($A1219="","",LEN($C1219)-LEN(SUBSTITUTE($C1219,",",""))+1)</f>
        <v/>
      </c>
      <c r="K1219" s="26">
        <f>IF($A1219="","",SUMPRODUCT(--ISNUMBER(SEARCH('Category Dictionary'!$D$5:$D$135&amp;"",$C1219)),--('Category Dictionary'!$D$5:$D$135&lt;&gt;"")))</f>
        <v/>
      </c>
      <c r="L1219" s="27">
        <f>IF($A1219="","",TRIM(IF(ISERROR(FIND(",",$C1219)),$C1219,LEFT($C1219,FIND(",",$C1219)-1))))</f>
        <v/>
      </c>
      <c r="M1219" s="28">
        <f>IF($H1219="","",DATE(YEAR($H1219),MONTH($H1219),1))</f>
        <v/>
      </c>
      <c r="N1219" s="26">
        <f>IF($H1219="","",TODAY()-$H1219)</f>
        <v/>
      </c>
      <c r="O1219" s="15" t="n"/>
      <c r="P1219" s="15" t="n"/>
      <c r="Q1219" s="15" t="n"/>
      <c r="R1219" s="25" t="n"/>
      <c r="S1219" s="26">
        <f>IF($A1219="","",AND(OR('Assignment Builder'!$B$5="",$B1219='Assignment Builder'!$B$5),OR('Assignment Builder'!$B$6="",ISNUMBER(SEARCH('Assignment Builder'!$B$6,$C1219))),OR('Assignment Builder'!$B$7="",'Assignment Builder'!$B$7=IFERROR(INDEX('Category Dictionary'!$C$5:$C$135,MATCH($L1219,'Category Dictionary'!$D$5:$D$135,0)),"")),OR('Assignment Builder'!$B$8="",$D1219='Assignment Builder'!$B$8),OR('Assignment Builder'!$B$9="",$F1219='Assignment Builder'!$B$9),OR('Assignment Builder'!$B$10="",$O1219='Assignment Builder'!$B$10),OR('Assignment Builder'!$B$11="",$H1219&gt;='Assignment Builder'!$B$11),OR('Assignment Builder'!$B$12="",N($Q1219)&lt;='Assignment Builder'!$B$12)))</f>
        <v/>
      </c>
      <c r="T1219" s="23" t="n"/>
    </row>
    <row r="1220">
      <c r="A1220" s="23" t="n"/>
      <c r="B1220" s="23" t="n"/>
      <c r="C1220" s="24" t="n"/>
      <c r="D1220" s="15" t="n"/>
      <c r="E1220" s="23" t="n"/>
      <c r="F1220" s="15" t="n"/>
      <c r="G1220" s="23" t="n"/>
      <c r="H1220" s="25" t="n"/>
      <c r="I1220" s="15" t="n"/>
      <c r="J1220" s="26">
        <f>IF($A1220="","",LEN($C1220)-LEN(SUBSTITUTE($C1220,",",""))+1)</f>
        <v/>
      </c>
      <c r="K1220" s="26">
        <f>IF($A1220="","",SUMPRODUCT(--ISNUMBER(SEARCH('Category Dictionary'!$D$5:$D$135&amp;"",$C1220)),--('Category Dictionary'!$D$5:$D$135&lt;&gt;"")))</f>
        <v/>
      </c>
      <c r="L1220" s="27">
        <f>IF($A1220="","",TRIM(IF(ISERROR(FIND(",",$C1220)),$C1220,LEFT($C1220,FIND(",",$C1220)-1))))</f>
        <v/>
      </c>
      <c r="M1220" s="28">
        <f>IF($H1220="","",DATE(YEAR($H1220),MONTH($H1220),1))</f>
        <v/>
      </c>
      <c r="N1220" s="26">
        <f>IF($H1220="","",TODAY()-$H1220)</f>
        <v/>
      </c>
      <c r="O1220" s="15" t="n"/>
      <c r="P1220" s="15" t="n"/>
      <c r="Q1220" s="15" t="n"/>
      <c r="R1220" s="25" t="n"/>
      <c r="S1220" s="26">
        <f>IF($A1220="","",AND(OR('Assignment Builder'!$B$5="",$B1220='Assignment Builder'!$B$5),OR('Assignment Builder'!$B$6="",ISNUMBER(SEARCH('Assignment Builder'!$B$6,$C1220))),OR('Assignment Builder'!$B$7="",'Assignment Builder'!$B$7=IFERROR(INDEX('Category Dictionary'!$C$5:$C$135,MATCH($L1220,'Category Dictionary'!$D$5:$D$135,0)),"")),OR('Assignment Builder'!$B$8="",$D1220='Assignment Builder'!$B$8),OR('Assignment Builder'!$B$9="",$F1220='Assignment Builder'!$B$9),OR('Assignment Builder'!$B$10="",$O1220='Assignment Builder'!$B$10),OR('Assignment Builder'!$B$11="",$H1220&gt;='Assignment Builder'!$B$11),OR('Assignment Builder'!$B$12="",N($Q1220)&lt;='Assignment Builder'!$B$12)))</f>
        <v/>
      </c>
      <c r="T1220" s="23" t="n"/>
    </row>
    <row r="1221">
      <c r="A1221" s="23" t="n"/>
      <c r="B1221" s="23" t="n"/>
      <c r="C1221" s="24" t="n"/>
      <c r="D1221" s="15" t="n"/>
      <c r="E1221" s="23" t="n"/>
      <c r="F1221" s="15" t="n"/>
      <c r="G1221" s="23" t="n"/>
      <c r="H1221" s="25" t="n"/>
      <c r="I1221" s="15" t="n"/>
      <c r="J1221" s="26">
        <f>IF($A1221="","",LEN($C1221)-LEN(SUBSTITUTE($C1221,",",""))+1)</f>
        <v/>
      </c>
      <c r="K1221" s="26">
        <f>IF($A1221="","",SUMPRODUCT(--ISNUMBER(SEARCH('Category Dictionary'!$D$5:$D$135&amp;"",$C1221)),--('Category Dictionary'!$D$5:$D$135&lt;&gt;"")))</f>
        <v/>
      </c>
      <c r="L1221" s="27">
        <f>IF($A1221="","",TRIM(IF(ISERROR(FIND(",",$C1221)),$C1221,LEFT($C1221,FIND(",",$C1221)-1))))</f>
        <v/>
      </c>
      <c r="M1221" s="28">
        <f>IF($H1221="","",DATE(YEAR($H1221),MONTH($H1221),1))</f>
        <v/>
      </c>
      <c r="N1221" s="26">
        <f>IF($H1221="","",TODAY()-$H1221)</f>
        <v/>
      </c>
      <c r="O1221" s="15" t="n"/>
      <c r="P1221" s="15" t="n"/>
      <c r="Q1221" s="15" t="n"/>
      <c r="R1221" s="25" t="n"/>
      <c r="S1221" s="26">
        <f>IF($A1221="","",AND(OR('Assignment Builder'!$B$5="",$B1221='Assignment Builder'!$B$5),OR('Assignment Builder'!$B$6="",ISNUMBER(SEARCH('Assignment Builder'!$B$6,$C1221))),OR('Assignment Builder'!$B$7="",'Assignment Builder'!$B$7=IFERROR(INDEX('Category Dictionary'!$C$5:$C$135,MATCH($L1221,'Category Dictionary'!$D$5:$D$135,0)),"")),OR('Assignment Builder'!$B$8="",$D1221='Assignment Builder'!$B$8),OR('Assignment Builder'!$B$9="",$F1221='Assignment Builder'!$B$9),OR('Assignment Builder'!$B$10="",$O1221='Assignment Builder'!$B$10),OR('Assignment Builder'!$B$11="",$H1221&gt;='Assignment Builder'!$B$11),OR('Assignment Builder'!$B$12="",N($Q1221)&lt;='Assignment Builder'!$B$12)))</f>
        <v/>
      </c>
      <c r="T1221" s="23" t="n"/>
    </row>
    <row r="1222">
      <c r="A1222" s="23" t="n"/>
      <c r="B1222" s="23" t="n"/>
      <c r="C1222" s="24" t="n"/>
      <c r="D1222" s="15" t="n"/>
      <c r="E1222" s="23" t="n"/>
      <c r="F1222" s="15" t="n"/>
      <c r="G1222" s="23" t="n"/>
      <c r="H1222" s="25" t="n"/>
      <c r="I1222" s="15" t="n"/>
      <c r="J1222" s="26">
        <f>IF($A1222="","",LEN($C1222)-LEN(SUBSTITUTE($C1222,",",""))+1)</f>
        <v/>
      </c>
      <c r="K1222" s="26">
        <f>IF($A1222="","",SUMPRODUCT(--ISNUMBER(SEARCH('Category Dictionary'!$D$5:$D$135&amp;"",$C1222)),--('Category Dictionary'!$D$5:$D$135&lt;&gt;"")))</f>
        <v/>
      </c>
      <c r="L1222" s="27">
        <f>IF($A1222="","",TRIM(IF(ISERROR(FIND(",",$C1222)),$C1222,LEFT($C1222,FIND(",",$C1222)-1))))</f>
        <v/>
      </c>
      <c r="M1222" s="28">
        <f>IF($H1222="","",DATE(YEAR($H1222),MONTH($H1222),1))</f>
        <v/>
      </c>
      <c r="N1222" s="26">
        <f>IF($H1222="","",TODAY()-$H1222)</f>
        <v/>
      </c>
      <c r="O1222" s="15" t="n"/>
      <c r="P1222" s="15" t="n"/>
      <c r="Q1222" s="15" t="n"/>
      <c r="R1222" s="25" t="n"/>
      <c r="S1222" s="26">
        <f>IF($A1222="","",AND(OR('Assignment Builder'!$B$5="",$B1222='Assignment Builder'!$B$5),OR('Assignment Builder'!$B$6="",ISNUMBER(SEARCH('Assignment Builder'!$B$6,$C1222))),OR('Assignment Builder'!$B$7="",'Assignment Builder'!$B$7=IFERROR(INDEX('Category Dictionary'!$C$5:$C$135,MATCH($L1222,'Category Dictionary'!$D$5:$D$135,0)),"")),OR('Assignment Builder'!$B$8="",$D1222='Assignment Builder'!$B$8),OR('Assignment Builder'!$B$9="",$F1222='Assignment Builder'!$B$9),OR('Assignment Builder'!$B$10="",$O1222='Assignment Builder'!$B$10),OR('Assignment Builder'!$B$11="",$H1222&gt;='Assignment Builder'!$B$11),OR('Assignment Builder'!$B$12="",N($Q1222)&lt;='Assignment Builder'!$B$12)))</f>
        <v/>
      </c>
      <c r="T1222" s="23" t="n"/>
    </row>
    <row r="1223">
      <c r="A1223" s="23" t="n"/>
      <c r="B1223" s="23" t="n"/>
      <c r="C1223" s="24" t="n"/>
      <c r="D1223" s="15" t="n"/>
      <c r="E1223" s="23" t="n"/>
      <c r="F1223" s="15" t="n"/>
      <c r="G1223" s="23" t="n"/>
      <c r="H1223" s="25" t="n"/>
      <c r="I1223" s="15" t="n"/>
      <c r="J1223" s="26">
        <f>IF($A1223="","",LEN($C1223)-LEN(SUBSTITUTE($C1223,",",""))+1)</f>
        <v/>
      </c>
      <c r="K1223" s="26">
        <f>IF($A1223="","",SUMPRODUCT(--ISNUMBER(SEARCH('Category Dictionary'!$D$5:$D$135&amp;"",$C1223)),--('Category Dictionary'!$D$5:$D$135&lt;&gt;"")))</f>
        <v/>
      </c>
      <c r="L1223" s="27">
        <f>IF($A1223="","",TRIM(IF(ISERROR(FIND(",",$C1223)),$C1223,LEFT($C1223,FIND(",",$C1223)-1))))</f>
        <v/>
      </c>
      <c r="M1223" s="28">
        <f>IF($H1223="","",DATE(YEAR($H1223),MONTH($H1223),1))</f>
        <v/>
      </c>
      <c r="N1223" s="26">
        <f>IF($H1223="","",TODAY()-$H1223)</f>
        <v/>
      </c>
      <c r="O1223" s="15" t="n"/>
      <c r="P1223" s="15" t="n"/>
      <c r="Q1223" s="15" t="n"/>
      <c r="R1223" s="25" t="n"/>
      <c r="S1223" s="26">
        <f>IF($A1223="","",AND(OR('Assignment Builder'!$B$5="",$B1223='Assignment Builder'!$B$5),OR('Assignment Builder'!$B$6="",ISNUMBER(SEARCH('Assignment Builder'!$B$6,$C1223))),OR('Assignment Builder'!$B$7="",'Assignment Builder'!$B$7=IFERROR(INDEX('Category Dictionary'!$C$5:$C$135,MATCH($L1223,'Category Dictionary'!$D$5:$D$135,0)),"")),OR('Assignment Builder'!$B$8="",$D1223='Assignment Builder'!$B$8),OR('Assignment Builder'!$B$9="",$F1223='Assignment Builder'!$B$9),OR('Assignment Builder'!$B$10="",$O1223='Assignment Builder'!$B$10),OR('Assignment Builder'!$B$11="",$H1223&gt;='Assignment Builder'!$B$11),OR('Assignment Builder'!$B$12="",N($Q1223)&lt;='Assignment Builder'!$B$12)))</f>
        <v/>
      </c>
      <c r="T1223" s="23" t="n"/>
    </row>
    <row r="1224">
      <c r="A1224" s="23" t="n"/>
      <c r="B1224" s="23" t="n"/>
      <c r="C1224" s="24" t="n"/>
      <c r="D1224" s="15" t="n"/>
      <c r="E1224" s="23" t="n"/>
      <c r="F1224" s="15" t="n"/>
      <c r="G1224" s="23" t="n"/>
      <c r="H1224" s="25" t="n"/>
      <c r="I1224" s="15" t="n"/>
      <c r="J1224" s="26">
        <f>IF($A1224="","",LEN($C1224)-LEN(SUBSTITUTE($C1224,",",""))+1)</f>
        <v/>
      </c>
      <c r="K1224" s="26">
        <f>IF($A1224="","",SUMPRODUCT(--ISNUMBER(SEARCH('Category Dictionary'!$D$5:$D$135&amp;"",$C1224)),--('Category Dictionary'!$D$5:$D$135&lt;&gt;"")))</f>
        <v/>
      </c>
      <c r="L1224" s="27">
        <f>IF($A1224="","",TRIM(IF(ISERROR(FIND(",",$C1224)),$C1224,LEFT($C1224,FIND(",",$C1224)-1))))</f>
        <v/>
      </c>
      <c r="M1224" s="28">
        <f>IF($H1224="","",DATE(YEAR($H1224),MONTH($H1224),1))</f>
        <v/>
      </c>
      <c r="N1224" s="26">
        <f>IF($H1224="","",TODAY()-$H1224)</f>
        <v/>
      </c>
      <c r="O1224" s="15" t="n"/>
      <c r="P1224" s="15" t="n"/>
      <c r="Q1224" s="15" t="n"/>
      <c r="R1224" s="25" t="n"/>
      <c r="S1224" s="26">
        <f>IF($A1224="","",AND(OR('Assignment Builder'!$B$5="",$B1224='Assignment Builder'!$B$5),OR('Assignment Builder'!$B$6="",ISNUMBER(SEARCH('Assignment Builder'!$B$6,$C1224))),OR('Assignment Builder'!$B$7="",'Assignment Builder'!$B$7=IFERROR(INDEX('Category Dictionary'!$C$5:$C$135,MATCH($L1224,'Category Dictionary'!$D$5:$D$135,0)),"")),OR('Assignment Builder'!$B$8="",$D1224='Assignment Builder'!$B$8),OR('Assignment Builder'!$B$9="",$F1224='Assignment Builder'!$B$9),OR('Assignment Builder'!$B$10="",$O1224='Assignment Builder'!$B$10),OR('Assignment Builder'!$B$11="",$H1224&gt;='Assignment Builder'!$B$11),OR('Assignment Builder'!$B$12="",N($Q1224)&lt;='Assignment Builder'!$B$12)))</f>
        <v/>
      </c>
      <c r="T1224" s="23" t="n"/>
    </row>
    <row r="1225">
      <c r="A1225" s="23" t="n"/>
      <c r="B1225" s="23" t="n"/>
      <c r="C1225" s="24" t="n"/>
      <c r="D1225" s="15" t="n"/>
      <c r="E1225" s="23" t="n"/>
      <c r="F1225" s="15" t="n"/>
      <c r="G1225" s="23" t="n"/>
      <c r="H1225" s="25" t="n"/>
      <c r="I1225" s="15" t="n"/>
      <c r="J1225" s="26">
        <f>IF($A1225="","",LEN($C1225)-LEN(SUBSTITUTE($C1225,",",""))+1)</f>
        <v/>
      </c>
      <c r="K1225" s="26">
        <f>IF($A1225="","",SUMPRODUCT(--ISNUMBER(SEARCH('Category Dictionary'!$D$5:$D$135&amp;"",$C1225)),--('Category Dictionary'!$D$5:$D$135&lt;&gt;"")))</f>
        <v/>
      </c>
      <c r="L1225" s="27">
        <f>IF($A1225="","",TRIM(IF(ISERROR(FIND(",",$C1225)),$C1225,LEFT($C1225,FIND(",",$C1225)-1))))</f>
        <v/>
      </c>
      <c r="M1225" s="28">
        <f>IF($H1225="","",DATE(YEAR($H1225),MONTH($H1225),1))</f>
        <v/>
      </c>
      <c r="N1225" s="26">
        <f>IF($H1225="","",TODAY()-$H1225)</f>
        <v/>
      </c>
      <c r="O1225" s="15" t="n"/>
      <c r="P1225" s="15" t="n"/>
      <c r="Q1225" s="15" t="n"/>
      <c r="R1225" s="25" t="n"/>
      <c r="S1225" s="26">
        <f>IF($A1225="","",AND(OR('Assignment Builder'!$B$5="",$B1225='Assignment Builder'!$B$5),OR('Assignment Builder'!$B$6="",ISNUMBER(SEARCH('Assignment Builder'!$B$6,$C1225))),OR('Assignment Builder'!$B$7="",'Assignment Builder'!$B$7=IFERROR(INDEX('Category Dictionary'!$C$5:$C$135,MATCH($L1225,'Category Dictionary'!$D$5:$D$135,0)),"")),OR('Assignment Builder'!$B$8="",$D1225='Assignment Builder'!$B$8),OR('Assignment Builder'!$B$9="",$F1225='Assignment Builder'!$B$9),OR('Assignment Builder'!$B$10="",$O1225='Assignment Builder'!$B$10),OR('Assignment Builder'!$B$11="",$H1225&gt;='Assignment Builder'!$B$11),OR('Assignment Builder'!$B$12="",N($Q1225)&lt;='Assignment Builder'!$B$12)))</f>
        <v/>
      </c>
      <c r="T1225" s="23" t="n"/>
    </row>
    <row r="1226">
      <c r="A1226" s="23" t="n"/>
      <c r="B1226" s="23" t="n"/>
      <c r="C1226" s="24" t="n"/>
      <c r="D1226" s="15" t="n"/>
      <c r="E1226" s="23" t="n"/>
      <c r="F1226" s="15" t="n"/>
      <c r="G1226" s="23" t="n"/>
      <c r="H1226" s="25" t="n"/>
      <c r="I1226" s="15" t="n"/>
      <c r="J1226" s="26">
        <f>IF($A1226="","",LEN($C1226)-LEN(SUBSTITUTE($C1226,",",""))+1)</f>
        <v/>
      </c>
      <c r="K1226" s="26">
        <f>IF($A1226="","",SUMPRODUCT(--ISNUMBER(SEARCH('Category Dictionary'!$D$5:$D$135&amp;"",$C1226)),--('Category Dictionary'!$D$5:$D$135&lt;&gt;"")))</f>
        <v/>
      </c>
      <c r="L1226" s="27">
        <f>IF($A1226="","",TRIM(IF(ISERROR(FIND(",",$C1226)),$C1226,LEFT($C1226,FIND(",",$C1226)-1))))</f>
        <v/>
      </c>
      <c r="M1226" s="28">
        <f>IF($H1226="","",DATE(YEAR($H1226),MONTH($H1226),1))</f>
        <v/>
      </c>
      <c r="N1226" s="26">
        <f>IF($H1226="","",TODAY()-$H1226)</f>
        <v/>
      </c>
      <c r="O1226" s="15" t="n"/>
      <c r="P1226" s="15" t="n"/>
      <c r="Q1226" s="15" t="n"/>
      <c r="R1226" s="25" t="n"/>
      <c r="S1226" s="26">
        <f>IF($A1226="","",AND(OR('Assignment Builder'!$B$5="",$B1226='Assignment Builder'!$B$5),OR('Assignment Builder'!$B$6="",ISNUMBER(SEARCH('Assignment Builder'!$B$6,$C1226))),OR('Assignment Builder'!$B$7="",'Assignment Builder'!$B$7=IFERROR(INDEX('Category Dictionary'!$C$5:$C$135,MATCH($L1226,'Category Dictionary'!$D$5:$D$135,0)),"")),OR('Assignment Builder'!$B$8="",$D1226='Assignment Builder'!$B$8),OR('Assignment Builder'!$B$9="",$F1226='Assignment Builder'!$B$9),OR('Assignment Builder'!$B$10="",$O1226='Assignment Builder'!$B$10),OR('Assignment Builder'!$B$11="",$H1226&gt;='Assignment Builder'!$B$11),OR('Assignment Builder'!$B$12="",N($Q1226)&lt;='Assignment Builder'!$B$12)))</f>
        <v/>
      </c>
      <c r="T1226" s="23" t="n"/>
    </row>
    <row r="1227">
      <c r="A1227" s="23" t="n"/>
      <c r="B1227" s="23" t="n"/>
      <c r="C1227" s="24" t="n"/>
      <c r="D1227" s="15" t="n"/>
      <c r="E1227" s="23" t="n"/>
      <c r="F1227" s="15" t="n"/>
      <c r="G1227" s="23" t="n"/>
      <c r="H1227" s="25" t="n"/>
      <c r="I1227" s="15" t="n"/>
      <c r="J1227" s="26">
        <f>IF($A1227="","",LEN($C1227)-LEN(SUBSTITUTE($C1227,",",""))+1)</f>
        <v/>
      </c>
      <c r="K1227" s="26">
        <f>IF($A1227="","",SUMPRODUCT(--ISNUMBER(SEARCH('Category Dictionary'!$D$5:$D$135&amp;"",$C1227)),--('Category Dictionary'!$D$5:$D$135&lt;&gt;"")))</f>
        <v/>
      </c>
      <c r="L1227" s="27">
        <f>IF($A1227="","",TRIM(IF(ISERROR(FIND(",",$C1227)),$C1227,LEFT($C1227,FIND(",",$C1227)-1))))</f>
        <v/>
      </c>
      <c r="M1227" s="28">
        <f>IF($H1227="","",DATE(YEAR($H1227),MONTH($H1227),1))</f>
        <v/>
      </c>
      <c r="N1227" s="26">
        <f>IF($H1227="","",TODAY()-$H1227)</f>
        <v/>
      </c>
      <c r="O1227" s="15" t="n"/>
      <c r="P1227" s="15" t="n"/>
      <c r="Q1227" s="15" t="n"/>
      <c r="R1227" s="25" t="n"/>
      <c r="S1227" s="26">
        <f>IF($A1227="","",AND(OR('Assignment Builder'!$B$5="",$B1227='Assignment Builder'!$B$5),OR('Assignment Builder'!$B$6="",ISNUMBER(SEARCH('Assignment Builder'!$B$6,$C1227))),OR('Assignment Builder'!$B$7="",'Assignment Builder'!$B$7=IFERROR(INDEX('Category Dictionary'!$C$5:$C$135,MATCH($L1227,'Category Dictionary'!$D$5:$D$135,0)),"")),OR('Assignment Builder'!$B$8="",$D1227='Assignment Builder'!$B$8),OR('Assignment Builder'!$B$9="",$F1227='Assignment Builder'!$B$9),OR('Assignment Builder'!$B$10="",$O1227='Assignment Builder'!$B$10),OR('Assignment Builder'!$B$11="",$H1227&gt;='Assignment Builder'!$B$11),OR('Assignment Builder'!$B$12="",N($Q1227)&lt;='Assignment Builder'!$B$12)))</f>
        <v/>
      </c>
      <c r="T1227" s="23" t="n"/>
    </row>
    <row r="1228">
      <c r="A1228" s="23" t="n"/>
      <c r="B1228" s="23" t="n"/>
      <c r="C1228" s="24" t="n"/>
      <c r="D1228" s="15" t="n"/>
      <c r="E1228" s="23" t="n"/>
      <c r="F1228" s="15" t="n"/>
      <c r="G1228" s="23" t="n"/>
      <c r="H1228" s="25" t="n"/>
      <c r="I1228" s="15" t="n"/>
      <c r="J1228" s="26">
        <f>IF($A1228="","",LEN($C1228)-LEN(SUBSTITUTE($C1228,",",""))+1)</f>
        <v/>
      </c>
      <c r="K1228" s="26">
        <f>IF($A1228="","",SUMPRODUCT(--ISNUMBER(SEARCH('Category Dictionary'!$D$5:$D$135&amp;"",$C1228)),--('Category Dictionary'!$D$5:$D$135&lt;&gt;"")))</f>
        <v/>
      </c>
      <c r="L1228" s="27">
        <f>IF($A1228="","",TRIM(IF(ISERROR(FIND(",",$C1228)),$C1228,LEFT($C1228,FIND(",",$C1228)-1))))</f>
        <v/>
      </c>
      <c r="M1228" s="28">
        <f>IF($H1228="","",DATE(YEAR($H1228),MONTH($H1228),1))</f>
        <v/>
      </c>
      <c r="N1228" s="26">
        <f>IF($H1228="","",TODAY()-$H1228)</f>
        <v/>
      </c>
      <c r="O1228" s="15" t="n"/>
      <c r="P1228" s="15" t="n"/>
      <c r="Q1228" s="15" t="n"/>
      <c r="R1228" s="25" t="n"/>
      <c r="S1228" s="26">
        <f>IF($A1228="","",AND(OR('Assignment Builder'!$B$5="",$B1228='Assignment Builder'!$B$5),OR('Assignment Builder'!$B$6="",ISNUMBER(SEARCH('Assignment Builder'!$B$6,$C1228))),OR('Assignment Builder'!$B$7="",'Assignment Builder'!$B$7=IFERROR(INDEX('Category Dictionary'!$C$5:$C$135,MATCH($L1228,'Category Dictionary'!$D$5:$D$135,0)),"")),OR('Assignment Builder'!$B$8="",$D1228='Assignment Builder'!$B$8),OR('Assignment Builder'!$B$9="",$F1228='Assignment Builder'!$B$9),OR('Assignment Builder'!$B$10="",$O1228='Assignment Builder'!$B$10),OR('Assignment Builder'!$B$11="",$H1228&gt;='Assignment Builder'!$B$11),OR('Assignment Builder'!$B$12="",N($Q1228)&lt;='Assignment Builder'!$B$12)))</f>
        <v/>
      </c>
      <c r="T1228" s="23" t="n"/>
    </row>
    <row r="1229">
      <c r="A1229" s="23" t="n"/>
      <c r="B1229" s="23" t="n"/>
      <c r="C1229" s="24" t="n"/>
      <c r="D1229" s="15" t="n"/>
      <c r="E1229" s="23" t="n"/>
      <c r="F1229" s="15" t="n"/>
      <c r="G1229" s="23" t="n"/>
      <c r="H1229" s="25" t="n"/>
      <c r="I1229" s="15" t="n"/>
      <c r="J1229" s="26">
        <f>IF($A1229="","",LEN($C1229)-LEN(SUBSTITUTE($C1229,",",""))+1)</f>
        <v/>
      </c>
      <c r="K1229" s="26">
        <f>IF($A1229="","",SUMPRODUCT(--ISNUMBER(SEARCH('Category Dictionary'!$D$5:$D$135&amp;"",$C1229)),--('Category Dictionary'!$D$5:$D$135&lt;&gt;"")))</f>
        <v/>
      </c>
      <c r="L1229" s="27">
        <f>IF($A1229="","",TRIM(IF(ISERROR(FIND(",",$C1229)),$C1229,LEFT($C1229,FIND(",",$C1229)-1))))</f>
        <v/>
      </c>
      <c r="M1229" s="28">
        <f>IF($H1229="","",DATE(YEAR($H1229),MONTH($H1229),1))</f>
        <v/>
      </c>
      <c r="N1229" s="26">
        <f>IF($H1229="","",TODAY()-$H1229)</f>
        <v/>
      </c>
      <c r="O1229" s="15" t="n"/>
      <c r="P1229" s="15" t="n"/>
      <c r="Q1229" s="15" t="n"/>
      <c r="R1229" s="25" t="n"/>
      <c r="S1229" s="26">
        <f>IF($A1229="","",AND(OR('Assignment Builder'!$B$5="",$B1229='Assignment Builder'!$B$5),OR('Assignment Builder'!$B$6="",ISNUMBER(SEARCH('Assignment Builder'!$B$6,$C1229))),OR('Assignment Builder'!$B$7="",'Assignment Builder'!$B$7=IFERROR(INDEX('Category Dictionary'!$C$5:$C$135,MATCH($L1229,'Category Dictionary'!$D$5:$D$135,0)),"")),OR('Assignment Builder'!$B$8="",$D1229='Assignment Builder'!$B$8),OR('Assignment Builder'!$B$9="",$F1229='Assignment Builder'!$B$9),OR('Assignment Builder'!$B$10="",$O1229='Assignment Builder'!$B$10),OR('Assignment Builder'!$B$11="",$H1229&gt;='Assignment Builder'!$B$11),OR('Assignment Builder'!$B$12="",N($Q1229)&lt;='Assignment Builder'!$B$12)))</f>
        <v/>
      </c>
      <c r="T1229" s="23" t="n"/>
    </row>
    <row r="1230">
      <c r="A1230" s="23" t="n"/>
      <c r="B1230" s="23" t="n"/>
      <c r="C1230" s="24" t="n"/>
      <c r="D1230" s="15" t="n"/>
      <c r="E1230" s="23" t="n"/>
      <c r="F1230" s="15" t="n"/>
      <c r="G1230" s="23" t="n"/>
      <c r="H1230" s="25" t="n"/>
      <c r="I1230" s="15" t="n"/>
      <c r="J1230" s="26">
        <f>IF($A1230="","",LEN($C1230)-LEN(SUBSTITUTE($C1230,",",""))+1)</f>
        <v/>
      </c>
      <c r="K1230" s="26">
        <f>IF($A1230="","",SUMPRODUCT(--ISNUMBER(SEARCH('Category Dictionary'!$D$5:$D$135&amp;"",$C1230)),--('Category Dictionary'!$D$5:$D$135&lt;&gt;"")))</f>
        <v/>
      </c>
      <c r="L1230" s="27">
        <f>IF($A1230="","",TRIM(IF(ISERROR(FIND(",",$C1230)),$C1230,LEFT($C1230,FIND(",",$C1230)-1))))</f>
        <v/>
      </c>
      <c r="M1230" s="28">
        <f>IF($H1230="","",DATE(YEAR($H1230),MONTH($H1230),1))</f>
        <v/>
      </c>
      <c r="N1230" s="26">
        <f>IF($H1230="","",TODAY()-$H1230)</f>
        <v/>
      </c>
      <c r="O1230" s="15" t="n"/>
      <c r="P1230" s="15" t="n"/>
      <c r="Q1230" s="15" t="n"/>
      <c r="R1230" s="25" t="n"/>
      <c r="S1230" s="26">
        <f>IF($A1230="","",AND(OR('Assignment Builder'!$B$5="",$B1230='Assignment Builder'!$B$5),OR('Assignment Builder'!$B$6="",ISNUMBER(SEARCH('Assignment Builder'!$B$6,$C1230))),OR('Assignment Builder'!$B$7="",'Assignment Builder'!$B$7=IFERROR(INDEX('Category Dictionary'!$C$5:$C$135,MATCH($L1230,'Category Dictionary'!$D$5:$D$135,0)),"")),OR('Assignment Builder'!$B$8="",$D1230='Assignment Builder'!$B$8),OR('Assignment Builder'!$B$9="",$F1230='Assignment Builder'!$B$9),OR('Assignment Builder'!$B$10="",$O1230='Assignment Builder'!$B$10),OR('Assignment Builder'!$B$11="",$H1230&gt;='Assignment Builder'!$B$11),OR('Assignment Builder'!$B$12="",N($Q1230)&lt;='Assignment Builder'!$B$12)))</f>
        <v/>
      </c>
      <c r="T1230" s="23" t="n"/>
    </row>
    <row r="1231">
      <c r="A1231" s="23" t="n"/>
      <c r="B1231" s="23" t="n"/>
      <c r="C1231" s="24" t="n"/>
      <c r="D1231" s="15" t="n"/>
      <c r="E1231" s="23" t="n"/>
      <c r="F1231" s="15" t="n"/>
      <c r="G1231" s="23" t="n"/>
      <c r="H1231" s="25" t="n"/>
      <c r="I1231" s="15" t="n"/>
      <c r="J1231" s="26">
        <f>IF($A1231="","",LEN($C1231)-LEN(SUBSTITUTE($C1231,",",""))+1)</f>
        <v/>
      </c>
      <c r="K1231" s="26">
        <f>IF($A1231="","",SUMPRODUCT(--ISNUMBER(SEARCH('Category Dictionary'!$D$5:$D$135&amp;"",$C1231)),--('Category Dictionary'!$D$5:$D$135&lt;&gt;"")))</f>
        <v/>
      </c>
      <c r="L1231" s="27">
        <f>IF($A1231="","",TRIM(IF(ISERROR(FIND(",",$C1231)),$C1231,LEFT($C1231,FIND(",",$C1231)-1))))</f>
        <v/>
      </c>
      <c r="M1231" s="28">
        <f>IF($H1231="","",DATE(YEAR($H1231),MONTH($H1231),1))</f>
        <v/>
      </c>
      <c r="N1231" s="26">
        <f>IF($H1231="","",TODAY()-$H1231)</f>
        <v/>
      </c>
      <c r="O1231" s="15" t="n"/>
      <c r="P1231" s="15" t="n"/>
      <c r="Q1231" s="15" t="n"/>
      <c r="R1231" s="25" t="n"/>
      <c r="S1231" s="26">
        <f>IF($A1231="","",AND(OR('Assignment Builder'!$B$5="",$B1231='Assignment Builder'!$B$5),OR('Assignment Builder'!$B$6="",ISNUMBER(SEARCH('Assignment Builder'!$B$6,$C1231))),OR('Assignment Builder'!$B$7="",'Assignment Builder'!$B$7=IFERROR(INDEX('Category Dictionary'!$C$5:$C$135,MATCH($L1231,'Category Dictionary'!$D$5:$D$135,0)),"")),OR('Assignment Builder'!$B$8="",$D1231='Assignment Builder'!$B$8),OR('Assignment Builder'!$B$9="",$F1231='Assignment Builder'!$B$9),OR('Assignment Builder'!$B$10="",$O1231='Assignment Builder'!$B$10),OR('Assignment Builder'!$B$11="",$H1231&gt;='Assignment Builder'!$B$11),OR('Assignment Builder'!$B$12="",N($Q1231)&lt;='Assignment Builder'!$B$12)))</f>
        <v/>
      </c>
      <c r="T1231" s="23" t="n"/>
    </row>
    <row r="1232">
      <c r="A1232" s="23" t="n"/>
      <c r="B1232" s="23" t="n"/>
      <c r="C1232" s="24" t="n"/>
      <c r="D1232" s="15" t="n"/>
      <c r="E1232" s="23" t="n"/>
      <c r="F1232" s="15" t="n"/>
      <c r="G1232" s="23" t="n"/>
      <c r="H1232" s="25" t="n"/>
      <c r="I1232" s="15" t="n"/>
      <c r="J1232" s="26">
        <f>IF($A1232="","",LEN($C1232)-LEN(SUBSTITUTE($C1232,",",""))+1)</f>
        <v/>
      </c>
      <c r="K1232" s="26">
        <f>IF($A1232="","",SUMPRODUCT(--ISNUMBER(SEARCH('Category Dictionary'!$D$5:$D$135&amp;"",$C1232)),--('Category Dictionary'!$D$5:$D$135&lt;&gt;"")))</f>
        <v/>
      </c>
      <c r="L1232" s="27">
        <f>IF($A1232="","",TRIM(IF(ISERROR(FIND(",",$C1232)),$C1232,LEFT($C1232,FIND(",",$C1232)-1))))</f>
        <v/>
      </c>
      <c r="M1232" s="28">
        <f>IF($H1232="","",DATE(YEAR($H1232),MONTH($H1232),1))</f>
        <v/>
      </c>
      <c r="N1232" s="26">
        <f>IF($H1232="","",TODAY()-$H1232)</f>
        <v/>
      </c>
      <c r="O1232" s="15" t="n"/>
      <c r="P1232" s="15" t="n"/>
      <c r="Q1232" s="15" t="n"/>
      <c r="R1232" s="25" t="n"/>
      <c r="S1232" s="26">
        <f>IF($A1232="","",AND(OR('Assignment Builder'!$B$5="",$B1232='Assignment Builder'!$B$5),OR('Assignment Builder'!$B$6="",ISNUMBER(SEARCH('Assignment Builder'!$B$6,$C1232))),OR('Assignment Builder'!$B$7="",'Assignment Builder'!$B$7=IFERROR(INDEX('Category Dictionary'!$C$5:$C$135,MATCH($L1232,'Category Dictionary'!$D$5:$D$135,0)),"")),OR('Assignment Builder'!$B$8="",$D1232='Assignment Builder'!$B$8),OR('Assignment Builder'!$B$9="",$F1232='Assignment Builder'!$B$9),OR('Assignment Builder'!$B$10="",$O1232='Assignment Builder'!$B$10),OR('Assignment Builder'!$B$11="",$H1232&gt;='Assignment Builder'!$B$11),OR('Assignment Builder'!$B$12="",N($Q1232)&lt;='Assignment Builder'!$B$12)))</f>
        <v/>
      </c>
      <c r="T1232" s="23" t="n"/>
    </row>
    <row r="1233">
      <c r="A1233" s="23" t="n"/>
      <c r="B1233" s="23" t="n"/>
      <c r="C1233" s="24" t="n"/>
      <c r="D1233" s="15" t="n"/>
      <c r="E1233" s="23" t="n"/>
      <c r="F1233" s="15" t="n"/>
      <c r="G1233" s="23" t="n"/>
      <c r="H1233" s="25" t="n"/>
      <c r="I1233" s="15" t="n"/>
      <c r="J1233" s="26">
        <f>IF($A1233="","",LEN($C1233)-LEN(SUBSTITUTE($C1233,",",""))+1)</f>
        <v/>
      </c>
      <c r="K1233" s="26">
        <f>IF($A1233="","",SUMPRODUCT(--ISNUMBER(SEARCH('Category Dictionary'!$D$5:$D$135&amp;"",$C1233)),--('Category Dictionary'!$D$5:$D$135&lt;&gt;"")))</f>
        <v/>
      </c>
      <c r="L1233" s="27">
        <f>IF($A1233="","",TRIM(IF(ISERROR(FIND(",",$C1233)),$C1233,LEFT($C1233,FIND(",",$C1233)-1))))</f>
        <v/>
      </c>
      <c r="M1233" s="28">
        <f>IF($H1233="","",DATE(YEAR($H1233),MONTH($H1233),1))</f>
        <v/>
      </c>
      <c r="N1233" s="26">
        <f>IF($H1233="","",TODAY()-$H1233)</f>
        <v/>
      </c>
      <c r="O1233" s="15" t="n"/>
      <c r="P1233" s="15" t="n"/>
      <c r="Q1233" s="15" t="n"/>
      <c r="R1233" s="25" t="n"/>
      <c r="S1233" s="26">
        <f>IF($A1233="","",AND(OR('Assignment Builder'!$B$5="",$B1233='Assignment Builder'!$B$5),OR('Assignment Builder'!$B$6="",ISNUMBER(SEARCH('Assignment Builder'!$B$6,$C1233))),OR('Assignment Builder'!$B$7="",'Assignment Builder'!$B$7=IFERROR(INDEX('Category Dictionary'!$C$5:$C$135,MATCH($L1233,'Category Dictionary'!$D$5:$D$135,0)),"")),OR('Assignment Builder'!$B$8="",$D1233='Assignment Builder'!$B$8),OR('Assignment Builder'!$B$9="",$F1233='Assignment Builder'!$B$9),OR('Assignment Builder'!$B$10="",$O1233='Assignment Builder'!$B$10),OR('Assignment Builder'!$B$11="",$H1233&gt;='Assignment Builder'!$B$11),OR('Assignment Builder'!$B$12="",N($Q1233)&lt;='Assignment Builder'!$B$12)))</f>
        <v/>
      </c>
      <c r="T1233" s="23" t="n"/>
    </row>
    <row r="1234">
      <c r="A1234" s="23" t="n"/>
      <c r="B1234" s="23" t="n"/>
      <c r="C1234" s="24" t="n"/>
      <c r="D1234" s="15" t="n"/>
      <c r="E1234" s="23" t="n"/>
      <c r="F1234" s="15" t="n"/>
      <c r="G1234" s="23" t="n"/>
      <c r="H1234" s="25" t="n"/>
      <c r="I1234" s="15" t="n"/>
      <c r="J1234" s="26">
        <f>IF($A1234="","",LEN($C1234)-LEN(SUBSTITUTE($C1234,",",""))+1)</f>
        <v/>
      </c>
      <c r="K1234" s="26">
        <f>IF($A1234="","",SUMPRODUCT(--ISNUMBER(SEARCH('Category Dictionary'!$D$5:$D$135&amp;"",$C1234)),--('Category Dictionary'!$D$5:$D$135&lt;&gt;"")))</f>
        <v/>
      </c>
      <c r="L1234" s="27">
        <f>IF($A1234="","",TRIM(IF(ISERROR(FIND(",",$C1234)),$C1234,LEFT($C1234,FIND(",",$C1234)-1))))</f>
        <v/>
      </c>
      <c r="M1234" s="28">
        <f>IF($H1234="","",DATE(YEAR($H1234),MONTH($H1234),1))</f>
        <v/>
      </c>
      <c r="N1234" s="26">
        <f>IF($H1234="","",TODAY()-$H1234)</f>
        <v/>
      </c>
      <c r="O1234" s="15" t="n"/>
      <c r="P1234" s="15" t="n"/>
      <c r="Q1234" s="15" t="n"/>
      <c r="R1234" s="25" t="n"/>
      <c r="S1234" s="26">
        <f>IF($A1234="","",AND(OR('Assignment Builder'!$B$5="",$B1234='Assignment Builder'!$B$5),OR('Assignment Builder'!$B$6="",ISNUMBER(SEARCH('Assignment Builder'!$B$6,$C1234))),OR('Assignment Builder'!$B$7="",'Assignment Builder'!$B$7=IFERROR(INDEX('Category Dictionary'!$C$5:$C$135,MATCH($L1234,'Category Dictionary'!$D$5:$D$135,0)),"")),OR('Assignment Builder'!$B$8="",$D1234='Assignment Builder'!$B$8),OR('Assignment Builder'!$B$9="",$F1234='Assignment Builder'!$B$9),OR('Assignment Builder'!$B$10="",$O1234='Assignment Builder'!$B$10),OR('Assignment Builder'!$B$11="",$H1234&gt;='Assignment Builder'!$B$11),OR('Assignment Builder'!$B$12="",N($Q1234)&lt;='Assignment Builder'!$B$12)))</f>
        <v/>
      </c>
      <c r="T1234" s="23" t="n"/>
    </row>
    <row r="1235">
      <c r="A1235" s="23" t="n"/>
      <c r="B1235" s="23" t="n"/>
      <c r="C1235" s="24" t="n"/>
      <c r="D1235" s="15" t="n"/>
      <c r="E1235" s="23" t="n"/>
      <c r="F1235" s="15" t="n"/>
      <c r="G1235" s="23" t="n"/>
      <c r="H1235" s="25" t="n"/>
      <c r="I1235" s="15" t="n"/>
      <c r="J1235" s="26">
        <f>IF($A1235="","",LEN($C1235)-LEN(SUBSTITUTE($C1235,",",""))+1)</f>
        <v/>
      </c>
      <c r="K1235" s="26">
        <f>IF($A1235="","",SUMPRODUCT(--ISNUMBER(SEARCH('Category Dictionary'!$D$5:$D$135&amp;"",$C1235)),--('Category Dictionary'!$D$5:$D$135&lt;&gt;"")))</f>
        <v/>
      </c>
      <c r="L1235" s="27">
        <f>IF($A1235="","",TRIM(IF(ISERROR(FIND(",",$C1235)),$C1235,LEFT($C1235,FIND(",",$C1235)-1))))</f>
        <v/>
      </c>
      <c r="M1235" s="28">
        <f>IF($H1235="","",DATE(YEAR($H1235),MONTH($H1235),1))</f>
        <v/>
      </c>
      <c r="N1235" s="26">
        <f>IF($H1235="","",TODAY()-$H1235)</f>
        <v/>
      </c>
      <c r="O1235" s="15" t="n"/>
      <c r="P1235" s="15" t="n"/>
      <c r="Q1235" s="15" t="n"/>
      <c r="R1235" s="25" t="n"/>
      <c r="S1235" s="26">
        <f>IF($A1235="","",AND(OR('Assignment Builder'!$B$5="",$B1235='Assignment Builder'!$B$5),OR('Assignment Builder'!$B$6="",ISNUMBER(SEARCH('Assignment Builder'!$B$6,$C1235))),OR('Assignment Builder'!$B$7="",'Assignment Builder'!$B$7=IFERROR(INDEX('Category Dictionary'!$C$5:$C$135,MATCH($L1235,'Category Dictionary'!$D$5:$D$135,0)),"")),OR('Assignment Builder'!$B$8="",$D1235='Assignment Builder'!$B$8),OR('Assignment Builder'!$B$9="",$F1235='Assignment Builder'!$B$9),OR('Assignment Builder'!$B$10="",$O1235='Assignment Builder'!$B$10),OR('Assignment Builder'!$B$11="",$H1235&gt;='Assignment Builder'!$B$11),OR('Assignment Builder'!$B$12="",N($Q1235)&lt;='Assignment Builder'!$B$12)))</f>
        <v/>
      </c>
      <c r="T1235" s="23" t="n"/>
    </row>
    <row r="1236">
      <c r="A1236" s="23" t="n"/>
      <c r="B1236" s="23" t="n"/>
      <c r="C1236" s="24" t="n"/>
      <c r="D1236" s="15" t="n"/>
      <c r="E1236" s="23" t="n"/>
      <c r="F1236" s="15" t="n"/>
      <c r="G1236" s="23" t="n"/>
      <c r="H1236" s="25" t="n"/>
      <c r="I1236" s="15" t="n"/>
      <c r="J1236" s="26">
        <f>IF($A1236="","",LEN($C1236)-LEN(SUBSTITUTE($C1236,",",""))+1)</f>
        <v/>
      </c>
      <c r="K1236" s="26">
        <f>IF($A1236="","",SUMPRODUCT(--ISNUMBER(SEARCH('Category Dictionary'!$D$5:$D$135&amp;"",$C1236)),--('Category Dictionary'!$D$5:$D$135&lt;&gt;"")))</f>
        <v/>
      </c>
      <c r="L1236" s="27">
        <f>IF($A1236="","",TRIM(IF(ISERROR(FIND(",",$C1236)),$C1236,LEFT($C1236,FIND(",",$C1236)-1))))</f>
        <v/>
      </c>
      <c r="M1236" s="28">
        <f>IF($H1236="","",DATE(YEAR($H1236),MONTH($H1236),1))</f>
        <v/>
      </c>
      <c r="N1236" s="26">
        <f>IF($H1236="","",TODAY()-$H1236)</f>
        <v/>
      </c>
      <c r="O1236" s="15" t="n"/>
      <c r="P1236" s="15" t="n"/>
      <c r="Q1236" s="15" t="n"/>
      <c r="R1236" s="25" t="n"/>
      <c r="S1236" s="26">
        <f>IF($A1236="","",AND(OR('Assignment Builder'!$B$5="",$B1236='Assignment Builder'!$B$5),OR('Assignment Builder'!$B$6="",ISNUMBER(SEARCH('Assignment Builder'!$B$6,$C1236))),OR('Assignment Builder'!$B$7="",'Assignment Builder'!$B$7=IFERROR(INDEX('Category Dictionary'!$C$5:$C$135,MATCH($L1236,'Category Dictionary'!$D$5:$D$135,0)),"")),OR('Assignment Builder'!$B$8="",$D1236='Assignment Builder'!$B$8),OR('Assignment Builder'!$B$9="",$F1236='Assignment Builder'!$B$9),OR('Assignment Builder'!$B$10="",$O1236='Assignment Builder'!$B$10),OR('Assignment Builder'!$B$11="",$H1236&gt;='Assignment Builder'!$B$11),OR('Assignment Builder'!$B$12="",N($Q1236)&lt;='Assignment Builder'!$B$12)))</f>
        <v/>
      </c>
      <c r="T1236" s="23" t="n"/>
    </row>
    <row r="1237">
      <c r="A1237" s="23" t="n"/>
      <c r="B1237" s="23" t="n"/>
      <c r="C1237" s="24" t="n"/>
      <c r="D1237" s="15" t="n"/>
      <c r="E1237" s="23" t="n"/>
      <c r="F1237" s="15" t="n"/>
      <c r="G1237" s="23" t="n"/>
      <c r="H1237" s="25" t="n"/>
      <c r="I1237" s="15" t="n"/>
      <c r="J1237" s="26">
        <f>IF($A1237="","",LEN($C1237)-LEN(SUBSTITUTE($C1237,",",""))+1)</f>
        <v/>
      </c>
      <c r="K1237" s="26">
        <f>IF($A1237="","",SUMPRODUCT(--ISNUMBER(SEARCH('Category Dictionary'!$D$5:$D$135&amp;"",$C1237)),--('Category Dictionary'!$D$5:$D$135&lt;&gt;"")))</f>
        <v/>
      </c>
      <c r="L1237" s="27">
        <f>IF($A1237="","",TRIM(IF(ISERROR(FIND(",",$C1237)),$C1237,LEFT($C1237,FIND(",",$C1237)-1))))</f>
        <v/>
      </c>
      <c r="M1237" s="28">
        <f>IF($H1237="","",DATE(YEAR($H1237),MONTH($H1237),1))</f>
        <v/>
      </c>
      <c r="N1237" s="26">
        <f>IF($H1237="","",TODAY()-$H1237)</f>
        <v/>
      </c>
      <c r="O1237" s="15" t="n"/>
      <c r="P1237" s="15" t="n"/>
      <c r="Q1237" s="15" t="n"/>
      <c r="R1237" s="25" t="n"/>
      <c r="S1237" s="26">
        <f>IF($A1237="","",AND(OR('Assignment Builder'!$B$5="",$B1237='Assignment Builder'!$B$5),OR('Assignment Builder'!$B$6="",ISNUMBER(SEARCH('Assignment Builder'!$B$6,$C1237))),OR('Assignment Builder'!$B$7="",'Assignment Builder'!$B$7=IFERROR(INDEX('Category Dictionary'!$C$5:$C$135,MATCH($L1237,'Category Dictionary'!$D$5:$D$135,0)),"")),OR('Assignment Builder'!$B$8="",$D1237='Assignment Builder'!$B$8),OR('Assignment Builder'!$B$9="",$F1237='Assignment Builder'!$B$9),OR('Assignment Builder'!$B$10="",$O1237='Assignment Builder'!$B$10),OR('Assignment Builder'!$B$11="",$H1237&gt;='Assignment Builder'!$B$11),OR('Assignment Builder'!$B$12="",N($Q1237)&lt;='Assignment Builder'!$B$12)))</f>
        <v/>
      </c>
      <c r="T1237" s="23" t="n"/>
    </row>
    <row r="1238">
      <c r="A1238" s="23" t="n"/>
      <c r="B1238" s="23" t="n"/>
      <c r="C1238" s="24" t="n"/>
      <c r="D1238" s="15" t="n"/>
      <c r="E1238" s="23" t="n"/>
      <c r="F1238" s="15" t="n"/>
      <c r="G1238" s="23" t="n"/>
      <c r="H1238" s="25" t="n"/>
      <c r="I1238" s="15" t="n"/>
      <c r="J1238" s="26">
        <f>IF($A1238="","",LEN($C1238)-LEN(SUBSTITUTE($C1238,",",""))+1)</f>
        <v/>
      </c>
      <c r="K1238" s="26">
        <f>IF($A1238="","",SUMPRODUCT(--ISNUMBER(SEARCH('Category Dictionary'!$D$5:$D$135&amp;"",$C1238)),--('Category Dictionary'!$D$5:$D$135&lt;&gt;"")))</f>
        <v/>
      </c>
      <c r="L1238" s="27">
        <f>IF($A1238="","",TRIM(IF(ISERROR(FIND(",",$C1238)),$C1238,LEFT($C1238,FIND(",",$C1238)-1))))</f>
        <v/>
      </c>
      <c r="M1238" s="28">
        <f>IF($H1238="","",DATE(YEAR($H1238),MONTH($H1238),1))</f>
        <v/>
      </c>
      <c r="N1238" s="26">
        <f>IF($H1238="","",TODAY()-$H1238)</f>
        <v/>
      </c>
      <c r="O1238" s="15" t="n"/>
      <c r="P1238" s="15" t="n"/>
      <c r="Q1238" s="15" t="n"/>
      <c r="R1238" s="25" t="n"/>
      <c r="S1238" s="26">
        <f>IF($A1238="","",AND(OR('Assignment Builder'!$B$5="",$B1238='Assignment Builder'!$B$5),OR('Assignment Builder'!$B$6="",ISNUMBER(SEARCH('Assignment Builder'!$B$6,$C1238))),OR('Assignment Builder'!$B$7="",'Assignment Builder'!$B$7=IFERROR(INDEX('Category Dictionary'!$C$5:$C$135,MATCH($L1238,'Category Dictionary'!$D$5:$D$135,0)),"")),OR('Assignment Builder'!$B$8="",$D1238='Assignment Builder'!$B$8),OR('Assignment Builder'!$B$9="",$F1238='Assignment Builder'!$B$9),OR('Assignment Builder'!$B$10="",$O1238='Assignment Builder'!$B$10),OR('Assignment Builder'!$B$11="",$H1238&gt;='Assignment Builder'!$B$11),OR('Assignment Builder'!$B$12="",N($Q1238)&lt;='Assignment Builder'!$B$12)))</f>
        <v/>
      </c>
      <c r="T1238" s="23" t="n"/>
    </row>
    <row r="1239">
      <c r="A1239" s="23" t="n"/>
      <c r="B1239" s="23" t="n"/>
      <c r="C1239" s="24" t="n"/>
      <c r="D1239" s="15" t="n"/>
      <c r="E1239" s="23" t="n"/>
      <c r="F1239" s="15" t="n"/>
      <c r="G1239" s="23" t="n"/>
      <c r="H1239" s="25" t="n"/>
      <c r="I1239" s="15" t="n"/>
      <c r="J1239" s="26">
        <f>IF($A1239="","",LEN($C1239)-LEN(SUBSTITUTE($C1239,",",""))+1)</f>
        <v/>
      </c>
      <c r="K1239" s="26">
        <f>IF($A1239="","",SUMPRODUCT(--ISNUMBER(SEARCH('Category Dictionary'!$D$5:$D$135&amp;"",$C1239)),--('Category Dictionary'!$D$5:$D$135&lt;&gt;"")))</f>
        <v/>
      </c>
      <c r="L1239" s="27">
        <f>IF($A1239="","",TRIM(IF(ISERROR(FIND(",",$C1239)),$C1239,LEFT($C1239,FIND(",",$C1239)-1))))</f>
        <v/>
      </c>
      <c r="M1239" s="28">
        <f>IF($H1239="","",DATE(YEAR($H1239),MONTH($H1239),1))</f>
        <v/>
      </c>
      <c r="N1239" s="26">
        <f>IF($H1239="","",TODAY()-$H1239)</f>
        <v/>
      </c>
      <c r="O1239" s="15" t="n"/>
      <c r="P1239" s="15" t="n"/>
      <c r="Q1239" s="15" t="n"/>
      <c r="R1239" s="25" t="n"/>
      <c r="S1239" s="26">
        <f>IF($A1239="","",AND(OR('Assignment Builder'!$B$5="",$B1239='Assignment Builder'!$B$5),OR('Assignment Builder'!$B$6="",ISNUMBER(SEARCH('Assignment Builder'!$B$6,$C1239))),OR('Assignment Builder'!$B$7="",'Assignment Builder'!$B$7=IFERROR(INDEX('Category Dictionary'!$C$5:$C$135,MATCH($L1239,'Category Dictionary'!$D$5:$D$135,0)),"")),OR('Assignment Builder'!$B$8="",$D1239='Assignment Builder'!$B$8),OR('Assignment Builder'!$B$9="",$F1239='Assignment Builder'!$B$9),OR('Assignment Builder'!$B$10="",$O1239='Assignment Builder'!$B$10),OR('Assignment Builder'!$B$11="",$H1239&gt;='Assignment Builder'!$B$11),OR('Assignment Builder'!$B$12="",N($Q1239)&lt;='Assignment Builder'!$B$12)))</f>
        <v/>
      </c>
      <c r="T1239" s="23" t="n"/>
    </row>
    <row r="1240">
      <c r="A1240" s="23" t="n"/>
      <c r="B1240" s="23" t="n"/>
      <c r="C1240" s="24" t="n"/>
      <c r="D1240" s="15" t="n"/>
      <c r="E1240" s="23" t="n"/>
      <c r="F1240" s="15" t="n"/>
      <c r="G1240" s="23" t="n"/>
      <c r="H1240" s="25" t="n"/>
      <c r="I1240" s="15" t="n"/>
      <c r="J1240" s="26">
        <f>IF($A1240="","",LEN($C1240)-LEN(SUBSTITUTE($C1240,",",""))+1)</f>
        <v/>
      </c>
      <c r="K1240" s="26">
        <f>IF($A1240="","",SUMPRODUCT(--ISNUMBER(SEARCH('Category Dictionary'!$D$5:$D$135&amp;"",$C1240)),--('Category Dictionary'!$D$5:$D$135&lt;&gt;"")))</f>
        <v/>
      </c>
      <c r="L1240" s="27">
        <f>IF($A1240="","",TRIM(IF(ISERROR(FIND(",",$C1240)),$C1240,LEFT($C1240,FIND(",",$C1240)-1))))</f>
        <v/>
      </c>
      <c r="M1240" s="28">
        <f>IF($H1240="","",DATE(YEAR($H1240),MONTH($H1240),1))</f>
        <v/>
      </c>
      <c r="N1240" s="26">
        <f>IF($H1240="","",TODAY()-$H1240)</f>
        <v/>
      </c>
      <c r="O1240" s="15" t="n"/>
      <c r="P1240" s="15" t="n"/>
      <c r="Q1240" s="15" t="n"/>
      <c r="R1240" s="25" t="n"/>
      <c r="S1240" s="26">
        <f>IF($A1240="","",AND(OR('Assignment Builder'!$B$5="",$B1240='Assignment Builder'!$B$5),OR('Assignment Builder'!$B$6="",ISNUMBER(SEARCH('Assignment Builder'!$B$6,$C1240))),OR('Assignment Builder'!$B$7="",'Assignment Builder'!$B$7=IFERROR(INDEX('Category Dictionary'!$C$5:$C$135,MATCH($L1240,'Category Dictionary'!$D$5:$D$135,0)),"")),OR('Assignment Builder'!$B$8="",$D1240='Assignment Builder'!$B$8),OR('Assignment Builder'!$B$9="",$F1240='Assignment Builder'!$B$9),OR('Assignment Builder'!$B$10="",$O1240='Assignment Builder'!$B$10),OR('Assignment Builder'!$B$11="",$H1240&gt;='Assignment Builder'!$B$11),OR('Assignment Builder'!$B$12="",N($Q1240)&lt;='Assignment Builder'!$B$12)))</f>
        <v/>
      </c>
      <c r="T1240" s="23" t="n"/>
    </row>
    <row r="1241">
      <c r="A1241" s="23" t="n"/>
      <c r="B1241" s="23" t="n"/>
      <c r="C1241" s="24" t="n"/>
      <c r="D1241" s="15" t="n"/>
      <c r="E1241" s="23" t="n"/>
      <c r="F1241" s="15" t="n"/>
      <c r="G1241" s="23" t="n"/>
      <c r="H1241" s="25" t="n"/>
      <c r="I1241" s="15" t="n"/>
      <c r="J1241" s="26">
        <f>IF($A1241="","",LEN($C1241)-LEN(SUBSTITUTE($C1241,",",""))+1)</f>
        <v/>
      </c>
      <c r="K1241" s="26">
        <f>IF($A1241="","",SUMPRODUCT(--ISNUMBER(SEARCH('Category Dictionary'!$D$5:$D$135&amp;"",$C1241)),--('Category Dictionary'!$D$5:$D$135&lt;&gt;"")))</f>
        <v/>
      </c>
      <c r="L1241" s="27">
        <f>IF($A1241="","",TRIM(IF(ISERROR(FIND(",",$C1241)),$C1241,LEFT($C1241,FIND(",",$C1241)-1))))</f>
        <v/>
      </c>
      <c r="M1241" s="28">
        <f>IF($H1241="","",DATE(YEAR($H1241),MONTH($H1241),1))</f>
        <v/>
      </c>
      <c r="N1241" s="26">
        <f>IF($H1241="","",TODAY()-$H1241)</f>
        <v/>
      </c>
      <c r="O1241" s="15" t="n"/>
      <c r="P1241" s="15" t="n"/>
      <c r="Q1241" s="15" t="n"/>
      <c r="R1241" s="25" t="n"/>
      <c r="S1241" s="26">
        <f>IF($A1241="","",AND(OR('Assignment Builder'!$B$5="",$B1241='Assignment Builder'!$B$5),OR('Assignment Builder'!$B$6="",ISNUMBER(SEARCH('Assignment Builder'!$B$6,$C1241))),OR('Assignment Builder'!$B$7="",'Assignment Builder'!$B$7=IFERROR(INDEX('Category Dictionary'!$C$5:$C$135,MATCH($L1241,'Category Dictionary'!$D$5:$D$135,0)),"")),OR('Assignment Builder'!$B$8="",$D1241='Assignment Builder'!$B$8),OR('Assignment Builder'!$B$9="",$F1241='Assignment Builder'!$B$9),OR('Assignment Builder'!$B$10="",$O1241='Assignment Builder'!$B$10),OR('Assignment Builder'!$B$11="",$H1241&gt;='Assignment Builder'!$B$11),OR('Assignment Builder'!$B$12="",N($Q1241)&lt;='Assignment Builder'!$B$12)))</f>
        <v/>
      </c>
      <c r="T1241" s="23" t="n"/>
    </row>
    <row r="1242">
      <c r="A1242" s="23" t="n"/>
      <c r="B1242" s="23" t="n"/>
      <c r="C1242" s="24" t="n"/>
      <c r="D1242" s="15" t="n"/>
      <c r="E1242" s="23" t="n"/>
      <c r="F1242" s="15" t="n"/>
      <c r="G1242" s="23" t="n"/>
      <c r="H1242" s="25" t="n"/>
      <c r="I1242" s="15" t="n"/>
      <c r="J1242" s="26">
        <f>IF($A1242="","",LEN($C1242)-LEN(SUBSTITUTE($C1242,",",""))+1)</f>
        <v/>
      </c>
      <c r="K1242" s="26">
        <f>IF($A1242="","",SUMPRODUCT(--ISNUMBER(SEARCH('Category Dictionary'!$D$5:$D$135&amp;"",$C1242)),--('Category Dictionary'!$D$5:$D$135&lt;&gt;"")))</f>
        <v/>
      </c>
      <c r="L1242" s="27">
        <f>IF($A1242="","",TRIM(IF(ISERROR(FIND(",",$C1242)),$C1242,LEFT($C1242,FIND(",",$C1242)-1))))</f>
        <v/>
      </c>
      <c r="M1242" s="28">
        <f>IF($H1242="","",DATE(YEAR($H1242),MONTH($H1242),1))</f>
        <v/>
      </c>
      <c r="N1242" s="26">
        <f>IF($H1242="","",TODAY()-$H1242)</f>
        <v/>
      </c>
      <c r="O1242" s="15" t="n"/>
      <c r="P1242" s="15" t="n"/>
      <c r="Q1242" s="15" t="n"/>
      <c r="R1242" s="25" t="n"/>
      <c r="S1242" s="26">
        <f>IF($A1242="","",AND(OR('Assignment Builder'!$B$5="",$B1242='Assignment Builder'!$B$5),OR('Assignment Builder'!$B$6="",ISNUMBER(SEARCH('Assignment Builder'!$B$6,$C1242))),OR('Assignment Builder'!$B$7="",'Assignment Builder'!$B$7=IFERROR(INDEX('Category Dictionary'!$C$5:$C$135,MATCH($L1242,'Category Dictionary'!$D$5:$D$135,0)),"")),OR('Assignment Builder'!$B$8="",$D1242='Assignment Builder'!$B$8),OR('Assignment Builder'!$B$9="",$F1242='Assignment Builder'!$B$9),OR('Assignment Builder'!$B$10="",$O1242='Assignment Builder'!$B$10),OR('Assignment Builder'!$B$11="",$H1242&gt;='Assignment Builder'!$B$11),OR('Assignment Builder'!$B$12="",N($Q1242)&lt;='Assignment Builder'!$B$12)))</f>
        <v/>
      </c>
      <c r="T1242" s="23" t="n"/>
    </row>
    <row r="1243">
      <c r="A1243" s="23" t="n"/>
      <c r="B1243" s="23" t="n"/>
      <c r="C1243" s="24" t="n"/>
      <c r="D1243" s="15" t="n"/>
      <c r="E1243" s="23" t="n"/>
      <c r="F1243" s="15" t="n"/>
      <c r="G1243" s="23" t="n"/>
      <c r="H1243" s="25" t="n"/>
      <c r="I1243" s="15" t="n"/>
      <c r="J1243" s="26">
        <f>IF($A1243="","",LEN($C1243)-LEN(SUBSTITUTE($C1243,",",""))+1)</f>
        <v/>
      </c>
      <c r="K1243" s="26">
        <f>IF($A1243="","",SUMPRODUCT(--ISNUMBER(SEARCH('Category Dictionary'!$D$5:$D$135&amp;"",$C1243)),--('Category Dictionary'!$D$5:$D$135&lt;&gt;"")))</f>
        <v/>
      </c>
      <c r="L1243" s="27">
        <f>IF($A1243="","",TRIM(IF(ISERROR(FIND(",",$C1243)),$C1243,LEFT($C1243,FIND(",",$C1243)-1))))</f>
        <v/>
      </c>
      <c r="M1243" s="28">
        <f>IF($H1243="","",DATE(YEAR($H1243),MONTH($H1243),1))</f>
        <v/>
      </c>
      <c r="N1243" s="26">
        <f>IF($H1243="","",TODAY()-$H1243)</f>
        <v/>
      </c>
      <c r="O1243" s="15" t="n"/>
      <c r="P1243" s="15" t="n"/>
      <c r="Q1243" s="15" t="n"/>
      <c r="R1243" s="25" t="n"/>
      <c r="S1243" s="26">
        <f>IF($A1243="","",AND(OR('Assignment Builder'!$B$5="",$B1243='Assignment Builder'!$B$5),OR('Assignment Builder'!$B$6="",ISNUMBER(SEARCH('Assignment Builder'!$B$6,$C1243))),OR('Assignment Builder'!$B$7="",'Assignment Builder'!$B$7=IFERROR(INDEX('Category Dictionary'!$C$5:$C$135,MATCH($L1243,'Category Dictionary'!$D$5:$D$135,0)),"")),OR('Assignment Builder'!$B$8="",$D1243='Assignment Builder'!$B$8),OR('Assignment Builder'!$B$9="",$F1243='Assignment Builder'!$B$9),OR('Assignment Builder'!$B$10="",$O1243='Assignment Builder'!$B$10),OR('Assignment Builder'!$B$11="",$H1243&gt;='Assignment Builder'!$B$11),OR('Assignment Builder'!$B$12="",N($Q1243)&lt;='Assignment Builder'!$B$12)))</f>
        <v/>
      </c>
      <c r="T1243" s="23" t="n"/>
    </row>
    <row r="1244">
      <c r="A1244" s="23" t="n"/>
      <c r="B1244" s="23" t="n"/>
      <c r="C1244" s="24" t="n"/>
      <c r="D1244" s="15" t="n"/>
      <c r="E1244" s="23" t="n"/>
      <c r="F1244" s="15" t="n"/>
      <c r="G1244" s="23" t="n"/>
      <c r="H1244" s="25" t="n"/>
      <c r="I1244" s="15" t="n"/>
      <c r="J1244" s="26">
        <f>IF($A1244="","",LEN($C1244)-LEN(SUBSTITUTE($C1244,",",""))+1)</f>
        <v/>
      </c>
      <c r="K1244" s="26">
        <f>IF($A1244="","",SUMPRODUCT(--ISNUMBER(SEARCH('Category Dictionary'!$D$5:$D$135&amp;"",$C1244)),--('Category Dictionary'!$D$5:$D$135&lt;&gt;"")))</f>
        <v/>
      </c>
      <c r="L1244" s="27">
        <f>IF($A1244="","",TRIM(IF(ISERROR(FIND(",",$C1244)),$C1244,LEFT($C1244,FIND(",",$C1244)-1))))</f>
        <v/>
      </c>
      <c r="M1244" s="28">
        <f>IF($H1244="","",DATE(YEAR($H1244),MONTH($H1244),1))</f>
        <v/>
      </c>
      <c r="N1244" s="26">
        <f>IF($H1244="","",TODAY()-$H1244)</f>
        <v/>
      </c>
      <c r="O1244" s="15" t="n"/>
      <c r="P1244" s="15" t="n"/>
      <c r="Q1244" s="15" t="n"/>
      <c r="R1244" s="25" t="n"/>
      <c r="S1244" s="26">
        <f>IF($A1244="","",AND(OR('Assignment Builder'!$B$5="",$B1244='Assignment Builder'!$B$5),OR('Assignment Builder'!$B$6="",ISNUMBER(SEARCH('Assignment Builder'!$B$6,$C1244))),OR('Assignment Builder'!$B$7="",'Assignment Builder'!$B$7=IFERROR(INDEX('Category Dictionary'!$C$5:$C$135,MATCH($L1244,'Category Dictionary'!$D$5:$D$135,0)),"")),OR('Assignment Builder'!$B$8="",$D1244='Assignment Builder'!$B$8),OR('Assignment Builder'!$B$9="",$F1244='Assignment Builder'!$B$9),OR('Assignment Builder'!$B$10="",$O1244='Assignment Builder'!$B$10),OR('Assignment Builder'!$B$11="",$H1244&gt;='Assignment Builder'!$B$11),OR('Assignment Builder'!$B$12="",N($Q1244)&lt;='Assignment Builder'!$B$12)))</f>
        <v/>
      </c>
      <c r="T1244" s="23" t="n"/>
    </row>
    <row r="1245">
      <c r="A1245" s="23" t="n"/>
      <c r="B1245" s="23" t="n"/>
      <c r="C1245" s="24" t="n"/>
      <c r="D1245" s="15" t="n"/>
      <c r="E1245" s="23" t="n"/>
      <c r="F1245" s="15" t="n"/>
      <c r="G1245" s="23" t="n"/>
      <c r="H1245" s="25" t="n"/>
      <c r="I1245" s="15" t="n"/>
      <c r="J1245" s="26">
        <f>IF($A1245="","",LEN($C1245)-LEN(SUBSTITUTE($C1245,",",""))+1)</f>
        <v/>
      </c>
      <c r="K1245" s="26">
        <f>IF($A1245="","",SUMPRODUCT(--ISNUMBER(SEARCH('Category Dictionary'!$D$5:$D$135&amp;"",$C1245)),--('Category Dictionary'!$D$5:$D$135&lt;&gt;"")))</f>
        <v/>
      </c>
      <c r="L1245" s="27">
        <f>IF($A1245="","",TRIM(IF(ISERROR(FIND(",",$C1245)),$C1245,LEFT($C1245,FIND(",",$C1245)-1))))</f>
        <v/>
      </c>
      <c r="M1245" s="28">
        <f>IF($H1245="","",DATE(YEAR($H1245),MONTH($H1245),1))</f>
        <v/>
      </c>
      <c r="N1245" s="26">
        <f>IF($H1245="","",TODAY()-$H1245)</f>
        <v/>
      </c>
      <c r="O1245" s="15" t="n"/>
      <c r="P1245" s="15" t="n"/>
      <c r="Q1245" s="15" t="n"/>
      <c r="R1245" s="25" t="n"/>
      <c r="S1245" s="26">
        <f>IF($A1245="","",AND(OR('Assignment Builder'!$B$5="",$B1245='Assignment Builder'!$B$5),OR('Assignment Builder'!$B$6="",ISNUMBER(SEARCH('Assignment Builder'!$B$6,$C1245))),OR('Assignment Builder'!$B$7="",'Assignment Builder'!$B$7=IFERROR(INDEX('Category Dictionary'!$C$5:$C$135,MATCH($L1245,'Category Dictionary'!$D$5:$D$135,0)),"")),OR('Assignment Builder'!$B$8="",$D1245='Assignment Builder'!$B$8),OR('Assignment Builder'!$B$9="",$F1245='Assignment Builder'!$B$9),OR('Assignment Builder'!$B$10="",$O1245='Assignment Builder'!$B$10),OR('Assignment Builder'!$B$11="",$H1245&gt;='Assignment Builder'!$B$11),OR('Assignment Builder'!$B$12="",N($Q1245)&lt;='Assignment Builder'!$B$12)))</f>
        <v/>
      </c>
      <c r="T1245" s="23" t="n"/>
    </row>
    <row r="1246">
      <c r="A1246" s="23" t="n"/>
      <c r="B1246" s="23" t="n"/>
      <c r="C1246" s="24" t="n"/>
      <c r="D1246" s="15" t="n"/>
      <c r="E1246" s="23" t="n"/>
      <c r="F1246" s="15" t="n"/>
      <c r="G1246" s="23" t="n"/>
      <c r="H1246" s="25" t="n"/>
      <c r="I1246" s="15" t="n"/>
      <c r="J1246" s="26">
        <f>IF($A1246="","",LEN($C1246)-LEN(SUBSTITUTE($C1246,",",""))+1)</f>
        <v/>
      </c>
      <c r="K1246" s="26">
        <f>IF($A1246="","",SUMPRODUCT(--ISNUMBER(SEARCH('Category Dictionary'!$D$5:$D$135&amp;"",$C1246)),--('Category Dictionary'!$D$5:$D$135&lt;&gt;"")))</f>
        <v/>
      </c>
      <c r="L1246" s="27">
        <f>IF($A1246="","",TRIM(IF(ISERROR(FIND(",",$C1246)),$C1246,LEFT($C1246,FIND(",",$C1246)-1))))</f>
        <v/>
      </c>
      <c r="M1246" s="28">
        <f>IF($H1246="","",DATE(YEAR($H1246),MONTH($H1246),1))</f>
        <v/>
      </c>
      <c r="N1246" s="26">
        <f>IF($H1246="","",TODAY()-$H1246)</f>
        <v/>
      </c>
      <c r="O1246" s="15" t="n"/>
      <c r="P1246" s="15" t="n"/>
      <c r="Q1246" s="15" t="n"/>
      <c r="R1246" s="25" t="n"/>
      <c r="S1246" s="26">
        <f>IF($A1246="","",AND(OR('Assignment Builder'!$B$5="",$B1246='Assignment Builder'!$B$5),OR('Assignment Builder'!$B$6="",ISNUMBER(SEARCH('Assignment Builder'!$B$6,$C1246))),OR('Assignment Builder'!$B$7="",'Assignment Builder'!$B$7=IFERROR(INDEX('Category Dictionary'!$C$5:$C$135,MATCH($L1246,'Category Dictionary'!$D$5:$D$135,0)),"")),OR('Assignment Builder'!$B$8="",$D1246='Assignment Builder'!$B$8),OR('Assignment Builder'!$B$9="",$F1246='Assignment Builder'!$B$9),OR('Assignment Builder'!$B$10="",$O1246='Assignment Builder'!$B$10),OR('Assignment Builder'!$B$11="",$H1246&gt;='Assignment Builder'!$B$11),OR('Assignment Builder'!$B$12="",N($Q1246)&lt;='Assignment Builder'!$B$12)))</f>
        <v/>
      </c>
      <c r="T1246" s="23" t="n"/>
    </row>
    <row r="1247">
      <c r="A1247" s="23" t="n"/>
      <c r="B1247" s="23" t="n"/>
      <c r="C1247" s="24" t="n"/>
      <c r="D1247" s="15" t="n"/>
      <c r="E1247" s="23" t="n"/>
      <c r="F1247" s="15" t="n"/>
      <c r="G1247" s="23" t="n"/>
      <c r="H1247" s="25" t="n"/>
      <c r="I1247" s="15" t="n"/>
      <c r="J1247" s="26">
        <f>IF($A1247="","",LEN($C1247)-LEN(SUBSTITUTE($C1247,",",""))+1)</f>
        <v/>
      </c>
      <c r="K1247" s="26">
        <f>IF($A1247="","",SUMPRODUCT(--ISNUMBER(SEARCH('Category Dictionary'!$D$5:$D$135&amp;"",$C1247)),--('Category Dictionary'!$D$5:$D$135&lt;&gt;"")))</f>
        <v/>
      </c>
      <c r="L1247" s="27">
        <f>IF($A1247="","",TRIM(IF(ISERROR(FIND(",",$C1247)),$C1247,LEFT($C1247,FIND(",",$C1247)-1))))</f>
        <v/>
      </c>
      <c r="M1247" s="28">
        <f>IF($H1247="","",DATE(YEAR($H1247),MONTH($H1247),1))</f>
        <v/>
      </c>
      <c r="N1247" s="26">
        <f>IF($H1247="","",TODAY()-$H1247)</f>
        <v/>
      </c>
      <c r="O1247" s="15" t="n"/>
      <c r="P1247" s="15" t="n"/>
      <c r="Q1247" s="15" t="n"/>
      <c r="R1247" s="25" t="n"/>
      <c r="S1247" s="26">
        <f>IF($A1247="","",AND(OR('Assignment Builder'!$B$5="",$B1247='Assignment Builder'!$B$5),OR('Assignment Builder'!$B$6="",ISNUMBER(SEARCH('Assignment Builder'!$B$6,$C1247))),OR('Assignment Builder'!$B$7="",'Assignment Builder'!$B$7=IFERROR(INDEX('Category Dictionary'!$C$5:$C$135,MATCH($L1247,'Category Dictionary'!$D$5:$D$135,0)),"")),OR('Assignment Builder'!$B$8="",$D1247='Assignment Builder'!$B$8),OR('Assignment Builder'!$B$9="",$F1247='Assignment Builder'!$B$9),OR('Assignment Builder'!$B$10="",$O1247='Assignment Builder'!$B$10),OR('Assignment Builder'!$B$11="",$H1247&gt;='Assignment Builder'!$B$11),OR('Assignment Builder'!$B$12="",N($Q1247)&lt;='Assignment Builder'!$B$12)))</f>
        <v/>
      </c>
      <c r="T1247" s="23" t="n"/>
    </row>
    <row r="1248">
      <c r="A1248" s="23" t="n"/>
      <c r="B1248" s="23" t="n"/>
      <c r="C1248" s="24" t="n"/>
      <c r="D1248" s="15" t="n"/>
      <c r="E1248" s="23" t="n"/>
      <c r="F1248" s="15" t="n"/>
      <c r="G1248" s="23" t="n"/>
      <c r="H1248" s="25" t="n"/>
      <c r="I1248" s="15" t="n"/>
      <c r="J1248" s="26">
        <f>IF($A1248="","",LEN($C1248)-LEN(SUBSTITUTE($C1248,",",""))+1)</f>
        <v/>
      </c>
      <c r="K1248" s="26">
        <f>IF($A1248="","",SUMPRODUCT(--ISNUMBER(SEARCH('Category Dictionary'!$D$5:$D$135&amp;"",$C1248)),--('Category Dictionary'!$D$5:$D$135&lt;&gt;"")))</f>
        <v/>
      </c>
      <c r="L1248" s="27">
        <f>IF($A1248="","",TRIM(IF(ISERROR(FIND(",",$C1248)),$C1248,LEFT($C1248,FIND(",",$C1248)-1))))</f>
        <v/>
      </c>
      <c r="M1248" s="28">
        <f>IF($H1248="","",DATE(YEAR($H1248),MONTH($H1248),1))</f>
        <v/>
      </c>
      <c r="N1248" s="26">
        <f>IF($H1248="","",TODAY()-$H1248)</f>
        <v/>
      </c>
      <c r="O1248" s="15" t="n"/>
      <c r="P1248" s="15" t="n"/>
      <c r="Q1248" s="15" t="n"/>
      <c r="R1248" s="25" t="n"/>
      <c r="S1248" s="26">
        <f>IF($A1248="","",AND(OR('Assignment Builder'!$B$5="",$B1248='Assignment Builder'!$B$5),OR('Assignment Builder'!$B$6="",ISNUMBER(SEARCH('Assignment Builder'!$B$6,$C1248))),OR('Assignment Builder'!$B$7="",'Assignment Builder'!$B$7=IFERROR(INDEX('Category Dictionary'!$C$5:$C$135,MATCH($L1248,'Category Dictionary'!$D$5:$D$135,0)),"")),OR('Assignment Builder'!$B$8="",$D1248='Assignment Builder'!$B$8),OR('Assignment Builder'!$B$9="",$F1248='Assignment Builder'!$B$9),OR('Assignment Builder'!$B$10="",$O1248='Assignment Builder'!$B$10),OR('Assignment Builder'!$B$11="",$H1248&gt;='Assignment Builder'!$B$11),OR('Assignment Builder'!$B$12="",N($Q1248)&lt;='Assignment Builder'!$B$12)))</f>
        <v/>
      </c>
      <c r="T1248" s="23" t="n"/>
    </row>
    <row r="1249">
      <c r="A1249" s="23" t="n"/>
      <c r="B1249" s="23" t="n"/>
      <c r="C1249" s="24" t="n"/>
      <c r="D1249" s="15" t="n"/>
      <c r="E1249" s="23" t="n"/>
      <c r="F1249" s="15" t="n"/>
      <c r="G1249" s="23" t="n"/>
      <c r="H1249" s="25" t="n"/>
      <c r="I1249" s="15" t="n"/>
      <c r="J1249" s="26">
        <f>IF($A1249="","",LEN($C1249)-LEN(SUBSTITUTE($C1249,",",""))+1)</f>
        <v/>
      </c>
      <c r="K1249" s="26">
        <f>IF($A1249="","",SUMPRODUCT(--ISNUMBER(SEARCH('Category Dictionary'!$D$5:$D$135&amp;"",$C1249)),--('Category Dictionary'!$D$5:$D$135&lt;&gt;"")))</f>
        <v/>
      </c>
      <c r="L1249" s="27">
        <f>IF($A1249="","",TRIM(IF(ISERROR(FIND(",",$C1249)),$C1249,LEFT($C1249,FIND(",",$C1249)-1))))</f>
        <v/>
      </c>
      <c r="M1249" s="28">
        <f>IF($H1249="","",DATE(YEAR($H1249),MONTH($H1249),1))</f>
        <v/>
      </c>
      <c r="N1249" s="26">
        <f>IF($H1249="","",TODAY()-$H1249)</f>
        <v/>
      </c>
      <c r="O1249" s="15" t="n"/>
      <c r="P1249" s="15" t="n"/>
      <c r="Q1249" s="15" t="n"/>
      <c r="R1249" s="25" t="n"/>
      <c r="S1249" s="26">
        <f>IF($A1249="","",AND(OR('Assignment Builder'!$B$5="",$B1249='Assignment Builder'!$B$5),OR('Assignment Builder'!$B$6="",ISNUMBER(SEARCH('Assignment Builder'!$B$6,$C1249))),OR('Assignment Builder'!$B$7="",'Assignment Builder'!$B$7=IFERROR(INDEX('Category Dictionary'!$C$5:$C$135,MATCH($L1249,'Category Dictionary'!$D$5:$D$135,0)),"")),OR('Assignment Builder'!$B$8="",$D1249='Assignment Builder'!$B$8),OR('Assignment Builder'!$B$9="",$F1249='Assignment Builder'!$B$9),OR('Assignment Builder'!$B$10="",$O1249='Assignment Builder'!$B$10),OR('Assignment Builder'!$B$11="",$H1249&gt;='Assignment Builder'!$B$11),OR('Assignment Builder'!$B$12="",N($Q1249)&lt;='Assignment Builder'!$B$12)))</f>
        <v/>
      </c>
      <c r="T1249" s="23" t="n"/>
    </row>
    <row r="1250">
      <c r="A1250" s="23" t="n"/>
      <c r="B1250" s="23" t="n"/>
      <c r="C1250" s="24" t="n"/>
      <c r="D1250" s="15" t="n"/>
      <c r="E1250" s="23" t="n"/>
      <c r="F1250" s="15" t="n"/>
      <c r="G1250" s="23" t="n"/>
      <c r="H1250" s="25" t="n"/>
      <c r="I1250" s="15" t="n"/>
      <c r="J1250" s="26">
        <f>IF($A1250="","",LEN($C1250)-LEN(SUBSTITUTE($C1250,",",""))+1)</f>
        <v/>
      </c>
      <c r="K1250" s="26">
        <f>IF($A1250="","",SUMPRODUCT(--ISNUMBER(SEARCH('Category Dictionary'!$D$5:$D$135&amp;"",$C1250)),--('Category Dictionary'!$D$5:$D$135&lt;&gt;"")))</f>
        <v/>
      </c>
      <c r="L1250" s="27">
        <f>IF($A1250="","",TRIM(IF(ISERROR(FIND(",",$C1250)),$C1250,LEFT($C1250,FIND(",",$C1250)-1))))</f>
        <v/>
      </c>
      <c r="M1250" s="28">
        <f>IF($H1250="","",DATE(YEAR($H1250),MONTH($H1250),1))</f>
        <v/>
      </c>
      <c r="N1250" s="26">
        <f>IF($H1250="","",TODAY()-$H1250)</f>
        <v/>
      </c>
      <c r="O1250" s="15" t="n"/>
      <c r="P1250" s="15" t="n"/>
      <c r="Q1250" s="15" t="n"/>
      <c r="R1250" s="25" t="n"/>
      <c r="S1250" s="26">
        <f>IF($A1250="","",AND(OR('Assignment Builder'!$B$5="",$B1250='Assignment Builder'!$B$5),OR('Assignment Builder'!$B$6="",ISNUMBER(SEARCH('Assignment Builder'!$B$6,$C1250))),OR('Assignment Builder'!$B$7="",'Assignment Builder'!$B$7=IFERROR(INDEX('Category Dictionary'!$C$5:$C$135,MATCH($L1250,'Category Dictionary'!$D$5:$D$135,0)),"")),OR('Assignment Builder'!$B$8="",$D1250='Assignment Builder'!$B$8),OR('Assignment Builder'!$B$9="",$F1250='Assignment Builder'!$B$9),OR('Assignment Builder'!$B$10="",$O1250='Assignment Builder'!$B$10),OR('Assignment Builder'!$B$11="",$H1250&gt;='Assignment Builder'!$B$11),OR('Assignment Builder'!$B$12="",N($Q1250)&lt;='Assignment Builder'!$B$12)))</f>
        <v/>
      </c>
      <c r="T1250" s="23" t="n"/>
    </row>
    <row r="1251">
      <c r="A1251" s="23" t="n"/>
      <c r="B1251" s="23" t="n"/>
      <c r="C1251" s="24" t="n"/>
      <c r="D1251" s="15" t="n"/>
      <c r="E1251" s="23" t="n"/>
      <c r="F1251" s="15" t="n"/>
      <c r="G1251" s="23" t="n"/>
      <c r="H1251" s="25" t="n"/>
      <c r="I1251" s="15" t="n"/>
      <c r="J1251" s="26">
        <f>IF($A1251="","",LEN($C1251)-LEN(SUBSTITUTE($C1251,",",""))+1)</f>
        <v/>
      </c>
      <c r="K1251" s="26">
        <f>IF($A1251="","",SUMPRODUCT(--ISNUMBER(SEARCH('Category Dictionary'!$D$5:$D$135&amp;"",$C1251)),--('Category Dictionary'!$D$5:$D$135&lt;&gt;"")))</f>
        <v/>
      </c>
      <c r="L1251" s="27">
        <f>IF($A1251="","",TRIM(IF(ISERROR(FIND(",",$C1251)),$C1251,LEFT($C1251,FIND(",",$C1251)-1))))</f>
        <v/>
      </c>
      <c r="M1251" s="28">
        <f>IF($H1251="","",DATE(YEAR($H1251),MONTH($H1251),1))</f>
        <v/>
      </c>
      <c r="N1251" s="26">
        <f>IF($H1251="","",TODAY()-$H1251)</f>
        <v/>
      </c>
      <c r="O1251" s="15" t="n"/>
      <c r="P1251" s="15" t="n"/>
      <c r="Q1251" s="15" t="n"/>
      <c r="R1251" s="25" t="n"/>
      <c r="S1251" s="26">
        <f>IF($A1251="","",AND(OR('Assignment Builder'!$B$5="",$B1251='Assignment Builder'!$B$5),OR('Assignment Builder'!$B$6="",ISNUMBER(SEARCH('Assignment Builder'!$B$6,$C1251))),OR('Assignment Builder'!$B$7="",'Assignment Builder'!$B$7=IFERROR(INDEX('Category Dictionary'!$C$5:$C$135,MATCH($L1251,'Category Dictionary'!$D$5:$D$135,0)),"")),OR('Assignment Builder'!$B$8="",$D1251='Assignment Builder'!$B$8),OR('Assignment Builder'!$B$9="",$F1251='Assignment Builder'!$B$9),OR('Assignment Builder'!$B$10="",$O1251='Assignment Builder'!$B$10),OR('Assignment Builder'!$B$11="",$H1251&gt;='Assignment Builder'!$B$11),OR('Assignment Builder'!$B$12="",N($Q1251)&lt;='Assignment Builder'!$B$12)))</f>
        <v/>
      </c>
      <c r="T1251" s="23" t="n"/>
    </row>
    <row r="1252">
      <c r="A1252" s="23" t="n"/>
      <c r="B1252" s="23" t="n"/>
      <c r="C1252" s="24" t="n"/>
      <c r="D1252" s="15" t="n"/>
      <c r="E1252" s="23" t="n"/>
      <c r="F1252" s="15" t="n"/>
      <c r="G1252" s="23" t="n"/>
      <c r="H1252" s="25" t="n"/>
      <c r="I1252" s="15" t="n"/>
      <c r="J1252" s="26">
        <f>IF($A1252="","",LEN($C1252)-LEN(SUBSTITUTE($C1252,",",""))+1)</f>
        <v/>
      </c>
      <c r="K1252" s="26">
        <f>IF($A1252="","",SUMPRODUCT(--ISNUMBER(SEARCH('Category Dictionary'!$D$5:$D$135&amp;"",$C1252)),--('Category Dictionary'!$D$5:$D$135&lt;&gt;"")))</f>
        <v/>
      </c>
      <c r="L1252" s="27">
        <f>IF($A1252="","",TRIM(IF(ISERROR(FIND(",",$C1252)),$C1252,LEFT($C1252,FIND(",",$C1252)-1))))</f>
        <v/>
      </c>
      <c r="M1252" s="28">
        <f>IF($H1252="","",DATE(YEAR($H1252),MONTH($H1252),1))</f>
        <v/>
      </c>
      <c r="N1252" s="26">
        <f>IF($H1252="","",TODAY()-$H1252)</f>
        <v/>
      </c>
      <c r="O1252" s="15" t="n"/>
      <c r="P1252" s="15" t="n"/>
      <c r="Q1252" s="15" t="n"/>
      <c r="R1252" s="25" t="n"/>
      <c r="S1252" s="26">
        <f>IF($A1252="","",AND(OR('Assignment Builder'!$B$5="",$B1252='Assignment Builder'!$B$5),OR('Assignment Builder'!$B$6="",ISNUMBER(SEARCH('Assignment Builder'!$B$6,$C1252))),OR('Assignment Builder'!$B$7="",'Assignment Builder'!$B$7=IFERROR(INDEX('Category Dictionary'!$C$5:$C$135,MATCH($L1252,'Category Dictionary'!$D$5:$D$135,0)),"")),OR('Assignment Builder'!$B$8="",$D1252='Assignment Builder'!$B$8),OR('Assignment Builder'!$B$9="",$F1252='Assignment Builder'!$B$9),OR('Assignment Builder'!$B$10="",$O1252='Assignment Builder'!$B$10),OR('Assignment Builder'!$B$11="",$H1252&gt;='Assignment Builder'!$B$11),OR('Assignment Builder'!$B$12="",N($Q1252)&lt;='Assignment Builder'!$B$12)))</f>
        <v/>
      </c>
      <c r="T1252" s="23" t="n"/>
    </row>
    <row r="1253">
      <c r="A1253" s="23" t="n"/>
      <c r="B1253" s="23" t="n"/>
      <c r="C1253" s="24" t="n"/>
      <c r="D1253" s="15" t="n"/>
      <c r="E1253" s="23" t="n"/>
      <c r="F1253" s="15" t="n"/>
      <c r="G1253" s="23" t="n"/>
      <c r="H1253" s="25" t="n"/>
      <c r="I1253" s="15" t="n"/>
      <c r="J1253" s="26">
        <f>IF($A1253="","",LEN($C1253)-LEN(SUBSTITUTE($C1253,",",""))+1)</f>
        <v/>
      </c>
      <c r="K1253" s="26">
        <f>IF($A1253="","",SUMPRODUCT(--ISNUMBER(SEARCH('Category Dictionary'!$D$5:$D$135&amp;"",$C1253)),--('Category Dictionary'!$D$5:$D$135&lt;&gt;"")))</f>
        <v/>
      </c>
      <c r="L1253" s="27">
        <f>IF($A1253="","",TRIM(IF(ISERROR(FIND(",",$C1253)),$C1253,LEFT($C1253,FIND(",",$C1253)-1))))</f>
        <v/>
      </c>
      <c r="M1253" s="28">
        <f>IF($H1253="","",DATE(YEAR($H1253),MONTH($H1253),1))</f>
        <v/>
      </c>
      <c r="N1253" s="26">
        <f>IF($H1253="","",TODAY()-$H1253)</f>
        <v/>
      </c>
      <c r="O1253" s="15" t="n"/>
      <c r="P1253" s="15" t="n"/>
      <c r="Q1253" s="15" t="n"/>
      <c r="R1253" s="25" t="n"/>
      <c r="S1253" s="26">
        <f>IF($A1253="","",AND(OR('Assignment Builder'!$B$5="",$B1253='Assignment Builder'!$B$5),OR('Assignment Builder'!$B$6="",ISNUMBER(SEARCH('Assignment Builder'!$B$6,$C1253))),OR('Assignment Builder'!$B$7="",'Assignment Builder'!$B$7=IFERROR(INDEX('Category Dictionary'!$C$5:$C$135,MATCH($L1253,'Category Dictionary'!$D$5:$D$135,0)),"")),OR('Assignment Builder'!$B$8="",$D1253='Assignment Builder'!$B$8),OR('Assignment Builder'!$B$9="",$F1253='Assignment Builder'!$B$9),OR('Assignment Builder'!$B$10="",$O1253='Assignment Builder'!$B$10),OR('Assignment Builder'!$B$11="",$H1253&gt;='Assignment Builder'!$B$11),OR('Assignment Builder'!$B$12="",N($Q1253)&lt;='Assignment Builder'!$B$12)))</f>
        <v/>
      </c>
      <c r="T1253" s="23" t="n"/>
    </row>
    <row r="1254">
      <c r="A1254" s="23" t="n"/>
      <c r="B1254" s="23" t="n"/>
      <c r="C1254" s="24" t="n"/>
      <c r="D1254" s="15" t="n"/>
      <c r="E1254" s="23" t="n"/>
      <c r="F1254" s="15" t="n"/>
      <c r="G1254" s="23" t="n"/>
      <c r="H1254" s="25" t="n"/>
      <c r="I1254" s="15" t="n"/>
      <c r="J1254" s="26">
        <f>IF($A1254="","",LEN($C1254)-LEN(SUBSTITUTE($C1254,",",""))+1)</f>
        <v/>
      </c>
      <c r="K1254" s="26">
        <f>IF($A1254="","",SUMPRODUCT(--ISNUMBER(SEARCH('Category Dictionary'!$D$5:$D$135&amp;"",$C1254)),--('Category Dictionary'!$D$5:$D$135&lt;&gt;"")))</f>
        <v/>
      </c>
      <c r="L1254" s="27">
        <f>IF($A1254="","",TRIM(IF(ISERROR(FIND(",",$C1254)),$C1254,LEFT($C1254,FIND(",",$C1254)-1))))</f>
        <v/>
      </c>
      <c r="M1254" s="28">
        <f>IF($H1254="","",DATE(YEAR($H1254),MONTH($H1254),1))</f>
        <v/>
      </c>
      <c r="N1254" s="26">
        <f>IF($H1254="","",TODAY()-$H1254)</f>
        <v/>
      </c>
      <c r="O1254" s="15" t="n"/>
      <c r="P1254" s="15" t="n"/>
      <c r="Q1254" s="15" t="n"/>
      <c r="R1254" s="25" t="n"/>
      <c r="S1254" s="26">
        <f>IF($A1254="","",AND(OR('Assignment Builder'!$B$5="",$B1254='Assignment Builder'!$B$5),OR('Assignment Builder'!$B$6="",ISNUMBER(SEARCH('Assignment Builder'!$B$6,$C1254))),OR('Assignment Builder'!$B$7="",'Assignment Builder'!$B$7=IFERROR(INDEX('Category Dictionary'!$C$5:$C$135,MATCH($L1254,'Category Dictionary'!$D$5:$D$135,0)),"")),OR('Assignment Builder'!$B$8="",$D1254='Assignment Builder'!$B$8),OR('Assignment Builder'!$B$9="",$F1254='Assignment Builder'!$B$9),OR('Assignment Builder'!$B$10="",$O1254='Assignment Builder'!$B$10),OR('Assignment Builder'!$B$11="",$H1254&gt;='Assignment Builder'!$B$11),OR('Assignment Builder'!$B$12="",N($Q1254)&lt;='Assignment Builder'!$B$12)))</f>
        <v/>
      </c>
      <c r="T1254" s="23" t="n"/>
    </row>
    <row r="1255">
      <c r="A1255" s="23" t="n"/>
      <c r="B1255" s="23" t="n"/>
      <c r="C1255" s="24" t="n"/>
      <c r="D1255" s="15" t="n"/>
      <c r="E1255" s="23" t="n"/>
      <c r="F1255" s="15" t="n"/>
      <c r="G1255" s="23" t="n"/>
      <c r="H1255" s="25" t="n"/>
      <c r="I1255" s="15" t="n"/>
      <c r="J1255" s="26">
        <f>IF($A1255="","",LEN($C1255)-LEN(SUBSTITUTE($C1255,",",""))+1)</f>
        <v/>
      </c>
      <c r="K1255" s="26">
        <f>IF($A1255="","",SUMPRODUCT(--ISNUMBER(SEARCH('Category Dictionary'!$D$5:$D$135&amp;"",$C1255)),--('Category Dictionary'!$D$5:$D$135&lt;&gt;"")))</f>
        <v/>
      </c>
      <c r="L1255" s="27">
        <f>IF($A1255="","",TRIM(IF(ISERROR(FIND(",",$C1255)),$C1255,LEFT($C1255,FIND(",",$C1255)-1))))</f>
        <v/>
      </c>
      <c r="M1255" s="28">
        <f>IF($H1255="","",DATE(YEAR($H1255),MONTH($H1255),1))</f>
        <v/>
      </c>
      <c r="N1255" s="26">
        <f>IF($H1255="","",TODAY()-$H1255)</f>
        <v/>
      </c>
      <c r="O1255" s="15" t="n"/>
      <c r="P1255" s="15" t="n"/>
      <c r="Q1255" s="15" t="n"/>
      <c r="R1255" s="25" t="n"/>
      <c r="S1255" s="26">
        <f>IF($A1255="","",AND(OR('Assignment Builder'!$B$5="",$B1255='Assignment Builder'!$B$5),OR('Assignment Builder'!$B$6="",ISNUMBER(SEARCH('Assignment Builder'!$B$6,$C1255))),OR('Assignment Builder'!$B$7="",'Assignment Builder'!$B$7=IFERROR(INDEX('Category Dictionary'!$C$5:$C$135,MATCH($L1255,'Category Dictionary'!$D$5:$D$135,0)),"")),OR('Assignment Builder'!$B$8="",$D1255='Assignment Builder'!$B$8),OR('Assignment Builder'!$B$9="",$F1255='Assignment Builder'!$B$9),OR('Assignment Builder'!$B$10="",$O1255='Assignment Builder'!$B$10),OR('Assignment Builder'!$B$11="",$H1255&gt;='Assignment Builder'!$B$11),OR('Assignment Builder'!$B$12="",N($Q1255)&lt;='Assignment Builder'!$B$12)))</f>
        <v/>
      </c>
      <c r="T1255" s="23" t="n"/>
    </row>
    <row r="1256">
      <c r="A1256" s="23" t="n"/>
      <c r="B1256" s="23" t="n"/>
      <c r="C1256" s="24" t="n"/>
      <c r="D1256" s="15" t="n"/>
      <c r="E1256" s="23" t="n"/>
      <c r="F1256" s="15" t="n"/>
      <c r="G1256" s="23" t="n"/>
      <c r="H1256" s="25" t="n"/>
      <c r="I1256" s="15" t="n"/>
      <c r="J1256" s="26">
        <f>IF($A1256="","",LEN($C1256)-LEN(SUBSTITUTE($C1256,",",""))+1)</f>
        <v/>
      </c>
      <c r="K1256" s="26">
        <f>IF($A1256="","",SUMPRODUCT(--ISNUMBER(SEARCH('Category Dictionary'!$D$5:$D$135&amp;"",$C1256)),--('Category Dictionary'!$D$5:$D$135&lt;&gt;"")))</f>
        <v/>
      </c>
      <c r="L1256" s="27">
        <f>IF($A1256="","",TRIM(IF(ISERROR(FIND(",",$C1256)),$C1256,LEFT($C1256,FIND(",",$C1256)-1))))</f>
        <v/>
      </c>
      <c r="M1256" s="28">
        <f>IF($H1256="","",DATE(YEAR($H1256),MONTH($H1256),1))</f>
        <v/>
      </c>
      <c r="N1256" s="26">
        <f>IF($H1256="","",TODAY()-$H1256)</f>
        <v/>
      </c>
      <c r="O1256" s="15" t="n"/>
      <c r="P1256" s="15" t="n"/>
      <c r="Q1256" s="15" t="n"/>
      <c r="R1256" s="25" t="n"/>
      <c r="S1256" s="26">
        <f>IF($A1256="","",AND(OR('Assignment Builder'!$B$5="",$B1256='Assignment Builder'!$B$5),OR('Assignment Builder'!$B$6="",ISNUMBER(SEARCH('Assignment Builder'!$B$6,$C1256))),OR('Assignment Builder'!$B$7="",'Assignment Builder'!$B$7=IFERROR(INDEX('Category Dictionary'!$C$5:$C$135,MATCH($L1256,'Category Dictionary'!$D$5:$D$135,0)),"")),OR('Assignment Builder'!$B$8="",$D1256='Assignment Builder'!$B$8),OR('Assignment Builder'!$B$9="",$F1256='Assignment Builder'!$B$9),OR('Assignment Builder'!$B$10="",$O1256='Assignment Builder'!$B$10),OR('Assignment Builder'!$B$11="",$H1256&gt;='Assignment Builder'!$B$11),OR('Assignment Builder'!$B$12="",N($Q1256)&lt;='Assignment Builder'!$B$12)))</f>
        <v/>
      </c>
      <c r="T1256" s="23" t="n"/>
    </row>
    <row r="1257">
      <c r="A1257" s="23" t="n"/>
      <c r="B1257" s="23" t="n"/>
      <c r="C1257" s="24" t="n"/>
      <c r="D1257" s="15" t="n"/>
      <c r="E1257" s="23" t="n"/>
      <c r="F1257" s="15" t="n"/>
      <c r="G1257" s="23" t="n"/>
      <c r="H1257" s="25" t="n"/>
      <c r="I1257" s="15" t="n"/>
      <c r="J1257" s="26">
        <f>IF($A1257="","",LEN($C1257)-LEN(SUBSTITUTE($C1257,",",""))+1)</f>
        <v/>
      </c>
      <c r="K1257" s="26">
        <f>IF($A1257="","",SUMPRODUCT(--ISNUMBER(SEARCH('Category Dictionary'!$D$5:$D$135&amp;"",$C1257)),--('Category Dictionary'!$D$5:$D$135&lt;&gt;"")))</f>
        <v/>
      </c>
      <c r="L1257" s="27">
        <f>IF($A1257="","",TRIM(IF(ISERROR(FIND(",",$C1257)),$C1257,LEFT($C1257,FIND(",",$C1257)-1))))</f>
        <v/>
      </c>
      <c r="M1257" s="28">
        <f>IF($H1257="","",DATE(YEAR($H1257),MONTH($H1257),1))</f>
        <v/>
      </c>
      <c r="N1257" s="26">
        <f>IF($H1257="","",TODAY()-$H1257)</f>
        <v/>
      </c>
      <c r="O1257" s="15" t="n"/>
      <c r="P1257" s="15" t="n"/>
      <c r="Q1257" s="15" t="n"/>
      <c r="R1257" s="25" t="n"/>
      <c r="S1257" s="26">
        <f>IF($A1257="","",AND(OR('Assignment Builder'!$B$5="",$B1257='Assignment Builder'!$B$5),OR('Assignment Builder'!$B$6="",ISNUMBER(SEARCH('Assignment Builder'!$B$6,$C1257))),OR('Assignment Builder'!$B$7="",'Assignment Builder'!$B$7=IFERROR(INDEX('Category Dictionary'!$C$5:$C$135,MATCH($L1257,'Category Dictionary'!$D$5:$D$135,0)),"")),OR('Assignment Builder'!$B$8="",$D1257='Assignment Builder'!$B$8),OR('Assignment Builder'!$B$9="",$F1257='Assignment Builder'!$B$9),OR('Assignment Builder'!$B$10="",$O1257='Assignment Builder'!$B$10),OR('Assignment Builder'!$B$11="",$H1257&gt;='Assignment Builder'!$B$11),OR('Assignment Builder'!$B$12="",N($Q1257)&lt;='Assignment Builder'!$B$12)))</f>
        <v/>
      </c>
      <c r="T1257" s="23" t="n"/>
    </row>
    <row r="1258">
      <c r="A1258" s="23" t="n"/>
      <c r="B1258" s="23" t="n"/>
      <c r="C1258" s="24" t="n"/>
      <c r="D1258" s="15" t="n"/>
      <c r="E1258" s="23" t="n"/>
      <c r="F1258" s="15" t="n"/>
      <c r="G1258" s="23" t="n"/>
      <c r="H1258" s="25" t="n"/>
      <c r="I1258" s="15" t="n"/>
      <c r="J1258" s="26">
        <f>IF($A1258="","",LEN($C1258)-LEN(SUBSTITUTE($C1258,",",""))+1)</f>
        <v/>
      </c>
      <c r="K1258" s="26">
        <f>IF($A1258="","",SUMPRODUCT(--ISNUMBER(SEARCH('Category Dictionary'!$D$5:$D$135&amp;"",$C1258)),--('Category Dictionary'!$D$5:$D$135&lt;&gt;"")))</f>
        <v/>
      </c>
      <c r="L1258" s="27">
        <f>IF($A1258="","",TRIM(IF(ISERROR(FIND(",",$C1258)),$C1258,LEFT($C1258,FIND(",",$C1258)-1))))</f>
        <v/>
      </c>
      <c r="M1258" s="28">
        <f>IF($H1258="","",DATE(YEAR($H1258),MONTH($H1258),1))</f>
        <v/>
      </c>
      <c r="N1258" s="26">
        <f>IF($H1258="","",TODAY()-$H1258)</f>
        <v/>
      </c>
      <c r="O1258" s="15" t="n"/>
      <c r="P1258" s="15" t="n"/>
      <c r="Q1258" s="15" t="n"/>
      <c r="R1258" s="25" t="n"/>
      <c r="S1258" s="26">
        <f>IF($A1258="","",AND(OR('Assignment Builder'!$B$5="",$B1258='Assignment Builder'!$B$5),OR('Assignment Builder'!$B$6="",ISNUMBER(SEARCH('Assignment Builder'!$B$6,$C1258))),OR('Assignment Builder'!$B$7="",'Assignment Builder'!$B$7=IFERROR(INDEX('Category Dictionary'!$C$5:$C$135,MATCH($L1258,'Category Dictionary'!$D$5:$D$135,0)),"")),OR('Assignment Builder'!$B$8="",$D1258='Assignment Builder'!$B$8),OR('Assignment Builder'!$B$9="",$F1258='Assignment Builder'!$B$9),OR('Assignment Builder'!$B$10="",$O1258='Assignment Builder'!$B$10),OR('Assignment Builder'!$B$11="",$H1258&gt;='Assignment Builder'!$B$11),OR('Assignment Builder'!$B$12="",N($Q1258)&lt;='Assignment Builder'!$B$12)))</f>
        <v/>
      </c>
      <c r="T1258" s="23" t="n"/>
    </row>
    <row r="1259">
      <c r="A1259" s="23" t="n"/>
      <c r="B1259" s="23" t="n"/>
      <c r="C1259" s="24" t="n"/>
      <c r="D1259" s="15" t="n"/>
      <c r="E1259" s="23" t="n"/>
      <c r="F1259" s="15" t="n"/>
      <c r="G1259" s="23" t="n"/>
      <c r="H1259" s="25" t="n"/>
      <c r="I1259" s="15" t="n"/>
      <c r="J1259" s="26">
        <f>IF($A1259="","",LEN($C1259)-LEN(SUBSTITUTE($C1259,",",""))+1)</f>
        <v/>
      </c>
      <c r="K1259" s="26">
        <f>IF($A1259="","",SUMPRODUCT(--ISNUMBER(SEARCH('Category Dictionary'!$D$5:$D$135&amp;"",$C1259)),--('Category Dictionary'!$D$5:$D$135&lt;&gt;"")))</f>
        <v/>
      </c>
      <c r="L1259" s="27">
        <f>IF($A1259="","",TRIM(IF(ISERROR(FIND(",",$C1259)),$C1259,LEFT($C1259,FIND(",",$C1259)-1))))</f>
        <v/>
      </c>
      <c r="M1259" s="28">
        <f>IF($H1259="","",DATE(YEAR($H1259),MONTH($H1259),1))</f>
        <v/>
      </c>
      <c r="N1259" s="26">
        <f>IF($H1259="","",TODAY()-$H1259)</f>
        <v/>
      </c>
      <c r="O1259" s="15" t="n"/>
      <c r="P1259" s="15" t="n"/>
      <c r="Q1259" s="15" t="n"/>
      <c r="R1259" s="25" t="n"/>
      <c r="S1259" s="26">
        <f>IF($A1259="","",AND(OR('Assignment Builder'!$B$5="",$B1259='Assignment Builder'!$B$5),OR('Assignment Builder'!$B$6="",ISNUMBER(SEARCH('Assignment Builder'!$B$6,$C1259))),OR('Assignment Builder'!$B$7="",'Assignment Builder'!$B$7=IFERROR(INDEX('Category Dictionary'!$C$5:$C$135,MATCH($L1259,'Category Dictionary'!$D$5:$D$135,0)),"")),OR('Assignment Builder'!$B$8="",$D1259='Assignment Builder'!$B$8),OR('Assignment Builder'!$B$9="",$F1259='Assignment Builder'!$B$9),OR('Assignment Builder'!$B$10="",$O1259='Assignment Builder'!$B$10),OR('Assignment Builder'!$B$11="",$H1259&gt;='Assignment Builder'!$B$11),OR('Assignment Builder'!$B$12="",N($Q1259)&lt;='Assignment Builder'!$B$12)))</f>
        <v/>
      </c>
      <c r="T1259" s="23" t="n"/>
    </row>
    <row r="1260">
      <c r="A1260" s="23" t="n"/>
      <c r="B1260" s="23" t="n"/>
      <c r="C1260" s="24" t="n"/>
      <c r="D1260" s="15" t="n"/>
      <c r="E1260" s="23" t="n"/>
      <c r="F1260" s="15" t="n"/>
      <c r="G1260" s="23" t="n"/>
      <c r="H1260" s="25" t="n"/>
      <c r="I1260" s="15" t="n"/>
      <c r="J1260" s="26">
        <f>IF($A1260="","",LEN($C1260)-LEN(SUBSTITUTE($C1260,",",""))+1)</f>
        <v/>
      </c>
      <c r="K1260" s="26">
        <f>IF($A1260="","",SUMPRODUCT(--ISNUMBER(SEARCH('Category Dictionary'!$D$5:$D$135&amp;"",$C1260)),--('Category Dictionary'!$D$5:$D$135&lt;&gt;"")))</f>
        <v/>
      </c>
      <c r="L1260" s="27">
        <f>IF($A1260="","",TRIM(IF(ISERROR(FIND(",",$C1260)),$C1260,LEFT($C1260,FIND(",",$C1260)-1))))</f>
        <v/>
      </c>
      <c r="M1260" s="28">
        <f>IF($H1260="","",DATE(YEAR($H1260),MONTH($H1260),1))</f>
        <v/>
      </c>
      <c r="N1260" s="26">
        <f>IF($H1260="","",TODAY()-$H1260)</f>
        <v/>
      </c>
      <c r="O1260" s="15" t="n"/>
      <c r="P1260" s="15" t="n"/>
      <c r="Q1260" s="15" t="n"/>
      <c r="R1260" s="25" t="n"/>
      <c r="S1260" s="26">
        <f>IF($A1260="","",AND(OR('Assignment Builder'!$B$5="",$B1260='Assignment Builder'!$B$5),OR('Assignment Builder'!$B$6="",ISNUMBER(SEARCH('Assignment Builder'!$B$6,$C1260))),OR('Assignment Builder'!$B$7="",'Assignment Builder'!$B$7=IFERROR(INDEX('Category Dictionary'!$C$5:$C$135,MATCH($L1260,'Category Dictionary'!$D$5:$D$135,0)),"")),OR('Assignment Builder'!$B$8="",$D1260='Assignment Builder'!$B$8),OR('Assignment Builder'!$B$9="",$F1260='Assignment Builder'!$B$9),OR('Assignment Builder'!$B$10="",$O1260='Assignment Builder'!$B$10),OR('Assignment Builder'!$B$11="",$H1260&gt;='Assignment Builder'!$B$11),OR('Assignment Builder'!$B$12="",N($Q1260)&lt;='Assignment Builder'!$B$12)))</f>
        <v/>
      </c>
      <c r="T1260" s="23" t="n"/>
    </row>
    <row r="1261">
      <c r="A1261" s="23" t="n"/>
      <c r="B1261" s="23" t="n"/>
      <c r="C1261" s="24" t="n"/>
      <c r="D1261" s="15" t="n"/>
      <c r="E1261" s="23" t="n"/>
      <c r="F1261" s="15" t="n"/>
      <c r="G1261" s="23" t="n"/>
      <c r="H1261" s="25" t="n"/>
      <c r="I1261" s="15" t="n"/>
      <c r="J1261" s="26">
        <f>IF($A1261="","",LEN($C1261)-LEN(SUBSTITUTE($C1261,",",""))+1)</f>
        <v/>
      </c>
      <c r="K1261" s="26">
        <f>IF($A1261="","",SUMPRODUCT(--ISNUMBER(SEARCH('Category Dictionary'!$D$5:$D$135&amp;"",$C1261)),--('Category Dictionary'!$D$5:$D$135&lt;&gt;"")))</f>
        <v/>
      </c>
      <c r="L1261" s="27">
        <f>IF($A1261="","",TRIM(IF(ISERROR(FIND(",",$C1261)),$C1261,LEFT($C1261,FIND(",",$C1261)-1))))</f>
        <v/>
      </c>
      <c r="M1261" s="28">
        <f>IF($H1261="","",DATE(YEAR($H1261),MONTH($H1261),1))</f>
        <v/>
      </c>
      <c r="N1261" s="26">
        <f>IF($H1261="","",TODAY()-$H1261)</f>
        <v/>
      </c>
      <c r="O1261" s="15" t="n"/>
      <c r="P1261" s="15" t="n"/>
      <c r="Q1261" s="15" t="n"/>
      <c r="R1261" s="25" t="n"/>
      <c r="S1261" s="26">
        <f>IF($A1261="","",AND(OR('Assignment Builder'!$B$5="",$B1261='Assignment Builder'!$B$5),OR('Assignment Builder'!$B$6="",ISNUMBER(SEARCH('Assignment Builder'!$B$6,$C1261))),OR('Assignment Builder'!$B$7="",'Assignment Builder'!$B$7=IFERROR(INDEX('Category Dictionary'!$C$5:$C$135,MATCH($L1261,'Category Dictionary'!$D$5:$D$135,0)),"")),OR('Assignment Builder'!$B$8="",$D1261='Assignment Builder'!$B$8),OR('Assignment Builder'!$B$9="",$F1261='Assignment Builder'!$B$9),OR('Assignment Builder'!$B$10="",$O1261='Assignment Builder'!$B$10),OR('Assignment Builder'!$B$11="",$H1261&gt;='Assignment Builder'!$B$11),OR('Assignment Builder'!$B$12="",N($Q1261)&lt;='Assignment Builder'!$B$12)))</f>
        <v/>
      </c>
      <c r="T1261" s="23" t="n"/>
    </row>
    <row r="1262">
      <c r="A1262" s="23" t="n"/>
      <c r="B1262" s="23" t="n"/>
      <c r="C1262" s="24" t="n"/>
      <c r="D1262" s="15" t="n"/>
      <c r="E1262" s="23" t="n"/>
      <c r="F1262" s="15" t="n"/>
      <c r="G1262" s="23" t="n"/>
      <c r="H1262" s="25" t="n"/>
      <c r="I1262" s="15" t="n"/>
      <c r="J1262" s="26">
        <f>IF($A1262="","",LEN($C1262)-LEN(SUBSTITUTE($C1262,",",""))+1)</f>
        <v/>
      </c>
      <c r="K1262" s="26">
        <f>IF($A1262="","",SUMPRODUCT(--ISNUMBER(SEARCH('Category Dictionary'!$D$5:$D$135&amp;"",$C1262)),--('Category Dictionary'!$D$5:$D$135&lt;&gt;"")))</f>
        <v/>
      </c>
      <c r="L1262" s="27">
        <f>IF($A1262="","",TRIM(IF(ISERROR(FIND(",",$C1262)),$C1262,LEFT($C1262,FIND(",",$C1262)-1))))</f>
        <v/>
      </c>
      <c r="M1262" s="28">
        <f>IF($H1262="","",DATE(YEAR($H1262),MONTH($H1262),1))</f>
        <v/>
      </c>
      <c r="N1262" s="26">
        <f>IF($H1262="","",TODAY()-$H1262)</f>
        <v/>
      </c>
      <c r="O1262" s="15" t="n"/>
      <c r="P1262" s="15" t="n"/>
      <c r="Q1262" s="15" t="n"/>
      <c r="R1262" s="25" t="n"/>
      <c r="S1262" s="26">
        <f>IF($A1262="","",AND(OR('Assignment Builder'!$B$5="",$B1262='Assignment Builder'!$B$5),OR('Assignment Builder'!$B$6="",ISNUMBER(SEARCH('Assignment Builder'!$B$6,$C1262))),OR('Assignment Builder'!$B$7="",'Assignment Builder'!$B$7=IFERROR(INDEX('Category Dictionary'!$C$5:$C$135,MATCH($L1262,'Category Dictionary'!$D$5:$D$135,0)),"")),OR('Assignment Builder'!$B$8="",$D1262='Assignment Builder'!$B$8),OR('Assignment Builder'!$B$9="",$F1262='Assignment Builder'!$B$9),OR('Assignment Builder'!$B$10="",$O1262='Assignment Builder'!$B$10),OR('Assignment Builder'!$B$11="",$H1262&gt;='Assignment Builder'!$B$11),OR('Assignment Builder'!$B$12="",N($Q1262)&lt;='Assignment Builder'!$B$12)))</f>
        <v/>
      </c>
      <c r="T1262" s="23" t="n"/>
    </row>
    <row r="1263">
      <c r="A1263" s="23" t="n"/>
      <c r="B1263" s="23" t="n"/>
      <c r="C1263" s="24" t="n"/>
      <c r="D1263" s="15" t="n"/>
      <c r="E1263" s="23" t="n"/>
      <c r="F1263" s="15" t="n"/>
      <c r="G1263" s="23" t="n"/>
      <c r="H1263" s="25" t="n"/>
      <c r="I1263" s="15" t="n"/>
      <c r="J1263" s="26">
        <f>IF($A1263="","",LEN($C1263)-LEN(SUBSTITUTE($C1263,",",""))+1)</f>
        <v/>
      </c>
      <c r="K1263" s="26">
        <f>IF($A1263="","",SUMPRODUCT(--ISNUMBER(SEARCH('Category Dictionary'!$D$5:$D$135&amp;"",$C1263)),--('Category Dictionary'!$D$5:$D$135&lt;&gt;"")))</f>
        <v/>
      </c>
      <c r="L1263" s="27">
        <f>IF($A1263="","",TRIM(IF(ISERROR(FIND(",",$C1263)),$C1263,LEFT($C1263,FIND(",",$C1263)-1))))</f>
        <v/>
      </c>
      <c r="M1263" s="28">
        <f>IF($H1263="","",DATE(YEAR($H1263),MONTH($H1263),1))</f>
        <v/>
      </c>
      <c r="N1263" s="26">
        <f>IF($H1263="","",TODAY()-$H1263)</f>
        <v/>
      </c>
      <c r="O1263" s="15" t="n"/>
      <c r="P1263" s="15" t="n"/>
      <c r="Q1263" s="15" t="n"/>
      <c r="R1263" s="25" t="n"/>
      <c r="S1263" s="26">
        <f>IF($A1263="","",AND(OR('Assignment Builder'!$B$5="",$B1263='Assignment Builder'!$B$5),OR('Assignment Builder'!$B$6="",ISNUMBER(SEARCH('Assignment Builder'!$B$6,$C1263))),OR('Assignment Builder'!$B$7="",'Assignment Builder'!$B$7=IFERROR(INDEX('Category Dictionary'!$C$5:$C$135,MATCH($L1263,'Category Dictionary'!$D$5:$D$135,0)),"")),OR('Assignment Builder'!$B$8="",$D1263='Assignment Builder'!$B$8),OR('Assignment Builder'!$B$9="",$F1263='Assignment Builder'!$B$9),OR('Assignment Builder'!$B$10="",$O1263='Assignment Builder'!$B$10),OR('Assignment Builder'!$B$11="",$H1263&gt;='Assignment Builder'!$B$11),OR('Assignment Builder'!$B$12="",N($Q1263)&lt;='Assignment Builder'!$B$12)))</f>
        <v/>
      </c>
      <c r="T1263" s="23" t="n"/>
    </row>
    <row r="1264">
      <c r="A1264" s="23" t="n"/>
      <c r="B1264" s="23" t="n"/>
      <c r="C1264" s="24" t="n"/>
      <c r="D1264" s="15" t="n"/>
      <c r="E1264" s="23" t="n"/>
      <c r="F1264" s="15" t="n"/>
      <c r="G1264" s="23" t="n"/>
      <c r="H1264" s="25" t="n"/>
      <c r="I1264" s="15" t="n"/>
      <c r="J1264" s="26">
        <f>IF($A1264="","",LEN($C1264)-LEN(SUBSTITUTE($C1264,",",""))+1)</f>
        <v/>
      </c>
      <c r="K1264" s="26">
        <f>IF($A1264="","",SUMPRODUCT(--ISNUMBER(SEARCH('Category Dictionary'!$D$5:$D$135&amp;"",$C1264)),--('Category Dictionary'!$D$5:$D$135&lt;&gt;"")))</f>
        <v/>
      </c>
      <c r="L1264" s="27">
        <f>IF($A1264="","",TRIM(IF(ISERROR(FIND(",",$C1264)),$C1264,LEFT($C1264,FIND(",",$C1264)-1))))</f>
        <v/>
      </c>
      <c r="M1264" s="28">
        <f>IF($H1264="","",DATE(YEAR($H1264),MONTH($H1264),1))</f>
        <v/>
      </c>
      <c r="N1264" s="26">
        <f>IF($H1264="","",TODAY()-$H1264)</f>
        <v/>
      </c>
      <c r="O1264" s="15" t="n"/>
      <c r="P1264" s="15" t="n"/>
      <c r="Q1264" s="15" t="n"/>
      <c r="R1264" s="25" t="n"/>
      <c r="S1264" s="26">
        <f>IF($A1264="","",AND(OR('Assignment Builder'!$B$5="",$B1264='Assignment Builder'!$B$5),OR('Assignment Builder'!$B$6="",ISNUMBER(SEARCH('Assignment Builder'!$B$6,$C1264))),OR('Assignment Builder'!$B$7="",'Assignment Builder'!$B$7=IFERROR(INDEX('Category Dictionary'!$C$5:$C$135,MATCH($L1264,'Category Dictionary'!$D$5:$D$135,0)),"")),OR('Assignment Builder'!$B$8="",$D1264='Assignment Builder'!$B$8),OR('Assignment Builder'!$B$9="",$F1264='Assignment Builder'!$B$9),OR('Assignment Builder'!$B$10="",$O1264='Assignment Builder'!$B$10),OR('Assignment Builder'!$B$11="",$H1264&gt;='Assignment Builder'!$B$11),OR('Assignment Builder'!$B$12="",N($Q1264)&lt;='Assignment Builder'!$B$12)))</f>
        <v/>
      </c>
      <c r="T1264" s="23" t="n"/>
    </row>
    <row r="1265">
      <c r="A1265" s="23" t="n"/>
      <c r="B1265" s="23" t="n"/>
      <c r="C1265" s="24" t="n"/>
      <c r="D1265" s="15" t="n"/>
      <c r="E1265" s="23" t="n"/>
      <c r="F1265" s="15" t="n"/>
      <c r="G1265" s="23" t="n"/>
      <c r="H1265" s="25" t="n"/>
      <c r="I1265" s="15" t="n"/>
      <c r="J1265" s="26">
        <f>IF($A1265="","",LEN($C1265)-LEN(SUBSTITUTE($C1265,",",""))+1)</f>
        <v/>
      </c>
      <c r="K1265" s="26">
        <f>IF($A1265="","",SUMPRODUCT(--ISNUMBER(SEARCH('Category Dictionary'!$D$5:$D$135&amp;"",$C1265)),--('Category Dictionary'!$D$5:$D$135&lt;&gt;"")))</f>
        <v/>
      </c>
      <c r="L1265" s="27">
        <f>IF($A1265="","",TRIM(IF(ISERROR(FIND(",",$C1265)),$C1265,LEFT($C1265,FIND(",",$C1265)-1))))</f>
        <v/>
      </c>
      <c r="M1265" s="28">
        <f>IF($H1265="","",DATE(YEAR($H1265),MONTH($H1265),1))</f>
        <v/>
      </c>
      <c r="N1265" s="26">
        <f>IF($H1265="","",TODAY()-$H1265)</f>
        <v/>
      </c>
      <c r="O1265" s="15" t="n"/>
      <c r="P1265" s="15" t="n"/>
      <c r="Q1265" s="15" t="n"/>
      <c r="R1265" s="25" t="n"/>
      <c r="S1265" s="26">
        <f>IF($A1265="","",AND(OR('Assignment Builder'!$B$5="",$B1265='Assignment Builder'!$B$5),OR('Assignment Builder'!$B$6="",ISNUMBER(SEARCH('Assignment Builder'!$B$6,$C1265))),OR('Assignment Builder'!$B$7="",'Assignment Builder'!$B$7=IFERROR(INDEX('Category Dictionary'!$C$5:$C$135,MATCH($L1265,'Category Dictionary'!$D$5:$D$135,0)),"")),OR('Assignment Builder'!$B$8="",$D1265='Assignment Builder'!$B$8),OR('Assignment Builder'!$B$9="",$F1265='Assignment Builder'!$B$9),OR('Assignment Builder'!$B$10="",$O1265='Assignment Builder'!$B$10),OR('Assignment Builder'!$B$11="",$H1265&gt;='Assignment Builder'!$B$11),OR('Assignment Builder'!$B$12="",N($Q1265)&lt;='Assignment Builder'!$B$12)))</f>
        <v/>
      </c>
      <c r="T1265" s="23" t="n"/>
    </row>
    <row r="1266">
      <c r="A1266" s="23" t="n"/>
      <c r="B1266" s="23" t="n"/>
      <c r="C1266" s="24" t="n"/>
      <c r="D1266" s="15" t="n"/>
      <c r="E1266" s="23" t="n"/>
      <c r="F1266" s="15" t="n"/>
      <c r="G1266" s="23" t="n"/>
      <c r="H1266" s="25" t="n"/>
      <c r="I1266" s="15" t="n"/>
      <c r="J1266" s="26">
        <f>IF($A1266="","",LEN($C1266)-LEN(SUBSTITUTE($C1266,",",""))+1)</f>
        <v/>
      </c>
      <c r="K1266" s="26">
        <f>IF($A1266="","",SUMPRODUCT(--ISNUMBER(SEARCH('Category Dictionary'!$D$5:$D$135&amp;"",$C1266)),--('Category Dictionary'!$D$5:$D$135&lt;&gt;"")))</f>
        <v/>
      </c>
      <c r="L1266" s="27">
        <f>IF($A1266="","",TRIM(IF(ISERROR(FIND(",",$C1266)),$C1266,LEFT($C1266,FIND(",",$C1266)-1))))</f>
        <v/>
      </c>
      <c r="M1266" s="28">
        <f>IF($H1266="","",DATE(YEAR($H1266),MONTH($H1266),1))</f>
        <v/>
      </c>
      <c r="N1266" s="26">
        <f>IF($H1266="","",TODAY()-$H1266)</f>
        <v/>
      </c>
      <c r="O1266" s="15" t="n"/>
      <c r="P1266" s="15" t="n"/>
      <c r="Q1266" s="15" t="n"/>
      <c r="R1266" s="25" t="n"/>
      <c r="S1266" s="26">
        <f>IF($A1266="","",AND(OR('Assignment Builder'!$B$5="",$B1266='Assignment Builder'!$B$5),OR('Assignment Builder'!$B$6="",ISNUMBER(SEARCH('Assignment Builder'!$B$6,$C1266))),OR('Assignment Builder'!$B$7="",'Assignment Builder'!$B$7=IFERROR(INDEX('Category Dictionary'!$C$5:$C$135,MATCH($L1266,'Category Dictionary'!$D$5:$D$135,0)),"")),OR('Assignment Builder'!$B$8="",$D1266='Assignment Builder'!$B$8),OR('Assignment Builder'!$B$9="",$F1266='Assignment Builder'!$B$9),OR('Assignment Builder'!$B$10="",$O1266='Assignment Builder'!$B$10),OR('Assignment Builder'!$B$11="",$H1266&gt;='Assignment Builder'!$B$11),OR('Assignment Builder'!$B$12="",N($Q1266)&lt;='Assignment Builder'!$B$12)))</f>
        <v/>
      </c>
      <c r="T1266" s="23" t="n"/>
    </row>
    <row r="1267">
      <c r="A1267" s="23" t="n"/>
      <c r="B1267" s="23" t="n"/>
      <c r="C1267" s="24" t="n"/>
      <c r="D1267" s="15" t="n"/>
      <c r="E1267" s="23" t="n"/>
      <c r="F1267" s="15" t="n"/>
      <c r="G1267" s="23" t="n"/>
      <c r="H1267" s="25" t="n"/>
      <c r="I1267" s="15" t="n"/>
      <c r="J1267" s="26">
        <f>IF($A1267="","",LEN($C1267)-LEN(SUBSTITUTE($C1267,",",""))+1)</f>
        <v/>
      </c>
      <c r="K1267" s="26">
        <f>IF($A1267="","",SUMPRODUCT(--ISNUMBER(SEARCH('Category Dictionary'!$D$5:$D$135&amp;"",$C1267)),--('Category Dictionary'!$D$5:$D$135&lt;&gt;"")))</f>
        <v/>
      </c>
      <c r="L1267" s="27">
        <f>IF($A1267="","",TRIM(IF(ISERROR(FIND(",",$C1267)),$C1267,LEFT($C1267,FIND(",",$C1267)-1))))</f>
        <v/>
      </c>
      <c r="M1267" s="28">
        <f>IF($H1267="","",DATE(YEAR($H1267),MONTH($H1267),1))</f>
        <v/>
      </c>
      <c r="N1267" s="26">
        <f>IF($H1267="","",TODAY()-$H1267)</f>
        <v/>
      </c>
      <c r="O1267" s="15" t="n"/>
      <c r="P1267" s="15" t="n"/>
      <c r="Q1267" s="15" t="n"/>
      <c r="R1267" s="25" t="n"/>
      <c r="S1267" s="26">
        <f>IF($A1267="","",AND(OR('Assignment Builder'!$B$5="",$B1267='Assignment Builder'!$B$5),OR('Assignment Builder'!$B$6="",ISNUMBER(SEARCH('Assignment Builder'!$B$6,$C1267))),OR('Assignment Builder'!$B$7="",'Assignment Builder'!$B$7=IFERROR(INDEX('Category Dictionary'!$C$5:$C$135,MATCH($L1267,'Category Dictionary'!$D$5:$D$135,0)),"")),OR('Assignment Builder'!$B$8="",$D1267='Assignment Builder'!$B$8),OR('Assignment Builder'!$B$9="",$F1267='Assignment Builder'!$B$9),OR('Assignment Builder'!$B$10="",$O1267='Assignment Builder'!$B$10),OR('Assignment Builder'!$B$11="",$H1267&gt;='Assignment Builder'!$B$11),OR('Assignment Builder'!$B$12="",N($Q1267)&lt;='Assignment Builder'!$B$12)))</f>
        <v/>
      </c>
      <c r="T1267" s="23" t="n"/>
    </row>
    <row r="1268">
      <c r="A1268" s="23" t="n"/>
      <c r="B1268" s="23" t="n"/>
      <c r="C1268" s="24" t="n"/>
      <c r="D1268" s="15" t="n"/>
      <c r="E1268" s="23" t="n"/>
      <c r="F1268" s="15" t="n"/>
      <c r="G1268" s="23" t="n"/>
      <c r="H1268" s="25" t="n"/>
      <c r="I1268" s="15" t="n"/>
      <c r="J1268" s="26">
        <f>IF($A1268="","",LEN($C1268)-LEN(SUBSTITUTE($C1268,",",""))+1)</f>
        <v/>
      </c>
      <c r="K1268" s="26">
        <f>IF($A1268="","",SUMPRODUCT(--ISNUMBER(SEARCH('Category Dictionary'!$D$5:$D$135&amp;"",$C1268)),--('Category Dictionary'!$D$5:$D$135&lt;&gt;"")))</f>
        <v/>
      </c>
      <c r="L1268" s="27">
        <f>IF($A1268="","",TRIM(IF(ISERROR(FIND(",",$C1268)),$C1268,LEFT($C1268,FIND(",",$C1268)-1))))</f>
        <v/>
      </c>
      <c r="M1268" s="28">
        <f>IF($H1268="","",DATE(YEAR($H1268),MONTH($H1268),1))</f>
        <v/>
      </c>
      <c r="N1268" s="26">
        <f>IF($H1268="","",TODAY()-$H1268)</f>
        <v/>
      </c>
      <c r="O1268" s="15" t="n"/>
      <c r="P1268" s="15" t="n"/>
      <c r="Q1268" s="15" t="n"/>
      <c r="R1268" s="25" t="n"/>
      <c r="S1268" s="26">
        <f>IF($A1268="","",AND(OR('Assignment Builder'!$B$5="",$B1268='Assignment Builder'!$B$5),OR('Assignment Builder'!$B$6="",ISNUMBER(SEARCH('Assignment Builder'!$B$6,$C1268))),OR('Assignment Builder'!$B$7="",'Assignment Builder'!$B$7=IFERROR(INDEX('Category Dictionary'!$C$5:$C$135,MATCH($L1268,'Category Dictionary'!$D$5:$D$135,0)),"")),OR('Assignment Builder'!$B$8="",$D1268='Assignment Builder'!$B$8),OR('Assignment Builder'!$B$9="",$F1268='Assignment Builder'!$B$9),OR('Assignment Builder'!$B$10="",$O1268='Assignment Builder'!$B$10),OR('Assignment Builder'!$B$11="",$H1268&gt;='Assignment Builder'!$B$11),OR('Assignment Builder'!$B$12="",N($Q1268)&lt;='Assignment Builder'!$B$12)))</f>
        <v/>
      </c>
      <c r="T1268" s="23" t="n"/>
    </row>
    <row r="1269">
      <c r="A1269" s="23" t="n"/>
      <c r="B1269" s="23" t="n"/>
      <c r="C1269" s="24" t="n"/>
      <c r="D1269" s="15" t="n"/>
      <c r="E1269" s="23" t="n"/>
      <c r="F1269" s="15" t="n"/>
      <c r="G1269" s="23" t="n"/>
      <c r="H1269" s="25" t="n"/>
      <c r="I1269" s="15" t="n"/>
      <c r="J1269" s="26">
        <f>IF($A1269="","",LEN($C1269)-LEN(SUBSTITUTE($C1269,",",""))+1)</f>
        <v/>
      </c>
      <c r="K1269" s="26">
        <f>IF($A1269="","",SUMPRODUCT(--ISNUMBER(SEARCH('Category Dictionary'!$D$5:$D$135&amp;"",$C1269)),--('Category Dictionary'!$D$5:$D$135&lt;&gt;"")))</f>
        <v/>
      </c>
      <c r="L1269" s="27">
        <f>IF($A1269="","",TRIM(IF(ISERROR(FIND(",",$C1269)),$C1269,LEFT($C1269,FIND(",",$C1269)-1))))</f>
        <v/>
      </c>
      <c r="M1269" s="28">
        <f>IF($H1269="","",DATE(YEAR($H1269),MONTH($H1269),1))</f>
        <v/>
      </c>
      <c r="N1269" s="26">
        <f>IF($H1269="","",TODAY()-$H1269)</f>
        <v/>
      </c>
      <c r="O1269" s="15" t="n"/>
      <c r="P1269" s="15" t="n"/>
      <c r="Q1269" s="15" t="n"/>
      <c r="R1269" s="25" t="n"/>
      <c r="S1269" s="26">
        <f>IF($A1269="","",AND(OR('Assignment Builder'!$B$5="",$B1269='Assignment Builder'!$B$5),OR('Assignment Builder'!$B$6="",ISNUMBER(SEARCH('Assignment Builder'!$B$6,$C1269))),OR('Assignment Builder'!$B$7="",'Assignment Builder'!$B$7=IFERROR(INDEX('Category Dictionary'!$C$5:$C$135,MATCH($L1269,'Category Dictionary'!$D$5:$D$135,0)),"")),OR('Assignment Builder'!$B$8="",$D1269='Assignment Builder'!$B$8),OR('Assignment Builder'!$B$9="",$F1269='Assignment Builder'!$B$9),OR('Assignment Builder'!$B$10="",$O1269='Assignment Builder'!$B$10),OR('Assignment Builder'!$B$11="",$H1269&gt;='Assignment Builder'!$B$11),OR('Assignment Builder'!$B$12="",N($Q1269)&lt;='Assignment Builder'!$B$12)))</f>
        <v/>
      </c>
      <c r="T1269" s="23" t="n"/>
    </row>
    <row r="1270">
      <c r="A1270" s="23" t="n"/>
      <c r="B1270" s="23" t="n"/>
      <c r="C1270" s="24" t="n"/>
      <c r="D1270" s="15" t="n"/>
      <c r="E1270" s="23" t="n"/>
      <c r="F1270" s="15" t="n"/>
      <c r="G1270" s="23" t="n"/>
      <c r="H1270" s="25" t="n"/>
      <c r="I1270" s="15" t="n"/>
      <c r="J1270" s="26">
        <f>IF($A1270="","",LEN($C1270)-LEN(SUBSTITUTE($C1270,",",""))+1)</f>
        <v/>
      </c>
      <c r="K1270" s="26">
        <f>IF($A1270="","",SUMPRODUCT(--ISNUMBER(SEARCH('Category Dictionary'!$D$5:$D$135&amp;"",$C1270)),--('Category Dictionary'!$D$5:$D$135&lt;&gt;"")))</f>
        <v/>
      </c>
      <c r="L1270" s="27">
        <f>IF($A1270="","",TRIM(IF(ISERROR(FIND(",",$C1270)),$C1270,LEFT($C1270,FIND(",",$C1270)-1))))</f>
        <v/>
      </c>
      <c r="M1270" s="28">
        <f>IF($H1270="","",DATE(YEAR($H1270),MONTH($H1270),1))</f>
        <v/>
      </c>
      <c r="N1270" s="26">
        <f>IF($H1270="","",TODAY()-$H1270)</f>
        <v/>
      </c>
      <c r="O1270" s="15" t="n"/>
      <c r="P1270" s="15" t="n"/>
      <c r="Q1270" s="15" t="n"/>
      <c r="R1270" s="25" t="n"/>
      <c r="S1270" s="26">
        <f>IF($A1270="","",AND(OR('Assignment Builder'!$B$5="",$B1270='Assignment Builder'!$B$5),OR('Assignment Builder'!$B$6="",ISNUMBER(SEARCH('Assignment Builder'!$B$6,$C1270))),OR('Assignment Builder'!$B$7="",'Assignment Builder'!$B$7=IFERROR(INDEX('Category Dictionary'!$C$5:$C$135,MATCH($L1270,'Category Dictionary'!$D$5:$D$135,0)),"")),OR('Assignment Builder'!$B$8="",$D1270='Assignment Builder'!$B$8),OR('Assignment Builder'!$B$9="",$F1270='Assignment Builder'!$B$9),OR('Assignment Builder'!$B$10="",$O1270='Assignment Builder'!$B$10),OR('Assignment Builder'!$B$11="",$H1270&gt;='Assignment Builder'!$B$11),OR('Assignment Builder'!$B$12="",N($Q1270)&lt;='Assignment Builder'!$B$12)))</f>
        <v/>
      </c>
      <c r="T1270" s="23" t="n"/>
    </row>
    <row r="1271">
      <c r="A1271" s="23" t="n"/>
      <c r="B1271" s="23" t="n"/>
      <c r="C1271" s="24" t="n"/>
      <c r="D1271" s="15" t="n"/>
      <c r="E1271" s="23" t="n"/>
      <c r="F1271" s="15" t="n"/>
      <c r="G1271" s="23" t="n"/>
      <c r="H1271" s="25" t="n"/>
      <c r="I1271" s="15" t="n"/>
      <c r="J1271" s="26">
        <f>IF($A1271="","",LEN($C1271)-LEN(SUBSTITUTE($C1271,",",""))+1)</f>
        <v/>
      </c>
      <c r="K1271" s="26">
        <f>IF($A1271="","",SUMPRODUCT(--ISNUMBER(SEARCH('Category Dictionary'!$D$5:$D$135&amp;"",$C1271)),--('Category Dictionary'!$D$5:$D$135&lt;&gt;"")))</f>
        <v/>
      </c>
      <c r="L1271" s="27">
        <f>IF($A1271="","",TRIM(IF(ISERROR(FIND(",",$C1271)),$C1271,LEFT($C1271,FIND(",",$C1271)-1))))</f>
        <v/>
      </c>
      <c r="M1271" s="28">
        <f>IF($H1271="","",DATE(YEAR($H1271),MONTH($H1271),1))</f>
        <v/>
      </c>
      <c r="N1271" s="26">
        <f>IF($H1271="","",TODAY()-$H1271)</f>
        <v/>
      </c>
      <c r="O1271" s="15" t="n"/>
      <c r="P1271" s="15" t="n"/>
      <c r="Q1271" s="15" t="n"/>
      <c r="R1271" s="25" t="n"/>
      <c r="S1271" s="26">
        <f>IF($A1271="","",AND(OR('Assignment Builder'!$B$5="",$B1271='Assignment Builder'!$B$5),OR('Assignment Builder'!$B$6="",ISNUMBER(SEARCH('Assignment Builder'!$B$6,$C1271))),OR('Assignment Builder'!$B$7="",'Assignment Builder'!$B$7=IFERROR(INDEX('Category Dictionary'!$C$5:$C$135,MATCH($L1271,'Category Dictionary'!$D$5:$D$135,0)),"")),OR('Assignment Builder'!$B$8="",$D1271='Assignment Builder'!$B$8),OR('Assignment Builder'!$B$9="",$F1271='Assignment Builder'!$B$9),OR('Assignment Builder'!$B$10="",$O1271='Assignment Builder'!$B$10),OR('Assignment Builder'!$B$11="",$H1271&gt;='Assignment Builder'!$B$11),OR('Assignment Builder'!$B$12="",N($Q1271)&lt;='Assignment Builder'!$B$12)))</f>
        <v/>
      </c>
      <c r="T1271" s="23" t="n"/>
    </row>
    <row r="1272">
      <c r="A1272" s="23" t="n"/>
      <c r="B1272" s="23" t="n"/>
      <c r="C1272" s="24" t="n"/>
      <c r="D1272" s="15" t="n"/>
      <c r="E1272" s="23" t="n"/>
      <c r="F1272" s="15" t="n"/>
      <c r="G1272" s="23" t="n"/>
      <c r="H1272" s="25" t="n"/>
      <c r="I1272" s="15" t="n"/>
      <c r="J1272" s="26">
        <f>IF($A1272="","",LEN($C1272)-LEN(SUBSTITUTE($C1272,",",""))+1)</f>
        <v/>
      </c>
      <c r="K1272" s="26">
        <f>IF($A1272="","",SUMPRODUCT(--ISNUMBER(SEARCH('Category Dictionary'!$D$5:$D$135&amp;"",$C1272)),--('Category Dictionary'!$D$5:$D$135&lt;&gt;"")))</f>
        <v/>
      </c>
      <c r="L1272" s="27">
        <f>IF($A1272="","",TRIM(IF(ISERROR(FIND(",",$C1272)),$C1272,LEFT($C1272,FIND(",",$C1272)-1))))</f>
        <v/>
      </c>
      <c r="M1272" s="28">
        <f>IF($H1272="","",DATE(YEAR($H1272),MONTH($H1272),1))</f>
        <v/>
      </c>
      <c r="N1272" s="26">
        <f>IF($H1272="","",TODAY()-$H1272)</f>
        <v/>
      </c>
      <c r="O1272" s="15" t="n"/>
      <c r="P1272" s="15" t="n"/>
      <c r="Q1272" s="15" t="n"/>
      <c r="R1272" s="25" t="n"/>
      <c r="S1272" s="26">
        <f>IF($A1272="","",AND(OR('Assignment Builder'!$B$5="",$B1272='Assignment Builder'!$B$5),OR('Assignment Builder'!$B$6="",ISNUMBER(SEARCH('Assignment Builder'!$B$6,$C1272))),OR('Assignment Builder'!$B$7="",'Assignment Builder'!$B$7=IFERROR(INDEX('Category Dictionary'!$C$5:$C$135,MATCH($L1272,'Category Dictionary'!$D$5:$D$135,0)),"")),OR('Assignment Builder'!$B$8="",$D1272='Assignment Builder'!$B$8),OR('Assignment Builder'!$B$9="",$F1272='Assignment Builder'!$B$9),OR('Assignment Builder'!$B$10="",$O1272='Assignment Builder'!$B$10),OR('Assignment Builder'!$B$11="",$H1272&gt;='Assignment Builder'!$B$11),OR('Assignment Builder'!$B$12="",N($Q1272)&lt;='Assignment Builder'!$B$12)))</f>
        <v/>
      </c>
      <c r="T1272" s="23" t="n"/>
    </row>
    <row r="1273">
      <c r="A1273" s="23" t="n"/>
      <c r="B1273" s="23" t="n"/>
      <c r="C1273" s="24" t="n"/>
      <c r="D1273" s="15" t="n"/>
      <c r="E1273" s="23" t="n"/>
      <c r="F1273" s="15" t="n"/>
      <c r="G1273" s="23" t="n"/>
      <c r="H1273" s="25" t="n"/>
      <c r="I1273" s="15" t="n"/>
      <c r="J1273" s="26">
        <f>IF($A1273="","",LEN($C1273)-LEN(SUBSTITUTE($C1273,",",""))+1)</f>
        <v/>
      </c>
      <c r="K1273" s="26">
        <f>IF($A1273="","",SUMPRODUCT(--ISNUMBER(SEARCH('Category Dictionary'!$D$5:$D$135&amp;"",$C1273)),--('Category Dictionary'!$D$5:$D$135&lt;&gt;"")))</f>
        <v/>
      </c>
      <c r="L1273" s="27">
        <f>IF($A1273="","",TRIM(IF(ISERROR(FIND(",",$C1273)),$C1273,LEFT($C1273,FIND(",",$C1273)-1))))</f>
        <v/>
      </c>
      <c r="M1273" s="28">
        <f>IF($H1273="","",DATE(YEAR($H1273),MONTH($H1273),1))</f>
        <v/>
      </c>
      <c r="N1273" s="26">
        <f>IF($H1273="","",TODAY()-$H1273)</f>
        <v/>
      </c>
      <c r="O1273" s="15" t="n"/>
      <c r="P1273" s="15" t="n"/>
      <c r="Q1273" s="15" t="n"/>
      <c r="R1273" s="25" t="n"/>
      <c r="S1273" s="26">
        <f>IF($A1273="","",AND(OR('Assignment Builder'!$B$5="",$B1273='Assignment Builder'!$B$5),OR('Assignment Builder'!$B$6="",ISNUMBER(SEARCH('Assignment Builder'!$B$6,$C1273))),OR('Assignment Builder'!$B$7="",'Assignment Builder'!$B$7=IFERROR(INDEX('Category Dictionary'!$C$5:$C$135,MATCH($L1273,'Category Dictionary'!$D$5:$D$135,0)),"")),OR('Assignment Builder'!$B$8="",$D1273='Assignment Builder'!$B$8),OR('Assignment Builder'!$B$9="",$F1273='Assignment Builder'!$B$9),OR('Assignment Builder'!$B$10="",$O1273='Assignment Builder'!$B$10),OR('Assignment Builder'!$B$11="",$H1273&gt;='Assignment Builder'!$B$11),OR('Assignment Builder'!$B$12="",N($Q1273)&lt;='Assignment Builder'!$B$12)))</f>
        <v/>
      </c>
      <c r="T1273" s="23" t="n"/>
    </row>
    <row r="1274">
      <c r="A1274" s="23" t="n"/>
      <c r="B1274" s="23" t="n"/>
      <c r="C1274" s="24" t="n"/>
      <c r="D1274" s="15" t="n"/>
      <c r="E1274" s="23" t="n"/>
      <c r="F1274" s="15" t="n"/>
      <c r="G1274" s="23" t="n"/>
      <c r="H1274" s="25" t="n"/>
      <c r="I1274" s="15" t="n"/>
      <c r="J1274" s="26">
        <f>IF($A1274="","",LEN($C1274)-LEN(SUBSTITUTE($C1274,",",""))+1)</f>
        <v/>
      </c>
      <c r="K1274" s="26">
        <f>IF($A1274="","",SUMPRODUCT(--ISNUMBER(SEARCH('Category Dictionary'!$D$5:$D$135&amp;"",$C1274)),--('Category Dictionary'!$D$5:$D$135&lt;&gt;"")))</f>
        <v/>
      </c>
      <c r="L1274" s="27">
        <f>IF($A1274="","",TRIM(IF(ISERROR(FIND(",",$C1274)),$C1274,LEFT($C1274,FIND(",",$C1274)-1))))</f>
        <v/>
      </c>
      <c r="M1274" s="28">
        <f>IF($H1274="","",DATE(YEAR($H1274),MONTH($H1274),1))</f>
        <v/>
      </c>
      <c r="N1274" s="26">
        <f>IF($H1274="","",TODAY()-$H1274)</f>
        <v/>
      </c>
      <c r="O1274" s="15" t="n"/>
      <c r="P1274" s="15" t="n"/>
      <c r="Q1274" s="15" t="n"/>
      <c r="R1274" s="25" t="n"/>
      <c r="S1274" s="26">
        <f>IF($A1274="","",AND(OR('Assignment Builder'!$B$5="",$B1274='Assignment Builder'!$B$5),OR('Assignment Builder'!$B$6="",ISNUMBER(SEARCH('Assignment Builder'!$B$6,$C1274))),OR('Assignment Builder'!$B$7="",'Assignment Builder'!$B$7=IFERROR(INDEX('Category Dictionary'!$C$5:$C$135,MATCH($L1274,'Category Dictionary'!$D$5:$D$135,0)),"")),OR('Assignment Builder'!$B$8="",$D1274='Assignment Builder'!$B$8),OR('Assignment Builder'!$B$9="",$F1274='Assignment Builder'!$B$9),OR('Assignment Builder'!$B$10="",$O1274='Assignment Builder'!$B$10),OR('Assignment Builder'!$B$11="",$H1274&gt;='Assignment Builder'!$B$11),OR('Assignment Builder'!$B$12="",N($Q1274)&lt;='Assignment Builder'!$B$12)))</f>
        <v/>
      </c>
      <c r="T1274" s="23" t="n"/>
    </row>
    <row r="1275">
      <c r="A1275" s="23" t="n"/>
      <c r="B1275" s="23" t="n"/>
      <c r="C1275" s="24" t="n"/>
      <c r="D1275" s="15" t="n"/>
      <c r="E1275" s="23" t="n"/>
      <c r="F1275" s="15" t="n"/>
      <c r="G1275" s="23" t="n"/>
      <c r="H1275" s="25" t="n"/>
      <c r="I1275" s="15" t="n"/>
      <c r="J1275" s="26">
        <f>IF($A1275="","",LEN($C1275)-LEN(SUBSTITUTE($C1275,",",""))+1)</f>
        <v/>
      </c>
      <c r="K1275" s="26">
        <f>IF($A1275="","",SUMPRODUCT(--ISNUMBER(SEARCH('Category Dictionary'!$D$5:$D$135&amp;"",$C1275)),--('Category Dictionary'!$D$5:$D$135&lt;&gt;"")))</f>
        <v/>
      </c>
      <c r="L1275" s="27">
        <f>IF($A1275="","",TRIM(IF(ISERROR(FIND(",",$C1275)),$C1275,LEFT($C1275,FIND(",",$C1275)-1))))</f>
        <v/>
      </c>
      <c r="M1275" s="28">
        <f>IF($H1275="","",DATE(YEAR($H1275),MONTH($H1275),1))</f>
        <v/>
      </c>
      <c r="N1275" s="26">
        <f>IF($H1275="","",TODAY()-$H1275)</f>
        <v/>
      </c>
      <c r="O1275" s="15" t="n"/>
      <c r="P1275" s="15" t="n"/>
      <c r="Q1275" s="15" t="n"/>
      <c r="R1275" s="25" t="n"/>
      <c r="S1275" s="26">
        <f>IF($A1275="","",AND(OR('Assignment Builder'!$B$5="",$B1275='Assignment Builder'!$B$5),OR('Assignment Builder'!$B$6="",ISNUMBER(SEARCH('Assignment Builder'!$B$6,$C1275))),OR('Assignment Builder'!$B$7="",'Assignment Builder'!$B$7=IFERROR(INDEX('Category Dictionary'!$C$5:$C$135,MATCH($L1275,'Category Dictionary'!$D$5:$D$135,0)),"")),OR('Assignment Builder'!$B$8="",$D1275='Assignment Builder'!$B$8),OR('Assignment Builder'!$B$9="",$F1275='Assignment Builder'!$B$9),OR('Assignment Builder'!$B$10="",$O1275='Assignment Builder'!$B$10),OR('Assignment Builder'!$B$11="",$H1275&gt;='Assignment Builder'!$B$11),OR('Assignment Builder'!$B$12="",N($Q1275)&lt;='Assignment Builder'!$B$12)))</f>
        <v/>
      </c>
      <c r="T1275" s="23" t="n"/>
    </row>
    <row r="1276">
      <c r="A1276" s="23" t="n"/>
      <c r="B1276" s="23" t="n"/>
      <c r="C1276" s="24" t="n"/>
      <c r="D1276" s="15" t="n"/>
      <c r="E1276" s="23" t="n"/>
      <c r="F1276" s="15" t="n"/>
      <c r="G1276" s="23" t="n"/>
      <c r="H1276" s="25" t="n"/>
      <c r="I1276" s="15" t="n"/>
      <c r="J1276" s="26">
        <f>IF($A1276="","",LEN($C1276)-LEN(SUBSTITUTE($C1276,",",""))+1)</f>
        <v/>
      </c>
      <c r="K1276" s="26">
        <f>IF($A1276="","",SUMPRODUCT(--ISNUMBER(SEARCH('Category Dictionary'!$D$5:$D$135&amp;"",$C1276)),--('Category Dictionary'!$D$5:$D$135&lt;&gt;"")))</f>
        <v/>
      </c>
      <c r="L1276" s="27">
        <f>IF($A1276="","",TRIM(IF(ISERROR(FIND(",",$C1276)),$C1276,LEFT($C1276,FIND(",",$C1276)-1))))</f>
        <v/>
      </c>
      <c r="M1276" s="28">
        <f>IF($H1276="","",DATE(YEAR($H1276),MONTH($H1276),1))</f>
        <v/>
      </c>
      <c r="N1276" s="26">
        <f>IF($H1276="","",TODAY()-$H1276)</f>
        <v/>
      </c>
      <c r="O1276" s="15" t="n"/>
      <c r="P1276" s="15" t="n"/>
      <c r="Q1276" s="15" t="n"/>
      <c r="R1276" s="25" t="n"/>
      <c r="S1276" s="26">
        <f>IF($A1276="","",AND(OR('Assignment Builder'!$B$5="",$B1276='Assignment Builder'!$B$5),OR('Assignment Builder'!$B$6="",ISNUMBER(SEARCH('Assignment Builder'!$B$6,$C1276))),OR('Assignment Builder'!$B$7="",'Assignment Builder'!$B$7=IFERROR(INDEX('Category Dictionary'!$C$5:$C$135,MATCH($L1276,'Category Dictionary'!$D$5:$D$135,0)),"")),OR('Assignment Builder'!$B$8="",$D1276='Assignment Builder'!$B$8),OR('Assignment Builder'!$B$9="",$F1276='Assignment Builder'!$B$9),OR('Assignment Builder'!$B$10="",$O1276='Assignment Builder'!$B$10),OR('Assignment Builder'!$B$11="",$H1276&gt;='Assignment Builder'!$B$11),OR('Assignment Builder'!$B$12="",N($Q1276)&lt;='Assignment Builder'!$B$12)))</f>
        <v/>
      </c>
      <c r="T1276" s="23" t="n"/>
    </row>
    <row r="1277">
      <c r="A1277" s="23" t="n"/>
      <c r="B1277" s="23" t="n"/>
      <c r="C1277" s="24" t="n"/>
      <c r="D1277" s="15" t="n"/>
      <c r="E1277" s="23" t="n"/>
      <c r="F1277" s="15" t="n"/>
      <c r="G1277" s="23" t="n"/>
      <c r="H1277" s="25" t="n"/>
      <c r="I1277" s="15" t="n"/>
      <c r="J1277" s="26">
        <f>IF($A1277="","",LEN($C1277)-LEN(SUBSTITUTE($C1277,",",""))+1)</f>
        <v/>
      </c>
      <c r="K1277" s="26">
        <f>IF($A1277="","",SUMPRODUCT(--ISNUMBER(SEARCH('Category Dictionary'!$D$5:$D$135&amp;"",$C1277)),--('Category Dictionary'!$D$5:$D$135&lt;&gt;"")))</f>
        <v/>
      </c>
      <c r="L1277" s="27">
        <f>IF($A1277="","",TRIM(IF(ISERROR(FIND(",",$C1277)),$C1277,LEFT($C1277,FIND(",",$C1277)-1))))</f>
        <v/>
      </c>
      <c r="M1277" s="28">
        <f>IF($H1277="","",DATE(YEAR($H1277),MONTH($H1277),1))</f>
        <v/>
      </c>
      <c r="N1277" s="26">
        <f>IF($H1277="","",TODAY()-$H1277)</f>
        <v/>
      </c>
      <c r="O1277" s="15" t="n"/>
      <c r="P1277" s="15" t="n"/>
      <c r="Q1277" s="15" t="n"/>
      <c r="R1277" s="25" t="n"/>
      <c r="S1277" s="26">
        <f>IF($A1277="","",AND(OR('Assignment Builder'!$B$5="",$B1277='Assignment Builder'!$B$5),OR('Assignment Builder'!$B$6="",ISNUMBER(SEARCH('Assignment Builder'!$B$6,$C1277))),OR('Assignment Builder'!$B$7="",'Assignment Builder'!$B$7=IFERROR(INDEX('Category Dictionary'!$C$5:$C$135,MATCH($L1277,'Category Dictionary'!$D$5:$D$135,0)),"")),OR('Assignment Builder'!$B$8="",$D1277='Assignment Builder'!$B$8),OR('Assignment Builder'!$B$9="",$F1277='Assignment Builder'!$B$9),OR('Assignment Builder'!$B$10="",$O1277='Assignment Builder'!$B$10),OR('Assignment Builder'!$B$11="",$H1277&gt;='Assignment Builder'!$B$11),OR('Assignment Builder'!$B$12="",N($Q1277)&lt;='Assignment Builder'!$B$12)))</f>
        <v/>
      </c>
      <c r="T1277" s="23" t="n"/>
    </row>
    <row r="1278">
      <c r="A1278" s="23" t="n"/>
      <c r="B1278" s="23" t="n"/>
      <c r="C1278" s="24" t="n"/>
      <c r="D1278" s="15" t="n"/>
      <c r="E1278" s="23" t="n"/>
      <c r="F1278" s="15" t="n"/>
      <c r="G1278" s="23" t="n"/>
      <c r="H1278" s="25" t="n"/>
      <c r="I1278" s="15" t="n"/>
      <c r="J1278" s="26">
        <f>IF($A1278="","",LEN($C1278)-LEN(SUBSTITUTE($C1278,",",""))+1)</f>
        <v/>
      </c>
      <c r="K1278" s="26">
        <f>IF($A1278="","",SUMPRODUCT(--ISNUMBER(SEARCH('Category Dictionary'!$D$5:$D$135&amp;"",$C1278)),--('Category Dictionary'!$D$5:$D$135&lt;&gt;"")))</f>
        <v/>
      </c>
      <c r="L1278" s="27">
        <f>IF($A1278="","",TRIM(IF(ISERROR(FIND(",",$C1278)),$C1278,LEFT($C1278,FIND(",",$C1278)-1))))</f>
        <v/>
      </c>
      <c r="M1278" s="28">
        <f>IF($H1278="","",DATE(YEAR($H1278),MONTH($H1278),1))</f>
        <v/>
      </c>
      <c r="N1278" s="26">
        <f>IF($H1278="","",TODAY()-$H1278)</f>
        <v/>
      </c>
      <c r="O1278" s="15" t="n"/>
      <c r="P1278" s="15" t="n"/>
      <c r="Q1278" s="15" t="n"/>
      <c r="R1278" s="25" t="n"/>
      <c r="S1278" s="26">
        <f>IF($A1278="","",AND(OR('Assignment Builder'!$B$5="",$B1278='Assignment Builder'!$B$5),OR('Assignment Builder'!$B$6="",ISNUMBER(SEARCH('Assignment Builder'!$B$6,$C1278))),OR('Assignment Builder'!$B$7="",'Assignment Builder'!$B$7=IFERROR(INDEX('Category Dictionary'!$C$5:$C$135,MATCH($L1278,'Category Dictionary'!$D$5:$D$135,0)),"")),OR('Assignment Builder'!$B$8="",$D1278='Assignment Builder'!$B$8),OR('Assignment Builder'!$B$9="",$F1278='Assignment Builder'!$B$9),OR('Assignment Builder'!$B$10="",$O1278='Assignment Builder'!$B$10),OR('Assignment Builder'!$B$11="",$H1278&gt;='Assignment Builder'!$B$11),OR('Assignment Builder'!$B$12="",N($Q1278)&lt;='Assignment Builder'!$B$12)))</f>
        <v/>
      </c>
      <c r="T1278" s="23" t="n"/>
    </row>
    <row r="1279">
      <c r="A1279" s="23" t="n"/>
      <c r="B1279" s="23" t="n"/>
      <c r="C1279" s="24" t="n"/>
      <c r="D1279" s="15" t="n"/>
      <c r="E1279" s="23" t="n"/>
      <c r="F1279" s="15" t="n"/>
      <c r="G1279" s="23" t="n"/>
      <c r="H1279" s="25" t="n"/>
      <c r="I1279" s="15" t="n"/>
      <c r="J1279" s="26">
        <f>IF($A1279="","",LEN($C1279)-LEN(SUBSTITUTE($C1279,",",""))+1)</f>
        <v/>
      </c>
      <c r="K1279" s="26">
        <f>IF($A1279="","",SUMPRODUCT(--ISNUMBER(SEARCH('Category Dictionary'!$D$5:$D$135&amp;"",$C1279)),--('Category Dictionary'!$D$5:$D$135&lt;&gt;"")))</f>
        <v/>
      </c>
      <c r="L1279" s="27">
        <f>IF($A1279="","",TRIM(IF(ISERROR(FIND(",",$C1279)),$C1279,LEFT($C1279,FIND(",",$C1279)-1))))</f>
        <v/>
      </c>
      <c r="M1279" s="28">
        <f>IF($H1279="","",DATE(YEAR($H1279),MONTH($H1279),1))</f>
        <v/>
      </c>
      <c r="N1279" s="26">
        <f>IF($H1279="","",TODAY()-$H1279)</f>
        <v/>
      </c>
      <c r="O1279" s="15" t="n"/>
      <c r="P1279" s="15" t="n"/>
      <c r="Q1279" s="15" t="n"/>
      <c r="R1279" s="25" t="n"/>
      <c r="S1279" s="26">
        <f>IF($A1279="","",AND(OR('Assignment Builder'!$B$5="",$B1279='Assignment Builder'!$B$5),OR('Assignment Builder'!$B$6="",ISNUMBER(SEARCH('Assignment Builder'!$B$6,$C1279))),OR('Assignment Builder'!$B$7="",'Assignment Builder'!$B$7=IFERROR(INDEX('Category Dictionary'!$C$5:$C$135,MATCH($L1279,'Category Dictionary'!$D$5:$D$135,0)),"")),OR('Assignment Builder'!$B$8="",$D1279='Assignment Builder'!$B$8),OR('Assignment Builder'!$B$9="",$F1279='Assignment Builder'!$B$9),OR('Assignment Builder'!$B$10="",$O1279='Assignment Builder'!$B$10),OR('Assignment Builder'!$B$11="",$H1279&gt;='Assignment Builder'!$B$11),OR('Assignment Builder'!$B$12="",N($Q1279)&lt;='Assignment Builder'!$B$12)))</f>
        <v/>
      </c>
      <c r="T1279" s="23" t="n"/>
    </row>
    <row r="1280">
      <c r="A1280" s="23" t="n"/>
      <c r="B1280" s="23" t="n"/>
      <c r="C1280" s="24" t="n"/>
      <c r="D1280" s="15" t="n"/>
      <c r="E1280" s="23" t="n"/>
      <c r="F1280" s="15" t="n"/>
      <c r="G1280" s="23" t="n"/>
      <c r="H1280" s="25" t="n"/>
      <c r="I1280" s="15" t="n"/>
      <c r="J1280" s="26">
        <f>IF($A1280="","",LEN($C1280)-LEN(SUBSTITUTE($C1280,",",""))+1)</f>
        <v/>
      </c>
      <c r="K1280" s="26">
        <f>IF($A1280="","",SUMPRODUCT(--ISNUMBER(SEARCH('Category Dictionary'!$D$5:$D$135&amp;"",$C1280)),--('Category Dictionary'!$D$5:$D$135&lt;&gt;"")))</f>
        <v/>
      </c>
      <c r="L1280" s="27">
        <f>IF($A1280="","",TRIM(IF(ISERROR(FIND(",",$C1280)),$C1280,LEFT($C1280,FIND(",",$C1280)-1))))</f>
        <v/>
      </c>
      <c r="M1280" s="28">
        <f>IF($H1280="","",DATE(YEAR($H1280),MONTH($H1280),1))</f>
        <v/>
      </c>
      <c r="N1280" s="26">
        <f>IF($H1280="","",TODAY()-$H1280)</f>
        <v/>
      </c>
      <c r="O1280" s="15" t="n"/>
      <c r="P1280" s="15" t="n"/>
      <c r="Q1280" s="15" t="n"/>
      <c r="R1280" s="25" t="n"/>
      <c r="S1280" s="26">
        <f>IF($A1280="","",AND(OR('Assignment Builder'!$B$5="",$B1280='Assignment Builder'!$B$5),OR('Assignment Builder'!$B$6="",ISNUMBER(SEARCH('Assignment Builder'!$B$6,$C1280))),OR('Assignment Builder'!$B$7="",'Assignment Builder'!$B$7=IFERROR(INDEX('Category Dictionary'!$C$5:$C$135,MATCH($L1280,'Category Dictionary'!$D$5:$D$135,0)),"")),OR('Assignment Builder'!$B$8="",$D1280='Assignment Builder'!$B$8),OR('Assignment Builder'!$B$9="",$F1280='Assignment Builder'!$B$9),OR('Assignment Builder'!$B$10="",$O1280='Assignment Builder'!$B$10),OR('Assignment Builder'!$B$11="",$H1280&gt;='Assignment Builder'!$B$11),OR('Assignment Builder'!$B$12="",N($Q1280)&lt;='Assignment Builder'!$B$12)))</f>
        <v/>
      </c>
      <c r="T1280" s="23" t="n"/>
    </row>
    <row r="1281">
      <c r="A1281" s="23" t="n"/>
      <c r="B1281" s="23" t="n"/>
      <c r="C1281" s="24" t="n"/>
      <c r="D1281" s="15" t="n"/>
      <c r="E1281" s="23" t="n"/>
      <c r="F1281" s="15" t="n"/>
      <c r="G1281" s="23" t="n"/>
      <c r="H1281" s="25" t="n"/>
      <c r="I1281" s="15" t="n"/>
      <c r="J1281" s="26">
        <f>IF($A1281="","",LEN($C1281)-LEN(SUBSTITUTE($C1281,",",""))+1)</f>
        <v/>
      </c>
      <c r="K1281" s="26">
        <f>IF($A1281="","",SUMPRODUCT(--ISNUMBER(SEARCH('Category Dictionary'!$D$5:$D$135&amp;"",$C1281)),--('Category Dictionary'!$D$5:$D$135&lt;&gt;"")))</f>
        <v/>
      </c>
      <c r="L1281" s="27">
        <f>IF($A1281="","",TRIM(IF(ISERROR(FIND(",",$C1281)),$C1281,LEFT($C1281,FIND(",",$C1281)-1))))</f>
        <v/>
      </c>
      <c r="M1281" s="28">
        <f>IF($H1281="","",DATE(YEAR($H1281),MONTH($H1281),1))</f>
        <v/>
      </c>
      <c r="N1281" s="26">
        <f>IF($H1281="","",TODAY()-$H1281)</f>
        <v/>
      </c>
      <c r="O1281" s="15" t="n"/>
      <c r="P1281" s="15" t="n"/>
      <c r="Q1281" s="15" t="n"/>
      <c r="R1281" s="25" t="n"/>
      <c r="S1281" s="26">
        <f>IF($A1281="","",AND(OR('Assignment Builder'!$B$5="",$B1281='Assignment Builder'!$B$5),OR('Assignment Builder'!$B$6="",ISNUMBER(SEARCH('Assignment Builder'!$B$6,$C1281))),OR('Assignment Builder'!$B$7="",'Assignment Builder'!$B$7=IFERROR(INDEX('Category Dictionary'!$C$5:$C$135,MATCH($L1281,'Category Dictionary'!$D$5:$D$135,0)),"")),OR('Assignment Builder'!$B$8="",$D1281='Assignment Builder'!$B$8),OR('Assignment Builder'!$B$9="",$F1281='Assignment Builder'!$B$9),OR('Assignment Builder'!$B$10="",$O1281='Assignment Builder'!$B$10),OR('Assignment Builder'!$B$11="",$H1281&gt;='Assignment Builder'!$B$11),OR('Assignment Builder'!$B$12="",N($Q1281)&lt;='Assignment Builder'!$B$12)))</f>
        <v/>
      </c>
      <c r="T1281" s="23" t="n"/>
    </row>
    <row r="1282">
      <c r="A1282" s="23" t="n"/>
      <c r="B1282" s="23" t="n"/>
      <c r="C1282" s="24" t="n"/>
      <c r="D1282" s="15" t="n"/>
      <c r="E1282" s="23" t="n"/>
      <c r="F1282" s="15" t="n"/>
      <c r="G1282" s="23" t="n"/>
      <c r="H1282" s="25" t="n"/>
      <c r="I1282" s="15" t="n"/>
      <c r="J1282" s="26">
        <f>IF($A1282="","",LEN($C1282)-LEN(SUBSTITUTE($C1282,",",""))+1)</f>
        <v/>
      </c>
      <c r="K1282" s="26">
        <f>IF($A1282="","",SUMPRODUCT(--ISNUMBER(SEARCH('Category Dictionary'!$D$5:$D$135&amp;"",$C1282)),--('Category Dictionary'!$D$5:$D$135&lt;&gt;"")))</f>
        <v/>
      </c>
      <c r="L1282" s="27">
        <f>IF($A1282="","",TRIM(IF(ISERROR(FIND(",",$C1282)),$C1282,LEFT($C1282,FIND(",",$C1282)-1))))</f>
        <v/>
      </c>
      <c r="M1282" s="28">
        <f>IF($H1282="","",DATE(YEAR($H1282),MONTH($H1282),1))</f>
        <v/>
      </c>
      <c r="N1282" s="26">
        <f>IF($H1282="","",TODAY()-$H1282)</f>
        <v/>
      </c>
      <c r="O1282" s="15" t="n"/>
      <c r="P1282" s="15" t="n"/>
      <c r="Q1282" s="15" t="n"/>
      <c r="R1282" s="25" t="n"/>
      <c r="S1282" s="26">
        <f>IF($A1282="","",AND(OR('Assignment Builder'!$B$5="",$B1282='Assignment Builder'!$B$5),OR('Assignment Builder'!$B$6="",ISNUMBER(SEARCH('Assignment Builder'!$B$6,$C1282))),OR('Assignment Builder'!$B$7="",'Assignment Builder'!$B$7=IFERROR(INDEX('Category Dictionary'!$C$5:$C$135,MATCH($L1282,'Category Dictionary'!$D$5:$D$135,0)),"")),OR('Assignment Builder'!$B$8="",$D1282='Assignment Builder'!$B$8),OR('Assignment Builder'!$B$9="",$F1282='Assignment Builder'!$B$9),OR('Assignment Builder'!$B$10="",$O1282='Assignment Builder'!$B$10),OR('Assignment Builder'!$B$11="",$H1282&gt;='Assignment Builder'!$B$11),OR('Assignment Builder'!$B$12="",N($Q1282)&lt;='Assignment Builder'!$B$12)))</f>
        <v/>
      </c>
      <c r="T1282" s="23" t="n"/>
    </row>
    <row r="1283">
      <c r="A1283" s="23" t="n"/>
      <c r="B1283" s="23" t="n"/>
      <c r="C1283" s="24" t="n"/>
      <c r="D1283" s="15" t="n"/>
      <c r="E1283" s="23" t="n"/>
      <c r="F1283" s="15" t="n"/>
      <c r="G1283" s="23" t="n"/>
      <c r="H1283" s="25" t="n"/>
      <c r="I1283" s="15" t="n"/>
      <c r="J1283" s="26">
        <f>IF($A1283="","",LEN($C1283)-LEN(SUBSTITUTE($C1283,",",""))+1)</f>
        <v/>
      </c>
      <c r="K1283" s="26">
        <f>IF($A1283="","",SUMPRODUCT(--ISNUMBER(SEARCH('Category Dictionary'!$D$5:$D$135&amp;"",$C1283)),--('Category Dictionary'!$D$5:$D$135&lt;&gt;"")))</f>
        <v/>
      </c>
      <c r="L1283" s="27">
        <f>IF($A1283="","",TRIM(IF(ISERROR(FIND(",",$C1283)),$C1283,LEFT($C1283,FIND(",",$C1283)-1))))</f>
        <v/>
      </c>
      <c r="M1283" s="28">
        <f>IF($H1283="","",DATE(YEAR($H1283),MONTH($H1283),1))</f>
        <v/>
      </c>
      <c r="N1283" s="26">
        <f>IF($H1283="","",TODAY()-$H1283)</f>
        <v/>
      </c>
      <c r="O1283" s="15" t="n"/>
      <c r="P1283" s="15" t="n"/>
      <c r="Q1283" s="15" t="n"/>
      <c r="R1283" s="25" t="n"/>
      <c r="S1283" s="26">
        <f>IF($A1283="","",AND(OR('Assignment Builder'!$B$5="",$B1283='Assignment Builder'!$B$5),OR('Assignment Builder'!$B$6="",ISNUMBER(SEARCH('Assignment Builder'!$B$6,$C1283))),OR('Assignment Builder'!$B$7="",'Assignment Builder'!$B$7=IFERROR(INDEX('Category Dictionary'!$C$5:$C$135,MATCH($L1283,'Category Dictionary'!$D$5:$D$135,0)),"")),OR('Assignment Builder'!$B$8="",$D1283='Assignment Builder'!$B$8),OR('Assignment Builder'!$B$9="",$F1283='Assignment Builder'!$B$9),OR('Assignment Builder'!$B$10="",$O1283='Assignment Builder'!$B$10),OR('Assignment Builder'!$B$11="",$H1283&gt;='Assignment Builder'!$B$11),OR('Assignment Builder'!$B$12="",N($Q1283)&lt;='Assignment Builder'!$B$12)))</f>
        <v/>
      </c>
      <c r="T1283" s="23" t="n"/>
    </row>
    <row r="1284">
      <c r="A1284" s="23" t="n"/>
      <c r="B1284" s="23" t="n"/>
      <c r="C1284" s="24" t="n"/>
      <c r="D1284" s="15" t="n"/>
      <c r="E1284" s="23" t="n"/>
      <c r="F1284" s="15" t="n"/>
      <c r="G1284" s="23" t="n"/>
      <c r="H1284" s="25" t="n"/>
      <c r="I1284" s="15" t="n"/>
      <c r="J1284" s="26">
        <f>IF($A1284="","",LEN($C1284)-LEN(SUBSTITUTE($C1284,",",""))+1)</f>
        <v/>
      </c>
      <c r="K1284" s="26">
        <f>IF($A1284="","",SUMPRODUCT(--ISNUMBER(SEARCH('Category Dictionary'!$D$5:$D$135&amp;"",$C1284)),--('Category Dictionary'!$D$5:$D$135&lt;&gt;"")))</f>
        <v/>
      </c>
      <c r="L1284" s="27">
        <f>IF($A1284="","",TRIM(IF(ISERROR(FIND(",",$C1284)),$C1284,LEFT($C1284,FIND(",",$C1284)-1))))</f>
        <v/>
      </c>
      <c r="M1284" s="28">
        <f>IF($H1284="","",DATE(YEAR($H1284),MONTH($H1284),1))</f>
        <v/>
      </c>
      <c r="N1284" s="26">
        <f>IF($H1284="","",TODAY()-$H1284)</f>
        <v/>
      </c>
      <c r="O1284" s="15" t="n"/>
      <c r="P1284" s="15" t="n"/>
      <c r="Q1284" s="15" t="n"/>
      <c r="R1284" s="25" t="n"/>
      <c r="S1284" s="26">
        <f>IF($A1284="","",AND(OR('Assignment Builder'!$B$5="",$B1284='Assignment Builder'!$B$5),OR('Assignment Builder'!$B$6="",ISNUMBER(SEARCH('Assignment Builder'!$B$6,$C1284))),OR('Assignment Builder'!$B$7="",'Assignment Builder'!$B$7=IFERROR(INDEX('Category Dictionary'!$C$5:$C$135,MATCH($L1284,'Category Dictionary'!$D$5:$D$135,0)),"")),OR('Assignment Builder'!$B$8="",$D1284='Assignment Builder'!$B$8),OR('Assignment Builder'!$B$9="",$F1284='Assignment Builder'!$B$9),OR('Assignment Builder'!$B$10="",$O1284='Assignment Builder'!$B$10),OR('Assignment Builder'!$B$11="",$H1284&gt;='Assignment Builder'!$B$11),OR('Assignment Builder'!$B$12="",N($Q1284)&lt;='Assignment Builder'!$B$12)))</f>
        <v/>
      </c>
      <c r="T1284" s="23" t="n"/>
    </row>
    <row r="1285">
      <c r="A1285" s="23" t="n"/>
      <c r="B1285" s="23" t="n"/>
      <c r="C1285" s="24" t="n"/>
      <c r="D1285" s="15" t="n"/>
      <c r="E1285" s="23" t="n"/>
      <c r="F1285" s="15" t="n"/>
      <c r="G1285" s="23" t="n"/>
      <c r="H1285" s="25" t="n"/>
      <c r="I1285" s="15" t="n"/>
      <c r="J1285" s="26">
        <f>IF($A1285="","",LEN($C1285)-LEN(SUBSTITUTE($C1285,",",""))+1)</f>
        <v/>
      </c>
      <c r="K1285" s="26">
        <f>IF($A1285="","",SUMPRODUCT(--ISNUMBER(SEARCH('Category Dictionary'!$D$5:$D$135&amp;"",$C1285)),--('Category Dictionary'!$D$5:$D$135&lt;&gt;"")))</f>
        <v/>
      </c>
      <c r="L1285" s="27">
        <f>IF($A1285="","",TRIM(IF(ISERROR(FIND(",",$C1285)),$C1285,LEFT($C1285,FIND(",",$C1285)-1))))</f>
        <v/>
      </c>
      <c r="M1285" s="28">
        <f>IF($H1285="","",DATE(YEAR($H1285),MONTH($H1285),1))</f>
        <v/>
      </c>
      <c r="N1285" s="26">
        <f>IF($H1285="","",TODAY()-$H1285)</f>
        <v/>
      </c>
      <c r="O1285" s="15" t="n"/>
      <c r="P1285" s="15" t="n"/>
      <c r="Q1285" s="15" t="n"/>
      <c r="R1285" s="25" t="n"/>
      <c r="S1285" s="26">
        <f>IF($A1285="","",AND(OR('Assignment Builder'!$B$5="",$B1285='Assignment Builder'!$B$5),OR('Assignment Builder'!$B$6="",ISNUMBER(SEARCH('Assignment Builder'!$B$6,$C1285))),OR('Assignment Builder'!$B$7="",'Assignment Builder'!$B$7=IFERROR(INDEX('Category Dictionary'!$C$5:$C$135,MATCH($L1285,'Category Dictionary'!$D$5:$D$135,0)),"")),OR('Assignment Builder'!$B$8="",$D1285='Assignment Builder'!$B$8),OR('Assignment Builder'!$B$9="",$F1285='Assignment Builder'!$B$9),OR('Assignment Builder'!$B$10="",$O1285='Assignment Builder'!$B$10),OR('Assignment Builder'!$B$11="",$H1285&gt;='Assignment Builder'!$B$11),OR('Assignment Builder'!$B$12="",N($Q1285)&lt;='Assignment Builder'!$B$12)))</f>
        <v/>
      </c>
      <c r="T1285" s="23" t="n"/>
    </row>
    <row r="1286">
      <c r="A1286" s="23" t="n"/>
      <c r="B1286" s="23" t="n"/>
      <c r="C1286" s="24" t="n"/>
      <c r="D1286" s="15" t="n"/>
      <c r="E1286" s="23" t="n"/>
      <c r="F1286" s="15" t="n"/>
      <c r="G1286" s="23" t="n"/>
      <c r="H1286" s="25" t="n"/>
      <c r="I1286" s="15" t="n"/>
      <c r="J1286" s="26">
        <f>IF($A1286="","",LEN($C1286)-LEN(SUBSTITUTE($C1286,",",""))+1)</f>
        <v/>
      </c>
      <c r="K1286" s="26">
        <f>IF($A1286="","",SUMPRODUCT(--ISNUMBER(SEARCH('Category Dictionary'!$D$5:$D$135&amp;"",$C1286)),--('Category Dictionary'!$D$5:$D$135&lt;&gt;"")))</f>
        <v/>
      </c>
      <c r="L1286" s="27">
        <f>IF($A1286="","",TRIM(IF(ISERROR(FIND(",",$C1286)),$C1286,LEFT($C1286,FIND(",",$C1286)-1))))</f>
        <v/>
      </c>
      <c r="M1286" s="28">
        <f>IF($H1286="","",DATE(YEAR($H1286),MONTH($H1286),1))</f>
        <v/>
      </c>
      <c r="N1286" s="26">
        <f>IF($H1286="","",TODAY()-$H1286)</f>
        <v/>
      </c>
      <c r="O1286" s="15" t="n"/>
      <c r="P1286" s="15" t="n"/>
      <c r="Q1286" s="15" t="n"/>
      <c r="R1286" s="25" t="n"/>
      <c r="S1286" s="26">
        <f>IF($A1286="","",AND(OR('Assignment Builder'!$B$5="",$B1286='Assignment Builder'!$B$5),OR('Assignment Builder'!$B$6="",ISNUMBER(SEARCH('Assignment Builder'!$B$6,$C1286))),OR('Assignment Builder'!$B$7="",'Assignment Builder'!$B$7=IFERROR(INDEX('Category Dictionary'!$C$5:$C$135,MATCH($L1286,'Category Dictionary'!$D$5:$D$135,0)),"")),OR('Assignment Builder'!$B$8="",$D1286='Assignment Builder'!$B$8),OR('Assignment Builder'!$B$9="",$F1286='Assignment Builder'!$B$9),OR('Assignment Builder'!$B$10="",$O1286='Assignment Builder'!$B$10),OR('Assignment Builder'!$B$11="",$H1286&gt;='Assignment Builder'!$B$11),OR('Assignment Builder'!$B$12="",N($Q1286)&lt;='Assignment Builder'!$B$12)))</f>
        <v/>
      </c>
      <c r="T1286" s="23" t="n"/>
    </row>
    <row r="1287">
      <c r="A1287" s="23" t="n"/>
      <c r="B1287" s="23" t="n"/>
      <c r="C1287" s="24" t="n"/>
      <c r="D1287" s="15" t="n"/>
      <c r="E1287" s="23" t="n"/>
      <c r="F1287" s="15" t="n"/>
      <c r="G1287" s="23" t="n"/>
      <c r="H1287" s="25" t="n"/>
      <c r="I1287" s="15" t="n"/>
      <c r="J1287" s="26">
        <f>IF($A1287="","",LEN($C1287)-LEN(SUBSTITUTE($C1287,",",""))+1)</f>
        <v/>
      </c>
      <c r="K1287" s="26">
        <f>IF($A1287="","",SUMPRODUCT(--ISNUMBER(SEARCH('Category Dictionary'!$D$5:$D$135&amp;"",$C1287)),--('Category Dictionary'!$D$5:$D$135&lt;&gt;"")))</f>
        <v/>
      </c>
      <c r="L1287" s="27">
        <f>IF($A1287="","",TRIM(IF(ISERROR(FIND(",",$C1287)),$C1287,LEFT($C1287,FIND(",",$C1287)-1))))</f>
        <v/>
      </c>
      <c r="M1287" s="28">
        <f>IF($H1287="","",DATE(YEAR($H1287),MONTH($H1287),1))</f>
        <v/>
      </c>
      <c r="N1287" s="26">
        <f>IF($H1287="","",TODAY()-$H1287)</f>
        <v/>
      </c>
      <c r="O1287" s="15" t="n"/>
      <c r="P1287" s="15" t="n"/>
      <c r="Q1287" s="15" t="n"/>
      <c r="R1287" s="25" t="n"/>
      <c r="S1287" s="26">
        <f>IF($A1287="","",AND(OR('Assignment Builder'!$B$5="",$B1287='Assignment Builder'!$B$5),OR('Assignment Builder'!$B$6="",ISNUMBER(SEARCH('Assignment Builder'!$B$6,$C1287))),OR('Assignment Builder'!$B$7="",'Assignment Builder'!$B$7=IFERROR(INDEX('Category Dictionary'!$C$5:$C$135,MATCH($L1287,'Category Dictionary'!$D$5:$D$135,0)),"")),OR('Assignment Builder'!$B$8="",$D1287='Assignment Builder'!$B$8),OR('Assignment Builder'!$B$9="",$F1287='Assignment Builder'!$B$9),OR('Assignment Builder'!$B$10="",$O1287='Assignment Builder'!$B$10),OR('Assignment Builder'!$B$11="",$H1287&gt;='Assignment Builder'!$B$11),OR('Assignment Builder'!$B$12="",N($Q1287)&lt;='Assignment Builder'!$B$12)))</f>
        <v/>
      </c>
      <c r="T1287" s="23" t="n"/>
    </row>
    <row r="1288">
      <c r="A1288" s="23" t="n"/>
      <c r="B1288" s="23" t="n"/>
      <c r="C1288" s="24" t="n"/>
      <c r="D1288" s="15" t="n"/>
      <c r="E1288" s="23" t="n"/>
      <c r="F1288" s="15" t="n"/>
      <c r="G1288" s="23" t="n"/>
      <c r="H1288" s="25" t="n"/>
      <c r="I1288" s="15" t="n"/>
      <c r="J1288" s="26">
        <f>IF($A1288="","",LEN($C1288)-LEN(SUBSTITUTE($C1288,",",""))+1)</f>
        <v/>
      </c>
      <c r="K1288" s="26">
        <f>IF($A1288="","",SUMPRODUCT(--ISNUMBER(SEARCH('Category Dictionary'!$D$5:$D$135&amp;"",$C1288)),--('Category Dictionary'!$D$5:$D$135&lt;&gt;"")))</f>
        <v/>
      </c>
      <c r="L1288" s="27">
        <f>IF($A1288="","",TRIM(IF(ISERROR(FIND(",",$C1288)),$C1288,LEFT($C1288,FIND(",",$C1288)-1))))</f>
        <v/>
      </c>
      <c r="M1288" s="28">
        <f>IF($H1288="","",DATE(YEAR($H1288),MONTH($H1288),1))</f>
        <v/>
      </c>
      <c r="N1288" s="26">
        <f>IF($H1288="","",TODAY()-$H1288)</f>
        <v/>
      </c>
      <c r="O1288" s="15" t="n"/>
      <c r="P1288" s="15" t="n"/>
      <c r="Q1288" s="15" t="n"/>
      <c r="R1288" s="25" t="n"/>
      <c r="S1288" s="26">
        <f>IF($A1288="","",AND(OR('Assignment Builder'!$B$5="",$B1288='Assignment Builder'!$B$5),OR('Assignment Builder'!$B$6="",ISNUMBER(SEARCH('Assignment Builder'!$B$6,$C1288))),OR('Assignment Builder'!$B$7="",'Assignment Builder'!$B$7=IFERROR(INDEX('Category Dictionary'!$C$5:$C$135,MATCH($L1288,'Category Dictionary'!$D$5:$D$135,0)),"")),OR('Assignment Builder'!$B$8="",$D1288='Assignment Builder'!$B$8),OR('Assignment Builder'!$B$9="",$F1288='Assignment Builder'!$B$9),OR('Assignment Builder'!$B$10="",$O1288='Assignment Builder'!$B$10),OR('Assignment Builder'!$B$11="",$H1288&gt;='Assignment Builder'!$B$11),OR('Assignment Builder'!$B$12="",N($Q1288)&lt;='Assignment Builder'!$B$12)))</f>
        <v/>
      </c>
      <c r="T1288" s="23" t="n"/>
    </row>
    <row r="1289">
      <c r="A1289" s="23" t="n"/>
      <c r="B1289" s="23" t="n"/>
      <c r="C1289" s="24" t="n"/>
      <c r="D1289" s="15" t="n"/>
      <c r="E1289" s="23" t="n"/>
      <c r="F1289" s="15" t="n"/>
      <c r="G1289" s="23" t="n"/>
      <c r="H1289" s="25" t="n"/>
      <c r="I1289" s="15" t="n"/>
      <c r="J1289" s="26">
        <f>IF($A1289="","",LEN($C1289)-LEN(SUBSTITUTE($C1289,",",""))+1)</f>
        <v/>
      </c>
      <c r="K1289" s="26">
        <f>IF($A1289="","",SUMPRODUCT(--ISNUMBER(SEARCH('Category Dictionary'!$D$5:$D$135&amp;"",$C1289)),--('Category Dictionary'!$D$5:$D$135&lt;&gt;"")))</f>
        <v/>
      </c>
      <c r="L1289" s="27">
        <f>IF($A1289="","",TRIM(IF(ISERROR(FIND(",",$C1289)),$C1289,LEFT($C1289,FIND(",",$C1289)-1))))</f>
        <v/>
      </c>
      <c r="M1289" s="28">
        <f>IF($H1289="","",DATE(YEAR($H1289),MONTH($H1289),1))</f>
        <v/>
      </c>
      <c r="N1289" s="26">
        <f>IF($H1289="","",TODAY()-$H1289)</f>
        <v/>
      </c>
      <c r="O1289" s="15" t="n"/>
      <c r="P1289" s="15" t="n"/>
      <c r="Q1289" s="15" t="n"/>
      <c r="R1289" s="25" t="n"/>
      <c r="S1289" s="26">
        <f>IF($A1289="","",AND(OR('Assignment Builder'!$B$5="",$B1289='Assignment Builder'!$B$5),OR('Assignment Builder'!$B$6="",ISNUMBER(SEARCH('Assignment Builder'!$B$6,$C1289))),OR('Assignment Builder'!$B$7="",'Assignment Builder'!$B$7=IFERROR(INDEX('Category Dictionary'!$C$5:$C$135,MATCH($L1289,'Category Dictionary'!$D$5:$D$135,0)),"")),OR('Assignment Builder'!$B$8="",$D1289='Assignment Builder'!$B$8),OR('Assignment Builder'!$B$9="",$F1289='Assignment Builder'!$B$9),OR('Assignment Builder'!$B$10="",$O1289='Assignment Builder'!$B$10),OR('Assignment Builder'!$B$11="",$H1289&gt;='Assignment Builder'!$B$11),OR('Assignment Builder'!$B$12="",N($Q1289)&lt;='Assignment Builder'!$B$12)))</f>
        <v/>
      </c>
      <c r="T1289" s="23" t="n"/>
    </row>
    <row r="1290">
      <c r="A1290" s="23" t="n"/>
      <c r="B1290" s="23" t="n"/>
      <c r="C1290" s="24" t="n"/>
      <c r="D1290" s="15" t="n"/>
      <c r="E1290" s="23" t="n"/>
      <c r="F1290" s="15" t="n"/>
      <c r="G1290" s="23" t="n"/>
      <c r="H1290" s="25" t="n"/>
      <c r="I1290" s="15" t="n"/>
      <c r="J1290" s="26">
        <f>IF($A1290="","",LEN($C1290)-LEN(SUBSTITUTE($C1290,",",""))+1)</f>
        <v/>
      </c>
      <c r="K1290" s="26">
        <f>IF($A1290="","",SUMPRODUCT(--ISNUMBER(SEARCH('Category Dictionary'!$D$5:$D$135&amp;"",$C1290)),--('Category Dictionary'!$D$5:$D$135&lt;&gt;"")))</f>
        <v/>
      </c>
      <c r="L1290" s="27">
        <f>IF($A1290="","",TRIM(IF(ISERROR(FIND(",",$C1290)),$C1290,LEFT($C1290,FIND(",",$C1290)-1))))</f>
        <v/>
      </c>
      <c r="M1290" s="28">
        <f>IF($H1290="","",DATE(YEAR($H1290),MONTH($H1290),1))</f>
        <v/>
      </c>
      <c r="N1290" s="26">
        <f>IF($H1290="","",TODAY()-$H1290)</f>
        <v/>
      </c>
      <c r="O1290" s="15" t="n"/>
      <c r="P1290" s="15" t="n"/>
      <c r="Q1290" s="15" t="n"/>
      <c r="R1290" s="25" t="n"/>
      <c r="S1290" s="26">
        <f>IF($A1290="","",AND(OR('Assignment Builder'!$B$5="",$B1290='Assignment Builder'!$B$5),OR('Assignment Builder'!$B$6="",ISNUMBER(SEARCH('Assignment Builder'!$B$6,$C1290))),OR('Assignment Builder'!$B$7="",'Assignment Builder'!$B$7=IFERROR(INDEX('Category Dictionary'!$C$5:$C$135,MATCH($L1290,'Category Dictionary'!$D$5:$D$135,0)),"")),OR('Assignment Builder'!$B$8="",$D1290='Assignment Builder'!$B$8),OR('Assignment Builder'!$B$9="",$F1290='Assignment Builder'!$B$9),OR('Assignment Builder'!$B$10="",$O1290='Assignment Builder'!$B$10),OR('Assignment Builder'!$B$11="",$H1290&gt;='Assignment Builder'!$B$11),OR('Assignment Builder'!$B$12="",N($Q1290)&lt;='Assignment Builder'!$B$12)))</f>
        <v/>
      </c>
      <c r="T1290" s="23" t="n"/>
    </row>
    <row r="1291">
      <c r="A1291" s="23" t="n"/>
      <c r="B1291" s="23" t="n"/>
      <c r="C1291" s="24" t="n"/>
      <c r="D1291" s="15" t="n"/>
      <c r="E1291" s="23" t="n"/>
      <c r="F1291" s="15" t="n"/>
      <c r="G1291" s="23" t="n"/>
      <c r="H1291" s="25" t="n"/>
      <c r="I1291" s="15" t="n"/>
      <c r="J1291" s="26">
        <f>IF($A1291="","",LEN($C1291)-LEN(SUBSTITUTE($C1291,",",""))+1)</f>
        <v/>
      </c>
      <c r="K1291" s="26">
        <f>IF($A1291="","",SUMPRODUCT(--ISNUMBER(SEARCH('Category Dictionary'!$D$5:$D$135&amp;"",$C1291)),--('Category Dictionary'!$D$5:$D$135&lt;&gt;"")))</f>
        <v/>
      </c>
      <c r="L1291" s="27">
        <f>IF($A1291="","",TRIM(IF(ISERROR(FIND(",",$C1291)),$C1291,LEFT($C1291,FIND(",",$C1291)-1))))</f>
        <v/>
      </c>
      <c r="M1291" s="28">
        <f>IF($H1291="","",DATE(YEAR($H1291),MONTH($H1291),1))</f>
        <v/>
      </c>
      <c r="N1291" s="26">
        <f>IF($H1291="","",TODAY()-$H1291)</f>
        <v/>
      </c>
      <c r="O1291" s="15" t="n"/>
      <c r="P1291" s="15" t="n"/>
      <c r="Q1291" s="15" t="n"/>
      <c r="R1291" s="25" t="n"/>
      <c r="S1291" s="26">
        <f>IF($A1291="","",AND(OR('Assignment Builder'!$B$5="",$B1291='Assignment Builder'!$B$5),OR('Assignment Builder'!$B$6="",ISNUMBER(SEARCH('Assignment Builder'!$B$6,$C1291))),OR('Assignment Builder'!$B$7="",'Assignment Builder'!$B$7=IFERROR(INDEX('Category Dictionary'!$C$5:$C$135,MATCH($L1291,'Category Dictionary'!$D$5:$D$135,0)),"")),OR('Assignment Builder'!$B$8="",$D1291='Assignment Builder'!$B$8),OR('Assignment Builder'!$B$9="",$F1291='Assignment Builder'!$B$9),OR('Assignment Builder'!$B$10="",$O1291='Assignment Builder'!$B$10),OR('Assignment Builder'!$B$11="",$H1291&gt;='Assignment Builder'!$B$11),OR('Assignment Builder'!$B$12="",N($Q1291)&lt;='Assignment Builder'!$B$12)))</f>
        <v/>
      </c>
      <c r="T1291" s="23" t="n"/>
    </row>
    <row r="1292">
      <c r="A1292" s="23" t="n"/>
      <c r="B1292" s="23" t="n"/>
      <c r="C1292" s="24" t="n"/>
      <c r="D1292" s="15" t="n"/>
      <c r="E1292" s="23" t="n"/>
      <c r="F1292" s="15" t="n"/>
      <c r="G1292" s="23" t="n"/>
      <c r="H1292" s="25" t="n"/>
      <c r="I1292" s="15" t="n"/>
      <c r="J1292" s="26">
        <f>IF($A1292="","",LEN($C1292)-LEN(SUBSTITUTE($C1292,",",""))+1)</f>
        <v/>
      </c>
      <c r="K1292" s="26">
        <f>IF($A1292="","",SUMPRODUCT(--ISNUMBER(SEARCH('Category Dictionary'!$D$5:$D$135&amp;"",$C1292)),--('Category Dictionary'!$D$5:$D$135&lt;&gt;"")))</f>
        <v/>
      </c>
      <c r="L1292" s="27">
        <f>IF($A1292="","",TRIM(IF(ISERROR(FIND(",",$C1292)),$C1292,LEFT($C1292,FIND(",",$C1292)-1))))</f>
        <v/>
      </c>
      <c r="M1292" s="28">
        <f>IF($H1292="","",DATE(YEAR($H1292),MONTH($H1292),1))</f>
        <v/>
      </c>
      <c r="N1292" s="26">
        <f>IF($H1292="","",TODAY()-$H1292)</f>
        <v/>
      </c>
      <c r="O1292" s="15" t="n"/>
      <c r="P1292" s="15" t="n"/>
      <c r="Q1292" s="15" t="n"/>
      <c r="R1292" s="25" t="n"/>
      <c r="S1292" s="26">
        <f>IF($A1292="","",AND(OR('Assignment Builder'!$B$5="",$B1292='Assignment Builder'!$B$5),OR('Assignment Builder'!$B$6="",ISNUMBER(SEARCH('Assignment Builder'!$B$6,$C1292))),OR('Assignment Builder'!$B$7="",'Assignment Builder'!$B$7=IFERROR(INDEX('Category Dictionary'!$C$5:$C$135,MATCH($L1292,'Category Dictionary'!$D$5:$D$135,0)),"")),OR('Assignment Builder'!$B$8="",$D1292='Assignment Builder'!$B$8),OR('Assignment Builder'!$B$9="",$F1292='Assignment Builder'!$B$9),OR('Assignment Builder'!$B$10="",$O1292='Assignment Builder'!$B$10),OR('Assignment Builder'!$B$11="",$H1292&gt;='Assignment Builder'!$B$11),OR('Assignment Builder'!$B$12="",N($Q1292)&lt;='Assignment Builder'!$B$12)))</f>
        <v/>
      </c>
      <c r="T1292" s="23" t="n"/>
    </row>
    <row r="1293">
      <c r="A1293" s="23" t="n"/>
      <c r="B1293" s="23" t="n"/>
      <c r="C1293" s="24" t="n"/>
      <c r="D1293" s="15" t="n"/>
      <c r="E1293" s="23" t="n"/>
      <c r="F1293" s="15" t="n"/>
      <c r="G1293" s="23" t="n"/>
      <c r="H1293" s="25" t="n"/>
      <c r="I1293" s="15" t="n"/>
      <c r="J1293" s="26">
        <f>IF($A1293="","",LEN($C1293)-LEN(SUBSTITUTE($C1293,",",""))+1)</f>
        <v/>
      </c>
      <c r="K1293" s="26">
        <f>IF($A1293="","",SUMPRODUCT(--ISNUMBER(SEARCH('Category Dictionary'!$D$5:$D$135&amp;"",$C1293)),--('Category Dictionary'!$D$5:$D$135&lt;&gt;"")))</f>
        <v/>
      </c>
      <c r="L1293" s="27">
        <f>IF($A1293="","",TRIM(IF(ISERROR(FIND(",",$C1293)),$C1293,LEFT($C1293,FIND(",",$C1293)-1))))</f>
        <v/>
      </c>
      <c r="M1293" s="28">
        <f>IF($H1293="","",DATE(YEAR($H1293),MONTH($H1293),1))</f>
        <v/>
      </c>
      <c r="N1293" s="26">
        <f>IF($H1293="","",TODAY()-$H1293)</f>
        <v/>
      </c>
      <c r="O1293" s="15" t="n"/>
      <c r="P1293" s="15" t="n"/>
      <c r="Q1293" s="15" t="n"/>
      <c r="R1293" s="25" t="n"/>
      <c r="S1293" s="26">
        <f>IF($A1293="","",AND(OR('Assignment Builder'!$B$5="",$B1293='Assignment Builder'!$B$5),OR('Assignment Builder'!$B$6="",ISNUMBER(SEARCH('Assignment Builder'!$B$6,$C1293))),OR('Assignment Builder'!$B$7="",'Assignment Builder'!$B$7=IFERROR(INDEX('Category Dictionary'!$C$5:$C$135,MATCH($L1293,'Category Dictionary'!$D$5:$D$135,0)),"")),OR('Assignment Builder'!$B$8="",$D1293='Assignment Builder'!$B$8),OR('Assignment Builder'!$B$9="",$F1293='Assignment Builder'!$B$9),OR('Assignment Builder'!$B$10="",$O1293='Assignment Builder'!$B$10),OR('Assignment Builder'!$B$11="",$H1293&gt;='Assignment Builder'!$B$11),OR('Assignment Builder'!$B$12="",N($Q1293)&lt;='Assignment Builder'!$B$12)))</f>
        <v/>
      </c>
      <c r="T1293" s="23" t="n"/>
    </row>
    <row r="1294">
      <c r="A1294" s="23" t="n"/>
      <c r="B1294" s="23" t="n"/>
      <c r="C1294" s="24" t="n"/>
      <c r="D1294" s="15" t="n"/>
      <c r="E1294" s="23" t="n"/>
      <c r="F1294" s="15" t="n"/>
      <c r="G1294" s="23" t="n"/>
      <c r="H1294" s="25" t="n"/>
      <c r="I1294" s="15" t="n"/>
      <c r="J1294" s="26">
        <f>IF($A1294="","",LEN($C1294)-LEN(SUBSTITUTE($C1294,",",""))+1)</f>
        <v/>
      </c>
      <c r="K1294" s="26">
        <f>IF($A1294="","",SUMPRODUCT(--ISNUMBER(SEARCH('Category Dictionary'!$D$5:$D$135&amp;"",$C1294)),--('Category Dictionary'!$D$5:$D$135&lt;&gt;"")))</f>
        <v/>
      </c>
      <c r="L1294" s="27">
        <f>IF($A1294="","",TRIM(IF(ISERROR(FIND(",",$C1294)),$C1294,LEFT($C1294,FIND(",",$C1294)-1))))</f>
        <v/>
      </c>
      <c r="M1294" s="28">
        <f>IF($H1294="","",DATE(YEAR($H1294),MONTH($H1294),1))</f>
        <v/>
      </c>
      <c r="N1294" s="26">
        <f>IF($H1294="","",TODAY()-$H1294)</f>
        <v/>
      </c>
      <c r="O1294" s="15" t="n"/>
      <c r="P1294" s="15" t="n"/>
      <c r="Q1294" s="15" t="n"/>
      <c r="R1294" s="25" t="n"/>
      <c r="S1294" s="26">
        <f>IF($A1294="","",AND(OR('Assignment Builder'!$B$5="",$B1294='Assignment Builder'!$B$5),OR('Assignment Builder'!$B$6="",ISNUMBER(SEARCH('Assignment Builder'!$B$6,$C1294))),OR('Assignment Builder'!$B$7="",'Assignment Builder'!$B$7=IFERROR(INDEX('Category Dictionary'!$C$5:$C$135,MATCH($L1294,'Category Dictionary'!$D$5:$D$135,0)),"")),OR('Assignment Builder'!$B$8="",$D1294='Assignment Builder'!$B$8),OR('Assignment Builder'!$B$9="",$F1294='Assignment Builder'!$B$9),OR('Assignment Builder'!$B$10="",$O1294='Assignment Builder'!$B$10),OR('Assignment Builder'!$B$11="",$H1294&gt;='Assignment Builder'!$B$11),OR('Assignment Builder'!$B$12="",N($Q1294)&lt;='Assignment Builder'!$B$12)))</f>
        <v/>
      </c>
      <c r="T1294" s="23" t="n"/>
    </row>
    <row r="1295">
      <c r="A1295" s="23" t="n"/>
      <c r="B1295" s="23" t="n"/>
      <c r="C1295" s="24" t="n"/>
      <c r="D1295" s="15" t="n"/>
      <c r="E1295" s="23" t="n"/>
      <c r="F1295" s="15" t="n"/>
      <c r="G1295" s="23" t="n"/>
      <c r="H1295" s="25" t="n"/>
      <c r="I1295" s="15" t="n"/>
      <c r="J1295" s="26">
        <f>IF($A1295="","",LEN($C1295)-LEN(SUBSTITUTE($C1295,",",""))+1)</f>
        <v/>
      </c>
      <c r="K1295" s="26">
        <f>IF($A1295="","",SUMPRODUCT(--ISNUMBER(SEARCH('Category Dictionary'!$D$5:$D$135&amp;"",$C1295)),--('Category Dictionary'!$D$5:$D$135&lt;&gt;"")))</f>
        <v/>
      </c>
      <c r="L1295" s="27">
        <f>IF($A1295="","",TRIM(IF(ISERROR(FIND(",",$C1295)),$C1295,LEFT($C1295,FIND(",",$C1295)-1))))</f>
        <v/>
      </c>
      <c r="M1295" s="28">
        <f>IF($H1295="","",DATE(YEAR($H1295),MONTH($H1295),1))</f>
        <v/>
      </c>
      <c r="N1295" s="26">
        <f>IF($H1295="","",TODAY()-$H1295)</f>
        <v/>
      </c>
      <c r="O1295" s="15" t="n"/>
      <c r="P1295" s="15" t="n"/>
      <c r="Q1295" s="15" t="n"/>
      <c r="R1295" s="25" t="n"/>
      <c r="S1295" s="26">
        <f>IF($A1295="","",AND(OR('Assignment Builder'!$B$5="",$B1295='Assignment Builder'!$B$5),OR('Assignment Builder'!$B$6="",ISNUMBER(SEARCH('Assignment Builder'!$B$6,$C1295))),OR('Assignment Builder'!$B$7="",'Assignment Builder'!$B$7=IFERROR(INDEX('Category Dictionary'!$C$5:$C$135,MATCH($L1295,'Category Dictionary'!$D$5:$D$135,0)),"")),OR('Assignment Builder'!$B$8="",$D1295='Assignment Builder'!$B$8),OR('Assignment Builder'!$B$9="",$F1295='Assignment Builder'!$B$9),OR('Assignment Builder'!$B$10="",$O1295='Assignment Builder'!$B$10),OR('Assignment Builder'!$B$11="",$H1295&gt;='Assignment Builder'!$B$11),OR('Assignment Builder'!$B$12="",N($Q1295)&lt;='Assignment Builder'!$B$12)))</f>
        <v/>
      </c>
      <c r="T1295" s="23" t="n"/>
    </row>
    <row r="1296">
      <c r="A1296" s="23" t="n"/>
      <c r="B1296" s="23" t="n"/>
      <c r="C1296" s="24" t="n"/>
      <c r="D1296" s="15" t="n"/>
      <c r="E1296" s="23" t="n"/>
      <c r="F1296" s="15" t="n"/>
      <c r="G1296" s="23" t="n"/>
      <c r="H1296" s="25" t="n"/>
      <c r="I1296" s="15" t="n"/>
      <c r="J1296" s="26">
        <f>IF($A1296="","",LEN($C1296)-LEN(SUBSTITUTE($C1296,",",""))+1)</f>
        <v/>
      </c>
      <c r="K1296" s="26">
        <f>IF($A1296="","",SUMPRODUCT(--ISNUMBER(SEARCH('Category Dictionary'!$D$5:$D$135&amp;"",$C1296)),--('Category Dictionary'!$D$5:$D$135&lt;&gt;"")))</f>
        <v/>
      </c>
      <c r="L1296" s="27">
        <f>IF($A1296="","",TRIM(IF(ISERROR(FIND(",",$C1296)),$C1296,LEFT($C1296,FIND(",",$C1296)-1))))</f>
        <v/>
      </c>
      <c r="M1296" s="28">
        <f>IF($H1296="","",DATE(YEAR($H1296),MONTH($H1296),1))</f>
        <v/>
      </c>
      <c r="N1296" s="26">
        <f>IF($H1296="","",TODAY()-$H1296)</f>
        <v/>
      </c>
      <c r="O1296" s="15" t="n"/>
      <c r="P1296" s="15" t="n"/>
      <c r="Q1296" s="15" t="n"/>
      <c r="R1296" s="25" t="n"/>
      <c r="S1296" s="26">
        <f>IF($A1296="","",AND(OR('Assignment Builder'!$B$5="",$B1296='Assignment Builder'!$B$5),OR('Assignment Builder'!$B$6="",ISNUMBER(SEARCH('Assignment Builder'!$B$6,$C1296))),OR('Assignment Builder'!$B$7="",'Assignment Builder'!$B$7=IFERROR(INDEX('Category Dictionary'!$C$5:$C$135,MATCH($L1296,'Category Dictionary'!$D$5:$D$135,0)),"")),OR('Assignment Builder'!$B$8="",$D1296='Assignment Builder'!$B$8),OR('Assignment Builder'!$B$9="",$F1296='Assignment Builder'!$B$9),OR('Assignment Builder'!$B$10="",$O1296='Assignment Builder'!$B$10),OR('Assignment Builder'!$B$11="",$H1296&gt;='Assignment Builder'!$B$11),OR('Assignment Builder'!$B$12="",N($Q1296)&lt;='Assignment Builder'!$B$12)))</f>
        <v/>
      </c>
      <c r="T1296" s="23" t="n"/>
    </row>
    <row r="1297">
      <c r="A1297" s="23" t="n"/>
      <c r="B1297" s="23" t="n"/>
      <c r="C1297" s="24" t="n"/>
      <c r="D1297" s="15" t="n"/>
      <c r="E1297" s="23" t="n"/>
      <c r="F1297" s="15" t="n"/>
      <c r="G1297" s="23" t="n"/>
      <c r="H1297" s="25" t="n"/>
      <c r="I1297" s="15" t="n"/>
      <c r="J1297" s="26">
        <f>IF($A1297="","",LEN($C1297)-LEN(SUBSTITUTE($C1297,",",""))+1)</f>
        <v/>
      </c>
      <c r="K1297" s="26">
        <f>IF($A1297="","",SUMPRODUCT(--ISNUMBER(SEARCH('Category Dictionary'!$D$5:$D$135&amp;"",$C1297)),--('Category Dictionary'!$D$5:$D$135&lt;&gt;"")))</f>
        <v/>
      </c>
      <c r="L1297" s="27">
        <f>IF($A1297="","",TRIM(IF(ISERROR(FIND(",",$C1297)),$C1297,LEFT($C1297,FIND(",",$C1297)-1))))</f>
        <v/>
      </c>
      <c r="M1297" s="28">
        <f>IF($H1297="","",DATE(YEAR($H1297),MONTH($H1297),1))</f>
        <v/>
      </c>
      <c r="N1297" s="26">
        <f>IF($H1297="","",TODAY()-$H1297)</f>
        <v/>
      </c>
      <c r="O1297" s="15" t="n"/>
      <c r="P1297" s="15" t="n"/>
      <c r="Q1297" s="15" t="n"/>
      <c r="R1297" s="25" t="n"/>
      <c r="S1297" s="26">
        <f>IF($A1297="","",AND(OR('Assignment Builder'!$B$5="",$B1297='Assignment Builder'!$B$5),OR('Assignment Builder'!$B$6="",ISNUMBER(SEARCH('Assignment Builder'!$B$6,$C1297))),OR('Assignment Builder'!$B$7="",'Assignment Builder'!$B$7=IFERROR(INDEX('Category Dictionary'!$C$5:$C$135,MATCH($L1297,'Category Dictionary'!$D$5:$D$135,0)),"")),OR('Assignment Builder'!$B$8="",$D1297='Assignment Builder'!$B$8),OR('Assignment Builder'!$B$9="",$F1297='Assignment Builder'!$B$9),OR('Assignment Builder'!$B$10="",$O1297='Assignment Builder'!$B$10),OR('Assignment Builder'!$B$11="",$H1297&gt;='Assignment Builder'!$B$11),OR('Assignment Builder'!$B$12="",N($Q1297)&lt;='Assignment Builder'!$B$12)))</f>
        <v/>
      </c>
      <c r="T1297" s="23" t="n"/>
    </row>
    <row r="1298">
      <c r="A1298" s="23" t="n"/>
      <c r="B1298" s="23" t="n"/>
      <c r="C1298" s="24" t="n"/>
      <c r="D1298" s="15" t="n"/>
      <c r="E1298" s="23" t="n"/>
      <c r="F1298" s="15" t="n"/>
      <c r="G1298" s="23" t="n"/>
      <c r="H1298" s="25" t="n"/>
      <c r="I1298" s="15" t="n"/>
      <c r="J1298" s="26">
        <f>IF($A1298="","",LEN($C1298)-LEN(SUBSTITUTE($C1298,",",""))+1)</f>
        <v/>
      </c>
      <c r="K1298" s="26">
        <f>IF($A1298="","",SUMPRODUCT(--ISNUMBER(SEARCH('Category Dictionary'!$D$5:$D$135&amp;"",$C1298)),--('Category Dictionary'!$D$5:$D$135&lt;&gt;"")))</f>
        <v/>
      </c>
      <c r="L1298" s="27">
        <f>IF($A1298="","",TRIM(IF(ISERROR(FIND(",",$C1298)),$C1298,LEFT($C1298,FIND(",",$C1298)-1))))</f>
        <v/>
      </c>
      <c r="M1298" s="28">
        <f>IF($H1298="","",DATE(YEAR($H1298),MONTH($H1298),1))</f>
        <v/>
      </c>
      <c r="N1298" s="26">
        <f>IF($H1298="","",TODAY()-$H1298)</f>
        <v/>
      </c>
      <c r="O1298" s="15" t="n"/>
      <c r="P1298" s="15" t="n"/>
      <c r="Q1298" s="15" t="n"/>
      <c r="R1298" s="25" t="n"/>
      <c r="S1298" s="26">
        <f>IF($A1298="","",AND(OR('Assignment Builder'!$B$5="",$B1298='Assignment Builder'!$B$5),OR('Assignment Builder'!$B$6="",ISNUMBER(SEARCH('Assignment Builder'!$B$6,$C1298))),OR('Assignment Builder'!$B$7="",'Assignment Builder'!$B$7=IFERROR(INDEX('Category Dictionary'!$C$5:$C$135,MATCH($L1298,'Category Dictionary'!$D$5:$D$135,0)),"")),OR('Assignment Builder'!$B$8="",$D1298='Assignment Builder'!$B$8),OR('Assignment Builder'!$B$9="",$F1298='Assignment Builder'!$B$9),OR('Assignment Builder'!$B$10="",$O1298='Assignment Builder'!$B$10),OR('Assignment Builder'!$B$11="",$H1298&gt;='Assignment Builder'!$B$11),OR('Assignment Builder'!$B$12="",N($Q1298)&lt;='Assignment Builder'!$B$12)))</f>
        <v/>
      </c>
      <c r="T1298" s="23" t="n"/>
    </row>
    <row r="1299">
      <c r="A1299" s="23" t="n"/>
      <c r="B1299" s="23" t="n"/>
      <c r="C1299" s="24" t="n"/>
      <c r="D1299" s="15" t="n"/>
      <c r="E1299" s="23" t="n"/>
      <c r="F1299" s="15" t="n"/>
      <c r="G1299" s="23" t="n"/>
      <c r="H1299" s="25" t="n"/>
      <c r="I1299" s="15" t="n"/>
      <c r="J1299" s="26">
        <f>IF($A1299="","",LEN($C1299)-LEN(SUBSTITUTE($C1299,",",""))+1)</f>
        <v/>
      </c>
      <c r="K1299" s="26">
        <f>IF($A1299="","",SUMPRODUCT(--ISNUMBER(SEARCH('Category Dictionary'!$D$5:$D$135&amp;"",$C1299)),--('Category Dictionary'!$D$5:$D$135&lt;&gt;"")))</f>
        <v/>
      </c>
      <c r="L1299" s="27">
        <f>IF($A1299="","",TRIM(IF(ISERROR(FIND(",",$C1299)),$C1299,LEFT($C1299,FIND(",",$C1299)-1))))</f>
        <v/>
      </c>
      <c r="M1299" s="28">
        <f>IF($H1299="","",DATE(YEAR($H1299),MONTH($H1299),1))</f>
        <v/>
      </c>
      <c r="N1299" s="26">
        <f>IF($H1299="","",TODAY()-$H1299)</f>
        <v/>
      </c>
      <c r="O1299" s="15" t="n"/>
      <c r="P1299" s="15" t="n"/>
      <c r="Q1299" s="15" t="n"/>
      <c r="R1299" s="25" t="n"/>
      <c r="S1299" s="26">
        <f>IF($A1299="","",AND(OR('Assignment Builder'!$B$5="",$B1299='Assignment Builder'!$B$5),OR('Assignment Builder'!$B$6="",ISNUMBER(SEARCH('Assignment Builder'!$B$6,$C1299))),OR('Assignment Builder'!$B$7="",'Assignment Builder'!$B$7=IFERROR(INDEX('Category Dictionary'!$C$5:$C$135,MATCH($L1299,'Category Dictionary'!$D$5:$D$135,0)),"")),OR('Assignment Builder'!$B$8="",$D1299='Assignment Builder'!$B$8),OR('Assignment Builder'!$B$9="",$F1299='Assignment Builder'!$B$9),OR('Assignment Builder'!$B$10="",$O1299='Assignment Builder'!$B$10),OR('Assignment Builder'!$B$11="",$H1299&gt;='Assignment Builder'!$B$11),OR('Assignment Builder'!$B$12="",N($Q1299)&lt;='Assignment Builder'!$B$12)))</f>
        <v/>
      </c>
      <c r="T1299" s="23" t="n"/>
    </row>
    <row r="1300">
      <c r="A1300" s="23" t="n"/>
      <c r="B1300" s="23" t="n"/>
      <c r="C1300" s="24" t="n"/>
      <c r="D1300" s="15" t="n"/>
      <c r="E1300" s="23" t="n"/>
      <c r="F1300" s="15" t="n"/>
      <c r="G1300" s="23" t="n"/>
      <c r="H1300" s="25" t="n"/>
      <c r="I1300" s="15" t="n"/>
      <c r="J1300" s="26">
        <f>IF($A1300="","",LEN($C1300)-LEN(SUBSTITUTE($C1300,",",""))+1)</f>
        <v/>
      </c>
      <c r="K1300" s="26">
        <f>IF($A1300="","",SUMPRODUCT(--ISNUMBER(SEARCH('Category Dictionary'!$D$5:$D$135&amp;"",$C1300)),--('Category Dictionary'!$D$5:$D$135&lt;&gt;"")))</f>
        <v/>
      </c>
      <c r="L1300" s="27">
        <f>IF($A1300="","",TRIM(IF(ISERROR(FIND(",",$C1300)),$C1300,LEFT($C1300,FIND(",",$C1300)-1))))</f>
        <v/>
      </c>
      <c r="M1300" s="28">
        <f>IF($H1300="","",DATE(YEAR($H1300),MONTH($H1300),1))</f>
        <v/>
      </c>
      <c r="N1300" s="26">
        <f>IF($H1300="","",TODAY()-$H1300)</f>
        <v/>
      </c>
      <c r="O1300" s="15" t="n"/>
      <c r="P1300" s="15" t="n"/>
      <c r="Q1300" s="15" t="n"/>
      <c r="R1300" s="25" t="n"/>
      <c r="S1300" s="26">
        <f>IF($A1300="","",AND(OR('Assignment Builder'!$B$5="",$B1300='Assignment Builder'!$B$5),OR('Assignment Builder'!$B$6="",ISNUMBER(SEARCH('Assignment Builder'!$B$6,$C1300))),OR('Assignment Builder'!$B$7="",'Assignment Builder'!$B$7=IFERROR(INDEX('Category Dictionary'!$C$5:$C$135,MATCH($L1300,'Category Dictionary'!$D$5:$D$135,0)),"")),OR('Assignment Builder'!$B$8="",$D1300='Assignment Builder'!$B$8),OR('Assignment Builder'!$B$9="",$F1300='Assignment Builder'!$B$9),OR('Assignment Builder'!$B$10="",$O1300='Assignment Builder'!$B$10),OR('Assignment Builder'!$B$11="",$H1300&gt;='Assignment Builder'!$B$11),OR('Assignment Builder'!$B$12="",N($Q1300)&lt;='Assignment Builder'!$B$12)))</f>
        <v/>
      </c>
      <c r="T1300" s="23" t="n"/>
    </row>
    <row r="1301">
      <c r="A1301" s="23" t="n"/>
      <c r="B1301" s="23" t="n"/>
      <c r="C1301" s="24" t="n"/>
      <c r="D1301" s="15" t="n"/>
      <c r="E1301" s="23" t="n"/>
      <c r="F1301" s="15" t="n"/>
      <c r="G1301" s="23" t="n"/>
      <c r="H1301" s="25" t="n"/>
      <c r="I1301" s="15" t="n"/>
      <c r="J1301" s="26">
        <f>IF($A1301="","",LEN($C1301)-LEN(SUBSTITUTE($C1301,",",""))+1)</f>
        <v/>
      </c>
      <c r="K1301" s="26">
        <f>IF($A1301="","",SUMPRODUCT(--ISNUMBER(SEARCH('Category Dictionary'!$D$5:$D$135&amp;"",$C1301)),--('Category Dictionary'!$D$5:$D$135&lt;&gt;"")))</f>
        <v/>
      </c>
      <c r="L1301" s="27">
        <f>IF($A1301="","",TRIM(IF(ISERROR(FIND(",",$C1301)),$C1301,LEFT($C1301,FIND(",",$C1301)-1))))</f>
        <v/>
      </c>
      <c r="M1301" s="28">
        <f>IF($H1301="","",DATE(YEAR($H1301),MONTH($H1301),1))</f>
        <v/>
      </c>
      <c r="N1301" s="26">
        <f>IF($H1301="","",TODAY()-$H1301)</f>
        <v/>
      </c>
      <c r="O1301" s="15" t="n"/>
      <c r="P1301" s="15" t="n"/>
      <c r="Q1301" s="15" t="n"/>
      <c r="R1301" s="25" t="n"/>
      <c r="S1301" s="26">
        <f>IF($A1301="","",AND(OR('Assignment Builder'!$B$5="",$B1301='Assignment Builder'!$B$5),OR('Assignment Builder'!$B$6="",ISNUMBER(SEARCH('Assignment Builder'!$B$6,$C1301))),OR('Assignment Builder'!$B$7="",'Assignment Builder'!$B$7=IFERROR(INDEX('Category Dictionary'!$C$5:$C$135,MATCH($L1301,'Category Dictionary'!$D$5:$D$135,0)),"")),OR('Assignment Builder'!$B$8="",$D1301='Assignment Builder'!$B$8),OR('Assignment Builder'!$B$9="",$F1301='Assignment Builder'!$B$9),OR('Assignment Builder'!$B$10="",$O1301='Assignment Builder'!$B$10),OR('Assignment Builder'!$B$11="",$H1301&gt;='Assignment Builder'!$B$11),OR('Assignment Builder'!$B$12="",N($Q1301)&lt;='Assignment Builder'!$B$12)))</f>
        <v/>
      </c>
      <c r="T1301" s="23" t="n"/>
    </row>
    <row r="1302">
      <c r="A1302" s="23" t="n"/>
      <c r="B1302" s="23" t="n"/>
      <c r="C1302" s="24" t="n"/>
      <c r="D1302" s="15" t="n"/>
      <c r="E1302" s="23" t="n"/>
      <c r="F1302" s="15" t="n"/>
      <c r="G1302" s="23" t="n"/>
      <c r="H1302" s="25" t="n"/>
      <c r="I1302" s="15" t="n"/>
      <c r="J1302" s="26">
        <f>IF($A1302="","",LEN($C1302)-LEN(SUBSTITUTE($C1302,",",""))+1)</f>
        <v/>
      </c>
      <c r="K1302" s="26">
        <f>IF($A1302="","",SUMPRODUCT(--ISNUMBER(SEARCH('Category Dictionary'!$D$5:$D$135&amp;"",$C1302)),--('Category Dictionary'!$D$5:$D$135&lt;&gt;"")))</f>
        <v/>
      </c>
      <c r="L1302" s="27">
        <f>IF($A1302="","",TRIM(IF(ISERROR(FIND(",",$C1302)),$C1302,LEFT($C1302,FIND(",",$C1302)-1))))</f>
        <v/>
      </c>
      <c r="M1302" s="28">
        <f>IF($H1302="","",DATE(YEAR($H1302),MONTH($H1302),1))</f>
        <v/>
      </c>
      <c r="N1302" s="26">
        <f>IF($H1302="","",TODAY()-$H1302)</f>
        <v/>
      </c>
      <c r="O1302" s="15" t="n"/>
      <c r="P1302" s="15" t="n"/>
      <c r="Q1302" s="15" t="n"/>
      <c r="R1302" s="25" t="n"/>
      <c r="S1302" s="26">
        <f>IF($A1302="","",AND(OR('Assignment Builder'!$B$5="",$B1302='Assignment Builder'!$B$5),OR('Assignment Builder'!$B$6="",ISNUMBER(SEARCH('Assignment Builder'!$B$6,$C1302))),OR('Assignment Builder'!$B$7="",'Assignment Builder'!$B$7=IFERROR(INDEX('Category Dictionary'!$C$5:$C$135,MATCH($L1302,'Category Dictionary'!$D$5:$D$135,0)),"")),OR('Assignment Builder'!$B$8="",$D1302='Assignment Builder'!$B$8),OR('Assignment Builder'!$B$9="",$F1302='Assignment Builder'!$B$9),OR('Assignment Builder'!$B$10="",$O1302='Assignment Builder'!$B$10),OR('Assignment Builder'!$B$11="",$H1302&gt;='Assignment Builder'!$B$11),OR('Assignment Builder'!$B$12="",N($Q1302)&lt;='Assignment Builder'!$B$12)))</f>
        <v/>
      </c>
      <c r="T1302" s="23" t="n"/>
    </row>
    <row r="1303">
      <c r="A1303" s="23" t="n"/>
      <c r="B1303" s="23" t="n"/>
      <c r="C1303" s="24" t="n"/>
      <c r="D1303" s="15" t="n"/>
      <c r="E1303" s="23" t="n"/>
      <c r="F1303" s="15" t="n"/>
      <c r="G1303" s="23" t="n"/>
      <c r="H1303" s="25" t="n"/>
      <c r="I1303" s="15" t="n"/>
      <c r="J1303" s="26">
        <f>IF($A1303="","",LEN($C1303)-LEN(SUBSTITUTE($C1303,",",""))+1)</f>
        <v/>
      </c>
      <c r="K1303" s="26">
        <f>IF($A1303="","",SUMPRODUCT(--ISNUMBER(SEARCH('Category Dictionary'!$D$5:$D$135&amp;"",$C1303)),--('Category Dictionary'!$D$5:$D$135&lt;&gt;"")))</f>
        <v/>
      </c>
      <c r="L1303" s="27">
        <f>IF($A1303="","",TRIM(IF(ISERROR(FIND(",",$C1303)),$C1303,LEFT($C1303,FIND(",",$C1303)-1))))</f>
        <v/>
      </c>
      <c r="M1303" s="28">
        <f>IF($H1303="","",DATE(YEAR($H1303),MONTH($H1303),1))</f>
        <v/>
      </c>
      <c r="N1303" s="26">
        <f>IF($H1303="","",TODAY()-$H1303)</f>
        <v/>
      </c>
      <c r="O1303" s="15" t="n"/>
      <c r="P1303" s="15" t="n"/>
      <c r="Q1303" s="15" t="n"/>
      <c r="R1303" s="25" t="n"/>
      <c r="S1303" s="26">
        <f>IF($A1303="","",AND(OR('Assignment Builder'!$B$5="",$B1303='Assignment Builder'!$B$5),OR('Assignment Builder'!$B$6="",ISNUMBER(SEARCH('Assignment Builder'!$B$6,$C1303))),OR('Assignment Builder'!$B$7="",'Assignment Builder'!$B$7=IFERROR(INDEX('Category Dictionary'!$C$5:$C$135,MATCH($L1303,'Category Dictionary'!$D$5:$D$135,0)),"")),OR('Assignment Builder'!$B$8="",$D1303='Assignment Builder'!$B$8),OR('Assignment Builder'!$B$9="",$F1303='Assignment Builder'!$B$9),OR('Assignment Builder'!$B$10="",$O1303='Assignment Builder'!$B$10),OR('Assignment Builder'!$B$11="",$H1303&gt;='Assignment Builder'!$B$11),OR('Assignment Builder'!$B$12="",N($Q1303)&lt;='Assignment Builder'!$B$12)))</f>
        <v/>
      </c>
      <c r="T1303" s="23" t="n"/>
    </row>
    <row r="1304">
      <c r="A1304" s="23" t="n"/>
      <c r="B1304" s="23" t="n"/>
      <c r="C1304" s="24" t="n"/>
      <c r="D1304" s="15" t="n"/>
      <c r="E1304" s="23" t="n"/>
      <c r="F1304" s="15" t="n"/>
      <c r="G1304" s="23" t="n"/>
      <c r="H1304" s="25" t="n"/>
      <c r="I1304" s="15" t="n"/>
      <c r="J1304" s="26">
        <f>IF($A1304="","",LEN($C1304)-LEN(SUBSTITUTE($C1304,",",""))+1)</f>
        <v/>
      </c>
      <c r="K1304" s="26">
        <f>IF($A1304="","",SUMPRODUCT(--ISNUMBER(SEARCH('Category Dictionary'!$D$5:$D$135&amp;"",$C1304)),--('Category Dictionary'!$D$5:$D$135&lt;&gt;"")))</f>
        <v/>
      </c>
      <c r="L1304" s="27">
        <f>IF($A1304="","",TRIM(IF(ISERROR(FIND(",",$C1304)),$C1304,LEFT($C1304,FIND(",",$C1304)-1))))</f>
        <v/>
      </c>
      <c r="M1304" s="28">
        <f>IF($H1304="","",DATE(YEAR($H1304),MONTH($H1304),1))</f>
        <v/>
      </c>
      <c r="N1304" s="26">
        <f>IF($H1304="","",TODAY()-$H1304)</f>
        <v/>
      </c>
      <c r="O1304" s="15" t="n"/>
      <c r="P1304" s="15" t="n"/>
      <c r="Q1304" s="15" t="n"/>
      <c r="R1304" s="25" t="n"/>
      <c r="S1304" s="26">
        <f>IF($A1304="","",AND(OR('Assignment Builder'!$B$5="",$B1304='Assignment Builder'!$B$5),OR('Assignment Builder'!$B$6="",ISNUMBER(SEARCH('Assignment Builder'!$B$6,$C1304))),OR('Assignment Builder'!$B$7="",'Assignment Builder'!$B$7=IFERROR(INDEX('Category Dictionary'!$C$5:$C$135,MATCH($L1304,'Category Dictionary'!$D$5:$D$135,0)),"")),OR('Assignment Builder'!$B$8="",$D1304='Assignment Builder'!$B$8),OR('Assignment Builder'!$B$9="",$F1304='Assignment Builder'!$B$9),OR('Assignment Builder'!$B$10="",$O1304='Assignment Builder'!$B$10),OR('Assignment Builder'!$B$11="",$H1304&gt;='Assignment Builder'!$B$11),OR('Assignment Builder'!$B$12="",N($Q1304)&lt;='Assignment Builder'!$B$12)))</f>
        <v/>
      </c>
      <c r="T1304" s="23" t="n"/>
    </row>
    <row r="1305">
      <c r="A1305" s="23" t="n"/>
      <c r="B1305" s="23" t="n"/>
      <c r="C1305" s="24" t="n"/>
      <c r="D1305" s="15" t="n"/>
      <c r="E1305" s="23" t="n"/>
      <c r="F1305" s="15" t="n"/>
      <c r="G1305" s="23" t="n"/>
      <c r="H1305" s="25" t="n"/>
      <c r="I1305" s="15" t="n"/>
      <c r="J1305" s="26">
        <f>IF($A1305="","",LEN($C1305)-LEN(SUBSTITUTE($C1305,",",""))+1)</f>
        <v/>
      </c>
      <c r="K1305" s="26">
        <f>IF($A1305="","",SUMPRODUCT(--ISNUMBER(SEARCH('Category Dictionary'!$D$5:$D$135&amp;"",$C1305)),--('Category Dictionary'!$D$5:$D$135&lt;&gt;"")))</f>
        <v/>
      </c>
      <c r="L1305" s="27">
        <f>IF($A1305="","",TRIM(IF(ISERROR(FIND(",",$C1305)),$C1305,LEFT($C1305,FIND(",",$C1305)-1))))</f>
        <v/>
      </c>
      <c r="M1305" s="28">
        <f>IF($H1305="","",DATE(YEAR($H1305),MONTH($H1305),1))</f>
        <v/>
      </c>
      <c r="N1305" s="26">
        <f>IF($H1305="","",TODAY()-$H1305)</f>
        <v/>
      </c>
      <c r="O1305" s="15" t="n"/>
      <c r="P1305" s="15" t="n"/>
      <c r="Q1305" s="15" t="n"/>
      <c r="R1305" s="25" t="n"/>
      <c r="S1305" s="26">
        <f>IF($A1305="","",AND(OR('Assignment Builder'!$B$5="",$B1305='Assignment Builder'!$B$5),OR('Assignment Builder'!$B$6="",ISNUMBER(SEARCH('Assignment Builder'!$B$6,$C1305))),OR('Assignment Builder'!$B$7="",'Assignment Builder'!$B$7=IFERROR(INDEX('Category Dictionary'!$C$5:$C$135,MATCH($L1305,'Category Dictionary'!$D$5:$D$135,0)),"")),OR('Assignment Builder'!$B$8="",$D1305='Assignment Builder'!$B$8),OR('Assignment Builder'!$B$9="",$F1305='Assignment Builder'!$B$9),OR('Assignment Builder'!$B$10="",$O1305='Assignment Builder'!$B$10),OR('Assignment Builder'!$B$11="",$H1305&gt;='Assignment Builder'!$B$11),OR('Assignment Builder'!$B$12="",N($Q1305)&lt;='Assignment Builder'!$B$12)))</f>
        <v/>
      </c>
      <c r="T1305" s="23" t="n"/>
    </row>
    <row r="1306">
      <c r="A1306" s="23" t="n"/>
      <c r="B1306" s="23" t="n"/>
      <c r="C1306" s="24" t="n"/>
      <c r="D1306" s="15" t="n"/>
      <c r="E1306" s="23" t="n"/>
      <c r="F1306" s="15" t="n"/>
      <c r="G1306" s="23" t="n"/>
      <c r="H1306" s="25" t="n"/>
      <c r="I1306" s="15" t="n"/>
      <c r="J1306" s="26">
        <f>IF($A1306="","",LEN($C1306)-LEN(SUBSTITUTE($C1306,",",""))+1)</f>
        <v/>
      </c>
      <c r="K1306" s="26">
        <f>IF($A1306="","",SUMPRODUCT(--ISNUMBER(SEARCH('Category Dictionary'!$D$5:$D$135&amp;"",$C1306)),--('Category Dictionary'!$D$5:$D$135&lt;&gt;"")))</f>
        <v/>
      </c>
      <c r="L1306" s="27">
        <f>IF($A1306="","",TRIM(IF(ISERROR(FIND(",",$C1306)),$C1306,LEFT($C1306,FIND(",",$C1306)-1))))</f>
        <v/>
      </c>
      <c r="M1306" s="28">
        <f>IF($H1306="","",DATE(YEAR($H1306),MONTH($H1306),1))</f>
        <v/>
      </c>
      <c r="N1306" s="26">
        <f>IF($H1306="","",TODAY()-$H1306)</f>
        <v/>
      </c>
      <c r="O1306" s="15" t="n"/>
      <c r="P1306" s="15" t="n"/>
      <c r="Q1306" s="15" t="n"/>
      <c r="R1306" s="25" t="n"/>
      <c r="S1306" s="26">
        <f>IF($A1306="","",AND(OR('Assignment Builder'!$B$5="",$B1306='Assignment Builder'!$B$5),OR('Assignment Builder'!$B$6="",ISNUMBER(SEARCH('Assignment Builder'!$B$6,$C1306))),OR('Assignment Builder'!$B$7="",'Assignment Builder'!$B$7=IFERROR(INDEX('Category Dictionary'!$C$5:$C$135,MATCH($L1306,'Category Dictionary'!$D$5:$D$135,0)),"")),OR('Assignment Builder'!$B$8="",$D1306='Assignment Builder'!$B$8),OR('Assignment Builder'!$B$9="",$F1306='Assignment Builder'!$B$9),OR('Assignment Builder'!$B$10="",$O1306='Assignment Builder'!$B$10),OR('Assignment Builder'!$B$11="",$H1306&gt;='Assignment Builder'!$B$11),OR('Assignment Builder'!$B$12="",N($Q1306)&lt;='Assignment Builder'!$B$12)))</f>
        <v/>
      </c>
      <c r="T1306" s="23" t="n"/>
    </row>
    <row r="1307">
      <c r="A1307" s="23" t="n"/>
      <c r="B1307" s="23" t="n"/>
      <c r="C1307" s="24" t="n"/>
      <c r="D1307" s="15" t="n"/>
      <c r="E1307" s="23" t="n"/>
      <c r="F1307" s="15" t="n"/>
      <c r="G1307" s="23" t="n"/>
      <c r="H1307" s="25" t="n"/>
      <c r="I1307" s="15" t="n"/>
      <c r="J1307" s="26">
        <f>IF($A1307="","",LEN($C1307)-LEN(SUBSTITUTE($C1307,",",""))+1)</f>
        <v/>
      </c>
      <c r="K1307" s="26">
        <f>IF($A1307="","",SUMPRODUCT(--ISNUMBER(SEARCH('Category Dictionary'!$D$5:$D$135&amp;"",$C1307)),--('Category Dictionary'!$D$5:$D$135&lt;&gt;"")))</f>
        <v/>
      </c>
      <c r="L1307" s="27">
        <f>IF($A1307="","",TRIM(IF(ISERROR(FIND(",",$C1307)),$C1307,LEFT($C1307,FIND(",",$C1307)-1))))</f>
        <v/>
      </c>
      <c r="M1307" s="28">
        <f>IF($H1307="","",DATE(YEAR($H1307),MONTH($H1307),1))</f>
        <v/>
      </c>
      <c r="N1307" s="26">
        <f>IF($H1307="","",TODAY()-$H1307)</f>
        <v/>
      </c>
      <c r="O1307" s="15" t="n"/>
      <c r="P1307" s="15" t="n"/>
      <c r="Q1307" s="15" t="n"/>
      <c r="R1307" s="25" t="n"/>
      <c r="S1307" s="26">
        <f>IF($A1307="","",AND(OR('Assignment Builder'!$B$5="",$B1307='Assignment Builder'!$B$5),OR('Assignment Builder'!$B$6="",ISNUMBER(SEARCH('Assignment Builder'!$B$6,$C1307))),OR('Assignment Builder'!$B$7="",'Assignment Builder'!$B$7=IFERROR(INDEX('Category Dictionary'!$C$5:$C$135,MATCH($L1307,'Category Dictionary'!$D$5:$D$135,0)),"")),OR('Assignment Builder'!$B$8="",$D1307='Assignment Builder'!$B$8),OR('Assignment Builder'!$B$9="",$F1307='Assignment Builder'!$B$9),OR('Assignment Builder'!$B$10="",$O1307='Assignment Builder'!$B$10),OR('Assignment Builder'!$B$11="",$H1307&gt;='Assignment Builder'!$B$11),OR('Assignment Builder'!$B$12="",N($Q1307)&lt;='Assignment Builder'!$B$12)))</f>
        <v/>
      </c>
      <c r="T1307" s="23" t="n"/>
    </row>
    <row r="1308">
      <c r="A1308" s="23" t="n"/>
      <c r="B1308" s="23" t="n"/>
      <c r="C1308" s="24" t="n"/>
      <c r="D1308" s="15" t="n"/>
      <c r="E1308" s="23" t="n"/>
      <c r="F1308" s="15" t="n"/>
      <c r="G1308" s="23" t="n"/>
      <c r="H1308" s="25" t="n"/>
      <c r="I1308" s="15" t="n"/>
      <c r="J1308" s="26">
        <f>IF($A1308="","",LEN($C1308)-LEN(SUBSTITUTE($C1308,",",""))+1)</f>
        <v/>
      </c>
      <c r="K1308" s="26">
        <f>IF($A1308="","",SUMPRODUCT(--ISNUMBER(SEARCH('Category Dictionary'!$D$5:$D$135&amp;"",$C1308)),--('Category Dictionary'!$D$5:$D$135&lt;&gt;"")))</f>
        <v/>
      </c>
      <c r="L1308" s="27">
        <f>IF($A1308="","",TRIM(IF(ISERROR(FIND(",",$C1308)),$C1308,LEFT($C1308,FIND(",",$C1308)-1))))</f>
        <v/>
      </c>
      <c r="M1308" s="28">
        <f>IF($H1308="","",DATE(YEAR($H1308),MONTH($H1308),1))</f>
        <v/>
      </c>
      <c r="N1308" s="26">
        <f>IF($H1308="","",TODAY()-$H1308)</f>
        <v/>
      </c>
      <c r="O1308" s="15" t="n"/>
      <c r="P1308" s="15" t="n"/>
      <c r="Q1308" s="15" t="n"/>
      <c r="R1308" s="25" t="n"/>
      <c r="S1308" s="26">
        <f>IF($A1308="","",AND(OR('Assignment Builder'!$B$5="",$B1308='Assignment Builder'!$B$5),OR('Assignment Builder'!$B$6="",ISNUMBER(SEARCH('Assignment Builder'!$B$6,$C1308))),OR('Assignment Builder'!$B$7="",'Assignment Builder'!$B$7=IFERROR(INDEX('Category Dictionary'!$C$5:$C$135,MATCH($L1308,'Category Dictionary'!$D$5:$D$135,0)),"")),OR('Assignment Builder'!$B$8="",$D1308='Assignment Builder'!$B$8),OR('Assignment Builder'!$B$9="",$F1308='Assignment Builder'!$B$9),OR('Assignment Builder'!$B$10="",$O1308='Assignment Builder'!$B$10),OR('Assignment Builder'!$B$11="",$H1308&gt;='Assignment Builder'!$B$11),OR('Assignment Builder'!$B$12="",N($Q1308)&lt;='Assignment Builder'!$B$12)))</f>
        <v/>
      </c>
      <c r="T1308" s="23" t="n"/>
    </row>
    <row r="1309">
      <c r="A1309" s="23" t="n"/>
      <c r="B1309" s="23" t="n"/>
      <c r="C1309" s="24" t="n"/>
      <c r="D1309" s="15" t="n"/>
      <c r="E1309" s="23" t="n"/>
      <c r="F1309" s="15" t="n"/>
      <c r="G1309" s="23" t="n"/>
      <c r="H1309" s="25" t="n"/>
      <c r="I1309" s="15" t="n"/>
      <c r="J1309" s="26">
        <f>IF($A1309="","",LEN($C1309)-LEN(SUBSTITUTE($C1309,",",""))+1)</f>
        <v/>
      </c>
      <c r="K1309" s="26">
        <f>IF($A1309="","",SUMPRODUCT(--ISNUMBER(SEARCH('Category Dictionary'!$D$5:$D$135&amp;"",$C1309)),--('Category Dictionary'!$D$5:$D$135&lt;&gt;"")))</f>
        <v/>
      </c>
      <c r="L1309" s="27">
        <f>IF($A1309="","",TRIM(IF(ISERROR(FIND(",",$C1309)),$C1309,LEFT($C1309,FIND(",",$C1309)-1))))</f>
        <v/>
      </c>
      <c r="M1309" s="28">
        <f>IF($H1309="","",DATE(YEAR($H1309),MONTH($H1309),1))</f>
        <v/>
      </c>
      <c r="N1309" s="26">
        <f>IF($H1309="","",TODAY()-$H1309)</f>
        <v/>
      </c>
      <c r="O1309" s="15" t="n"/>
      <c r="P1309" s="15" t="n"/>
      <c r="Q1309" s="15" t="n"/>
      <c r="R1309" s="25" t="n"/>
      <c r="S1309" s="26">
        <f>IF($A1309="","",AND(OR('Assignment Builder'!$B$5="",$B1309='Assignment Builder'!$B$5),OR('Assignment Builder'!$B$6="",ISNUMBER(SEARCH('Assignment Builder'!$B$6,$C1309))),OR('Assignment Builder'!$B$7="",'Assignment Builder'!$B$7=IFERROR(INDEX('Category Dictionary'!$C$5:$C$135,MATCH($L1309,'Category Dictionary'!$D$5:$D$135,0)),"")),OR('Assignment Builder'!$B$8="",$D1309='Assignment Builder'!$B$8),OR('Assignment Builder'!$B$9="",$F1309='Assignment Builder'!$B$9),OR('Assignment Builder'!$B$10="",$O1309='Assignment Builder'!$B$10),OR('Assignment Builder'!$B$11="",$H1309&gt;='Assignment Builder'!$B$11),OR('Assignment Builder'!$B$12="",N($Q1309)&lt;='Assignment Builder'!$B$12)))</f>
        <v/>
      </c>
      <c r="T1309" s="23" t="n"/>
    </row>
    <row r="1310">
      <c r="A1310" s="23" t="n"/>
      <c r="B1310" s="23" t="n"/>
      <c r="C1310" s="24" t="n"/>
      <c r="D1310" s="15" t="n"/>
      <c r="E1310" s="23" t="n"/>
      <c r="F1310" s="15" t="n"/>
      <c r="G1310" s="23" t="n"/>
      <c r="H1310" s="25" t="n"/>
      <c r="I1310" s="15" t="n"/>
      <c r="J1310" s="26">
        <f>IF($A1310="","",LEN($C1310)-LEN(SUBSTITUTE($C1310,",",""))+1)</f>
        <v/>
      </c>
      <c r="K1310" s="26">
        <f>IF($A1310="","",SUMPRODUCT(--ISNUMBER(SEARCH('Category Dictionary'!$D$5:$D$135&amp;"",$C1310)),--('Category Dictionary'!$D$5:$D$135&lt;&gt;"")))</f>
        <v/>
      </c>
      <c r="L1310" s="27">
        <f>IF($A1310="","",TRIM(IF(ISERROR(FIND(",",$C1310)),$C1310,LEFT($C1310,FIND(",",$C1310)-1))))</f>
        <v/>
      </c>
      <c r="M1310" s="28">
        <f>IF($H1310="","",DATE(YEAR($H1310),MONTH($H1310),1))</f>
        <v/>
      </c>
      <c r="N1310" s="26">
        <f>IF($H1310="","",TODAY()-$H1310)</f>
        <v/>
      </c>
      <c r="O1310" s="15" t="n"/>
      <c r="P1310" s="15" t="n"/>
      <c r="Q1310" s="15" t="n"/>
      <c r="R1310" s="25" t="n"/>
      <c r="S1310" s="26">
        <f>IF($A1310="","",AND(OR('Assignment Builder'!$B$5="",$B1310='Assignment Builder'!$B$5),OR('Assignment Builder'!$B$6="",ISNUMBER(SEARCH('Assignment Builder'!$B$6,$C1310))),OR('Assignment Builder'!$B$7="",'Assignment Builder'!$B$7=IFERROR(INDEX('Category Dictionary'!$C$5:$C$135,MATCH($L1310,'Category Dictionary'!$D$5:$D$135,0)),"")),OR('Assignment Builder'!$B$8="",$D1310='Assignment Builder'!$B$8),OR('Assignment Builder'!$B$9="",$F1310='Assignment Builder'!$B$9),OR('Assignment Builder'!$B$10="",$O1310='Assignment Builder'!$B$10),OR('Assignment Builder'!$B$11="",$H1310&gt;='Assignment Builder'!$B$11),OR('Assignment Builder'!$B$12="",N($Q1310)&lt;='Assignment Builder'!$B$12)))</f>
        <v/>
      </c>
      <c r="T1310" s="23" t="n"/>
    </row>
    <row r="1311">
      <c r="A1311" s="23" t="n"/>
      <c r="B1311" s="23" t="n"/>
      <c r="C1311" s="24" t="n"/>
      <c r="D1311" s="15" t="n"/>
      <c r="E1311" s="23" t="n"/>
      <c r="F1311" s="15" t="n"/>
      <c r="G1311" s="23" t="n"/>
      <c r="H1311" s="25" t="n"/>
      <c r="I1311" s="15" t="n"/>
      <c r="J1311" s="26">
        <f>IF($A1311="","",LEN($C1311)-LEN(SUBSTITUTE($C1311,",",""))+1)</f>
        <v/>
      </c>
      <c r="K1311" s="26">
        <f>IF($A1311="","",SUMPRODUCT(--ISNUMBER(SEARCH('Category Dictionary'!$D$5:$D$135&amp;"",$C1311)),--('Category Dictionary'!$D$5:$D$135&lt;&gt;"")))</f>
        <v/>
      </c>
      <c r="L1311" s="27">
        <f>IF($A1311="","",TRIM(IF(ISERROR(FIND(",",$C1311)),$C1311,LEFT($C1311,FIND(",",$C1311)-1))))</f>
        <v/>
      </c>
      <c r="M1311" s="28">
        <f>IF($H1311="","",DATE(YEAR($H1311),MONTH($H1311),1))</f>
        <v/>
      </c>
      <c r="N1311" s="26">
        <f>IF($H1311="","",TODAY()-$H1311)</f>
        <v/>
      </c>
      <c r="O1311" s="15" t="n"/>
      <c r="P1311" s="15" t="n"/>
      <c r="Q1311" s="15" t="n"/>
      <c r="R1311" s="25" t="n"/>
      <c r="S1311" s="26">
        <f>IF($A1311="","",AND(OR('Assignment Builder'!$B$5="",$B1311='Assignment Builder'!$B$5),OR('Assignment Builder'!$B$6="",ISNUMBER(SEARCH('Assignment Builder'!$B$6,$C1311))),OR('Assignment Builder'!$B$7="",'Assignment Builder'!$B$7=IFERROR(INDEX('Category Dictionary'!$C$5:$C$135,MATCH($L1311,'Category Dictionary'!$D$5:$D$135,0)),"")),OR('Assignment Builder'!$B$8="",$D1311='Assignment Builder'!$B$8),OR('Assignment Builder'!$B$9="",$F1311='Assignment Builder'!$B$9),OR('Assignment Builder'!$B$10="",$O1311='Assignment Builder'!$B$10),OR('Assignment Builder'!$B$11="",$H1311&gt;='Assignment Builder'!$B$11),OR('Assignment Builder'!$B$12="",N($Q1311)&lt;='Assignment Builder'!$B$12)))</f>
        <v/>
      </c>
      <c r="T1311" s="23" t="n"/>
    </row>
    <row r="1312">
      <c r="A1312" s="23" t="n"/>
      <c r="B1312" s="23" t="n"/>
      <c r="C1312" s="24" t="n"/>
      <c r="D1312" s="15" t="n"/>
      <c r="E1312" s="23" t="n"/>
      <c r="F1312" s="15" t="n"/>
      <c r="G1312" s="23" t="n"/>
      <c r="H1312" s="25" t="n"/>
      <c r="I1312" s="15" t="n"/>
      <c r="J1312" s="26">
        <f>IF($A1312="","",LEN($C1312)-LEN(SUBSTITUTE($C1312,",",""))+1)</f>
        <v/>
      </c>
      <c r="K1312" s="26">
        <f>IF($A1312="","",SUMPRODUCT(--ISNUMBER(SEARCH('Category Dictionary'!$D$5:$D$135&amp;"",$C1312)),--('Category Dictionary'!$D$5:$D$135&lt;&gt;"")))</f>
        <v/>
      </c>
      <c r="L1312" s="27">
        <f>IF($A1312="","",TRIM(IF(ISERROR(FIND(",",$C1312)),$C1312,LEFT($C1312,FIND(",",$C1312)-1))))</f>
        <v/>
      </c>
      <c r="M1312" s="28">
        <f>IF($H1312="","",DATE(YEAR($H1312),MONTH($H1312),1))</f>
        <v/>
      </c>
      <c r="N1312" s="26">
        <f>IF($H1312="","",TODAY()-$H1312)</f>
        <v/>
      </c>
      <c r="O1312" s="15" t="n"/>
      <c r="P1312" s="15" t="n"/>
      <c r="Q1312" s="15" t="n"/>
      <c r="R1312" s="25" t="n"/>
      <c r="S1312" s="26">
        <f>IF($A1312="","",AND(OR('Assignment Builder'!$B$5="",$B1312='Assignment Builder'!$B$5),OR('Assignment Builder'!$B$6="",ISNUMBER(SEARCH('Assignment Builder'!$B$6,$C1312))),OR('Assignment Builder'!$B$7="",'Assignment Builder'!$B$7=IFERROR(INDEX('Category Dictionary'!$C$5:$C$135,MATCH($L1312,'Category Dictionary'!$D$5:$D$135,0)),"")),OR('Assignment Builder'!$B$8="",$D1312='Assignment Builder'!$B$8),OR('Assignment Builder'!$B$9="",$F1312='Assignment Builder'!$B$9),OR('Assignment Builder'!$B$10="",$O1312='Assignment Builder'!$B$10),OR('Assignment Builder'!$B$11="",$H1312&gt;='Assignment Builder'!$B$11),OR('Assignment Builder'!$B$12="",N($Q1312)&lt;='Assignment Builder'!$B$12)))</f>
        <v/>
      </c>
      <c r="T1312" s="23" t="n"/>
    </row>
    <row r="1313">
      <c r="A1313" s="23" t="n"/>
      <c r="B1313" s="23" t="n"/>
      <c r="C1313" s="24" t="n"/>
      <c r="D1313" s="15" t="n"/>
      <c r="E1313" s="23" t="n"/>
      <c r="F1313" s="15" t="n"/>
      <c r="G1313" s="23" t="n"/>
      <c r="H1313" s="25" t="n"/>
      <c r="I1313" s="15" t="n"/>
      <c r="J1313" s="26">
        <f>IF($A1313="","",LEN($C1313)-LEN(SUBSTITUTE($C1313,",",""))+1)</f>
        <v/>
      </c>
      <c r="K1313" s="26">
        <f>IF($A1313="","",SUMPRODUCT(--ISNUMBER(SEARCH('Category Dictionary'!$D$5:$D$135&amp;"",$C1313)),--('Category Dictionary'!$D$5:$D$135&lt;&gt;"")))</f>
        <v/>
      </c>
      <c r="L1313" s="27">
        <f>IF($A1313="","",TRIM(IF(ISERROR(FIND(",",$C1313)),$C1313,LEFT($C1313,FIND(",",$C1313)-1))))</f>
        <v/>
      </c>
      <c r="M1313" s="28">
        <f>IF($H1313="","",DATE(YEAR($H1313),MONTH($H1313),1))</f>
        <v/>
      </c>
      <c r="N1313" s="26">
        <f>IF($H1313="","",TODAY()-$H1313)</f>
        <v/>
      </c>
      <c r="O1313" s="15" t="n"/>
      <c r="P1313" s="15" t="n"/>
      <c r="Q1313" s="15" t="n"/>
      <c r="R1313" s="25" t="n"/>
      <c r="S1313" s="26">
        <f>IF($A1313="","",AND(OR('Assignment Builder'!$B$5="",$B1313='Assignment Builder'!$B$5),OR('Assignment Builder'!$B$6="",ISNUMBER(SEARCH('Assignment Builder'!$B$6,$C1313))),OR('Assignment Builder'!$B$7="",'Assignment Builder'!$B$7=IFERROR(INDEX('Category Dictionary'!$C$5:$C$135,MATCH($L1313,'Category Dictionary'!$D$5:$D$135,0)),"")),OR('Assignment Builder'!$B$8="",$D1313='Assignment Builder'!$B$8),OR('Assignment Builder'!$B$9="",$F1313='Assignment Builder'!$B$9),OR('Assignment Builder'!$B$10="",$O1313='Assignment Builder'!$B$10),OR('Assignment Builder'!$B$11="",$H1313&gt;='Assignment Builder'!$B$11),OR('Assignment Builder'!$B$12="",N($Q1313)&lt;='Assignment Builder'!$B$12)))</f>
        <v/>
      </c>
      <c r="T1313" s="23" t="n"/>
    </row>
    <row r="1314">
      <c r="A1314" s="23" t="n"/>
      <c r="B1314" s="23" t="n"/>
      <c r="C1314" s="24" t="n"/>
      <c r="D1314" s="15" t="n"/>
      <c r="E1314" s="23" t="n"/>
      <c r="F1314" s="15" t="n"/>
      <c r="G1314" s="23" t="n"/>
      <c r="H1314" s="25" t="n"/>
      <c r="I1314" s="15" t="n"/>
      <c r="J1314" s="26">
        <f>IF($A1314="","",LEN($C1314)-LEN(SUBSTITUTE($C1314,",",""))+1)</f>
        <v/>
      </c>
      <c r="K1314" s="26">
        <f>IF($A1314="","",SUMPRODUCT(--ISNUMBER(SEARCH('Category Dictionary'!$D$5:$D$135&amp;"",$C1314)),--('Category Dictionary'!$D$5:$D$135&lt;&gt;"")))</f>
        <v/>
      </c>
      <c r="L1314" s="27">
        <f>IF($A1314="","",TRIM(IF(ISERROR(FIND(",",$C1314)),$C1314,LEFT($C1314,FIND(",",$C1314)-1))))</f>
        <v/>
      </c>
      <c r="M1314" s="28">
        <f>IF($H1314="","",DATE(YEAR($H1314),MONTH($H1314),1))</f>
        <v/>
      </c>
      <c r="N1314" s="26">
        <f>IF($H1314="","",TODAY()-$H1314)</f>
        <v/>
      </c>
      <c r="O1314" s="15" t="n"/>
      <c r="P1314" s="15" t="n"/>
      <c r="Q1314" s="15" t="n"/>
      <c r="R1314" s="25" t="n"/>
      <c r="S1314" s="26">
        <f>IF($A1314="","",AND(OR('Assignment Builder'!$B$5="",$B1314='Assignment Builder'!$B$5),OR('Assignment Builder'!$B$6="",ISNUMBER(SEARCH('Assignment Builder'!$B$6,$C1314))),OR('Assignment Builder'!$B$7="",'Assignment Builder'!$B$7=IFERROR(INDEX('Category Dictionary'!$C$5:$C$135,MATCH($L1314,'Category Dictionary'!$D$5:$D$135,0)),"")),OR('Assignment Builder'!$B$8="",$D1314='Assignment Builder'!$B$8),OR('Assignment Builder'!$B$9="",$F1314='Assignment Builder'!$B$9),OR('Assignment Builder'!$B$10="",$O1314='Assignment Builder'!$B$10),OR('Assignment Builder'!$B$11="",$H1314&gt;='Assignment Builder'!$B$11),OR('Assignment Builder'!$B$12="",N($Q1314)&lt;='Assignment Builder'!$B$12)))</f>
        <v/>
      </c>
      <c r="T1314" s="23" t="n"/>
    </row>
    <row r="1315">
      <c r="A1315" s="23" t="n"/>
      <c r="B1315" s="23" t="n"/>
      <c r="C1315" s="24" t="n"/>
      <c r="D1315" s="15" t="n"/>
      <c r="E1315" s="23" t="n"/>
      <c r="F1315" s="15" t="n"/>
      <c r="G1315" s="23" t="n"/>
      <c r="H1315" s="25" t="n"/>
      <c r="I1315" s="15" t="n"/>
      <c r="J1315" s="26">
        <f>IF($A1315="","",LEN($C1315)-LEN(SUBSTITUTE($C1315,",",""))+1)</f>
        <v/>
      </c>
      <c r="K1315" s="26">
        <f>IF($A1315="","",SUMPRODUCT(--ISNUMBER(SEARCH('Category Dictionary'!$D$5:$D$135&amp;"",$C1315)),--('Category Dictionary'!$D$5:$D$135&lt;&gt;"")))</f>
        <v/>
      </c>
      <c r="L1315" s="27">
        <f>IF($A1315="","",TRIM(IF(ISERROR(FIND(",",$C1315)),$C1315,LEFT($C1315,FIND(",",$C1315)-1))))</f>
        <v/>
      </c>
      <c r="M1315" s="28">
        <f>IF($H1315="","",DATE(YEAR($H1315),MONTH($H1315),1))</f>
        <v/>
      </c>
      <c r="N1315" s="26">
        <f>IF($H1315="","",TODAY()-$H1315)</f>
        <v/>
      </c>
      <c r="O1315" s="15" t="n"/>
      <c r="P1315" s="15" t="n"/>
      <c r="Q1315" s="15" t="n"/>
      <c r="R1315" s="25" t="n"/>
      <c r="S1315" s="26">
        <f>IF($A1315="","",AND(OR('Assignment Builder'!$B$5="",$B1315='Assignment Builder'!$B$5),OR('Assignment Builder'!$B$6="",ISNUMBER(SEARCH('Assignment Builder'!$B$6,$C1315))),OR('Assignment Builder'!$B$7="",'Assignment Builder'!$B$7=IFERROR(INDEX('Category Dictionary'!$C$5:$C$135,MATCH($L1315,'Category Dictionary'!$D$5:$D$135,0)),"")),OR('Assignment Builder'!$B$8="",$D1315='Assignment Builder'!$B$8),OR('Assignment Builder'!$B$9="",$F1315='Assignment Builder'!$B$9),OR('Assignment Builder'!$B$10="",$O1315='Assignment Builder'!$B$10),OR('Assignment Builder'!$B$11="",$H1315&gt;='Assignment Builder'!$B$11),OR('Assignment Builder'!$B$12="",N($Q1315)&lt;='Assignment Builder'!$B$12)))</f>
        <v/>
      </c>
      <c r="T1315" s="23" t="n"/>
    </row>
    <row r="1316">
      <c r="A1316" s="23" t="n"/>
      <c r="B1316" s="23" t="n"/>
      <c r="C1316" s="24" t="n"/>
      <c r="D1316" s="15" t="n"/>
      <c r="E1316" s="23" t="n"/>
      <c r="F1316" s="15" t="n"/>
      <c r="G1316" s="23" t="n"/>
      <c r="H1316" s="25" t="n"/>
      <c r="I1316" s="15" t="n"/>
      <c r="J1316" s="26">
        <f>IF($A1316="","",LEN($C1316)-LEN(SUBSTITUTE($C1316,",",""))+1)</f>
        <v/>
      </c>
      <c r="K1316" s="26">
        <f>IF($A1316="","",SUMPRODUCT(--ISNUMBER(SEARCH('Category Dictionary'!$D$5:$D$135&amp;"",$C1316)),--('Category Dictionary'!$D$5:$D$135&lt;&gt;"")))</f>
        <v/>
      </c>
      <c r="L1316" s="27">
        <f>IF($A1316="","",TRIM(IF(ISERROR(FIND(",",$C1316)),$C1316,LEFT($C1316,FIND(",",$C1316)-1))))</f>
        <v/>
      </c>
      <c r="M1316" s="28">
        <f>IF($H1316="","",DATE(YEAR($H1316),MONTH($H1316),1))</f>
        <v/>
      </c>
      <c r="N1316" s="26">
        <f>IF($H1316="","",TODAY()-$H1316)</f>
        <v/>
      </c>
      <c r="O1316" s="15" t="n"/>
      <c r="P1316" s="15" t="n"/>
      <c r="Q1316" s="15" t="n"/>
      <c r="R1316" s="25" t="n"/>
      <c r="S1316" s="26">
        <f>IF($A1316="","",AND(OR('Assignment Builder'!$B$5="",$B1316='Assignment Builder'!$B$5),OR('Assignment Builder'!$B$6="",ISNUMBER(SEARCH('Assignment Builder'!$B$6,$C1316))),OR('Assignment Builder'!$B$7="",'Assignment Builder'!$B$7=IFERROR(INDEX('Category Dictionary'!$C$5:$C$135,MATCH($L1316,'Category Dictionary'!$D$5:$D$135,0)),"")),OR('Assignment Builder'!$B$8="",$D1316='Assignment Builder'!$B$8),OR('Assignment Builder'!$B$9="",$F1316='Assignment Builder'!$B$9),OR('Assignment Builder'!$B$10="",$O1316='Assignment Builder'!$B$10),OR('Assignment Builder'!$B$11="",$H1316&gt;='Assignment Builder'!$B$11),OR('Assignment Builder'!$B$12="",N($Q1316)&lt;='Assignment Builder'!$B$12)))</f>
        <v/>
      </c>
      <c r="T1316" s="23" t="n"/>
    </row>
    <row r="1317">
      <c r="A1317" s="23" t="n"/>
      <c r="B1317" s="23" t="n"/>
      <c r="C1317" s="24" t="n"/>
      <c r="D1317" s="15" t="n"/>
      <c r="E1317" s="23" t="n"/>
      <c r="F1317" s="15" t="n"/>
      <c r="G1317" s="23" t="n"/>
      <c r="H1317" s="25" t="n"/>
      <c r="I1317" s="15" t="n"/>
      <c r="J1317" s="26">
        <f>IF($A1317="","",LEN($C1317)-LEN(SUBSTITUTE($C1317,",",""))+1)</f>
        <v/>
      </c>
      <c r="K1317" s="26">
        <f>IF($A1317="","",SUMPRODUCT(--ISNUMBER(SEARCH('Category Dictionary'!$D$5:$D$135&amp;"",$C1317)),--('Category Dictionary'!$D$5:$D$135&lt;&gt;"")))</f>
        <v/>
      </c>
      <c r="L1317" s="27">
        <f>IF($A1317="","",TRIM(IF(ISERROR(FIND(",",$C1317)),$C1317,LEFT($C1317,FIND(",",$C1317)-1))))</f>
        <v/>
      </c>
      <c r="M1317" s="28">
        <f>IF($H1317="","",DATE(YEAR($H1317),MONTH($H1317),1))</f>
        <v/>
      </c>
      <c r="N1317" s="26">
        <f>IF($H1317="","",TODAY()-$H1317)</f>
        <v/>
      </c>
      <c r="O1317" s="15" t="n"/>
      <c r="P1317" s="15" t="n"/>
      <c r="Q1317" s="15" t="n"/>
      <c r="R1317" s="25" t="n"/>
      <c r="S1317" s="26">
        <f>IF($A1317="","",AND(OR('Assignment Builder'!$B$5="",$B1317='Assignment Builder'!$B$5),OR('Assignment Builder'!$B$6="",ISNUMBER(SEARCH('Assignment Builder'!$B$6,$C1317))),OR('Assignment Builder'!$B$7="",'Assignment Builder'!$B$7=IFERROR(INDEX('Category Dictionary'!$C$5:$C$135,MATCH($L1317,'Category Dictionary'!$D$5:$D$135,0)),"")),OR('Assignment Builder'!$B$8="",$D1317='Assignment Builder'!$B$8),OR('Assignment Builder'!$B$9="",$F1317='Assignment Builder'!$B$9),OR('Assignment Builder'!$B$10="",$O1317='Assignment Builder'!$B$10),OR('Assignment Builder'!$B$11="",$H1317&gt;='Assignment Builder'!$B$11),OR('Assignment Builder'!$B$12="",N($Q1317)&lt;='Assignment Builder'!$B$12)))</f>
        <v/>
      </c>
      <c r="T1317" s="23" t="n"/>
    </row>
    <row r="1318">
      <c r="A1318" s="23" t="n"/>
      <c r="B1318" s="23" t="n"/>
      <c r="C1318" s="24" t="n"/>
      <c r="D1318" s="15" t="n"/>
      <c r="E1318" s="23" t="n"/>
      <c r="F1318" s="15" t="n"/>
      <c r="G1318" s="23" t="n"/>
      <c r="H1318" s="25" t="n"/>
      <c r="I1318" s="15" t="n"/>
      <c r="J1318" s="26">
        <f>IF($A1318="","",LEN($C1318)-LEN(SUBSTITUTE($C1318,",",""))+1)</f>
        <v/>
      </c>
      <c r="K1318" s="26">
        <f>IF($A1318="","",SUMPRODUCT(--ISNUMBER(SEARCH('Category Dictionary'!$D$5:$D$135&amp;"",$C1318)),--('Category Dictionary'!$D$5:$D$135&lt;&gt;"")))</f>
        <v/>
      </c>
      <c r="L1318" s="27">
        <f>IF($A1318="","",TRIM(IF(ISERROR(FIND(",",$C1318)),$C1318,LEFT($C1318,FIND(",",$C1318)-1))))</f>
        <v/>
      </c>
      <c r="M1318" s="28">
        <f>IF($H1318="","",DATE(YEAR($H1318),MONTH($H1318),1))</f>
        <v/>
      </c>
      <c r="N1318" s="26">
        <f>IF($H1318="","",TODAY()-$H1318)</f>
        <v/>
      </c>
      <c r="O1318" s="15" t="n"/>
      <c r="P1318" s="15" t="n"/>
      <c r="Q1318" s="15" t="n"/>
      <c r="R1318" s="25" t="n"/>
      <c r="S1318" s="26">
        <f>IF($A1318="","",AND(OR('Assignment Builder'!$B$5="",$B1318='Assignment Builder'!$B$5),OR('Assignment Builder'!$B$6="",ISNUMBER(SEARCH('Assignment Builder'!$B$6,$C1318))),OR('Assignment Builder'!$B$7="",'Assignment Builder'!$B$7=IFERROR(INDEX('Category Dictionary'!$C$5:$C$135,MATCH($L1318,'Category Dictionary'!$D$5:$D$135,0)),"")),OR('Assignment Builder'!$B$8="",$D1318='Assignment Builder'!$B$8),OR('Assignment Builder'!$B$9="",$F1318='Assignment Builder'!$B$9),OR('Assignment Builder'!$B$10="",$O1318='Assignment Builder'!$B$10),OR('Assignment Builder'!$B$11="",$H1318&gt;='Assignment Builder'!$B$11),OR('Assignment Builder'!$B$12="",N($Q1318)&lt;='Assignment Builder'!$B$12)))</f>
        <v/>
      </c>
      <c r="T1318" s="23" t="n"/>
    </row>
    <row r="1319">
      <c r="A1319" s="23" t="n"/>
      <c r="B1319" s="23" t="n"/>
      <c r="C1319" s="24" t="n"/>
      <c r="D1319" s="15" t="n"/>
      <c r="E1319" s="23" t="n"/>
      <c r="F1319" s="15" t="n"/>
      <c r="G1319" s="23" t="n"/>
      <c r="H1319" s="25" t="n"/>
      <c r="I1319" s="15" t="n"/>
      <c r="J1319" s="26">
        <f>IF($A1319="","",LEN($C1319)-LEN(SUBSTITUTE($C1319,",",""))+1)</f>
        <v/>
      </c>
      <c r="K1319" s="26">
        <f>IF($A1319="","",SUMPRODUCT(--ISNUMBER(SEARCH('Category Dictionary'!$D$5:$D$135&amp;"",$C1319)),--('Category Dictionary'!$D$5:$D$135&lt;&gt;"")))</f>
        <v/>
      </c>
      <c r="L1319" s="27">
        <f>IF($A1319="","",TRIM(IF(ISERROR(FIND(",",$C1319)),$C1319,LEFT($C1319,FIND(",",$C1319)-1))))</f>
        <v/>
      </c>
      <c r="M1319" s="28">
        <f>IF($H1319="","",DATE(YEAR($H1319),MONTH($H1319),1))</f>
        <v/>
      </c>
      <c r="N1319" s="26">
        <f>IF($H1319="","",TODAY()-$H1319)</f>
        <v/>
      </c>
      <c r="O1319" s="15" t="n"/>
      <c r="P1319" s="15" t="n"/>
      <c r="Q1319" s="15" t="n"/>
      <c r="R1319" s="25" t="n"/>
      <c r="S1319" s="26">
        <f>IF($A1319="","",AND(OR('Assignment Builder'!$B$5="",$B1319='Assignment Builder'!$B$5),OR('Assignment Builder'!$B$6="",ISNUMBER(SEARCH('Assignment Builder'!$B$6,$C1319))),OR('Assignment Builder'!$B$7="",'Assignment Builder'!$B$7=IFERROR(INDEX('Category Dictionary'!$C$5:$C$135,MATCH($L1319,'Category Dictionary'!$D$5:$D$135,0)),"")),OR('Assignment Builder'!$B$8="",$D1319='Assignment Builder'!$B$8),OR('Assignment Builder'!$B$9="",$F1319='Assignment Builder'!$B$9),OR('Assignment Builder'!$B$10="",$O1319='Assignment Builder'!$B$10),OR('Assignment Builder'!$B$11="",$H1319&gt;='Assignment Builder'!$B$11),OR('Assignment Builder'!$B$12="",N($Q1319)&lt;='Assignment Builder'!$B$12)))</f>
        <v/>
      </c>
      <c r="T1319" s="23" t="n"/>
    </row>
    <row r="1320">
      <c r="A1320" s="23" t="n"/>
      <c r="B1320" s="23" t="n"/>
      <c r="C1320" s="24" t="n"/>
      <c r="D1320" s="15" t="n"/>
      <c r="E1320" s="23" t="n"/>
      <c r="F1320" s="15" t="n"/>
      <c r="G1320" s="23" t="n"/>
      <c r="H1320" s="25" t="n"/>
      <c r="I1320" s="15" t="n"/>
      <c r="J1320" s="26">
        <f>IF($A1320="","",LEN($C1320)-LEN(SUBSTITUTE($C1320,",",""))+1)</f>
        <v/>
      </c>
      <c r="K1320" s="26">
        <f>IF($A1320="","",SUMPRODUCT(--ISNUMBER(SEARCH('Category Dictionary'!$D$5:$D$135&amp;"",$C1320)),--('Category Dictionary'!$D$5:$D$135&lt;&gt;"")))</f>
        <v/>
      </c>
      <c r="L1320" s="27">
        <f>IF($A1320="","",TRIM(IF(ISERROR(FIND(",",$C1320)),$C1320,LEFT($C1320,FIND(",",$C1320)-1))))</f>
        <v/>
      </c>
      <c r="M1320" s="28">
        <f>IF($H1320="","",DATE(YEAR($H1320),MONTH($H1320),1))</f>
        <v/>
      </c>
      <c r="N1320" s="26">
        <f>IF($H1320="","",TODAY()-$H1320)</f>
        <v/>
      </c>
      <c r="O1320" s="15" t="n"/>
      <c r="P1320" s="15" t="n"/>
      <c r="Q1320" s="15" t="n"/>
      <c r="R1320" s="25" t="n"/>
      <c r="S1320" s="26">
        <f>IF($A1320="","",AND(OR('Assignment Builder'!$B$5="",$B1320='Assignment Builder'!$B$5),OR('Assignment Builder'!$B$6="",ISNUMBER(SEARCH('Assignment Builder'!$B$6,$C1320))),OR('Assignment Builder'!$B$7="",'Assignment Builder'!$B$7=IFERROR(INDEX('Category Dictionary'!$C$5:$C$135,MATCH($L1320,'Category Dictionary'!$D$5:$D$135,0)),"")),OR('Assignment Builder'!$B$8="",$D1320='Assignment Builder'!$B$8),OR('Assignment Builder'!$B$9="",$F1320='Assignment Builder'!$B$9),OR('Assignment Builder'!$B$10="",$O1320='Assignment Builder'!$B$10),OR('Assignment Builder'!$B$11="",$H1320&gt;='Assignment Builder'!$B$11),OR('Assignment Builder'!$B$12="",N($Q1320)&lt;='Assignment Builder'!$B$12)))</f>
        <v/>
      </c>
      <c r="T1320" s="23" t="n"/>
    </row>
    <row r="1321">
      <c r="A1321" s="23" t="n"/>
      <c r="B1321" s="23" t="n"/>
      <c r="C1321" s="24" t="n"/>
      <c r="D1321" s="15" t="n"/>
      <c r="E1321" s="23" t="n"/>
      <c r="F1321" s="15" t="n"/>
      <c r="G1321" s="23" t="n"/>
      <c r="H1321" s="25" t="n"/>
      <c r="I1321" s="15" t="n"/>
      <c r="J1321" s="26">
        <f>IF($A1321="","",LEN($C1321)-LEN(SUBSTITUTE($C1321,",",""))+1)</f>
        <v/>
      </c>
      <c r="K1321" s="26">
        <f>IF($A1321="","",SUMPRODUCT(--ISNUMBER(SEARCH('Category Dictionary'!$D$5:$D$135&amp;"",$C1321)),--('Category Dictionary'!$D$5:$D$135&lt;&gt;"")))</f>
        <v/>
      </c>
      <c r="L1321" s="27">
        <f>IF($A1321="","",TRIM(IF(ISERROR(FIND(",",$C1321)),$C1321,LEFT($C1321,FIND(",",$C1321)-1))))</f>
        <v/>
      </c>
      <c r="M1321" s="28">
        <f>IF($H1321="","",DATE(YEAR($H1321),MONTH($H1321),1))</f>
        <v/>
      </c>
      <c r="N1321" s="26">
        <f>IF($H1321="","",TODAY()-$H1321)</f>
        <v/>
      </c>
      <c r="O1321" s="15" t="n"/>
      <c r="P1321" s="15" t="n"/>
      <c r="Q1321" s="15" t="n"/>
      <c r="R1321" s="25" t="n"/>
      <c r="S1321" s="26">
        <f>IF($A1321="","",AND(OR('Assignment Builder'!$B$5="",$B1321='Assignment Builder'!$B$5),OR('Assignment Builder'!$B$6="",ISNUMBER(SEARCH('Assignment Builder'!$B$6,$C1321))),OR('Assignment Builder'!$B$7="",'Assignment Builder'!$B$7=IFERROR(INDEX('Category Dictionary'!$C$5:$C$135,MATCH($L1321,'Category Dictionary'!$D$5:$D$135,0)),"")),OR('Assignment Builder'!$B$8="",$D1321='Assignment Builder'!$B$8),OR('Assignment Builder'!$B$9="",$F1321='Assignment Builder'!$B$9),OR('Assignment Builder'!$B$10="",$O1321='Assignment Builder'!$B$10),OR('Assignment Builder'!$B$11="",$H1321&gt;='Assignment Builder'!$B$11),OR('Assignment Builder'!$B$12="",N($Q1321)&lt;='Assignment Builder'!$B$12)))</f>
        <v/>
      </c>
      <c r="T1321" s="23" t="n"/>
    </row>
    <row r="1322">
      <c r="A1322" s="23" t="n"/>
      <c r="B1322" s="23" t="n"/>
      <c r="C1322" s="24" t="n"/>
      <c r="D1322" s="15" t="n"/>
      <c r="E1322" s="23" t="n"/>
      <c r="F1322" s="15" t="n"/>
      <c r="G1322" s="23" t="n"/>
      <c r="H1322" s="25" t="n"/>
      <c r="I1322" s="15" t="n"/>
      <c r="J1322" s="26">
        <f>IF($A1322="","",LEN($C1322)-LEN(SUBSTITUTE($C1322,",",""))+1)</f>
        <v/>
      </c>
      <c r="K1322" s="26">
        <f>IF($A1322="","",SUMPRODUCT(--ISNUMBER(SEARCH('Category Dictionary'!$D$5:$D$135&amp;"",$C1322)),--('Category Dictionary'!$D$5:$D$135&lt;&gt;"")))</f>
        <v/>
      </c>
      <c r="L1322" s="27">
        <f>IF($A1322="","",TRIM(IF(ISERROR(FIND(",",$C1322)),$C1322,LEFT($C1322,FIND(",",$C1322)-1))))</f>
        <v/>
      </c>
      <c r="M1322" s="28">
        <f>IF($H1322="","",DATE(YEAR($H1322),MONTH($H1322),1))</f>
        <v/>
      </c>
      <c r="N1322" s="26">
        <f>IF($H1322="","",TODAY()-$H1322)</f>
        <v/>
      </c>
      <c r="O1322" s="15" t="n"/>
      <c r="P1322" s="15" t="n"/>
      <c r="Q1322" s="15" t="n"/>
      <c r="R1322" s="25" t="n"/>
      <c r="S1322" s="26">
        <f>IF($A1322="","",AND(OR('Assignment Builder'!$B$5="",$B1322='Assignment Builder'!$B$5),OR('Assignment Builder'!$B$6="",ISNUMBER(SEARCH('Assignment Builder'!$B$6,$C1322))),OR('Assignment Builder'!$B$7="",'Assignment Builder'!$B$7=IFERROR(INDEX('Category Dictionary'!$C$5:$C$135,MATCH($L1322,'Category Dictionary'!$D$5:$D$135,0)),"")),OR('Assignment Builder'!$B$8="",$D1322='Assignment Builder'!$B$8),OR('Assignment Builder'!$B$9="",$F1322='Assignment Builder'!$B$9),OR('Assignment Builder'!$B$10="",$O1322='Assignment Builder'!$B$10),OR('Assignment Builder'!$B$11="",$H1322&gt;='Assignment Builder'!$B$11),OR('Assignment Builder'!$B$12="",N($Q1322)&lt;='Assignment Builder'!$B$12)))</f>
        <v/>
      </c>
      <c r="T1322" s="23" t="n"/>
    </row>
    <row r="1323">
      <c r="A1323" s="23" t="n"/>
      <c r="B1323" s="23" t="n"/>
      <c r="C1323" s="24" t="n"/>
      <c r="D1323" s="15" t="n"/>
      <c r="E1323" s="23" t="n"/>
      <c r="F1323" s="15" t="n"/>
      <c r="G1323" s="23" t="n"/>
      <c r="H1323" s="25" t="n"/>
      <c r="I1323" s="15" t="n"/>
      <c r="J1323" s="26">
        <f>IF($A1323="","",LEN($C1323)-LEN(SUBSTITUTE($C1323,",",""))+1)</f>
        <v/>
      </c>
      <c r="K1323" s="26">
        <f>IF($A1323="","",SUMPRODUCT(--ISNUMBER(SEARCH('Category Dictionary'!$D$5:$D$135&amp;"",$C1323)),--('Category Dictionary'!$D$5:$D$135&lt;&gt;"")))</f>
        <v/>
      </c>
      <c r="L1323" s="27">
        <f>IF($A1323="","",TRIM(IF(ISERROR(FIND(",",$C1323)),$C1323,LEFT($C1323,FIND(",",$C1323)-1))))</f>
        <v/>
      </c>
      <c r="M1323" s="28">
        <f>IF($H1323="","",DATE(YEAR($H1323),MONTH($H1323),1))</f>
        <v/>
      </c>
      <c r="N1323" s="26">
        <f>IF($H1323="","",TODAY()-$H1323)</f>
        <v/>
      </c>
      <c r="O1323" s="15" t="n"/>
      <c r="P1323" s="15" t="n"/>
      <c r="Q1323" s="15" t="n"/>
      <c r="R1323" s="25" t="n"/>
      <c r="S1323" s="26">
        <f>IF($A1323="","",AND(OR('Assignment Builder'!$B$5="",$B1323='Assignment Builder'!$B$5),OR('Assignment Builder'!$B$6="",ISNUMBER(SEARCH('Assignment Builder'!$B$6,$C1323))),OR('Assignment Builder'!$B$7="",'Assignment Builder'!$B$7=IFERROR(INDEX('Category Dictionary'!$C$5:$C$135,MATCH($L1323,'Category Dictionary'!$D$5:$D$135,0)),"")),OR('Assignment Builder'!$B$8="",$D1323='Assignment Builder'!$B$8),OR('Assignment Builder'!$B$9="",$F1323='Assignment Builder'!$B$9),OR('Assignment Builder'!$B$10="",$O1323='Assignment Builder'!$B$10),OR('Assignment Builder'!$B$11="",$H1323&gt;='Assignment Builder'!$B$11),OR('Assignment Builder'!$B$12="",N($Q1323)&lt;='Assignment Builder'!$B$12)))</f>
        <v/>
      </c>
      <c r="T1323" s="23" t="n"/>
    </row>
    <row r="1324">
      <c r="A1324" s="23" t="n"/>
      <c r="B1324" s="23" t="n"/>
      <c r="C1324" s="24" t="n"/>
      <c r="D1324" s="15" t="n"/>
      <c r="E1324" s="23" t="n"/>
      <c r="F1324" s="15" t="n"/>
      <c r="G1324" s="23" t="n"/>
      <c r="H1324" s="25" t="n"/>
      <c r="I1324" s="15" t="n"/>
      <c r="J1324" s="26">
        <f>IF($A1324="","",LEN($C1324)-LEN(SUBSTITUTE($C1324,",",""))+1)</f>
        <v/>
      </c>
      <c r="K1324" s="26">
        <f>IF($A1324="","",SUMPRODUCT(--ISNUMBER(SEARCH('Category Dictionary'!$D$5:$D$135&amp;"",$C1324)),--('Category Dictionary'!$D$5:$D$135&lt;&gt;"")))</f>
        <v/>
      </c>
      <c r="L1324" s="27">
        <f>IF($A1324="","",TRIM(IF(ISERROR(FIND(",",$C1324)),$C1324,LEFT($C1324,FIND(",",$C1324)-1))))</f>
        <v/>
      </c>
      <c r="M1324" s="28">
        <f>IF($H1324="","",DATE(YEAR($H1324),MONTH($H1324),1))</f>
        <v/>
      </c>
      <c r="N1324" s="26">
        <f>IF($H1324="","",TODAY()-$H1324)</f>
        <v/>
      </c>
      <c r="O1324" s="15" t="n"/>
      <c r="P1324" s="15" t="n"/>
      <c r="Q1324" s="15" t="n"/>
      <c r="R1324" s="25" t="n"/>
      <c r="S1324" s="26">
        <f>IF($A1324="","",AND(OR('Assignment Builder'!$B$5="",$B1324='Assignment Builder'!$B$5),OR('Assignment Builder'!$B$6="",ISNUMBER(SEARCH('Assignment Builder'!$B$6,$C1324))),OR('Assignment Builder'!$B$7="",'Assignment Builder'!$B$7=IFERROR(INDEX('Category Dictionary'!$C$5:$C$135,MATCH($L1324,'Category Dictionary'!$D$5:$D$135,0)),"")),OR('Assignment Builder'!$B$8="",$D1324='Assignment Builder'!$B$8),OR('Assignment Builder'!$B$9="",$F1324='Assignment Builder'!$B$9),OR('Assignment Builder'!$B$10="",$O1324='Assignment Builder'!$B$10),OR('Assignment Builder'!$B$11="",$H1324&gt;='Assignment Builder'!$B$11),OR('Assignment Builder'!$B$12="",N($Q1324)&lt;='Assignment Builder'!$B$12)))</f>
        <v/>
      </c>
      <c r="T1324" s="23" t="n"/>
    </row>
    <row r="1325">
      <c r="A1325" s="23" t="n"/>
      <c r="B1325" s="23" t="n"/>
      <c r="C1325" s="24" t="n"/>
      <c r="D1325" s="15" t="n"/>
      <c r="E1325" s="23" t="n"/>
      <c r="F1325" s="15" t="n"/>
      <c r="G1325" s="23" t="n"/>
      <c r="H1325" s="25" t="n"/>
      <c r="I1325" s="15" t="n"/>
      <c r="J1325" s="26">
        <f>IF($A1325="","",LEN($C1325)-LEN(SUBSTITUTE($C1325,",",""))+1)</f>
        <v/>
      </c>
      <c r="K1325" s="26">
        <f>IF($A1325="","",SUMPRODUCT(--ISNUMBER(SEARCH('Category Dictionary'!$D$5:$D$135&amp;"",$C1325)),--('Category Dictionary'!$D$5:$D$135&lt;&gt;"")))</f>
        <v/>
      </c>
      <c r="L1325" s="27">
        <f>IF($A1325="","",TRIM(IF(ISERROR(FIND(",",$C1325)),$C1325,LEFT($C1325,FIND(",",$C1325)-1))))</f>
        <v/>
      </c>
      <c r="M1325" s="28">
        <f>IF($H1325="","",DATE(YEAR($H1325),MONTH($H1325),1))</f>
        <v/>
      </c>
      <c r="N1325" s="26">
        <f>IF($H1325="","",TODAY()-$H1325)</f>
        <v/>
      </c>
      <c r="O1325" s="15" t="n"/>
      <c r="P1325" s="15" t="n"/>
      <c r="Q1325" s="15" t="n"/>
      <c r="R1325" s="25" t="n"/>
      <c r="S1325" s="26">
        <f>IF($A1325="","",AND(OR('Assignment Builder'!$B$5="",$B1325='Assignment Builder'!$B$5),OR('Assignment Builder'!$B$6="",ISNUMBER(SEARCH('Assignment Builder'!$B$6,$C1325))),OR('Assignment Builder'!$B$7="",'Assignment Builder'!$B$7=IFERROR(INDEX('Category Dictionary'!$C$5:$C$135,MATCH($L1325,'Category Dictionary'!$D$5:$D$135,0)),"")),OR('Assignment Builder'!$B$8="",$D1325='Assignment Builder'!$B$8),OR('Assignment Builder'!$B$9="",$F1325='Assignment Builder'!$B$9),OR('Assignment Builder'!$B$10="",$O1325='Assignment Builder'!$B$10),OR('Assignment Builder'!$B$11="",$H1325&gt;='Assignment Builder'!$B$11),OR('Assignment Builder'!$B$12="",N($Q1325)&lt;='Assignment Builder'!$B$12)))</f>
        <v/>
      </c>
      <c r="T1325" s="23" t="n"/>
    </row>
    <row r="1326">
      <c r="A1326" s="23" t="n"/>
      <c r="B1326" s="23" t="n"/>
      <c r="C1326" s="24" t="n"/>
      <c r="D1326" s="15" t="n"/>
      <c r="E1326" s="23" t="n"/>
      <c r="F1326" s="15" t="n"/>
      <c r="G1326" s="23" t="n"/>
      <c r="H1326" s="25" t="n"/>
      <c r="I1326" s="15" t="n"/>
      <c r="J1326" s="26">
        <f>IF($A1326="","",LEN($C1326)-LEN(SUBSTITUTE($C1326,",",""))+1)</f>
        <v/>
      </c>
      <c r="K1326" s="26">
        <f>IF($A1326="","",SUMPRODUCT(--ISNUMBER(SEARCH('Category Dictionary'!$D$5:$D$135&amp;"",$C1326)),--('Category Dictionary'!$D$5:$D$135&lt;&gt;"")))</f>
        <v/>
      </c>
      <c r="L1326" s="27">
        <f>IF($A1326="","",TRIM(IF(ISERROR(FIND(",",$C1326)),$C1326,LEFT($C1326,FIND(",",$C1326)-1))))</f>
        <v/>
      </c>
      <c r="M1326" s="28">
        <f>IF($H1326="","",DATE(YEAR($H1326),MONTH($H1326),1))</f>
        <v/>
      </c>
      <c r="N1326" s="26">
        <f>IF($H1326="","",TODAY()-$H1326)</f>
        <v/>
      </c>
      <c r="O1326" s="15" t="n"/>
      <c r="P1326" s="15" t="n"/>
      <c r="Q1326" s="15" t="n"/>
      <c r="R1326" s="25" t="n"/>
      <c r="S1326" s="26">
        <f>IF($A1326="","",AND(OR('Assignment Builder'!$B$5="",$B1326='Assignment Builder'!$B$5),OR('Assignment Builder'!$B$6="",ISNUMBER(SEARCH('Assignment Builder'!$B$6,$C1326))),OR('Assignment Builder'!$B$7="",'Assignment Builder'!$B$7=IFERROR(INDEX('Category Dictionary'!$C$5:$C$135,MATCH($L1326,'Category Dictionary'!$D$5:$D$135,0)),"")),OR('Assignment Builder'!$B$8="",$D1326='Assignment Builder'!$B$8),OR('Assignment Builder'!$B$9="",$F1326='Assignment Builder'!$B$9),OR('Assignment Builder'!$B$10="",$O1326='Assignment Builder'!$B$10),OR('Assignment Builder'!$B$11="",$H1326&gt;='Assignment Builder'!$B$11),OR('Assignment Builder'!$B$12="",N($Q1326)&lt;='Assignment Builder'!$B$12)))</f>
        <v/>
      </c>
      <c r="T1326" s="23" t="n"/>
    </row>
    <row r="1327">
      <c r="A1327" s="23" t="n"/>
      <c r="B1327" s="23" t="n"/>
      <c r="C1327" s="24" t="n"/>
      <c r="D1327" s="15" t="n"/>
      <c r="E1327" s="23" t="n"/>
      <c r="F1327" s="15" t="n"/>
      <c r="G1327" s="23" t="n"/>
      <c r="H1327" s="25" t="n"/>
      <c r="I1327" s="15" t="n"/>
      <c r="J1327" s="26">
        <f>IF($A1327="","",LEN($C1327)-LEN(SUBSTITUTE($C1327,",",""))+1)</f>
        <v/>
      </c>
      <c r="K1327" s="26">
        <f>IF($A1327="","",SUMPRODUCT(--ISNUMBER(SEARCH('Category Dictionary'!$D$5:$D$135&amp;"",$C1327)),--('Category Dictionary'!$D$5:$D$135&lt;&gt;"")))</f>
        <v/>
      </c>
      <c r="L1327" s="27">
        <f>IF($A1327="","",TRIM(IF(ISERROR(FIND(",",$C1327)),$C1327,LEFT($C1327,FIND(",",$C1327)-1))))</f>
        <v/>
      </c>
      <c r="M1327" s="28">
        <f>IF($H1327="","",DATE(YEAR($H1327),MONTH($H1327),1))</f>
        <v/>
      </c>
      <c r="N1327" s="26">
        <f>IF($H1327="","",TODAY()-$H1327)</f>
        <v/>
      </c>
      <c r="O1327" s="15" t="n"/>
      <c r="P1327" s="15" t="n"/>
      <c r="Q1327" s="15" t="n"/>
      <c r="R1327" s="25" t="n"/>
      <c r="S1327" s="26">
        <f>IF($A1327="","",AND(OR('Assignment Builder'!$B$5="",$B1327='Assignment Builder'!$B$5),OR('Assignment Builder'!$B$6="",ISNUMBER(SEARCH('Assignment Builder'!$B$6,$C1327))),OR('Assignment Builder'!$B$7="",'Assignment Builder'!$B$7=IFERROR(INDEX('Category Dictionary'!$C$5:$C$135,MATCH($L1327,'Category Dictionary'!$D$5:$D$135,0)),"")),OR('Assignment Builder'!$B$8="",$D1327='Assignment Builder'!$B$8),OR('Assignment Builder'!$B$9="",$F1327='Assignment Builder'!$B$9),OR('Assignment Builder'!$B$10="",$O1327='Assignment Builder'!$B$10),OR('Assignment Builder'!$B$11="",$H1327&gt;='Assignment Builder'!$B$11),OR('Assignment Builder'!$B$12="",N($Q1327)&lt;='Assignment Builder'!$B$12)))</f>
        <v/>
      </c>
      <c r="T1327" s="23" t="n"/>
    </row>
    <row r="1328">
      <c r="A1328" s="23" t="n"/>
      <c r="B1328" s="23" t="n"/>
      <c r="C1328" s="24" t="n"/>
      <c r="D1328" s="15" t="n"/>
      <c r="E1328" s="23" t="n"/>
      <c r="F1328" s="15" t="n"/>
      <c r="G1328" s="23" t="n"/>
      <c r="H1328" s="25" t="n"/>
      <c r="I1328" s="15" t="n"/>
      <c r="J1328" s="26">
        <f>IF($A1328="","",LEN($C1328)-LEN(SUBSTITUTE($C1328,",",""))+1)</f>
        <v/>
      </c>
      <c r="K1328" s="26">
        <f>IF($A1328="","",SUMPRODUCT(--ISNUMBER(SEARCH('Category Dictionary'!$D$5:$D$135&amp;"",$C1328)),--('Category Dictionary'!$D$5:$D$135&lt;&gt;"")))</f>
        <v/>
      </c>
      <c r="L1328" s="27">
        <f>IF($A1328="","",TRIM(IF(ISERROR(FIND(",",$C1328)),$C1328,LEFT($C1328,FIND(",",$C1328)-1))))</f>
        <v/>
      </c>
      <c r="M1328" s="28">
        <f>IF($H1328="","",DATE(YEAR($H1328),MONTH($H1328),1))</f>
        <v/>
      </c>
      <c r="N1328" s="26">
        <f>IF($H1328="","",TODAY()-$H1328)</f>
        <v/>
      </c>
      <c r="O1328" s="15" t="n"/>
      <c r="P1328" s="15" t="n"/>
      <c r="Q1328" s="15" t="n"/>
      <c r="R1328" s="25" t="n"/>
      <c r="S1328" s="26">
        <f>IF($A1328="","",AND(OR('Assignment Builder'!$B$5="",$B1328='Assignment Builder'!$B$5),OR('Assignment Builder'!$B$6="",ISNUMBER(SEARCH('Assignment Builder'!$B$6,$C1328))),OR('Assignment Builder'!$B$7="",'Assignment Builder'!$B$7=IFERROR(INDEX('Category Dictionary'!$C$5:$C$135,MATCH($L1328,'Category Dictionary'!$D$5:$D$135,0)),"")),OR('Assignment Builder'!$B$8="",$D1328='Assignment Builder'!$B$8),OR('Assignment Builder'!$B$9="",$F1328='Assignment Builder'!$B$9),OR('Assignment Builder'!$B$10="",$O1328='Assignment Builder'!$B$10),OR('Assignment Builder'!$B$11="",$H1328&gt;='Assignment Builder'!$B$11),OR('Assignment Builder'!$B$12="",N($Q1328)&lt;='Assignment Builder'!$B$12)))</f>
        <v/>
      </c>
      <c r="T1328" s="23" t="n"/>
    </row>
    <row r="1329">
      <c r="A1329" s="23" t="n"/>
      <c r="B1329" s="23" t="n"/>
      <c r="C1329" s="24" t="n"/>
      <c r="D1329" s="15" t="n"/>
      <c r="E1329" s="23" t="n"/>
      <c r="F1329" s="15" t="n"/>
      <c r="G1329" s="23" t="n"/>
      <c r="H1329" s="25" t="n"/>
      <c r="I1329" s="15" t="n"/>
      <c r="J1329" s="26">
        <f>IF($A1329="","",LEN($C1329)-LEN(SUBSTITUTE($C1329,",",""))+1)</f>
        <v/>
      </c>
      <c r="K1329" s="26">
        <f>IF($A1329="","",SUMPRODUCT(--ISNUMBER(SEARCH('Category Dictionary'!$D$5:$D$135&amp;"",$C1329)),--('Category Dictionary'!$D$5:$D$135&lt;&gt;"")))</f>
        <v/>
      </c>
      <c r="L1329" s="27">
        <f>IF($A1329="","",TRIM(IF(ISERROR(FIND(",",$C1329)),$C1329,LEFT($C1329,FIND(",",$C1329)-1))))</f>
        <v/>
      </c>
      <c r="M1329" s="28">
        <f>IF($H1329="","",DATE(YEAR($H1329),MONTH($H1329),1))</f>
        <v/>
      </c>
      <c r="N1329" s="26">
        <f>IF($H1329="","",TODAY()-$H1329)</f>
        <v/>
      </c>
      <c r="O1329" s="15" t="n"/>
      <c r="P1329" s="15" t="n"/>
      <c r="Q1329" s="15" t="n"/>
      <c r="R1329" s="25" t="n"/>
      <c r="S1329" s="26">
        <f>IF($A1329="","",AND(OR('Assignment Builder'!$B$5="",$B1329='Assignment Builder'!$B$5),OR('Assignment Builder'!$B$6="",ISNUMBER(SEARCH('Assignment Builder'!$B$6,$C1329))),OR('Assignment Builder'!$B$7="",'Assignment Builder'!$B$7=IFERROR(INDEX('Category Dictionary'!$C$5:$C$135,MATCH($L1329,'Category Dictionary'!$D$5:$D$135,0)),"")),OR('Assignment Builder'!$B$8="",$D1329='Assignment Builder'!$B$8),OR('Assignment Builder'!$B$9="",$F1329='Assignment Builder'!$B$9),OR('Assignment Builder'!$B$10="",$O1329='Assignment Builder'!$B$10),OR('Assignment Builder'!$B$11="",$H1329&gt;='Assignment Builder'!$B$11),OR('Assignment Builder'!$B$12="",N($Q1329)&lt;='Assignment Builder'!$B$12)))</f>
        <v/>
      </c>
      <c r="T1329" s="23" t="n"/>
    </row>
    <row r="1330">
      <c r="A1330" s="23" t="n"/>
      <c r="B1330" s="23" t="n"/>
      <c r="C1330" s="24" t="n"/>
      <c r="D1330" s="15" t="n"/>
      <c r="E1330" s="23" t="n"/>
      <c r="F1330" s="15" t="n"/>
      <c r="G1330" s="23" t="n"/>
      <c r="H1330" s="25" t="n"/>
      <c r="I1330" s="15" t="n"/>
      <c r="J1330" s="26">
        <f>IF($A1330="","",LEN($C1330)-LEN(SUBSTITUTE($C1330,",",""))+1)</f>
        <v/>
      </c>
      <c r="K1330" s="26">
        <f>IF($A1330="","",SUMPRODUCT(--ISNUMBER(SEARCH('Category Dictionary'!$D$5:$D$135&amp;"",$C1330)),--('Category Dictionary'!$D$5:$D$135&lt;&gt;"")))</f>
        <v/>
      </c>
      <c r="L1330" s="27">
        <f>IF($A1330="","",TRIM(IF(ISERROR(FIND(",",$C1330)),$C1330,LEFT($C1330,FIND(",",$C1330)-1))))</f>
        <v/>
      </c>
      <c r="M1330" s="28">
        <f>IF($H1330="","",DATE(YEAR($H1330),MONTH($H1330),1))</f>
        <v/>
      </c>
      <c r="N1330" s="26">
        <f>IF($H1330="","",TODAY()-$H1330)</f>
        <v/>
      </c>
      <c r="O1330" s="15" t="n"/>
      <c r="P1330" s="15" t="n"/>
      <c r="Q1330" s="15" t="n"/>
      <c r="R1330" s="25" t="n"/>
      <c r="S1330" s="26">
        <f>IF($A1330="","",AND(OR('Assignment Builder'!$B$5="",$B1330='Assignment Builder'!$B$5),OR('Assignment Builder'!$B$6="",ISNUMBER(SEARCH('Assignment Builder'!$B$6,$C1330))),OR('Assignment Builder'!$B$7="",'Assignment Builder'!$B$7=IFERROR(INDEX('Category Dictionary'!$C$5:$C$135,MATCH($L1330,'Category Dictionary'!$D$5:$D$135,0)),"")),OR('Assignment Builder'!$B$8="",$D1330='Assignment Builder'!$B$8),OR('Assignment Builder'!$B$9="",$F1330='Assignment Builder'!$B$9),OR('Assignment Builder'!$B$10="",$O1330='Assignment Builder'!$B$10),OR('Assignment Builder'!$B$11="",$H1330&gt;='Assignment Builder'!$B$11),OR('Assignment Builder'!$B$12="",N($Q1330)&lt;='Assignment Builder'!$B$12)))</f>
        <v/>
      </c>
      <c r="T1330" s="23" t="n"/>
    </row>
    <row r="1331">
      <c r="A1331" s="23" t="n"/>
      <c r="B1331" s="23" t="n"/>
      <c r="C1331" s="24" t="n"/>
      <c r="D1331" s="15" t="n"/>
      <c r="E1331" s="23" t="n"/>
      <c r="F1331" s="15" t="n"/>
      <c r="G1331" s="23" t="n"/>
      <c r="H1331" s="25" t="n"/>
      <c r="I1331" s="15" t="n"/>
      <c r="J1331" s="26">
        <f>IF($A1331="","",LEN($C1331)-LEN(SUBSTITUTE($C1331,",",""))+1)</f>
        <v/>
      </c>
      <c r="K1331" s="26">
        <f>IF($A1331="","",SUMPRODUCT(--ISNUMBER(SEARCH('Category Dictionary'!$D$5:$D$135&amp;"",$C1331)),--('Category Dictionary'!$D$5:$D$135&lt;&gt;"")))</f>
        <v/>
      </c>
      <c r="L1331" s="27">
        <f>IF($A1331="","",TRIM(IF(ISERROR(FIND(",",$C1331)),$C1331,LEFT($C1331,FIND(",",$C1331)-1))))</f>
        <v/>
      </c>
      <c r="M1331" s="28">
        <f>IF($H1331="","",DATE(YEAR($H1331),MONTH($H1331),1))</f>
        <v/>
      </c>
      <c r="N1331" s="26">
        <f>IF($H1331="","",TODAY()-$H1331)</f>
        <v/>
      </c>
      <c r="O1331" s="15" t="n"/>
      <c r="P1331" s="15" t="n"/>
      <c r="Q1331" s="15" t="n"/>
      <c r="R1331" s="25" t="n"/>
      <c r="S1331" s="26">
        <f>IF($A1331="","",AND(OR('Assignment Builder'!$B$5="",$B1331='Assignment Builder'!$B$5),OR('Assignment Builder'!$B$6="",ISNUMBER(SEARCH('Assignment Builder'!$B$6,$C1331))),OR('Assignment Builder'!$B$7="",'Assignment Builder'!$B$7=IFERROR(INDEX('Category Dictionary'!$C$5:$C$135,MATCH($L1331,'Category Dictionary'!$D$5:$D$135,0)),"")),OR('Assignment Builder'!$B$8="",$D1331='Assignment Builder'!$B$8),OR('Assignment Builder'!$B$9="",$F1331='Assignment Builder'!$B$9),OR('Assignment Builder'!$B$10="",$O1331='Assignment Builder'!$B$10),OR('Assignment Builder'!$B$11="",$H1331&gt;='Assignment Builder'!$B$11),OR('Assignment Builder'!$B$12="",N($Q1331)&lt;='Assignment Builder'!$B$12)))</f>
        <v/>
      </c>
      <c r="T1331" s="23" t="n"/>
    </row>
    <row r="1332">
      <c r="A1332" s="23" t="n"/>
      <c r="B1332" s="23" t="n"/>
      <c r="C1332" s="24" t="n"/>
      <c r="D1332" s="15" t="n"/>
      <c r="E1332" s="23" t="n"/>
      <c r="F1332" s="15" t="n"/>
      <c r="G1332" s="23" t="n"/>
      <c r="H1332" s="25" t="n"/>
      <c r="I1332" s="15" t="n"/>
      <c r="J1332" s="26">
        <f>IF($A1332="","",LEN($C1332)-LEN(SUBSTITUTE($C1332,",",""))+1)</f>
        <v/>
      </c>
      <c r="K1332" s="26">
        <f>IF($A1332="","",SUMPRODUCT(--ISNUMBER(SEARCH('Category Dictionary'!$D$5:$D$135&amp;"",$C1332)),--('Category Dictionary'!$D$5:$D$135&lt;&gt;"")))</f>
        <v/>
      </c>
      <c r="L1332" s="27">
        <f>IF($A1332="","",TRIM(IF(ISERROR(FIND(",",$C1332)),$C1332,LEFT($C1332,FIND(",",$C1332)-1))))</f>
        <v/>
      </c>
      <c r="M1332" s="28">
        <f>IF($H1332="","",DATE(YEAR($H1332),MONTH($H1332),1))</f>
        <v/>
      </c>
      <c r="N1332" s="26">
        <f>IF($H1332="","",TODAY()-$H1332)</f>
        <v/>
      </c>
      <c r="O1332" s="15" t="n"/>
      <c r="P1332" s="15" t="n"/>
      <c r="Q1332" s="15" t="n"/>
      <c r="R1332" s="25" t="n"/>
      <c r="S1332" s="26">
        <f>IF($A1332="","",AND(OR('Assignment Builder'!$B$5="",$B1332='Assignment Builder'!$B$5),OR('Assignment Builder'!$B$6="",ISNUMBER(SEARCH('Assignment Builder'!$B$6,$C1332))),OR('Assignment Builder'!$B$7="",'Assignment Builder'!$B$7=IFERROR(INDEX('Category Dictionary'!$C$5:$C$135,MATCH($L1332,'Category Dictionary'!$D$5:$D$135,0)),"")),OR('Assignment Builder'!$B$8="",$D1332='Assignment Builder'!$B$8),OR('Assignment Builder'!$B$9="",$F1332='Assignment Builder'!$B$9),OR('Assignment Builder'!$B$10="",$O1332='Assignment Builder'!$B$10),OR('Assignment Builder'!$B$11="",$H1332&gt;='Assignment Builder'!$B$11),OR('Assignment Builder'!$B$12="",N($Q1332)&lt;='Assignment Builder'!$B$12)))</f>
        <v/>
      </c>
      <c r="T1332" s="23" t="n"/>
    </row>
    <row r="1333">
      <c r="A1333" s="23" t="n"/>
      <c r="B1333" s="23" t="n"/>
      <c r="C1333" s="24" t="n"/>
      <c r="D1333" s="15" t="n"/>
      <c r="E1333" s="23" t="n"/>
      <c r="F1333" s="15" t="n"/>
      <c r="G1333" s="23" t="n"/>
      <c r="H1333" s="25" t="n"/>
      <c r="I1333" s="15" t="n"/>
      <c r="J1333" s="26">
        <f>IF($A1333="","",LEN($C1333)-LEN(SUBSTITUTE($C1333,",",""))+1)</f>
        <v/>
      </c>
      <c r="K1333" s="26">
        <f>IF($A1333="","",SUMPRODUCT(--ISNUMBER(SEARCH('Category Dictionary'!$D$5:$D$135&amp;"",$C1333)),--('Category Dictionary'!$D$5:$D$135&lt;&gt;"")))</f>
        <v/>
      </c>
      <c r="L1333" s="27">
        <f>IF($A1333="","",TRIM(IF(ISERROR(FIND(",",$C1333)),$C1333,LEFT($C1333,FIND(",",$C1333)-1))))</f>
        <v/>
      </c>
      <c r="M1333" s="28">
        <f>IF($H1333="","",DATE(YEAR($H1333),MONTH($H1333),1))</f>
        <v/>
      </c>
      <c r="N1333" s="26">
        <f>IF($H1333="","",TODAY()-$H1333)</f>
        <v/>
      </c>
      <c r="O1333" s="15" t="n"/>
      <c r="P1333" s="15" t="n"/>
      <c r="Q1333" s="15" t="n"/>
      <c r="R1333" s="25" t="n"/>
      <c r="S1333" s="26">
        <f>IF($A1333="","",AND(OR('Assignment Builder'!$B$5="",$B1333='Assignment Builder'!$B$5),OR('Assignment Builder'!$B$6="",ISNUMBER(SEARCH('Assignment Builder'!$B$6,$C1333))),OR('Assignment Builder'!$B$7="",'Assignment Builder'!$B$7=IFERROR(INDEX('Category Dictionary'!$C$5:$C$135,MATCH($L1333,'Category Dictionary'!$D$5:$D$135,0)),"")),OR('Assignment Builder'!$B$8="",$D1333='Assignment Builder'!$B$8),OR('Assignment Builder'!$B$9="",$F1333='Assignment Builder'!$B$9),OR('Assignment Builder'!$B$10="",$O1333='Assignment Builder'!$B$10),OR('Assignment Builder'!$B$11="",$H1333&gt;='Assignment Builder'!$B$11),OR('Assignment Builder'!$B$12="",N($Q1333)&lt;='Assignment Builder'!$B$12)))</f>
        <v/>
      </c>
      <c r="T1333" s="23" t="n"/>
    </row>
    <row r="1334">
      <c r="A1334" s="23" t="n"/>
      <c r="B1334" s="23" t="n"/>
      <c r="C1334" s="24" t="n"/>
      <c r="D1334" s="15" t="n"/>
      <c r="E1334" s="23" t="n"/>
      <c r="F1334" s="15" t="n"/>
      <c r="G1334" s="23" t="n"/>
      <c r="H1334" s="25" t="n"/>
      <c r="I1334" s="15" t="n"/>
      <c r="J1334" s="26">
        <f>IF($A1334="","",LEN($C1334)-LEN(SUBSTITUTE($C1334,",",""))+1)</f>
        <v/>
      </c>
      <c r="K1334" s="26">
        <f>IF($A1334="","",SUMPRODUCT(--ISNUMBER(SEARCH('Category Dictionary'!$D$5:$D$135&amp;"",$C1334)),--('Category Dictionary'!$D$5:$D$135&lt;&gt;"")))</f>
        <v/>
      </c>
      <c r="L1334" s="27">
        <f>IF($A1334="","",TRIM(IF(ISERROR(FIND(",",$C1334)),$C1334,LEFT($C1334,FIND(",",$C1334)-1))))</f>
        <v/>
      </c>
      <c r="M1334" s="28">
        <f>IF($H1334="","",DATE(YEAR($H1334),MONTH($H1334),1))</f>
        <v/>
      </c>
      <c r="N1334" s="26">
        <f>IF($H1334="","",TODAY()-$H1334)</f>
        <v/>
      </c>
      <c r="O1334" s="15" t="n"/>
      <c r="P1334" s="15" t="n"/>
      <c r="Q1334" s="15" t="n"/>
      <c r="R1334" s="25" t="n"/>
      <c r="S1334" s="26">
        <f>IF($A1334="","",AND(OR('Assignment Builder'!$B$5="",$B1334='Assignment Builder'!$B$5),OR('Assignment Builder'!$B$6="",ISNUMBER(SEARCH('Assignment Builder'!$B$6,$C1334))),OR('Assignment Builder'!$B$7="",'Assignment Builder'!$B$7=IFERROR(INDEX('Category Dictionary'!$C$5:$C$135,MATCH($L1334,'Category Dictionary'!$D$5:$D$135,0)),"")),OR('Assignment Builder'!$B$8="",$D1334='Assignment Builder'!$B$8),OR('Assignment Builder'!$B$9="",$F1334='Assignment Builder'!$B$9),OR('Assignment Builder'!$B$10="",$O1334='Assignment Builder'!$B$10),OR('Assignment Builder'!$B$11="",$H1334&gt;='Assignment Builder'!$B$11),OR('Assignment Builder'!$B$12="",N($Q1334)&lt;='Assignment Builder'!$B$12)))</f>
        <v/>
      </c>
      <c r="T1334" s="23" t="n"/>
    </row>
    <row r="1335">
      <c r="A1335" s="23" t="n"/>
      <c r="B1335" s="23" t="n"/>
      <c r="C1335" s="24" t="n"/>
      <c r="D1335" s="15" t="n"/>
      <c r="E1335" s="23" t="n"/>
      <c r="F1335" s="15" t="n"/>
      <c r="G1335" s="23" t="n"/>
      <c r="H1335" s="25" t="n"/>
      <c r="I1335" s="15" t="n"/>
      <c r="J1335" s="26">
        <f>IF($A1335="","",LEN($C1335)-LEN(SUBSTITUTE($C1335,",",""))+1)</f>
        <v/>
      </c>
      <c r="K1335" s="26">
        <f>IF($A1335="","",SUMPRODUCT(--ISNUMBER(SEARCH('Category Dictionary'!$D$5:$D$135&amp;"",$C1335)),--('Category Dictionary'!$D$5:$D$135&lt;&gt;"")))</f>
        <v/>
      </c>
      <c r="L1335" s="27">
        <f>IF($A1335="","",TRIM(IF(ISERROR(FIND(",",$C1335)),$C1335,LEFT($C1335,FIND(",",$C1335)-1))))</f>
        <v/>
      </c>
      <c r="M1335" s="28">
        <f>IF($H1335="","",DATE(YEAR($H1335),MONTH($H1335),1))</f>
        <v/>
      </c>
      <c r="N1335" s="26">
        <f>IF($H1335="","",TODAY()-$H1335)</f>
        <v/>
      </c>
      <c r="O1335" s="15" t="n"/>
      <c r="P1335" s="15" t="n"/>
      <c r="Q1335" s="15" t="n"/>
      <c r="R1335" s="25" t="n"/>
      <c r="S1335" s="26">
        <f>IF($A1335="","",AND(OR('Assignment Builder'!$B$5="",$B1335='Assignment Builder'!$B$5),OR('Assignment Builder'!$B$6="",ISNUMBER(SEARCH('Assignment Builder'!$B$6,$C1335))),OR('Assignment Builder'!$B$7="",'Assignment Builder'!$B$7=IFERROR(INDEX('Category Dictionary'!$C$5:$C$135,MATCH($L1335,'Category Dictionary'!$D$5:$D$135,0)),"")),OR('Assignment Builder'!$B$8="",$D1335='Assignment Builder'!$B$8),OR('Assignment Builder'!$B$9="",$F1335='Assignment Builder'!$B$9),OR('Assignment Builder'!$B$10="",$O1335='Assignment Builder'!$B$10),OR('Assignment Builder'!$B$11="",$H1335&gt;='Assignment Builder'!$B$11),OR('Assignment Builder'!$B$12="",N($Q1335)&lt;='Assignment Builder'!$B$12)))</f>
        <v/>
      </c>
      <c r="T1335" s="23" t="n"/>
    </row>
    <row r="1336">
      <c r="A1336" s="23" t="n"/>
      <c r="B1336" s="23" t="n"/>
      <c r="C1336" s="24" t="n"/>
      <c r="D1336" s="15" t="n"/>
      <c r="E1336" s="23" t="n"/>
      <c r="F1336" s="15" t="n"/>
      <c r="G1336" s="23" t="n"/>
      <c r="H1336" s="25" t="n"/>
      <c r="I1336" s="15" t="n"/>
      <c r="J1336" s="26">
        <f>IF($A1336="","",LEN($C1336)-LEN(SUBSTITUTE($C1336,",",""))+1)</f>
        <v/>
      </c>
      <c r="K1336" s="26">
        <f>IF($A1336="","",SUMPRODUCT(--ISNUMBER(SEARCH('Category Dictionary'!$D$5:$D$135&amp;"",$C1336)),--('Category Dictionary'!$D$5:$D$135&lt;&gt;"")))</f>
        <v/>
      </c>
      <c r="L1336" s="27">
        <f>IF($A1336="","",TRIM(IF(ISERROR(FIND(",",$C1336)),$C1336,LEFT($C1336,FIND(",",$C1336)-1))))</f>
        <v/>
      </c>
      <c r="M1336" s="28">
        <f>IF($H1336="","",DATE(YEAR($H1336),MONTH($H1336),1))</f>
        <v/>
      </c>
      <c r="N1336" s="26">
        <f>IF($H1336="","",TODAY()-$H1336)</f>
        <v/>
      </c>
      <c r="O1336" s="15" t="n"/>
      <c r="P1336" s="15" t="n"/>
      <c r="Q1336" s="15" t="n"/>
      <c r="R1336" s="25" t="n"/>
      <c r="S1336" s="26">
        <f>IF($A1336="","",AND(OR('Assignment Builder'!$B$5="",$B1336='Assignment Builder'!$B$5),OR('Assignment Builder'!$B$6="",ISNUMBER(SEARCH('Assignment Builder'!$B$6,$C1336))),OR('Assignment Builder'!$B$7="",'Assignment Builder'!$B$7=IFERROR(INDEX('Category Dictionary'!$C$5:$C$135,MATCH($L1336,'Category Dictionary'!$D$5:$D$135,0)),"")),OR('Assignment Builder'!$B$8="",$D1336='Assignment Builder'!$B$8),OR('Assignment Builder'!$B$9="",$F1336='Assignment Builder'!$B$9),OR('Assignment Builder'!$B$10="",$O1336='Assignment Builder'!$B$10),OR('Assignment Builder'!$B$11="",$H1336&gt;='Assignment Builder'!$B$11),OR('Assignment Builder'!$B$12="",N($Q1336)&lt;='Assignment Builder'!$B$12)))</f>
        <v/>
      </c>
      <c r="T1336" s="23" t="n"/>
    </row>
    <row r="1337">
      <c r="A1337" s="23" t="n"/>
      <c r="B1337" s="23" t="n"/>
      <c r="C1337" s="24" t="n"/>
      <c r="D1337" s="15" t="n"/>
      <c r="E1337" s="23" t="n"/>
      <c r="F1337" s="15" t="n"/>
      <c r="G1337" s="23" t="n"/>
      <c r="H1337" s="25" t="n"/>
      <c r="I1337" s="15" t="n"/>
      <c r="J1337" s="26">
        <f>IF($A1337="","",LEN($C1337)-LEN(SUBSTITUTE($C1337,",",""))+1)</f>
        <v/>
      </c>
      <c r="K1337" s="26">
        <f>IF($A1337="","",SUMPRODUCT(--ISNUMBER(SEARCH('Category Dictionary'!$D$5:$D$135&amp;"",$C1337)),--('Category Dictionary'!$D$5:$D$135&lt;&gt;"")))</f>
        <v/>
      </c>
      <c r="L1337" s="27">
        <f>IF($A1337="","",TRIM(IF(ISERROR(FIND(",",$C1337)),$C1337,LEFT($C1337,FIND(",",$C1337)-1))))</f>
        <v/>
      </c>
      <c r="M1337" s="28">
        <f>IF($H1337="","",DATE(YEAR($H1337),MONTH($H1337),1))</f>
        <v/>
      </c>
      <c r="N1337" s="26">
        <f>IF($H1337="","",TODAY()-$H1337)</f>
        <v/>
      </c>
      <c r="O1337" s="15" t="n"/>
      <c r="P1337" s="15" t="n"/>
      <c r="Q1337" s="15" t="n"/>
      <c r="R1337" s="25" t="n"/>
      <c r="S1337" s="26">
        <f>IF($A1337="","",AND(OR('Assignment Builder'!$B$5="",$B1337='Assignment Builder'!$B$5),OR('Assignment Builder'!$B$6="",ISNUMBER(SEARCH('Assignment Builder'!$B$6,$C1337))),OR('Assignment Builder'!$B$7="",'Assignment Builder'!$B$7=IFERROR(INDEX('Category Dictionary'!$C$5:$C$135,MATCH($L1337,'Category Dictionary'!$D$5:$D$135,0)),"")),OR('Assignment Builder'!$B$8="",$D1337='Assignment Builder'!$B$8),OR('Assignment Builder'!$B$9="",$F1337='Assignment Builder'!$B$9),OR('Assignment Builder'!$B$10="",$O1337='Assignment Builder'!$B$10),OR('Assignment Builder'!$B$11="",$H1337&gt;='Assignment Builder'!$B$11),OR('Assignment Builder'!$B$12="",N($Q1337)&lt;='Assignment Builder'!$B$12)))</f>
        <v/>
      </c>
      <c r="T1337" s="23" t="n"/>
    </row>
    <row r="1338">
      <c r="A1338" s="23" t="n"/>
      <c r="B1338" s="23" t="n"/>
      <c r="C1338" s="24" t="n"/>
      <c r="D1338" s="15" t="n"/>
      <c r="E1338" s="23" t="n"/>
      <c r="F1338" s="15" t="n"/>
      <c r="G1338" s="23" t="n"/>
      <c r="H1338" s="25" t="n"/>
      <c r="I1338" s="15" t="n"/>
      <c r="J1338" s="26">
        <f>IF($A1338="","",LEN($C1338)-LEN(SUBSTITUTE($C1338,",",""))+1)</f>
        <v/>
      </c>
      <c r="K1338" s="26">
        <f>IF($A1338="","",SUMPRODUCT(--ISNUMBER(SEARCH('Category Dictionary'!$D$5:$D$135&amp;"",$C1338)),--('Category Dictionary'!$D$5:$D$135&lt;&gt;"")))</f>
        <v/>
      </c>
      <c r="L1338" s="27">
        <f>IF($A1338="","",TRIM(IF(ISERROR(FIND(",",$C1338)),$C1338,LEFT($C1338,FIND(",",$C1338)-1))))</f>
        <v/>
      </c>
      <c r="M1338" s="28">
        <f>IF($H1338="","",DATE(YEAR($H1338),MONTH($H1338),1))</f>
        <v/>
      </c>
      <c r="N1338" s="26">
        <f>IF($H1338="","",TODAY()-$H1338)</f>
        <v/>
      </c>
      <c r="O1338" s="15" t="n"/>
      <c r="P1338" s="15" t="n"/>
      <c r="Q1338" s="15" t="n"/>
      <c r="R1338" s="25" t="n"/>
      <c r="S1338" s="26">
        <f>IF($A1338="","",AND(OR('Assignment Builder'!$B$5="",$B1338='Assignment Builder'!$B$5),OR('Assignment Builder'!$B$6="",ISNUMBER(SEARCH('Assignment Builder'!$B$6,$C1338))),OR('Assignment Builder'!$B$7="",'Assignment Builder'!$B$7=IFERROR(INDEX('Category Dictionary'!$C$5:$C$135,MATCH($L1338,'Category Dictionary'!$D$5:$D$135,0)),"")),OR('Assignment Builder'!$B$8="",$D1338='Assignment Builder'!$B$8),OR('Assignment Builder'!$B$9="",$F1338='Assignment Builder'!$B$9),OR('Assignment Builder'!$B$10="",$O1338='Assignment Builder'!$B$10),OR('Assignment Builder'!$B$11="",$H1338&gt;='Assignment Builder'!$B$11),OR('Assignment Builder'!$B$12="",N($Q1338)&lt;='Assignment Builder'!$B$12)))</f>
        <v/>
      </c>
      <c r="T1338" s="23" t="n"/>
    </row>
    <row r="1339">
      <c r="A1339" s="23" t="n"/>
      <c r="B1339" s="23" t="n"/>
      <c r="C1339" s="24" t="n"/>
      <c r="D1339" s="15" t="n"/>
      <c r="E1339" s="23" t="n"/>
      <c r="F1339" s="15" t="n"/>
      <c r="G1339" s="23" t="n"/>
      <c r="H1339" s="25" t="n"/>
      <c r="I1339" s="15" t="n"/>
      <c r="J1339" s="26">
        <f>IF($A1339="","",LEN($C1339)-LEN(SUBSTITUTE($C1339,",",""))+1)</f>
        <v/>
      </c>
      <c r="K1339" s="26">
        <f>IF($A1339="","",SUMPRODUCT(--ISNUMBER(SEARCH('Category Dictionary'!$D$5:$D$135&amp;"",$C1339)),--('Category Dictionary'!$D$5:$D$135&lt;&gt;"")))</f>
        <v/>
      </c>
      <c r="L1339" s="27">
        <f>IF($A1339="","",TRIM(IF(ISERROR(FIND(",",$C1339)),$C1339,LEFT($C1339,FIND(",",$C1339)-1))))</f>
        <v/>
      </c>
      <c r="M1339" s="28">
        <f>IF($H1339="","",DATE(YEAR($H1339),MONTH($H1339),1))</f>
        <v/>
      </c>
      <c r="N1339" s="26">
        <f>IF($H1339="","",TODAY()-$H1339)</f>
        <v/>
      </c>
      <c r="O1339" s="15" t="n"/>
      <c r="P1339" s="15" t="n"/>
      <c r="Q1339" s="15" t="n"/>
      <c r="R1339" s="25" t="n"/>
      <c r="S1339" s="26">
        <f>IF($A1339="","",AND(OR('Assignment Builder'!$B$5="",$B1339='Assignment Builder'!$B$5),OR('Assignment Builder'!$B$6="",ISNUMBER(SEARCH('Assignment Builder'!$B$6,$C1339))),OR('Assignment Builder'!$B$7="",'Assignment Builder'!$B$7=IFERROR(INDEX('Category Dictionary'!$C$5:$C$135,MATCH($L1339,'Category Dictionary'!$D$5:$D$135,0)),"")),OR('Assignment Builder'!$B$8="",$D1339='Assignment Builder'!$B$8),OR('Assignment Builder'!$B$9="",$F1339='Assignment Builder'!$B$9),OR('Assignment Builder'!$B$10="",$O1339='Assignment Builder'!$B$10),OR('Assignment Builder'!$B$11="",$H1339&gt;='Assignment Builder'!$B$11),OR('Assignment Builder'!$B$12="",N($Q1339)&lt;='Assignment Builder'!$B$12)))</f>
        <v/>
      </c>
      <c r="T1339" s="23" t="n"/>
    </row>
    <row r="1340">
      <c r="A1340" s="23" t="n"/>
      <c r="B1340" s="23" t="n"/>
      <c r="C1340" s="24" t="n"/>
      <c r="D1340" s="15" t="n"/>
      <c r="E1340" s="23" t="n"/>
      <c r="F1340" s="15" t="n"/>
      <c r="G1340" s="23" t="n"/>
      <c r="H1340" s="25" t="n"/>
      <c r="I1340" s="15" t="n"/>
      <c r="J1340" s="26">
        <f>IF($A1340="","",LEN($C1340)-LEN(SUBSTITUTE($C1340,",",""))+1)</f>
        <v/>
      </c>
      <c r="K1340" s="26">
        <f>IF($A1340="","",SUMPRODUCT(--ISNUMBER(SEARCH('Category Dictionary'!$D$5:$D$135&amp;"",$C1340)),--('Category Dictionary'!$D$5:$D$135&lt;&gt;"")))</f>
        <v/>
      </c>
      <c r="L1340" s="27">
        <f>IF($A1340="","",TRIM(IF(ISERROR(FIND(",",$C1340)),$C1340,LEFT($C1340,FIND(",",$C1340)-1))))</f>
        <v/>
      </c>
      <c r="M1340" s="28">
        <f>IF($H1340="","",DATE(YEAR($H1340),MONTH($H1340),1))</f>
        <v/>
      </c>
      <c r="N1340" s="26">
        <f>IF($H1340="","",TODAY()-$H1340)</f>
        <v/>
      </c>
      <c r="O1340" s="15" t="n"/>
      <c r="P1340" s="15" t="n"/>
      <c r="Q1340" s="15" t="n"/>
      <c r="R1340" s="25" t="n"/>
      <c r="S1340" s="26">
        <f>IF($A1340="","",AND(OR('Assignment Builder'!$B$5="",$B1340='Assignment Builder'!$B$5),OR('Assignment Builder'!$B$6="",ISNUMBER(SEARCH('Assignment Builder'!$B$6,$C1340))),OR('Assignment Builder'!$B$7="",'Assignment Builder'!$B$7=IFERROR(INDEX('Category Dictionary'!$C$5:$C$135,MATCH($L1340,'Category Dictionary'!$D$5:$D$135,0)),"")),OR('Assignment Builder'!$B$8="",$D1340='Assignment Builder'!$B$8),OR('Assignment Builder'!$B$9="",$F1340='Assignment Builder'!$B$9),OR('Assignment Builder'!$B$10="",$O1340='Assignment Builder'!$B$10),OR('Assignment Builder'!$B$11="",$H1340&gt;='Assignment Builder'!$B$11),OR('Assignment Builder'!$B$12="",N($Q1340)&lt;='Assignment Builder'!$B$12)))</f>
        <v/>
      </c>
      <c r="T1340" s="23" t="n"/>
    </row>
    <row r="1341">
      <c r="A1341" s="23" t="n"/>
      <c r="B1341" s="23" t="n"/>
      <c r="C1341" s="24" t="n"/>
      <c r="D1341" s="15" t="n"/>
      <c r="E1341" s="23" t="n"/>
      <c r="F1341" s="15" t="n"/>
      <c r="G1341" s="23" t="n"/>
      <c r="H1341" s="25" t="n"/>
      <c r="I1341" s="15" t="n"/>
      <c r="J1341" s="26">
        <f>IF($A1341="","",LEN($C1341)-LEN(SUBSTITUTE($C1341,",",""))+1)</f>
        <v/>
      </c>
      <c r="K1341" s="26">
        <f>IF($A1341="","",SUMPRODUCT(--ISNUMBER(SEARCH('Category Dictionary'!$D$5:$D$135&amp;"",$C1341)),--('Category Dictionary'!$D$5:$D$135&lt;&gt;"")))</f>
        <v/>
      </c>
      <c r="L1341" s="27">
        <f>IF($A1341="","",TRIM(IF(ISERROR(FIND(",",$C1341)),$C1341,LEFT($C1341,FIND(",",$C1341)-1))))</f>
        <v/>
      </c>
      <c r="M1341" s="28">
        <f>IF($H1341="","",DATE(YEAR($H1341),MONTH($H1341),1))</f>
        <v/>
      </c>
      <c r="N1341" s="26">
        <f>IF($H1341="","",TODAY()-$H1341)</f>
        <v/>
      </c>
      <c r="O1341" s="15" t="n"/>
      <c r="P1341" s="15" t="n"/>
      <c r="Q1341" s="15" t="n"/>
      <c r="R1341" s="25" t="n"/>
      <c r="S1341" s="26">
        <f>IF($A1341="","",AND(OR('Assignment Builder'!$B$5="",$B1341='Assignment Builder'!$B$5),OR('Assignment Builder'!$B$6="",ISNUMBER(SEARCH('Assignment Builder'!$B$6,$C1341))),OR('Assignment Builder'!$B$7="",'Assignment Builder'!$B$7=IFERROR(INDEX('Category Dictionary'!$C$5:$C$135,MATCH($L1341,'Category Dictionary'!$D$5:$D$135,0)),"")),OR('Assignment Builder'!$B$8="",$D1341='Assignment Builder'!$B$8),OR('Assignment Builder'!$B$9="",$F1341='Assignment Builder'!$B$9),OR('Assignment Builder'!$B$10="",$O1341='Assignment Builder'!$B$10),OR('Assignment Builder'!$B$11="",$H1341&gt;='Assignment Builder'!$B$11),OR('Assignment Builder'!$B$12="",N($Q1341)&lt;='Assignment Builder'!$B$12)))</f>
        <v/>
      </c>
      <c r="T1341" s="23" t="n"/>
    </row>
    <row r="1342">
      <c r="A1342" s="23" t="n"/>
      <c r="B1342" s="23" t="n"/>
      <c r="C1342" s="24" t="n"/>
      <c r="D1342" s="15" t="n"/>
      <c r="E1342" s="23" t="n"/>
      <c r="F1342" s="15" t="n"/>
      <c r="G1342" s="23" t="n"/>
      <c r="H1342" s="25" t="n"/>
      <c r="I1342" s="15" t="n"/>
      <c r="J1342" s="26">
        <f>IF($A1342="","",LEN($C1342)-LEN(SUBSTITUTE($C1342,",",""))+1)</f>
        <v/>
      </c>
      <c r="K1342" s="26">
        <f>IF($A1342="","",SUMPRODUCT(--ISNUMBER(SEARCH('Category Dictionary'!$D$5:$D$135&amp;"",$C1342)),--('Category Dictionary'!$D$5:$D$135&lt;&gt;"")))</f>
        <v/>
      </c>
      <c r="L1342" s="27">
        <f>IF($A1342="","",TRIM(IF(ISERROR(FIND(",",$C1342)),$C1342,LEFT($C1342,FIND(",",$C1342)-1))))</f>
        <v/>
      </c>
      <c r="M1342" s="28">
        <f>IF($H1342="","",DATE(YEAR($H1342),MONTH($H1342),1))</f>
        <v/>
      </c>
      <c r="N1342" s="26">
        <f>IF($H1342="","",TODAY()-$H1342)</f>
        <v/>
      </c>
      <c r="O1342" s="15" t="n"/>
      <c r="P1342" s="15" t="n"/>
      <c r="Q1342" s="15" t="n"/>
      <c r="R1342" s="25" t="n"/>
      <c r="S1342" s="26">
        <f>IF($A1342="","",AND(OR('Assignment Builder'!$B$5="",$B1342='Assignment Builder'!$B$5),OR('Assignment Builder'!$B$6="",ISNUMBER(SEARCH('Assignment Builder'!$B$6,$C1342))),OR('Assignment Builder'!$B$7="",'Assignment Builder'!$B$7=IFERROR(INDEX('Category Dictionary'!$C$5:$C$135,MATCH($L1342,'Category Dictionary'!$D$5:$D$135,0)),"")),OR('Assignment Builder'!$B$8="",$D1342='Assignment Builder'!$B$8),OR('Assignment Builder'!$B$9="",$F1342='Assignment Builder'!$B$9),OR('Assignment Builder'!$B$10="",$O1342='Assignment Builder'!$B$10),OR('Assignment Builder'!$B$11="",$H1342&gt;='Assignment Builder'!$B$11),OR('Assignment Builder'!$B$12="",N($Q1342)&lt;='Assignment Builder'!$B$12)))</f>
        <v/>
      </c>
      <c r="T1342" s="23" t="n"/>
    </row>
    <row r="1343">
      <c r="A1343" s="23" t="n"/>
      <c r="B1343" s="23" t="n"/>
      <c r="C1343" s="24" t="n"/>
      <c r="D1343" s="15" t="n"/>
      <c r="E1343" s="23" t="n"/>
      <c r="F1343" s="15" t="n"/>
      <c r="G1343" s="23" t="n"/>
      <c r="H1343" s="25" t="n"/>
      <c r="I1343" s="15" t="n"/>
      <c r="J1343" s="26">
        <f>IF($A1343="","",LEN($C1343)-LEN(SUBSTITUTE($C1343,",",""))+1)</f>
        <v/>
      </c>
      <c r="K1343" s="26">
        <f>IF($A1343="","",SUMPRODUCT(--ISNUMBER(SEARCH('Category Dictionary'!$D$5:$D$135&amp;"",$C1343)),--('Category Dictionary'!$D$5:$D$135&lt;&gt;"")))</f>
        <v/>
      </c>
      <c r="L1343" s="27">
        <f>IF($A1343="","",TRIM(IF(ISERROR(FIND(",",$C1343)),$C1343,LEFT($C1343,FIND(",",$C1343)-1))))</f>
        <v/>
      </c>
      <c r="M1343" s="28">
        <f>IF($H1343="","",DATE(YEAR($H1343),MONTH($H1343),1))</f>
        <v/>
      </c>
      <c r="N1343" s="26">
        <f>IF($H1343="","",TODAY()-$H1343)</f>
        <v/>
      </c>
      <c r="O1343" s="15" t="n"/>
      <c r="P1343" s="15" t="n"/>
      <c r="Q1343" s="15" t="n"/>
      <c r="R1343" s="25" t="n"/>
      <c r="S1343" s="26">
        <f>IF($A1343="","",AND(OR('Assignment Builder'!$B$5="",$B1343='Assignment Builder'!$B$5),OR('Assignment Builder'!$B$6="",ISNUMBER(SEARCH('Assignment Builder'!$B$6,$C1343))),OR('Assignment Builder'!$B$7="",'Assignment Builder'!$B$7=IFERROR(INDEX('Category Dictionary'!$C$5:$C$135,MATCH($L1343,'Category Dictionary'!$D$5:$D$135,0)),"")),OR('Assignment Builder'!$B$8="",$D1343='Assignment Builder'!$B$8),OR('Assignment Builder'!$B$9="",$F1343='Assignment Builder'!$B$9),OR('Assignment Builder'!$B$10="",$O1343='Assignment Builder'!$B$10),OR('Assignment Builder'!$B$11="",$H1343&gt;='Assignment Builder'!$B$11),OR('Assignment Builder'!$B$12="",N($Q1343)&lt;='Assignment Builder'!$B$12)))</f>
        <v/>
      </c>
      <c r="T1343" s="23" t="n"/>
    </row>
    <row r="1344">
      <c r="A1344" s="23" t="n"/>
      <c r="B1344" s="23" t="n"/>
      <c r="C1344" s="24" t="n"/>
      <c r="D1344" s="15" t="n"/>
      <c r="E1344" s="23" t="n"/>
      <c r="F1344" s="15" t="n"/>
      <c r="G1344" s="23" t="n"/>
      <c r="H1344" s="25" t="n"/>
      <c r="I1344" s="15" t="n"/>
      <c r="J1344" s="26">
        <f>IF($A1344="","",LEN($C1344)-LEN(SUBSTITUTE($C1344,",",""))+1)</f>
        <v/>
      </c>
      <c r="K1344" s="26">
        <f>IF($A1344="","",SUMPRODUCT(--ISNUMBER(SEARCH('Category Dictionary'!$D$5:$D$135&amp;"",$C1344)),--('Category Dictionary'!$D$5:$D$135&lt;&gt;"")))</f>
        <v/>
      </c>
      <c r="L1344" s="27">
        <f>IF($A1344="","",TRIM(IF(ISERROR(FIND(",",$C1344)),$C1344,LEFT($C1344,FIND(",",$C1344)-1))))</f>
        <v/>
      </c>
      <c r="M1344" s="28">
        <f>IF($H1344="","",DATE(YEAR($H1344),MONTH($H1344),1))</f>
        <v/>
      </c>
      <c r="N1344" s="26">
        <f>IF($H1344="","",TODAY()-$H1344)</f>
        <v/>
      </c>
      <c r="O1344" s="15" t="n"/>
      <c r="P1344" s="15" t="n"/>
      <c r="Q1344" s="15" t="n"/>
      <c r="R1344" s="25" t="n"/>
      <c r="S1344" s="26">
        <f>IF($A1344="","",AND(OR('Assignment Builder'!$B$5="",$B1344='Assignment Builder'!$B$5),OR('Assignment Builder'!$B$6="",ISNUMBER(SEARCH('Assignment Builder'!$B$6,$C1344))),OR('Assignment Builder'!$B$7="",'Assignment Builder'!$B$7=IFERROR(INDEX('Category Dictionary'!$C$5:$C$135,MATCH($L1344,'Category Dictionary'!$D$5:$D$135,0)),"")),OR('Assignment Builder'!$B$8="",$D1344='Assignment Builder'!$B$8),OR('Assignment Builder'!$B$9="",$F1344='Assignment Builder'!$B$9),OR('Assignment Builder'!$B$10="",$O1344='Assignment Builder'!$B$10),OR('Assignment Builder'!$B$11="",$H1344&gt;='Assignment Builder'!$B$11),OR('Assignment Builder'!$B$12="",N($Q1344)&lt;='Assignment Builder'!$B$12)))</f>
        <v/>
      </c>
      <c r="T1344" s="23" t="n"/>
    </row>
    <row r="1345">
      <c r="A1345" s="23" t="n"/>
      <c r="B1345" s="23" t="n"/>
      <c r="C1345" s="24" t="n"/>
      <c r="D1345" s="15" t="n"/>
      <c r="E1345" s="23" t="n"/>
      <c r="F1345" s="15" t="n"/>
      <c r="G1345" s="23" t="n"/>
      <c r="H1345" s="25" t="n"/>
      <c r="I1345" s="15" t="n"/>
      <c r="J1345" s="26">
        <f>IF($A1345="","",LEN($C1345)-LEN(SUBSTITUTE($C1345,",",""))+1)</f>
        <v/>
      </c>
      <c r="K1345" s="26">
        <f>IF($A1345="","",SUMPRODUCT(--ISNUMBER(SEARCH('Category Dictionary'!$D$5:$D$135&amp;"",$C1345)),--('Category Dictionary'!$D$5:$D$135&lt;&gt;"")))</f>
        <v/>
      </c>
      <c r="L1345" s="27">
        <f>IF($A1345="","",TRIM(IF(ISERROR(FIND(",",$C1345)),$C1345,LEFT($C1345,FIND(",",$C1345)-1))))</f>
        <v/>
      </c>
      <c r="M1345" s="28">
        <f>IF($H1345="","",DATE(YEAR($H1345),MONTH($H1345),1))</f>
        <v/>
      </c>
      <c r="N1345" s="26">
        <f>IF($H1345="","",TODAY()-$H1345)</f>
        <v/>
      </c>
      <c r="O1345" s="15" t="n"/>
      <c r="P1345" s="15" t="n"/>
      <c r="Q1345" s="15" t="n"/>
      <c r="R1345" s="25" t="n"/>
      <c r="S1345" s="26">
        <f>IF($A1345="","",AND(OR('Assignment Builder'!$B$5="",$B1345='Assignment Builder'!$B$5),OR('Assignment Builder'!$B$6="",ISNUMBER(SEARCH('Assignment Builder'!$B$6,$C1345))),OR('Assignment Builder'!$B$7="",'Assignment Builder'!$B$7=IFERROR(INDEX('Category Dictionary'!$C$5:$C$135,MATCH($L1345,'Category Dictionary'!$D$5:$D$135,0)),"")),OR('Assignment Builder'!$B$8="",$D1345='Assignment Builder'!$B$8),OR('Assignment Builder'!$B$9="",$F1345='Assignment Builder'!$B$9),OR('Assignment Builder'!$B$10="",$O1345='Assignment Builder'!$B$10),OR('Assignment Builder'!$B$11="",$H1345&gt;='Assignment Builder'!$B$11),OR('Assignment Builder'!$B$12="",N($Q1345)&lt;='Assignment Builder'!$B$12)))</f>
        <v/>
      </c>
      <c r="T1345" s="23" t="n"/>
    </row>
    <row r="1346">
      <c r="A1346" s="23" t="n"/>
      <c r="B1346" s="23" t="n"/>
      <c r="C1346" s="24" t="n"/>
      <c r="D1346" s="15" t="n"/>
      <c r="E1346" s="23" t="n"/>
      <c r="F1346" s="15" t="n"/>
      <c r="G1346" s="23" t="n"/>
      <c r="H1346" s="25" t="n"/>
      <c r="I1346" s="15" t="n"/>
      <c r="J1346" s="26">
        <f>IF($A1346="","",LEN($C1346)-LEN(SUBSTITUTE($C1346,",",""))+1)</f>
        <v/>
      </c>
      <c r="K1346" s="26">
        <f>IF($A1346="","",SUMPRODUCT(--ISNUMBER(SEARCH('Category Dictionary'!$D$5:$D$135&amp;"",$C1346)),--('Category Dictionary'!$D$5:$D$135&lt;&gt;"")))</f>
        <v/>
      </c>
      <c r="L1346" s="27">
        <f>IF($A1346="","",TRIM(IF(ISERROR(FIND(",",$C1346)),$C1346,LEFT($C1346,FIND(",",$C1346)-1))))</f>
        <v/>
      </c>
      <c r="M1346" s="28">
        <f>IF($H1346="","",DATE(YEAR($H1346),MONTH($H1346),1))</f>
        <v/>
      </c>
      <c r="N1346" s="26">
        <f>IF($H1346="","",TODAY()-$H1346)</f>
        <v/>
      </c>
      <c r="O1346" s="15" t="n"/>
      <c r="P1346" s="15" t="n"/>
      <c r="Q1346" s="15" t="n"/>
      <c r="R1346" s="25" t="n"/>
      <c r="S1346" s="26">
        <f>IF($A1346="","",AND(OR('Assignment Builder'!$B$5="",$B1346='Assignment Builder'!$B$5),OR('Assignment Builder'!$B$6="",ISNUMBER(SEARCH('Assignment Builder'!$B$6,$C1346))),OR('Assignment Builder'!$B$7="",'Assignment Builder'!$B$7=IFERROR(INDEX('Category Dictionary'!$C$5:$C$135,MATCH($L1346,'Category Dictionary'!$D$5:$D$135,0)),"")),OR('Assignment Builder'!$B$8="",$D1346='Assignment Builder'!$B$8),OR('Assignment Builder'!$B$9="",$F1346='Assignment Builder'!$B$9),OR('Assignment Builder'!$B$10="",$O1346='Assignment Builder'!$B$10),OR('Assignment Builder'!$B$11="",$H1346&gt;='Assignment Builder'!$B$11),OR('Assignment Builder'!$B$12="",N($Q1346)&lt;='Assignment Builder'!$B$12)))</f>
        <v/>
      </c>
      <c r="T1346" s="23" t="n"/>
    </row>
    <row r="1347">
      <c r="A1347" s="23" t="n"/>
      <c r="B1347" s="23" t="n"/>
      <c r="C1347" s="24" t="n"/>
      <c r="D1347" s="15" t="n"/>
      <c r="E1347" s="23" t="n"/>
      <c r="F1347" s="15" t="n"/>
      <c r="G1347" s="23" t="n"/>
      <c r="H1347" s="25" t="n"/>
      <c r="I1347" s="15" t="n"/>
      <c r="J1347" s="26">
        <f>IF($A1347="","",LEN($C1347)-LEN(SUBSTITUTE($C1347,",",""))+1)</f>
        <v/>
      </c>
      <c r="K1347" s="26">
        <f>IF($A1347="","",SUMPRODUCT(--ISNUMBER(SEARCH('Category Dictionary'!$D$5:$D$135&amp;"",$C1347)),--('Category Dictionary'!$D$5:$D$135&lt;&gt;"")))</f>
        <v/>
      </c>
      <c r="L1347" s="27">
        <f>IF($A1347="","",TRIM(IF(ISERROR(FIND(",",$C1347)),$C1347,LEFT($C1347,FIND(",",$C1347)-1))))</f>
        <v/>
      </c>
      <c r="M1347" s="28">
        <f>IF($H1347="","",DATE(YEAR($H1347),MONTH($H1347),1))</f>
        <v/>
      </c>
      <c r="N1347" s="26">
        <f>IF($H1347="","",TODAY()-$H1347)</f>
        <v/>
      </c>
      <c r="O1347" s="15" t="n"/>
      <c r="P1347" s="15" t="n"/>
      <c r="Q1347" s="15" t="n"/>
      <c r="R1347" s="25" t="n"/>
      <c r="S1347" s="26">
        <f>IF($A1347="","",AND(OR('Assignment Builder'!$B$5="",$B1347='Assignment Builder'!$B$5),OR('Assignment Builder'!$B$6="",ISNUMBER(SEARCH('Assignment Builder'!$B$6,$C1347))),OR('Assignment Builder'!$B$7="",'Assignment Builder'!$B$7=IFERROR(INDEX('Category Dictionary'!$C$5:$C$135,MATCH($L1347,'Category Dictionary'!$D$5:$D$135,0)),"")),OR('Assignment Builder'!$B$8="",$D1347='Assignment Builder'!$B$8),OR('Assignment Builder'!$B$9="",$F1347='Assignment Builder'!$B$9),OR('Assignment Builder'!$B$10="",$O1347='Assignment Builder'!$B$10),OR('Assignment Builder'!$B$11="",$H1347&gt;='Assignment Builder'!$B$11),OR('Assignment Builder'!$B$12="",N($Q1347)&lt;='Assignment Builder'!$B$12)))</f>
        <v/>
      </c>
      <c r="T1347" s="23" t="n"/>
    </row>
    <row r="1348">
      <c r="A1348" s="23" t="n"/>
      <c r="B1348" s="23" t="n"/>
      <c r="C1348" s="24" t="n"/>
      <c r="D1348" s="15" t="n"/>
      <c r="E1348" s="23" t="n"/>
      <c r="F1348" s="15" t="n"/>
      <c r="G1348" s="23" t="n"/>
      <c r="H1348" s="25" t="n"/>
      <c r="I1348" s="15" t="n"/>
      <c r="J1348" s="26">
        <f>IF($A1348="","",LEN($C1348)-LEN(SUBSTITUTE($C1348,",",""))+1)</f>
        <v/>
      </c>
      <c r="K1348" s="26">
        <f>IF($A1348="","",SUMPRODUCT(--ISNUMBER(SEARCH('Category Dictionary'!$D$5:$D$135&amp;"",$C1348)),--('Category Dictionary'!$D$5:$D$135&lt;&gt;"")))</f>
        <v/>
      </c>
      <c r="L1348" s="27">
        <f>IF($A1348="","",TRIM(IF(ISERROR(FIND(",",$C1348)),$C1348,LEFT($C1348,FIND(",",$C1348)-1))))</f>
        <v/>
      </c>
      <c r="M1348" s="28">
        <f>IF($H1348="","",DATE(YEAR($H1348),MONTH($H1348),1))</f>
        <v/>
      </c>
      <c r="N1348" s="26">
        <f>IF($H1348="","",TODAY()-$H1348)</f>
        <v/>
      </c>
      <c r="O1348" s="15" t="n"/>
      <c r="P1348" s="15" t="n"/>
      <c r="Q1348" s="15" t="n"/>
      <c r="R1348" s="25" t="n"/>
      <c r="S1348" s="26">
        <f>IF($A1348="","",AND(OR('Assignment Builder'!$B$5="",$B1348='Assignment Builder'!$B$5),OR('Assignment Builder'!$B$6="",ISNUMBER(SEARCH('Assignment Builder'!$B$6,$C1348))),OR('Assignment Builder'!$B$7="",'Assignment Builder'!$B$7=IFERROR(INDEX('Category Dictionary'!$C$5:$C$135,MATCH($L1348,'Category Dictionary'!$D$5:$D$135,0)),"")),OR('Assignment Builder'!$B$8="",$D1348='Assignment Builder'!$B$8),OR('Assignment Builder'!$B$9="",$F1348='Assignment Builder'!$B$9),OR('Assignment Builder'!$B$10="",$O1348='Assignment Builder'!$B$10),OR('Assignment Builder'!$B$11="",$H1348&gt;='Assignment Builder'!$B$11),OR('Assignment Builder'!$B$12="",N($Q1348)&lt;='Assignment Builder'!$B$12)))</f>
        <v/>
      </c>
      <c r="T1348" s="23" t="n"/>
    </row>
    <row r="1349">
      <c r="A1349" s="23" t="n"/>
      <c r="B1349" s="23" t="n"/>
      <c r="C1349" s="24" t="n"/>
      <c r="D1349" s="15" t="n"/>
      <c r="E1349" s="23" t="n"/>
      <c r="F1349" s="15" t="n"/>
      <c r="G1349" s="23" t="n"/>
      <c r="H1349" s="25" t="n"/>
      <c r="I1349" s="15" t="n"/>
      <c r="J1349" s="26">
        <f>IF($A1349="","",LEN($C1349)-LEN(SUBSTITUTE($C1349,",",""))+1)</f>
        <v/>
      </c>
      <c r="K1349" s="26">
        <f>IF($A1349="","",SUMPRODUCT(--ISNUMBER(SEARCH('Category Dictionary'!$D$5:$D$135&amp;"",$C1349)),--('Category Dictionary'!$D$5:$D$135&lt;&gt;"")))</f>
        <v/>
      </c>
      <c r="L1349" s="27">
        <f>IF($A1349="","",TRIM(IF(ISERROR(FIND(",",$C1349)),$C1349,LEFT($C1349,FIND(",",$C1349)-1))))</f>
        <v/>
      </c>
      <c r="M1349" s="28">
        <f>IF($H1349="","",DATE(YEAR($H1349),MONTH($H1349),1))</f>
        <v/>
      </c>
      <c r="N1349" s="26">
        <f>IF($H1349="","",TODAY()-$H1349)</f>
        <v/>
      </c>
      <c r="O1349" s="15" t="n"/>
      <c r="P1349" s="15" t="n"/>
      <c r="Q1349" s="15" t="n"/>
      <c r="R1349" s="25" t="n"/>
      <c r="S1349" s="26">
        <f>IF($A1349="","",AND(OR('Assignment Builder'!$B$5="",$B1349='Assignment Builder'!$B$5),OR('Assignment Builder'!$B$6="",ISNUMBER(SEARCH('Assignment Builder'!$B$6,$C1349))),OR('Assignment Builder'!$B$7="",'Assignment Builder'!$B$7=IFERROR(INDEX('Category Dictionary'!$C$5:$C$135,MATCH($L1349,'Category Dictionary'!$D$5:$D$135,0)),"")),OR('Assignment Builder'!$B$8="",$D1349='Assignment Builder'!$B$8),OR('Assignment Builder'!$B$9="",$F1349='Assignment Builder'!$B$9),OR('Assignment Builder'!$B$10="",$O1349='Assignment Builder'!$B$10),OR('Assignment Builder'!$B$11="",$H1349&gt;='Assignment Builder'!$B$11),OR('Assignment Builder'!$B$12="",N($Q1349)&lt;='Assignment Builder'!$B$12)))</f>
        <v/>
      </c>
      <c r="T1349" s="23" t="n"/>
    </row>
    <row r="1350">
      <c r="A1350" s="23" t="n"/>
      <c r="B1350" s="23" t="n"/>
      <c r="C1350" s="24" t="n"/>
      <c r="D1350" s="15" t="n"/>
      <c r="E1350" s="23" t="n"/>
      <c r="F1350" s="15" t="n"/>
      <c r="G1350" s="23" t="n"/>
      <c r="H1350" s="25" t="n"/>
      <c r="I1350" s="15" t="n"/>
      <c r="J1350" s="26">
        <f>IF($A1350="","",LEN($C1350)-LEN(SUBSTITUTE($C1350,",",""))+1)</f>
        <v/>
      </c>
      <c r="K1350" s="26">
        <f>IF($A1350="","",SUMPRODUCT(--ISNUMBER(SEARCH('Category Dictionary'!$D$5:$D$135&amp;"",$C1350)),--('Category Dictionary'!$D$5:$D$135&lt;&gt;"")))</f>
        <v/>
      </c>
      <c r="L1350" s="27">
        <f>IF($A1350="","",TRIM(IF(ISERROR(FIND(",",$C1350)),$C1350,LEFT($C1350,FIND(",",$C1350)-1))))</f>
        <v/>
      </c>
      <c r="M1350" s="28">
        <f>IF($H1350="","",DATE(YEAR($H1350),MONTH($H1350),1))</f>
        <v/>
      </c>
      <c r="N1350" s="26">
        <f>IF($H1350="","",TODAY()-$H1350)</f>
        <v/>
      </c>
      <c r="O1350" s="15" t="n"/>
      <c r="P1350" s="15" t="n"/>
      <c r="Q1350" s="15" t="n"/>
      <c r="R1350" s="25" t="n"/>
      <c r="S1350" s="26">
        <f>IF($A1350="","",AND(OR('Assignment Builder'!$B$5="",$B1350='Assignment Builder'!$B$5),OR('Assignment Builder'!$B$6="",ISNUMBER(SEARCH('Assignment Builder'!$B$6,$C1350))),OR('Assignment Builder'!$B$7="",'Assignment Builder'!$B$7=IFERROR(INDEX('Category Dictionary'!$C$5:$C$135,MATCH($L1350,'Category Dictionary'!$D$5:$D$135,0)),"")),OR('Assignment Builder'!$B$8="",$D1350='Assignment Builder'!$B$8),OR('Assignment Builder'!$B$9="",$F1350='Assignment Builder'!$B$9),OR('Assignment Builder'!$B$10="",$O1350='Assignment Builder'!$B$10),OR('Assignment Builder'!$B$11="",$H1350&gt;='Assignment Builder'!$B$11),OR('Assignment Builder'!$B$12="",N($Q1350)&lt;='Assignment Builder'!$B$12)))</f>
        <v/>
      </c>
      <c r="T1350" s="23" t="n"/>
    </row>
    <row r="1351">
      <c r="A1351" s="23" t="n"/>
      <c r="B1351" s="23" t="n"/>
      <c r="C1351" s="24" t="n"/>
      <c r="D1351" s="15" t="n"/>
      <c r="E1351" s="23" t="n"/>
      <c r="F1351" s="15" t="n"/>
      <c r="G1351" s="23" t="n"/>
      <c r="H1351" s="25" t="n"/>
      <c r="I1351" s="15" t="n"/>
      <c r="J1351" s="26">
        <f>IF($A1351="","",LEN($C1351)-LEN(SUBSTITUTE($C1351,",",""))+1)</f>
        <v/>
      </c>
      <c r="K1351" s="26">
        <f>IF($A1351="","",SUMPRODUCT(--ISNUMBER(SEARCH('Category Dictionary'!$D$5:$D$135&amp;"",$C1351)),--('Category Dictionary'!$D$5:$D$135&lt;&gt;"")))</f>
        <v/>
      </c>
      <c r="L1351" s="27">
        <f>IF($A1351="","",TRIM(IF(ISERROR(FIND(",",$C1351)),$C1351,LEFT($C1351,FIND(",",$C1351)-1))))</f>
        <v/>
      </c>
      <c r="M1351" s="28">
        <f>IF($H1351="","",DATE(YEAR($H1351),MONTH($H1351),1))</f>
        <v/>
      </c>
      <c r="N1351" s="26">
        <f>IF($H1351="","",TODAY()-$H1351)</f>
        <v/>
      </c>
      <c r="O1351" s="15" t="n"/>
      <c r="P1351" s="15" t="n"/>
      <c r="Q1351" s="15" t="n"/>
      <c r="R1351" s="25" t="n"/>
      <c r="S1351" s="26">
        <f>IF($A1351="","",AND(OR('Assignment Builder'!$B$5="",$B1351='Assignment Builder'!$B$5),OR('Assignment Builder'!$B$6="",ISNUMBER(SEARCH('Assignment Builder'!$B$6,$C1351))),OR('Assignment Builder'!$B$7="",'Assignment Builder'!$B$7=IFERROR(INDEX('Category Dictionary'!$C$5:$C$135,MATCH($L1351,'Category Dictionary'!$D$5:$D$135,0)),"")),OR('Assignment Builder'!$B$8="",$D1351='Assignment Builder'!$B$8),OR('Assignment Builder'!$B$9="",$F1351='Assignment Builder'!$B$9),OR('Assignment Builder'!$B$10="",$O1351='Assignment Builder'!$B$10),OR('Assignment Builder'!$B$11="",$H1351&gt;='Assignment Builder'!$B$11),OR('Assignment Builder'!$B$12="",N($Q1351)&lt;='Assignment Builder'!$B$12)))</f>
        <v/>
      </c>
      <c r="T1351" s="23" t="n"/>
    </row>
    <row r="1352">
      <c r="A1352" s="23" t="n"/>
      <c r="B1352" s="23" t="n"/>
      <c r="C1352" s="24" t="n"/>
      <c r="D1352" s="15" t="n"/>
      <c r="E1352" s="23" t="n"/>
      <c r="F1352" s="15" t="n"/>
      <c r="G1352" s="23" t="n"/>
      <c r="H1352" s="25" t="n"/>
      <c r="I1352" s="15" t="n"/>
      <c r="J1352" s="26">
        <f>IF($A1352="","",LEN($C1352)-LEN(SUBSTITUTE($C1352,",",""))+1)</f>
        <v/>
      </c>
      <c r="K1352" s="26">
        <f>IF($A1352="","",SUMPRODUCT(--ISNUMBER(SEARCH('Category Dictionary'!$D$5:$D$135&amp;"",$C1352)),--('Category Dictionary'!$D$5:$D$135&lt;&gt;"")))</f>
        <v/>
      </c>
      <c r="L1352" s="27">
        <f>IF($A1352="","",TRIM(IF(ISERROR(FIND(",",$C1352)),$C1352,LEFT($C1352,FIND(",",$C1352)-1))))</f>
        <v/>
      </c>
      <c r="M1352" s="28">
        <f>IF($H1352="","",DATE(YEAR($H1352),MONTH($H1352),1))</f>
        <v/>
      </c>
      <c r="N1352" s="26">
        <f>IF($H1352="","",TODAY()-$H1352)</f>
        <v/>
      </c>
      <c r="O1352" s="15" t="n"/>
      <c r="P1352" s="15" t="n"/>
      <c r="Q1352" s="15" t="n"/>
      <c r="R1352" s="25" t="n"/>
      <c r="S1352" s="26">
        <f>IF($A1352="","",AND(OR('Assignment Builder'!$B$5="",$B1352='Assignment Builder'!$B$5),OR('Assignment Builder'!$B$6="",ISNUMBER(SEARCH('Assignment Builder'!$B$6,$C1352))),OR('Assignment Builder'!$B$7="",'Assignment Builder'!$B$7=IFERROR(INDEX('Category Dictionary'!$C$5:$C$135,MATCH($L1352,'Category Dictionary'!$D$5:$D$135,0)),"")),OR('Assignment Builder'!$B$8="",$D1352='Assignment Builder'!$B$8),OR('Assignment Builder'!$B$9="",$F1352='Assignment Builder'!$B$9),OR('Assignment Builder'!$B$10="",$O1352='Assignment Builder'!$B$10),OR('Assignment Builder'!$B$11="",$H1352&gt;='Assignment Builder'!$B$11),OR('Assignment Builder'!$B$12="",N($Q1352)&lt;='Assignment Builder'!$B$12)))</f>
        <v/>
      </c>
      <c r="T1352" s="23" t="n"/>
    </row>
    <row r="1353">
      <c r="A1353" s="23" t="n"/>
      <c r="B1353" s="23" t="n"/>
      <c r="C1353" s="24" t="n"/>
      <c r="D1353" s="15" t="n"/>
      <c r="E1353" s="23" t="n"/>
      <c r="F1353" s="15" t="n"/>
      <c r="G1353" s="23" t="n"/>
      <c r="H1353" s="25" t="n"/>
      <c r="I1353" s="15" t="n"/>
      <c r="J1353" s="26">
        <f>IF($A1353="","",LEN($C1353)-LEN(SUBSTITUTE($C1353,",",""))+1)</f>
        <v/>
      </c>
      <c r="K1353" s="26">
        <f>IF($A1353="","",SUMPRODUCT(--ISNUMBER(SEARCH('Category Dictionary'!$D$5:$D$135&amp;"",$C1353)),--('Category Dictionary'!$D$5:$D$135&lt;&gt;"")))</f>
        <v/>
      </c>
      <c r="L1353" s="27">
        <f>IF($A1353="","",TRIM(IF(ISERROR(FIND(",",$C1353)),$C1353,LEFT($C1353,FIND(",",$C1353)-1))))</f>
        <v/>
      </c>
      <c r="M1353" s="28">
        <f>IF($H1353="","",DATE(YEAR($H1353),MONTH($H1353),1))</f>
        <v/>
      </c>
      <c r="N1353" s="26">
        <f>IF($H1353="","",TODAY()-$H1353)</f>
        <v/>
      </c>
      <c r="O1353" s="15" t="n"/>
      <c r="P1353" s="15" t="n"/>
      <c r="Q1353" s="15" t="n"/>
      <c r="R1353" s="25" t="n"/>
      <c r="S1353" s="26">
        <f>IF($A1353="","",AND(OR('Assignment Builder'!$B$5="",$B1353='Assignment Builder'!$B$5),OR('Assignment Builder'!$B$6="",ISNUMBER(SEARCH('Assignment Builder'!$B$6,$C1353))),OR('Assignment Builder'!$B$7="",'Assignment Builder'!$B$7=IFERROR(INDEX('Category Dictionary'!$C$5:$C$135,MATCH($L1353,'Category Dictionary'!$D$5:$D$135,0)),"")),OR('Assignment Builder'!$B$8="",$D1353='Assignment Builder'!$B$8),OR('Assignment Builder'!$B$9="",$F1353='Assignment Builder'!$B$9),OR('Assignment Builder'!$B$10="",$O1353='Assignment Builder'!$B$10),OR('Assignment Builder'!$B$11="",$H1353&gt;='Assignment Builder'!$B$11),OR('Assignment Builder'!$B$12="",N($Q1353)&lt;='Assignment Builder'!$B$12)))</f>
        <v/>
      </c>
      <c r="T1353" s="23" t="n"/>
    </row>
    <row r="1354">
      <c r="A1354" s="23" t="n"/>
      <c r="B1354" s="23" t="n"/>
      <c r="C1354" s="24" t="n"/>
      <c r="D1354" s="15" t="n"/>
      <c r="E1354" s="23" t="n"/>
      <c r="F1354" s="15" t="n"/>
      <c r="G1354" s="23" t="n"/>
      <c r="H1354" s="25" t="n"/>
      <c r="I1354" s="15" t="n"/>
      <c r="J1354" s="26">
        <f>IF($A1354="","",LEN($C1354)-LEN(SUBSTITUTE($C1354,",",""))+1)</f>
        <v/>
      </c>
      <c r="K1354" s="26">
        <f>IF($A1354="","",SUMPRODUCT(--ISNUMBER(SEARCH('Category Dictionary'!$D$5:$D$135&amp;"",$C1354)),--('Category Dictionary'!$D$5:$D$135&lt;&gt;"")))</f>
        <v/>
      </c>
      <c r="L1354" s="27">
        <f>IF($A1354="","",TRIM(IF(ISERROR(FIND(",",$C1354)),$C1354,LEFT($C1354,FIND(",",$C1354)-1))))</f>
        <v/>
      </c>
      <c r="M1354" s="28">
        <f>IF($H1354="","",DATE(YEAR($H1354),MONTH($H1354),1))</f>
        <v/>
      </c>
      <c r="N1354" s="26">
        <f>IF($H1354="","",TODAY()-$H1354)</f>
        <v/>
      </c>
      <c r="O1354" s="15" t="n"/>
      <c r="P1354" s="15" t="n"/>
      <c r="Q1354" s="15" t="n"/>
      <c r="R1354" s="25" t="n"/>
      <c r="S1354" s="26">
        <f>IF($A1354="","",AND(OR('Assignment Builder'!$B$5="",$B1354='Assignment Builder'!$B$5),OR('Assignment Builder'!$B$6="",ISNUMBER(SEARCH('Assignment Builder'!$B$6,$C1354))),OR('Assignment Builder'!$B$7="",'Assignment Builder'!$B$7=IFERROR(INDEX('Category Dictionary'!$C$5:$C$135,MATCH($L1354,'Category Dictionary'!$D$5:$D$135,0)),"")),OR('Assignment Builder'!$B$8="",$D1354='Assignment Builder'!$B$8),OR('Assignment Builder'!$B$9="",$F1354='Assignment Builder'!$B$9),OR('Assignment Builder'!$B$10="",$O1354='Assignment Builder'!$B$10),OR('Assignment Builder'!$B$11="",$H1354&gt;='Assignment Builder'!$B$11),OR('Assignment Builder'!$B$12="",N($Q1354)&lt;='Assignment Builder'!$B$12)))</f>
        <v/>
      </c>
      <c r="T1354" s="23" t="n"/>
    </row>
    <row r="1355">
      <c r="A1355" s="23" t="n"/>
      <c r="B1355" s="23" t="n"/>
      <c r="C1355" s="24" t="n"/>
      <c r="D1355" s="15" t="n"/>
      <c r="E1355" s="23" t="n"/>
      <c r="F1355" s="15" t="n"/>
      <c r="G1355" s="23" t="n"/>
      <c r="H1355" s="25" t="n"/>
      <c r="I1355" s="15" t="n"/>
      <c r="J1355" s="26">
        <f>IF($A1355="","",LEN($C1355)-LEN(SUBSTITUTE($C1355,",",""))+1)</f>
        <v/>
      </c>
      <c r="K1355" s="26">
        <f>IF($A1355="","",SUMPRODUCT(--ISNUMBER(SEARCH('Category Dictionary'!$D$5:$D$135&amp;"",$C1355)),--('Category Dictionary'!$D$5:$D$135&lt;&gt;"")))</f>
        <v/>
      </c>
      <c r="L1355" s="27">
        <f>IF($A1355="","",TRIM(IF(ISERROR(FIND(",",$C1355)),$C1355,LEFT($C1355,FIND(",",$C1355)-1))))</f>
        <v/>
      </c>
      <c r="M1355" s="28">
        <f>IF($H1355="","",DATE(YEAR($H1355),MONTH($H1355),1))</f>
        <v/>
      </c>
      <c r="N1355" s="26">
        <f>IF($H1355="","",TODAY()-$H1355)</f>
        <v/>
      </c>
      <c r="O1355" s="15" t="n"/>
      <c r="P1355" s="15" t="n"/>
      <c r="Q1355" s="15" t="n"/>
      <c r="R1355" s="25" t="n"/>
      <c r="S1355" s="26">
        <f>IF($A1355="","",AND(OR('Assignment Builder'!$B$5="",$B1355='Assignment Builder'!$B$5),OR('Assignment Builder'!$B$6="",ISNUMBER(SEARCH('Assignment Builder'!$B$6,$C1355))),OR('Assignment Builder'!$B$7="",'Assignment Builder'!$B$7=IFERROR(INDEX('Category Dictionary'!$C$5:$C$135,MATCH($L1355,'Category Dictionary'!$D$5:$D$135,0)),"")),OR('Assignment Builder'!$B$8="",$D1355='Assignment Builder'!$B$8),OR('Assignment Builder'!$B$9="",$F1355='Assignment Builder'!$B$9),OR('Assignment Builder'!$B$10="",$O1355='Assignment Builder'!$B$10),OR('Assignment Builder'!$B$11="",$H1355&gt;='Assignment Builder'!$B$11),OR('Assignment Builder'!$B$12="",N($Q1355)&lt;='Assignment Builder'!$B$12)))</f>
        <v/>
      </c>
      <c r="T1355" s="23" t="n"/>
    </row>
    <row r="1356">
      <c r="A1356" s="23" t="n"/>
      <c r="B1356" s="23" t="n"/>
      <c r="C1356" s="24" t="n"/>
      <c r="D1356" s="15" t="n"/>
      <c r="E1356" s="23" t="n"/>
      <c r="F1356" s="15" t="n"/>
      <c r="G1356" s="23" t="n"/>
      <c r="H1356" s="25" t="n"/>
      <c r="I1356" s="15" t="n"/>
      <c r="J1356" s="26">
        <f>IF($A1356="","",LEN($C1356)-LEN(SUBSTITUTE($C1356,",",""))+1)</f>
        <v/>
      </c>
      <c r="K1356" s="26">
        <f>IF($A1356="","",SUMPRODUCT(--ISNUMBER(SEARCH('Category Dictionary'!$D$5:$D$135&amp;"",$C1356)),--('Category Dictionary'!$D$5:$D$135&lt;&gt;"")))</f>
        <v/>
      </c>
      <c r="L1356" s="27">
        <f>IF($A1356="","",TRIM(IF(ISERROR(FIND(",",$C1356)),$C1356,LEFT($C1356,FIND(",",$C1356)-1))))</f>
        <v/>
      </c>
      <c r="M1356" s="28">
        <f>IF($H1356="","",DATE(YEAR($H1356),MONTH($H1356),1))</f>
        <v/>
      </c>
      <c r="N1356" s="26">
        <f>IF($H1356="","",TODAY()-$H1356)</f>
        <v/>
      </c>
      <c r="O1356" s="15" t="n"/>
      <c r="P1356" s="15" t="n"/>
      <c r="Q1356" s="15" t="n"/>
      <c r="R1356" s="25" t="n"/>
      <c r="S1356" s="26">
        <f>IF($A1356="","",AND(OR('Assignment Builder'!$B$5="",$B1356='Assignment Builder'!$B$5),OR('Assignment Builder'!$B$6="",ISNUMBER(SEARCH('Assignment Builder'!$B$6,$C1356))),OR('Assignment Builder'!$B$7="",'Assignment Builder'!$B$7=IFERROR(INDEX('Category Dictionary'!$C$5:$C$135,MATCH($L1356,'Category Dictionary'!$D$5:$D$135,0)),"")),OR('Assignment Builder'!$B$8="",$D1356='Assignment Builder'!$B$8),OR('Assignment Builder'!$B$9="",$F1356='Assignment Builder'!$B$9),OR('Assignment Builder'!$B$10="",$O1356='Assignment Builder'!$B$10),OR('Assignment Builder'!$B$11="",$H1356&gt;='Assignment Builder'!$B$11),OR('Assignment Builder'!$B$12="",N($Q1356)&lt;='Assignment Builder'!$B$12)))</f>
        <v/>
      </c>
      <c r="T1356" s="23" t="n"/>
    </row>
    <row r="1357">
      <c r="A1357" s="23" t="n"/>
      <c r="B1357" s="23" t="n"/>
      <c r="C1357" s="24" t="n"/>
      <c r="D1357" s="15" t="n"/>
      <c r="E1357" s="23" t="n"/>
      <c r="F1357" s="15" t="n"/>
      <c r="G1357" s="23" t="n"/>
      <c r="H1357" s="25" t="n"/>
      <c r="I1357" s="15" t="n"/>
      <c r="J1357" s="26">
        <f>IF($A1357="","",LEN($C1357)-LEN(SUBSTITUTE($C1357,",",""))+1)</f>
        <v/>
      </c>
      <c r="K1357" s="26">
        <f>IF($A1357="","",SUMPRODUCT(--ISNUMBER(SEARCH('Category Dictionary'!$D$5:$D$135&amp;"",$C1357)),--('Category Dictionary'!$D$5:$D$135&lt;&gt;"")))</f>
        <v/>
      </c>
      <c r="L1357" s="27">
        <f>IF($A1357="","",TRIM(IF(ISERROR(FIND(",",$C1357)),$C1357,LEFT($C1357,FIND(",",$C1357)-1))))</f>
        <v/>
      </c>
      <c r="M1357" s="28">
        <f>IF($H1357="","",DATE(YEAR($H1357),MONTH($H1357),1))</f>
        <v/>
      </c>
      <c r="N1357" s="26">
        <f>IF($H1357="","",TODAY()-$H1357)</f>
        <v/>
      </c>
      <c r="O1357" s="15" t="n"/>
      <c r="P1357" s="15" t="n"/>
      <c r="Q1357" s="15" t="n"/>
      <c r="R1357" s="25" t="n"/>
      <c r="S1357" s="26">
        <f>IF($A1357="","",AND(OR('Assignment Builder'!$B$5="",$B1357='Assignment Builder'!$B$5),OR('Assignment Builder'!$B$6="",ISNUMBER(SEARCH('Assignment Builder'!$B$6,$C1357))),OR('Assignment Builder'!$B$7="",'Assignment Builder'!$B$7=IFERROR(INDEX('Category Dictionary'!$C$5:$C$135,MATCH($L1357,'Category Dictionary'!$D$5:$D$135,0)),"")),OR('Assignment Builder'!$B$8="",$D1357='Assignment Builder'!$B$8),OR('Assignment Builder'!$B$9="",$F1357='Assignment Builder'!$B$9),OR('Assignment Builder'!$B$10="",$O1357='Assignment Builder'!$B$10),OR('Assignment Builder'!$B$11="",$H1357&gt;='Assignment Builder'!$B$11),OR('Assignment Builder'!$B$12="",N($Q1357)&lt;='Assignment Builder'!$B$12)))</f>
        <v/>
      </c>
      <c r="T1357" s="23" t="n"/>
    </row>
    <row r="1358">
      <c r="A1358" s="23" t="n"/>
      <c r="B1358" s="23" t="n"/>
      <c r="C1358" s="24" t="n"/>
      <c r="D1358" s="15" t="n"/>
      <c r="E1358" s="23" t="n"/>
      <c r="F1358" s="15" t="n"/>
      <c r="G1358" s="23" t="n"/>
      <c r="H1358" s="25" t="n"/>
      <c r="I1358" s="15" t="n"/>
      <c r="J1358" s="26">
        <f>IF($A1358="","",LEN($C1358)-LEN(SUBSTITUTE($C1358,",",""))+1)</f>
        <v/>
      </c>
      <c r="K1358" s="26">
        <f>IF($A1358="","",SUMPRODUCT(--ISNUMBER(SEARCH('Category Dictionary'!$D$5:$D$135&amp;"",$C1358)),--('Category Dictionary'!$D$5:$D$135&lt;&gt;"")))</f>
        <v/>
      </c>
      <c r="L1358" s="27">
        <f>IF($A1358="","",TRIM(IF(ISERROR(FIND(",",$C1358)),$C1358,LEFT($C1358,FIND(",",$C1358)-1))))</f>
        <v/>
      </c>
      <c r="M1358" s="28">
        <f>IF($H1358="","",DATE(YEAR($H1358),MONTH($H1358),1))</f>
        <v/>
      </c>
      <c r="N1358" s="26">
        <f>IF($H1358="","",TODAY()-$H1358)</f>
        <v/>
      </c>
      <c r="O1358" s="15" t="n"/>
      <c r="P1358" s="15" t="n"/>
      <c r="Q1358" s="15" t="n"/>
      <c r="R1358" s="25" t="n"/>
      <c r="S1358" s="26">
        <f>IF($A1358="","",AND(OR('Assignment Builder'!$B$5="",$B1358='Assignment Builder'!$B$5),OR('Assignment Builder'!$B$6="",ISNUMBER(SEARCH('Assignment Builder'!$B$6,$C1358))),OR('Assignment Builder'!$B$7="",'Assignment Builder'!$B$7=IFERROR(INDEX('Category Dictionary'!$C$5:$C$135,MATCH($L1358,'Category Dictionary'!$D$5:$D$135,0)),"")),OR('Assignment Builder'!$B$8="",$D1358='Assignment Builder'!$B$8),OR('Assignment Builder'!$B$9="",$F1358='Assignment Builder'!$B$9),OR('Assignment Builder'!$B$10="",$O1358='Assignment Builder'!$B$10),OR('Assignment Builder'!$B$11="",$H1358&gt;='Assignment Builder'!$B$11),OR('Assignment Builder'!$B$12="",N($Q1358)&lt;='Assignment Builder'!$B$12)))</f>
        <v/>
      </c>
      <c r="T1358" s="23" t="n"/>
    </row>
    <row r="1359">
      <c r="A1359" s="23" t="n"/>
      <c r="B1359" s="23" t="n"/>
      <c r="C1359" s="24" t="n"/>
      <c r="D1359" s="15" t="n"/>
      <c r="E1359" s="23" t="n"/>
      <c r="F1359" s="15" t="n"/>
      <c r="G1359" s="23" t="n"/>
      <c r="H1359" s="25" t="n"/>
      <c r="I1359" s="15" t="n"/>
      <c r="J1359" s="26">
        <f>IF($A1359="","",LEN($C1359)-LEN(SUBSTITUTE($C1359,",",""))+1)</f>
        <v/>
      </c>
      <c r="K1359" s="26">
        <f>IF($A1359="","",SUMPRODUCT(--ISNUMBER(SEARCH('Category Dictionary'!$D$5:$D$135&amp;"",$C1359)),--('Category Dictionary'!$D$5:$D$135&lt;&gt;"")))</f>
        <v/>
      </c>
      <c r="L1359" s="27">
        <f>IF($A1359="","",TRIM(IF(ISERROR(FIND(",",$C1359)),$C1359,LEFT($C1359,FIND(",",$C1359)-1))))</f>
        <v/>
      </c>
      <c r="M1359" s="28">
        <f>IF($H1359="","",DATE(YEAR($H1359),MONTH($H1359),1))</f>
        <v/>
      </c>
      <c r="N1359" s="26">
        <f>IF($H1359="","",TODAY()-$H1359)</f>
        <v/>
      </c>
      <c r="O1359" s="15" t="n"/>
      <c r="P1359" s="15" t="n"/>
      <c r="Q1359" s="15" t="n"/>
      <c r="R1359" s="25" t="n"/>
      <c r="S1359" s="26">
        <f>IF($A1359="","",AND(OR('Assignment Builder'!$B$5="",$B1359='Assignment Builder'!$B$5),OR('Assignment Builder'!$B$6="",ISNUMBER(SEARCH('Assignment Builder'!$B$6,$C1359))),OR('Assignment Builder'!$B$7="",'Assignment Builder'!$B$7=IFERROR(INDEX('Category Dictionary'!$C$5:$C$135,MATCH($L1359,'Category Dictionary'!$D$5:$D$135,0)),"")),OR('Assignment Builder'!$B$8="",$D1359='Assignment Builder'!$B$8),OR('Assignment Builder'!$B$9="",$F1359='Assignment Builder'!$B$9),OR('Assignment Builder'!$B$10="",$O1359='Assignment Builder'!$B$10),OR('Assignment Builder'!$B$11="",$H1359&gt;='Assignment Builder'!$B$11),OR('Assignment Builder'!$B$12="",N($Q1359)&lt;='Assignment Builder'!$B$12)))</f>
        <v/>
      </c>
      <c r="T1359" s="23" t="n"/>
    </row>
    <row r="1360">
      <c r="A1360" s="23" t="n"/>
      <c r="B1360" s="23" t="n"/>
      <c r="C1360" s="24" t="n"/>
      <c r="D1360" s="15" t="n"/>
      <c r="E1360" s="23" t="n"/>
      <c r="F1360" s="15" t="n"/>
      <c r="G1360" s="23" t="n"/>
      <c r="H1360" s="25" t="n"/>
      <c r="I1360" s="15" t="n"/>
      <c r="J1360" s="26">
        <f>IF($A1360="","",LEN($C1360)-LEN(SUBSTITUTE($C1360,",",""))+1)</f>
        <v/>
      </c>
      <c r="K1360" s="26">
        <f>IF($A1360="","",SUMPRODUCT(--ISNUMBER(SEARCH('Category Dictionary'!$D$5:$D$135&amp;"",$C1360)),--('Category Dictionary'!$D$5:$D$135&lt;&gt;"")))</f>
        <v/>
      </c>
      <c r="L1360" s="27">
        <f>IF($A1360="","",TRIM(IF(ISERROR(FIND(",",$C1360)),$C1360,LEFT($C1360,FIND(",",$C1360)-1))))</f>
        <v/>
      </c>
      <c r="M1360" s="28">
        <f>IF($H1360="","",DATE(YEAR($H1360),MONTH($H1360),1))</f>
        <v/>
      </c>
      <c r="N1360" s="26">
        <f>IF($H1360="","",TODAY()-$H1360)</f>
        <v/>
      </c>
      <c r="O1360" s="15" t="n"/>
      <c r="P1360" s="15" t="n"/>
      <c r="Q1360" s="15" t="n"/>
      <c r="R1360" s="25" t="n"/>
      <c r="S1360" s="26">
        <f>IF($A1360="","",AND(OR('Assignment Builder'!$B$5="",$B1360='Assignment Builder'!$B$5),OR('Assignment Builder'!$B$6="",ISNUMBER(SEARCH('Assignment Builder'!$B$6,$C1360))),OR('Assignment Builder'!$B$7="",'Assignment Builder'!$B$7=IFERROR(INDEX('Category Dictionary'!$C$5:$C$135,MATCH($L1360,'Category Dictionary'!$D$5:$D$135,0)),"")),OR('Assignment Builder'!$B$8="",$D1360='Assignment Builder'!$B$8),OR('Assignment Builder'!$B$9="",$F1360='Assignment Builder'!$B$9),OR('Assignment Builder'!$B$10="",$O1360='Assignment Builder'!$B$10),OR('Assignment Builder'!$B$11="",$H1360&gt;='Assignment Builder'!$B$11),OR('Assignment Builder'!$B$12="",N($Q1360)&lt;='Assignment Builder'!$B$12)))</f>
        <v/>
      </c>
      <c r="T1360" s="23" t="n"/>
    </row>
    <row r="1361">
      <c r="A1361" s="23" t="n"/>
      <c r="B1361" s="23" t="n"/>
      <c r="C1361" s="24" t="n"/>
      <c r="D1361" s="15" t="n"/>
      <c r="E1361" s="23" t="n"/>
      <c r="F1361" s="15" t="n"/>
      <c r="G1361" s="23" t="n"/>
      <c r="H1361" s="25" t="n"/>
      <c r="I1361" s="15" t="n"/>
      <c r="J1361" s="26">
        <f>IF($A1361="","",LEN($C1361)-LEN(SUBSTITUTE($C1361,",",""))+1)</f>
        <v/>
      </c>
      <c r="K1361" s="26">
        <f>IF($A1361="","",SUMPRODUCT(--ISNUMBER(SEARCH('Category Dictionary'!$D$5:$D$135&amp;"",$C1361)),--('Category Dictionary'!$D$5:$D$135&lt;&gt;"")))</f>
        <v/>
      </c>
      <c r="L1361" s="27">
        <f>IF($A1361="","",TRIM(IF(ISERROR(FIND(",",$C1361)),$C1361,LEFT($C1361,FIND(",",$C1361)-1))))</f>
        <v/>
      </c>
      <c r="M1361" s="28">
        <f>IF($H1361="","",DATE(YEAR($H1361),MONTH($H1361),1))</f>
        <v/>
      </c>
      <c r="N1361" s="26">
        <f>IF($H1361="","",TODAY()-$H1361)</f>
        <v/>
      </c>
      <c r="O1361" s="15" t="n"/>
      <c r="P1361" s="15" t="n"/>
      <c r="Q1361" s="15" t="n"/>
      <c r="R1361" s="25" t="n"/>
      <c r="S1361" s="26">
        <f>IF($A1361="","",AND(OR('Assignment Builder'!$B$5="",$B1361='Assignment Builder'!$B$5),OR('Assignment Builder'!$B$6="",ISNUMBER(SEARCH('Assignment Builder'!$B$6,$C1361))),OR('Assignment Builder'!$B$7="",'Assignment Builder'!$B$7=IFERROR(INDEX('Category Dictionary'!$C$5:$C$135,MATCH($L1361,'Category Dictionary'!$D$5:$D$135,0)),"")),OR('Assignment Builder'!$B$8="",$D1361='Assignment Builder'!$B$8),OR('Assignment Builder'!$B$9="",$F1361='Assignment Builder'!$B$9),OR('Assignment Builder'!$B$10="",$O1361='Assignment Builder'!$B$10),OR('Assignment Builder'!$B$11="",$H1361&gt;='Assignment Builder'!$B$11),OR('Assignment Builder'!$B$12="",N($Q1361)&lt;='Assignment Builder'!$B$12)))</f>
        <v/>
      </c>
      <c r="T1361" s="23" t="n"/>
    </row>
    <row r="1362">
      <c r="A1362" s="23" t="n"/>
      <c r="B1362" s="23" t="n"/>
      <c r="C1362" s="24" t="n"/>
      <c r="D1362" s="15" t="n"/>
      <c r="E1362" s="23" t="n"/>
      <c r="F1362" s="15" t="n"/>
      <c r="G1362" s="23" t="n"/>
      <c r="H1362" s="25" t="n"/>
      <c r="I1362" s="15" t="n"/>
      <c r="J1362" s="26">
        <f>IF($A1362="","",LEN($C1362)-LEN(SUBSTITUTE($C1362,",",""))+1)</f>
        <v/>
      </c>
      <c r="K1362" s="26">
        <f>IF($A1362="","",SUMPRODUCT(--ISNUMBER(SEARCH('Category Dictionary'!$D$5:$D$135&amp;"",$C1362)),--('Category Dictionary'!$D$5:$D$135&lt;&gt;"")))</f>
        <v/>
      </c>
      <c r="L1362" s="27">
        <f>IF($A1362="","",TRIM(IF(ISERROR(FIND(",",$C1362)),$C1362,LEFT($C1362,FIND(",",$C1362)-1))))</f>
        <v/>
      </c>
      <c r="M1362" s="28">
        <f>IF($H1362="","",DATE(YEAR($H1362),MONTH($H1362),1))</f>
        <v/>
      </c>
      <c r="N1362" s="26">
        <f>IF($H1362="","",TODAY()-$H1362)</f>
        <v/>
      </c>
      <c r="O1362" s="15" t="n"/>
      <c r="P1362" s="15" t="n"/>
      <c r="Q1362" s="15" t="n"/>
      <c r="R1362" s="25" t="n"/>
      <c r="S1362" s="26">
        <f>IF($A1362="","",AND(OR('Assignment Builder'!$B$5="",$B1362='Assignment Builder'!$B$5),OR('Assignment Builder'!$B$6="",ISNUMBER(SEARCH('Assignment Builder'!$B$6,$C1362))),OR('Assignment Builder'!$B$7="",'Assignment Builder'!$B$7=IFERROR(INDEX('Category Dictionary'!$C$5:$C$135,MATCH($L1362,'Category Dictionary'!$D$5:$D$135,0)),"")),OR('Assignment Builder'!$B$8="",$D1362='Assignment Builder'!$B$8),OR('Assignment Builder'!$B$9="",$F1362='Assignment Builder'!$B$9),OR('Assignment Builder'!$B$10="",$O1362='Assignment Builder'!$B$10),OR('Assignment Builder'!$B$11="",$H1362&gt;='Assignment Builder'!$B$11),OR('Assignment Builder'!$B$12="",N($Q1362)&lt;='Assignment Builder'!$B$12)))</f>
        <v/>
      </c>
      <c r="T1362" s="23" t="n"/>
    </row>
    <row r="1363">
      <c r="A1363" s="23" t="n"/>
      <c r="B1363" s="23" t="n"/>
      <c r="C1363" s="24" t="n"/>
      <c r="D1363" s="15" t="n"/>
      <c r="E1363" s="23" t="n"/>
      <c r="F1363" s="15" t="n"/>
      <c r="G1363" s="23" t="n"/>
      <c r="H1363" s="25" t="n"/>
      <c r="I1363" s="15" t="n"/>
      <c r="J1363" s="26">
        <f>IF($A1363="","",LEN($C1363)-LEN(SUBSTITUTE($C1363,",",""))+1)</f>
        <v/>
      </c>
      <c r="K1363" s="26">
        <f>IF($A1363="","",SUMPRODUCT(--ISNUMBER(SEARCH('Category Dictionary'!$D$5:$D$135&amp;"",$C1363)),--('Category Dictionary'!$D$5:$D$135&lt;&gt;"")))</f>
        <v/>
      </c>
      <c r="L1363" s="27">
        <f>IF($A1363="","",TRIM(IF(ISERROR(FIND(",",$C1363)),$C1363,LEFT($C1363,FIND(",",$C1363)-1))))</f>
        <v/>
      </c>
      <c r="M1363" s="28">
        <f>IF($H1363="","",DATE(YEAR($H1363),MONTH($H1363),1))</f>
        <v/>
      </c>
      <c r="N1363" s="26">
        <f>IF($H1363="","",TODAY()-$H1363)</f>
        <v/>
      </c>
      <c r="O1363" s="15" t="n"/>
      <c r="P1363" s="15" t="n"/>
      <c r="Q1363" s="15" t="n"/>
      <c r="R1363" s="25" t="n"/>
      <c r="S1363" s="26">
        <f>IF($A1363="","",AND(OR('Assignment Builder'!$B$5="",$B1363='Assignment Builder'!$B$5),OR('Assignment Builder'!$B$6="",ISNUMBER(SEARCH('Assignment Builder'!$B$6,$C1363))),OR('Assignment Builder'!$B$7="",'Assignment Builder'!$B$7=IFERROR(INDEX('Category Dictionary'!$C$5:$C$135,MATCH($L1363,'Category Dictionary'!$D$5:$D$135,0)),"")),OR('Assignment Builder'!$B$8="",$D1363='Assignment Builder'!$B$8),OR('Assignment Builder'!$B$9="",$F1363='Assignment Builder'!$B$9),OR('Assignment Builder'!$B$10="",$O1363='Assignment Builder'!$B$10),OR('Assignment Builder'!$B$11="",$H1363&gt;='Assignment Builder'!$B$11),OR('Assignment Builder'!$B$12="",N($Q1363)&lt;='Assignment Builder'!$B$12)))</f>
        <v/>
      </c>
      <c r="T1363" s="23" t="n"/>
    </row>
    <row r="1364">
      <c r="A1364" s="23" t="n"/>
      <c r="B1364" s="23" t="n"/>
      <c r="C1364" s="24" t="n"/>
      <c r="D1364" s="15" t="n"/>
      <c r="E1364" s="23" t="n"/>
      <c r="F1364" s="15" t="n"/>
      <c r="G1364" s="23" t="n"/>
      <c r="H1364" s="25" t="n"/>
      <c r="I1364" s="15" t="n"/>
      <c r="J1364" s="26">
        <f>IF($A1364="","",LEN($C1364)-LEN(SUBSTITUTE($C1364,",",""))+1)</f>
        <v/>
      </c>
      <c r="K1364" s="26">
        <f>IF($A1364="","",SUMPRODUCT(--ISNUMBER(SEARCH('Category Dictionary'!$D$5:$D$135&amp;"",$C1364)),--('Category Dictionary'!$D$5:$D$135&lt;&gt;"")))</f>
        <v/>
      </c>
      <c r="L1364" s="27">
        <f>IF($A1364="","",TRIM(IF(ISERROR(FIND(",",$C1364)),$C1364,LEFT($C1364,FIND(",",$C1364)-1))))</f>
        <v/>
      </c>
      <c r="M1364" s="28">
        <f>IF($H1364="","",DATE(YEAR($H1364),MONTH($H1364),1))</f>
        <v/>
      </c>
      <c r="N1364" s="26">
        <f>IF($H1364="","",TODAY()-$H1364)</f>
        <v/>
      </c>
      <c r="O1364" s="15" t="n"/>
      <c r="P1364" s="15" t="n"/>
      <c r="Q1364" s="15" t="n"/>
      <c r="R1364" s="25" t="n"/>
      <c r="S1364" s="26">
        <f>IF($A1364="","",AND(OR('Assignment Builder'!$B$5="",$B1364='Assignment Builder'!$B$5),OR('Assignment Builder'!$B$6="",ISNUMBER(SEARCH('Assignment Builder'!$B$6,$C1364))),OR('Assignment Builder'!$B$7="",'Assignment Builder'!$B$7=IFERROR(INDEX('Category Dictionary'!$C$5:$C$135,MATCH($L1364,'Category Dictionary'!$D$5:$D$135,0)),"")),OR('Assignment Builder'!$B$8="",$D1364='Assignment Builder'!$B$8),OR('Assignment Builder'!$B$9="",$F1364='Assignment Builder'!$B$9),OR('Assignment Builder'!$B$10="",$O1364='Assignment Builder'!$B$10),OR('Assignment Builder'!$B$11="",$H1364&gt;='Assignment Builder'!$B$11),OR('Assignment Builder'!$B$12="",N($Q1364)&lt;='Assignment Builder'!$B$12)))</f>
        <v/>
      </c>
      <c r="T1364" s="23" t="n"/>
    </row>
    <row r="1365">
      <c r="A1365" s="23" t="n"/>
      <c r="B1365" s="23" t="n"/>
      <c r="C1365" s="24" t="n"/>
      <c r="D1365" s="15" t="n"/>
      <c r="E1365" s="23" t="n"/>
      <c r="F1365" s="15" t="n"/>
      <c r="G1365" s="23" t="n"/>
      <c r="H1365" s="25" t="n"/>
      <c r="I1365" s="15" t="n"/>
      <c r="J1365" s="26">
        <f>IF($A1365="","",LEN($C1365)-LEN(SUBSTITUTE($C1365,",",""))+1)</f>
        <v/>
      </c>
      <c r="K1365" s="26">
        <f>IF($A1365="","",SUMPRODUCT(--ISNUMBER(SEARCH('Category Dictionary'!$D$5:$D$135&amp;"",$C1365)),--('Category Dictionary'!$D$5:$D$135&lt;&gt;"")))</f>
        <v/>
      </c>
      <c r="L1365" s="27">
        <f>IF($A1365="","",TRIM(IF(ISERROR(FIND(",",$C1365)),$C1365,LEFT($C1365,FIND(",",$C1365)-1))))</f>
        <v/>
      </c>
      <c r="M1365" s="28">
        <f>IF($H1365="","",DATE(YEAR($H1365),MONTH($H1365),1))</f>
        <v/>
      </c>
      <c r="N1365" s="26">
        <f>IF($H1365="","",TODAY()-$H1365)</f>
        <v/>
      </c>
      <c r="O1365" s="15" t="n"/>
      <c r="P1365" s="15" t="n"/>
      <c r="Q1365" s="15" t="n"/>
      <c r="R1365" s="25" t="n"/>
      <c r="S1365" s="26">
        <f>IF($A1365="","",AND(OR('Assignment Builder'!$B$5="",$B1365='Assignment Builder'!$B$5),OR('Assignment Builder'!$B$6="",ISNUMBER(SEARCH('Assignment Builder'!$B$6,$C1365))),OR('Assignment Builder'!$B$7="",'Assignment Builder'!$B$7=IFERROR(INDEX('Category Dictionary'!$C$5:$C$135,MATCH($L1365,'Category Dictionary'!$D$5:$D$135,0)),"")),OR('Assignment Builder'!$B$8="",$D1365='Assignment Builder'!$B$8),OR('Assignment Builder'!$B$9="",$F1365='Assignment Builder'!$B$9),OR('Assignment Builder'!$B$10="",$O1365='Assignment Builder'!$B$10),OR('Assignment Builder'!$B$11="",$H1365&gt;='Assignment Builder'!$B$11),OR('Assignment Builder'!$B$12="",N($Q1365)&lt;='Assignment Builder'!$B$12)))</f>
        <v/>
      </c>
      <c r="T1365" s="23" t="n"/>
    </row>
    <row r="1366">
      <c r="A1366" s="23" t="n"/>
      <c r="B1366" s="23" t="n"/>
      <c r="C1366" s="24" t="n"/>
      <c r="D1366" s="15" t="n"/>
      <c r="E1366" s="23" t="n"/>
      <c r="F1366" s="15" t="n"/>
      <c r="G1366" s="23" t="n"/>
      <c r="H1366" s="25" t="n"/>
      <c r="I1366" s="15" t="n"/>
      <c r="J1366" s="26">
        <f>IF($A1366="","",LEN($C1366)-LEN(SUBSTITUTE($C1366,",",""))+1)</f>
        <v/>
      </c>
      <c r="K1366" s="26">
        <f>IF($A1366="","",SUMPRODUCT(--ISNUMBER(SEARCH('Category Dictionary'!$D$5:$D$135&amp;"",$C1366)),--('Category Dictionary'!$D$5:$D$135&lt;&gt;"")))</f>
        <v/>
      </c>
      <c r="L1366" s="27">
        <f>IF($A1366="","",TRIM(IF(ISERROR(FIND(",",$C1366)),$C1366,LEFT($C1366,FIND(",",$C1366)-1))))</f>
        <v/>
      </c>
      <c r="M1366" s="28">
        <f>IF($H1366="","",DATE(YEAR($H1366),MONTH($H1366),1))</f>
        <v/>
      </c>
      <c r="N1366" s="26">
        <f>IF($H1366="","",TODAY()-$H1366)</f>
        <v/>
      </c>
      <c r="O1366" s="15" t="n"/>
      <c r="P1366" s="15" t="n"/>
      <c r="Q1366" s="15" t="n"/>
      <c r="R1366" s="25" t="n"/>
      <c r="S1366" s="26">
        <f>IF($A1366="","",AND(OR('Assignment Builder'!$B$5="",$B1366='Assignment Builder'!$B$5),OR('Assignment Builder'!$B$6="",ISNUMBER(SEARCH('Assignment Builder'!$B$6,$C1366))),OR('Assignment Builder'!$B$7="",'Assignment Builder'!$B$7=IFERROR(INDEX('Category Dictionary'!$C$5:$C$135,MATCH($L1366,'Category Dictionary'!$D$5:$D$135,0)),"")),OR('Assignment Builder'!$B$8="",$D1366='Assignment Builder'!$B$8),OR('Assignment Builder'!$B$9="",$F1366='Assignment Builder'!$B$9),OR('Assignment Builder'!$B$10="",$O1366='Assignment Builder'!$B$10),OR('Assignment Builder'!$B$11="",$H1366&gt;='Assignment Builder'!$B$11),OR('Assignment Builder'!$B$12="",N($Q1366)&lt;='Assignment Builder'!$B$12)))</f>
        <v/>
      </c>
      <c r="T1366" s="23" t="n"/>
    </row>
    <row r="1367">
      <c r="A1367" s="23" t="n"/>
      <c r="B1367" s="23" t="n"/>
      <c r="C1367" s="24" t="n"/>
      <c r="D1367" s="15" t="n"/>
      <c r="E1367" s="23" t="n"/>
      <c r="F1367" s="15" t="n"/>
      <c r="G1367" s="23" t="n"/>
      <c r="H1367" s="25" t="n"/>
      <c r="I1367" s="15" t="n"/>
      <c r="J1367" s="26">
        <f>IF($A1367="","",LEN($C1367)-LEN(SUBSTITUTE($C1367,",",""))+1)</f>
        <v/>
      </c>
      <c r="K1367" s="26">
        <f>IF($A1367="","",SUMPRODUCT(--ISNUMBER(SEARCH('Category Dictionary'!$D$5:$D$135&amp;"",$C1367)),--('Category Dictionary'!$D$5:$D$135&lt;&gt;"")))</f>
        <v/>
      </c>
      <c r="L1367" s="27">
        <f>IF($A1367="","",TRIM(IF(ISERROR(FIND(",",$C1367)),$C1367,LEFT($C1367,FIND(",",$C1367)-1))))</f>
        <v/>
      </c>
      <c r="M1367" s="28">
        <f>IF($H1367="","",DATE(YEAR($H1367),MONTH($H1367),1))</f>
        <v/>
      </c>
      <c r="N1367" s="26">
        <f>IF($H1367="","",TODAY()-$H1367)</f>
        <v/>
      </c>
      <c r="O1367" s="15" t="n"/>
      <c r="P1367" s="15" t="n"/>
      <c r="Q1367" s="15" t="n"/>
      <c r="R1367" s="25" t="n"/>
      <c r="S1367" s="26">
        <f>IF($A1367="","",AND(OR('Assignment Builder'!$B$5="",$B1367='Assignment Builder'!$B$5),OR('Assignment Builder'!$B$6="",ISNUMBER(SEARCH('Assignment Builder'!$B$6,$C1367))),OR('Assignment Builder'!$B$7="",'Assignment Builder'!$B$7=IFERROR(INDEX('Category Dictionary'!$C$5:$C$135,MATCH($L1367,'Category Dictionary'!$D$5:$D$135,0)),"")),OR('Assignment Builder'!$B$8="",$D1367='Assignment Builder'!$B$8),OR('Assignment Builder'!$B$9="",$F1367='Assignment Builder'!$B$9),OR('Assignment Builder'!$B$10="",$O1367='Assignment Builder'!$B$10),OR('Assignment Builder'!$B$11="",$H1367&gt;='Assignment Builder'!$B$11),OR('Assignment Builder'!$B$12="",N($Q1367)&lt;='Assignment Builder'!$B$12)))</f>
        <v/>
      </c>
      <c r="T1367" s="23" t="n"/>
    </row>
    <row r="1368">
      <c r="A1368" s="23" t="n"/>
      <c r="B1368" s="23" t="n"/>
      <c r="C1368" s="24" t="n"/>
      <c r="D1368" s="15" t="n"/>
      <c r="E1368" s="23" t="n"/>
      <c r="F1368" s="15" t="n"/>
      <c r="G1368" s="23" t="n"/>
      <c r="H1368" s="25" t="n"/>
      <c r="I1368" s="15" t="n"/>
      <c r="J1368" s="26">
        <f>IF($A1368="","",LEN($C1368)-LEN(SUBSTITUTE($C1368,",",""))+1)</f>
        <v/>
      </c>
      <c r="K1368" s="26">
        <f>IF($A1368="","",SUMPRODUCT(--ISNUMBER(SEARCH('Category Dictionary'!$D$5:$D$135&amp;"",$C1368)),--('Category Dictionary'!$D$5:$D$135&lt;&gt;"")))</f>
        <v/>
      </c>
      <c r="L1368" s="27">
        <f>IF($A1368="","",TRIM(IF(ISERROR(FIND(",",$C1368)),$C1368,LEFT($C1368,FIND(",",$C1368)-1))))</f>
        <v/>
      </c>
      <c r="M1368" s="28">
        <f>IF($H1368="","",DATE(YEAR($H1368),MONTH($H1368),1))</f>
        <v/>
      </c>
      <c r="N1368" s="26">
        <f>IF($H1368="","",TODAY()-$H1368)</f>
        <v/>
      </c>
      <c r="O1368" s="15" t="n"/>
      <c r="P1368" s="15" t="n"/>
      <c r="Q1368" s="15" t="n"/>
      <c r="R1368" s="25" t="n"/>
      <c r="S1368" s="26">
        <f>IF($A1368="","",AND(OR('Assignment Builder'!$B$5="",$B1368='Assignment Builder'!$B$5),OR('Assignment Builder'!$B$6="",ISNUMBER(SEARCH('Assignment Builder'!$B$6,$C1368))),OR('Assignment Builder'!$B$7="",'Assignment Builder'!$B$7=IFERROR(INDEX('Category Dictionary'!$C$5:$C$135,MATCH($L1368,'Category Dictionary'!$D$5:$D$135,0)),"")),OR('Assignment Builder'!$B$8="",$D1368='Assignment Builder'!$B$8),OR('Assignment Builder'!$B$9="",$F1368='Assignment Builder'!$B$9),OR('Assignment Builder'!$B$10="",$O1368='Assignment Builder'!$B$10),OR('Assignment Builder'!$B$11="",$H1368&gt;='Assignment Builder'!$B$11),OR('Assignment Builder'!$B$12="",N($Q1368)&lt;='Assignment Builder'!$B$12)))</f>
        <v/>
      </c>
      <c r="T1368" s="23" t="n"/>
    </row>
    <row r="1369">
      <c r="A1369" s="23" t="n"/>
      <c r="B1369" s="23" t="n"/>
      <c r="C1369" s="24" t="n"/>
      <c r="D1369" s="15" t="n"/>
      <c r="E1369" s="23" t="n"/>
      <c r="F1369" s="15" t="n"/>
      <c r="G1369" s="23" t="n"/>
      <c r="H1369" s="25" t="n"/>
      <c r="I1369" s="15" t="n"/>
      <c r="J1369" s="26">
        <f>IF($A1369="","",LEN($C1369)-LEN(SUBSTITUTE($C1369,",",""))+1)</f>
        <v/>
      </c>
      <c r="K1369" s="26">
        <f>IF($A1369="","",SUMPRODUCT(--ISNUMBER(SEARCH('Category Dictionary'!$D$5:$D$135&amp;"",$C1369)),--('Category Dictionary'!$D$5:$D$135&lt;&gt;"")))</f>
        <v/>
      </c>
      <c r="L1369" s="27">
        <f>IF($A1369="","",TRIM(IF(ISERROR(FIND(",",$C1369)),$C1369,LEFT($C1369,FIND(",",$C1369)-1))))</f>
        <v/>
      </c>
      <c r="M1369" s="28">
        <f>IF($H1369="","",DATE(YEAR($H1369),MONTH($H1369),1))</f>
        <v/>
      </c>
      <c r="N1369" s="26">
        <f>IF($H1369="","",TODAY()-$H1369)</f>
        <v/>
      </c>
      <c r="O1369" s="15" t="n"/>
      <c r="P1369" s="15" t="n"/>
      <c r="Q1369" s="15" t="n"/>
      <c r="R1369" s="25" t="n"/>
      <c r="S1369" s="26">
        <f>IF($A1369="","",AND(OR('Assignment Builder'!$B$5="",$B1369='Assignment Builder'!$B$5),OR('Assignment Builder'!$B$6="",ISNUMBER(SEARCH('Assignment Builder'!$B$6,$C1369))),OR('Assignment Builder'!$B$7="",'Assignment Builder'!$B$7=IFERROR(INDEX('Category Dictionary'!$C$5:$C$135,MATCH($L1369,'Category Dictionary'!$D$5:$D$135,0)),"")),OR('Assignment Builder'!$B$8="",$D1369='Assignment Builder'!$B$8),OR('Assignment Builder'!$B$9="",$F1369='Assignment Builder'!$B$9),OR('Assignment Builder'!$B$10="",$O1369='Assignment Builder'!$B$10),OR('Assignment Builder'!$B$11="",$H1369&gt;='Assignment Builder'!$B$11),OR('Assignment Builder'!$B$12="",N($Q1369)&lt;='Assignment Builder'!$B$12)))</f>
        <v/>
      </c>
      <c r="T1369" s="23" t="n"/>
    </row>
    <row r="1370">
      <c r="A1370" s="23" t="n"/>
      <c r="B1370" s="23" t="n"/>
      <c r="C1370" s="24" t="n"/>
      <c r="D1370" s="15" t="n"/>
      <c r="E1370" s="23" t="n"/>
      <c r="F1370" s="15" t="n"/>
      <c r="G1370" s="23" t="n"/>
      <c r="H1370" s="25" t="n"/>
      <c r="I1370" s="15" t="n"/>
      <c r="J1370" s="26">
        <f>IF($A1370="","",LEN($C1370)-LEN(SUBSTITUTE($C1370,",",""))+1)</f>
        <v/>
      </c>
      <c r="K1370" s="26">
        <f>IF($A1370="","",SUMPRODUCT(--ISNUMBER(SEARCH('Category Dictionary'!$D$5:$D$135&amp;"",$C1370)),--('Category Dictionary'!$D$5:$D$135&lt;&gt;"")))</f>
        <v/>
      </c>
      <c r="L1370" s="27">
        <f>IF($A1370="","",TRIM(IF(ISERROR(FIND(",",$C1370)),$C1370,LEFT($C1370,FIND(",",$C1370)-1))))</f>
        <v/>
      </c>
      <c r="M1370" s="28">
        <f>IF($H1370="","",DATE(YEAR($H1370),MONTH($H1370),1))</f>
        <v/>
      </c>
      <c r="N1370" s="26">
        <f>IF($H1370="","",TODAY()-$H1370)</f>
        <v/>
      </c>
      <c r="O1370" s="15" t="n"/>
      <c r="P1370" s="15" t="n"/>
      <c r="Q1370" s="15" t="n"/>
      <c r="R1370" s="25" t="n"/>
      <c r="S1370" s="26">
        <f>IF($A1370="","",AND(OR('Assignment Builder'!$B$5="",$B1370='Assignment Builder'!$B$5),OR('Assignment Builder'!$B$6="",ISNUMBER(SEARCH('Assignment Builder'!$B$6,$C1370))),OR('Assignment Builder'!$B$7="",'Assignment Builder'!$B$7=IFERROR(INDEX('Category Dictionary'!$C$5:$C$135,MATCH($L1370,'Category Dictionary'!$D$5:$D$135,0)),"")),OR('Assignment Builder'!$B$8="",$D1370='Assignment Builder'!$B$8),OR('Assignment Builder'!$B$9="",$F1370='Assignment Builder'!$B$9),OR('Assignment Builder'!$B$10="",$O1370='Assignment Builder'!$B$10),OR('Assignment Builder'!$B$11="",$H1370&gt;='Assignment Builder'!$B$11),OR('Assignment Builder'!$B$12="",N($Q1370)&lt;='Assignment Builder'!$B$12)))</f>
        <v/>
      </c>
      <c r="T1370" s="23" t="n"/>
    </row>
    <row r="1371">
      <c r="A1371" s="23" t="n"/>
      <c r="B1371" s="23" t="n"/>
      <c r="C1371" s="24" t="n"/>
      <c r="D1371" s="15" t="n"/>
      <c r="E1371" s="23" t="n"/>
      <c r="F1371" s="15" t="n"/>
      <c r="G1371" s="23" t="n"/>
      <c r="H1371" s="25" t="n"/>
      <c r="I1371" s="15" t="n"/>
      <c r="J1371" s="26">
        <f>IF($A1371="","",LEN($C1371)-LEN(SUBSTITUTE($C1371,",",""))+1)</f>
        <v/>
      </c>
      <c r="K1371" s="26">
        <f>IF($A1371="","",SUMPRODUCT(--ISNUMBER(SEARCH('Category Dictionary'!$D$5:$D$135&amp;"",$C1371)),--('Category Dictionary'!$D$5:$D$135&lt;&gt;"")))</f>
        <v/>
      </c>
      <c r="L1371" s="27">
        <f>IF($A1371="","",TRIM(IF(ISERROR(FIND(",",$C1371)),$C1371,LEFT($C1371,FIND(",",$C1371)-1))))</f>
        <v/>
      </c>
      <c r="M1371" s="28">
        <f>IF($H1371="","",DATE(YEAR($H1371),MONTH($H1371),1))</f>
        <v/>
      </c>
      <c r="N1371" s="26">
        <f>IF($H1371="","",TODAY()-$H1371)</f>
        <v/>
      </c>
      <c r="O1371" s="15" t="n"/>
      <c r="P1371" s="15" t="n"/>
      <c r="Q1371" s="15" t="n"/>
      <c r="R1371" s="25" t="n"/>
      <c r="S1371" s="26">
        <f>IF($A1371="","",AND(OR('Assignment Builder'!$B$5="",$B1371='Assignment Builder'!$B$5),OR('Assignment Builder'!$B$6="",ISNUMBER(SEARCH('Assignment Builder'!$B$6,$C1371))),OR('Assignment Builder'!$B$7="",'Assignment Builder'!$B$7=IFERROR(INDEX('Category Dictionary'!$C$5:$C$135,MATCH($L1371,'Category Dictionary'!$D$5:$D$135,0)),"")),OR('Assignment Builder'!$B$8="",$D1371='Assignment Builder'!$B$8),OR('Assignment Builder'!$B$9="",$F1371='Assignment Builder'!$B$9),OR('Assignment Builder'!$B$10="",$O1371='Assignment Builder'!$B$10),OR('Assignment Builder'!$B$11="",$H1371&gt;='Assignment Builder'!$B$11),OR('Assignment Builder'!$B$12="",N($Q1371)&lt;='Assignment Builder'!$B$12)))</f>
        <v/>
      </c>
      <c r="T1371" s="23" t="n"/>
    </row>
    <row r="1372">
      <c r="A1372" s="23" t="n"/>
      <c r="B1372" s="23" t="n"/>
      <c r="C1372" s="24" t="n"/>
      <c r="D1372" s="15" t="n"/>
      <c r="E1372" s="23" t="n"/>
      <c r="F1372" s="15" t="n"/>
      <c r="G1372" s="23" t="n"/>
      <c r="H1372" s="25" t="n"/>
      <c r="I1372" s="15" t="n"/>
      <c r="J1372" s="26">
        <f>IF($A1372="","",LEN($C1372)-LEN(SUBSTITUTE($C1372,",",""))+1)</f>
        <v/>
      </c>
      <c r="K1372" s="26">
        <f>IF($A1372="","",SUMPRODUCT(--ISNUMBER(SEARCH('Category Dictionary'!$D$5:$D$135&amp;"",$C1372)),--('Category Dictionary'!$D$5:$D$135&lt;&gt;"")))</f>
        <v/>
      </c>
      <c r="L1372" s="27">
        <f>IF($A1372="","",TRIM(IF(ISERROR(FIND(",",$C1372)),$C1372,LEFT($C1372,FIND(",",$C1372)-1))))</f>
        <v/>
      </c>
      <c r="M1372" s="28">
        <f>IF($H1372="","",DATE(YEAR($H1372),MONTH($H1372),1))</f>
        <v/>
      </c>
      <c r="N1372" s="26">
        <f>IF($H1372="","",TODAY()-$H1372)</f>
        <v/>
      </c>
      <c r="O1372" s="15" t="n"/>
      <c r="P1372" s="15" t="n"/>
      <c r="Q1372" s="15" t="n"/>
      <c r="R1372" s="25" t="n"/>
      <c r="S1372" s="26">
        <f>IF($A1372="","",AND(OR('Assignment Builder'!$B$5="",$B1372='Assignment Builder'!$B$5),OR('Assignment Builder'!$B$6="",ISNUMBER(SEARCH('Assignment Builder'!$B$6,$C1372))),OR('Assignment Builder'!$B$7="",'Assignment Builder'!$B$7=IFERROR(INDEX('Category Dictionary'!$C$5:$C$135,MATCH($L1372,'Category Dictionary'!$D$5:$D$135,0)),"")),OR('Assignment Builder'!$B$8="",$D1372='Assignment Builder'!$B$8),OR('Assignment Builder'!$B$9="",$F1372='Assignment Builder'!$B$9),OR('Assignment Builder'!$B$10="",$O1372='Assignment Builder'!$B$10),OR('Assignment Builder'!$B$11="",$H1372&gt;='Assignment Builder'!$B$11),OR('Assignment Builder'!$B$12="",N($Q1372)&lt;='Assignment Builder'!$B$12)))</f>
        <v/>
      </c>
      <c r="T1372" s="23" t="n"/>
    </row>
    <row r="1373">
      <c r="A1373" s="23" t="n"/>
      <c r="B1373" s="23" t="n"/>
      <c r="C1373" s="24" t="n"/>
      <c r="D1373" s="15" t="n"/>
      <c r="E1373" s="23" t="n"/>
      <c r="F1373" s="15" t="n"/>
      <c r="G1373" s="23" t="n"/>
      <c r="H1373" s="25" t="n"/>
      <c r="I1373" s="15" t="n"/>
      <c r="J1373" s="26">
        <f>IF($A1373="","",LEN($C1373)-LEN(SUBSTITUTE($C1373,",",""))+1)</f>
        <v/>
      </c>
      <c r="K1373" s="26">
        <f>IF($A1373="","",SUMPRODUCT(--ISNUMBER(SEARCH('Category Dictionary'!$D$5:$D$135&amp;"",$C1373)),--('Category Dictionary'!$D$5:$D$135&lt;&gt;"")))</f>
        <v/>
      </c>
      <c r="L1373" s="27">
        <f>IF($A1373="","",TRIM(IF(ISERROR(FIND(",",$C1373)),$C1373,LEFT($C1373,FIND(",",$C1373)-1))))</f>
        <v/>
      </c>
      <c r="M1373" s="28">
        <f>IF($H1373="","",DATE(YEAR($H1373),MONTH($H1373),1))</f>
        <v/>
      </c>
      <c r="N1373" s="26">
        <f>IF($H1373="","",TODAY()-$H1373)</f>
        <v/>
      </c>
      <c r="O1373" s="15" t="n"/>
      <c r="P1373" s="15" t="n"/>
      <c r="Q1373" s="15" t="n"/>
      <c r="R1373" s="25" t="n"/>
      <c r="S1373" s="26">
        <f>IF($A1373="","",AND(OR('Assignment Builder'!$B$5="",$B1373='Assignment Builder'!$B$5),OR('Assignment Builder'!$B$6="",ISNUMBER(SEARCH('Assignment Builder'!$B$6,$C1373))),OR('Assignment Builder'!$B$7="",'Assignment Builder'!$B$7=IFERROR(INDEX('Category Dictionary'!$C$5:$C$135,MATCH($L1373,'Category Dictionary'!$D$5:$D$135,0)),"")),OR('Assignment Builder'!$B$8="",$D1373='Assignment Builder'!$B$8),OR('Assignment Builder'!$B$9="",$F1373='Assignment Builder'!$B$9),OR('Assignment Builder'!$B$10="",$O1373='Assignment Builder'!$B$10),OR('Assignment Builder'!$B$11="",$H1373&gt;='Assignment Builder'!$B$11),OR('Assignment Builder'!$B$12="",N($Q1373)&lt;='Assignment Builder'!$B$12)))</f>
        <v/>
      </c>
      <c r="T1373" s="23" t="n"/>
    </row>
    <row r="1374">
      <c r="A1374" s="23" t="n"/>
      <c r="B1374" s="23" t="n"/>
      <c r="C1374" s="24" t="n"/>
      <c r="D1374" s="15" t="n"/>
      <c r="E1374" s="23" t="n"/>
      <c r="F1374" s="15" t="n"/>
      <c r="G1374" s="23" t="n"/>
      <c r="H1374" s="25" t="n"/>
      <c r="I1374" s="15" t="n"/>
      <c r="J1374" s="26">
        <f>IF($A1374="","",LEN($C1374)-LEN(SUBSTITUTE($C1374,",",""))+1)</f>
        <v/>
      </c>
      <c r="K1374" s="26">
        <f>IF($A1374="","",SUMPRODUCT(--ISNUMBER(SEARCH('Category Dictionary'!$D$5:$D$135&amp;"",$C1374)),--('Category Dictionary'!$D$5:$D$135&lt;&gt;"")))</f>
        <v/>
      </c>
      <c r="L1374" s="27">
        <f>IF($A1374="","",TRIM(IF(ISERROR(FIND(",",$C1374)),$C1374,LEFT($C1374,FIND(",",$C1374)-1))))</f>
        <v/>
      </c>
      <c r="M1374" s="28">
        <f>IF($H1374="","",DATE(YEAR($H1374),MONTH($H1374),1))</f>
        <v/>
      </c>
      <c r="N1374" s="26">
        <f>IF($H1374="","",TODAY()-$H1374)</f>
        <v/>
      </c>
      <c r="O1374" s="15" t="n"/>
      <c r="P1374" s="15" t="n"/>
      <c r="Q1374" s="15" t="n"/>
      <c r="R1374" s="25" t="n"/>
      <c r="S1374" s="26">
        <f>IF($A1374="","",AND(OR('Assignment Builder'!$B$5="",$B1374='Assignment Builder'!$B$5),OR('Assignment Builder'!$B$6="",ISNUMBER(SEARCH('Assignment Builder'!$B$6,$C1374))),OR('Assignment Builder'!$B$7="",'Assignment Builder'!$B$7=IFERROR(INDEX('Category Dictionary'!$C$5:$C$135,MATCH($L1374,'Category Dictionary'!$D$5:$D$135,0)),"")),OR('Assignment Builder'!$B$8="",$D1374='Assignment Builder'!$B$8),OR('Assignment Builder'!$B$9="",$F1374='Assignment Builder'!$B$9),OR('Assignment Builder'!$B$10="",$O1374='Assignment Builder'!$B$10),OR('Assignment Builder'!$B$11="",$H1374&gt;='Assignment Builder'!$B$11),OR('Assignment Builder'!$B$12="",N($Q1374)&lt;='Assignment Builder'!$B$12)))</f>
        <v/>
      </c>
      <c r="T1374" s="23" t="n"/>
    </row>
    <row r="1375">
      <c r="A1375" s="23" t="n"/>
      <c r="B1375" s="23" t="n"/>
      <c r="C1375" s="24" t="n"/>
      <c r="D1375" s="15" t="n"/>
      <c r="E1375" s="23" t="n"/>
      <c r="F1375" s="15" t="n"/>
      <c r="G1375" s="23" t="n"/>
      <c r="H1375" s="25" t="n"/>
      <c r="I1375" s="15" t="n"/>
      <c r="J1375" s="26">
        <f>IF($A1375="","",LEN($C1375)-LEN(SUBSTITUTE($C1375,",",""))+1)</f>
        <v/>
      </c>
      <c r="K1375" s="26">
        <f>IF($A1375="","",SUMPRODUCT(--ISNUMBER(SEARCH('Category Dictionary'!$D$5:$D$135&amp;"",$C1375)),--('Category Dictionary'!$D$5:$D$135&lt;&gt;"")))</f>
        <v/>
      </c>
      <c r="L1375" s="27">
        <f>IF($A1375="","",TRIM(IF(ISERROR(FIND(",",$C1375)),$C1375,LEFT($C1375,FIND(",",$C1375)-1))))</f>
        <v/>
      </c>
      <c r="M1375" s="28">
        <f>IF($H1375="","",DATE(YEAR($H1375),MONTH($H1375),1))</f>
        <v/>
      </c>
      <c r="N1375" s="26">
        <f>IF($H1375="","",TODAY()-$H1375)</f>
        <v/>
      </c>
      <c r="O1375" s="15" t="n"/>
      <c r="P1375" s="15" t="n"/>
      <c r="Q1375" s="15" t="n"/>
      <c r="R1375" s="25" t="n"/>
      <c r="S1375" s="26">
        <f>IF($A1375="","",AND(OR('Assignment Builder'!$B$5="",$B1375='Assignment Builder'!$B$5),OR('Assignment Builder'!$B$6="",ISNUMBER(SEARCH('Assignment Builder'!$B$6,$C1375))),OR('Assignment Builder'!$B$7="",'Assignment Builder'!$B$7=IFERROR(INDEX('Category Dictionary'!$C$5:$C$135,MATCH($L1375,'Category Dictionary'!$D$5:$D$135,0)),"")),OR('Assignment Builder'!$B$8="",$D1375='Assignment Builder'!$B$8),OR('Assignment Builder'!$B$9="",$F1375='Assignment Builder'!$B$9),OR('Assignment Builder'!$B$10="",$O1375='Assignment Builder'!$B$10),OR('Assignment Builder'!$B$11="",$H1375&gt;='Assignment Builder'!$B$11),OR('Assignment Builder'!$B$12="",N($Q1375)&lt;='Assignment Builder'!$B$12)))</f>
        <v/>
      </c>
      <c r="T1375" s="23" t="n"/>
    </row>
    <row r="1376">
      <c r="A1376" s="23" t="n"/>
      <c r="B1376" s="23" t="n"/>
      <c r="C1376" s="24" t="n"/>
      <c r="D1376" s="15" t="n"/>
      <c r="E1376" s="23" t="n"/>
      <c r="F1376" s="15" t="n"/>
      <c r="G1376" s="23" t="n"/>
      <c r="H1376" s="25" t="n"/>
      <c r="I1376" s="15" t="n"/>
      <c r="J1376" s="26">
        <f>IF($A1376="","",LEN($C1376)-LEN(SUBSTITUTE($C1376,",",""))+1)</f>
        <v/>
      </c>
      <c r="K1376" s="26">
        <f>IF($A1376="","",SUMPRODUCT(--ISNUMBER(SEARCH('Category Dictionary'!$D$5:$D$135&amp;"",$C1376)),--('Category Dictionary'!$D$5:$D$135&lt;&gt;"")))</f>
        <v/>
      </c>
      <c r="L1376" s="27">
        <f>IF($A1376="","",TRIM(IF(ISERROR(FIND(",",$C1376)),$C1376,LEFT($C1376,FIND(",",$C1376)-1))))</f>
        <v/>
      </c>
      <c r="M1376" s="28">
        <f>IF($H1376="","",DATE(YEAR($H1376),MONTH($H1376),1))</f>
        <v/>
      </c>
      <c r="N1376" s="26">
        <f>IF($H1376="","",TODAY()-$H1376)</f>
        <v/>
      </c>
      <c r="O1376" s="15" t="n"/>
      <c r="P1376" s="15" t="n"/>
      <c r="Q1376" s="15" t="n"/>
      <c r="R1376" s="25" t="n"/>
      <c r="S1376" s="26">
        <f>IF($A1376="","",AND(OR('Assignment Builder'!$B$5="",$B1376='Assignment Builder'!$B$5),OR('Assignment Builder'!$B$6="",ISNUMBER(SEARCH('Assignment Builder'!$B$6,$C1376))),OR('Assignment Builder'!$B$7="",'Assignment Builder'!$B$7=IFERROR(INDEX('Category Dictionary'!$C$5:$C$135,MATCH($L1376,'Category Dictionary'!$D$5:$D$135,0)),"")),OR('Assignment Builder'!$B$8="",$D1376='Assignment Builder'!$B$8),OR('Assignment Builder'!$B$9="",$F1376='Assignment Builder'!$B$9),OR('Assignment Builder'!$B$10="",$O1376='Assignment Builder'!$B$10),OR('Assignment Builder'!$B$11="",$H1376&gt;='Assignment Builder'!$B$11),OR('Assignment Builder'!$B$12="",N($Q1376)&lt;='Assignment Builder'!$B$12)))</f>
        <v/>
      </c>
      <c r="T1376" s="23" t="n"/>
    </row>
    <row r="1377">
      <c r="A1377" s="23" t="n"/>
      <c r="B1377" s="23" t="n"/>
      <c r="C1377" s="24" t="n"/>
      <c r="D1377" s="15" t="n"/>
      <c r="E1377" s="23" t="n"/>
      <c r="F1377" s="15" t="n"/>
      <c r="G1377" s="23" t="n"/>
      <c r="H1377" s="25" t="n"/>
      <c r="I1377" s="15" t="n"/>
      <c r="J1377" s="26">
        <f>IF($A1377="","",LEN($C1377)-LEN(SUBSTITUTE($C1377,",",""))+1)</f>
        <v/>
      </c>
      <c r="K1377" s="26">
        <f>IF($A1377="","",SUMPRODUCT(--ISNUMBER(SEARCH('Category Dictionary'!$D$5:$D$135&amp;"",$C1377)),--('Category Dictionary'!$D$5:$D$135&lt;&gt;"")))</f>
        <v/>
      </c>
      <c r="L1377" s="27">
        <f>IF($A1377="","",TRIM(IF(ISERROR(FIND(",",$C1377)),$C1377,LEFT($C1377,FIND(",",$C1377)-1))))</f>
        <v/>
      </c>
      <c r="M1377" s="28">
        <f>IF($H1377="","",DATE(YEAR($H1377),MONTH($H1377),1))</f>
        <v/>
      </c>
      <c r="N1377" s="26">
        <f>IF($H1377="","",TODAY()-$H1377)</f>
        <v/>
      </c>
      <c r="O1377" s="15" t="n"/>
      <c r="P1377" s="15" t="n"/>
      <c r="Q1377" s="15" t="n"/>
      <c r="R1377" s="25" t="n"/>
      <c r="S1377" s="26">
        <f>IF($A1377="","",AND(OR('Assignment Builder'!$B$5="",$B1377='Assignment Builder'!$B$5),OR('Assignment Builder'!$B$6="",ISNUMBER(SEARCH('Assignment Builder'!$B$6,$C1377))),OR('Assignment Builder'!$B$7="",'Assignment Builder'!$B$7=IFERROR(INDEX('Category Dictionary'!$C$5:$C$135,MATCH($L1377,'Category Dictionary'!$D$5:$D$135,0)),"")),OR('Assignment Builder'!$B$8="",$D1377='Assignment Builder'!$B$8),OR('Assignment Builder'!$B$9="",$F1377='Assignment Builder'!$B$9),OR('Assignment Builder'!$B$10="",$O1377='Assignment Builder'!$B$10),OR('Assignment Builder'!$B$11="",$H1377&gt;='Assignment Builder'!$B$11),OR('Assignment Builder'!$B$12="",N($Q1377)&lt;='Assignment Builder'!$B$12)))</f>
        <v/>
      </c>
      <c r="T1377" s="23" t="n"/>
    </row>
    <row r="1378">
      <c r="A1378" s="23" t="n"/>
      <c r="B1378" s="23" t="n"/>
      <c r="C1378" s="24" t="n"/>
      <c r="D1378" s="15" t="n"/>
      <c r="E1378" s="23" t="n"/>
      <c r="F1378" s="15" t="n"/>
      <c r="G1378" s="23" t="n"/>
      <c r="H1378" s="25" t="n"/>
      <c r="I1378" s="15" t="n"/>
      <c r="J1378" s="26">
        <f>IF($A1378="","",LEN($C1378)-LEN(SUBSTITUTE($C1378,",",""))+1)</f>
        <v/>
      </c>
      <c r="K1378" s="26">
        <f>IF($A1378="","",SUMPRODUCT(--ISNUMBER(SEARCH('Category Dictionary'!$D$5:$D$135&amp;"",$C1378)),--('Category Dictionary'!$D$5:$D$135&lt;&gt;"")))</f>
        <v/>
      </c>
      <c r="L1378" s="27">
        <f>IF($A1378="","",TRIM(IF(ISERROR(FIND(",",$C1378)),$C1378,LEFT($C1378,FIND(",",$C1378)-1))))</f>
        <v/>
      </c>
      <c r="M1378" s="28">
        <f>IF($H1378="","",DATE(YEAR($H1378),MONTH($H1378),1))</f>
        <v/>
      </c>
      <c r="N1378" s="26">
        <f>IF($H1378="","",TODAY()-$H1378)</f>
        <v/>
      </c>
      <c r="O1378" s="15" t="n"/>
      <c r="P1378" s="15" t="n"/>
      <c r="Q1378" s="15" t="n"/>
      <c r="R1378" s="25" t="n"/>
      <c r="S1378" s="26">
        <f>IF($A1378="","",AND(OR('Assignment Builder'!$B$5="",$B1378='Assignment Builder'!$B$5),OR('Assignment Builder'!$B$6="",ISNUMBER(SEARCH('Assignment Builder'!$B$6,$C1378))),OR('Assignment Builder'!$B$7="",'Assignment Builder'!$B$7=IFERROR(INDEX('Category Dictionary'!$C$5:$C$135,MATCH($L1378,'Category Dictionary'!$D$5:$D$135,0)),"")),OR('Assignment Builder'!$B$8="",$D1378='Assignment Builder'!$B$8),OR('Assignment Builder'!$B$9="",$F1378='Assignment Builder'!$B$9),OR('Assignment Builder'!$B$10="",$O1378='Assignment Builder'!$B$10),OR('Assignment Builder'!$B$11="",$H1378&gt;='Assignment Builder'!$B$11),OR('Assignment Builder'!$B$12="",N($Q1378)&lt;='Assignment Builder'!$B$12)))</f>
        <v/>
      </c>
      <c r="T1378" s="23" t="n"/>
    </row>
    <row r="1379">
      <c r="A1379" s="23" t="n"/>
      <c r="B1379" s="23" t="n"/>
      <c r="C1379" s="24" t="n"/>
      <c r="D1379" s="15" t="n"/>
      <c r="E1379" s="23" t="n"/>
      <c r="F1379" s="15" t="n"/>
      <c r="G1379" s="23" t="n"/>
      <c r="H1379" s="25" t="n"/>
      <c r="I1379" s="15" t="n"/>
      <c r="J1379" s="26">
        <f>IF($A1379="","",LEN($C1379)-LEN(SUBSTITUTE($C1379,",",""))+1)</f>
        <v/>
      </c>
      <c r="K1379" s="26">
        <f>IF($A1379="","",SUMPRODUCT(--ISNUMBER(SEARCH('Category Dictionary'!$D$5:$D$135&amp;"",$C1379)),--('Category Dictionary'!$D$5:$D$135&lt;&gt;"")))</f>
        <v/>
      </c>
      <c r="L1379" s="27">
        <f>IF($A1379="","",TRIM(IF(ISERROR(FIND(",",$C1379)),$C1379,LEFT($C1379,FIND(",",$C1379)-1))))</f>
        <v/>
      </c>
      <c r="M1379" s="28">
        <f>IF($H1379="","",DATE(YEAR($H1379),MONTH($H1379),1))</f>
        <v/>
      </c>
      <c r="N1379" s="26">
        <f>IF($H1379="","",TODAY()-$H1379)</f>
        <v/>
      </c>
      <c r="O1379" s="15" t="n"/>
      <c r="P1379" s="15" t="n"/>
      <c r="Q1379" s="15" t="n"/>
      <c r="R1379" s="25" t="n"/>
      <c r="S1379" s="26">
        <f>IF($A1379="","",AND(OR('Assignment Builder'!$B$5="",$B1379='Assignment Builder'!$B$5),OR('Assignment Builder'!$B$6="",ISNUMBER(SEARCH('Assignment Builder'!$B$6,$C1379))),OR('Assignment Builder'!$B$7="",'Assignment Builder'!$B$7=IFERROR(INDEX('Category Dictionary'!$C$5:$C$135,MATCH($L1379,'Category Dictionary'!$D$5:$D$135,0)),"")),OR('Assignment Builder'!$B$8="",$D1379='Assignment Builder'!$B$8),OR('Assignment Builder'!$B$9="",$F1379='Assignment Builder'!$B$9),OR('Assignment Builder'!$B$10="",$O1379='Assignment Builder'!$B$10),OR('Assignment Builder'!$B$11="",$H1379&gt;='Assignment Builder'!$B$11),OR('Assignment Builder'!$B$12="",N($Q1379)&lt;='Assignment Builder'!$B$12)))</f>
        <v/>
      </c>
      <c r="T1379" s="23" t="n"/>
    </row>
    <row r="1380">
      <c r="A1380" s="23" t="n"/>
      <c r="B1380" s="23" t="n"/>
      <c r="C1380" s="24" t="n"/>
      <c r="D1380" s="15" t="n"/>
      <c r="E1380" s="23" t="n"/>
      <c r="F1380" s="15" t="n"/>
      <c r="G1380" s="23" t="n"/>
      <c r="H1380" s="25" t="n"/>
      <c r="I1380" s="15" t="n"/>
      <c r="J1380" s="26">
        <f>IF($A1380="","",LEN($C1380)-LEN(SUBSTITUTE($C1380,",",""))+1)</f>
        <v/>
      </c>
      <c r="K1380" s="26">
        <f>IF($A1380="","",SUMPRODUCT(--ISNUMBER(SEARCH('Category Dictionary'!$D$5:$D$135&amp;"",$C1380)),--('Category Dictionary'!$D$5:$D$135&lt;&gt;"")))</f>
        <v/>
      </c>
      <c r="L1380" s="27">
        <f>IF($A1380="","",TRIM(IF(ISERROR(FIND(",",$C1380)),$C1380,LEFT($C1380,FIND(",",$C1380)-1))))</f>
        <v/>
      </c>
      <c r="M1380" s="28">
        <f>IF($H1380="","",DATE(YEAR($H1380),MONTH($H1380),1))</f>
        <v/>
      </c>
      <c r="N1380" s="26">
        <f>IF($H1380="","",TODAY()-$H1380)</f>
        <v/>
      </c>
      <c r="O1380" s="15" t="n"/>
      <c r="P1380" s="15" t="n"/>
      <c r="Q1380" s="15" t="n"/>
      <c r="R1380" s="25" t="n"/>
      <c r="S1380" s="26">
        <f>IF($A1380="","",AND(OR('Assignment Builder'!$B$5="",$B1380='Assignment Builder'!$B$5),OR('Assignment Builder'!$B$6="",ISNUMBER(SEARCH('Assignment Builder'!$B$6,$C1380))),OR('Assignment Builder'!$B$7="",'Assignment Builder'!$B$7=IFERROR(INDEX('Category Dictionary'!$C$5:$C$135,MATCH($L1380,'Category Dictionary'!$D$5:$D$135,0)),"")),OR('Assignment Builder'!$B$8="",$D1380='Assignment Builder'!$B$8),OR('Assignment Builder'!$B$9="",$F1380='Assignment Builder'!$B$9),OR('Assignment Builder'!$B$10="",$O1380='Assignment Builder'!$B$10),OR('Assignment Builder'!$B$11="",$H1380&gt;='Assignment Builder'!$B$11),OR('Assignment Builder'!$B$12="",N($Q1380)&lt;='Assignment Builder'!$B$12)))</f>
        <v/>
      </c>
      <c r="T1380" s="23" t="n"/>
    </row>
    <row r="1381">
      <c r="A1381" s="23" t="n"/>
      <c r="B1381" s="23" t="n"/>
      <c r="C1381" s="24" t="n"/>
      <c r="D1381" s="15" t="n"/>
      <c r="E1381" s="23" t="n"/>
      <c r="F1381" s="15" t="n"/>
      <c r="G1381" s="23" t="n"/>
      <c r="H1381" s="25" t="n"/>
      <c r="I1381" s="15" t="n"/>
      <c r="J1381" s="26">
        <f>IF($A1381="","",LEN($C1381)-LEN(SUBSTITUTE($C1381,",",""))+1)</f>
        <v/>
      </c>
      <c r="K1381" s="26">
        <f>IF($A1381="","",SUMPRODUCT(--ISNUMBER(SEARCH('Category Dictionary'!$D$5:$D$135&amp;"",$C1381)),--('Category Dictionary'!$D$5:$D$135&lt;&gt;"")))</f>
        <v/>
      </c>
      <c r="L1381" s="27">
        <f>IF($A1381="","",TRIM(IF(ISERROR(FIND(",",$C1381)),$C1381,LEFT($C1381,FIND(",",$C1381)-1))))</f>
        <v/>
      </c>
      <c r="M1381" s="28">
        <f>IF($H1381="","",DATE(YEAR($H1381),MONTH($H1381),1))</f>
        <v/>
      </c>
      <c r="N1381" s="26">
        <f>IF($H1381="","",TODAY()-$H1381)</f>
        <v/>
      </c>
      <c r="O1381" s="15" t="n"/>
      <c r="P1381" s="15" t="n"/>
      <c r="Q1381" s="15" t="n"/>
      <c r="R1381" s="25" t="n"/>
      <c r="S1381" s="26">
        <f>IF($A1381="","",AND(OR('Assignment Builder'!$B$5="",$B1381='Assignment Builder'!$B$5),OR('Assignment Builder'!$B$6="",ISNUMBER(SEARCH('Assignment Builder'!$B$6,$C1381))),OR('Assignment Builder'!$B$7="",'Assignment Builder'!$B$7=IFERROR(INDEX('Category Dictionary'!$C$5:$C$135,MATCH($L1381,'Category Dictionary'!$D$5:$D$135,0)),"")),OR('Assignment Builder'!$B$8="",$D1381='Assignment Builder'!$B$8),OR('Assignment Builder'!$B$9="",$F1381='Assignment Builder'!$B$9),OR('Assignment Builder'!$B$10="",$O1381='Assignment Builder'!$B$10),OR('Assignment Builder'!$B$11="",$H1381&gt;='Assignment Builder'!$B$11),OR('Assignment Builder'!$B$12="",N($Q1381)&lt;='Assignment Builder'!$B$12)))</f>
        <v/>
      </c>
      <c r="T1381" s="23" t="n"/>
    </row>
    <row r="1382">
      <c r="A1382" s="23" t="n"/>
      <c r="B1382" s="23" t="n"/>
      <c r="C1382" s="24" t="n"/>
      <c r="D1382" s="15" t="n"/>
      <c r="E1382" s="23" t="n"/>
      <c r="F1382" s="15" t="n"/>
      <c r="G1382" s="23" t="n"/>
      <c r="H1382" s="25" t="n"/>
      <c r="I1382" s="15" t="n"/>
      <c r="J1382" s="26">
        <f>IF($A1382="","",LEN($C1382)-LEN(SUBSTITUTE($C1382,",",""))+1)</f>
        <v/>
      </c>
      <c r="K1382" s="26">
        <f>IF($A1382="","",SUMPRODUCT(--ISNUMBER(SEARCH('Category Dictionary'!$D$5:$D$135&amp;"",$C1382)),--('Category Dictionary'!$D$5:$D$135&lt;&gt;"")))</f>
        <v/>
      </c>
      <c r="L1382" s="27">
        <f>IF($A1382="","",TRIM(IF(ISERROR(FIND(",",$C1382)),$C1382,LEFT($C1382,FIND(",",$C1382)-1))))</f>
        <v/>
      </c>
      <c r="M1382" s="28">
        <f>IF($H1382="","",DATE(YEAR($H1382),MONTH($H1382),1))</f>
        <v/>
      </c>
      <c r="N1382" s="26">
        <f>IF($H1382="","",TODAY()-$H1382)</f>
        <v/>
      </c>
      <c r="O1382" s="15" t="n"/>
      <c r="P1382" s="15" t="n"/>
      <c r="Q1382" s="15" t="n"/>
      <c r="R1382" s="25" t="n"/>
      <c r="S1382" s="26">
        <f>IF($A1382="","",AND(OR('Assignment Builder'!$B$5="",$B1382='Assignment Builder'!$B$5),OR('Assignment Builder'!$B$6="",ISNUMBER(SEARCH('Assignment Builder'!$B$6,$C1382))),OR('Assignment Builder'!$B$7="",'Assignment Builder'!$B$7=IFERROR(INDEX('Category Dictionary'!$C$5:$C$135,MATCH($L1382,'Category Dictionary'!$D$5:$D$135,0)),"")),OR('Assignment Builder'!$B$8="",$D1382='Assignment Builder'!$B$8),OR('Assignment Builder'!$B$9="",$F1382='Assignment Builder'!$B$9),OR('Assignment Builder'!$B$10="",$O1382='Assignment Builder'!$B$10),OR('Assignment Builder'!$B$11="",$H1382&gt;='Assignment Builder'!$B$11),OR('Assignment Builder'!$B$12="",N($Q1382)&lt;='Assignment Builder'!$B$12)))</f>
        <v/>
      </c>
      <c r="T1382" s="23" t="n"/>
    </row>
    <row r="1383">
      <c r="A1383" s="23" t="n"/>
      <c r="B1383" s="23" t="n"/>
      <c r="C1383" s="24" t="n"/>
      <c r="D1383" s="15" t="n"/>
      <c r="E1383" s="23" t="n"/>
      <c r="F1383" s="15" t="n"/>
      <c r="G1383" s="23" t="n"/>
      <c r="H1383" s="25" t="n"/>
      <c r="I1383" s="15" t="n"/>
      <c r="J1383" s="26">
        <f>IF($A1383="","",LEN($C1383)-LEN(SUBSTITUTE($C1383,",",""))+1)</f>
        <v/>
      </c>
      <c r="K1383" s="26">
        <f>IF($A1383="","",SUMPRODUCT(--ISNUMBER(SEARCH('Category Dictionary'!$D$5:$D$135&amp;"",$C1383)),--('Category Dictionary'!$D$5:$D$135&lt;&gt;"")))</f>
        <v/>
      </c>
      <c r="L1383" s="27">
        <f>IF($A1383="","",TRIM(IF(ISERROR(FIND(",",$C1383)),$C1383,LEFT($C1383,FIND(",",$C1383)-1))))</f>
        <v/>
      </c>
      <c r="M1383" s="28">
        <f>IF($H1383="","",DATE(YEAR($H1383),MONTH($H1383),1))</f>
        <v/>
      </c>
      <c r="N1383" s="26">
        <f>IF($H1383="","",TODAY()-$H1383)</f>
        <v/>
      </c>
      <c r="O1383" s="15" t="n"/>
      <c r="P1383" s="15" t="n"/>
      <c r="Q1383" s="15" t="n"/>
      <c r="R1383" s="25" t="n"/>
      <c r="S1383" s="26">
        <f>IF($A1383="","",AND(OR('Assignment Builder'!$B$5="",$B1383='Assignment Builder'!$B$5),OR('Assignment Builder'!$B$6="",ISNUMBER(SEARCH('Assignment Builder'!$B$6,$C1383))),OR('Assignment Builder'!$B$7="",'Assignment Builder'!$B$7=IFERROR(INDEX('Category Dictionary'!$C$5:$C$135,MATCH($L1383,'Category Dictionary'!$D$5:$D$135,0)),"")),OR('Assignment Builder'!$B$8="",$D1383='Assignment Builder'!$B$8),OR('Assignment Builder'!$B$9="",$F1383='Assignment Builder'!$B$9),OR('Assignment Builder'!$B$10="",$O1383='Assignment Builder'!$B$10),OR('Assignment Builder'!$B$11="",$H1383&gt;='Assignment Builder'!$B$11),OR('Assignment Builder'!$B$12="",N($Q1383)&lt;='Assignment Builder'!$B$12)))</f>
        <v/>
      </c>
      <c r="T1383" s="23" t="n"/>
    </row>
    <row r="1384">
      <c r="A1384" s="23" t="n"/>
      <c r="B1384" s="23" t="n"/>
      <c r="C1384" s="24" t="n"/>
      <c r="D1384" s="15" t="n"/>
      <c r="E1384" s="23" t="n"/>
      <c r="F1384" s="15" t="n"/>
      <c r="G1384" s="23" t="n"/>
      <c r="H1384" s="25" t="n"/>
      <c r="I1384" s="15" t="n"/>
      <c r="J1384" s="26">
        <f>IF($A1384="","",LEN($C1384)-LEN(SUBSTITUTE($C1384,",",""))+1)</f>
        <v/>
      </c>
      <c r="K1384" s="26">
        <f>IF($A1384="","",SUMPRODUCT(--ISNUMBER(SEARCH('Category Dictionary'!$D$5:$D$135&amp;"",$C1384)),--('Category Dictionary'!$D$5:$D$135&lt;&gt;"")))</f>
        <v/>
      </c>
      <c r="L1384" s="27">
        <f>IF($A1384="","",TRIM(IF(ISERROR(FIND(",",$C1384)),$C1384,LEFT($C1384,FIND(",",$C1384)-1))))</f>
        <v/>
      </c>
      <c r="M1384" s="28">
        <f>IF($H1384="","",DATE(YEAR($H1384),MONTH($H1384),1))</f>
        <v/>
      </c>
      <c r="N1384" s="26">
        <f>IF($H1384="","",TODAY()-$H1384)</f>
        <v/>
      </c>
      <c r="O1384" s="15" t="n"/>
      <c r="P1384" s="15" t="n"/>
      <c r="Q1384" s="15" t="n"/>
      <c r="R1384" s="25" t="n"/>
      <c r="S1384" s="26">
        <f>IF($A1384="","",AND(OR('Assignment Builder'!$B$5="",$B1384='Assignment Builder'!$B$5),OR('Assignment Builder'!$B$6="",ISNUMBER(SEARCH('Assignment Builder'!$B$6,$C1384))),OR('Assignment Builder'!$B$7="",'Assignment Builder'!$B$7=IFERROR(INDEX('Category Dictionary'!$C$5:$C$135,MATCH($L1384,'Category Dictionary'!$D$5:$D$135,0)),"")),OR('Assignment Builder'!$B$8="",$D1384='Assignment Builder'!$B$8),OR('Assignment Builder'!$B$9="",$F1384='Assignment Builder'!$B$9),OR('Assignment Builder'!$B$10="",$O1384='Assignment Builder'!$B$10),OR('Assignment Builder'!$B$11="",$H1384&gt;='Assignment Builder'!$B$11),OR('Assignment Builder'!$B$12="",N($Q1384)&lt;='Assignment Builder'!$B$12)))</f>
        <v/>
      </c>
      <c r="T1384" s="23" t="n"/>
    </row>
    <row r="1385">
      <c r="A1385" s="23" t="n"/>
      <c r="B1385" s="23" t="n"/>
      <c r="C1385" s="24" t="n"/>
      <c r="D1385" s="15" t="n"/>
      <c r="E1385" s="23" t="n"/>
      <c r="F1385" s="15" t="n"/>
      <c r="G1385" s="23" t="n"/>
      <c r="H1385" s="25" t="n"/>
      <c r="I1385" s="15" t="n"/>
      <c r="J1385" s="26">
        <f>IF($A1385="","",LEN($C1385)-LEN(SUBSTITUTE($C1385,",",""))+1)</f>
        <v/>
      </c>
      <c r="K1385" s="26">
        <f>IF($A1385="","",SUMPRODUCT(--ISNUMBER(SEARCH('Category Dictionary'!$D$5:$D$135&amp;"",$C1385)),--('Category Dictionary'!$D$5:$D$135&lt;&gt;"")))</f>
        <v/>
      </c>
      <c r="L1385" s="27">
        <f>IF($A1385="","",TRIM(IF(ISERROR(FIND(",",$C1385)),$C1385,LEFT($C1385,FIND(",",$C1385)-1))))</f>
        <v/>
      </c>
      <c r="M1385" s="28">
        <f>IF($H1385="","",DATE(YEAR($H1385),MONTH($H1385),1))</f>
        <v/>
      </c>
      <c r="N1385" s="26">
        <f>IF($H1385="","",TODAY()-$H1385)</f>
        <v/>
      </c>
      <c r="O1385" s="15" t="n"/>
      <c r="P1385" s="15" t="n"/>
      <c r="Q1385" s="15" t="n"/>
      <c r="R1385" s="25" t="n"/>
      <c r="S1385" s="26">
        <f>IF($A1385="","",AND(OR('Assignment Builder'!$B$5="",$B1385='Assignment Builder'!$B$5),OR('Assignment Builder'!$B$6="",ISNUMBER(SEARCH('Assignment Builder'!$B$6,$C1385))),OR('Assignment Builder'!$B$7="",'Assignment Builder'!$B$7=IFERROR(INDEX('Category Dictionary'!$C$5:$C$135,MATCH($L1385,'Category Dictionary'!$D$5:$D$135,0)),"")),OR('Assignment Builder'!$B$8="",$D1385='Assignment Builder'!$B$8),OR('Assignment Builder'!$B$9="",$F1385='Assignment Builder'!$B$9),OR('Assignment Builder'!$B$10="",$O1385='Assignment Builder'!$B$10),OR('Assignment Builder'!$B$11="",$H1385&gt;='Assignment Builder'!$B$11),OR('Assignment Builder'!$B$12="",N($Q1385)&lt;='Assignment Builder'!$B$12)))</f>
        <v/>
      </c>
      <c r="T1385" s="23" t="n"/>
    </row>
    <row r="1386">
      <c r="A1386" s="23" t="n"/>
      <c r="B1386" s="23" t="n"/>
      <c r="C1386" s="24" t="n"/>
      <c r="D1386" s="15" t="n"/>
      <c r="E1386" s="23" t="n"/>
      <c r="F1386" s="15" t="n"/>
      <c r="G1386" s="23" t="n"/>
      <c r="H1386" s="25" t="n"/>
      <c r="I1386" s="15" t="n"/>
      <c r="J1386" s="26">
        <f>IF($A1386="","",LEN($C1386)-LEN(SUBSTITUTE($C1386,",",""))+1)</f>
        <v/>
      </c>
      <c r="K1386" s="26">
        <f>IF($A1386="","",SUMPRODUCT(--ISNUMBER(SEARCH('Category Dictionary'!$D$5:$D$135&amp;"",$C1386)),--('Category Dictionary'!$D$5:$D$135&lt;&gt;"")))</f>
        <v/>
      </c>
      <c r="L1386" s="27">
        <f>IF($A1386="","",TRIM(IF(ISERROR(FIND(",",$C1386)),$C1386,LEFT($C1386,FIND(",",$C1386)-1))))</f>
        <v/>
      </c>
      <c r="M1386" s="28">
        <f>IF($H1386="","",DATE(YEAR($H1386),MONTH($H1386),1))</f>
        <v/>
      </c>
      <c r="N1386" s="26">
        <f>IF($H1386="","",TODAY()-$H1386)</f>
        <v/>
      </c>
      <c r="O1386" s="15" t="n"/>
      <c r="P1386" s="15" t="n"/>
      <c r="Q1386" s="15" t="n"/>
      <c r="R1386" s="25" t="n"/>
      <c r="S1386" s="26">
        <f>IF($A1386="","",AND(OR('Assignment Builder'!$B$5="",$B1386='Assignment Builder'!$B$5),OR('Assignment Builder'!$B$6="",ISNUMBER(SEARCH('Assignment Builder'!$B$6,$C1386))),OR('Assignment Builder'!$B$7="",'Assignment Builder'!$B$7=IFERROR(INDEX('Category Dictionary'!$C$5:$C$135,MATCH($L1386,'Category Dictionary'!$D$5:$D$135,0)),"")),OR('Assignment Builder'!$B$8="",$D1386='Assignment Builder'!$B$8),OR('Assignment Builder'!$B$9="",$F1386='Assignment Builder'!$B$9),OR('Assignment Builder'!$B$10="",$O1386='Assignment Builder'!$B$10),OR('Assignment Builder'!$B$11="",$H1386&gt;='Assignment Builder'!$B$11),OR('Assignment Builder'!$B$12="",N($Q1386)&lt;='Assignment Builder'!$B$12)))</f>
        <v/>
      </c>
      <c r="T1386" s="23" t="n"/>
    </row>
    <row r="1387">
      <c r="A1387" s="23" t="n"/>
      <c r="B1387" s="23" t="n"/>
      <c r="C1387" s="24" t="n"/>
      <c r="D1387" s="15" t="n"/>
      <c r="E1387" s="23" t="n"/>
      <c r="F1387" s="15" t="n"/>
      <c r="G1387" s="23" t="n"/>
      <c r="H1387" s="25" t="n"/>
      <c r="I1387" s="15" t="n"/>
      <c r="J1387" s="26">
        <f>IF($A1387="","",LEN($C1387)-LEN(SUBSTITUTE($C1387,",",""))+1)</f>
        <v/>
      </c>
      <c r="K1387" s="26">
        <f>IF($A1387="","",SUMPRODUCT(--ISNUMBER(SEARCH('Category Dictionary'!$D$5:$D$135&amp;"",$C1387)),--('Category Dictionary'!$D$5:$D$135&lt;&gt;"")))</f>
        <v/>
      </c>
      <c r="L1387" s="27">
        <f>IF($A1387="","",TRIM(IF(ISERROR(FIND(",",$C1387)),$C1387,LEFT($C1387,FIND(",",$C1387)-1))))</f>
        <v/>
      </c>
      <c r="M1387" s="28">
        <f>IF($H1387="","",DATE(YEAR($H1387),MONTH($H1387),1))</f>
        <v/>
      </c>
      <c r="N1387" s="26">
        <f>IF($H1387="","",TODAY()-$H1387)</f>
        <v/>
      </c>
      <c r="O1387" s="15" t="n"/>
      <c r="P1387" s="15" t="n"/>
      <c r="Q1387" s="15" t="n"/>
      <c r="R1387" s="25" t="n"/>
      <c r="S1387" s="26">
        <f>IF($A1387="","",AND(OR('Assignment Builder'!$B$5="",$B1387='Assignment Builder'!$B$5),OR('Assignment Builder'!$B$6="",ISNUMBER(SEARCH('Assignment Builder'!$B$6,$C1387))),OR('Assignment Builder'!$B$7="",'Assignment Builder'!$B$7=IFERROR(INDEX('Category Dictionary'!$C$5:$C$135,MATCH($L1387,'Category Dictionary'!$D$5:$D$135,0)),"")),OR('Assignment Builder'!$B$8="",$D1387='Assignment Builder'!$B$8),OR('Assignment Builder'!$B$9="",$F1387='Assignment Builder'!$B$9),OR('Assignment Builder'!$B$10="",$O1387='Assignment Builder'!$B$10),OR('Assignment Builder'!$B$11="",$H1387&gt;='Assignment Builder'!$B$11),OR('Assignment Builder'!$B$12="",N($Q1387)&lt;='Assignment Builder'!$B$12)))</f>
        <v/>
      </c>
      <c r="T1387" s="23" t="n"/>
    </row>
    <row r="1388">
      <c r="A1388" s="23" t="n"/>
      <c r="B1388" s="23" t="n"/>
      <c r="C1388" s="24" t="n"/>
      <c r="D1388" s="15" t="n"/>
      <c r="E1388" s="23" t="n"/>
      <c r="F1388" s="15" t="n"/>
      <c r="G1388" s="23" t="n"/>
      <c r="H1388" s="25" t="n"/>
      <c r="I1388" s="15" t="n"/>
      <c r="J1388" s="26">
        <f>IF($A1388="","",LEN($C1388)-LEN(SUBSTITUTE($C1388,",",""))+1)</f>
        <v/>
      </c>
      <c r="K1388" s="26">
        <f>IF($A1388="","",SUMPRODUCT(--ISNUMBER(SEARCH('Category Dictionary'!$D$5:$D$135&amp;"",$C1388)),--('Category Dictionary'!$D$5:$D$135&lt;&gt;"")))</f>
        <v/>
      </c>
      <c r="L1388" s="27">
        <f>IF($A1388="","",TRIM(IF(ISERROR(FIND(",",$C1388)),$C1388,LEFT($C1388,FIND(",",$C1388)-1))))</f>
        <v/>
      </c>
      <c r="M1388" s="28">
        <f>IF($H1388="","",DATE(YEAR($H1388),MONTH($H1388),1))</f>
        <v/>
      </c>
      <c r="N1388" s="26">
        <f>IF($H1388="","",TODAY()-$H1388)</f>
        <v/>
      </c>
      <c r="O1388" s="15" t="n"/>
      <c r="P1388" s="15" t="n"/>
      <c r="Q1388" s="15" t="n"/>
      <c r="R1388" s="25" t="n"/>
      <c r="S1388" s="26">
        <f>IF($A1388="","",AND(OR('Assignment Builder'!$B$5="",$B1388='Assignment Builder'!$B$5),OR('Assignment Builder'!$B$6="",ISNUMBER(SEARCH('Assignment Builder'!$B$6,$C1388))),OR('Assignment Builder'!$B$7="",'Assignment Builder'!$B$7=IFERROR(INDEX('Category Dictionary'!$C$5:$C$135,MATCH($L1388,'Category Dictionary'!$D$5:$D$135,0)),"")),OR('Assignment Builder'!$B$8="",$D1388='Assignment Builder'!$B$8),OR('Assignment Builder'!$B$9="",$F1388='Assignment Builder'!$B$9),OR('Assignment Builder'!$B$10="",$O1388='Assignment Builder'!$B$10),OR('Assignment Builder'!$B$11="",$H1388&gt;='Assignment Builder'!$B$11),OR('Assignment Builder'!$B$12="",N($Q1388)&lt;='Assignment Builder'!$B$12)))</f>
        <v/>
      </c>
      <c r="T1388" s="23" t="n"/>
    </row>
    <row r="1389">
      <c r="A1389" s="23" t="n"/>
      <c r="B1389" s="23" t="n"/>
      <c r="C1389" s="24" t="n"/>
      <c r="D1389" s="15" t="n"/>
      <c r="E1389" s="23" t="n"/>
      <c r="F1389" s="15" t="n"/>
      <c r="G1389" s="23" t="n"/>
      <c r="H1389" s="25" t="n"/>
      <c r="I1389" s="15" t="n"/>
      <c r="J1389" s="26">
        <f>IF($A1389="","",LEN($C1389)-LEN(SUBSTITUTE($C1389,",",""))+1)</f>
        <v/>
      </c>
      <c r="K1389" s="26">
        <f>IF($A1389="","",SUMPRODUCT(--ISNUMBER(SEARCH('Category Dictionary'!$D$5:$D$135&amp;"",$C1389)),--('Category Dictionary'!$D$5:$D$135&lt;&gt;"")))</f>
        <v/>
      </c>
      <c r="L1389" s="27">
        <f>IF($A1389="","",TRIM(IF(ISERROR(FIND(",",$C1389)),$C1389,LEFT($C1389,FIND(",",$C1389)-1))))</f>
        <v/>
      </c>
      <c r="M1389" s="28">
        <f>IF($H1389="","",DATE(YEAR($H1389),MONTH($H1389),1))</f>
        <v/>
      </c>
      <c r="N1389" s="26">
        <f>IF($H1389="","",TODAY()-$H1389)</f>
        <v/>
      </c>
      <c r="O1389" s="15" t="n"/>
      <c r="P1389" s="15" t="n"/>
      <c r="Q1389" s="15" t="n"/>
      <c r="R1389" s="25" t="n"/>
      <c r="S1389" s="26">
        <f>IF($A1389="","",AND(OR('Assignment Builder'!$B$5="",$B1389='Assignment Builder'!$B$5),OR('Assignment Builder'!$B$6="",ISNUMBER(SEARCH('Assignment Builder'!$B$6,$C1389))),OR('Assignment Builder'!$B$7="",'Assignment Builder'!$B$7=IFERROR(INDEX('Category Dictionary'!$C$5:$C$135,MATCH($L1389,'Category Dictionary'!$D$5:$D$135,0)),"")),OR('Assignment Builder'!$B$8="",$D1389='Assignment Builder'!$B$8),OR('Assignment Builder'!$B$9="",$F1389='Assignment Builder'!$B$9),OR('Assignment Builder'!$B$10="",$O1389='Assignment Builder'!$B$10),OR('Assignment Builder'!$B$11="",$H1389&gt;='Assignment Builder'!$B$11),OR('Assignment Builder'!$B$12="",N($Q1389)&lt;='Assignment Builder'!$B$12)))</f>
        <v/>
      </c>
      <c r="T1389" s="23" t="n"/>
    </row>
    <row r="1390">
      <c r="A1390" s="23" t="n"/>
      <c r="B1390" s="23" t="n"/>
      <c r="C1390" s="24" t="n"/>
      <c r="D1390" s="15" t="n"/>
      <c r="E1390" s="23" t="n"/>
      <c r="F1390" s="15" t="n"/>
      <c r="G1390" s="23" t="n"/>
      <c r="H1390" s="25" t="n"/>
      <c r="I1390" s="15" t="n"/>
      <c r="J1390" s="26">
        <f>IF($A1390="","",LEN($C1390)-LEN(SUBSTITUTE($C1390,",",""))+1)</f>
        <v/>
      </c>
      <c r="K1390" s="26">
        <f>IF($A1390="","",SUMPRODUCT(--ISNUMBER(SEARCH('Category Dictionary'!$D$5:$D$135&amp;"",$C1390)),--('Category Dictionary'!$D$5:$D$135&lt;&gt;"")))</f>
        <v/>
      </c>
      <c r="L1390" s="27">
        <f>IF($A1390="","",TRIM(IF(ISERROR(FIND(",",$C1390)),$C1390,LEFT($C1390,FIND(",",$C1390)-1))))</f>
        <v/>
      </c>
      <c r="M1390" s="28">
        <f>IF($H1390="","",DATE(YEAR($H1390),MONTH($H1390),1))</f>
        <v/>
      </c>
      <c r="N1390" s="26">
        <f>IF($H1390="","",TODAY()-$H1390)</f>
        <v/>
      </c>
      <c r="O1390" s="15" t="n"/>
      <c r="P1390" s="15" t="n"/>
      <c r="Q1390" s="15" t="n"/>
      <c r="R1390" s="25" t="n"/>
      <c r="S1390" s="26">
        <f>IF($A1390="","",AND(OR('Assignment Builder'!$B$5="",$B1390='Assignment Builder'!$B$5),OR('Assignment Builder'!$B$6="",ISNUMBER(SEARCH('Assignment Builder'!$B$6,$C1390))),OR('Assignment Builder'!$B$7="",'Assignment Builder'!$B$7=IFERROR(INDEX('Category Dictionary'!$C$5:$C$135,MATCH($L1390,'Category Dictionary'!$D$5:$D$135,0)),"")),OR('Assignment Builder'!$B$8="",$D1390='Assignment Builder'!$B$8),OR('Assignment Builder'!$B$9="",$F1390='Assignment Builder'!$B$9),OR('Assignment Builder'!$B$10="",$O1390='Assignment Builder'!$B$10),OR('Assignment Builder'!$B$11="",$H1390&gt;='Assignment Builder'!$B$11),OR('Assignment Builder'!$B$12="",N($Q1390)&lt;='Assignment Builder'!$B$12)))</f>
        <v/>
      </c>
      <c r="T1390" s="23" t="n"/>
    </row>
    <row r="1391">
      <c r="A1391" s="23" t="n"/>
      <c r="B1391" s="23" t="n"/>
      <c r="C1391" s="24" t="n"/>
      <c r="D1391" s="15" t="n"/>
      <c r="E1391" s="23" t="n"/>
      <c r="F1391" s="15" t="n"/>
      <c r="G1391" s="23" t="n"/>
      <c r="H1391" s="25" t="n"/>
      <c r="I1391" s="15" t="n"/>
      <c r="J1391" s="26">
        <f>IF($A1391="","",LEN($C1391)-LEN(SUBSTITUTE($C1391,",",""))+1)</f>
        <v/>
      </c>
      <c r="K1391" s="26">
        <f>IF($A1391="","",SUMPRODUCT(--ISNUMBER(SEARCH('Category Dictionary'!$D$5:$D$135&amp;"",$C1391)),--('Category Dictionary'!$D$5:$D$135&lt;&gt;"")))</f>
        <v/>
      </c>
      <c r="L1391" s="27">
        <f>IF($A1391="","",TRIM(IF(ISERROR(FIND(",",$C1391)),$C1391,LEFT($C1391,FIND(",",$C1391)-1))))</f>
        <v/>
      </c>
      <c r="M1391" s="28">
        <f>IF($H1391="","",DATE(YEAR($H1391),MONTH($H1391),1))</f>
        <v/>
      </c>
      <c r="N1391" s="26">
        <f>IF($H1391="","",TODAY()-$H1391)</f>
        <v/>
      </c>
      <c r="O1391" s="15" t="n"/>
      <c r="P1391" s="15" t="n"/>
      <c r="Q1391" s="15" t="n"/>
      <c r="R1391" s="25" t="n"/>
      <c r="S1391" s="26">
        <f>IF($A1391="","",AND(OR('Assignment Builder'!$B$5="",$B1391='Assignment Builder'!$B$5),OR('Assignment Builder'!$B$6="",ISNUMBER(SEARCH('Assignment Builder'!$B$6,$C1391))),OR('Assignment Builder'!$B$7="",'Assignment Builder'!$B$7=IFERROR(INDEX('Category Dictionary'!$C$5:$C$135,MATCH($L1391,'Category Dictionary'!$D$5:$D$135,0)),"")),OR('Assignment Builder'!$B$8="",$D1391='Assignment Builder'!$B$8),OR('Assignment Builder'!$B$9="",$F1391='Assignment Builder'!$B$9),OR('Assignment Builder'!$B$10="",$O1391='Assignment Builder'!$B$10),OR('Assignment Builder'!$B$11="",$H1391&gt;='Assignment Builder'!$B$11),OR('Assignment Builder'!$B$12="",N($Q1391)&lt;='Assignment Builder'!$B$12)))</f>
        <v/>
      </c>
      <c r="T1391" s="23" t="n"/>
    </row>
    <row r="1392">
      <c r="A1392" s="23" t="n"/>
      <c r="B1392" s="23" t="n"/>
      <c r="C1392" s="24" t="n"/>
      <c r="D1392" s="15" t="n"/>
      <c r="E1392" s="23" t="n"/>
      <c r="F1392" s="15" t="n"/>
      <c r="G1392" s="23" t="n"/>
      <c r="H1392" s="25" t="n"/>
      <c r="I1392" s="15" t="n"/>
      <c r="J1392" s="26">
        <f>IF($A1392="","",LEN($C1392)-LEN(SUBSTITUTE($C1392,",",""))+1)</f>
        <v/>
      </c>
      <c r="K1392" s="26">
        <f>IF($A1392="","",SUMPRODUCT(--ISNUMBER(SEARCH('Category Dictionary'!$D$5:$D$135&amp;"",$C1392)),--('Category Dictionary'!$D$5:$D$135&lt;&gt;"")))</f>
        <v/>
      </c>
      <c r="L1392" s="27">
        <f>IF($A1392="","",TRIM(IF(ISERROR(FIND(",",$C1392)),$C1392,LEFT($C1392,FIND(",",$C1392)-1))))</f>
        <v/>
      </c>
      <c r="M1392" s="28">
        <f>IF($H1392="","",DATE(YEAR($H1392),MONTH($H1392),1))</f>
        <v/>
      </c>
      <c r="N1392" s="26">
        <f>IF($H1392="","",TODAY()-$H1392)</f>
        <v/>
      </c>
      <c r="O1392" s="15" t="n"/>
      <c r="P1392" s="15" t="n"/>
      <c r="Q1392" s="15" t="n"/>
      <c r="R1392" s="25" t="n"/>
      <c r="S1392" s="26">
        <f>IF($A1392="","",AND(OR('Assignment Builder'!$B$5="",$B1392='Assignment Builder'!$B$5),OR('Assignment Builder'!$B$6="",ISNUMBER(SEARCH('Assignment Builder'!$B$6,$C1392))),OR('Assignment Builder'!$B$7="",'Assignment Builder'!$B$7=IFERROR(INDEX('Category Dictionary'!$C$5:$C$135,MATCH($L1392,'Category Dictionary'!$D$5:$D$135,0)),"")),OR('Assignment Builder'!$B$8="",$D1392='Assignment Builder'!$B$8),OR('Assignment Builder'!$B$9="",$F1392='Assignment Builder'!$B$9),OR('Assignment Builder'!$B$10="",$O1392='Assignment Builder'!$B$10),OR('Assignment Builder'!$B$11="",$H1392&gt;='Assignment Builder'!$B$11),OR('Assignment Builder'!$B$12="",N($Q1392)&lt;='Assignment Builder'!$B$12)))</f>
        <v/>
      </c>
      <c r="T1392" s="23" t="n"/>
    </row>
    <row r="1393">
      <c r="A1393" s="23" t="n"/>
      <c r="B1393" s="23" t="n"/>
      <c r="C1393" s="24" t="n"/>
      <c r="D1393" s="15" t="n"/>
      <c r="E1393" s="23" t="n"/>
      <c r="F1393" s="15" t="n"/>
      <c r="G1393" s="23" t="n"/>
      <c r="H1393" s="25" t="n"/>
      <c r="I1393" s="15" t="n"/>
      <c r="J1393" s="26">
        <f>IF($A1393="","",LEN($C1393)-LEN(SUBSTITUTE($C1393,",",""))+1)</f>
        <v/>
      </c>
      <c r="K1393" s="26">
        <f>IF($A1393="","",SUMPRODUCT(--ISNUMBER(SEARCH('Category Dictionary'!$D$5:$D$135&amp;"",$C1393)),--('Category Dictionary'!$D$5:$D$135&lt;&gt;"")))</f>
        <v/>
      </c>
      <c r="L1393" s="27">
        <f>IF($A1393="","",TRIM(IF(ISERROR(FIND(",",$C1393)),$C1393,LEFT($C1393,FIND(",",$C1393)-1))))</f>
        <v/>
      </c>
      <c r="M1393" s="28">
        <f>IF($H1393="","",DATE(YEAR($H1393),MONTH($H1393),1))</f>
        <v/>
      </c>
      <c r="N1393" s="26">
        <f>IF($H1393="","",TODAY()-$H1393)</f>
        <v/>
      </c>
      <c r="O1393" s="15" t="n"/>
      <c r="P1393" s="15" t="n"/>
      <c r="Q1393" s="15" t="n"/>
      <c r="R1393" s="25" t="n"/>
      <c r="S1393" s="26">
        <f>IF($A1393="","",AND(OR('Assignment Builder'!$B$5="",$B1393='Assignment Builder'!$B$5),OR('Assignment Builder'!$B$6="",ISNUMBER(SEARCH('Assignment Builder'!$B$6,$C1393))),OR('Assignment Builder'!$B$7="",'Assignment Builder'!$B$7=IFERROR(INDEX('Category Dictionary'!$C$5:$C$135,MATCH($L1393,'Category Dictionary'!$D$5:$D$135,0)),"")),OR('Assignment Builder'!$B$8="",$D1393='Assignment Builder'!$B$8),OR('Assignment Builder'!$B$9="",$F1393='Assignment Builder'!$B$9),OR('Assignment Builder'!$B$10="",$O1393='Assignment Builder'!$B$10),OR('Assignment Builder'!$B$11="",$H1393&gt;='Assignment Builder'!$B$11),OR('Assignment Builder'!$B$12="",N($Q1393)&lt;='Assignment Builder'!$B$12)))</f>
        <v/>
      </c>
      <c r="T1393" s="23" t="n"/>
    </row>
    <row r="1394">
      <c r="A1394" s="23" t="n"/>
      <c r="B1394" s="23" t="n"/>
      <c r="C1394" s="24" t="n"/>
      <c r="D1394" s="15" t="n"/>
      <c r="E1394" s="23" t="n"/>
      <c r="F1394" s="15" t="n"/>
      <c r="G1394" s="23" t="n"/>
      <c r="H1394" s="25" t="n"/>
      <c r="I1394" s="15" t="n"/>
      <c r="J1394" s="26">
        <f>IF($A1394="","",LEN($C1394)-LEN(SUBSTITUTE($C1394,",",""))+1)</f>
        <v/>
      </c>
      <c r="K1394" s="26">
        <f>IF($A1394="","",SUMPRODUCT(--ISNUMBER(SEARCH('Category Dictionary'!$D$5:$D$135&amp;"",$C1394)),--('Category Dictionary'!$D$5:$D$135&lt;&gt;"")))</f>
        <v/>
      </c>
      <c r="L1394" s="27">
        <f>IF($A1394="","",TRIM(IF(ISERROR(FIND(",",$C1394)),$C1394,LEFT($C1394,FIND(",",$C1394)-1))))</f>
        <v/>
      </c>
      <c r="M1394" s="28">
        <f>IF($H1394="","",DATE(YEAR($H1394),MONTH($H1394),1))</f>
        <v/>
      </c>
      <c r="N1394" s="26">
        <f>IF($H1394="","",TODAY()-$H1394)</f>
        <v/>
      </c>
      <c r="O1394" s="15" t="n"/>
      <c r="P1394" s="15" t="n"/>
      <c r="Q1394" s="15" t="n"/>
      <c r="R1394" s="25" t="n"/>
      <c r="S1394" s="26">
        <f>IF($A1394="","",AND(OR('Assignment Builder'!$B$5="",$B1394='Assignment Builder'!$B$5),OR('Assignment Builder'!$B$6="",ISNUMBER(SEARCH('Assignment Builder'!$B$6,$C1394))),OR('Assignment Builder'!$B$7="",'Assignment Builder'!$B$7=IFERROR(INDEX('Category Dictionary'!$C$5:$C$135,MATCH($L1394,'Category Dictionary'!$D$5:$D$135,0)),"")),OR('Assignment Builder'!$B$8="",$D1394='Assignment Builder'!$B$8),OR('Assignment Builder'!$B$9="",$F1394='Assignment Builder'!$B$9),OR('Assignment Builder'!$B$10="",$O1394='Assignment Builder'!$B$10),OR('Assignment Builder'!$B$11="",$H1394&gt;='Assignment Builder'!$B$11),OR('Assignment Builder'!$B$12="",N($Q1394)&lt;='Assignment Builder'!$B$12)))</f>
        <v/>
      </c>
      <c r="T1394" s="23" t="n"/>
    </row>
    <row r="1395">
      <c r="A1395" s="23" t="n"/>
      <c r="B1395" s="23" t="n"/>
      <c r="C1395" s="24" t="n"/>
      <c r="D1395" s="15" t="n"/>
      <c r="E1395" s="23" t="n"/>
      <c r="F1395" s="15" t="n"/>
      <c r="G1395" s="23" t="n"/>
      <c r="H1395" s="25" t="n"/>
      <c r="I1395" s="15" t="n"/>
      <c r="J1395" s="26">
        <f>IF($A1395="","",LEN($C1395)-LEN(SUBSTITUTE($C1395,",",""))+1)</f>
        <v/>
      </c>
      <c r="K1395" s="26">
        <f>IF($A1395="","",SUMPRODUCT(--ISNUMBER(SEARCH('Category Dictionary'!$D$5:$D$135&amp;"",$C1395)),--('Category Dictionary'!$D$5:$D$135&lt;&gt;"")))</f>
        <v/>
      </c>
      <c r="L1395" s="27">
        <f>IF($A1395="","",TRIM(IF(ISERROR(FIND(",",$C1395)),$C1395,LEFT($C1395,FIND(",",$C1395)-1))))</f>
        <v/>
      </c>
      <c r="M1395" s="28">
        <f>IF($H1395="","",DATE(YEAR($H1395),MONTH($H1395),1))</f>
        <v/>
      </c>
      <c r="N1395" s="26">
        <f>IF($H1395="","",TODAY()-$H1395)</f>
        <v/>
      </c>
      <c r="O1395" s="15" t="n"/>
      <c r="P1395" s="15" t="n"/>
      <c r="Q1395" s="15" t="n"/>
      <c r="R1395" s="25" t="n"/>
      <c r="S1395" s="26">
        <f>IF($A1395="","",AND(OR('Assignment Builder'!$B$5="",$B1395='Assignment Builder'!$B$5),OR('Assignment Builder'!$B$6="",ISNUMBER(SEARCH('Assignment Builder'!$B$6,$C1395))),OR('Assignment Builder'!$B$7="",'Assignment Builder'!$B$7=IFERROR(INDEX('Category Dictionary'!$C$5:$C$135,MATCH($L1395,'Category Dictionary'!$D$5:$D$135,0)),"")),OR('Assignment Builder'!$B$8="",$D1395='Assignment Builder'!$B$8),OR('Assignment Builder'!$B$9="",$F1395='Assignment Builder'!$B$9),OR('Assignment Builder'!$B$10="",$O1395='Assignment Builder'!$B$10),OR('Assignment Builder'!$B$11="",$H1395&gt;='Assignment Builder'!$B$11),OR('Assignment Builder'!$B$12="",N($Q1395)&lt;='Assignment Builder'!$B$12)))</f>
        <v/>
      </c>
      <c r="T1395" s="23" t="n"/>
    </row>
    <row r="1396">
      <c r="A1396" s="23" t="n"/>
      <c r="B1396" s="23" t="n"/>
      <c r="C1396" s="24" t="n"/>
      <c r="D1396" s="15" t="n"/>
      <c r="E1396" s="23" t="n"/>
      <c r="F1396" s="15" t="n"/>
      <c r="G1396" s="23" t="n"/>
      <c r="H1396" s="25" t="n"/>
      <c r="I1396" s="15" t="n"/>
      <c r="J1396" s="26">
        <f>IF($A1396="","",LEN($C1396)-LEN(SUBSTITUTE($C1396,",",""))+1)</f>
        <v/>
      </c>
      <c r="K1396" s="26">
        <f>IF($A1396="","",SUMPRODUCT(--ISNUMBER(SEARCH('Category Dictionary'!$D$5:$D$135&amp;"",$C1396)),--('Category Dictionary'!$D$5:$D$135&lt;&gt;"")))</f>
        <v/>
      </c>
      <c r="L1396" s="27">
        <f>IF($A1396="","",TRIM(IF(ISERROR(FIND(",",$C1396)),$C1396,LEFT($C1396,FIND(",",$C1396)-1))))</f>
        <v/>
      </c>
      <c r="M1396" s="28">
        <f>IF($H1396="","",DATE(YEAR($H1396),MONTH($H1396),1))</f>
        <v/>
      </c>
      <c r="N1396" s="26">
        <f>IF($H1396="","",TODAY()-$H1396)</f>
        <v/>
      </c>
      <c r="O1396" s="15" t="n"/>
      <c r="P1396" s="15" t="n"/>
      <c r="Q1396" s="15" t="n"/>
      <c r="R1396" s="25" t="n"/>
      <c r="S1396" s="26">
        <f>IF($A1396="","",AND(OR('Assignment Builder'!$B$5="",$B1396='Assignment Builder'!$B$5),OR('Assignment Builder'!$B$6="",ISNUMBER(SEARCH('Assignment Builder'!$B$6,$C1396))),OR('Assignment Builder'!$B$7="",'Assignment Builder'!$B$7=IFERROR(INDEX('Category Dictionary'!$C$5:$C$135,MATCH($L1396,'Category Dictionary'!$D$5:$D$135,0)),"")),OR('Assignment Builder'!$B$8="",$D1396='Assignment Builder'!$B$8),OR('Assignment Builder'!$B$9="",$F1396='Assignment Builder'!$B$9),OR('Assignment Builder'!$B$10="",$O1396='Assignment Builder'!$B$10),OR('Assignment Builder'!$B$11="",$H1396&gt;='Assignment Builder'!$B$11),OR('Assignment Builder'!$B$12="",N($Q1396)&lt;='Assignment Builder'!$B$12)))</f>
        <v/>
      </c>
      <c r="T1396" s="23" t="n"/>
    </row>
    <row r="1397">
      <c r="A1397" s="23" t="n"/>
      <c r="B1397" s="23" t="n"/>
      <c r="C1397" s="24" t="n"/>
      <c r="D1397" s="15" t="n"/>
      <c r="E1397" s="23" t="n"/>
      <c r="F1397" s="15" t="n"/>
      <c r="G1397" s="23" t="n"/>
      <c r="H1397" s="25" t="n"/>
      <c r="I1397" s="15" t="n"/>
      <c r="J1397" s="26">
        <f>IF($A1397="","",LEN($C1397)-LEN(SUBSTITUTE($C1397,",",""))+1)</f>
        <v/>
      </c>
      <c r="K1397" s="26">
        <f>IF($A1397="","",SUMPRODUCT(--ISNUMBER(SEARCH('Category Dictionary'!$D$5:$D$135&amp;"",$C1397)),--('Category Dictionary'!$D$5:$D$135&lt;&gt;"")))</f>
        <v/>
      </c>
      <c r="L1397" s="27">
        <f>IF($A1397="","",TRIM(IF(ISERROR(FIND(",",$C1397)),$C1397,LEFT($C1397,FIND(",",$C1397)-1))))</f>
        <v/>
      </c>
      <c r="M1397" s="28">
        <f>IF($H1397="","",DATE(YEAR($H1397),MONTH($H1397),1))</f>
        <v/>
      </c>
      <c r="N1397" s="26">
        <f>IF($H1397="","",TODAY()-$H1397)</f>
        <v/>
      </c>
      <c r="O1397" s="15" t="n"/>
      <c r="P1397" s="15" t="n"/>
      <c r="Q1397" s="15" t="n"/>
      <c r="R1397" s="25" t="n"/>
      <c r="S1397" s="26">
        <f>IF($A1397="","",AND(OR('Assignment Builder'!$B$5="",$B1397='Assignment Builder'!$B$5),OR('Assignment Builder'!$B$6="",ISNUMBER(SEARCH('Assignment Builder'!$B$6,$C1397))),OR('Assignment Builder'!$B$7="",'Assignment Builder'!$B$7=IFERROR(INDEX('Category Dictionary'!$C$5:$C$135,MATCH($L1397,'Category Dictionary'!$D$5:$D$135,0)),"")),OR('Assignment Builder'!$B$8="",$D1397='Assignment Builder'!$B$8),OR('Assignment Builder'!$B$9="",$F1397='Assignment Builder'!$B$9),OR('Assignment Builder'!$B$10="",$O1397='Assignment Builder'!$B$10),OR('Assignment Builder'!$B$11="",$H1397&gt;='Assignment Builder'!$B$11),OR('Assignment Builder'!$B$12="",N($Q1397)&lt;='Assignment Builder'!$B$12)))</f>
        <v/>
      </c>
      <c r="T1397" s="23" t="n"/>
    </row>
    <row r="1398">
      <c r="A1398" s="23" t="n"/>
      <c r="B1398" s="23" t="n"/>
      <c r="C1398" s="24" t="n"/>
      <c r="D1398" s="15" t="n"/>
      <c r="E1398" s="23" t="n"/>
      <c r="F1398" s="15" t="n"/>
      <c r="G1398" s="23" t="n"/>
      <c r="H1398" s="25" t="n"/>
      <c r="I1398" s="15" t="n"/>
      <c r="J1398" s="26">
        <f>IF($A1398="","",LEN($C1398)-LEN(SUBSTITUTE($C1398,",",""))+1)</f>
        <v/>
      </c>
      <c r="K1398" s="26">
        <f>IF($A1398="","",SUMPRODUCT(--ISNUMBER(SEARCH('Category Dictionary'!$D$5:$D$135&amp;"",$C1398)),--('Category Dictionary'!$D$5:$D$135&lt;&gt;"")))</f>
        <v/>
      </c>
      <c r="L1398" s="27">
        <f>IF($A1398="","",TRIM(IF(ISERROR(FIND(",",$C1398)),$C1398,LEFT($C1398,FIND(",",$C1398)-1))))</f>
        <v/>
      </c>
      <c r="M1398" s="28">
        <f>IF($H1398="","",DATE(YEAR($H1398),MONTH($H1398),1))</f>
        <v/>
      </c>
      <c r="N1398" s="26">
        <f>IF($H1398="","",TODAY()-$H1398)</f>
        <v/>
      </c>
      <c r="O1398" s="15" t="n"/>
      <c r="P1398" s="15" t="n"/>
      <c r="Q1398" s="15" t="n"/>
      <c r="R1398" s="25" t="n"/>
      <c r="S1398" s="26">
        <f>IF($A1398="","",AND(OR('Assignment Builder'!$B$5="",$B1398='Assignment Builder'!$B$5),OR('Assignment Builder'!$B$6="",ISNUMBER(SEARCH('Assignment Builder'!$B$6,$C1398))),OR('Assignment Builder'!$B$7="",'Assignment Builder'!$B$7=IFERROR(INDEX('Category Dictionary'!$C$5:$C$135,MATCH($L1398,'Category Dictionary'!$D$5:$D$135,0)),"")),OR('Assignment Builder'!$B$8="",$D1398='Assignment Builder'!$B$8),OR('Assignment Builder'!$B$9="",$F1398='Assignment Builder'!$B$9),OR('Assignment Builder'!$B$10="",$O1398='Assignment Builder'!$B$10),OR('Assignment Builder'!$B$11="",$H1398&gt;='Assignment Builder'!$B$11),OR('Assignment Builder'!$B$12="",N($Q1398)&lt;='Assignment Builder'!$B$12)))</f>
        <v/>
      </c>
      <c r="T1398" s="23" t="n"/>
    </row>
    <row r="1399">
      <c r="A1399" s="23" t="n"/>
      <c r="B1399" s="23" t="n"/>
      <c r="C1399" s="24" t="n"/>
      <c r="D1399" s="15" t="n"/>
      <c r="E1399" s="23" t="n"/>
      <c r="F1399" s="15" t="n"/>
      <c r="G1399" s="23" t="n"/>
      <c r="H1399" s="25" t="n"/>
      <c r="I1399" s="15" t="n"/>
      <c r="J1399" s="26">
        <f>IF($A1399="","",LEN($C1399)-LEN(SUBSTITUTE($C1399,",",""))+1)</f>
        <v/>
      </c>
      <c r="K1399" s="26">
        <f>IF($A1399="","",SUMPRODUCT(--ISNUMBER(SEARCH('Category Dictionary'!$D$5:$D$135&amp;"",$C1399)),--('Category Dictionary'!$D$5:$D$135&lt;&gt;"")))</f>
        <v/>
      </c>
      <c r="L1399" s="27">
        <f>IF($A1399="","",TRIM(IF(ISERROR(FIND(",",$C1399)),$C1399,LEFT($C1399,FIND(",",$C1399)-1))))</f>
        <v/>
      </c>
      <c r="M1399" s="28">
        <f>IF($H1399="","",DATE(YEAR($H1399),MONTH($H1399),1))</f>
        <v/>
      </c>
      <c r="N1399" s="26">
        <f>IF($H1399="","",TODAY()-$H1399)</f>
        <v/>
      </c>
      <c r="O1399" s="15" t="n"/>
      <c r="P1399" s="15" t="n"/>
      <c r="Q1399" s="15" t="n"/>
      <c r="R1399" s="25" t="n"/>
      <c r="S1399" s="26">
        <f>IF($A1399="","",AND(OR('Assignment Builder'!$B$5="",$B1399='Assignment Builder'!$B$5),OR('Assignment Builder'!$B$6="",ISNUMBER(SEARCH('Assignment Builder'!$B$6,$C1399))),OR('Assignment Builder'!$B$7="",'Assignment Builder'!$B$7=IFERROR(INDEX('Category Dictionary'!$C$5:$C$135,MATCH($L1399,'Category Dictionary'!$D$5:$D$135,0)),"")),OR('Assignment Builder'!$B$8="",$D1399='Assignment Builder'!$B$8),OR('Assignment Builder'!$B$9="",$F1399='Assignment Builder'!$B$9),OR('Assignment Builder'!$B$10="",$O1399='Assignment Builder'!$B$10),OR('Assignment Builder'!$B$11="",$H1399&gt;='Assignment Builder'!$B$11),OR('Assignment Builder'!$B$12="",N($Q1399)&lt;='Assignment Builder'!$B$12)))</f>
        <v/>
      </c>
      <c r="T1399" s="23" t="n"/>
    </row>
    <row r="1400">
      <c r="A1400" s="23" t="n"/>
      <c r="B1400" s="23" t="n"/>
      <c r="C1400" s="24" t="n"/>
      <c r="D1400" s="15" t="n"/>
      <c r="E1400" s="23" t="n"/>
      <c r="F1400" s="15" t="n"/>
      <c r="G1400" s="23" t="n"/>
      <c r="H1400" s="25" t="n"/>
      <c r="I1400" s="15" t="n"/>
      <c r="J1400" s="26">
        <f>IF($A1400="","",LEN($C1400)-LEN(SUBSTITUTE($C1400,",",""))+1)</f>
        <v/>
      </c>
      <c r="K1400" s="26">
        <f>IF($A1400="","",SUMPRODUCT(--ISNUMBER(SEARCH('Category Dictionary'!$D$5:$D$135&amp;"",$C1400)),--('Category Dictionary'!$D$5:$D$135&lt;&gt;"")))</f>
        <v/>
      </c>
      <c r="L1400" s="27">
        <f>IF($A1400="","",TRIM(IF(ISERROR(FIND(",",$C1400)),$C1400,LEFT($C1400,FIND(",",$C1400)-1))))</f>
        <v/>
      </c>
      <c r="M1400" s="28">
        <f>IF($H1400="","",DATE(YEAR($H1400),MONTH($H1400),1))</f>
        <v/>
      </c>
      <c r="N1400" s="26">
        <f>IF($H1400="","",TODAY()-$H1400)</f>
        <v/>
      </c>
      <c r="O1400" s="15" t="n"/>
      <c r="P1400" s="15" t="n"/>
      <c r="Q1400" s="15" t="n"/>
      <c r="R1400" s="25" t="n"/>
      <c r="S1400" s="26">
        <f>IF($A1400="","",AND(OR('Assignment Builder'!$B$5="",$B1400='Assignment Builder'!$B$5),OR('Assignment Builder'!$B$6="",ISNUMBER(SEARCH('Assignment Builder'!$B$6,$C1400))),OR('Assignment Builder'!$B$7="",'Assignment Builder'!$B$7=IFERROR(INDEX('Category Dictionary'!$C$5:$C$135,MATCH($L1400,'Category Dictionary'!$D$5:$D$135,0)),"")),OR('Assignment Builder'!$B$8="",$D1400='Assignment Builder'!$B$8),OR('Assignment Builder'!$B$9="",$F1400='Assignment Builder'!$B$9),OR('Assignment Builder'!$B$10="",$O1400='Assignment Builder'!$B$10),OR('Assignment Builder'!$B$11="",$H1400&gt;='Assignment Builder'!$B$11),OR('Assignment Builder'!$B$12="",N($Q1400)&lt;='Assignment Builder'!$B$12)))</f>
        <v/>
      </c>
      <c r="T1400" s="23" t="n"/>
    </row>
    <row r="1401">
      <c r="A1401" s="23" t="n"/>
      <c r="B1401" s="23" t="n"/>
      <c r="C1401" s="24" t="n"/>
      <c r="D1401" s="15" t="n"/>
      <c r="E1401" s="23" t="n"/>
      <c r="F1401" s="15" t="n"/>
      <c r="G1401" s="23" t="n"/>
      <c r="H1401" s="25" t="n"/>
      <c r="I1401" s="15" t="n"/>
      <c r="J1401" s="26">
        <f>IF($A1401="","",LEN($C1401)-LEN(SUBSTITUTE($C1401,",",""))+1)</f>
        <v/>
      </c>
      <c r="K1401" s="26">
        <f>IF($A1401="","",SUMPRODUCT(--ISNUMBER(SEARCH('Category Dictionary'!$D$5:$D$135&amp;"",$C1401)),--('Category Dictionary'!$D$5:$D$135&lt;&gt;"")))</f>
        <v/>
      </c>
      <c r="L1401" s="27">
        <f>IF($A1401="","",TRIM(IF(ISERROR(FIND(",",$C1401)),$C1401,LEFT($C1401,FIND(",",$C1401)-1))))</f>
        <v/>
      </c>
      <c r="M1401" s="28">
        <f>IF($H1401="","",DATE(YEAR($H1401),MONTH($H1401),1))</f>
        <v/>
      </c>
      <c r="N1401" s="26">
        <f>IF($H1401="","",TODAY()-$H1401)</f>
        <v/>
      </c>
      <c r="O1401" s="15" t="n"/>
      <c r="P1401" s="15" t="n"/>
      <c r="Q1401" s="15" t="n"/>
      <c r="R1401" s="25" t="n"/>
      <c r="S1401" s="26">
        <f>IF($A1401="","",AND(OR('Assignment Builder'!$B$5="",$B1401='Assignment Builder'!$B$5),OR('Assignment Builder'!$B$6="",ISNUMBER(SEARCH('Assignment Builder'!$B$6,$C1401))),OR('Assignment Builder'!$B$7="",'Assignment Builder'!$B$7=IFERROR(INDEX('Category Dictionary'!$C$5:$C$135,MATCH($L1401,'Category Dictionary'!$D$5:$D$135,0)),"")),OR('Assignment Builder'!$B$8="",$D1401='Assignment Builder'!$B$8),OR('Assignment Builder'!$B$9="",$F1401='Assignment Builder'!$B$9),OR('Assignment Builder'!$B$10="",$O1401='Assignment Builder'!$B$10),OR('Assignment Builder'!$B$11="",$H1401&gt;='Assignment Builder'!$B$11),OR('Assignment Builder'!$B$12="",N($Q1401)&lt;='Assignment Builder'!$B$12)))</f>
        <v/>
      </c>
      <c r="T1401" s="23" t="n"/>
    </row>
    <row r="1402">
      <c r="A1402" s="23" t="n"/>
      <c r="B1402" s="23" t="n"/>
      <c r="C1402" s="24" t="n"/>
      <c r="D1402" s="15" t="n"/>
      <c r="E1402" s="23" t="n"/>
      <c r="F1402" s="15" t="n"/>
      <c r="G1402" s="23" t="n"/>
      <c r="H1402" s="25" t="n"/>
      <c r="I1402" s="15" t="n"/>
      <c r="J1402" s="26">
        <f>IF($A1402="","",LEN($C1402)-LEN(SUBSTITUTE($C1402,",",""))+1)</f>
        <v/>
      </c>
      <c r="K1402" s="26">
        <f>IF($A1402="","",SUMPRODUCT(--ISNUMBER(SEARCH('Category Dictionary'!$D$5:$D$135&amp;"",$C1402)),--('Category Dictionary'!$D$5:$D$135&lt;&gt;"")))</f>
        <v/>
      </c>
      <c r="L1402" s="27">
        <f>IF($A1402="","",TRIM(IF(ISERROR(FIND(",",$C1402)),$C1402,LEFT($C1402,FIND(",",$C1402)-1))))</f>
        <v/>
      </c>
      <c r="M1402" s="28">
        <f>IF($H1402="","",DATE(YEAR($H1402),MONTH($H1402),1))</f>
        <v/>
      </c>
      <c r="N1402" s="26">
        <f>IF($H1402="","",TODAY()-$H1402)</f>
        <v/>
      </c>
      <c r="O1402" s="15" t="n"/>
      <c r="P1402" s="15" t="n"/>
      <c r="Q1402" s="15" t="n"/>
      <c r="R1402" s="25" t="n"/>
      <c r="S1402" s="26">
        <f>IF($A1402="","",AND(OR('Assignment Builder'!$B$5="",$B1402='Assignment Builder'!$B$5),OR('Assignment Builder'!$B$6="",ISNUMBER(SEARCH('Assignment Builder'!$B$6,$C1402))),OR('Assignment Builder'!$B$7="",'Assignment Builder'!$B$7=IFERROR(INDEX('Category Dictionary'!$C$5:$C$135,MATCH($L1402,'Category Dictionary'!$D$5:$D$135,0)),"")),OR('Assignment Builder'!$B$8="",$D1402='Assignment Builder'!$B$8),OR('Assignment Builder'!$B$9="",$F1402='Assignment Builder'!$B$9),OR('Assignment Builder'!$B$10="",$O1402='Assignment Builder'!$B$10),OR('Assignment Builder'!$B$11="",$H1402&gt;='Assignment Builder'!$B$11),OR('Assignment Builder'!$B$12="",N($Q1402)&lt;='Assignment Builder'!$B$12)))</f>
        <v/>
      </c>
      <c r="T1402" s="23" t="n"/>
    </row>
    <row r="1403">
      <c r="A1403" s="23" t="n"/>
      <c r="B1403" s="23" t="n"/>
      <c r="C1403" s="24" t="n"/>
      <c r="D1403" s="15" t="n"/>
      <c r="E1403" s="23" t="n"/>
      <c r="F1403" s="15" t="n"/>
      <c r="G1403" s="23" t="n"/>
      <c r="H1403" s="25" t="n"/>
      <c r="I1403" s="15" t="n"/>
      <c r="J1403" s="26">
        <f>IF($A1403="","",LEN($C1403)-LEN(SUBSTITUTE($C1403,",",""))+1)</f>
        <v/>
      </c>
      <c r="K1403" s="26">
        <f>IF($A1403="","",SUMPRODUCT(--ISNUMBER(SEARCH('Category Dictionary'!$D$5:$D$135&amp;"",$C1403)),--('Category Dictionary'!$D$5:$D$135&lt;&gt;"")))</f>
        <v/>
      </c>
      <c r="L1403" s="27">
        <f>IF($A1403="","",TRIM(IF(ISERROR(FIND(",",$C1403)),$C1403,LEFT($C1403,FIND(",",$C1403)-1))))</f>
        <v/>
      </c>
      <c r="M1403" s="28">
        <f>IF($H1403="","",DATE(YEAR($H1403),MONTH($H1403),1))</f>
        <v/>
      </c>
      <c r="N1403" s="26">
        <f>IF($H1403="","",TODAY()-$H1403)</f>
        <v/>
      </c>
      <c r="O1403" s="15" t="n"/>
      <c r="P1403" s="15" t="n"/>
      <c r="Q1403" s="15" t="n"/>
      <c r="R1403" s="25" t="n"/>
      <c r="S1403" s="26">
        <f>IF($A1403="","",AND(OR('Assignment Builder'!$B$5="",$B1403='Assignment Builder'!$B$5),OR('Assignment Builder'!$B$6="",ISNUMBER(SEARCH('Assignment Builder'!$B$6,$C1403))),OR('Assignment Builder'!$B$7="",'Assignment Builder'!$B$7=IFERROR(INDEX('Category Dictionary'!$C$5:$C$135,MATCH($L1403,'Category Dictionary'!$D$5:$D$135,0)),"")),OR('Assignment Builder'!$B$8="",$D1403='Assignment Builder'!$B$8),OR('Assignment Builder'!$B$9="",$F1403='Assignment Builder'!$B$9),OR('Assignment Builder'!$B$10="",$O1403='Assignment Builder'!$B$10),OR('Assignment Builder'!$B$11="",$H1403&gt;='Assignment Builder'!$B$11),OR('Assignment Builder'!$B$12="",N($Q1403)&lt;='Assignment Builder'!$B$12)))</f>
        <v/>
      </c>
      <c r="T1403" s="23" t="n"/>
    </row>
    <row r="1404">
      <c r="A1404" s="23" t="n"/>
      <c r="B1404" s="23" t="n"/>
      <c r="C1404" s="24" t="n"/>
      <c r="D1404" s="15" t="n"/>
      <c r="E1404" s="23" t="n"/>
      <c r="F1404" s="15" t="n"/>
      <c r="G1404" s="23" t="n"/>
      <c r="H1404" s="25" t="n"/>
      <c r="I1404" s="15" t="n"/>
      <c r="J1404" s="26">
        <f>IF($A1404="","",LEN($C1404)-LEN(SUBSTITUTE($C1404,",",""))+1)</f>
        <v/>
      </c>
      <c r="K1404" s="26">
        <f>IF($A1404="","",SUMPRODUCT(--ISNUMBER(SEARCH('Category Dictionary'!$D$5:$D$135&amp;"",$C1404)),--('Category Dictionary'!$D$5:$D$135&lt;&gt;"")))</f>
        <v/>
      </c>
      <c r="L1404" s="27">
        <f>IF($A1404="","",TRIM(IF(ISERROR(FIND(",",$C1404)),$C1404,LEFT($C1404,FIND(",",$C1404)-1))))</f>
        <v/>
      </c>
      <c r="M1404" s="28">
        <f>IF($H1404="","",DATE(YEAR($H1404),MONTH($H1404),1))</f>
        <v/>
      </c>
      <c r="N1404" s="26">
        <f>IF($H1404="","",TODAY()-$H1404)</f>
        <v/>
      </c>
      <c r="O1404" s="15" t="n"/>
      <c r="P1404" s="15" t="n"/>
      <c r="Q1404" s="15" t="n"/>
      <c r="R1404" s="25" t="n"/>
      <c r="S1404" s="26">
        <f>IF($A1404="","",AND(OR('Assignment Builder'!$B$5="",$B1404='Assignment Builder'!$B$5),OR('Assignment Builder'!$B$6="",ISNUMBER(SEARCH('Assignment Builder'!$B$6,$C1404))),OR('Assignment Builder'!$B$7="",'Assignment Builder'!$B$7=IFERROR(INDEX('Category Dictionary'!$C$5:$C$135,MATCH($L1404,'Category Dictionary'!$D$5:$D$135,0)),"")),OR('Assignment Builder'!$B$8="",$D1404='Assignment Builder'!$B$8),OR('Assignment Builder'!$B$9="",$F1404='Assignment Builder'!$B$9),OR('Assignment Builder'!$B$10="",$O1404='Assignment Builder'!$B$10),OR('Assignment Builder'!$B$11="",$H1404&gt;='Assignment Builder'!$B$11),OR('Assignment Builder'!$B$12="",N($Q1404)&lt;='Assignment Builder'!$B$12)))</f>
        <v/>
      </c>
      <c r="T1404" s="23" t="n"/>
    </row>
    <row r="1405">
      <c r="A1405" s="23" t="n"/>
      <c r="B1405" s="23" t="n"/>
      <c r="C1405" s="24" t="n"/>
      <c r="D1405" s="15" t="n"/>
      <c r="E1405" s="23" t="n"/>
      <c r="F1405" s="15" t="n"/>
      <c r="G1405" s="23" t="n"/>
      <c r="H1405" s="25" t="n"/>
      <c r="I1405" s="15" t="n"/>
      <c r="J1405" s="26">
        <f>IF($A1405="","",LEN($C1405)-LEN(SUBSTITUTE($C1405,",",""))+1)</f>
        <v/>
      </c>
      <c r="K1405" s="26">
        <f>IF($A1405="","",SUMPRODUCT(--ISNUMBER(SEARCH('Category Dictionary'!$D$5:$D$135&amp;"",$C1405)),--('Category Dictionary'!$D$5:$D$135&lt;&gt;"")))</f>
        <v/>
      </c>
      <c r="L1405" s="27">
        <f>IF($A1405="","",TRIM(IF(ISERROR(FIND(",",$C1405)),$C1405,LEFT($C1405,FIND(",",$C1405)-1))))</f>
        <v/>
      </c>
      <c r="M1405" s="28">
        <f>IF($H1405="","",DATE(YEAR($H1405),MONTH($H1405),1))</f>
        <v/>
      </c>
      <c r="N1405" s="26">
        <f>IF($H1405="","",TODAY()-$H1405)</f>
        <v/>
      </c>
      <c r="O1405" s="15" t="n"/>
      <c r="P1405" s="15" t="n"/>
      <c r="Q1405" s="15" t="n"/>
      <c r="R1405" s="25" t="n"/>
      <c r="S1405" s="26">
        <f>IF($A1405="","",AND(OR('Assignment Builder'!$B$5="",$B1405='Assignment Builder'!$B$5),OR('Assignment Builder'!$B$6="",ISNUMBER(SEARCH('Assignment Builder'!$B$6,$C1405))),OR('Assignment Builder'!$B$7="",'Assignment Builder'!$B$7=IFERROR(INDEX('Category Dictionary'!$C$5:$C$135,MATCH($L1405,'Category Dictionary'!$D$5:$D$135,0)),"")),OR('Assignment Builder'!$B$8="",$D1405='Assignment Builder'!$B$8),OR('Assignment Builder'!$B$9="",$F1405='Assignment Builder'!$B$9),OR('Assignment Builder'!$B$10="",$O1405='Assignment Builder'!$B$10),OR('Assignment Builder'!$B$11="",$H1405&gt;='Assignment Builder'!$B$11),OR('Assignment Builder'!$B$12="",N($Q1405)&lt;='Assignment Builder'!$B$12)))</f>
        <v/>
      </c>
      <c r="T1405" s="23" t="n"/>
    </row>
    <row r="1406">
      <c r="A1406" s="23" t="n"/>
      <c r="B1406" s="23" t="n"/>
      <c r="C1406" s="24" t="n"/>
      <c r="D1406" s="15" t="n"/>
      <c r="E1406" s="23" t="n"/>
      <c r="F1406" s="15" t="n"/>
      <c r="G1406" s="23" t="n"/>
      <c r="H1406" s="25" t="n"/>
      <c r="I1406" s="15" t="n"/>
      <c r="J1406" s="26">
        <f>IF($A1406="","",LEN($C1406)-LEN(SUBSTITUTE($C1406,",",""))+1)</f>
        <v/>
      </c>
      <c r="K1406" s="26">
        <f>IF($A1406="","",SUMPRODUCT(--ISNUMBER(SEARCH('Category Dictionary'!$D$5:$D$135&amp;"",$C1406)),--('Category Dictionary'!$D$5:$D$135&lt;&gt;"")))</f>
        <v/>
      </c>
      <c r="L1406" s="27">
        <f>IF($A1406="","",TRIM(IF(ISERROR(FIND(",",$C1406)),$C1406,LEFT($C1406,FIND(",",$C1406)-1))))</f>
        <v/>
      </c>
      <c r="M1406" s="28">
        <f>IF($H1406="","",DATE(YEAR($H1406),MONTH($H1406),1))</f>
        <v/>
      </c>
      <c r="N1406" s="26">
        <f>IF($H1406="","",TODAY()-$H1406)</f>
        <v/>
      </c>
      <c r="O1406" s="15" t="n"/>
      <c r="P1406" s="15" t="n"/>
      <c r="Q1406" s="15" t="n"/>
      <c r="R1406" s="25" t="n"/>
      <c r="S1406" s="26">
        <f>IF($A1406="","",AND(OR('Assignment Builder'!$B$5="",$B1406='Assignment Builder'!$B$5),OR('Assignment Builder'!$B$6="",ISNUMBER(SEARCH('Assignment Builder'!$B$6,$C1406))),OR('Assignment Builder'!$B$7="",'Assignment Builder'!$B$7=IFERROR(INDEX('Category Dictionary'!$C$5:$C$135,MATCH($L1406,'Category Dictionary'!$D$5:$D$135,0)),"")),OR('Assignment Builder'!$B$8="",$D1406='Assignment Builder'!$B$8),OR('Assignment Builder'!$B$9="",$F1406='Assignment Builder'!$B$9),OR('Assignment Builder'!$B$10="",$O1406='Assignment Builder'!$B$10),OR('Assignment Builder'!$B$11="",$H1406&gt;='Assignment Builder'!$B$11),OR('Assignment Builder'!$B$12="",N($Q1406)&lt;='Assignment Builder'!$B$12)))</f>
        <v/>
      </c>
      <c r="T1406" s="23" t="n"/>
    </row>
    <row r="1407">
      <c r="A1407" s="23" t="n"/>
      <c r="B1407" s="23" t="n"/>
      <c r="C1407" s="24" t="n"/>
      <c r="D1407" s="15" t="n"/>
      <c r="E1407" s="23" t="n"/>
      <c r="F1407" s="15" t="n"/>
      <c r="G1407" s="23" t="n"/>
      <c r="H1407" s="25" t="n"/>
      <c r="I1407" s="15" t="n"/>
      <c r="J1407" s="26">
        <f>IF($A1407="","",LEN($C1407)-LEN(SUBSTITUTE($C1407,",",""))+1)</f>
        <v/>
      </c>
      <c r="K1407" s="26">
        <f>IF($A1407="","",SUMPRODUCT(--ISNUMBER(SEARCH('Category Dictionary'!$D$5:$D$135&amp;"",$C1407)),--('Category Dictionary'!$D$5:$D$135&lt;&gt;"")))</f>
        <v/>
      </c>
      <c r="L1407" s="27">
        <f>IF($A1407="","",TRIM(IF(ISERROR(FIND(",",$C1407)),$C1407,LEFT($C1407,FIND(",",$C1407)-1))))</f>
        <v/>
      </c>
      <c r="M1407" s="28">
        <f>IF($H1407="","",DATE(YEAR($H1407),MONTH($H1407),1))</f>
        <v/>
      </c>
      <c r="N1407" s="26">
        <f>IF($H1407="","",TODAY()-$H1407)</f>
        <v/>
      </c>
      <c r="O1407" s="15" t="n"/>
      <c r="P1407" s="15" t="n"/>
      <c r="Q1407" s="15" t="n"/>
      <c r="R1407" s="25" t="n"/>
      <c r="S1407" s="26">
        <f>IF($A1407="","",AND(OR('Assignment Builder'!$B$5="",$B1407='Assignment Builder'!$B$5),OR('Assignment Builder'!$B$6="",ISNUMBER(SEARCH('Assignment Builder'!$B$6,$C1407))),OR('Assignment Builder'!$B$7="",'Assignment Builder'!$B$7=IFERROR(INDEX('Category Dictionary'!$C$5:$C$135,MATCH($L1407,'Category Dictionary'!$D$5:$D$135,0)),"")),OR('Assignment Builder'!$B$8="",$D1407='Assignment Builder'!$B$8),OR('Assignment Builder'!$B$9="",$F1407='Assignment Builder'!$B$9),OR('Assignment Builder'!$B$10="",$O1407='Assignment Builder'!$B$10),OR('Assignment Builder'!$B$11="",$H1407&gt;='Assignment Builder'!$B$11),OR('Assignment Builder'!$B$12="",N($Q1407)&lt;='Assignment Builder'!$B$12)))</f>
        <v/>
      </c>
      <c r="T1407" s="23" t="n"/>
    </row>
    <row r="1408">
      <c r="A1408" s="23" t="n"/>
      <c r="B1408" s="23" t="n"/>
      <c r="C1408" s="24" t="n"/>
      <c r="D1408" s="15" t="n"/>
      <c r="E1408" s="23" t="n"/>
      <c r="F1408" s="15" t="n"/>
      <c r="G1408" s="23" t="n"/>
      <c r="H1408" s="25" t="n"/>
      <c r="I1408" s="15" t="n"/>
      <c r="J1408" s="26">
        <f>IF($A1408="","",LEN($C1408)-LEN(SUBSTITUTE($C1408,",",""))+1)</f>
        <v/>
      </c>
      <c r="K1408" s="26">
        <f>IF($A1408="","",SUMPRODUCT(--ISNUMBER(SEARCH('Category Dictionary'!$D$5:$D$135&amp;"",$C1408)),--('Category Dictionary'!$D$5:$D$135&lt;&gt;"")))</f>
        <v/>
      </c>
      <c r="L1408" s="27">
        <f>IF($A1408="","",TRIM(IF(ISERROR(FIND(",",$C1408)),$C1408,LEFT($C1408,FIND(",",$C1408)-1))))</f>
        <v/>
      </c>
      <c r="M1408" s="28">
        <f>IF($H1408="","",DATE(YEAR($H1408),MONTH($H1408),1))</f>
        <v/>
      </c>
      <c r="N1408" s="26">
        <f>IF($H1408="","",TODAY()-$H1408)</f>
        <v/>
      </c>
      <c r="O1408" s="15" t="n"/>
      <c r="P1408" s="15" t="n"/>
      <c r="Q1408" s="15" t="n"/>
      <c r="R1408" s="25" t="n"/>
      <c r="S1408" s="26">
        <f>IF($A1408="","",AND(OR('Assignment Builder'!$B$5="",$B1408='Assignment Builder'!$B$5),OR('Assignment Builder'!$B$6="",ISNUMBER(SEARCH('Assignment Builder'!$B$6,$C1408))),OR('Assignment Builder'!$B$7="",'Assignment Builder'!$B$7=IFERROR(INDEX('Category Dictionary'!$C$5:$C$135,MATCH($L1408,'Category Dictionary'!$D$5:$D$135,0)),"")),OR('Assignment Builder'!$B$8="",$D1408='Assignment Builder'!$B$8),OR('Assignment Builder'!$B$9="",$F1408='Assignment Builder'!$B$9),OR('Assignment Builder'!$B$10="",$O1408='Assignment Builder'!$B$10),OR('Assignment Builder'!$B$11="",$H1408&gt;='Assignment Builder'!$B$11),OR('Assignment Builder'!$B$12="",N($Q1408)&lt;='Assignment Builder'!$B$12)))</f>
        <v/>
      </c>
      <c r="T1408" s="23" t="n"/>
    </row>
    <row r="1409">
      <c r="A1409" s="23" t="n"/>
      <c r="B1409" s="23" t="n"/>
      <c r="C1409" s="24" t="n"/>
      <c r="D1409" s="15" t="n"/>
      <c r="E1409" s="23" t="n"/>
      <c r="F1409" s="15" t="n"/>
      <c r="G1409" s="23" t="n"/>
      <c r="H1409" s="25" t="n"/>
      <c r="I1409" s="15" t="n"/>
      <c r="J1409" s="26">
        <f>IF($A1409="","",LEN($C1409)-LEN(SUBSTITUTE($C1409,",",""))+1)</f>
        <v/>
      </c>
      <c r="K1409" s="26">
        <f>IF($A1409="","",SUMPRODUCT(--ISNUMBER(SEARCH('Category Dictionary'!$D$5:$D$135&amp;"",$C1409)),--('Category Dictionary'!$D$5:$D$135&lt;&gt;"")))</f>
        <v/>
      </c>
      <c r="L1409" s="27">
        <f>IF($A1409="","",TRIM(IF(ISERROR(FIND(",",$C1409)),$C1409,LEFT($C1409,FIND(",",$C1409)-1))))</f>
        <v/>
      </c>
      <c r="M1409" s="28">
        <f>IF($H1409="","",DATE(YEAR($H1409),MONTH($H1409),1))</f>
        <v/>
      </c>
      <c r="N1409" s="26">
        <f>IF($H1409="","",TODAY()-$H1409)</f>
        <v/>
      </c>
      <c r="O1409" s="15" t="n"/>
      <c r="P1409" s="15" t="n"/>
      <c r="Q1409" s="15" t="n"/>
      <c r="R1409" s="25" t="n"/>
      <c r="S1409" s="26">
        <f>IF($A1409="","",AND(OR('Assignment Builder'!$B$5="",$B1409='Assignment Builder'!$B$5),OR('Assignment Builder'!$B$6="",ISNUMBER(SEARCH('Assignment Builder'!$B$6,$C1409))),OR('Assignment Builder'!$B$7="",'Assignment Builder'!$B$7=IFERROR(INDEX('Category Dictionary'!$C$5:$C$135,MATCH($L1409,'Category Dictionary'!$D$5:$D$135,0)),"")),OR('Assignment Builder'!$B$8="",$D1409='Assignment Builder'!$B$8),OR('Assignment Builder'!$B$9="",$F1409='Assignment Builder'!$B$9),OR('Assignment Builder'!$B$10="",$O1409='Assignment Builder'!$B$10),OR('Assignment Builder'!$B$11="",$H1409&gt;='Assignment Builder'!$B$11),OR('Assignment Builder'!$B$12="",N($Q1409)&lt;='Assignment Builder'!$B$12)))</f>
        <v/>
      </c>
      <c r="T1409" s="23" t="n"/>
    </row>
    <row r="1410">
      <c r="A1410" s="23" t="n"/>
      <c r="B1410" s="23" t="n"/>
      <c r="C1410" s="24" t="n"/>
      <c r="D1410" s="15" t="n"/>
      <c r="E1410" s="23" t="n"/>
      <c r="F1410" s="15" t="n"/>
      <c r="G1410" s="23" t="n"/>
      <c r="H1410" s="25" t="n"/>
      <c r="I1410" s="15" t="n"/>
      <c r="J1410" s="26">
        <f>IF($A1410="","",LEN($C1410)-LEN(SUBSTITUTE($C1410,",",""))+1)</f>
        <v/>
      </c>
      <c r="K1410" s="26">
        <f>IF($A1410="","",SUMPRODUCT(--ISNUMBER(SEARCH('Category Dictionary'!$D$5:$D$135&amp;"",$C1410)),--('Category Dictionary'!$D$5:$D$135&lt;&gt;"")))</f>
        <v/>
      </c>
      <c r="L1410" s="27">
        <f>IF($A1410="","",TRIM(IF(ISERROR(FIND(",",$C1410)),$C1410,LEFT($C1410,FIND(",",$C1410)-1))))</f>
        <v/>
      </c>
      <c r="M1410" s="28">
        <f>IF($H1410="","",DATE(YEAR($H1410),MONTH($H1410),1))</f>
        <v/>
      </c>
      <c r="N1410" s="26">
        <f>IF($H1410="","",TODAY()-$H1410)</f>
        <v/>
      </c>
      <c r="O1410" s="15" t="n"/>
      <c r="P1410" s="15" t="n"/>
      <c r="Q1410" s="15" t="n"/>
      <c r="R1410" s="25" t="n"/>
      <c r="S1410" s="26">
        <f>IF($A1410="","",AND(OR('Assignment Builder'!$B$5="",$B1410='Assignment Builder'!$B$5),OR('Assignment Builder'!$B$6="",ISNUMBER(SEARCH('Assignment Builder'!$B$6,$C1410))),OR('Assignment Builder'!$B$7="",'Assignment Builder'!$B$7=IFERROR(INDEX('Category Dictionary'!$C$5:$C$135,MATCH($L1410,'Category Dictionary'!$D$5:$D$135,0)),"")),OR('Assignment Builder'!$B$8="",$D1410='Assignment Builder'!$B$8),OR('Assignment Builder'!$B$9="",$F1410='Assignment Builder'!$B$9),OR('Assignment Builder'!$B$10="",$O1410='Assignment Builder'!$B$10),OR('Assignment Builder'!$B$11="",$H1410&gt;='Assignment Builder'!$B$11),OR('Assignment Builder'!$B$12="",N($Q1410)&lt;='Assignment Builder'!$B$12)))</f>
        <v/>
      </c>
      <c r="T1410" s="23" t="n"/>
    </row>
    <row r="1411">
      <c r="A1411" s="23" t="n"/>
      <c r="B1411" s="23" t="n"/>
      <c r="C1411" s="24" t="n"/>
      <c r="D1411" s="15" t="n"/>
      <c r="E1411" s="23" t="n"/>
      <c r="F1411" s="15" t="n"/>
      <c r="G1411" s="23" t="n"/>
      <c r="H1411" s="25" t="n"/>
      <c r="I1411" s="15" t="n"/>
      <c r="J1411" s="26">
        <f>IF($A1411="","",LEN($C1411)-LEN(SUBSTITUTE($C1411,",",""))+1)</f>
        <v/>
      </c>
      <c r="K1411" s="26">
        <f>IF($A1411="","",SUMPRODUCT(--ISNUMBER(SEARCH('Category Dictionary'!$D$5:$D$135&amp;"",$C1411)),--('Category Dictionary'!$D$5:$D$135&lt;&gt;"")))</f>
        <v/>
      </c>
      <c r="L1411" s="27">
        <f>IF($A1411="","",TRIM(IF(ISERROR(FIND(",",$C1411)),$C1411,LEFT($C1411,FIND(",",$C1411)-1))))</f>
        <v/>
      </c>
      <c r="M1411" s="28">
        <f>IF($H1411="","",DATE(YEAR($H1411),MONTH($H1411),1))</f>
        <v/>
      </c>
      <c r="N1411" s="26">
        <f>IF($H1411="","",TODAY()-$H1411)</f>
        <v/>
      </c>
      <c r="O1411" s="15" t="n"/>
      <c r="P1411" s="15" t="n"/>
      <c r="Q1411" s="15" t="n"/>
      <c r="R1411" s="25" t="n"/>
      <c r="S1411" s="26">
        <f>IF($A1411="","",AND(OR('Assignment Builder'!$B$5="",$B1411='Assignment Builder'!$B$5),OR('Assignment Builder'!$B$6="",ISNUMBER(SEARCH('Assignment Builder'!$B$6,$C1411))),OR('Assignment Builder'!$B$7="",'Assignment Builder'!$B$7=IFERROR(INDEX('Category Dictionary'!$C$5:$C$135,MATCH($L1411,'Category Dictionary'!$D$5:$D$135,0)),"")),OR('Assignment Builder'!$B$8="",$D1411='Assignment Builder'!$B$8),OR('Assignment Builder'!$B$9="",$F1411='Assignment Builder'!$B$9),OR('Assignment Builder'!$B$10="",$O1411='Assignment Builder'!$B$10),OR('Assignment Builder'!$B$11="",$H1411&gt;='Assignment Builder'!$B$11),OR('Assignment Builder'!$B$12="",N($Q1411)&lt;='Assignment Builder'!$B$12)))</f>
        <v/>
      </c>
      <c r="T1411" s="23" t="n"/>
    </row>
    <row r="1412">
      <c r="A1412" s="23" t="n"/>
      <c r="B1412" s="23" t="n"/>
      <c r="C1412" s="24" t="n"/>
      <c r="D1412" s="15" t="n"/>
      <c r="E1412" s="23" t="n"/>
      <c r="F1412" s="15" t="n"/>
      <c r="G1412" s="23" t="n"/>
      <c r="H1412" s="25" t="n"/>
      <c r="I1412" s="15" t="n"/>
      <c r="J1412" s="26">
        <f>IF($A1412="","",LEN($C1412)-LEN(SUBSTITUTE($C1412,",",""))+1)</f>
        <v/>
      </c>
      <c r="K1412" s="26">
        <f>IF($A1412="","",SUMPRODUCT(--ISNUMBER(SEARCH('Category Dictionary'!$D$5:$D$135&amp;"",$C1412)),--('Category Dictionary'!$D$5:$D$135&lt;&gt;"")))</f>
        <v/>
      </c>
      <c r="L1412" s="27">
        <f>IF($A1412="","",TRIM(IF(ISERROR(FIND(",",$C1412)),$C1412,LEFT($C1412,FIND(",",$C1412)-1))))</f>
        <v/>
      </c>
      <c r="M1412" s="28">
        <f>IF($H1412="","",DATE(YEAR($H1412),MONTH($H1412),1))</f>
        <v/>
      </c>
      <c r="N1412" s="26">
        <f>IF($H1412="","",TODAY()-$H1412)</f>
        <v/>
      </c>
      <c r="O1412" s="15" t="n"/>
      <c r="P1412" s="15" t="n"/>
      <c r="Q1412" s="15" t="n"/>
      <c r="R1412" s="25" t="n"/>
      <c r="S1412" s="26">
        <f>IF($A1412="","",AND(OR('Assignment Builder'!$B$5="",$B1412='Assignment Builder'!$B$5),OR('Assignment Builder'!$B$6="",ISNUMBER(SEARCH('Assignment Builder'!$B$6,$C1412))),OR('Assignment Builder'!$B$7="",'Assignment Builder'!$B$7=IFERROR(INDEX('Category Dictionary'!$C$5:$C$135,MATCH($L1412,'Category Dictionary'!$D$5:$D$135,0)),"")),OR('Assignment Builder'!$B$8="",$D1412='Assignment Builder'!$B$8),OR('Assignment Builder'!$B$9="",$F1412='Assignment Builder'!$B$9),OR('Assignment Builder'!$B$10="",$O1412='Assignment Builder'!$B$10),OR('Assignment Builder'!$B$11="",$H1412&gt;='Assignment Builder'!$B$11),OR('Assignment Builder'!$B$12="",N($Q1412)&lt;='Assignment Builder'!$B$12)))</f>
        <v/>
      </c>
      <c r="T1412" s="23" t="n"/>
    </row>
    <row r="1413">
      <c r="A1413" s="23" t="n"/>
      <c r="B1413" s="23" t="n"/>
      <c r="C1413" s="24" t="n"/>
      <c r="D1413" s="15" t="n"/>
      <c r="E1413" s="23" t="n"/>
      <c r="F1413" s="15" t="n"/>
      <c r="G1413" s="23" t="n"/>
      <c r="H1413" s="25" t="n"/>
      <c r="I1413" s="15" t="n"/>
      <c r="J1413" s="26">
        <f>IF($A1413="","",LEN($C1413)-LEN(SUBSTITUTE($C1413,",",""))+1)</f>
        <v/>
      </c>
      <c r="K1413" s="26">
        <f>IF($A1413="","",SUMPRODUCT(--ISNUMBER(SEARCH('Category Dictionary'!$D$5:$D$135&amp;"",$C1413)),--('Category Dictionary'!$D$5:$D$135&lt;&gt;"")))</f>
        <v/>
      </c>
      <c r="L1413" s="27">
        <f>IF($A1413="","",TRIM(IF(ISERROR(FIND(",",$C1413)),$C1413,LEFT($C1413,FIND(",",$C1413)-1))))</f>
        <v/>
      </c>
      <c r="M1413" s="28">
        <f>IF($H1413="","",DATE(YEAR($H1413),MONTH($H1413),1))</f>
        <v/>
      </c>
      <c r="N1413" s="26">
        <f>IF($H1413="","",TODAY()-$H1413)</f>
        <v/>
      </c>
      <c r="O1413" s="15" t="n"/>
      <c r="P1413" s="15" t="n"/>
      <c r="Q1413" s="15" t="n"/>
      <c r="R1413" s="25" t="n"/>
      <c r="S1413" s="26">
        <f>IF($A1413="","",AND(OR('Assignment Builder'!$B$5="",$B1413='Assignment Builder'!$B$5),OR('Assignment Builder'!$B$6="",ISNUMBER(SEARCH('Assignment Builder'!$B$6,$C1413))),OR('Assignment Builder'!$B$7="",'Assignment Builder'!$B$7=IFERROR(INDEX('Category Dictionary'!$C$5:$C$135,MATCH($L1413,'Category Dictionary'!$D$5:$D$135,0)),"")),OR('Assignment Builder'!$B$8="",$D1413='Assignment Builder'!$B$8),OR('Assignment Builder'!$B$9="",$F1413='Assignment Builder'!$B$9),OR('Assignment Builder'!$B$10="",$O1413='Assignment Builder'!$B$10),OR('Assignment Builder'!$B$11="",$H1413&gt;='Assignment Builder'!$B$11),OR('Assignment Builder'!$B$12="",N($Q1413)&lt;='Assignment Builder'!$B$12)))</f>
        <v/>
      </c>
      <c r="T1413" s="23" t="n"/>
    </row>
    <row r="1414">
      <c r="A1414" s="23" t="n"/>
      <c r="B1414" s="23" t="n"/>
      <c r="C1414" s="24" t="n"/>
      <c r="D1414" s="15" t="n"/>
      <c r="E1414" s="23" t="n"/>
      <c r="F1414" s="15" t="n"/>
      <c r="G1414" s="23" t="n"/>
      <c r="H1414" s="25" t="n"/>
      <c r="I1414" s="15" t="n"/>
      <c r="J1414" s="26">
        <f>IF($A1414="","",LEN($C1414)-LEN(SUBSTITUTE($C1414,",",""))+1)</f>
        <v/>
      </c>
      <c r="K1414" s="26">
        <f>IF($A1414="","",SUMPRODUCT(--ISNUMBER(SEARCH('Category Dictionary'!$D$5:$D$135&amp;"",$C1414)),--('Category Dictionary'!$D$5:$D$135&lt;&gt;"")))</f>
        <v/>
      </c>
      <c r="L1414" s="27">
        <f>IF($A1414="","",TRIM(IF(ISERROR(FIND(",",$C1414)),$C1414,LEFT($C1414,FIND(",",$C1414)-1))))</f>
        <v/>
      </c>
      <c r="M1414" s="28">
        <f>IF($H1414="","",DATE(YEAR($H1414),MONTH($H1414),1))</f>
        <v/>
      </c>
      <c r="N1414" s="26">
        <f>IF($H1414="","",TODAY()-$H1414)</f>
        <v/>
      </c>
      <c r="O1414" s="15" t="n"/>
      <c r="P1414" s="15" t="n"/>
      <c r="Q1414" s="15" t="n"/>
      <c r="R1414" s="25" t="n"/>
      <c r="S1414" s="26">
        <f>IF($A1414="","",AND(OR('Assignment Builder'!$B$5="",$B1414='Assignment Builder'!$B$5),OR('Assignment Builder'!$B$6="",ISNUMBER(SEARCH('Assignment Builder'!$B$6,$C1414))),OR('Assignment Builder'!$B$7="",'Assignment Builder'!$B$7=IFERROR(INDEX('Category Dictionary'!$C$5:$C$135,MATCH($L1414,'Category Dictionary'!$D$5:$D$135,0)),"")),OR('Assignment Builder'!$B$8="",$D1414='Assignment Builder'!$B$8),OR('Assignment Builder'!$B$9="",$F1414='Assignment Builder'!$B$9),OR('Assignment Builder'!$B$10="",$O1414='Assignment Builder'!$B$10),OR('Assignment Builder'!$B$11="",$H1414&gt;='Assignment Builder'!$B$11),OR('Assignment Builder'!$B$12="",N($Q1414)&lt;='Assignment Builder'!$B$12)))</f>
        <v/>
      </c>
      <c r="T1414" s="23" t="n"/>
    </row>
    <row r="1415">
      <c r="A1415" s="23" t="n"/>
      <c r="B1415" s="23" t="n"/>
      <c r="C1415" s="24" t="n"/>
      <c r="D1415" s="15" t="n"/>
      <c r="E1415" s="23" t="n"/>
      <c r="F1415" s="15" t="n"/>
      <c r="G1415" s="23" t="n"/>
      <c r="H1415" s="25" t="n"/>
      <c r="I1415" s="15" t="n"/>
      <c r="J1415" s="26">
        <f>IF($A1415="","",LEN($C1415)-LEN(SUBSTITUTE($C1415,",",""))+1)</f>
        <v/>
      </c>
      <c r="K1415" s="26">
        <f>IF($A1415="","",SUMPRODUCT(--ISNUMBER(SEARCH('Category Dictionary'!$D$5:$D$135&amp;"",$C1415)),--('Category Dictionary'!$D$5:$D$135&lt;&gt;"")))</f>
        <v/>
      </c>
      <c r="L1415" s="27">
        <f>IF($A1415="","",TRIM(IF(ISERROR(FIND(",",$C1415)),$C1415,LEFT($C1415,FIND(",",$C1415)-1))))</f>
        <v/>
      </c>
      <c r="M1415" s="28">
        <f>IF($H1415="","",DATE(YEAR($H1415),MONTH($H1415),1))</f>
        <v/>
      </c>
      <c r="N1415" s="26">
        <f>IF($H1415="","",TODAY()-$H1415)</f>
        <v/>
      </c>
      <c r="O1415" s="15" t="n"/>
      <c r="P1415" s="15" t="n"/>
      <c r="Q1415" s="15" t="n"/>
      <c r="R1415" s="25" t="n"/>
      <c r="S1415" s="26">
        <f>IF($A1415="","",AND(OR('Assignment Builder'!$B$5="",$B1415='Assignment Builder'!$B$5),OR('Assignment Builder'!$B$6="",ISNUMBER(SEARCH('Assignment Builder'!$B$6,$C1415))),OR('Assignment Builder'!$B$7="",'Assignment Builder'!$B$7=IFERROR(INDEX('Category Dictionary'!$C$5:$C$135,MATCH($L1415,'Category Dictionary'!$D$5:$D$135,0)),"")),OR('Assignment Builder'!$B$8="",$D1415='Assignment Builder'!$B$8),OR('Assignment Builder'!$B$9="",$F1415='Assignment Builder'!$B$9),OR('Assignment Builder'!$B$10="",$O1415='Assignment Builder'!$B$10),OR('Assignment Builder'!$B$11="",$H1415&gt;='Assignment Builder'!$B$11),OR('Assignment Builder'!$B$12="",N($Q1415)&lt;='Assignment Builder'!$B$12)))</f>
        <v/>
      </c>
      <c r="T1415" s="23" t="n"/>
    </row>
    <row r="1416">
      <c r="A1416" s="23" t="n"/>
      <c r="B1416" s="23" t="n"/>
      <c r="C1416" s="24" t="n"/>
      <c r="D1416" s="15" t="n"/>
      <c r="E1416" s="23" t="n"/>
      <c r="F1416" s="15" t="n"/>
      <c r="G1416" s="23" t="n"/>
      <c r="H1416" s="25" t="n"/>
      <c r="I1416" s="15" t="n"/>
      <c r="J1416" s="26">
        <f>IF($A1416="","",LEN($C1416)-LEN(SUBSTITUTE($C1416,",",""))+1)</f>
        <v/>
      </c>
      <c r="K1416" s="26">
        <f>IF($A1416="","",SUMPRODUCT(--ISNUMBER(SEARCH('Category Dictionary'!$D$5:$D$135&amp;"",$C1416)),--('Category Dictionary'!$D$5:$D$135&lt;&gt;"")))</f>
        <v/>
      </c>
      <c r="L1416" s="27">
        <f>IF($A1416="","",TRIM(IF(ISERROR(FIND(",",$C1416)),$C1416,LEFT($C1416,FIND(",",$C1416)-1))))</f>
        <v/>
      </c>
      <c r="M1416" s="28">
        <f>IF($H1416="","",DATE(YEAR($H1416),MONTH($H1416),1))</f>
        <v/>
      </c>
      <c r="N1416" s="26">
        <f>IF($H1416="","",TODAY()-$H1416)</f>
        <v/>
      </c>
      <c r="O1416" s="15" t="n"/>
      <c r="P1416" s="15" t="n"/>
      <c r="Q1416" s="15" t="n"/>
      <c r="R1416" s="25" t="n"/>
      <c r="S1416" s="26">
        <f>IF($A1416="","",AND(OR('Assignment Builder'!$B$5="",$B1416='Assignment Builder'!$B$5),OR('Assignment Builder'!$B$6="",ISNUMBER(SEARCH('Assignment Builder'!$B$6,$C1416))),OR('Assignment Builder'!$B$7="",'Assignment Builder'!$B$7=IFERROR(INDEX('Category Dictionary'!$C$5:$C$135,MATCH($L1416,'Category Dictionary'!$D$5:$D$135,0)),"")),OR('Assignment Builder'!$B$8="",$D1416='Assignment Builder'!$B$8),OR('Assignment Builder'!$B$9="",$F1416='Assignment Builder'!$B$9),OR('Assignment Builder'!$B$10="",$O1416='Assignment Builder'!$B$10),OR('Assignment Builder'!$B$11="",$H1416&gt;='Assignment Builder'!$B$11),OR('Assignment Builder'!$B$12="",N($Q1416)&lt;='Assignment Builder'!$B$12)))</f>
        <v/>
      </c>
      <c r="T1416" s="23" t="n"/>
    </row>
    <row r="1417">
      <c r="A1417" s="23" t="n"/>
      <c r="B1417" s="23" t="n"/>
      <c r="C1417" s="24" t="n"/>
      <c r="D1417" s="15" t="n"/>
      <c r="E1417" s="23" t="n"/>
      <c r="F1417" s="15" t="n"/>
      <c r="G1417" s="23" t="n"/>
      <c r="H1417" s="25" t="n"/>
      <c r="I1417" s="15" t="n"/>
      <c r="J1417" s="26">
        <f>IF($A1417="","",LEN($C1417)-LEN(SUBSTITUTE($C1417,",",""))+1)</f>
        <v/>
      </c>
      <c r="K1417" s="26">
        <f>IF($A1417="","",SUMPRODUCT(--ISNUMBER(SEARCH('Category Dictionary'!$D$5:$D$135&amp;"",$C1417)),--('Category Dictionary'!$D$5:$D$135&lt;&gt;"")))</f>
        <v/>
      </c>
      <c r="L1417" s="27">
        <f>IF($A1417="","",TRIM(IF(ISERROR(FIND(",",$C1417)),$C1417,LEFT($C1417,FIND(",",$C1417)-1))))</f>
        <v/>
      </c>
      <c r="M1417" s="28">
        <f>IF($H1417="","",DATE(YEAR($H1417),MONTH($H1417),1))</f>
        <v/>
      </c>
      <c r="N1417" s="26">
        <f>IF($H1417="","",TODAY()-$H1417)</f>
        <v/>
      </c>
      <c r="O1417" s="15" t="n"/>
      <c r="P1417" s="15" t="n"/>
      <c r="Q1417" s="15" t="n"/>
      <c r="R1417" s="25" t="n"/>
      <c r="S1417" s="26">
        <f>IF($A1417="","",AND(OR('Assignment Builder'!$B$5="",$B1417='Assignment Builder'!$B$5),OR('Assignment Builder'!$B$6="",ISNUMBER(SEARCH('Assignment Builder'!$B$6,$C1417))),OR('Assignment Builder'!$B$7="",'Assignment Builder'!$B$7=IFERROR(INDEX('Category Dictionary'!$C$5:$C$135,MATCH($L1417,'Category Dictionary'!$D$5:$D$135,0)),"")),OR('Assignment Builder'!$B$8="",$D1417='Assignment Builder'!$B$8),OR('Assignment Builder'!$B$9="",$F1417='Assignment Builder'!$B$9),OR('Assignment Builder'!$B$10="",$O1417='Assignment Builder'!$B$10),OR('Assignment Builder'!$B$11="",$H1417&gt;='Assignment Builder'!$B$11),OR('Assignment Builder'!$B$12="",N($Q1417)&lt;='Assignment Builder'!$B$12)))</f>
        <v/>
      </c>
      <c r="T1417" s="23" t="n"/>
    </row>
    <row r="1418">
      <c r="A1418" s="23" t="n"/>
      <c r="B1418" s="23" t="n"/>
      <c r="C1418" s="24" t="n"/>
      <c r="D1418" s="15" t="n"/>
      <c r="E1418" s="23" t="n"/>
      <c r="F1418" s="15" t="n"/>
      <c r="G1418" s="23" t="n"/>
      <c r="H1418" s="25" t="n"/>
      <c r="I1418" s="15" t="n"/>
      <c r="J1418" s="26">
        <f>IF($A1418="","",LEN($C1418)-LEN(SUBSTITUTE($C1418,",",""))+1)</f>
        <v/>
      </c>
      <c r="K1418" s="26">
        <f>IF($A1418="","",SUMPRODUCT(--ISNUMBER(SEARCH('Category Dictionary'!$D$5:$D$135&amp;"",$C1418)),--('Category Dictionary'!$D$5:$D$135&lt;&gt;"")))</f>
        <v/>
      </c>
      <c r="L1418" s="27">
        <f>IF($A1418="","",TRIM(IF(ISERROR(FIND(",",$C1418)),$C1418,LEFT($C1418,FIND(",",$C1418)-1))))</f>
        <v/>
      </c>
      <c r="M1418" s="28">
        <f>IF($H1418="","",DATE(YEAR($H1418),MONTH($H1418),1))</f>
        <v/>
      </c>
      <c r="N1418" s="26">
        <f>IF($H1418="","",TODAY()-$H1418)</f>
        <v/>
      </c>
      <c r="O1418" s="15" t="n"/>
      <c r="P1418" s="15" t="n"/>
      <c r="Q1418" s="15" t="n"/>
      <c r="R1418" s="25" t="n"/>
      <c r="S1418" s="26">
        <f>IF($A1418="","",AND(OR('Assignment Builder'!$B$5="",$B1418='Assignment Builder'!$B$5),OR('Assignment Builder'!$B$6="",ISNUMBER(SEARCH('Assignment Builder'!$B$6,$C1418))),OR('Assignment Builder'!$B$7="",'Assignment Builder'!$B$7=IFERROR(INDEX('Category Dictionary'!$C$5:$C$135,MATCH($L1418,'Category Dictionary'!$D$5:$D$135,0)),"")),OR('Assignment Builder'!$B$8="",$D1418='Assignment Builder'!$B$8),OR('Assignment Builder'!$B$9="",$F1418='Assignment Builder'!$B$9),OR('Assignment Builder'!$B$10="",$O1418='Assignment Builder'!$B$10),OR('Assignment Builder'!$B$11="",$H1418&gt;='Assignment Builder'!$B$11),OR('Assignment Builder'!$B$12="",N($Q1418)&lt;='Assignment Builder'!$B$12)))</f>
        <v/>
      </c>
      <c r="T1418" s="23" t="n"/>
    </row>
    <row r="1419">
      <c r="A1419" s="23" t="n"/>
      <c r="B1419" s="23" t="n"/>
      <c r="C1419" s="24" t="n"/>
      <c r="D1419" s="15" t="n"/>
      <c r="E1419" s="23" t="n"/>
      <c r="F1419" s="15" t="n"/>
      <c r="G1419" s="23" t="n"/>
      <c r="H1419" s="25" t="n"/>
      <c r="I1419" s="15" t="n"/>
      <c r="J1419" s="26">
        <f>IF($A1419="","",LEN($C1419)-LEN(SUBSTITUTE($C1419,",",""))+1)</f>
        <v/>
      </c>
      <c r="K1419" s="26">
        <f>IF($A1419="","",SUMPRODUCT(--ISNUMBER(SEARCH('Category Dictionary'!$D$5:$D$135&amp;"",$C1419)),--('Category Dictionary'!$D$5:$D$135&lt;&gt;"")))</f>
        <v/>
      </c>
      <c r="L1419" s="27">
        <f>IF($A1419="","",TRIM(IF(ISERROR(FIND(",",$C1419)),$C1419,LEFT($C1419,FIND(",",$C1419)-1))))</f>
        <v/>
      </c>
      <c r="M1419" s="28">
        <f>IF($H1419="","",DATE(YEAR($H1419),MONTH($H1419),1))</f>
        <v/>
      </c>
      <c r="N1419" s="26">
        <f>IF($H1419="","",TODAY()-$H1419)</f>
        <v/>
      </c>
      <c r="O1419" s="15" t="n"/>
      <c r="P1419" s="15" t="n"/>
      <c r="Q1419" s="15" t="n"/>
      <c r="R1419" s="25" t="n"/>
      <c r="S1419" s="26">
        <f>IF($A1419="","",AND(OR('Assignment Builder'!$B$5="",$B1419='Assignment Builder'!$B$5),OR('Assignment Builder'!$B$6="",ISNUMBER(SEARCH('Assignment Builder'!$B$6,$C1419))),OR('Assignment Builder'!$B$7="",'Assignment Builder'!$B$7=IFERROR(INDEX('Category Dictionary'!$C$5:$C$135,MATCH($L1419,'Category Dictionary'!$D$5:$D$135,0)),"")),OR('Assignment Builder'!$B$8="",$D1419='Assignment Builder'!$B$8),OR('Assignment Builder'!$B$9="",$F1419='Assignment Builder'!$B$9),OR('Assignment Builder'!$B$10="",$O1419='Assignment Builder'!$B$10),OR('Assignment Builder'!$B$11="",$H1419&gt;='Assignment Builder'!$B$11),OR('Assignment Builder'!$B$12="",N($Q1419)&lt;='Assignment Builder'!$B$12)))</f>
        <v/>
      </c>
      <c r="T1419" s="23" t="n"/>
    </row>
    <row r="1420">
      <c r="A1420" s="23" t="n"/>
      <c r="B1420" s="23" t="n"/>
      <c r="C1420" s="24" t="n"/>
      <c r="D1420" s="15" t="n"/>
      <c r="E1420" s="23" t="n"/>
      <c r="F1420" s="15" t="n"/>
      <c r="G1420" s="23" t="n"/>
      <c r="H1420" s="25" t="n"/>
      <c r="I1420" s="15" t="n"/>
      <c r="J1420" s="26">
        <f>IF($A1420="","",LEN($C1420)-LEN(SUBSTITUTE($C1420,",",""))+1)</f>
        <v/>
      </c>
      <c r="K1420" s="26">
        <f>IF($A1420="","",SUMPRODUCT(--ISNUMBER(SEARCH('Category Dictionary'!$D$5:$D$135&amp;"",$C1420)),--('Category Dictionary'!$D$5:$D$135&lt;&gt;"")))</f>
        <v/>
      </c>
      <c r="L1420" s="27">
        <f>IF($A1420="","",TRIM(IF(ISERROR(FIND(",",$C1420)),$C1420,LEFT($C1420,FIND(",",$C1420)-1))))</f>
        <v/>
      </c>
      <c r="M1420" s="28">
        <f>IF($H1420="","",DATE(YEAR($H1420),MONTH($H1420),1))</f>
        <v/>
      </c>
      <c r="N1420" s="26">
        <f>IF($H1420="","",TODAY()-$H1420)</f>
        <v/>
      </c>
      <c r="O1420" s="15" t="n"/>
      <c r="P1420" s="15" t="n"/>
      <c r="Q1420" s="15" t="n"/>
      <c r="R1420" s="25" t="n"/>
      <c r="S1420" s="26">
        <f>IF($A1420="","",AND(OR('Assignment Builder'!$B$5="",$B1420='Assignment Builder'!$B$5),OR('Assignment Builder'!$B$6="",ISNUMBER(SEARCH('Assignment Builder'!$B$6,$C1420))),OR('Assignment Builder'!$B$7="",'Assignment Builder'!$B$7=IFERROR(INDEX('Category Dictionary'!$C$5:$C$135,MATCH($L1420,'Category Dictionary'!$D$5:$D$135,0)),"")),OR('Assignment Builder'!$B$8="",$D1420='Assignment Builder'!$B$8),OR('Assignment Builder'!$B$9="",$F1420='Assignment Builder'!$B$9),OR('Assignment Builder'!$B$10="",$O1420='Assignment Builder'!$B$10),OR('Assignment Builder'!$B$11="",$H1420&gt;='Assignment Builder'!$B$11),OR('Assignment Builder'!$B$12="",N($Q1420)&lt;='Assignment Builder'!$B$12)))</f>
        <v/>
      </c>
      <c r="T1420" s="23" t="n"/>
    </row>
    <row r="1421">
      <c r="A1421" s="23" t="n"/>
      <c r="B1421" s="23" t="n"/>
      <c r="C1421" s="24" t="n"/>
      <c r="D1421" s="15" t="n"/>
      <c r="E1421" s="23" t="n"/>
      <c r="F1421" s="15" t="n"/>
      <c r="G1421" s="23" t="n"/>
      <c r="H1421" s="25" t="n"/>
      <c r="I1421" s="15" t="n"/>
      <c r="J1421" s="26">
        <f>IF($A1421="","",LEN($C1421)-LEN(SUBSTITUTE($C1421,",",""))+1)</f>
        <v/>
      </c>
      <c r="K1421" s="26">
        <f>IF($A1421="","",SUMPRODUCT(--ISNUMBER(SEARCH('Category Dictionary'!$D$5:$D$135&amp;"",$C1421)),--('Category Dictionary'!$D$5:$D$135&lt;&gt;"")))</f>
        <v/>
      </c>
      <c r="L1421" s="27">
        <f>IF($A1421="","",TRIM(IF(ISERROR(FIND(",",$C1421)),$C1421,LEFT($C1421,FIND(",",$C1421)-1))))</f>
        <v/>
      </c>
      <c r="M1421" s="28">
        <f>IF($H1421="","",DATE(YEAR($H1421),MONTH($H1421),1))</f>
        <v/>
      </c>
      <c r="N1421" s="26">
        <f>IF($H1421="","",TODAY()-$H1421)</f>
        <v/>
      </c>
      <c r="O1421" s="15" t="n"/>
      <c r="P1421" s="15" t="n"/>
      <c r="Q1421" s="15" t="n"/>
      <c r="R1421" s="25" t="n"/>
      <c r="S1421" s="26">
        <f>IF($A1421="","",AND(OR('Assignment Builder'!$B$5="",$B1421='Assignment Builder'!$B$5),OR('Assignment Builder'!$B$6="",ISNUMBER(SEARCH('Assignment Builder'!$B$6,$C1421))),OR('Assignment Builder'!$B$7="",'Assignment Builder'!$B$7=IFERROR(INDEX('Category Dictionary'!$C$5:$C$135,MATCH($L1421,'Category Dictionary'!$D$5:$D$135,0)),"")),OR('Assignment Builder'!$B$8="",$D1421='Assignment Builder'!$B$8),OR('Assignment Builder'!$B$9="",$F1421='Assignment Builder'!$B$9),OR('Assignment Builder'!$B$10="",$O1421='Assignment Builder'!$B$10),OR('Assignment Builder'!$B$11="",$H1421&gt;='Assignment Builder'!$B$11),OR('Assignment Builder'!$B$12="",N($Q1421)&lt;='Assignment Builder'!$B$12)))</f>
        <v/>
      </c>
      <c r="T1421" s="23" t="n"/>
    </row>
    <row r="1422">
      <c r="A1422" s="23" t="n"/>
      <c r="B1422" s="23" t="n"/>
      <c r="C1422" s="24" t="n"/>
      <c r="D1422" s="15" t="n"/>
      <c r="E1422" s="23" t="n"/>
      <c r="F1422" s="15" t="n"/>
      <c r="G1422" s="23" t="n"/>
      <c r="H1422" s="25" t="n"/>
      <c r="I1422" s="15" t="n"/>
      <c r="J1422" s="26">
        <f>IF($A1422="","",LEN($C1422)-LEN(SUBSTITUTE($C1422,",",""))+1)</f>
        <v/>
      </c>
      <c r="K1422" s="26">
        <f>IF($A1422="","",SUMPRODUCT(--ISNUMBER(SEARCH('Category Dictionary'!$D$5:$D$135&amp;"",$C1422)),--('Category Dictionary'!$D$5:$D$135&lt;&gt;"")))</f>
        <v/>
      </c>
      <c r="L1422" s="27">
        <f>IF($A1422="","",TRIM(IF(ISERROR(FIND(",",$C1422)),$C1422,LEFT($C1422,FIND(",",$C1422)-1))))</f>
        <v/>
      </c>
      <c r="M1422" s="28">
        <f>IF($H1422="","",DATE(YEAR($H1422),MONTH($H1422),1))</f>
        <v/>
      </c>
      <c r="N1422" s="26">
        <f>IF($H1422="","",TODAY()-$H1422)</f>
        <v/>
      </c>
      <c r="O1422" s="15" t="n"/>
      <c r="P1422" s="15" t="n"/>
      <c r="Q1422" s="15" t="n"/>
      <c r="R1422" s="25" t="n"/>
      <c r="S1422" s="26">
        <f>IF($A1422="","",AND(OR('Assignment Builder'!$B$5="",$B1422='Assignment Builder'!$B$5),OR('Assignment Builder'!$B$6="",ISNUMBER(SEARCH('Assignment Builder'!$B$6,$C1422))),OR('Assignment Builder'!$B$7="",'Assignment Builder'!$B$7=IFERROR(INDEX('Category Dictionary'!$C$5:$C$135,MATCH($L1422,'Category Dictionary'!$D$5:$D$135,0)),"")),OR('Assignment Builder'!$B$8="",$D1422='Assignment Builder'!$B$8),OR('Assignment Builder'!$B$9="",$F1422='Assignment Builder'!$B$9),OR('Assignment Builder'!$B$10="",$O1422='Assignment Builder'!$B$10),OR('Assignment Builder'!$B$11="",$H1422&gt;='Assignment Builder'!$B$11),OR('Assignment Builder'!$B$12="",N($Q1422)&lt;='Assignment Builder'!$B$12)))</f>
        <v/>
      </c>
      <c r="T1422" s="23" t="n"/>
    </row>
    <row r="1423">
      <c r="A1423" s="23" t="n"/>
      <c r="B1423" s="23" t="n"/>
      <c r="C1423" s="24" t="n"/>
      <c r="D1423" s="15" t="n"/>
      <c r="E1423" s="23" t="n"/>
      <c r="F1423" s="15" t="n"/>
      <c r="G1423" s="23" t="n"/>
      <c r="H1423" s="25" t="n"/>
      <c r="I1423" s="15" t="n"/>
      <c r="J1423" s="26">
        <f>IF($A1423="","",LEN($C1423)-LEN(SUBSTITUTE($C1423,",",""))+1)</f>
        <v/>
      </c>
      <c r="K1423" s="26">
        <f>IF($A1423="","",SUMPRODUCT(--ISNUMBER(SEARCH('Category Dictionary'!$D$5:$D$135&amp;"",$C1423)),--('Category Dictionary'!$D$5:$D$135&lt;&gt;"")))</f>
        <v/>
      </c>
      <c r="L1423" s="27">
        <f>IF($A1423="","",TRIM(IF(ISERROR(FIND(",",$C1423)),$C1423,LEFT($C1423,FIND(",",$C1423)-1))))</f>
        <v/>
      </c>
      <c r="M1423" s="28">
        <f>IF($H1423="","",DATE(YEAR($H1423),MONTH($H1423),1))</f>
        <v/>
      </c>
      <c r="N1423" s="26">
        <f>IF($H1423="","",TODAY()-$H1423)</f>
        <v/>
      </c>
      <c r="O1423" s="15" t="n"/>
      <c r="P1423" s="15" t="n"/>
      <c r="Q1423" s="15" t="n"/>
      <c r="R1423" s="25" t="n"/>
      <c r="S1423" s="26">
        <f>IF($A1423="","",AND(OR('Assignment Builder'!$B$5="",$B1423='Assignment Builder'!$B$5),OR('Assignment Builder'!$B$6="",ISNUMBER(SEARCH('Assignment Builder'!$B$6,$C1423))),OR('Assignment Builder'!$B$7="",'Assignment Builder'!$B$7=IFERROR(INDEX('Category Dictionary'!$C$5:$C$135,MATCH($L1423,'Category Dictionary'!$D$5:$D$135,0)),"")),OR('Assignment Builder'!$B$8="",$D1423='Assignment Builder'!$B$8),OR('Assignment Builder'!$B$9="",$F1423='Assignment Builder'!$B$9),OR('Assignment Builder'!$B$10="",$O1423='Assignment Builder'!$B$10),OR('Assignment Builder'!$B$11="",$H1423&gt;='Assignment Builder'!$B$11),OR('Assignment Builder'!$B$12="",N($Q1423)&lt;='Assignment Builder'!$B$12)))</f>
        <v/>
      </c>
      <c r="T1423" s="23" t="n"/>
    </row>
    <row r="1424">
      <c r="A1424" s="23" t="n"/>
      <c r="B1424" s="23" t="n"/>
      <c r="C1424" s="24" t="n"/>
      <c r="D1424" s="15" t="n"/>
      <c r="E1424" s="23" t="n"/>
      <c r="F1424" s="15" t="n"/>
      <c r="G1424" s="23" t="n"/>
      <c r="H1424" s="25" t="n"/>
      <c r="I1424" s="15" t="n"/>
      <c r="J1424" s="26">
        <f>IF($A1424="","",LEN($C1424)-LEN(SUBSTITUTE($C1424,",",""))+1)</f>
        <v/>
      </c>
      <c r="K1424" s="26">
        <f>IF($A1424="","",SUMPRODUCT(--ISNUMBER(SEARCH('Category Dictionary'!$D$5:$D$135&amp;"",$C1424)),--('Category Dictionary'!$D$5:$D$135&lt;&gt;"")))</f>
        <v/>
      </c>
      <c r="L1424" s="27">
        <f>IF($A1424="","",TRIM(IF(ISERROR(FIND(",",$C1424)),$C1424,LEFT($C1424,FIND(",",$C1424)-1))))</f>
        <v/>
      </c>
      <c r="M1424" s="28">
        <f>IF($H1424="","",DATE(YEAR($H1424),MONTH($H1424),1))</f>
        <v/>
      </c>
      <c r="N1424" s="26">
        <f>IF($H1424="","",TODAY()-$H1424)</f>
        <v/>
      </c>
      <c r="O1424" s="15" t="n"/>
      <c r="P1424" s="15" t="n"/>
      <c r="Q1424" s="15" t="n"/>
      <c r="R1424" s="25" t="n"/>
      <c r="S1424" s="26">
        <f>IF($A1424="","",AND(OR('Assignment Builder'!$B$5="",$B1424='Assignment Builder'!$B$5),OR('Assignment Builder'!$B$6="",ISNUMBER(SEARCH('Assignment Builder'!$B$6,$C1424))),OR('Assignment Builder'!$B$7="",'Assignment Builder'!$B$7=IFERROR(INDEX('Category Dictionary'!$C$5:$C$135,MATCH($L1424,'Category Dictionary'!$D$5:$D$135,0)),"")),OR('Assignment Builder'!$B$8="",$D1424='Assignment Builder'!$B$8),OR('Assignment Builder'!$B$9="",$F1424='Assignment Builder'!$B$9),OR('Assignment Builder'!$B$10="",$O1424='Assignment Builder'!$B$10),OR('Assignment Builder'!$B$11="",$H1424&gt;='Assignment Builder'!$B$11),OR('Assignment Builder'!$B$12="",N($Q1424)&lt;='Assignment Builder'!$B$12)))</f>
        <v/>
      </c>
      <c r="T1424" s="23" t="n"/>
    </row>
    <row r="1425">
      <c r="A1425" s="23" t="n"/>
      <c r="B1425" s="23" t="n"/>
      <c r="C1425" s="24" t="n"/>
      <c r="D1425" s="15" t="n"/>
      <c r="E1425" s="23" t="n"/>
      <c r="F1425" s="15" t="n"/>
      <c r="G1425" s="23" t="n"/>
      <c r="H1425" s="25" t="n"/>
      <c r="I1425" s="15" t="n"/>
      <c r="J1425" s="26">
        <f>IF($A1425="","",LEN($C1425)-LEN(SUBSTITUTE($C1425,",",""))+1)</f>
        <v/>
      </c>
      <c r="K1425" s="26">
        <f>IF($A1425="","",SUMPRODUCT(--ISNUMBER(SEARCH('Category Dictionary'!$D$5:$D$135&amp;"",$C1425)),--('Category Dictionary'!$D$5:$D$135&lt;&gt;"")))</f>
        <v/>
      </c>
      <c r="L1425" s="27">
        <f>IF($A1425="","",TRIM(IF(ISERROR(FIND(",",$C1425)),$C1425,LEFT($C1425,FIND(",",$C1425)-1))))</f>
        <v/>
      </c>
      <c r="M1425" s="28">
        <f>IF($H1425="","",DATE(YEAR($H1425),MONTH($H1425),1))</f>
        <v/>
      </c>
      <c r="N1425" s="26">
        <f>IF($H1425="","",TODAY()-$H1425)</f>
        <v/>
      </c>
      <c r="O1425" s="15" t="n"/>
      <c r="P1425" s="15" t="n"/>
      <c r="Q1425" s="15" t="n"/>
      <c r="R1425" s="25" t="n"/>
      <c r="S1425" s="26">
        <f>IF($A1425="","",AND(OR('Assignment Builder'!$B$5="",$B1425='Assignment Builder'!$B$5),OR('Assignment Builder'!$B$6="",ISNUMBER(SEARCH('Assignment Builder'!$B$6,$C1425))),OR('Assignment Builder'!$B$7="",'Assignment Builder'!$B$7=IFERROR(INDEX('Category Dictionary'!$C$5:$C$135,MATCH($L1425,'Category Dictionary'!$D$5:$D$135,0)),"")),OR('Assignment Builder'!$B$8="",$D1425='Assignment Builder'!$B$8),OR('Assignment Builder'!$B$9="",$F1425='Assignment Builder'!$B$9),OR('Assignment Builder'!$B$10="",$O1425='Assignment Builder'!$B$10),OR('Assignment Builder'!$B$11="",$H1425&gt;='Assignment Builder'!$B$11),OR('Assignment Builder'!$B$12="",N($Q1425)&lt;='Assignment Builder'!$B$12)))</f>
        <v/>
      </c>
      <c r="T1425" s="23" t="n"/>
    </row>
    <row r="1426">
      <c r="A1426" s="23" t="n"/>
      <c r="B1426" s="23" t="n"/>
      <c r="C1426" s="24" t="n"/>
      <c r="D1426" s="15" t="n"/>
      <c r="E1426" s="23" t="n"/>
      <c r="F1426" s="15" t="n"/>
      <c r="G1426" s="23" t="n"/>
      <c r="H1426" s="25" t="n"/>
      <c r="I1426" s="15" t="n"/>
      <c r="J1426" s="26">
        <f>IF($A1426="","",LEN($C1426)-LEN(SUBSTITUTE($C1426,",",""))+1)</f>
        <v/>
      </c>
      <c r="K1426" s="26">
        <f>IF($A1426="","",SUMPRODUCT(--ISNUMBER(SEARCH('Category Dictionary'!$D$5:$D$135&amp;"",$C1426)),--('Category Dictionary'!$D$5:$D$135&lt;&gt;"")))</f>
        <v/>
      </c>
      <c r="L1426" s="27">
        <f>IF($A1426="","",TRIM(IF(ISERROR(FIND(",",$C1426)),$C1426,LEFT($C1426,FIND(",",$C1426)-1))))</f>
        <v/>
      </c>
      <c r="M1426" s="28">
        <f>IF($H1426="","",DATE(YEAR($H1426),MONTH($H1426),1))</f>
        <v/>
      </c>
      <c r="N1426" s="26">
        <f>IF($H1426="","",TODAY()-$H1426)</f>
        <v/>
      </c>
      <c r="O1426" s="15" t="n"/>
      <c r="P1426" s="15" t="n"/>
      <c r="Q1426" s="15" t="n"/>
      <c r="R1426" s="25" t="n"/>
      <c r="S1426" s="26">
        <f>IF($A1426="","",AND(OR('Assignment Builder'!$B$5="",$B1426='Assignment Builder'!$B$5),OR('Assignment Builder'!$B$6="",ISNUMBER(SEARCH('Assignment Builder'!$B$6,$C1426))),OR('Assignment Builder'!$B$7="",'Assignment Builder'!$B$7=IFERROR(INDEX('Category Dictionary'!$C$5:$C$135,MATCH($L1426,'Category Dictionary'!$D$5:$D$135,0)),"")),OR('Assignment Builder'!$B$8="",$D1426='Assignment Builder'!$B$8),OR('Assignment Builder'!$B$9="",$F1426='Assignment Builder'!$B$9),OR('Assignment Builder'!$B$10="",$O1426='Assignment Builder'!$B$10),OR('Assignment Builder'!$B$11="",$H1426&gt;='Assignment Builder'!$B$11),OR('Assignment Builder'!$B$12="",N($Q1426)&lt;='Assignment Builder'!$B$12)))</f>
        <v/>
      </c>
      <c r="T1426" s="23" t="n"/>
    </row>
    <row r="1427">
      <c r="A1427" s="23" t="n"/>
      <c r="B1427" s="23" t="n"/>
      <c r="C1427" s="24" t="n"/>
      <c r="D1427" s="15" t="n"/>
      <c r="E1427" s="23" t="n"/>
      <c r="F1427" s="15" t="n"/>
      <c r="G1427" s="23" t="n"/>
      <c r="H1427" s="25" t="n"/>
      <c r="I1427" s="15" t="n"/>
      <c r="J1427" s="26">
        <f>IF($A1427="","",LEN($C1427)-LEN(SUBSTITUTE($C1427,",",""))+1)</f>
        <v/>
      </c>
      <c r="K1427" s="26">
        <f>IF($A1427="","",SUMPRODUCT(--ISNUMBER(SEARCH('Category Dictionary'!$D$5:$D$135&amp;"",$C1427)),--('Category Dictionary'!$D$5:$D$135&lt;&gt;"")))</f>
        <v/>
      </c>
      <c r="L1427" s="27">
        <f>IF($A1427="","",TRIM(IF(ISERROR(FIND(",",$C1427)),$C1427,LEFT($C1427,FIND(",",$C1427)-1))))</f>
        <v/>
      </c>
      <c r="M1427" s="28">
        <f>IF($H1427="","",DATE(YEAR($H1427),MONTH($H1427),1))</f>
        <v/>
      </c>
      <c r="N1427" s="26">
        <f>IF($H1427="","",TODAY()-$H1427)</f>
        <v/>
      </c>
      <c r="O1427" s="15" t="n"/>
      <c r="P1427" s="15" t="n"/>
      <c r="Q1427" s="15" t="n"/>
      <c r="R1427" s="25" t="n"/>
      <c r="S1427" s="26">
        <f>IF($A1427="","",AND(OR('Assignment Builder'!$B$5="",$B1427='Assignment Builder'!$B$5),OR('Assignment Builder'!$B$6="",ISNUMBER(SEARCH('Assignment Builder'!$B$6,$C1427))),OR('Assignment Builder'!$B$7="",'Assignment Builder'!$B$7=IFERROR(INDEX('Category Dictionary'!$C$5:$C$135,MATCH($L1427,'Category Dictionary'!$D$5:$D$135,0)),"")),OR('Assignment Builder'!$B$8="",$D1427='Assignment Builder'!$B$8),OR('Assignment Builder'!$B$9="",$F1427='Assignment Builder'!$B$9),OR('Assignment Builder'!$B$10="",$O1427='Assignment Builder'!$B$10),OR('Assignment Builder'!$B$11="",$H1427&gt;='Assignment Builder'!$B$11),OR('Assignment Builder'!$B$12="",N($Q1427)&lt;='Assignment Builder'!$B$12)))</f>
        <v/>
      </c>
      <c r="T1427" s="23" t="n"/>
    </row>
    <row r="1428">
      <c r="A1428" s="23" t="n"/>
      <c r="B1428" s="23" t="n"/>
      <c r="C1428" s="24" t="n"/>
      <c r="D1428" s="15" t="n"/>
      <c r="E1428" s="23" t="n"/>
      <c r="F1428" s="15" t="n"/>
      <c r="G1428" s="23" t="n"/>
      <c r="H1428" s="25" t="n"/>
      <c r="I1428" s="15" t="n"/>
      <c r="J1428" s="26">
        <f>IF($A1428="","",LEN($C1428)-LEN(SUBSTITUTE($C1428,",",""))+1)</f>
        <v/>
      </c>
      <c r="K1428" s="26">
        <f>IF($A1428="","",SUMPRODUCT(--ISNUMBER(SEARCH('Category Dictionary'!$D$5:$D$135&amp;"",$C1428)),--('Category Dictionary'!$D$5:$D$135&lt;&gt;"")))</f>
        <v/>
      </c>
      <c r="L1428" s="27">
        <f>IF($A1428="","",TRIM(IF(ISERROR(FIND(",",$C1428)),$C1428,LEFT($C1428,FIND(",",$C1428)-1))))</f>
        <v/>
      </c>
      <c r="M1428" s="28">
        <f>IF($H1428="","",DATE(YEAR($H1428),MONTH($H1428),1))</f>
        <v/>
      </c>
      <c r="N1428" s="26">
        <f>IF($H1428="","",TODAY()-$H1428)</f>
        <v/>
      </c>
      <c r="O1428" s="15" t="n"/>
      <c r="P1428" s="15" t="n"/>
      <c r="Q1428" s="15" t="n"/>
      <c r="R1428" s="25" t="n"/>
      <c r="S1428" s="26">
        <f>IF($A1428="","",AND(OR('Assignment Builder'!$B$5="",$B1428='Assignment Builder'!$B$5),OR('Assignment Builder'!$B$6="",ISNUMBER(SEARCH('Assignment Builder'!$B$6,$C1428))),OR('Assignment Builder'!$B$7="",'Assignment Builder'!$B$7=IFERROR(INDEX('Category Dictionary'!$C$5:$C$135,MATCH($L1428,'Category Dictionary'!$D$5:$D$135,0)),"")),OR('Assignment Builder'!$B$8="",$D1428='Assignment Builder'!$B$8),OR('Assignment Builder'!$B$9="",$F1428='Assignment Builder'!$B$9),OR('Assignment Builder'!$B$10="",$O1428='Assignment Builder'!$B$10),OR('Assignment Builder'!$B$11="",$H1428&gt;='Assignment Builder'!$B$11),OR('Assignment Builder'!$B$12="",N($Q1428)&lt;='Assignment Builder'!$B$12)))</f>
        <v/>
      </c>
      <c r="T1428" s="23" t="n"/>
    </row>
    <row r="1429">
      <c r="A1429" s="23" t="n"/>
      <c r="B1429" s="23" t="n"/>
      <c r="C1429" s="24" t="n"/>
      <c r="D1429" s="15" t="n"/>
      <c r="E1429" s="23" t="n"/>
      <c r="F1429" s="15" t="n"/>
      <c r="G1429" s="23" t="n"/>
      <c r="H1429" s="25" t="n"/>
      <c r="I1429" s="15" t="n"/>
      <c r="J1429" s="26">
        <f>IF($A1429="","",LEN($C1429)-LEN(SUBSTITUTE($C1429,",",""))+1)</f>
        <v/>
      </c>
      <c r="K1429" s="26">
        <f>IF($A1429="","",SUMPRODUCT(--ISNUMBER(SEARCH('Category Dictionary'!$D$5:$D$135&amp;"",$C1429)),--('Category Dictionary'!$D$5:$D$135&lt;&gt;"")))</f>
        <v/>
      </c>
      <c r="L1429" s="27">
        <f>IF($A1429="","",TRIM(IF(ISERROR(FIND(",",$C1429)),$C1429,LEFT($C1429,FIND(",",$C1429)-1))))</f>
        <v/>
      </c>
      <c r="M1429" s="28">
        <f>IF($H1429="","",DATE(YEAR($H1429),MONTH($H1429),1))</f>
        <v/>
      </c>
      <c r="N1429" s="26">
        <f>IF($H1429="","",TODAY()-$H1429)</f>
        <v/>
      </c>
      <c r="O1429" s="15" t="n"/>
      <c r="P1429" s="15" t="n"/>
      <c r="Q1429" s="15" t="n"/>
      <c r="R1429" s="25" t="n"/>
      <c r="S1429" s="26">
        <f>IF($A1429="","",AND(OR('Assignment Builder'!$B$5="",$B1429='Assignment Builder'!$B$5),OR('Assignment Builder'!$B$6="",ISNUMBER(SEARCH('Assignment Builder'!$B$6,$C1429))),OR('Assignment Builder'!$B$7="",'Assignment Builder'!$B$7=IFERROR(INDEX('Category Dictionary'!$C$5:$C$135,MATCH($L1429,'Category Dictionary'!$D$5:$D$135,0)),"")),OR('Assignment Builder'!$B$8="",$D1429='Assignment Builder'!$B$8),OR('Assignment Builder'!$B$9="",$F1429='Assignment Builder'!$B$9),OR('Assignment Builder'!$B$10="",$O1429='Assignment Builder'!$B$10),OR('Assignment Builder'!$B$11="",$H1429&gt;='Assignment Builder'!$B$11),OR('Assignment Builder'!$B$12="",N($Q1429)&lt;='Assignment Builder'!$B$12)))</f>
        <v/>
      </c>
      <c r="T1429" s="23" t="n"/>
    </row>
    <row r="1430">
      <c r="A1430" s="23" t="n"/>
      <c r="B1430" s="23" t="n"/>
      <c r="C1430" s="24" t="n"/>
      <c r="D1430" s="15" t="n"/>
      <c r="E1430" s="23" t="n"/>
      <c r="F1430" s="15" t="n"/>
      <c r="G1430" s="23" t="n"/>
      <c r="H1430" s="25" t="n"/>
      <c r="I1430" s="15" t="n"/>
      <c r="J1430" s="26">
        <f>IF($A1430="","",LEN($C1430)-LEN(SUBSTITUTE($C1430,",",""))+1)</f>
        <v/>
      </c>
      <c r="K1430" s="26">
        <f>IF($A1430="","",SUMPRODUCT(--ISNUMBER(SEARCH('Category Dictionary'!$D$5:$D$135&amp;"",$C1430)),--('Category Dictionary'!$D$5:$D$135&lt;&gt;"")))</f>
        <v/>
      </c>
      <c r="L1430" s="27">
        <f>IF($A1430="","",TRIM(IF(ISERROR(FIND(",",$C1430)),$C1430,LEFT($C1430,FIND(",",$C1430)-1))))</f>
        <v/>
      </c>
      <c r="M1430" s="28">
        <f>IF($H1430="","",DATE(YEAR($H1430),MONTH($H1430),1))</f>
        <v/>
      </c>
      <c r="N1430" s="26">
        <f>IF($H1430="","",TODAY()-$H1430)</f>
        <v/>
      </c>
      <c r="O1430" s="15" t="n"/>
      <c r="P1430" s="15" t="n"/>
      <c r="Q1430" s="15" t="n"/>
      <c r="R1430" s="25" t="n"/>
      <c r="S1430" s="26">
        <f>IF($A1430="","",AND(OR('Assignment Builder'!$B$5="",$B1430='Assignment Builder'!$B$5),OR('Assignment Builder'!$B$6="",ISNUMBER(SEARCH('Assignment Builder'!$B$6,$C1430))),OR('Assignment Builder'!$B$7="",'Assignment Builder'!$B$7=IFERROR(INDEX('Category Dictionary'!$C$5:$C$135,MATCH($L1430,'Category Dictionary'!$D$5:$D$135,0)),"")),OR('Assignment Builder'!$B$8="",$D1430='Assignment Builder'!$B$8),OR('Assignment Builder'!$B$9="",$F1430='Assignment Builder'!$B$9),OR('Assignment Builder'!$B$10="",$O1430='Assignment Builder'!$B$10),OR('Assignment Builder'!$B$11="",$H1430&gt;='Assignment Builder'!$B$11),OR('Assignment Builder'!$B$12="",N($Q1430)&lt;='Assignment Builder'!$B$12)))</f>
        <v/>
      </c>
      <c r="T1430" s="23" t="n"/>
    </row>
    <row r="1431">
      <c r="A1431" s="23" t="n"/>
      <c r="B1431" s="23" t="n"/>
      <c r="C1431" s="24" t="n"/>
      <c r="D1431" s="15" t="n"/>
      <c r="E1431" s="23" t="n"/>
      <c r="F1431" s="15" t="n"/>
      <c r="G1431" s="23" t="n"/>
      <c r="H1431" s="25" t="n"/>
      <c r="I1431" s="15" t="n"/>
      <c r="J1431" s="26">
        <f>IF($A1431="","",LEN($C1431)-LEN(SUBSTITUTE($C1431,",",""))+1)</f>
        <v/>
      </c>
      <c r="K1431" s="26">
        <f>IF($A1431="","",SUMPRODUCT(--ISNUMBER(SEARCH('Category Dictionary'!$D$5:$D$135&amp;"",$C1431)),--('Category Dictionary'!$D$5:$D$135&lt;&gt;"")))</f>
        <v/>
      </c>
      <c r="L1431" s="27">
        <f>IF($A1431="","",TRIM(IF(ISERROR(FIND(",",$C1431)),$C1431,LEFT($C1431,FIND(",",$C1431)-1))))</f>
        <v/>
      </c>
      <c r="M1431" s="28">
        <f>IF($H1431="","",DATE(YEAR($H1431),MONTH($H1431),1))</f>
        <v/>
      </c>
      <c r="N1431" s="26">
        <f>IF($H1431="","",TODAY()-$H1431)</f>
        <v/>
      </c>
      <c r="O1431" s="15" t="n"/>
      <c r="P1431" s="15" t="n"/>
      <c r="Q1431" s="15" t="n"/>
      <c r="R1431" s="25" t="n"/>
      <c r="S1431" s="26">
        <f>IF($A1431="","",AND(OR('Assignment Builder'!$B$5="",$B1431='Assignment Builder'!$B$5),OR('Assignment Builder'!$B$6="",ISNUMBER(SEARCH('Assignment Builder'!$B$6,$C1431))),OR('Assignment Builder'!$B$7="",'Assignment Builder'!$B$7=IFERROR(INDEX('Category Dictionary'!$C$5:$C$135,MATCH($L1431,'Category Dictionary'!$D$5:$D$135,0)),"")),OR('Assignment Builder'!$B$8="",$D1431='Assignment Builder'!$B$8),OR('Assignment Builder'!$B$9="",$F1431='Assignment Builder'!$B$9),OR('Assignment Builder'!$B$10="",$O1431='Assignment Builder'!$B$10),OR('Assignment Builder'!$B$11="",$H1431&gt;='Assignment Builder'!$B$11),OR('Assignment Builder'!$B$12="",N($Q1431)&lt;='Assignment Builder'!$B$12)))</f>
        <v/>
      </c>
      <c r="T1431" s="23" t="n"/>
    </row>
    <row r="1432">
      <c r="A1432" s="23" t="n"/>
      <c r="B1432" s="23" t="n"/>
      <c r="C1432" s="24" t="n"/>
      <c r="D1432" s="15" t="n"/>
      <c r="E1432" s="23" t="n"/>
      <c r="F1432" s="15" t="n"/>
      <c r="G1432" s="23" t="n"/>
      <c r="H1432" s="25" t="n"/>
      <c r="I1432" s="15" t="n"/>
      <c r="J1432" s="26">
        <f>IF($A1432="","",LEN($C1432)-LEN(SUBSTITUTE($C1432,",",""))+1)</f>
        <v/>
      </c>
      <c r="K1432" s="26">
        <f>IF($A1432="","",SUMPRODUCT(--ISNUMBER(SEARCH('Category Dictionary'!$D$5:$D$135&amp;"",$C1432)),--('Category Dictionary'!$D$5:$D$135&lt;&gt;"")))</f>
        <v/>
      </c>
      <c r="L1432" s="27">
        <f>IF($A1432="","",TRIM(IF(ISERROR(FIND(",",$C1432)),$C1432,LEFT($C1432,FIND(",",$C1432)-1))))</f>
        <v/>
      </c>
      <c r="M1432" s="28">
        <f>IF($H1432="","",DATE(YEAR($H1432),MONTH($H1432),1))</f>
        <v/>
      </c>
      <c r="N1432" s="26">
        <f>IF($H1432="","",TODAY()-$H1432)</f>
        <v/>
      </c>
      <c r="O1432" s="15" t="n"/>
      <c r="P1432" s="15" t="n"/>
      <c r="Q1432" s="15" t="n"/>
      <c r="R1432" s="25" t="n"/>
      <c r="S1432" s="26">
        <f>IF($A1432="","",AND(OR('Assignment Builder'!$B$5="",$B1432='Assignment Builder'!$B$5),OR('Assignment Builder'!$B$6="",ISNUMBER(SEARCH('Assignment Builder'!$B$6,$C1432))),OR('Assignment Builder'!$B$7="",'Assignment Builder'!$B$7=IFERROR(INDEX('Category Dictionary'!$C$5:$C$135,MATCH($L1432,'Category Dictionary'!$D$5:$D$135,0)),"")),OR('Assignment Builder'!$B$8="",$D1432='Assignment Builder'!$B$8),OR('Assignment Builder'!$B$9="",$F1432='Assignment Builder'!$B$9),OR('Assignment Builder'!$B$10="",$O1432='Assignment Builder'!$B$10),OR('Assignment Builder'!$B$11="",$H1432&gt;='Assignment Builder'!$B$11),OR('Assignment Builder'!$B$12="",N($Q1432)&lt;='Assignment Builder'!$B$12)))</f>
        <v/>
      </c>
      <c r="T1432" s="23" t="n"/>
    </row>
    <row r="1433">
      <c r="A1433" s="23" t="n"/>
      <c r="B1433" s="23" t="n"/>
      <c r="C1433" s="24" t="n"/>
      <c r="D1433" s="15" t="n"/>
      <c r="E1433" s="23" t="n"/>
      <c r="F1433" s="15" t="n"/>
      <c r="G1433" s="23" t="n"/>
      <c r="H1433" s="25" t="n"/>
      <c r="I1433" s="15" t="n"/>
      <c r="J1433" s="26">
        <f>IF($A1433="","",LEN($C1433)-LEN(SUBSTITUTE($C1433,",",""))+1)</f>
        <v/>
      </c>
      <c r="K1433" s="26">
        <f>IF($A1433="","",SUMPRODUCT(--ISNUMBER(SEARCH('Category Dictionary'!$D$5:$D$135&amp;"",$C1433)),--('Category Dictionary'!$D$5:$D$135&lt;&gt;"")))</f>
        <v/>
      </c>
      <c r="L1433" s="27">
        <f>IF($A1433="","",TRIM(IF(ISERROR(FIND(",",$C1433)),$C1433,LEFT($C1433,FIND(",",$C1433)-1))))</f>
        <v/>
      </c>
      <c r="M1433" s="28">
        <f>IF($H1433="","",DATE(YEAR($H1433),MONTH($H1433),1))</f>
        <v/>
      </c>
      <c r="N1433" s="26">
        <f>IF($H1433="","",TODAY()-$H1433)</f>
        <v/>
      </c>
      <c r="O1433" s="15" t="n"/>
      <c r="P1433" s="15" t="n"/>
      <c r="Q1433" s="15" t="n"/>
      <c r="R1433" s="25" t="n"/>
      <c r="S1433" s="26">
        <f>IF($A1433="","",AND(OR('Assignment Builder'!$B$5="",$B1433='Assignment Builder'!$B$5),OR('Assignment Builder'!$B$6="",ISNUMBER(SEARCH('Assignment Builder'!$B$6,$C1433))),OR('Assignment Builder'!$B$7="",'Assignment Builder'!$B$7=IFERROR(INDEX('Category Dictionary'!$C$5:$C$135,MATCH($L1433,'Category Dictionary'!$D$5:$D$135,0)),"")),OR('Assignment Builder'!$B$8="",$D1433='Assignment Builder'!$B$8),OR('Assignment Builder'!$B$9="",$F1433='Assignment Builder'!$B$9),OR('Assignment Builder'!$B$10="",$O1433='Assignment Builder'!$B$10),OR('Assignment Builder'!$B$11="",$H1433&gt;='Assignment Builder'!$B$11),OR('Assignment Builder'!$B$12="",N($Q1433)&lt;='Assignment Builder'!$B$12)))</f>
        <v/>
      </c>
      <c r="T1433" s="23" t="n"/>
    </row>
    <row r="1434">
      <c r="A1434" s="23" t="n"/>
      <c r="B1434" s="23" t="n"/>
      <c r="C1434" s="24" t="n"/>
      <c r="D1434" s="15" t="n"/>
      <c r="E1434" s="23" t="n"/>
      <c r="F1434" s="15" t="n"/>
      <c r="G1434" s="23" t="n"/>
      <c r="H1434" s="25" t="n"/>
      <c r="I1434" s="15" t="n"/>
      <c r="J1434" s="26">
        <f>IF($A1434="","",LEN($C1434)-LEN(SUBSTITUTE($C1434,",",""))+1)</f>
        <v/>
      </c>
      <c r="K1434" s="26">
        <f>IF($A1434="","",SUMPRODUCT(--ISNUMBER(SEARCH('Category Dictionary'!$D$5:$D$135&amp;"",$C1434)),--('Category Dictionary'!$D$5:$D$135&lt;&gt;"")))</f>
        <v/>
      </c>
      <c r="L1434" s="27">
        <f>IF($A1434="","",TRIM(IF(ISERROR(FIND(",",$C1434)),$C1434,LEFT($C1434,FIND(",",$C1434)-1))))</f>
        <v/>
      </c>
      <c r="M1434" s="28">
        <f>IF($H1434="","",DATE(YEAR($H1434),MONTH($H1434),1))</f>
        <v/>
      </c>
      <c r="N1434" s="26">
        <f>IF($H1434="","",TODAY()-$H1434)</f>
        <v/>
      </c>
      <c r="O1434" s="15" t="n"/>
      <c r="P1434" s="15" t="n"/>
      <c r="Q1434" s="15" t="n"/>
      <c r="R1434" s="25" t="n"/>
      <c r="S1434" s="26">
        <f>IF($A1434="","",AND(OR('Assignment Builder'!$B$5="",$B1434='Assignment Builder'!$B$5),OR('Assignment Builder'!$B$6="",ISNUMBER(SEARCH('Assignment Builder'!$B$6,$C1434))),OR('Assignment Builder'!$B$7="",'Assignment Builder'!$B$7=IFERROR(INDEX('Category Dictionary'!$C$5:$C$135,MATCH($L1434,'Category Dictionary'!$D$5:$D$135,0)),"")),OR('Assignment Builder'!$B$8="",$D1434='Assignment Builder'!$B$8),OR('Assignment Builder'!$B$9="",$F1434='Assignment Builder'!$B$9),OR('Assignment Builder'!$B$10="",$O1434='Assignment Builder'!$B$10),OR('Assignment Builder'!$B$11="",$H1434&gt;='Assignment Builder'!$B$11),OR('Assignment Builder'!$B$12="",N($Q1434)&lt;='Assignment Builder'!$B$12)))</f>
        <v/>
      </c>
      <c r="T1434" s="23" t="n"/>
    </row>
    <row r="1435">
      <c r="A1435" s="23" t="n"/>
      <c r="B1435" s="23" t="n"/>
      <c r="C1435" s="24" t="n"/>
      <c r="D1435" s="15" t="n"/>
      <c r="E1435" s="23" t="n"/>
      <c r="F1435" s="15" t="n"/>
      <c r="G1435" s="23" t="n"/>
      <c r="H1435" s="25" t="n"/>
      <c r="I1435" s="15" t="n"/>
      <c r="J1435" s="26">
        <f>IF($A1435="","",LEN($C1435)-LEN(SUBSTITUTE($C1435,",",""))+1)</f>
        <v/>
      </c>
      <c r="K1435" s="26">
        <f>IF($A1435="","",SUMPRODUCT(--ISNUMBER(SEARCH('Category Dictionary'!$D$5:$D$135&amp;"",$C1435)),--('Category Dictionary'!$D$5:$D$135&lt;&gt;"")))</f>
        <v/>
      </c>
      <c r="L1435" s="27">
        <f>IF($A1435="","",TRIM(IF(ISERROR(FIND(",",$C1435)),$C1435,LEFT($C1435,FIND(",",$C1435)-1))))</f>
        <v/>
      </c>
      <c r="M1435" s="28">
        <f>IF($H1435="","",DATE(YEAR($H1435),MONTH($H1435),1))</f>
        <v/>
      </c>
      <c r="N1435" s="26">
        <f>IF($H1435="","",TODAY()-$H1435)</f>
        <v/>
      </c>
      <c r="O1435" s="15" t="n"/>
      <c r="P1435" s="15" t="n"/>
      <c r="Q1435" s="15" t="n"/>
      <c r="R1435" s="25" t="n"/>
      <c r="S1435" s="26">
        <f>IF($A1435="","",AND(OR('Assignment Builder'!$B$5="",$B1435='Assignment Builder'!$B$5),OR('Assignment Builder'!$B$6="",ISNUMBER(SEARCH('Assignment Builder'!$B$6,$C1435))),OR('Assignment Builder'!$B$7="",'Assignment Builder'!$B$7=IFERROR(INDEX('Category Dictionary'!$C$5:$C$135,MATCH($L1435,'Category Dictionary'!$D$5:$D$135,0)),"")),OR('Assignment Builder'!$B$8="",$D1435='Assignment Builder'!$B$8),OR('Assignment Builder'!$B$9="",$F1435='Assignment Builder'!$B$9),OR('Assignment Builder'!$B$10="",$O1435='Assignment Builder'!$B$10),OR('Assignment Builder'!$B$11="",$H1435&gt;='Assignment Builder'!$B$11),OR('Assignment Builder'!$B$12="",N($Q1435)&lt;='Assignment Builder'!$B$12)))</f>
        <v/>
      </c>
      <c r="T1435" s="23" t="n"/>
    </row>
    <row r="1436">
      <c r="A1436" s="23" t="n"/>
      <c r="B1436" s="23" t="n"/>
      <c r="C1436" s="24" t="n"/>
      <c r="D1436" s="15" t="n"/>
      <c r="E1436" s="23" t="n"/>
      <c r="F1436" s="15" t="n"/>
      <c r="G1436" s="23" t="n"/>
      <c r="H1436" s="25" t="n"/>
      <c r="I1436" s="15" t="n"/>
      <c r="J1436" s="26">
        <f>IF($A1436="","",LEN($C1436)-LEN(SUBSTITUTE($C1436,",",""))+1)</f>
        <v/>
      </c>
      <c r="K1436" s="26">
        <f>IF($A1436="","",SUMPRODUCT(--ISNUMBER(SEARCH('Category Dictionary'!$D$5:$D$135&amp;"",$C1436)),--('Category Dictionary'!$D$5:$D$135&lt;&gt;"")))</f>
        <v/>
      </c>
      <c r="L1436" s="27">
        <f>IF($A1436="","",TRIM(IF(ISERROR(FIND(",",$C1436)),$C1436,LEFT($C1436,FIND(",",$C1436)-1))))</f>
        <v/>
      </c>
      <c r="M1436" s="28">
        <f>IF($H1436="","",DATE(YEAR($H1436),MONTH($H1436),1))</f>
        <v/>
      </c>
      <c r="N1436" s="26">
        <f>IF($H1436="","",TODAY()-$H1436)</f>
        <v/>
      </c>
      <c r="O1436" s="15" t="n"/>
      <c r="P1436" s="15" t="n"/>
      <c r="Q1436" s="15" t="n"/>
      <c r="R1436" s="25" t="n"/>
      <c r="S1436" s="26">
        <f>IF($A1436="","",AND(OR('Assignment Builder'!$B$5="",$B1436='Assignment Builder'!$B$5),OR('Assignment Builder'!$B$6="",ISNUMBER(SEARCH('Assignment Builder'!$B$6,$C1436))),OR('Assignment Builder'!$B$7="",'Assignment Builder'!$B$7=IFERROR(INDEX('Category Dictionary'!$C$5:$C$135,MATCH($L1436,'Category Dictionary'!$D$5:$D$135,0)),"")),OR('Assignment Builder'!$B$8="",$D1436='Assignment Builder'!$B$8),OR('Assignment Builder'!$B$9="",$F1436='Assignment Builder'!$B$9),OR('Assignment Builder'!$B$10="",$O1436='Assignment Builder'!$B$10),OR('Assignment Builder'!$B$11="",$H1436&gt;='Assignment Builder'!$B$11),OR('Assignment Builder'!$B$12="",N($Q1436)&lt;='Assignment Builder'!$B$12)))</f>
        <v/>
      </c>
      <c r="T1436" s="23" t="n"/>
    </row>
    <row r="1437">
      <c r="A1437" s="23" t="n"/>
      <c r="B1437" s="23" t="n"/>
      <c r="C1437" s="24" t="n"/>
      <c r="D1437" s="15" t="n"/>
      <c r="E1437" s="23" t="n"/>
      <c r="F1437" s="15" t="n"/>
      <c r="G1437" s="23" t="n"/>
      <c r="H1437" s="25" t="n"/>
      <c r="I1437" s="15" t="n"/>
      <c r="J1437" s="26">
        <f>IF($A1437="","",LEN($C1437)-LEN(SUBSTITUTE($C1437,",",""))+1)</f>
        <v/>
      </c>
      <c r="K1437" s="26">
        <f>IF($A1437="","",SUMPRODUCT(--ISNUMBER(SEARCH('Category Dictionary'!$D$5:$D$135&amp;"",$C1437)),--('Category Dictionary'!$D$5:$D$135&lt;&gt;"")))</f>
        <v/>
      </c>
      <c r="L1437" s="27">
        <f>IF($A1437="","",TRIM(IF(ISERROR(FIND(",",$C1437)),$C1437,LEFT($C1437,FIND(",",$C1437)-1))))</f>
        <v/>
      </c>
      <c r="M1437" s="28">
        <f>IF($H1437="","",DATE(YEAR($H1437),MONTH($H1437),1))</f>
        <v/>
      </c>
      <c r="N1437" s="26">
        <f>IF($H1437="","",TODAY()-$H1437)</f>
        <v/>
      </c>
      <c r="O1437" s="15" t="n"/>
      <c r="P1437" s="15" t="n"/>
      <c r="Q1437" s="15" t="n"/>
      <c r="R1437" s="25" t="n"/>
      <c r="S1437" s="26">
        <f>IF($A1437="","",AND(OR('Assignment Builder'!$B$5="",$B1437='Assignment Builder'!$B$5),OR('Assignment Builder'!$B$6="",ISNUMBER(SEARCH('Assignment Builder'!$B$6,$C1437))),OR('Assignment Builder'!$B$7="",'Assignment Builder'!$B$7=IFERROR(INDEX('Category Dictionary'!$C$5:$C$135,MATCH($L1437,'Category Dictionary'!$D$5:$D$135,0)),"")),OR('Assignment Builder'!$B$8="",$D1437='Assignment Builder'!$B$8),OR('Assignment Builder'!$B$9="",$F1437='Assignment Builder'!$B$9),OR('Assignment Builder'!$B$10="",$O1437='Assignment Builder'!$B$10),OR('Assignment Builder'!$B$11="",$H1437&gt;='Assignment Builder'!$B$11),OR('Assignment Builder'!$B$12="",N($Q1437)&lt;='Assignment Builder'!$B$12)))</f>
        <v/>
      </c>
      <c r="T1437" s="23" t="n"/>
    </row>
    <row r="1438">
      <c r="A1438" s="23" t="n"/>
      <c r="B1438" s="23" t="n"/>
      <c r="C1438" s="24" t="n"/>
      <c r="D1438" s="15" t="n"/>
      <c r="E1438" s="23" t="n"/>
      <c r="F1438" s="15" t="n"/>
      <c r="G1438" s="23" t="n"/>
      <c r="H1438" s="25" t="n"/>
      <c r="I1438" s="15" t="n"/>
      <c r="J1438" s="26">
        <f>IF($A1438="","",LEN($C1438)-LEN(SUBSTITUTE($C1438,",",""))+1)</f>
        <v/>
      </c>
      <c r="K1438" s="26">
        <f>IF($A1438="","",SUMPRODUCT(--ISNUMBER(SEARCH('Category Dictionary'!$D$5:$D$135&amp;"",$C1438)),--('Category Dictionary'!$D$5:$D$135&lt;&gt;"")))</f>
        <v/>
      </c>
      <c r="L1438" s="27">
        <f>IF($A1438="","",TRIM(IF(ISERROR(FIND(",",$C1438)),$C1438,LEFT($C1438,FIND(",",$C1438)-1))))</f>
        <v/>
      </c>
      <c r="M1438" s="28">
        <f>IF($H1438="","",DATE(YEAR($H1438),MONTH($H1438),1))</f>
        <v/>
      </c>
      <c r="N1438" s="26">
        <f>IF($H1438="","",TODAY()-$H1438)</f>
        <v/>
      </c>
      <c r="O1438" s="15" t="n"/>
      <c r="P1438" s="15" t="n"/>
      <c r="Q1438" s="15" t="n"/>
      <c r="R1438" s="25" t="n"/>
      <c r="S1438" s="26">
        <f>IF($A1438="","",AND(OR('Assignment Builder'!$B$5="",$B1438='Assignment Builder'!$B$5),OR('Assignment Builder'!$B$6="",ISNUMBER(SEARCH('Assignment Builder'!$B$6,$C1438))),OR('Assignment Builder'!$B$7="",'Assignment Builder'!$B$7=IFERROR(INDEX('Category Dictionary'!$C$5:$C$135,MATCH($L1438,'Category Dictionary'!$D$5:$D$135,0)),"")),OR('Assignment Builder'!$B$8="",$D1438='Assignment Builder'!$B$8),OR('Assignment Builder'!$B$9="",$F1438='Assignment Builder'!$B$9),OR('Assignment Builder'!$B$10="",$O1438='Assignment Builder'!$B$10),OR('Assignment Builder'!$B$11="",$H1438&gt;='Assignment Builder'!$B$11),OR('Assignment Builder'!$B$12="",N($Q1438)&lt;='Assignment Builder'!$B$12)))</f>
        <v/>
      </c>
      <c r="T1438" s="23" t="n"/>
    </row>
    <row r="1439">
      <c r="A1439" s="23" t="n"/>
      <c r="B1439" s="23" t="n"/>
      <c r="C1439" s="24" t="n"/>
      <c r="D1439" s="15" t="n"/>
      <c r="E1439" s="23" t="n"/>
      <c r="F1439" s="15" t="n"/>
      <c r="G1439" s="23" t="n"/>
      <c r="H1439" s="25" t="n"/>
      <c r="I1439" s="15" t="n"/>
      <c r="J1439" s="26">
        <f>IF($A1439="","",LEN($C1439)-LEN(SUBSTITUTE($C1439,",",""))+1)</f>
        <v/>
      </c>
      <c r="K1439" s="26">
        <f>IF($A1439="","",SUMPRODUCT(--ISNUMBER(SEARCH('Category Dictionary'!$D$5:$D$135&amp;"",$C1439)),--('Category Dictionary'!$D$5:$D$135&lt;&gt;"")))</f>
        <v/>
      </c>
      <c r="L1439" s="27">
        <f>IF($A1439="","",TRIM(IF(ISERROR(FIND(",",$C1439)),$C1439,LEFT($C1439,FIND(",",$C1439)-1))))</f>
        <v/>
      </c>
      <c r="M1439" s="28">
        <f>IF($H1439="","",DATE(YEAR($H1439),MONTH($H1439),1))</f>
        <v/>
      </c>
      <c r="N1439" s="26">
        <f>IF($H1439="","",TODAY()-$H1439)</f>
        <v/>
      </c>
      <c r="O1439" s="15" t="n"/>
      <c r="P1439" s="15" t="n"/>
      <c r="Q1439" s="15" t="n"/>
      <c r="R1439" s="25" t="n"/>
      <c r="S1439" s="26">
        <f>IF($A1439="","",AND(OR('Assignment Builder'!$B$5="",$B1439='Assignment Builder'!$B$5),OR('Assignment Builder'!$B$6="",ISNUMBER(SEARCH('Assignment Builder'!$B$6,$C1439))),OR('Assignment Builder'!$B$7="",'Assignment Builder'!$B$7=IFERROR(INDEX('Category Dictionary'!$C$5:$C$135,MATCH($L1439,'Category Dictionary'!$D$5:$D$135,0)),"")),OR('Assignment Builder'!$B$8="",$D1439='Assignment Builder'!$B$8),OR('Assignment Builder'!$B$9="",$F1439='Assignment Builder'!$B$9),OR('Assignment Builder'!$B$10="",$O1439='Assignment Builder'!$B$10),OR('Assignment Builder'!$B$11="",$H1439&gt;='Assignment Builder'!$B$11),OR('Assignment Builder'!$B$12="",N($Q1439)&lt;='Assignment Builder'!$B$12)))</f>
        <v/>
      </c>
      <c r="T1439" s="23" t="n"/>
    </row>
    <row r="1440">
      <c r="A1440" s="23" t="n"/>
      <c r="B1440" s="23" t="n"/>
      <c r="C1440" s="24" t="n"/>
      <c r="D1440" s="15" t="n"/>
      <c r="E1440" s="23" t="n"/>
      <c r="F1440" s="15" t="n"/>
      <c r="G1440" s="23" t="n"/>
      <c r="H1440" s="25" t="n"/>
      <c r="I1440" s="15" t="n"/>
      <c r="J1440" s="26">
        <f>IF($A1440="","",LEN($C1440)-LEN(SUBSTITUTE($C1440,",",""))+1)</f>
        <v/>
      </c>
      <c r="K1440" s="26">
        <f>IF($A1440="","",SUMPRODUCT(--ISNUMBER(SEARCH('Category Dictionary'!$D$5:$D$135&amp;"",$C1440)),--('Category Dictionary'!$D$5:$D$135&lt;&gt;"")))</f>
        <v/>
      </c>
      <c r="L1440" s="27">
        <f>IF($A1440="","",TRIM(IF(ISERROR(FIND(",",$C1440)),$C1440,LEFT($C1440,FIND(",",$C1440)-1))))</f>
        <v/>
      </c>
      <c r="M1440" s="28">
        <f>IF($H1440="","",DATE(YEAR($H1440),MONTH($H1440),1))</f>
        <v/>
      </c>
      <c r="N1440" s="26">
        <f>IF($H1440="","",TODAY()-$H1440)</f>
        <v/>
      </c>
      <c r="O1440" s="15" t="n"/>
      <c r="P1440" s="15" t="n"/>
      <c r="Q1440" s="15" t="n"/>
      <c r="R1440" s="25" t="n"/>
      <c r="S1440" s="26">
        <f>IF($A1440="","",AND(OR('Assignment Builder'!$B$5="",$B1440='Assignment Builder'!$B$5),OR('Assignment Builder'!$B$6="",ISNUMBER(SEARCH('Assignment Builder'!$B$6,$C1440))),OR('Assignment Builder'!$B$7="",'Assignment Builder'!$B$7=IFERROR(INDEX('Category Dictionary'!$C$5:$C$135,MATCH($L1440,'Category Dictionary'!$D$5:$D$135,0)),"")),OR('Assignment Builder'!$B$8="",$D1440='Assignment Builder'!$B$8),OR('Assignment Builder'!$B$9="",$F1440='Assignment Builder'!$B$9),OR('Assignment Builder'!$B$10="",$O1440='Assignment Builder'!$B$10),OR('Assignment Builder'!$B$11="",$H1440&gt;='Assignment Builder'!$B$11),OR('Assignment Builder'!$B$12="",N($Q1440)&lt;='Assignment Builder'!$B$12)))</f>
        <v/>
      </c>
      <c r="T1440" s="23" t="n"/>
    </row>
    <row r="1441">
      <c r="A1441" s="23" t="n"/>
      <c r="B1441" s="23" t="n"/>
      <c r="C1441" s="24" t="n"/>
      <c r="D1441" s="15" t="n"/>
      <c r="E1441" s="23" t="n"/>
      <c r="F1441" s="15" t="n"/>
      <c r="G1441" s="23" t="n"/>
      <c r="H1441" s="25" t="n"/>
      <c r="I1441" s="15" t="n"/>
      <c r="J1441" s="26">
        <f>IF($A1441="","",LEN($C1441)-LEN(SUBSTITUTE($C1441,",",""))+1)</f>
        <v/>
      </c>
      <c r="K1441" s="26">
        <f>IF($A1441="","",SUMPRODUCT(--ISNUMBER(SEARCH('Category Dictionary'!$D$5:$D$135&amp;"",$C1441)),--('Category Dictionary'!$D$5:$D$135&lt;&gt;"")))</f>
        <v/>
      </c>
      <c r="L1441" s="27">
        <f>IF($A1441="","",TRIM(IF(ISERROR(FIND(",",$C1441)),$C1441,LEFT($C1441,FIND(",",$C1441)-1))))</f>
        <v/>
      </c>
      <c r="M1441" s="28">
        <f>IF($H1441="","",DATE(YEAR($H1441),MONTH($H1441),1))</f>
        <v/>
      </c>
      <c r="N1441" s="26">
        <f>IF($H1441="","",TODAY()-$H1441)</f>
        <v/>
      </c>
      <c r="O1441" s="15" t="n"/>
      <c r="P1441" s="15" t="n"/>
      <c r="Q1441" s="15" t="n"/>
      <c r="R1441" s="25" t="n"/>
      <c r="S1441" s="26">
        <f>IF($A1441="","",AND(OR('Assignment Builder'!$B$5="",$B1441='Assignment Builder'!$B$5),OR('Assignment Builder'!$B$6="",ISNUMBER(SEARCH('Assignment Builder'!$B$6,$C1441))),OR('Assignment Builder'!$B$7="",'Assignment Builder'!$B$7=IFERROR(INDEX('Category Dictionary'!$C$5:$C$135,MATCH($L1441,'Category Dictionary'!$D$5:$D$135,0)),"")),OR('Assignment Builder'!$B$8="",$D1441='Assignment Builder'!$B$8),OR('Assignment Builder'!$B$9="",$F1441='Assignment Builder'!$B$9),OR('Assignment Builder'!$B$10="",$O1441='Assignment Builder'!$B$10),OR('Assignment Builder'!$B$11="",$H1441&gt;='Assignment Builder'!$B$11),OR('Assignment Builder'!$B$12="",N($Q1441)&lt;='Assignment Builder'!$B$12)))</f>
        <v/>
      </c>
      <c r="T1441" s="23" t="n"/>
    </row>
    <row r="1442">
      <c r="A1442" s="23" t="n"/>
      <c r="B1442" s="23" t="n"/>
      <c r="C1442" s="24" t="n"/>
      <c r="D1442" s="15" t="n"/>
      <c r="E1442" s="23" t="n"/>
      <c r="F1442" s="15" t="n"/>
      <c r="G1442" s="23" t="n"/>
      <c r="H1442" s="25" t="n"/>
      <c r="I1442" s="15" t="n"/>
      <c r="J1442" s="26">
        <f>IF($A1442="","",LEN($C1442)-LEN(SUBSTITUTE($C1442,",",""))+1)</f>
        <v/>
      </c>
      <c r="K1442" s="26">
        <f>IF($A1442="","",SUMPRODUCT(--ISNUMBER(SEARCH('Category Dictionary'!$D$5:$D$135&amp;"",$C1442)),--('Category Dictionary'!$D$5:$D$135&lt;&gt;"")))</f>
        <v/>
      </c>
      <c r="L1442" s="27">
        <f>IF($A1442="","",TRIM(IF(ISERROR(FIND(",",$C1442)),$C1442,LEFT($C1442,FIND(",",$C1442)-1))))</f>
        <v/>
      </c>
      <c r="M1442" s="28">
        <f>IF($H1442="","",DATE(YEAR($H1442),MONTH($H1442),1))</f>
        <v/>
      </c>
      <c r="N1442" s="26">
        <f>IF($H1442="","",TODAY()-$H1442)</f>
        <v/>
      </c>
      <c r="O1442" s="15" t="n"/>
      <c r="P1442" s="15" t="n"/>
      <c r="Q1442" s="15" t="n"/>
      <c r="R1442" s="25" t="n"/>
      <c r="S1442" s="26">
        <f>IF($A1442="","",AND(OR('Assignment Builder'!$B$5="",$B1442='Assignment Builder'!$B$5),OR('Assignment Builder'!$B$6="",ISNUMBER(SEARCH('Assignment Builder'!$B$6,$C1442))),OR('Assignment Builder'!$B$7="",'Assignment Builder'!$B$7=IFERROR(INDEX('Category Dictionary'!$C$5:$C$135,MATCH($L1442,'Category Dictionary'!$D$5:$D$135,0)),"")),OR('Assignment Builder'!$B$8="",$D1442='Assignment Builder'!$B$8),OR('Assignment Builder'!$B$9="",$F1442='Assignment Builder'!$B$9),OR('Assignment Builder'!$B$10="",$O1442='Assignment Builder'!$B$10),OR('Assignment Builder'!$B$11="",$H1442&gt;='Assignment Builder'!$B$11),OR('Assignment Builder'!$B$12="",N($Q1442)&lt;='Assignment Builder'!$B$12)))</f>
        <v/>
      </c>
      <c r="T1442" s="23" t="n"/>
    </row>
    <row r="1443">
      <c r="A1443" s="23" t="n"/>
      <c r="B1443" s="23" t="n"/>
      <c r="C1443" s="24" t="n"/>
      <c r="D1443" s="15" t="n"/>
      <c r="E1443" s="23" t="n"/>
      <c r="F1443" s="15" t="n"/>
      <c r="G1443" s="23" t="n"/>
      <c r="H1443" s="25" t="n"/>
      <c r="I1443" s="15" t="n"/>
      <c r="J1443" s="26">
        <f>IF($A1443="","",LEN($C1443)-LEN(SUBSTITUTE($C1443,",",""))+1)</f>
        <v/>
      </c>
      <c r="K1443" s="26">
        <f>IF($A1443="","",SUMPRODUCT(--ISNUMBER(SEARCH('Category Dictionary'!$D$5:$D$135&amp;"",$C1443)),--('Category Dictionary'!$D$5:$D$135&lt;&gt;"")))</f>
        <v/>
      </c>
      <c r="L1443" s="27">
        <f>IF($A1443="","",TRIM(IF(ISERROR(FIND(",",$C1443)),$C1443,LEFT($C1443,FIND(",",$C1443)-1))))</f>
        <v/>
      </c>
      <c r="M1443" s="28">
        <f>IF($H1443="","",DATE(YEAR($H1443),MONTH($H1443),1))</f>
        <v/>
      </c>
      <c r="N1443" s="26">
        <f>IF($H1443="","",TODAY()-$H1443)</f>
        <v/>
      </c>
      <c r="O1443" s="15" t="n"/>
      <c r="P1443" s="15" t="n"/>
      <c r="Q1443" s="15" t="n"/>
      <c r="R1443" s="25" t="n"/>
      <c r="S1443" s="26">
        <f>IF($A1443="","",AND(OR('Assignment Builder'!$B$5="",$B1443='Assignment Builder'!$B$5),OR('Assignment Builder'!$B$6="",ISNUMBER(SEARCH('Assignment Builder'!$B$6,$C1443))),OR('Assignment Builder'!$B$7="",'Assignment Builder'!$B$7=IFERROR(INDEX('Category Dictionary'!$C$5:$C$135,MATCH($L1443,'Category Dictionary'!$D$5:$D$135,0)),"")),OR('Assignment Builder'!$B$8="",$D1443='Assignment Builder'!$B$8),OR('Assignment Builder'!$B$9="",$F1443='Assignment Builder'!$B$9),OR('Assignment Builder'!$B$10="",$O1443='Assignment Builder'!$B$10),OR('Assignment Builder'!$B$11="",$H1443&gt;='Assignment Builder'!$B$11),OR('Assignment Builder'!$B$12="",N($Q1443)&lt;='Assignment Builder'!$B$12)))</f>
        <v/>
      </c>
      <c r="T1443" s="23" t="n"/>
    </row>
    <row r="1444">
      <c r="A1444" s="23" t="n"/>
      <c r="B1444" s="23" t="n"/>
      <c r="C1444" s="24" t="n"/>
      <c r="D1444" s="15" t="n"/>
      <c r="E1444" s="23" t="n"/>
      <c r="F1444" s="15" t="n"/>
      <c r="G1444" s="23" t="n"/>
      <c r="H1444" s="25" t="n"/>
      <c r="I1444" s="15" t="n"/>
      <c r="J1444" s="26">
        <f>IF($A1444="","",LEN($C1444)-LEN(SUBSTITUTE($C1444,",",""))+1)</f>
        <v/>
      </c>
      <c r="K1444" s="26">
        <f>IF($A1444="","",SUMPRODUCT(--ISNUMBER(SEARCH('Category Dictionary'!$D$5:$D$135&amp;"",$C1444)),--('Category Dictionary'!$D$5:$D$135&lt;&gt;"")))</f>
        <v/>
      </c>
      <c r="L1444" s="27">
        <f>IF($A1444="","",TRIM(IF(ISERROR(FIND(",",$C1444)),$C1444,LEFT($C1444,FIND(",",$C1444)-1))))</f>
        <v/>
      </c>
      <c r="M1444" s="28">
        <f>IF($H1444="","",DATE(YEAR($H1444),MONTH($H1444),1))</f>
        <v/>
      </c>
      <c r="N1444" s="26">
        <f>IF($H1444="","",TODAY()-$H1444)</f>
        <v/>
      </c>
      <c r="O1444" s="15" t="n"/>
      <c r="P1444" s="15" t="n"/>
      <c r="Q1444" s="15" t="n"/>
      <c r="R1444" s="25" t="n"/>
      <c r="S1444" s="26">
        <f>IF($A1444="","",AND(OR('Assignment Builder'!$B$5="",$B1444='Assignment Builder'!$B$5),OR('Assignment Builder'!$B$6="",ISNUMBER(SEARCH('Assignment Builder'!$B$6,$C1444))),OR('Assignment Builder'!$B$7="",'Assignment Builder'!$B$7=IFERROR(INDEX('Category Dictionary'!$C$5:$C$135,MATCH($L1444,'Category Dictionary'!$D$5:$D$135,0)),"")),OR('Assignment Builder'!$B$8="",$D1444='Assignment Builder'!$B$8),OR('Assignment Builder'!$B$9="",$F1444='Assignment Builder'!$B$9),OR('Assignment Builder'!$B$10="",$O1444='Assignment Builder'!$B$10),OR('Assignment Builder'!$B$11="",$H1444&gt;='Assignment Builder'!$B$11),OR('Assignment Builder'!$B$12="",N($Q1444)&lt;='Assignment Builder'!$B$12)))</f>
        <v/>
      </c>
      <c r="T1444" s="23" t="n"/>
    </row>
    <row r="1445">
      <c r="A1445" s="23" t="n"/>
      <c r="B1445" s="23" t="n"/>
      <c r="C1445" s="24" t="n"/>
      <c r="D1445" s="15" t="n"/>
      <c r="E1445" s="23" t="n"/>
      <c r="F1445" s="15" t="n"/>
      <c r="G1445" s="23" t="n"/>
      <c r="H1445" s="25" t="n"/>
      <c r="I1445" s="15" t="n"/>
      <c r="J1445" s="26">
        <f>IF($A1445="","",LEN($C1445)-LEN(SUBSTITUTE($C1445,",",""))+1)</f>
        <v/>
      </c>
      <c r="K1445" s="26">
        <f>IF($A1445="","",SUMPRODUCT(--ISNUMBER(SEARCH('Category Dictionary'!$D$5:$D$135&amp;"",$C1445)),--('Category Dictionary'!$D$5:$D$135&lt;&gt;"")))</f>
        <v/>
      </c>
      <c r="L1445" s="27">
        <f>IF($A1445="","",TRIM(IF(ISERROR(FIND(",",$C1445)),$C1445,LEFT($C1445,FIND(",",$C1445)-1))))</f>
        <v/>
      </c>
      <c r="M1445" s="28">
        <f>IF($H1445="","",DATE(YEAR($H1445),MONTH($H1445),1))</f>
        <v/>
      </c>
      <c r="N1445" s="26">
        <f>IF($H1445="","",TODAY()-$H1445)</f>
        <v/>
      </c>
      <c r="O1445" s="15" t="n"/>
      <c r="P1445" s="15" t="n"/>
      <c r="Q1445" s="15" t="n"/>
      <c r="R1445" s="25" t="n"/>
      <c r="S1445" s="26">
        <f>IF($A1445="","",AND(OR('Assignment Builder'!$B$5="",$B1445='Assignment Builder'!$B$5),OR('Assignment Builder'!$B$6="",ISNUMBER(SEARCH('Assignment Builder'!$B$6,$C1445))),OR('Assignment Builder'!$B$7="",'Assignment Builder'!$B$7=IFERROR(INDEX('Category Dictionary'!$C$5:$C$135,MATCH($L1445,'Category Dictionary'!$D$5:$D$135,0)),"")),OR('Assignment Builder'!$B$8="",$D1445='Assignment Builder'!$B$8),OR('Assignment Builder'!$B$9="",$F1445='Assignment Builder'!$B$9),OR('Assignment Builder'!$B$10="",$O1445='Assignment Builder'!$B$10),OR('Assignment Builder'!$B$11="",$H1445&gt;='Assignment Builder'!$B$11),OR('Assignment Builder'!$B$12="",N($Q1445)&lt;='Assignment Builder'!$B$12)))</f>
        <v/>
      </c>
      <c r="T1445" s="23" t="n"/>
    </row>
    <row r="1446">
      <c r="A1446" s="23" t="n"/>
      <c r="B1446" s="23" t="n"/>
      <c r="C1446" s="24" t="n"/>
      <c r="D1446" s="15" t="n"/>
      <c r="E1446" s="23" t="n"/>
      <c r="F1446" s="15" t="n"/>
      <c r="G1446" s="23" t="n"/>
      <c r="H1446" s="25" t="n"/>
      <c r="I1446" s="15" t="n"/>
      <c r="J1446" s="26">
        <f>IF($A1446="","",LEN($C1446)-LEN(SUBSTITUTE($C1446,",",""))+1)</f>
        <v/>
      </c>
      <c r="K1446" s="26">
        <f>IF($A1446="","",SUMPRODUCT(--ISNUMBER(SEARCH('Category Dictionary'!$D$5:$D$135&amp;"",$C1446)),--('Category Dictionary'!$D$5:$D$135&lt;&gt;"")))</f>
        <v/>
      </c>
      <c r="L1446" s="27">
        <f>IF($A1446="","",TRIM(IF(ISERROR(FIND(",",$C1446)),$C1446,LEFT($C1446,FIND(",",$C1446)-1))))</f>
        <v/>
      </c>
      <c r="M1446" s="28">
        <f>IF($H1446="","",DATE(YEAR($H1446),MONTH($H1446),1))</f>
        <v/>
      </c>
      <c r="N1446" s="26">
        <f>IF($H1446="","",TODAY()-$H1446)</f>
        <v/>
      </c>
      <c r="O1446" s="15" t="n"/>
      <c r="P1446" s="15" t="n"/>
      <c r="Q1446" s="15" t="n"/>
      <c r="R1446" s="25" t="n"/>
      <c r="S1446" s="26">
        <f>IF($A1446="","",AND(OR('Assignment Builder'!$B$5="",$B1446='Assignment Builder'!$B$5),OR('Assignment Builder'!$B$6="",ISNUMBER(SEARCH('Assignment Builder'!$B$6,$C1446))),OR('Assignment Builder'!$B$7="",'Assignment Builder'!$B$7=IFERROR(INDEX('Category Dictionary'!$C$5:$C$135,MATCH($L1446,'Category Dictionary'!$D$5:$D$135,0)),"")),OR('Assignment Builder'!$B$8="",$D1446='Assignment Builder'!$B$8),OR('Assignment Builder'!$B$9="",$F1446='Assignment Builder'!$B$9),OR('Assignment Builder'!$B$10="",$O1446='Assignment Builder'!$B$10),OR('Assignment Builder'!$B$11="",$H1446&gt;='Assignment Builder'!$B$11),OR('Assignment Builder'!$B$12="",N($Q1446)&lt;='Assignment Builder'!$B$12)))</f>
        <v/>
      </c>
      <c r="T1446" s="23" t="n"/>
    </row>
    <row r="1447">
      <c r="A1447" s="23" t="n"/>
      <c r="B1447" s="23" t="n"/>
      <c r="C1447" s="24" t="n"/>
      <c r="D1447" s="15" t="n"/>
      <c r="E1447" s="23" t="n"/>
      <c r="F1447" s="15" t="n"/>
      <c r="G1447" s="23" t="n"/>
      <c r="H1447" s="25" t="n"/>
      <c r="I1447" s="15" t="n"/>
      <c r="J1447" s="26">
        <f>IF($A1447="","",LEN($C1447)-LEN(SUBSTITUTE($C1447,",",""))+1)</f>
        <v/>
      </c>
      <c r="K1447" s="26">
        <f>IF($A1447="","",SUMPRODUCT(--ISNUMBER(SEARCH('Category Dictionary'!$D$5:$D$135&amp;"",$C1447)),--('Category Dictionary'!$D$5:$D$135&lt;&gt;"")))</f>
        <v/>
      </c>
      <c r="L1447" s="27">
        <f>IF($A1447="","",TRIM(IF(ISERROR(FIND(",",$C1447)),$C1447,LEFT($C1447,FIND(",",$C1447)-1))))</f>
        <v/>
      </c>
      <c r="M1447" s="28">
        <f>IF($H1447="","",DATE(YEAR($H1447),MONTH($H1447),1))</f>
        <v/>
      </c>
      <c r="N1447" s="26">
        <f>IF($H1447="","",TODAY()-$H1447)</f>
        <v/>
      </c>
      <c r="O1447" s="15" t="n"/>
      <c r="P1447" s="15" t="n"/>
      <c r="Q1447" s="15" t="n"/>
      <c r="R1447" s="25" t="n"/>
      <c r="S1447" s="26">
        <f>IF($A1447="","",AND(OR('Assignment Builder'!$B$5="",$B1447='Assignment Builder'!$B$5),OR('Assignment Builder'!$B$6="",ISNUMBER(SEARCH('Assignment Builder'!$B$6,$C1447))),OR('Assignment Builder'!$B$7="",'Assignment Builder'!$B$7=IFERROR(INDEX('Category Dictionary'!$C$5:$C$135,MATCH($L1447,'Category Dictionary'!$D$5:$D$135,0)),"")),OR('Assignment Builder'!$B$8="",$D1447='Assignment Builder'!$B$8),OR('Assignment Builder'!$B$9="",$F1447='Assignment Builder'!$B$9),OR('Assignment Builder'!$B$10="",$O1447='Assignment Builder'!$B$10),OR('Assignment Builder'!$B$11="",$H1447&gt;='Assignment Builder'!$B$11),OR('Assignment Builder'!$B$12="",N($Q1447)&lt;='Assignment Builder'!$B$12)))</f>
        <v/>
      </c>
      <c r="T1447" s="23" t="n"/>
    </row>
    <row r="1448">
      <c r="A1448" s="23" t="n"/>
      <c r="B1448" s="23" t="n"/>
      <c r="C1448" s="24" t="n"/>
      <c r="D1448" s="15" t="n"/>
      <c r="E1448" s="23" t="n"/>
      <c r="F1448" s="15" t="n"/>
      <c r="G1448" s="23" t="n"/>
      <c r="H1448" s="25" t="n"/>
      <c r="I1448" s="15" t="n"/>
      <c r="J1448" s="26">
        <f>IF($A1448="","",LEN($C1448)-LEN(SUBSTITUTE($C1448,",",""))+1)</f>
        <v/>
      </c>
      <c r="K1448" s="26">
        <f>IF($A1448="","",SUMPRODUCT(--ISNUMBER(SEARCH('Category Dictionary'!$D$5:$D$135&amp;"",$C1448)),--('Category Dictionary'!$D$5:$D$135&lt;&gt;"")))</f>
        <v/>
      </c>
      <c r="L1448" s="27">
        <f>IF($A1448="","",TRIM(IF(ISERROR(FIND(",",$C1448)),$C1448,LEFT($C1448,FIND(",",$C1448)-1))))</f>
        <v/>
      </c>
      <c r="M1448" s="28">
        <f>IF($H1448="","",DATE(YEAR($H1448),MONTH($H1448),1))</f>
        <v/>
      </c>
      <c r="N1448" s="26">
        <f>IF($H1448="","",TODAY()-$H1448)</f>
        <v/>
      </c>
      <c r="O1448" s="15" t="n"/>
      <c r="P1448" s="15" t="n"/>
      <c r="Q1448" s="15" t="n"/>
      <c r="R1448" s="25" t="n"/>
      <c r="S1448" s="26">
        <f>IF($A1448="","",AND(OR('Assignment Builder'!$B$5="",$B1448='Assignment Builder'!$B$5),OR('Assignment Builder'!$B$6="",ISNUMBER(SEARCH('Assignment Builder'!$B$6,$C1448))),OR('Assignment Builder'!$B$7="",'Assignment Builder'!$B$7=IFERROR(INDEX('Category Dictionary'!$C$5:$C$135,MATCH($L1448,'Category Dictionary'!$D$5:$D$135,0)),"")),OR('Assignment Builder'!$B$8="",$D1448='Assignment Builder'!$B$8),OR('Assignment Builder'!$B$9="",$F1448='Assignment Builder'!$B$9),OR('Assignment Builder'!$B$10="",$O1448='Assignment Builder'!$B$10),OR('Assignment Builder'!$B$11="",$H1448&gt;='Assignment Builder'!$B$11),OR('Assignment Builder'!$B$12="",N($Q1448)&lt;='Assignment Builder'!$B$12)))</f>
        <v/>
      </c>
      <c r="T1448" s="23" t="n"/>
    </row>
    <row r="1449">
      <c r="A1449" s="23" t="n"/>
      <c r="B1449" s="23" t="n"/>
      <c r="C1449" s="24" t="n"/>
      <c r="D1449" s="15" t="n"/>
      <c r="E1449" s="23" t="n"/>
      <c r="F1449" s="15" t="n"/>
      <c r="G1449" s="23" t="n"/>
      <c r="H1449" s="25" t="n"/>
      <c r="I1449" s="15" t="n"/>
      <c r="J1449" s="26">
        <f>IF($A1449="","",LEN($C1449)-LEN(SUBSTITUTE($C1449,",",""))+1)</f>
        <v/>
      </c>
      <c r="K1449" s="26">
        <f>IF($A1449="","",SUMPRODUCT(--ISNUMBER(SEARCH('Category Dictionary'!$D$5:$D$135&amp;"",$C1449)),--('Category Dictionary'!$D$5:$D$135&lt;&gt;"")))</f>
        <v/>
      </c>
      <c r="L1449" s="27">
        <f>IF($A1449="","",TRIM(IF(ISERROR(FIND(",",$C1449)),$C1449,LEFT($C1449,FIND(",",$C1449)-1))))</f>
        <v/>
      </c>
      <c r="M1449" s="28">
        <f>IF($H1449="","",DATE(YEAR($H1449),MONTH($H1449),1))</f>
        <v/>
      </c>
      <c r="N1449" s="26">
        <f>IF($H1449="","",TODAY()-$H1449)</f>
        <v/>
      </c>
      <c r="O1449" s="15" t="n"/>
      <c r="P1449" s="15" t="n"/>
      <c r="Q1449" s="15" t="n"/>
      <c r="R1449" s="25" t="n"/>
      <c r="S1449" s="26">
        <f>IF($A1449="","",AND(OR('Assignment Builder'!$B$5="",$B1449='Assignment Builder'!$B$5),OR('Assignment Builder'!$B$6="",ISNUMBER(SEARCH('Assignment Builder'!$B$6,$C1449))),OR('Assignment Builder'!$B$7="",'Assignment Builder'!$B$7=IFERROR(INDEX('Category Dictionary'!$C$5:$C$135,MATCH($L1449,'Category Dictionary'!$D$5:$D$135,0)),"")),OR('Assignment Builder'!$B$8="",$D1449='Assignment Builder'!$B$8),OR('Assignment Builder'!$B$9="",$F1449='Assignment Builder'!$B$9),OR('Assignment Builder'!$B$10="",$O1449='Assignment Builder'!$B$10),OR('Assignment Builder'!$B$11="",$H1449&gt;='Assignment Builder'!$B$11),OR('Assignment Builder'!$B$12="",N($Q1449)&lt;='Assignment Builder'!$B$12)))</f>
        <v/>
      </c>
      <c r="T1449" s="23" t="n"/>
    </row>
    <row r="1450">
      <c r="A1450" s="23" t="n"/>
      <c r="B1450" s="23" t="n"/>
      <c r="C1450" s="24" t="n"/>
      <c r="D1450" s="15" t="n"/>
      <c r="E1450" s="23" t="n"/>
      <c r="F1450" s="15" t="n"/>
      <c r="G1450" s="23" t="n"/>
      <c r="H1450" s="25" t="n"/>
      <c r="I1450" s="15" t="n"/>
      <c r="J1450" s="26">
        <f>IF($A1450="","",LEN($C1450)-LEN(SUBSTITUTE($C1450,",",""))+1)</f>
        <v/>
      </c>
      <c r="K1450" s="26">
        <f>IF($A1450="","",SUMPRODUCT(--ISNUMBER(SEARCH('Category Dictionary'!$D$5:$D$135&amp;"",$C1450)),--('Category Dictionary'!$D$5:$D$135&lt;&gt;"")))</f>
        <v/>
      </c>
      <c r="L1450" s="27">
        <f>IF($A1450="","",TRIM(IF(ISERROR(FIND(",",$C1450)),$C1450,LEFT($C1450,FIND(",",$C1450)-1))))</f>
        <v/>
      </c>
      <c r="M1450" s="28">
        <f>IF($H1450="","",DATE(YEAR($H1450),MONTH($H1450),1))</f>
        <v/>
      </c>
      <c r="N1450" s="26">
        <f>IF($H1450="","",TODAY()-$H1450)</f>
        <v/>
      </c>
      <c r="O1450" s="15" t="n"/>
      <c r="P1450" s="15" t="n"/>
      <c r="Q1450" s="15" t="n"/>
      <c r="R1450" s="25" t="n"/>
      <c r="S1450" s="26">
        <f>IF($A1450="","",AND(OR('Assignment Builder'!$B$5="",$B1450='Assignment Builder'!$B$5),OR('Assignment Builder'!$B$6="",ISNUMBER(SEARCH('Assignment Builder'!$B$6,$C1450))),OR('Assignment Builder'!$B$7="",'Assignment Builder'!$B$7=IFERROR(INDEX('Category Dictionary'!$C$5:$C$135,MATCH($L1450,'Category Dictionary'!$D$5:$D$135,0)),"")),OR('Assignment Builder'!$B$8="",$D1450='Assignment Builder'!$B$8),OR('Assignment Builder'!$B$9="",$F1450='Assignment Builder'!$B$9),OR('Assignment Builder'!$B$10="",$O1450='Assignment Builder'!$B$10),OR('Assignment Builder'!$B$11="",$H1450&gt;='Assignment Builder'!$B$11),OR('Assignment Builder'!$B$12="",N($Q1450)&lt;='Assignment Builder'!$B$12)))</f>
        <v/>
      </c>
      <c r="T1450" s="23" t="n"/>
    </row>
    <row r="1451">
      <c r="A1451" s="23" t="n"/>
      <c r="B1451" s="23" t="n"/>
      <c r="C1451" s="24" t="n"/>
      <c r="D1451" s="15" t="n"/>
      <c r="E1451" s="23" t="n"/>
      <c r="F1451" s="15" t="n"/>
      <c r="G1451" s="23" t="n"/>
      <c r="H1451" s="25" t="n"/>
      <c r="I1451" s="15" t="n"/>
      <c r="J1451" s="26">
        <f>IF($A1451="","",LEN($C1451)-LEN(SUBSTITUTE($C1451,",",""))+1)</f>
        <v/>
      </c>
      <c r="K1451" s="26">
        <f>IF($A1451="","",SUMPRODUCT(--ISNUMBER(SEARCH('Category Dictionary'!$D$5:$D$135&amp;"",$C1451)),--('Category Dictionary'!$D$5:$D$135&lt;&gt;"")))</f>
        <v/>
      </c>
      <c r="L1451" s="27">
        <f>IF($A1451="","",TRIM(IF(ISERROR(FIND(",",$C1451)),$C1451,LEFT($C1451,FIND(",",$C1451)-1))))</f>
        <v/>
      </c>
      <c r="M1451" s="28">
        <f>IF($H1451="","",DATE(YEAR($H1451),MONTH($H1451),1))</f>
        <v/>
      </c>
      <c r="N1451" s="26">
        <f>IF($H1451="","",TODAY()-$H1451)</f>
        <v/>
      </c>
      <c r="O1451" s="15" t="n"/>
      <c r="P1451" s="15" t="n"/>
      <c r="Q1451" s="15" t="n"/>
      <c r="R1451" s="25" t="n"/>
      <c r="S1451" s="26">
        <f>IF($A1451="","",AND(OR('Assignment Builder'!$B$5="",$B1451='Assignment Builder'!$B$5),OR('Assignment Builder'!$B$6="",ISNUMBER(SEARCH('Assignment Builder'!$B$6,$C1451))),OR('Assignment Builder'!$B$7="",'Assignment Builder'!$B$7=IFERROR(INDEX('Category Dictionary'!$C$5:$C$135,MATCH($L1451,'Category Dictionary'!$D$5:$D$135,0)),"")),OR('Assignment Builder'!$B$8="",$D1451='Assignment Builder'!$B$8),OR('Assignment Builder'!$B$9="",$F1451='Assignment Builder'!$B$9),OR('Assignment Builder'!$B$10="",$O1451='Assignment Builder'!$B$10),OR('Assignment Builder'!$B$11="",$H1451&gt;='Assignment Builder'!$B$11),OR('Assignment Builder'!$B$12="",N($Q1451)&lt;='Assignment Builder'!$B$12)))</f>
        <v/>
      </c>
      <c r="T1451" s="23" t="n"/>
    </row>
    <row r="1452">
      <c r="A1452" s="23" t="n"/>
      <c r="B1452" s="23" t="n"/>
      <c r="C1452" s="24" t="n"/>
      <c r="D1452" s="15" t="n"/>
      <c r="E1452" s="23" t="n"/>
      <c r="F1452" s="15" t="n"/>
      <c r="G1452" s="23" t="n"/>
      <c r="H1452" s="25" t="n"/>
      <c r="I1452" s="15" t="n"/>
      <c r="J1452" s="26">
        <f>IF($A1452="","",LEN($C1452)-LEN(SUBSTITUTE($C1452,",",""))+1)</f>
        <v/>
      </c>
      <c r="K1452" s="26">
        <f>IF($A1452="","",SUMPRODUCT(--ISNUMBER(SEARCH('Category Dictionary'!$D$5:$D$135&amp;"",$C1452)),--('Category Dictionary'!$D$5:$D$135&lt;&gt;"")))</f>
        <v/>
      </c>
      <c r="L1452" s="27">
        <f>IF($A1452="","",TRIM(IF(ISERROR(FIND(",",$C1452)),$C1452,LEFT($C1452,FIND(",",$C1452)-1))))</f>
        <v/>
      </c>
      <c r="M1452" s="28">
        <f>IF($H1452="","",DATE(YEAR($H1452),MONTH($H1452),1))</f>
        <v/>
      </c>
      <c r="N1452" s="26">
        <f>IF($H1452="","",TODAY()-$H1452)</f>
        <v/>
      </c>
      <c r="O1452" s="15" t="n"/>
      <c r="P1452" s="15" t="n"/>
      <c r="Q1452" s="15" t="n"/>
      <c r="R1452" s="25" t="n"/>
      <c r="S1452" s="26">
        <f>IF($A1452="","",AND(OR('Assignment Builder'!$B$5="",$B1452='Assignment Builder'!$B$5),OR('Assignment Builder'!$B$6="",ISNUMBER(SEARCH('Assignment Builder'!$B$6,$C1452))),OR('Assignment Builder'!$B$7="",'Assignment Builder'!$B$7=IFERROR(INDEX('Category Dictionary'!$C$5:$C$135,MATCH($L1452,'Category Dictionary'!$D$5:$D$135,0)),"")),OR('Assignment Builder'!$B$8="",$D1452='Assignment Builder'!$B$8),OR('Assignment Builder'!$B$9="",$F1452='Assignment Builder'!$B$9),OR('Assignment Builder'!$B$10="",$O1452='Assignment Builder'!$B$10),OR('Assignment Builder'!$B$11="",$H1452&gt;='Assignment Builder'!$B$11),OR('Assignment Builder'!$B$12="",N($Q1452)&lt;='Assignment Builder'!$B$12)))</f>
        <v/>
      </c>
      <c r="T1452" s="23" t="n"/>
    </row>
    <row r="1453">
      <c r="A1453" s="23" t="n"/>
      <c r="B1453" s="23" t="n"/>
      <c r="C1453" s="24" t="n"/>
      <c r="D1453" s="15" t="n"/>
      <c r="E1453" s="23" t="n"/>
      <c r="F1453" s="15" t="n"/>
      <c r="G1453" s="23" t="n"/>
      <c r="H1453" s="25" t="n"/>
      <c r="I1453" s="15" t="n"/>
      <c r="J1453" s="26">
        <f>IF($A1453="","",LEN($C1453)-LEN(SUBSTITUTE($C1453,",",""))+1)</f>
        <v/>
      </c>
      <c r="K1453" s="26">
        <f>IF($A1453="","",SUMPRODUCT(--ISNUMBER(SEARCH('Category Dictionary'!$D$5:$D$135&amp;"",$C1453)),--('Category Dictionary'!$D$5:$D$135&lt;&gt;"")))</f>
        <v/>
      </c>
      <c r="L1453" s="27">
        <f>IF($A1453="","",TRIM(IF(ISERROR(FIND(",",$C1453)),$C1453,LEFT($C1453,FIND(",",$C1453)-1))))</f>
        <v/>
      </c>
      <c r="M1453" s="28">
        <f>IF($H1453="","",DATE(YEAR($H1453),MONTH($H1453),1))</f>
        <v/>
      </c>
      <c r="N1453" s="26">
        <f>IF($H1453="","",TODAY()-$H1453)</f>
        <v/>
      </c>
      <c r="O1453" s="15" t="n"/>
      <c r="P1453" s="15" t="n"/>
      <c r="Q1453" s="15" t="n"/>
      <c r="R1453" s="25" t="n"/>
      <c r="S1453" s="26">
        <f>IF($A1453="","",AND(OR('Assignment Builder'!$B$5="",$B1453='Assignment Builder'!$B$5),OR('Assignment Builder'!$B$6="",ISNUMBER(SEARCH('Assignment Builder'!$B$6,$C1453))),OR('Assignment Builder'!$B$7="",'Assignment Builder'!$B$7=IFERROR(INDEX('Category Dictionary'!$C$5:$C$135,MATCH($L1453,'Category Dictionary'!$D$5:$D$135,0)),"")),OR('Assignment Builder'!$B$8="",$D1453='Assignment Builder'!$B$8),OR('Assignment Builder'!$B$9="",$F1453='Assignment Builder'!$B$9),OR('Assignment Builder'!$B$10="",$O1453='Assignment Builder'!$B$10),OR('Assignment Builder'!$B$11="",$H1453&gt;='Assignment Builder'!$B$11),OR('Assignment Builder'!$B$12="",N($Q1453)&lt;='Assignment Builder'!$B$12)))</f>
        <v/>
      </c>
      <c r="T1453" s="23" t="n"/>
    </row>
    <row r="1454">
      <c r="A1454" s="23" t="n"/>
      <c r="B1454" s="23" t="n"/>
      <c r="C1454" s="24" t="n"/>
      <c r="D1454" s="15" t="n"/>
      <c r="E1454" s="23" t="n"/>
      <c r="F1454" s="15" t="n"/>
      <c r="G1454" s="23" t="n"/>
      <c r="H1454" s="25" t="n"/>
      <c r="I1454" s="15" t="n"/>
      <c r="J1454" s="26">
        <f>IF($A1454="","",LEN($C1454)-LEN(SUBSTITUTE($C1454,",",""))+1)</f>
        <v/>
      </c>
      <c r="K1454" s="26">
        <f>IF($A1454="","",SUMPRODUCT(--ISNUMBER(SEARCH('Category Dictionary'!$D$5:$D$135&amp;"",$C1454)),--('Category Dictionary'!$D$5:$D$135&lt;&gt;"")))</f>
        <v/>
      </c>
      <c r="L1454" s="27">
        <f>IF($A1454="","",TRIM(IF(ISERROR(FIND(",",$C1454)),$C1454,LEFT($C1454,FIND(",",$C1454)-1))))</f>
        <v/>
      </c>
      <c r="M1454" s="28">
        <f>IF($H1454="","",DATE(YEAR($H1454),MONTH($H1454),1))</f>
        <v/>
      </c>
      <c r="N1454" s="26">
        <f>IF($H1454="","",TODAY()-$H1454)</f>
        <v/>
      </c>
      <c r="O1454" s="15" t="n"/>
      <c r="P1454" s="15" t="n"/>
      <c r="Q1454" s="15" t="n"/>
      <c r="R1454" s="25" t="n"/>
      <c r="S1454" s="26">
        <f>IF($A1454="","",AND(OR('Assignment Builder'!$B$5="",$B1454='Assignment Builder'!$B$5),OR('Assignment Builder'!$B$6="",ISNUMBER(SEARCH('Assignment Builder'!$B$6,$C1454))),OR('Assignment Builder'!$B$7="",'Assignment Builder'!$B$7=IFERROR(INDEX('Category Dictionary'!$C$5:$C$135,MATCH($L1454,'Category Dictionary'!$D$5:$D$135,0)),"")),OR('Assignment Builder'!$B$8="",$D1454='Assignment Builder'!$B$8),OR('Assignment Builder'!$B$9="",$F1454='Assignment Builder'!$B$9),OR('Assignment Builder'!$B$10="",$O1454='Assignment Builder'!$B$10),OR('Assignment Builder'!$B$11="",$H1454&gt;='Assignment Builder'!$B$11),OR('Assignment Builder'!$B$12="",N($Q1454)&lt;='Assignment Builder'!$B$12)))</f>
        <v/>
      </c>
      <c r="T1454" s="23" t="n"/>
    </row>
    <row r="1455">
      <c r="A1455" s="23" t="n"/>
      <c r="B1455" s="23" t="n"/>
      <c r="C1455" s="24" t="n"/>
      <c r="D1455" s="15" t="n"/>
      <c r="E1455" s="23" t="n"/>
      <c r="F1455" s="15" t="n"/>
      <c r="G1455" s="23" t="n"/>
      <c r="H1455" s="25" t="n"/>
      <c r="I1455" s="15" t="n"/>
      <c r="J1455" s="26">
        <f>IF($A1455="","",LEN($C1455)-LEN(SUBSTITUTE($C1455,",",""))+1)</f>
        <v/>
      </c>
      <c r="K1455" s="26">
        <f>IF($A1455="","",SUMPRODUCT(--ISNUMBER(SEARCH('Category Dictionary'!$D$5:$D$135&amp;"",$C1455)),--('Category Dictionary'!$D$5:$D$135&lt;&gt;"")))</f>
        <v/>
      </c>
      <c r="L1455" s="27">
        <f>IF($A1455="","",TRIM(IF(ISERROR(FIND(",",$C1455)),$C1455,LEFT($C1455,FIND(",",$C1455)-1))))</f>
        <v/>
      </c>
      <c r="M1455" s="28">
        <f>IF($H1455="","",DATE(YEAR($H1455),MONTH($H1455),1))</f>
        <v/>
      </c>
      <c r="N1455" s="26">
        <f>IF($H1455="","",TODAY()-$H1455)</f>
        <v/>
      </c>
      <c r="O1455" s="15" t="n"/>
      <c r="P1455" s="15" t="n"/>
      <c r="Q1455" s="15" t="n"/>
      <c r="R1455" s="25" t="n"/>
      <c r="S1455" s="26">
        <f>IF($A1455="","",AND(OR('Assignment Builder'!$B$5="",$B1455='Assignment Builder'!$B$5),OR('Assignment Builder'!$B$6="",ISNUMBER(SEARCH('Assignment Builder'!$B$6,$C1455))),OR('Assignment Builder'!$B$7="",'Assignment Builder'!$B$7=IFERROR(INDEX('Category Dictionary'!$C$5:$C$135,MATCH($L1455,'Category Dictionary'!$D$5:$D$135,0)),"")),OR('Assignment Builder'!$B$8="",$D1455='Assignment Builder'!$B$8),OR('Assignment Builder'!$B$9="",$F1455='Assignment Builder'!$B$9),OR('Assignment Builder'!$B$10="",$O1455='Assignment Builder'!$B$10),OR('Assignment Builder'!$B$11="",$H1455&gt;='Assignment Builder'!$B$11),OR('Assignment Builder'!$B$12="",N($Q1455)&lt;='Assignment Builder'!$B$12)))</f>
        <v/>
      </c>
      <c r="T1455" s="23" t="n"/>
    </row>
    <row r="1456">
      <c r="A1456" s="23" t="n"/>
      <c r="B1456" s="23" t="n"/>
      <c r="C1456" s="24" t="n"/>
      <c r="D1456" s="15" t="n"/>
      <c r="E1456" s="23" t="n"/>
      <c r="F1456" s="15" t="n"/>
      <c r="G1456" s="23" t="n"/>
      <c r="H1456" s="25" t="n"/>
      <c r="I1456" s="15" t="n"/>
      <c r="J1456" s="26">
        <f>IF($A1456="","",LEN($C1456)-LEN(SUBSTITUTE($C1456,",",""))+1)</f>
        <v/>
      </c>
      <c r="K1456" s="26">
        <f>IF($A1456="","",SUMPRODUCT(--ISNUMBER(SEARCH('Category Dictionary'!$D$5:$D$135&amp;"",$C1456)),--('Category Dictionary'!$D$5:$D$135&lt;&gt;"")))</f>
        <v/>
      </c>
      <c r="L1456" s="27">
        <f>IF($A1456="","",TRIM(IF(ISERROR(FIND(",",$C1456)),$C1456,LEFT($C1456,FIND(",",$C1456)-1))))</f>
        <v/>
      </c>
      <c r="M1456" s="28">
        <f>IF($H1456="","",DATE(YEAR($H1456),MONTH($H1456),1))</f>
        <v/>
      </c>
      <c r="N1456" s="26">
        <f>IF($H1456="","",TODAY()-$H1456)</f>
        <v/>
      </c>
      <c r="O1456" s="15" t="n"/>
      <c r="P1456" s="15" t="n"/>
      <c r="Q1456" s="15" t="n"/>
      <c r="R1456" s="25" t="n"/>
      <c r="S1456" s="26">
        <f>IF($A1456="","",AND(OR('Assignment Builder'!$B$5="",$B1456='Assignment Builder'!$B$5),OR('Assignment Builder'!$B$6="",ISNUMBER(SEARCH('Assignment Builder'!$B$6,$C1456))),OR('Assignment Builder'!$B$7="",'Assignment Builder'!$B$7=IFERROR(INDEX('Category Dictionary'!$C$5:$C$135,MATCH($L1456,'Category Dictionary'!$D$5:$D$135,0)),"")),OR('Assignment Builder'!$B$8="",$D1456='Assignment Builder'!$B$8),OR('Assignment Builder'!$B$9="",$F1456='Assignment Builder'!$B$9),OR('Assignment Builder'!$B$10="",$O1456='Assignment Builder'!$B$10),OR('Assignment Builder'!$B$11="",$H1456&gt;='Assignment Builder'!$B$11),OR('Assignment Builder'!$B$12="",N($Q1456)&lt;='Assignment Builder'!$B$12)))</f>
        <v/>
      </c>
      <c r="T1456" s="23" t="n"/>
    </row>
    <row r="1457">
      <c r="A1457" s="23" t="n"/>
      <c r="B1457" s="23" t="n"/>
      <c r="C1457" s="24" t="n"/>
      <c r="D1457" s="15" t="n"/>
      <c r="E1457" s="23" t="n"/>
      <c r="F1457" s="15" t="n"/>
      <c r="G1457" s="23" t="n"/>
      <c r="H1457" s="25" t="n"/>
      <c r="I1457" s="15" t="n"/>
      <c r="J1457" s="26">
        <f>IF($A1457="","",LEN($C1457)-LEN(SUBSTITUTE($C1457,",",""))+1)</f>
        <v/>
      </c>
      <c r="K1457" s="26">
        <f>IF($A1457="","",SUMPRODUCT(--ISNUMBER(SEARCH('Category Dictionary'!$D$5:$D$135&amp;"",$C1457)),--('Category Dictionary'!$D$5:$D$135&lt;&gt;"")))</f>
        <v/>
      </c>
      <c r="L1457" s="27">
        <f>IF($A1457="","",TRIM(IF(ISERROR(FIND(",",$C1457)),$C1457,LEFT($C1457,FIND(",",$C1457)-1))))</f>
        <v/>
      </c>
      <c r="M1457" s="28">
        <f>IF($H1457="","",DATE(YEAR($H1457),MONTH($H1457),1))</f>
        <v/>
      </c>
      <c r="N1457" s="26">
        <f>IF($H1457="","",TODAY()-$H1457)</f>
        <v/>
      </c>
      <c r="O1457" s="15" t="n"/>
      <c r="P1457" s="15" t="n"/>
      <c r="Q1457" s="15" t="n"/>
      <c r="R1457" s="25" t="n"/>
      <c r="S1457" s="26">
        <f>IF($A1457="","",AND(OR('Assignment Builder'!$B$5="",$B1457='Assignment Builder'!$B$5),OR('Assignment Builder'!$B$6="",ISNUMBER(SEARCH('Assignment Builder'!$B$6,$C1457))),OR('Assignment Builder'!$B$7="",'Assignment Builder'!$B$7=IFERROR(INDEX('Category Dictionary'!$C$5:$C$135,MATCH($L1457,'Category Dictionary'!$D$5:$D$135,0)),"")),OR('Assignment Builder'!$B$8="",$D1457='Assignment Builder'!$B$8),OR('Assignment Builder'!$B$9="",$F1457='Assignment Builder'!$B$9),OR('Assignment Builder'!$B$10="",$O1457='Assignment Builder'!$B$10),OR('Assignment Builder'!$B$11="",$H1457&gt;='Assignment Builder'!$B$11),OR('Assignment Builder'!$B$12="",N($Q1457)&lt;='Assignment Builder'!$B$12)))</f>
        <v/>
      </c>
      <c r="T1457" s="23" t="n"/>
    </row>
    <row r="1458">
      <c r="A1458" s="23" t="n"/>
      <c r="B1458" s="23" t="n"/>
      <c r="C1458" s="24" t="n"/>
      <c r="D1458" s="15" t="n"/>
      <c r="E1458" s="23" t="n"/>
      <c r="F1458" s="15" t="n"/>
      <c r="G1458" s="23" t="n"/>
      <c r="H1458" s="25" t="n"/>
      <c r="I1458" s="15" t="n"/>
      <c r="J1458" s="26">
        <f>IF($A1458="","",LEN($C1458)-LEN(SUBSTITUTE($C1458,",",""))+1)</f>
        <v/>
      </c>
      <c r="K1458" s="26">
        <f>IF($A1458="","",SUMPRODUCT(--ISNUMBER(SEARCH('Category Dictionary'!$D$5:$D$135&amp;"",$C1458)),--('Category Dictionary'!$D$5:$D$135&lt;&gt;"")))</f>
        <v/>
      </c>
      <c r="L1458" s="27">
        <f>IF($A1458="","",TRIM(IF(ISERROR(FIND(",",$C1458)),$C1458,LEFT($C1458,FIND(",",$C1458)-1))))</f>
        <v/>
      </c>
      <c r="M1458" s="28">
        <f>IF($H1458="","",DATE(YEAR($H1458),MONTH($H1458),1))</f>
        <v/>
      </c>
      <c r="N1458" s="26">
        <f>IF($H1458="","",TODAY()-$H1458)</f>
        <v/>
      </c>
      <c r="O1458" s="15" t="n"/>
      <c r="P1458" s="15" t="n"/>
      <c r="Q1458" s="15" t="n"/>
      <c r="R1458" s="25" t="n"/>
      <c r="S1458" s="26">
        <f>IF($A1458="","",AND(OR('Assignment Builder'!$B$5="",$B1458='Assignment Builder'!$B$5),OR('Assignment Builder'!$B$6="",ISNUMBER(SEARCH('Assignment Builder'!$B$6,$C1458))),OR('Assignment Builder'!$B$7="",'Assignment Builder'!$B$7=IFERROR(INDEX('Category Dictionary'!$C$5:$C$135,MATCH($L1458,'Category Dictionary'!$D$5:$D$135,0)),"")),OR('Assignment Builder'!$B$8="",$D1458='Assignment Builder'!$B$8),OR('Assignment Builder'!$B$9="",$F1458='Assignment Builder'!$B$9),OR('Assignment Builder'!$B$10="",$O1458='Assignment Builder'!$B$10),OR('Assignment Builder'!$B$11="",$H1458&gt;='Assignment Builder'!$B$11),OR('Assignment Builder'!$B$12="",N($Q1458)&lt;='Assignment Builder'!$B$12)))</f>
        <v/>
      </c>
      <c r="T1458" s="23" t="n"/>
    </row>
    <row r="1459">
      <c r="A1459" s="23" t="n"/>
      <c r="B1459" s="23" t="n"/>
      <c r="C1459" s="24" t="n"/>
      <c r="D1459" s="15" t="n"/>
      <c r="E1459" s="23" t="n"/>
      <c r="F1459" s="15" t="n"/>
      <c r="G1459" s="23" t="n"/>
      <c r="H1459" s="25" t="n"/>
      <c r="I1459" s="15" t="n"/>
      <c r="J1459" s="26">
        <f>IF($A1459="","",LEN($C1459)-LEN(SUBSTITUTE($C1459,",",""))+1)</f>
        <v/>
      </c>
      <c r="K1459" s="26">
        <f>IF($A1459="","",SUMPRODUCT(--ISNUMBER(SEARCH('Category Dictionary'!$D$5:$D$135&amp;"",$C1459)),--('Category Dictionary'!$D$5:$D$135&lt;&gt;"")))</f>
        <v/>
      </c>
      <c r="L1459" s="27">
        <f>IF($A1459="","",TRIM(IF(ISERROR(FIND(",",$C1459)),$C1459,LEFT($C1459,FIND(",",$C1459)-1))))</f>
        <v/>
      </c>
      <c r="M1459" s="28">
        <f>IF($H1459="","",DATE(YEAR($H1459),MONTH($H1459),1))</f>
        <v/>
      </c>
      <c r="N1459" s="26">
        <f>IF($H1459="","",TODAY()-$H1459)</f>
        <v/>
      </c>
      <c r="O1459" s="15" t="n"/>
      <c r="P1459" s="15" t="n"/>
      <c r="Q1459" s="15" t="n"/>
      <c r="R1459" s="25" t="n"/>
      <c r="S1459" s="26">
        <f>IF($A1459="","",AND(OR('Assignment Builder'!$B$5="",$B1459='Assignment Builder'!$B$5),OR('Assignment Builder'!$B$6="",ISNUMBER(SEARCH('Assignment Builder'!$B$6,$C1459))),OR('Assignment Builder'!$B$7="",'Assignment Builder'!$B$7=IFERROR(INDEX('Category Dictionary'!$C$5:$C$135,MATCH($L1459,'Category Dictionary'!$D$5:$D$135,0)),"")),OR('Assignment Builder'!$B$8="",$D1459='Assignment Builder'!$B$8),OR('Assignment Builder'!$B$9="",$F1459='Assignment Builder'!$B$9),OR('Assignment Builder'!$B$10="",$O1459='Assignment Builder'!$B$10),OR('Assignment Builder'!$B$11="",$H1459&gt;='Assignment Builder'!$B$11),OR('Assignment Builder'!$B$12="",N($Q1459)&lt;='Assignment Builder'!$B$12)))</f>
        <v/>
      </c>
      <c r="T1459" s="23" t="n"/>
    </row>
    <row r="1460">
      <c r="A1460" s="23" t="n"/>
      <c r="B1460" s="23" t="n"/>
      <c r="C1460" s="24" t="n"/>
      <c r="D1460" s="15" t="n"/>
      <c r="E1460" s="23" t="n"/>
      <c r="F1460" s="15" t="n"/>
      <c r="G1460" s="23" t="n"/>
      <c r="H1460" s="25" t="n"/>
      <c r="I1460" s="15" t="n"/>
      <c r="J1460" s="26">
        <f>IF($A1460="","",LEN($C1460)-LEN(SUBSTITUTE($C1460,",",""))+1)</f>
        <v/>
      </c>
      <c r="K1460" s="26">
        <f>IF($A1460="","",SUMPRODUCT(--ISNUMBER(SEARCH('Category Dictionary'!$D$5:$D$135&amp;"",$C1460)),--('Category Dictionary'!$D$5:$D$135&lt;&gt;"")))</f>
        <v/>
      </c>
      <c r="L1460" s="27">
        <f>IF($A1460="","",TRIM(IF(ISERROR(FIND(",",$C1460)),$C1460,LEFT($C1460,FIND(",",$C1460)-1))))</f>
        <v/>
      </c>
      <c r="M1460" s="28">
        <f>IF($H1460="","",DATE(YEAR($H1460),MONTH($H1460),1))</f>
        <v/>
      </c>
      <c r="N1460" s="26">
        <f>IF($H1460="","",TODAY()-$H1460)</f>
        <v/>
      </c>
      <c r="O1460" s="15" t="n"/>
      <c r="P1460" s="15" t="n"/>
      <c r="Q1460" s="15" t="n"/>
      <c r="R1460" s="25" t="n"/>
      <c r="S1460" s="26">
        <f>IF($A1460="","",AND(OR('Assignment Builder'!$B$5="",$B1460='Assignment Builder'!$B$5),OR('Assignment Builder'!$B$6="",ISNUMBER(SEARCH('Assignment Builder'!$B$6,$C1460))),OR('Assignment Builder'!$B$7="",'Assignment Builder'!$B$7=IFERROR(INDEX('Category Dictionary'!$C$5:$C$135,MATCH($L1460,'Category Dictionary'!$D$5:$D$135,0)),"")),OR('Assignment Builder'!$B$8="",$D1460='Assignment Builder'!$B$8),OR('Assignment Builder'!$B$9="",$F1460='Assignment Builder'!$B$9),OR('Assignment Builder'!$B$10="",$O1460='Assignment Builder'!$B$10),OR('Assignment Builder'!$B$11="",$H1460&gt;='Assignment Builder'!$B$11),OR('Assignment Builder'!$B$12="",N($Q1460)&lt;='Assignment Builder'!$B$12)))</f>
        <v/>
      </c>
      <c r="T1460" s="23" t="n"/>
    </row>
    <row r="1461">
      <c r="A1461" s="23" t="n"/>
      <c r="B1461" s="23" t="n"/>
      <c r="C1461" s="24" t="n"/>
      <c r="D1461" s="15" t="n"/>
      <c r="E1461" s="23" t="n"/>
      <c r="F1461" s="15" t="n"/>
      <c r="G1461" s="23" t="n"/>
      <c r="H1461" s="25" t="n"/>
      <c r="I1461" s="15" t="n"/>
      <c r="J1461" s="26">
        <f>IF($A1461="","",LEN($C1461)-LEN(SUBSTITUTE($C1461,",",""))+1)</f>
        <v/>
      </c>
      <c r="K1461" s="26">
        <f>IF($A1461="","",SUMPRODUCT(--ISNUMBER(SEARCH('Category Dictionary'!$D$5:$D$135&amp;"",$C1461)),--('Category Dictionary'!$D$5:$D$135&lt;&gt;"")))</f>
        <v/>
      </c>
      <c r="L1461" s="27">
        <f>IF($A1461="","",TRIM(IF(ISERROR(FIND(",",$C1461)),$C1461,LEFT($C1461,FIND(",",$C1461)-1))))</f>
        <v/>
      </c>
      <c r="M1461" s="28">
        <f>IF($H1461="","",DATE(YEAR($H1461),MONTH($H1461),1))</f>
        <v/>
      </c>
      <c r="N1461" s="26">
        <f>IF($H1461="","",TODAY()-$H1461)</f>
        <v/>
      </c>
      <c r="O1461" s="15" t="n"/>
      <c r="P1461" s="15" t="n"/>
      <c r="Q1461" s="15" t="n"/>
      <c r="R1461" s="25" t="n"/>
      <c r="S1461" s="26">
        <f>IF($A1461="","",AND(OR('Assignment Builder'!$B$5="",$B1461='Assignment Builder'!$B$5),OR('Assignment Builder'!$B$6="",ISNUMBER(SEARCH('Assignment Builder'!$B$6,$C1461))),OR('Assignment Builder'!$B$7="",'Assignment Builder'!$B$7=IFERROR(INDEX('Category Dictionary'!$C$5:$C$135,MATCH($L1461,'Category Dictionary'!$D$5:$D$135,0)),"")),OR('Assignment Builder'!$B$8="",$D1461='Assignment Builder'!$B$8),OR('Assignment Builder'!$B$9="",$F1461='Assignment Builder'!$B$9),OR('Assignment Builder'!$B$10="",$O1461='Assignment Builder'!$B$10),OR('Assignment Builder'!$B$11="",$H1461&gt;='Assignment Builder'!$B$11),OR('Assignment Builder'!$B$12="",N($Q1461)&lt;='Assignment Builder'!$B$12)))</f>
        <v/>
      </c>
      <c r="T1461" s="23" t="n"/>
    </row>
    <row r="1462">
      <c r="A1462" s="23" t="n"/>
      <c r="B1462" s="23" t="n"/>
      <c r="C1462" s="24" t="n"/>
      <c r="D1462" s="15" t="n"/>
      <c r="E1462" s="23" t="n"/>
      <c r="F1462" s="15" t="n"/>
      <c r="G1462" s="23" t="n"/>
      <c r="H1462" s="25" t="n"/>
      <c r="I1462" s="15" t="n"/>
      <c r="J1462" s="26">
        <f>IF($A1462="","",LEN($C1462)-LEN(SUBSTITUTE($C1462,",",""))+1)</f>
        <v/>
      </c>
      <c r="K1462" s="26">
        <f>IF($A1462="","",SUMPRODUCT(--ISNUMBER(SEARCH('Category Dictionary'!$D$5:$D$135&amp;"",$C1462)),--('Category Dictionary'!$D$5:$D$135&lt;&gt;"")))</f>
        <v/>
      </c>
      <c r="L1462" s="27">
        <f>IF($A1462="","",TRIM(IF(ISERROR(FIND(",",$C1462)),$C1462,LEFT($C1462,FIND(",",$C1462)-1))))</f>
        <v/>
      </c>
      <c r="M1462" s="28">
        <f>IF($H1462="","",DATE(YEAR($H1462),MONTH($H1462),1))</f>
        <v/>
      </c>
      <c r="N1462" s="26">
        <f>IF($H1462="","",TODAY()-$H1462)</f>
        <v/>
      </c>
      <c r="O1462" s="15" t="n"/>
      <c r="P1462" s="15" t="n"/>
      <c r="Q1462" s="15" t="n"/>
      <c r="R1462" s="25" t="n"/>
      <c r="S1462" s="26">
        <f>IF($A1462="","",AND(OR('Assignment Builder'!$B$5="",$B1462='Assignment Builder'!$B$5),OR('Assignment Builder'!$B$6="",ISNUMBER(SEARCH('Assignment Builder'!$B$6,$C1462))),OR('Assignment Builder'!$B$7="",'Assignment Builder'!$B$7=IFERROR(INDEX('Category Dictionary'!$C$5:$C$135,MATCH($L1462,'Category Dictionary'!$D$5:$D$135,0)),"")),OR('Assignment Builder'!$B$8="",$D1462='Assignment Builder'!$B$8),OR('Assignment Builder'!$B$9="",$F1462='Assignment Builder'!$B$9),OR('Assignment Builder'!$B$10="",$O1462='Assignment Builder'!$B$10),OR('Assignment Builder'!$B$11="",$H1462&gt;='Assignment Builder'!$B$11),OR('Assignment Builder'!$B$12="",N($Q1462)&lt;='Assignment Builder'!$B$12)))</f>
        <v/>
      </c>
      <c r="T1462" s="23" t="n"/>
    </row>
    <row r="1463">
      <c r="A1463" s="23" t="n"/>
      <c r="B1463" s="23" t="n"/>
      <c r="C1463" s="24" t="n"/>
      <c r="D1463" s="15" t="n"/>
      <c r="E1463" s="23" t="n"/>
      <c r="F1463" s="15" t="n"/>
      <c r="G1463" s="23" t="n"/>
      <c r="H1463" s="25" t="n"/>
      <c r="I1463" s="15" t="n"/>
      <c r="J1463" s="26">
        <f>IF($A1463="","",LEN($C1463)-LEN(SUBSTITUTE($C1463,",",""))+1)</f>
        <v/>
      </c>
      <c r="K1463" s="26">
        <f>IF($A1463="","",SUMPRODUCT(--ISNUMBER(SEARCH('Category Dictionary'!$D$5:$D$135&amp;"",$C1463)),--('Category Dictionary'!$D$5:$D$135&lt;&gt;"")))</f>
        <v/>
      </c>
      <c r="L1463" s="27">
        <f>IF($A1463="","",TRIM(IF(ISERROR(FIND(",",$C1463)),$C1463,LEFT($C1463,FIND(",",$C1463)-1))))</f>
        <v/>
      </c>
      <c r="M1463" s="28">
        <f>IF($H1463="","",DATE(YEAR($H1463),MONTH($H1463),1))</f>
        <v/>
      </c>
      <c r="N1463" s="26">
        <f>IF($H1463="","",TODAY()-$H1463)</f>
        <v/>
      </c>
      <c r="O1463" s="15" t="n"/>
      <c r="P1463" s="15" t="n"/>
      <c r="Q1463" s="15" t="n"/>
      <c r="R1463" s="25" t="n"/>
      <c r="S1463" s="26">
        <f>IF($A1463="","",AND(OR('Assignment Builder'!$B$5="",$B1463='Assignment Builder'!$B$5),OR('Assignment Builder'!$B$6="",ISNUMBER(SEARCH('Assignment Builder'!$B$6,$C1463))),OR('Assignment Builder'!$B$7="",'Assignment Builder'!$B$7=IFERROR(INDEX('Category Dictionary'!$C$5:$C$135,MATCH($L1463,'Category Dictionary'!$D$5:$D$135,0)),"")),OR('Assignment Builder'!$B$8="",$D1463='Assignment Builder'!$B$8),OR('Assignment Builder'!$B$9="",$F1463='Assignment Builder'!$B$9),OR('Assignment Builder'!$B$10="",$O1463='Assignment Builder'!$B$10),OR('Assignment Builder'!$B$11="",$H1463&gt;='Assignment Builder'!$B$11),OR('Assignment Builder'!$B$12="",N($Q1463)&lt;='Assignment Builder'!$B$12)))</f>
        <v/>
      </c>
      <c r="T1463" s="23" t="n"/>
    </row>
    <row r="1464">
      <c r="A1464" s="23" t="n"/>
      <c r="B1464" s="23" t="n"/>
      <c r="C1464" s="24" t="n"/>
      <c r="D1464" s="15" t="n"/>
      <c r="E1464" s="23" t="n"/>
      <c r="F1464" s="15" t="n"/>
      <c r="G1464" s="23" t="n"/>
      <c r="H1464" s="25" t="n"/>
      <c r="I1464" s="15" t="n"/>
      <c r="J1464" s="26">
        <f>IF($A1464="","",LEN($C1464)-LEN(SUBSTITUTE($C1464,",",""))+1)</f>
        <v/>
      </c>
      <c r="K1464" s="26">
        <f>IF($A1464="","",SUMPRODUCT(--ISNUMBER(SEARCH('Category Dictionary'!$D$5:$D$135&amp;"",$C1464)),--('Category Dictionary'!$D$5:$D$135&lt;&gt;"")))</f>
        <v/>
      </c>
      <c r="L1464" s="27">
        <f>IF($A1464="","",TRIM(IF(ISERROR(FIND(",",$C1464)),$C1464,LEFT($C1464,FIND(",",$C1464)-1))))</f>
        <v/>
      </c>
      <c r="M1464" s="28">
        <f>IF($H1464="","",DATE(YEAR($H1464),MONTH($H1464),1))</f>
        <v/>
      </c>
      <c r="N1464" s="26">
        <f>IF($H1464="","",TODAY()-$H1464)</f>
        <v/>
      </c>
      <c r="O1464" s="15" t="n"/>
      <c r="P1464" s="15" t="n"/>
      <c r="Q1464" s="15" t="n"/>
      <c r="R1464" s="25" t="n"/>
      <c r="S1464" s="26">
        <f>IF($A1464="","",AND(OR('Assignment Builder'!$B$5="",$B1464='Assignment Builder'!$B$5),OR('Assignment Builder'!$B$6="",ISNUMBER(SEARCH('Assignment Builder'!$B$6,$C1464))),OR('Assignment Builder'!$B$7="",'Assignment Builder'!$B$7=IFERROR(INDEX('Category Dictionary'!$C$5:$C$135,MATCH($L1464,'Category Dictionary'!$D$5:$D$135,0)),"")),OR('Assignment Builder'!$B$8="",$D1464='Assignment Builder'!$B$8),OR('Assignment Builder'!$B$9="",$F1464='Assignment Builder'!$B$9),OR('Assignment Builder'!$B$10="",$O1464='Assignment Builder'!$B$10),OR('Assignment Builder'!$B$11="",$H1464&gt;='Assignment Builder'!$B$11),OR('Assignment Builder'!$B$12="",N($Q1464)&lt;='Assignment Builder'!$B$12)))</f>
        <v/>
      </c>
      <c r="T1464" s="23" t="n"/>
    </row>
    <row r="1465">
      <c r="A1465" s="23" t="n"/>
      <c r="B1465" s="23" t="n"/>
      <c r="C1465" s="24" t="n"/>
      <c r="D1465" s="15" t="n"/>
      <c r="E1465" s="23" t="n"/>
      <c r="F1465" s="15" t="n"/>
      <c r="G1465" s="23" t="n"/>
      <c r="H1465" s="25" t="n"/>
      <c r="I1465" s="15" t="n"/>
      <c r="J1465" s="26">
        <f>IF($A1465="","",LEN($C1465)-LEN(SUBSTITUTE($C1465,",",""))+1)</f>
        <v/>
      </c>
      <c r="K1465" s="26">
        <f>IF($A1465="","",SUMPRODUCT(--ISNUMBER(SEARCH('Category Dictionary'!$D$5:$D$135&amp;"",$C1465)),--('Category Dictionary'!$D$5:$D$135&lt;&gt;"")))</f>
        <v/>
      </c>
      <c r="L1465" s="27">
        <f>IF($A1465="","",TRIM(IF(ISERROR(FIND(",",$C1465)),$C1465,LEFT($C1465,FIND(",",$C1465)-1))))</f>
        <v/>
      </c>
      <c r="M1465" s="28">
        <f>IF($H1465="","",DATE(YEAR($H1465),MONTH($H1465),1))</f>
        <v/>
      </c>
      <c r="N1465" s="26">
        <f>IF($H1465="","",TODAY()-$H1465)</f>
        <v/>
      </c>
      <c r="O1465" s="15" t="n"/>
      <c r="P1465" s="15" t="n"/>
      <c r="Q1465" s="15" t="n"/>
      <c r="R1465" s="25" t="n"/>
      <c r="S1465" s="26">
        <f>IF($A1465="","",AND(OR('Assignment Builder'!$B$5="",$B1465='Assignment Builder'!$B$5),OR('Assignment Builder'!$B$6="",ISNUMBER(SEARCH('Assignment Builder'!$B$6,$C1465))),OR('Assignment Builder'!$B$7="",'Assignment Builder'!$B$7=IFERROR(INDEX('Category Dictionary'!$C$5:$C$135,MATCH($L1465,'Category Dictionary'!$D$5:$D$135,0)),"")),OR('Assignment Builder'!$B$8="",$D1465='Assignment Builder'!$B$8),OR('Assignment Builder'!$B$9="",$F1465='Assignment Builder'!$B$9),OR('Assignment Builder'!$B$10="",$O1465='Assignment Builder'!$B$10),OR('Assignment Builder'!$B$11="",$H1465&gt;='Assignment Builder'!$B$11),OR('Assignment Builder'!$B$12="",N($Q1465)&lt;='Assignment Builder'!$B$12)))</f>
        <v/>
      </c>
      <c r="T1465" s="23" t="n"/>
    </row>
    <row r="1466">
      <c r="A1466" s="23" t="n"/>
      <c r="B1466" s="23" t="n"/>
      <c r="C1466" s="24" t="n"/>
      <c r="D1466" s="15" t="n"/>
      <c r="E1466" s="23" t="n"/>
      <c r="F1466" s="15" t="n"/>
      <c r="G1466" s="23" t="n"/>
      <c r="H1466" s="25" t="n"/>
      <c r="I1466" s="15" t="n"/>
      <c r="J1466" s="26">
        <f>IF($A1466="","",LEN($C1466)-LEN(SUBSTITUTE($C1466,",",""))+1)</f>
        <v/>
      </c>
      <c r="K1466" s="26">
        <f>IF($A1466="","",SUMPRODUCT(--ISNUMBER(SEARCH('Category Dictionary'!$D$5:$D$135&amp;"",$C1466)),--('Category Dictionary'!$D$5:$D$135&lt;&gt;"")))</f>
        <v/>
      </c>
      <c r="L1466" s="27">
        <f>IF($A1466="","",TRIM(IF(ISERROR(FIND(",",$C1466)),$C1466,LEFT($C1466,FIND(",",$C1466)-1))))</f>
        <v/>
      </c>
      <c r="M1466" s="28">
        <f>IF($H1466="","",DATE(YEAR($H1466),MONTH($H1466),1))</f>
        <v/>
      </c>
      <c r="N1466" s="26">
        <f>IF($H1466="","",TODAY()-$H1466)</f>
        <v/>
      </c>
      <c r="O1466" s="15" t="n"/>
      <c r="P1466" s="15" t="n"/>
      <c r="Q1466" s="15" t="n"/>
      <c r="R1466" s="25" t="n"/>
      <c r="S1466" s="26">
        <f>IF($A1466="","",AND(OR('Assignment Builder'!$B$5="",$B1466='Assignment Builder'!$B$5),OR('Assignment Builder'!$B$6="",ISNUMBER(SEARCH('Assignment Builder'!$B$6,$C1466))),OR('Assignment Builder'!$B$7="",'Assignment Builder'!$B$7=IFERROR(INDEX('Category Dictionary'!$C$5:$C$135,MATCH($L1466,'Category Dictionary'!$D$5:$D$135,0)),"")),OR('Assignment Builder'!$B$8="",$D1466='Assignment Builder'!$B$8),OR('Assignment Builder'!$B$9="",$F1466='Assignment Builder'!$B$9),OR('Assignment Builder'!$B$10="",$O1466='Assignment Builder'!$B$10),OR('Assignment Builder'!$B$11="",$H1466&gt;='Assignment Builder'!$B$11),OR('Assignment Builder'!$B$12="",N($Q1466)&lt;='Assignment Builder'!$B$12)))</f>
        <v/>
      </c>
      <c r="T1466" s="23" t="n"/>
    </row>
    <row r="1467">
      <c r="A1467" s="23" t="n"/>
      <c r="B1467" s="23" t="n"/>
      <c r="C1467" s="24" t="n"/>
      <c r="D1467" s="15" t="n"/>
      <c r="E1467" s="23" t="n"/>
      <c r="F1467" s="15" t="n"/>
      <c r="G1467" s="23" t="n"/>
      <c r="H1467" s="25" t="n"/>
      <c r="I1467" s="15" t="n"/>
      <c r="J1467" s="26">
        <f>IF($A1467="","",LEN($C1467)-LEN(SUBSTITUTE($C1467,",",""))+1)</f>
        <v/>
      </c>
      <c r="K1467" s="26">
        <f>IF($A1467="","",SUMPRODUCT(--ISNUMBER(SEARCH('Category Dictionary'!$D$5:$D$135&amp;"",$C1467)),--('Category Dictionary'!$D$5:$D$135&lt;&gt;"")))</f>
        <v/>
      </c>
      <c r="L1467" s="27">
        <f>IF($A1467="","",TRIM(IF(ISERROR(FIND(",",$C1467)),$C1467,LEFT($C1467,FIND(",",$C1467)-1))))</f>
        <v/>
      </c>
      <c r="M1467" s="28">
        <f>IF($H1467="","",DATE(YEAR($H1467),MONTH($H1467),1))</f>
        <v/>
      </c>
      <c r="N1467" s="26">
        <f>IF($H1467="","",TODAY()-$H1467)</f>
        <v/>
      </c>
      <c r="O1467" s="15" t="n"/>
      <c r="P1467" s="15" t="n"/>
      <c r="Q1467" s="15" t="n"/>
      <c r="R1467" s="25" t="n"/>
      <c r="S1467" s="26">
        <f>IF($A1467="","",AND(OR('Assignment Builder'!$B$5="",$B1467='Assignment Builder'!$B$5),OR('Assignment Builder'!$B$6="",ISNUMBER(SEARCH('Assignment Builder'!$B$6,$C1467))),OR('Assignment Builder'!$B$7="",'Assignment Builder'!$B$7=IFERROR(INDEX('Category Dictionary'!$C$5:$C$135,MATCH($L1467,'Category Dictionary'!$D$5:$D$135,0)),"")),OR('Assignment Builder'!$B$8="",$D1467='Assignment Builder'!$B$8),OR('Assignment Builder'!$B$9="",$F1467='Assignment Builder'!$B$9),OR('Assignment Builder'!$B$10="",$O1467='Assignment Builder'!$B$10),OR('Assignment Builder'!$B$11="",$H1467&gt;='Assignment Builder'!$B$11),OR('Assignment Builder'!$B$12="",N($Q1467)&lt;='Assignment Builder'!$B$12)))</f>
        <v/>
      </c>
      <c r="T1467" s="23" t="n"/>
    </row>
    <row r="1468">
      <c r="A1468" s="23" t="n"/>
      <c r="B1468" s="23" t="n"/>
      <c r="C1468" s="24" t="n"/>
      <c r="D1468" s="15" t="n"/>
      <c r="E1468" s="23" t="n"/>
      <c r="F1468" s="15" t="n"/>
      <c r="G1468" s="23" t="n"/>
      <c r="H1468" s="25" t="n"/>
      <c r="I1468" s="15" t="n"/>
      <c r="J1468" s="26">
        <f>IF($A1468="","",LEN($C1468)-LEN(SUBSTITUTE($C1468,",",""))+1)</f>
        <v/>
      </c>
      <c r="K1468" s="26">
        <f>IF($A1468="","",SUMPRODUCT(--ISNUMBER(SEARCH('Category Dictionary'!$D$5:$D$135&amp;"",$C1468)),--('Category Dictionary'!$D$5:$D$135&lt;&gt;"")))</f>
        <v/>
      </c>
      <c r="L1468" s="27">
        <f>IF($A1468="","",TRIM(IF(ISERROR(FIND(",",$C1468)),$C1468,LEFT($C1468,FIND(",",$C1468)-1))))</f>
        <v/>
      </c>
      <c r="M1468" s="28">
        <f>IF($H1468="","",DATE(YEAR($H1468),MONTH($H1468),1))</f>
        <v/>
      </c>
      <c r="N1468" s="26">
        <f>IF($H1468="","",TODAY()-$H1468)</f>
        <v/>
      </c>
      <c r="O1468" s="15" t="n"/>
      <c r="P1468" s="15" t="n"/>
      <c r="Q1468" s="15" t="n"/>
      <c r="R1468" s="25" t="n"/>
      <c r="S1468" s="26">
        <f>IF($A1468="","",AND(OR('Assignment Builder'!$B$5="",$B1468='Assignment Builder'!$B$5),OR('Assignment Builder'!$B$6="",ISNUMBER(SEARCH('Assignment Builder'!$B$6,$C1468))),OR('Assignment Builder'!$B$7="",'Assignment Builder'!$B$7=IFERROR(INDEX('Category Dictionary'!$C$5:$C$135,MATCH($L1468,'Category Dictionary'!$D$5:$D$135,0)),"")),OR('Assignment Builder'!$B$8="",$D1468='Assignment Builder'!$B$8),OR('Assignment Builder'!$B$9="",$F1468='Assignment Builder'!$B$9),OR('Assignment Builder'!$B$10="",$O1468='Assignment Builder'!$B$10),OR('Assignment Builder'!$B$11="",$H1468&gt;='Assignment Builder'!$B$11),OR('Assignment Builder'!$B$12="",N($Q1468)&lt;='Assignment Builder'!$B$12)))</f>
        <v/>
      </c>
      <c r="T1468" s="23" t="n"/>
    </row>
    <row r="1469">
      <c r="A1469" s="23" t="n"/>
      <c r="B1469" s="23" t="n"/>
      <c r="C1469" s="24" t="n"/>
      <c r="D1469" s="15" t="n"/>
      <c r="E1469" s="23" t="n"/>
      <c r="F1469" s="15" t="n"/>
      <c r="G1469" s="23" t="n"/>
      <c r="H1469" s="25" t="n"/>
      <c r="I1469" s="15" t="n"/>
      <c r="J1469" s="26">
        <f>IF($A1469="","",LEN($C1469)-LEN(SUBSTITUTE($C1469,",",""))+1)</f>
        <v/>
      </c>
      <c r="K1469" s="26">
        <f>IF($A1469="","",SUMPRODUCT(--ISNUMBER(SEARCH('Category Dictionary'!$D$5:$D$135&amp;"",$C1469)),--('Category Dictionary'!$D$5:$D$135&lt;&gt;"")))</f>
        <v/>
      </c>
      <c r="L1469" s="27">
        <f>IF($A1469="","",TRIM(IF(ISERROR(FIND(",",$C1469)),$C1469,LEFT($C1469,FIND(",",$C1469)-1))))</f>
        <v/>
      </c>
      <c r="M1469" s="28">
        <f>IF($H1469="","",DATE(YEAR($H1469),MONTH($H1469),1))</f>
        <v/>
      </c>
      <c r="N1469" s="26">
        <f>IF($H1469="","",TODAY()-$H1469)</f>
        <v/>
      </c>
      <c r="O1469" s="15" t="n"/>
      <c r="P1469" s="15" t="n"/>
      <c r="Q1469" s="15" t="n"/>
      <c r="R1469" s="25" t="n"/>
      <c r="S1469" s="26">
        <f>IF($A1469="","",AND(OR('Assignment Builder'!$B$5="",$B1469='Assignment Builder'!$B$5),OR('Assignment Builder'!$B$6="",ISNUMBER(SEARCH('Assignment Builder'!$B$6,$C1469))),OR('Assignment Builder'!$B$7="",'Assignment Builder'!$B$7=IFERROR(INDEX('Category Dictionary'!$C$5:$C$135,MATCH($L1469,'Category Dictionary'!$D$5:$D$135,0)),"")),OR('Assignment Builder'!$B$8="",$D1469='Assignment Builder'!$B$8),OR('Assignment Builder'!$B$9="",$F1469='Assignment Builder'!$B$9),OR('Assignment Builder'!$B$10="",$O1469='Assignment Builder'!$B$10),OR('Assignment Builder'!$B$11="",$H1469&gt;='Assignment Builder'!$B$11),OR('Assignment Builder'!$B$12="",N($Q1469)&lt;='Assignment Builder'!$B$12)))</f>
        <v/>
      </c>
      <c r="T1469" s="23" t="n"/>
    </row>
    <row r="1470">
      <c r="A1470" s="23" t="n"/>
      <c r="B1470" s="23" t="n"/>
      <c r="C1470" s="24" t="n"/>
      <c r="D1470" s="15" t="n"/>
      <c r="E1470" s="23" t="n"/>
      <c r="F1470" s="15" t="n"/>
      <c r="G1470" s="23" t="n"/>
      <c r="H1470" s="25" t="n"/>
      <c r="I1470" s="15" t="n"/>
      <c r="J1470" s="26">
        <f>IF($A1470="","",LEN($C1470)-LEN(SUBSTITUTE($C1470,",",""))+1)</f>
        <v/>
      </c>
      <c r="K1470" s="26">
        <f>IF($A1470="","",SUMPRODUCT(--ISNUMBER(SEARCH('Category Dictionary'!$D$5:$D$135&amp;"",$C1470)),--('Category Dictionary'!$D$5:$D$135&lt;&gt;"")))</f>
        <v/>
      </c>
      <c r="L1470" s="27">
        <f>IF($A1470="","",TRIM(IF(ISERROR(FIND(",",$C1470)),$C1470,LEFT($C1470,FIND(",",$C1470)-1))))</f>
        <v/>
      </c>
      <c r="M1470" s="28">
        <f>IF($H1470="","",DATE(YEAR($H1470),MONTH($H1470),1))</f>
        <v/>
      </c>
      <c r="N1470" s="26">
        <f>IF($H1470="","",TODAY()-$H1470)</f>
        <v/>
      </c>
      <c r="O1470" s="15" t="n"/>
      <c r="P1470" s="15" t="n"/>
      <c r="Q1470" s="15" t="n"/>
      <c r="R1470" s="25" t="n"/>
      <c r="S1470" s="26">
        <f>IF($A1470="","",AND(OR('Assignment Builder'!$B$5="",$B1470='Assignment Builder'!$B$5),OR('Assignment Builder'!$B$6="",ISNUMBER(SEARCH('Assignment Builder'!$B$6,$C1470))),OR('Assignment Builder'!$B$7="",'Assignment Builder'!$B$7=IFERROR(INDEX('Category Dictionary'!$C$5:$C$135,MATCH($L1470,'Category Dictionary'!$D$5:$D$135,0)),"")),OR('Assignment Builder'!$B$8="",$D1470='Assignment Builder'!$B$8),OR('Assignment Builder'!$B$9="",$F1470='Assignment Builder'!$B$9),OR('Assignment Builder'!$B$10="",$O1470='Assignment Builder'!$B$10),OR('Assignment Builder'!$B$11="",$H1470&gt;='Assignment Builder'!$B$11),OR('Assignment Builder'!$B$12="",N($Q1470)&lt;='Assignment Builder'!$B$12)))</f>
        <v/>
      </c>
      <c r="T1470" s="23" t="n"/>
    </row>
    <row r="1471">
      <c r="A1471" s="23" t="n"/>
      <c r="B1471" s="23" t="n"/>
      <c r="C1471" s="24" t="n"/>
      <c r="D1471" s="15" t="n"/>
      <c r="E1471" s="23" t="n"/>
      <c r="F1471" s="15" t="n"/>
      <c r="G1471" s="23" t="n"/>
      <c r="H1471" s="25" t="n"/>
      <c r="I1471" s="15" t="n"/>
      <c r="J1471" s="26">
        <f>IF($A1471="","",LEN($C1471)-LEN(SUBSTITUTE($C1471,",",""))+1)</f>
        <v/>
      </c>
      <c r="K1471" s="26">
        <f>IF($A1471="","",SUMPRODUCT(--ISNUMBER(SEARCH('Category Dictionary'!$D$5:$D$135&amp;"",$C1471)),--('Category Dictionary'!$D$5:$D$135&lt;&gt;"")))</f>
        <v/>
      </c>
      <c r="L1471" s="27">
        <f>IF($A1471="","",TRIM(IF(ISERROR(FIND(",",$C1471)),$C1471,LEFT($C1471,FIND(",",$C1471)-1))))</f>
        <v/>
      </c>
      <c r="M1471" s="28">
        <f>IF($H1471="","",DATE(YEAR($H1471),MONTH($H1471),1))</f>
        <v/>
      </c>
      <c r="N1471" s="26">
        <f>IF($H1471="","",TODAY()-$H1471)</f>
        <v/>
      </c>
      <c r="O1471" s="15" t="n"/>
      <c r="P1471" s="15" t="n"/>
      <c r="Q1471" s="15" t="n"/>
      <c r="R1471" s="25" t="n"/>
      <c r="S1471" s="26">
        <f>IF($A1471="","",AND(OR('Assignment Builder'!$B$5="",$B1471='Assignment Builder'!$B$5),OR('Assignment Builder'!$B$6="",ISNUMBER(SEARCH('Assignment Builder'!$B$6,$C1471))),OR('Assignment Builder'!$B$7="",'Assignment Builder'!$B$7=IFERROR(INDEX('Category Dictionary'!$C$5:$C$135,MATCH($L1471,'Category Dictionary'!$D$5:$D$135,0)),"")),OR('Assignment Builder'!$B$8="",$D1471='Assignment Builder'!$B$8),OR('Assignment Builder'!$B$9="",$F1471='Assignment Builder'!$B$9),OR('Assignment Builder'!$B$10="",$O1471='Assignment Builder'!$B$10),OR('Assignment Builder'!$B$11="",$H1471&gt;='Assignment Builder'!$B$11),OR('Assignment Builder'!$B$12="",N($Q1471)&lt;='Assignment Builder'!$B$12)))</f>
        <v/>
      </c>
      <c r="T1471" s="23" t="n"/>
    </row>
    <row r="1472">
      <c r="A1472" s="23" t="n"/>
      <c r="B1472" s="23" t="n"/>
      <c r="C1472" s="24" t="n"/>
      <c r="D1472" s="15" t="n"/>
      <c r="E1472" s="23" t="n"/>
      <c r="F1472" s="15" t="n"/>
      <c r="G1472" s="23" t="n"/>
      <c r="H1472" s="25" t="n"/>
      <c r="I1472" s="15" t="n"/>
      <c r="J1472" s="26">
        <f>IF($A1472="","",LEN($C1472)-LEN(SUBSTITUTE($C1472,",",""))+1)</f>
        <v/>
      </c>
      <c r="K1472" s="26">
        <f>IF($A1472="","",SUMPRODUCT(--ISNUMBER(SEARCH('Category Dictionary'!$D$5:$D$135&amp;"",$C1472)),--('Category Dictionary'!$D$5:$D$135&lt;&gt;"")))</f>
        <v/>
      </c>
      <c r="L1472" s="27">
        <f>IF($A1472="","",TRIM(IF(ISERROR(FIND(",",$C1472)),$C1472,LEFT($C1472,FIND(",",$C1472)-1))))</f>
        <v/>
      </c>
      <c r="M1472" s="28">
        <f>IF($H1472="","",DATE(YEAR($H1472),MONTH($H1472),1))</f>
        <v/>
      </c>
      <c r="N1472" s="26">
        <f>IF($H1472="","",TODAY()-$H1472)</f>
        <v/>
      </c>
      <c r="O1472" s="15" t="n"/>
      <c r="P1472" s="15" t="n"/>
      <c r="Q1472" s="15" t="n"/>
      <c r="R1472" s="25" t="n"/>
      <c r="S1472" s="26">
        <f>IF($A1472="","",AND(OR('Assignment Builder'!$B$5="",$B1472='Assignment Builder'!$B$5),OR('Assignment Builder'!$B$6="",ISNUMBER(SEARCH('Assignment Builder'!$B$6,$C1472))),OR('Assignment Builder'!$B$7="",'Assignment Builder'!$B$7=IFERROR(INDEX('Category Dictionary'!$C$5:$C$135,MATCH($L1472,'Category Dictionary'!$D$5:$D$135,0)),"")),OR('Assignment Builder'!$B$8="",$D1472='Assignment Builder'!$B$8),OR('Assignment Builder'!$B$9="",$F1472='Assignment Builder'!$B$9),OR('Assignment Builder'!$B$10="",$O1472='Assignment Builder'!$B$10),OR('Assignment Builder'!$B$11="",$H1472&gt;='Assignment Builder'!$B$11),OR('Assignment Builder'!$B$12="",N($Q1472)&lt;='Assignment Builder'!$B$12)))</f>
        <v/>
      </c>
      <c r="T1472" s="23" t="n"/>
    </row>
    <row r="1473">
      <c r="A1473" s="23" t="n"/>
      <c r="B1473" s="23" t="n"/>
      <c r="C1473" s="24" t="n"/>
      <c r="D1473" s="15" t="n"/>
      <c r="E1473" s="23" t="n"/>
      <c r="F1473" s="15" t="n"/>
      <c r="G1473" s="23" t="n"/>
      <c r="H1473" s="25" t="n"/>
      <c r="I1473" s="15" t="n"/>
      <c r="J1473" s="26">
        <f>IF($A1473="","",LEN($C1473)-LEN(SUBSTITUTE($C1473,",",""))+1)</f>
        <v/>
      </c>
      <c r="K1473" s="26">
        <f>IF($A1473="","",SUMPRODUCT(--ISNUMBER(SEARCH('Category Dictionary'!$D$5:$D$135&amp;"",$C1473)),--('Category Dictionary'!$D$5:$D$135&lt;&gt;"")))</f>
        <v/>
      </c>
      <c r="L1473" s="27">
        <f>IF($A1473="","",TRIM(IF(ISERROR(FIND(",",$C1473)),$C1473,LEFT($C1473,FIND(",",$C1473)-1))))</f>
        <v/>
      </c>
      <c r="M1473" s="28">
        <f>IF($H1473="","",DATE(YEAR($H1473),MONTH($H1473),1))</f>
        <v/>
      </c>
      <c r="N1473" s="26">
        <f>IF($H1473="","",TODAY()-$H1473)</f>
        <v/>
      </c>
      <c r="O1473" s="15" t="n"/>
      <c r="P1473" s="15" t="n"/>
      <c r="Q1473" s="15" t="n"/>
      <c r="R1473" s="25" t="n"/>
      <c r="S1473" s="26">
        <f>IF($A1473="","",AND(OR('Assignment Builder'!$B$5="",$B1473='Assignment Builder'!$B$5),OR('Assignment Builder'!$B$6="",ISNUMBER(SEARCH('Assignment Builder'!$B$6,$C1473))),OR('Assignment Builder'!$B$7="",'Assignment Builder'!$B$7=IFERROR(INDEX('Category Dictionary'!$C$5:$C$135,MATCH($L1473,'Category Dictionary'!$D$5:$D$135,0)),"")),OR('Assignment Builder'!$B$8="",$D1473='Assignment Builder'!$B$8),OR('Assignment Builder'!$B$9="",$F1473='Assignment Builder'!$B$9),OR('Assignment Builder'!$B$10="",$O1473='Assignment Builder'!$B$10),OR('Assignment Builder'!$B$11="",$H1473&gt;='Assignment Builder'!$B$11),OR('Assignment Builder'!$B$12="",N($Q1473)&lt;='Assignment Builder'!$B$12)))</f>
        <v/>
      </c>
      <c r="T1473" s="23" t="n"/>
    </row>
    <row r="1474">
      <c r="A1474" s="23" t="n"/>
      <c r="B1474" s="23" t="n"/>
      <c r="C1474" s="24" t="n"/>
      <c r="D1474" s="15" t="n"/>
      <c r="E1474" s="23" t="n"/>
      <c r="F1474" s="15" t="n"/>
      <c r="G1474" s="23" t="n"/>
      <c r="H1474" s="25" t="n"/>
      <c r="I1474" s="15" t="n"/>
      <c r="J1474" s="26">
        <f>IF($A1474="","",LEN($C1474)-LEN(SUBSTITUTE($C1474,",",""))+1)</f>
        <v/>
      </c>
      <c r="K1474" s="26">
        <f>IF($A1474="","",SUMPRODUCT(--ISNUMBER(SEARCH('Category Dictionary'!$D$5:$D$135&amp;"",$C1474)),--('Category Dictionary'!$D$5:$D$135&lt;&gt;"")))</f>
        <v/>
      </c>
      <c r="L1474" s="27">
        <f>IF($A1474="","",TRIM(IF(ISERROR(FIND(",",$C1474)),$C1474,LEFT($C1474,FIND(",",$C1474)-1))))</f>
        <v/>
      </c>
      <c r="M1474" s="28">
        <f>IF($H1474="","",DATE(YEAR($H1474),MONTH($H1474),1))</f>
        <v/>
      </c>
      <c r="N1474" s="26">
        <f>IF($H1474="","",TODAY()-$H1474)</f>
        <v/>
      </c>
      <c r="O1474" s="15" t="n"/>
      <c r="P1474" s="15" t="n"/>
      <c r="Q1474" s="15" t="n"/>
      <c r="R1474" s="25" t="n"/>
      <c r="S1474" s="26">
        <f>IF($A1474="","",AND(OR('Assignment Builder'!$B$5="",$B1474='Assignment Builder'!$B$5),OR('Assignment Builder'!$B$6="",ISNUMBER(SEARCH('Assignment Builder'!$B$6,$C1474))),OR('Assignment Builder'!$B$7="",'Assignment Builder'!$B$7=IFERROR(INDEX('Category Dictionary'!$C$5:$C$135,MATCH($L1474,'Category Dictionary'!$D$5:$D$135,0)),"")),OR('Assignment Builder'!$B$8="",$D1474='Assignment Builder'!$B$8),OR('Assignment Builder'!$B$9="",$F1474='Assignment Builder'!$B$9),OR('Assignment Builder'!$B$10="",$O1474='Assignment Builder'!$B$10),OR('Assignment Builder'!$B$11="",$H1474&gt;='Assignment Builder'!$B$11),OR('Assignment Builder'!$B$12="",N($Q1474)&lt;='Assignment Builder'!$B$12)))</f>
        <v/>
      </c>
      <c r="T1474" s="23" t="n"/>
    </row>
    <row r="1475">
      <c r="A1475" s="23" t="n"/>
      <c r="B1475" s="23" t="n"/>
      <c r="C1475" s="24" t="n"/>
      <c r="D1475" s="15" t="n"/>
      <c r="E1475" s="23" t="n"/>
      <c r="F1475" s="15" t="n"/>
      <c r="G1475" s="23" t="n"/>
      <c r="H1475" s="25" t="n"/>
      <c r="I1475" s="15" t="n"/>
      <c r="J1475" s="26">
        <f>IF($A1475="","",LEN($C1475)-LEN(SUBSTITUTE($C1475,",",""))+1)</f>
        <v/>
      </c>
      <c r="K1475" s="26">
        <f>IF($A1475="","",SUMPRODUCT(--ISNUMBER(SEARCH('Category Dictionary'!$D$5:$D$135&amp;"",$C1475)),--('Category Dictionary'!$D$5:$D$135&lt;&gt;"")))</f>
        <v/>
      </c>
      <c r="L1475" s="27">
        <f>IF($A1475="","",TRIM(IF(ISERROR(FIND(",",$C1475)),$C1475,LEFT($C1475,FIND(",",$C1475)-1))))</f>
        <v/>
      </c>
      <c r="M1475" s="28">
        <f>IF($H1475="","",DATE(YEAR($H1475),MONTH($H1475),1))</f>
        <v/>
      </c>
      <c r="N1475" s="26">
        <f>IF($H1475="","",TODAY()-$H1475)</f>
        <v/>
      </c>
      <c r="O1475" s="15" t="n"/>
      <c r="P1475" s="15" t="n"/>
      <c r="Q1475" s="15" t="n"/>
      <c r="R1475" s="25" t="n"/>
      <c r="S1475" s="26">
        <f>IF($A1475="","",AND(OR('Assignment Builder'!$B$5="",$B1475='Assignment Builder'!$B$5),OR('Assignment Builder'!$B$6="",ISNUMBER(SEARCH('Assignment Builder'!$B$6,$C1475))),OR('Assignment Builder'!$B$7="",'Assignment Builder'!$B$7=IFERROR(INDEX('Category Dictionary'!$C$5:$C$135,MATCH($L1475,'Category Dictionary'!$D$5:$D$135,0)),"")),OR('Assignment Builder'!$B$8="",$D1475='Assignment Builder'!$B$8),OR('Assignment Builder'!$B$9="",$F1475='Assignment Builder'!$B$9),OR('Assignment Builder'!$B$10="",$O1475='Assignment Builder'!$B$10),OR('Assignment Builder'!$B$11="",$H1475&gt;='Assignment Builder'!$B$11),OR('Assignment Builder'!$B$12="",N($Q1475)&lt;='Assignment Builder'!$B$12)))</f>
        <v/>
      </c>
      <c r="T1475" s="23" t="n"/>
    </row>
    <row r="1476">
      <c r="A1476" s="23" t="n"/>
      <c r="B1476" s="23" t="n"/>
      <c r="C1476" s="24" t="n"/>
      <c r="D1476" s="15" t="n"/>
      <c r="E1476" s="23" t="n"/>
      <c r="F1476" s="15" t="n"/>
      <c r="G1476" s="23" t="n"/>
      <c r="H1476" s="25" t="n"/>
      <c r="I1476" s="15" t="n"/>
      <c r="J1476" s="26">
        <f>IF($A1476="","",LEN($C1476)-LEN(SUBSTITUTE($C1476,",",""))+1)</f>
        <v/>
      </c>
      <c r="K1476" s="26">
        <f>IF($A1476="","",SUMPRODUCT(--ISNUMBER(SEARCH('Category Dictionary'!$D$5:$D$135&amp;"",$C1476)),--('Category Dictionary'!$D$5:$D$135&lt;&gt;"")))</f>
        <v/>
      </c>
      <c r="L1476" s="27">
        <f>IF($A1476="","",TRIM(IF(ISERROR(FIND(",",$C1476)),$C1476,LEFT($C1476,FIND(",",$C1476)-1))))</f>
        <v/>
      </c>
      <c r="M1476" s="28">
        <f>IF($H1476="","",DATE(YEAR($H1476),MONTH($H1476),1))</f>
        <v/>
      </c>
      <c r="N1476" s="26">
        <f>IF($H1476="","",TODAY()-$H1476)</f>
        <v/>
      </c>
      <c r="O1476" s="15" t="n"/>
      <c r="P1476" s="15" t="n"/>
      <c r="Q1476" s="15" t="n"/>
      <c r="R1476" s="25" t="n"/>
      <c r="S1476" s="26">
        <f>IF($A1476="","",AND(OR('Assignment Builder'!$B$5="",$B1476='Assignment Builder'!$B$5),OR('Assignment Builder'!$B$6="",ISNUMBER(SEARCH('Assignment Builder'!$B$6,$C1476))),OR('Assignment Builder'!$B$7="",'Assignment Builder'!$B$7=IFERROR(INDEX('Category Dictionary'!$C$5:$C$135,MATCH($L1476,'Category Dictionary'!$D$5:$D$135,0)),"")),OR('Assignment Builder'!$B$8="",$D1476='Assignment Builder'!$B$8),OR('Assignment Builder'!$B$9="",$F1476='Assignment Builder'!$B$9),OR('Assignment Builder'!$B$10="",$O1476='Assignment Builder'!$B$10),OR('Assignment Builder'!$B$11="",$H1476&gt;='Assignment Builder'!$B$11),OR('Assignment Builder'!$B$12="",N($Q1476)&lt;='Assignment Builder'!$B$12)))</f>
        <v/>
      </c>
      <c r="T1476" s="23" t="n"/>
    </row>
    <row r="1477">
      <c r="A1477" s="23" t="n"/>
      <c r="B1477" s="23" t="n"/>
      <c r="C1477" s="24" t="n"/>
      <c r="D1477" s="15" t="n"/>
      <c r="E1477" s="23" t="n"/>
      <c r="F1477" s="15" t="n"/>
      <c r="G1477" s="23" t="n"/>
      <c r="H1477" s="25" t="n"/>
      <c r="I1477" s="15" t="n"/>
      <c r="J1477" s="26">
        <f>IF($A1477="","",LEN($C1477)-LEN(SUBSTITUTE($C1477,",",""))+1)</f>
        <v/>
      </c>
      <c r="K1477" s="26">
        <f>IF($A1477="","",SUMPRODUCT(--ISNUMBER(SEARCH('Category Dictionary'!$D$5:$D$135&amp;"",$C1477)),--('Category Dictionary'!$D$5:$D$135&lt;&gt;"")))</f>
        <v/>
      </c>
      <c r="L1477" s="27">
        <f>IF($A1477="","",TRIM(IF(ISERROR(FIND(",",$C1477)),$C1477,LEFT($C1477,FIND(",",$C1477)-1))))</f>
        <v/>
      </c>
      <c r="M1477" s="28">
        <f>IF($H1477="","",DATE(YEAR($H1477),MONTH($H1477),1))</f>
        <v/>
      </c>
      <c r="N1477" s="26">
        <f>IF($H1477="","",TODAY()-$H1477)</f>
        <v/>
      </c>
      <c r="O1477" s="15" t="n"/>
      <c r="P1477" s="15" t="n"/>
      <c r="Q1477" s="15" t="n"/>
      <c r="R1477" s="25" t="n"/>
      <c r="S1477" s="26">
        <f>IF($A1477="","",AND(OR('Assignment Builder'!$B$5="",$B1477='Assignment Builder'!$B$5),OR('Assignment Builder'!$B$6="",ISNUMBER(SEARCH('Assignment Builder'!$B$6,$C1477))),OR('Assignment Builder'!$B$7="",'Assignment Builder'!$B$7=IFERROR(INDEX('Category Dictionary'!$C$5:$C$135,MATCH($L1477,'Category Dictionary'!$D$5:$D$135,0)),"")),OR('Assignment Builder'!$B$8="",$D1477='Assignment Builder'!$B$8),OR('Assignment Builder'!$B$9="",$F1477='Assignment Builder'!$B$9),OR('Assignment Builder'!$B$10="",$O1477='Assignment Builder'!$B$10),OR('Assignment Builder'!$B$11="",$H1477&gt;='Assignment Builder'!$B$11),OR('Assignment Builder'!$B$12="",N($Q1477)&lt;='Assignment Builder'!$B$12)))</f>
        <v/>
      </c>
      <c r="T1477" s="23" t="n"/>
    </row>
    <row r="1478">
      <c r="A1478" s="23" t="n"/>
      <c r="B1478" s="23" t="n"/>
      <c r="C1478" s="24" t="n"/>
      <c r="D1478" s="15" t="n"/>
      <c r="E1478" s="23" t="n"/>
      <c r="F1478" s="15" t="n"/>
      <c r="G1478" s="23" t="n"/>
      <c r="H1478" s="25" t="n"/>
      <c r="I1478" s="15" t="n"/>
      <c r="J1478" s="26">
        <f>IF($A1478="","",LEN($C1478)-LEN(SUBSTITUTE($C1478,",",""))+1)</f>
        <v/>
      </c>
      <c r="K1478" s="26">
        <f>IF($A1478="","",SUMPRODUCT(--ISNUMBER(SEARCH('Category Dictionary'!$D$5:$D$135&amp;"",$C1478)),--('Category Dictionary'!$D$5:$D$135&lt;&gt;"")))</f>
        <v/>
      </c>
      <c r="L1478" s="27">
        <f>IF($A1478="","",TRIM(IF(ISERROR(FIND(",",$C1478)),$C1478,LEFT($C1478,FIND(",",$C1478)-1))))</f>
        <v/>
      </c>
      <c r="M1478" s="28">
        <f>IF($H1478="","",DATE(YEAR($H1478),MONTH($H1478),1))</f>
        <v/>
      </c>
      <c r="N1478" s="26">
        <f>IF($H1478="","",TODAY()-$H1478)</f>
        <v/>
      </c>
      <c r="O1478" s="15" t="n"/>
      <c r="P1478" s="15" t="n"/>
      <c r="Q1478" s="15" t="n"/>
      <c r="R1478" s="25" t="n"/>
      <c r="S1478" s="26">
        <f>IF($A1478="","",AND(OR('Assignment Builder'!$B$5="",$B1478='Assignment Builder'!$B$5),OR('Assignment Builder'!$B$6="",ISNUMBER(SEARCH('Assignment Builder'!$B$6,$C1478))),OR('Assignment Builder'!$B$7="",'Assignment Builder'!$B$7=IFERROR(INDEX('Category Dictionary'!$C$5:$C$135,MATCH($L1478,'Category Dictionary'!$D$5:$D$135,0)),"")),OR('Assignment Builder'!$B$8="",$D1478='Assignment Builder'!$B$8),OR('Assignment Builder'!$B$9="",$F1478='Assignment Builder'!$B$9),OR('Assignment Builder'!$B$10="",$O1478='Assignment Builder'!$B$10),OR('Assignment Builder'!$B$11="",$H1478&gt;='Assignment Builder'!$B$11),OR('Assignment Builder'!$B$12="",N($Q1478)&lt;='Assignment Builder'!$B$12)))</f>
        <v/>
      </c>
      <c r="T1478" s="23" t="n"/>
    </row>
    <row r="1479">
      <c r="A1479" s="23" t="n"/>
      <c r="B1479" s="23" t="n"/>
      <c r="C1479" s="24" t="n"/>
      <c r="D1479" s="15" t="n"/>
      <c r="E1479" s="23" t="n"/>
      <c r="F1479" s="15" t="n"/>
      <c r="G1479" s="23" t="n"/>
      <c r="H1479" s="25" t="n"/>
      <c r="I1479" s="15" t="n"/>
      <c r="J1479" s="26">
        <f>IF($A1479="","",LEN($C1479)-LEN(SUBSTITUTE($C1479,",",""))+1)</f>
        <v/>
      </c>
      <c r="K1479" s="26">
        <f>IF($A1479="","",SUMPRODUCT(--ISNUMBER(SEARCH('Category Dictionary'!$D$5:$D$135&amp;"",$C1479)),--('Category Dictionary'!$D$5:$D$135&lt;&gt;"")))</f>
        <v/>
      </c>
      <c r="L1479" s="27">
        <f>IF($A1479="","",TRIM(IF(ISERROR(FIND(",",$C1479)),$C1479,LEFT($C1479,FIND(",",$C1479)-1))))</f>
        <v/>
      </c>
      <c r="M1479" s="28">
        <f>IF($H1479="","",DATE(YEAR($H1479),MONTH($H1479),1))</f>
        <v/>
      </c>
      <c r="N1479" s="26">
        <f>IF($H1479="","",TODAY()-$H1479)</f>
        <v/>
      </c>
      <c r="O1479" s="15" t="n"/>
      <c r="P1479" s="15" t="n"/>
      <c r="Q1479" s="15" t="n"/>
      <c r="R1479" s="25" t="n"/>
      <c r="S1479" s="26">
        <f>IF($A1479="","",AND(OR('Assignment Builder'!$B$5="",$B1479='Assignment Builder'!$B$5),OR('Assignment Builder'!$B$6="",ISNUMBER(SEARCH('Assignment Builder'!$B$6,$C1479))),OR('Assignment Builder'!$B$7="",'Assignment Builder'!$B$7=IFERROR(INDEX('Category Dictionary'!$C$5:$C$135,MATCH($L1479,'Category Dictionary'!$D$5:$D$135,0)),"")),OR('Assignment Builder'!$B$8="",$D1479='Assignment Builder'!$B$8),OR('Assignment Builder'!$B$9="",$F1479='Assignment Builder'!$B$9),OR('Assignment Builder'!$B$10="",$O1479='Assignment Builder'!$B$10),OR('Assignment Builder'!$B$11="",$H1479&gt;='Assignment Builder'!$B$11),OR('Assignment Builder'!$B$12="",N($Q1479)&lt;='Assignment Builder'!$B$12)))</f>
        <v/>
      </c>
      <c r="T1479" s="23" t="n"/>
    </row>
    <row r="1480">
      <c r="A1480" s="23" t="n"/>
      <c r="B1480" s="23" t="n"/>
      <c r="C1480" s="24" t="n"/>
      <c r="D1480" s="15" t="n"/>
      <c r="E1480" s="23" t="n"/>
      <c r="F1480" s="15" t="n"/>
      <c r="G1480" s="23" t="n"/>
      <c r="H1480" s="25" t="n"/>
      <c r="I1480" s="15" t="n"/>
      <c r="J1480" s="26">
        <f>IF($A1480="","",LEN($C1480)-LEN(SUBSTITUTE($C1480,",",""))+1)</f>
        <v/>
      </c>
      <c r="K1480" s="26">
        <f>IF($A1480="","",SUMPRODUCT(--ISNUMBER(SEARCH('Category Dictionary'!$D$5:$D$135&amp;"",$C1480)),--('Category Dictionary'!$D$5:$D$135&lt;&gt;"")))</f>
        <v/>
      </c>
      <c r="L1480" s="27">
        <f>IF($A1480="","",TRIM(IF(ISERROR(FIND(",",$C1480)),$C1480,LEFT($C1480,FIND(",",$C1480)-1))))</f>
        <v/>
      </c>
      <c r="M1480" s="28">
        <f>IF($H1480="","",DATE(YEAR($H1480),MONTH($H1480),1))</f>
        <v/>
      </c>
      <c r="N1480" s="26">
        <f>IF($H1480="","",TODAY()-$H1480)</f>
        <v/>
      </c>
      <c r="O1480" s="15" t="n"/>
      <c r="P1480" s="15" t="n"/>
      <c r="Q1480" s="15" t="n"/>
      <c r="R1480" s="25" t="n"/>
      <c r="S1480" s="26">
        <f>IF($A1480="","",AND(OR('Assignment Builder'!$B$5="",$B1480='Assignment Builder'!$B$5),OR('Assignment Builder'!$B$6="",ISNUMBER(SEARCH('Assignment Builder'!$B$6,$C1480))),OR('Assignment Builder'!$B$7="",'Assignment Builder'!$B$7=IFERROR(INDEX('Category Dictionary'!$C$5:$C$135,MATCH($L1480,'Category Dictionary'!$D$5:$D$135,0)),"")),OR('Assignment Builder'!$B$8="",$D1480='Assignment Builder'!$B$8),OR('Assignment Builder'!$B$9="",$F1480='Assignment Builder'!$B$9),OR('Assignment Builder'!$B$10="",$O1480='Assignment Builder'!$B$10),OR('Assignment Builder'!$B$11="",$H1480&gt;='Assignment Builder'!$B$11),OR('Assignment Builder'!$B$12="",N($Q1480)&lt;='Assignment Builder'!$B$12)))</f>
        <v/>
      </c>
      <c r="T1480" s="23" t="n"/>
    </row>
    <row r="1481">
      <c r="A1481" s="23" t="n"/>
      <c r="B1481" s="23" t="n"/>
      <c r="C1481" s="24" t="n"/>
      <c r="D1481" s="15" t="n"/>
      <c r="E1481" s="23" t="n"/>
      <c r="F1481" s="15" t="n"/>
      <c r="G1481" s="23" t="n"/>
      <c r="H1481" s="25" t="n"/>
      <c r="I1481" s="15" t="n"/>
      <c r="J1481" s="26">
        <f>IF($A1481="","",LEN($C1481)-LEN(SUBSTITUTE($C1481,",",""))+1)</f>
        <v/>
      </c>
      <c r="K1481" s="26">
        <f>IF($A1481="","",SUMPRODUCT(--ISNUMBER(SEARCH('Category Dictionary'!$D$5:$D$135&amp;"",$C1481)),--('Category Dictionary'!$D$5:$D$135&lt;&gt;"")))</f>
        <v/>
      </c>
      <c r="L1481" s="27">
        <f>IF($A1481="","",TRIM(IF(ISERROR(FIND(",",$C1481)),$C1481,LEFT($C1481,FIND(",",$C1481)-1))))</f>
        <v/>
      </c>
      <c r="M1481" s="28">
        <f>IF($H1481="","",DATE(YEAR($H1481),MONTH($H1481),1))</f>
        <v/>
      </c>
      <c r="N1481" s="26">
        <f>IF($H1481="","",TODAY()-$H1481)</f>
        <v/>
      </c>
      <c r="O1481" s="15" t="n"/>
      <c r="P1481" s="15" t="n"/>
      <c r="Q1481" s="15" t="n"/>
      <c r="R1481" s="25" t="n"/>
      <c r="S1481" s="26">
        <f>IF($A1481="","",AND(OR('Assignment Builder'!$B$5="",$B1481='Assignment Builder'!$B$5),OR('Assignment Builder'!$B$6="",ISNUMBER(SEARCH('Assignment Builder'!$B$6,$C1481))),OR('Assignment Builder'!$B$7="",'Assignment Builder'!$B$7=IFERROR(INDEX('Category Dictionary'!$C$5:$C$135,MATCH($L1481,'Category Dictionary'!$D$5:$D$135,0)),"")),OR('Assignment Builder'!$B$8="",$D1481='Assignment Builder'!$B$8),OR('Assignment Builder'!$B$9="",$F1481='Assignment Builder'!$B$9),OR('Assignment Builder'!$B$10="",$O1481='Assignment Builder'!$B$10),OR('Assignment Builder'!$B$11="",$H1481&gt;='Assignment Builder'!$B$11),OR('Assignment Builder'!$B$12="",N($Q1481)&lt;='Assignment Builder'!$B$12)))</f>
        <v/>
      </c>
      <c r="T1481" s="23" t="n"/>
    </row>
    <row r="1482">
      <c r="A1482" s="23" t="n"/>
      <c r="B1482" s="23" t="n"/>
      <c r="C1482" s="24" t="n"/>
      <c r="D1482" s="15" t="n"/>
      <c r="E1482" s="23" t="n"/>
      <c r="F1482" s="15" t="n"/>
      <c r="G1482" s="23" t="n"/>
      <c r="H1482" s="25" t="n"/>
      <c r="I1482" s="15" t="n"/>
      <c r="J1482" s="26">
        <f>IF($A1482="","",LEN($C1482)-LEN(SUBSTITUTE($C1482,",",""))+1)</f>
        <v/>
      </c>
      <c r="K1482" s="26">
        <f>IF($A1482="","",SUMPRODUCT(--ISNUMBER(SEARCH('Category Dictionary'!$D$5:$D$135&amp;"",$C1482)),--('Category Dictionary'!$D$5:$D$135&lt;&gt;"")))</f>
        <v/>
      </c>
      <c r="L1482" s="27">
        <f>IF($A1482="","",TRIM(IF(ISERROR(FIND(",",$C1482)),$C1482,LEFT($C1482,FIND(",",$C1482)-1))))</f>
        <v/>
      </c>
      <c r="M1482" s="28">
        <f>IF($H1482="","",DATE(YEAR($H1482),MONTH($H1482),1))</f>
        <v/>
      </c>
      <c r="N1482" s="26">
        <f>IF($H1482="","",TODAY()-$H1482)</f>
        <v/>
      </c>
      <c r="O1482" s="15" t="n"/>
      <c r="P1482" s="15" t="n"/>
      <c r="Q1482" s="15" t="n"/>
      <c r="R1482" s="25" t="n"/>
      <c r="S1482" s="26">
        <f>IF($A1482="","",AND(OR('Assignment Builder'!$B$5="",$B1482='Assignment Builder'!$B$5),OR('Assignment Builder'!$B$6="",ISNUMBER(SEARCH('Assignment Builder'!$B$6,$C1482))),OR('Assignment Builder'!$B$7="",'Assignment Builder'!$B$7=IFERROR(INDEX('Category Dictionary'!$C$5:$C$135,MATCH($L1482,'Category Dictionary'!$D$5:$D$135,0)),"")),OR('Assignment Builder'!$B$8="",$D1482='Assignment Builder'!$B$8),OR('Assignment Builder'!$B$9="",$F1482='Assignment Builder'!$B$9),OR('Assignment Builder'!$B$10="",$O1482='Assignment Builder'!$B$10),OR('Assignment Builder'!$B$11="",$H1482&gt;='Assignment Builder'!$B$11),OR('Assignment Builder'!$B$12="",N($Q1482)&lt;='Assignment Builder'!$B$12)))</f>
        <v/>
      </c>
      <c r="T1482" s="23" t="n"/>
    </row>
    <row r="1483">
      <c r="A1483" s="23" t="n"/>
      <c r="B1483" s="23" t="n"/>
      <c r="C1483" s="24" t="n"/>
      <c r="D1483" s="15" t="n"/>
      <c r="E1483" s="23" t="n"/>
      <c r="F1483" s="15" t="n"/>
      <c r="G1483" s="23" t="n"/>
      <c r="H1483" s="25" t="n"/>
      <c r="I1483" s="15" t="n"/>
      <c r="J1483" s="26">
        <f>IF($A1483="","",LEN($C1483)-LEN(SUBSTITUTE($C1483,",",""))+1)</f>
        <v/>
      </c>
      <c r="K1483" s="26">
        <f>IF($A1483="","",SUMPRODUCT(--ISNUMBER(SEARCH('Category Dictionary'!$D$5:$D$135&amp;"",$C1483)),--('Category Dictionary'!$D$5:$D$135&lt;&gt;"")))</f>
        <v/>
      </c>
      <c r="L1483" s="27">
        <f>IF($A1483="","",TRIM(IF(ISERROR(FIND(",",$C1483)),$C1483,LEFT($C1483,FIND(",",$C1483)-1))))</f>
        <v/>
      </c>
      <c r="M1483" s="28">
        <f>IF($H1483="","",DATE(YEAR($H1483),MONTH($H1483),1))</f>
        <v/>
      </c>
      <c r="N1483" s="26">
        <f>IF($H1483="","",TODAY()-$H1483)</f>
        <v/>
      </c>
      <c r="O1483" s="15" t="n"/>
      <c r="P1483" s="15" t="n"/>
      <c r="Q1483" s="15" t="n"/>
      <c r="R1483" s="25" t="n"/>
      <c r="S1483" s="26">
        <f>IF($A1483="","",AND(OR('Assignment Builder'!$B$5="",$B1483='Assignment Builder'!$B$5),OR('Assignment Builder'!$B$6="",ISNUMBER(SEARCH('Assignment Builder'!$B$6,$C1483))),OR('Assignment Builder'!$B$7="",'Assignment Builder'!$B$7=IFERROR(INDEX('Category Dictionary'!$C$5:$C$135,MATCH($L1483,'Category Dictionary'!$D$5:$D$135,0)),"")),OR('Assignment Builder'!$B$8="",$D1483='Assignment Builder'!$B$8),OR('Assignment Builder'!$B$9="",$F1483='Assignment Builder'!$B$9),OR('Assignment Builder'!$B$10="",$O1483='Assignment Builder'!$B$10),OR('Assignment Builder'!$B$11="",$H1483&gt;='Assignment Builder'!$B$11),OR('Assignment Builder'!$B$12="",N($Q1483)&lt;='Assignment Builder'!$B$12)))</f>
        <v/>
      </c>
      <c r="T1483" s="23" t="n"/>
    </row>
    <row r="1484">
      <c r="A1484" s="23" t="n"/>
      <c r="B1484" s="23" t="n"/>
      <c r="C1484" s="24" t="n"/>
      <c r="D1484" s="15" t="n"/>
      <c r="E1484" s="23" t="n"/>
      <c r="F1484" s="15" t="n"/>
      <c r="G1484" s="23" t="n"/>
      <c r="H1484" s="25" t="n"/>
      <c r="I1484" s="15" t="n"/>
      <c r="J1484" s="26">
        <f>IF($A1484="","",LEN($C1484)-LEN(SUBSTITUTE($C1484,",",""))+1)</f>
        <v/>
      </c>
      <c r="K1484" s="26">
        <f>IF($A1484="","",SUMPRODUCT(--ISNUMBER(SEARCH('Category Dictionary'!$D$5:$D$135&amp;"",$C1484)),--('Category Dictionary'!$D$5:$D$135&lt;&gt;"")))</f>
        <v/>
      </c>
      <c r="L1484" s="27">
        <f>IF($A1484="","",TRIM(IF(ISERROR(FIND(",",$C1484)),$C1484,LEFT($C1484,FIND(",",$C1484)-1))))</f>
        <v/>
      </c>
      <c r="M1484" s="28">
        <f>IF($H1484="","",DATE(YEAR($H1484),MONTH($H1484),1))</f>
        <v/>
      </c>
      <c r="N1484" s="26">
        <f>IF($H1484="","",TODAY()-$H1484)</f>
        <v/>
      </c>
      <c r="O1484" s="15" t="n"/>
      <c r="P1484" s="15" t="n"/>
      <c r="Q1484" s="15" t="n"/>
      <c r="R1484" s="25" t="n"/>
      <c r="S1484" s="26">
        <f>IF($A1484="","",AND(OR('Assignment Builder'!$B$5="",$B1484='Assignment Builder'!$B$5),OR('Assignment Builder'!$B$6="",ISNUMBER(SEARCH('Assignment Builder'!$B$6,$C1484))),OR('Assignment Builder'!$B$7="",'Assignment Builder'!$B$7=IFERROR(INDEX('Category Dictionary'!$C$5:$C$135,MATCH($L1484,'Category Dictionary'!$D$5:$D$135,0)),"")),OR('Assignment Builder'!$B$8="",$D1484='Assignment Builder'!$B$8),OR('Assignment Builder'!$B$9="",$F1484='Assignment Builder'!$B$9),OR('Assignment Builder'!$B$10="",$O1484='Assignment Builder'!$B$10),OR('Assignment Builder'!$B$11="",$H1484&gt;='Assignment Builder'!$B$11),OR('Assignment Builder'!$B$12="",N($Q1484)&lt;='Assignment Builder'!$B$12)))</f>
        <v/>
      </c>
      <c r="T1484" s="23" t="n"/>
    </row>
    <row r="1485">
      <c r="A1485" s="23" t="n"/>
      <c r="B1485" s="23" t="n"/>
      <c r="C1485" s="24" t="n"/>
      <c r="D1485" s="15" t="n"/>
      <c r="E1485" s="23" t="n"/>
      <c r="F1485" s="15" t="n"/>
      <c r="G1485" s="23" t="n"/>
      <c r="H1485" s="25" t="n"/>
      <c r="I1485" s="15" t="n"/>
      <c r="J1485" s="26">
        <f>IF($A1485="","",LEN($C1485)-LEN(SUBSTITUTE($C1485,",",""))+1)</f>
        <v/>
      </c>
      <c r="K1485" s="26">
        <f>IF($A1485="","",SUMPRODUCT(--ISNUMBER(SEARCH('Category Dictionary'!$D$5:$D$135&amp;"",$C1485)),--('Category Dictionary'!$D$5:$D$135&lt;&gt;"")))</f>
        <v/>
      </c>
      <c r="L1485" s="27">
        <f>IF($A1485="","",TRIM(IF(ISERROR(FIND(",",$C1485)),$C1485,LEFT($C1485,FIND(",",$C1485)-1))))</f>
        <v/>
      </c>
      <c r="M1485" s="28">
        <f>IF($H1485="","",DATE(YEAR($H1485),MONTH($H1485),1))</f>
        <v/>
      </c>
      <c r="N1485" s="26">
        <f>IF($H1485="","",TODAY()-$H1485)</f>
        <v/>
      </c>
      <c r="O1485" s="15" t="n"/>
      <c r="P1485" s="15" t="n"/>
      <c r="Q1485" s="15" t="n"/>
      <c r="R1485" s="25" t="n"/>
      <c r="S1485" s="26">
        <f>IF($A1485="","",AND(OR('Assignment Builder'!$B$5="",$B1485='Assignment Builder'!$B$5),OR('Assignment Builder'!$B$6="",ISNUMBER(SEARCH('Assignment Builder'!$B$6,$C1485))),OR('Assignment Builder'!$B$7="",'Assignment Builder'!$B$7=IFERROR(INDEX('Category Dictionary'!$C$5:$C$135,MATCH($L1485,'Category Dictionary'!$D$5:$D$135,0)),"")),OR('Assignment Builder'!$B$8="",$D1485='Assignment Builder'!$B$8),OR('Assignment Builder'!$B$9="",$F1485='Assignment Builder'!$B$9),OR('Assignment Builder'!$B$10="",$O1485='Assignment Builder'!$B$10),OR('Assignment Builder'!$B$11="",$H1485&gt;='Assignment Builder'!$B$11),OR('Assignment Builder'!$B$12="",N($Q1485)&lt;='Assignment Builder'!$B$12)))</f>
        <v/>
      </c>
      <c r="T1485" s="23" t="n"/>
    </row>
    <row r="1486">
      <c r="A1486" s="23" t="n"/>
      <c r="B1486" s="23" t="n"/>
      <c r="C1486" s="24" t="n"/>
      <c r="D1486" s="15" t="n"/>
      <c r="E1486" s="23" t="n"/>
      <c r="F1486" s="15" t="n"/>
      <c r="G1486" s="23" t="n"/>
      <c r="H1486" s="25" t="n"/>
      <c r="I1486" s="15" t="n"/>
      <c r="J1486" s="26">
        <f>IF($A1486="","",LEN($C1486)-LEN(SUBSTITUTE($C1486,",",""))+1)</f>
        <v/>
      </c>
      <c r="K1486" s="26">
        <f>IF($A1486="","",SUMPRODUCT(--ISNUMBER(SEARCH('Category Dictionary'!$D$5:$D$135&amp;"",$C1486)),--('Category Dictionary'!$D$5:$D$135&lt;&gt;"")))</f>
        <v/>
      </c>
      <c r="L1486" s="27">
        <f>IF($A1486="","",TRIM(IF(ISERROR(FIND(",",$C1486)),$C1486,LEFT($C1486,FIND(",",$C1486)-1))))</f>
        <v/>
      </c>
      <c r="M1486" s="28">
        <f>IF($H1486="","",DATE(YEAR($H1486),MONTH($H1486),1))</f>
        <v/>
      </c>
      <c r="N1486" s="26">
        <f>IF($H1486="","",TODAY()-$H1486)</f>
        <v/>
      </c>
      <c r="O1486" s="15" t="n"/>
      <c r="P1486" s="15" t="n"/>
      <c r="Q1486" s="15" t="n"/>
      <c r="R1486" s="25" t="n"/>
      <c r="S1486" s="26">
        <f>IF($A1486="","",AND(OR('Assignment Builder'!$B$5="",$B1486='Assignment Builder'!$B$5),OR('Assignment Builder'!$B$6="",ISNUMBER(SEARCH('Assignment Builder'!$B$6,$C1486))),OR('Assignment Builder'!$B$7="",'Assignment Builder'!$B$7=IFERROR(INDEX('Category Dictionary'!$C$5:$C$135,MATCH($L1486,'Category Dictionary'!$D$5:$D$135,0)),"")),OR('Assignment Builder'!$B$8="",$D1486='Assignment Builder'!$B$8),OR('Assignment Builder'!$B$9="",$F1486='Assignment Builder'!$B$9),OR('Assignment Builder'!$B$10="",$O1486='Assignment Builder'!$B$10),OR('Assignment Builder'!$B$11="",$H1486&gt;='Assignment Builder'!$B$11),OR('Assignment Builder'!$B$12="",N($Q1486)&lt;='Assignment Builder'!$B$12)))</f>
        <v/>
      </c>
      <c r="T1486" s="23" t="n"/>
    </row>
    <row r="1487">
      <c r="A1487" s="23" t="n"/>
      <c r="B1487" s="23" t="n"/>
      <c r="C1487" s="24" t="n"/>
      <c r="D1487" s="15" t="n"/>
      <c r="E1487" s="23" t="n"/>
      <c r="F1487" s="15" t="n"/>
      <c r="G1487" s="23" t="n"/>
      <c r="H1487" s="25" t="n"/>
      <c r="I1487" s="15" t="n"/>
      <c r="J1487" s="26">
        <f>IF($A1487="","",LEN($C1487)-LEN(SUBSTITUTE($C1487,",",""))+1)</f>
        <v/>
      </c>
      <c r="K1487" s="26">
        <f>IF($A1487="","",SUMPRODUCT(--ISNUMBER(SEARCH('Category Dictionary'!$D$5:$D$135&amp;"",$C1487)),--('Category Dictionary'!$D$5:$D$135&lt;&gt;"")))</f>
        <v/>
      </c>
      <c r="L1487" s="27">
        <f>IF($A1487="","",TRIM(IF(ISERROR(FIND(",",$C1487)),$C1487,LEFT($C1487,FIND(",",$C1487)-1))))</f>
        <v/>
      </c>
      <c r="M1487" s="28">
        <f>IF($H1487="","",DATE(YEAR($H1487),MONTH($H1487),1))</f>
        <v/>
      </c>
      <c r="N1487" s="26">
        <f>IF($H1487="","",TODAY()-$H1487)</f>
        <v/>
      </c>
      <c r="O1487" s="15" t="n"/>
      <c r="P1487" s="15" t="n"/>
      <c r="Q1487" s="15" t="n"/>
      <c r="R1487" s="25" t="n"/>
      <c r="S1487" s="26">
        <f>IF($A1487="","",AND(OR('Assignment Builder'!$B$5="",$B1487='Assignment Builder'!$B$5),OR('Assignment Builder'!$B$6="",ISNUMBER(SEARCH('Assignment Builder'!$B$6,$C1487))),OR('Assignment Builder'!$B$7="",'Assignment Builder'!$B$7=IFERROR(INDEX('Category Dictionary'!$C$5:$C$135,MATCH($L1487,'Category Dictionary'!$D$5:$D$135,0)),"")),OR('Assignment Builder'!$B$8="",$D1487='Assignment Builder'!$B$8),OR('Assignment Builder'!$B$9="",$F1487='Assignment Builder'!$B$9),OR('Assignment Builder'!$B$10="",$O1487='Assignment Builder'!$B$10),OR('Assignment Builder'!$B$11="",$H1487&gt;='Assignment Builder'!$B$11),OR('Assignment Builder'!$B$12="",N($Q1487)&lt;='Assignment Builder'!$B$12)))</f>
        <v/>
      </c>
      <c r="T1487" s="23" t="n"/>
    </row>
    <row r="1488">
      <c r="A1488" s="23" t="n"/>
      <c r="B1488" s="23" t="n"/>
      <c r="C1488" s="24" t="n"/>
      <c r="D1488" s="15" t="n"/>
      <c r="E1488" s="23" t="n"/>
      <c r="F1488" s="15" t="n"/>
      <c r="G1488" s="23" t="n"/>
      <c r="H1488" s="25" t="n"/>
      <c r="I1488" s="15" t="n"/>
      <c r="J1488" s="26">
        <f>IF($A1488="","",LEN($C1488)-LEN(SUBSTITUTE($C1488,",",""))+1)</f>
        <v/>
      </c>
      <c r="K1488" s="26">
        <f>IF($A1488="","",SUMPRODUCT(--ISNUMBER(SEARCH('Category Dictionary'!$D$5:$D$135&amp;"",$C1488)),--('Category Dictionary'!$D$5:$D$135&lt;&gt;"")))</f>
        <v/>
      </c>
      <c r="L1488" s="27">
        <f>IF($A1488="","",TRIM(IF(ISERROR(FIND(",",$C1488)),$C1488,LEFT($C1488,FIND(",",$C1488)-1))))</f>
        <v/>
      </c>
      <c r="M1488" s="28">
        <f>IF($H1488="","",DATE(YEAR($H1488),MONTH($H1488),1))</f>
        <v/>
      </c>
      <c r="N1488" s="26">
        <f>IF($H1488="","",TODAY()-$H1488)</f>
        <v/>
      </c>
      <c r="O1488" s="15" t="n"/>
      <c r="P1488" s="15" t="n"/>
      <c r="Q1488" s="15" t="n"/>
      <c r="R1488" s="25" t="n"/>
      <c r="S1488" s="26">
        <f>IF($A1488="","",AND(OR('Assignment Builder'!$B$5="",$B1488='Assignment Builder'!$B$5),OR('Assignment Builder'!$B$6="",ISNUMBER(SEARCH('Assignment Builder'!$B$6,$C1488))),OR('Assignment Builder'!$B$7="",'Assignment Builder'!$B$7=IFERROR(INDEX('Category Dictionary'!$C$5:$C$135,MATCH($L1488,'Category Dictionary'!$D$5:$D$135,0)),"")),OR('Assignment Builder'!$B$8="",$D1488='Assignment Builder'!$B$8),OR('Assignment Builder'!$B$9="",$F1488='Assignment Builder'!$B$9),OR('Assignment Builder'!$B$10="",$O1488='Assignment Builder'!$B$10),OR('Assignment Builder'!$B$11="",$H1488&gt;='Assignment Builder'!$B$11),OR('Assignment Builder'!$B$12="",N($Q1488)&lt;='Assignment Builder'!$B$12)))</f>
        <v/>
      </c>
      <c r="T1488" s="23" t="n"/>
    </row>
    <row r="1489">
      <c r="A1489" s="23" t="n"/>
      <c r="B1489" s="23" t="n"/>
      <c r="C1489" s="24" t="n"/>
      <c r="D1489" s="15" t="n"/>
      <c r="E1489" s="23" t="n"/>
      <c r="F1489" s="15" t="n"/>
      <c r="G1489" s="23" t="n"/>
      <c r="H1489" s="25" t="n"/>
      <c r="I1489" s="15" t="n"/>
      <c r="J1489" s="26">
        <f>IF($A1489="","",LEN($C1489)-LEN(SUBSTITUTE($C1489,",",""))+1)</f>
        <v/>
      </c>
      <c r="K1489" s="26">
        <f>IF($A1489="","",SUMPRODUCT(--ISNUMBER(SEARCH('Category Dictionary'!$D$5:$D$135&amp;"",$C1489)),--('Category Dictionary'!$D$5:$D$135&lt;&gt;"")))</f>
        <v/>
      </c>
      <c r="L1489" s="27">
        <f>IF($A1489="","",TRIM(IF(ISERROR(FIND(",",$C1489)),$C1489,LEFT($C1489,FIND(",",$C1489)-1))))</f>
        <v/>
      </c>
      <c r="M1489" s="28">
        <f>IF($H1489="","",DATE(YEAR($H1489),MONTH($H1489),1))</f>
        <v/>
      </c>
      <c r="N1489" s="26">
        <f>IF($H1489="","",TODAY()-$H1489)</f>
        <v/>
      </c>
      <c r="O1489" s="15" t="n"/>
      <c r="P1489" s="15" t="n"/>
      <c r="Q1489" s="15" t="n"/>
      <c r="R1489" s="25" t="n"/>
      <c r="S1489" s="26">
        <f>IF($A1489="","",AND(OR('Assignment Builder'!$B$5="",$B1489='Assignment Builder'!$B$5),OR('Assignment Builder'!$B$6="",ISNUMBER(SEARCH('Assignment Builder'!$B$6,$C1489))),OR('Assignment Builder'!$B$7="",'Assignment Builder'!$B$7=IFERROR(INDEX('Category Dictionary'!$C$5:$C$135,MATCH($L1489,'Category Dictionary'!$D$5:$D$135,0)),"")),OR('Assignment Builder'!$B$8="",$D1489='Assignment Builder'!$B$8),OR('Assignment Builder'!$B$9="",$F1489='Assignment Builder'!$B$9),OR('Assignment Builder'!$B$10="",$O1489='Assignment Builder'!$B$10),OR('Assignment Builder'!$B$11="",$H1489&gt;='Assignment Builder'!$B$11),OR('Assignment Builder'!$B$12="",N($Q1489)&lt;='Assignment Builder'!$B$12)))</f>
        <v/>
      </c>
      <c r="T1489" s="23" t="n"/>
    </row>
    <row r="1490">
      <c r="A1490" s="23" t="n"/>
      <c r="B1490" s="23" t="n"/>
      <c r="C1490" s="24" t="n"/>
      <c r="D1490" s="15" t="n"/>
      <c r="E1490" s="23" t="n"/>
      <c r="F1490" s="15" t="n"/>
      <c r="G1490" s="23" t="n"/>
      <c r="H1490" s="25" t="n"/>
      <c r="I1490" s="15" t="n"/>
      <c r="J1490" s="26">
        <f>IF($A1490="","",LEN($C1490)-LEN(SUBSTITUTE($C1490,",",""))+1)</f>
        <v/>
      </c>
      <c r="K1490" s="26">
        <f>IF($A1490="","",SUMPRODUCT(--ISNUMBER(SEARCH('Category Dictionary'!$D$5:$D$135&amp;"",$C1490)),--('Category Dictionary'!$D$5:$D$135&lt;&gt;"")))</f>
        <v/>
      </c>
      <c r="L1490" s="27">
        <f>IF($A1490="","",TRIM(IF(ISERROR(FIND(",",$C1490)),$C1490,LEFT($C1490,FIND(",",$C1490)-1))))</f>
        <v/>
      </c>
      <c r="M1490" s="28">
        <f>IF($H1490="","",DATE(YEAR($H1490),MONTH($H1490),1))</f>
        <v/>
      </c>
      <c r="N1490" s="26">
        <f>IF($H1490="","",TODAY()-$H1490)</f>
        <v/>
      </c>
      <c r="O1490" s="15" t="n"/>
      <c r="P1490" s="15" t="n"/>
      <c r="Q1490" s="15" t="n"/>
      <c r="R1490" s="25" t="n"/>
      <c r="S1490" s="26">
        <f>IF($A1490="","",AND(OR('Assignment Builder'!$B$5="",$B1490='Assignment Builder'!$B$5),OR('Assignment Builder'!$B$6="",ISNUMBER(SEARCH('Assignment Builder'!$B$6,$C1490))),OR('Assignment Builder'!$B$7="",'Assignment Builder'!$B$7=IFERROR(INDEX('Category Dictionary'!$C$5:$C$135,MATCH($L1490,'Category Dictionary'!$D$5:$D$135,0)),"")),OR('Assignment Builder'!$B$8="",$D1490='Assignment Builder'!$B$8),OR('Assignment Builder'!$B$9="",$F1490='Assignment Builder'!$B$9),OR('Assignment Builder'!$B$10="",$O1490='Assignment Builder'!$B$10),OR('Assignment Builder'!$B$11="",$H1490&gt;='Assignment Builder'!$B$11),OR('Assignment Builder'!$B$12="",N($Q1490)&lt;='Assignment Builder'!$B$12)))</f>
        <v/>
      </c>
      <c r="T1490" s="23" t="n"/>
    </row>
    <row r="1491">
      <c r="A1491" s="23" t="n"/>
      <c r="B1491" s="23" t="n"/>
      <c r="C1491" s="24" t="n"/>
      <c r="D1491" s="15" t="n"/>
      <c r="E1491" s="23" t="n"/>
      <c r="F1491" s="15" t="n"/>
      <c r="G1491" s="23" t="n"/>
      <c r="H1491" s="25" t="n"/>
      <c r="I1491" s="15" t="n"/>
      <c r="J1491" s="26">
        <f>IF($A1491="","",LEN($C1491)-LEN(SUBSTITUTE($C1491,",",""))+1)</f>
        <v/>
      </c>
      <c r="K1491" s="26">
        <f>IF($A1491="","",SUMPRODUCT(--ISNUMBER(SEARCH('Category Dictionary'!$D$5:$D$135&amp;"",$C1491)),--('Category Dictionary'!$D$5:$D$135&lt;&gt;"")))</f>
        <v/>
      </c>
      <c r="L1491" s="27">
        <f>IF($A1491="","",TRIM(IF(ISERROR(FIND(",",$C1491)),$C1491,LEFT($C1491,FIND(",",$C1491)-1))))</f>
        <v/>
      </c>
      <c r="M1491" s="28">
        <f>IF($H1491="","",DATE(YEAR($H1491),MONTH($H1491),1))</f>
        <v/>
      </c>
      <c r="N1491" s="26">
        <f>IF($H1491="","",TODAY()-$H1491)</f>
        <v/>
      </c>
      <c r="O1491" s="15" t="n"/>
      <c r="P1491" s="15" t="n"/>
      <c r="Q1491" s="15" t="n"/>
      <c r="R1491" s="25" t="n"/>
      <c r="S1491" s="26">
        <f>IF($A1491="","",AND(OR('Assignment Builder'!$B$5="",$B1491='Assignment Builder'!$B$5),OR('Assignment Builder'!$B$6="",ISNUMBER(SEARCH('Assignment Builder'!$B$6,$C1491))),OR('Assignment Builder'!$B$7="",'Assignment Builder'!$B$7=IFERROR(INDEX('Category Dictionary'!$C$5:$C$135,MATCH($L1491,'Category Dictionary'!$D$5:$D$135,0)),"")),OR('Assignment Builder'!$B$8="",$D1491='Assignment Builder'!$B$8),OR('Assignment Builder'!$B$9="",$F1491='Assignment Builder'!$B$9),OR('Assignment Builder'!$B$10="",$O1491='Assignment Builder'!$B$10),OR('Assignment Builder'!$B$11="",$H1491&gt;='Assignment Builder'!$B$11),OR('Assignment Builder'!$B$12="",N($Q1491)&lt;='Assignment Builder'!$B$12)))</f>
        <v/>
      </c>
      <c r="T1491" s="23" t="n"/>
    </row>
    <row r="1492">
      <c r="A1492" s="23" t="n"/>
      <c r="B1492" s="23" t="n"/>
      <c r="C1492" s="24" t="n"/>
      <c r="D1492" s="15" t="n"/>
      <c r="E1492" s="23" t="n"/>
      <c r="F1492" s="15" t="n"/>
      <c r="G1492" s="23" t="n"/>
      <c r="H1492" s="25" t="n"/>
      <c r="I1492" s="15" t="n"/>
      <c r="J1492" s="26">
        <f>IF($A1492="","",LEN($C1492)-LEN(SUBSTITUTE($C1492,",",""))+1)</f>
        <v/>
      </c>
      <c r="K1492" s="26">
        <f>IF($A1492="","",SUMPRODUCT(--ISNUMBER(SEARCH('Category Dictionary'!$D$5:$D$135&amp;"",$C1492)),--('Category Dictionary'!$D$5:$D$135&lt;&gt;"")))</f>
        <v/>
      </c>
      <c r="L1492" s="27">
        <f>IF($A1492="","",TRIM(IF(ISERROR(FIND(",",$C1492)),$C1492,LEFT($C1492,FIND(",",$C1492)-1))))</f>
        <v/>
      </c>
      <c r="M1492" s="28">
        <f>IF($H1492="","",DATE(YEAR($H1492),MONTH($H1492),1))</f>
        <v/>
      </c>
      <c r="N1492" s="26">
        <f>IF($H1492="","",TODAY()-$H1492)</f>
        <v/>
      </c>
      <c r="O1492" s="15" t="n"/>
      <c r="P1492" s="15" t="n"/>
      <c r="Q1492" s="15" t="n"/>
      <c r="R1492" s="25" t="n"/>
      <c r="S1492" s="26">
        <f>IF($A1492="","",AND(OR('Assignment Builder'!$B$5="",$B1492='Assignment Builder'!$B$5),OR('Assignment Builder'!$B$6="",ISNUMBER(SEARCH('Assignment Builder'!$B$6,$C1492))),OR('Assignment Builder'!$B$7="",'Assignment Builder'!$B$7=IFERROR(INDEX('Category Dictionary'!$C$5:$C$135,MATCH($L1492,'Category Dictionary'!$D$5:$D$135,0)),"")),OR('Assignment Builder'!$B$8="",$D1492='Assignment Builder'!$B$8),OR('Assignment Builder'!$B$9="",$F1492='Assignment Builder'!$B$9),OR('Assignment Builder'!$B$10="",$O1492='Assignment Builder'!$B$10),OR('Assignment Builder'!$B$11="",$H1492&gt;='Assignment Builder'!$B$11),OR('Assignment Builder'!$B$12="",N($Q1492)&lt;='Assignment Builder'!$B$12)))</f>
        <v/>
      </c>
      <c r="T1492" s="23" t="n"/>
    </row>
    <row r="1493">
      <c r="A1493" s="23" t="n"/>
      <c r="B1493" s="23" t="n"/>
      <c r="C1493" s="24" t="n"/>
      <c r="D1493" s="15" t="n"/>
      <c r="E1493" s="23" t="n"/>
      <c r="F1493" s="15" t="n"/>
      <c r="G1493" s="23" t="n"/>
      <c r="H1493" s="25" t="n"/>
      <c r="I1493" s="15" t="n"/>
      <c r="J1493" s="26">
        <f>IF($A1493="","",LEN($C1493)-LEN(SUBSTITUTE($C1493,",",""))+1)</f>
        <v/>
      </c>
      <c r="K1493" s="26">
        <f>IF($A1493="","",SUMPRODUCT(--ISNUMBER(SEARCH('Category Dictionary'!$D$5:$D$135&amp;"",$C1493)),--('Category Dictionary'!$D$5:$D$135&lt;&gt;"")))</f>
        <v/>
      </c>
      <c r="L1493" s="27">
        <f>IF($A1493="","",TRIM(IF(ISERROR(FIND(",",$C1493)),$C1493,LEFT($C1493,FIND(",",$C1493)-1))))</f>
        <v/>
      </c>
      <c r="M1493" s="28">
        <f>IF($H1493="","",DATE(YEAR($H1493),MONTH($H1493),1))</f>
        <v/>
      </c>
      <c r="N1493" s="26">
        <f>IF($H1493="","",TODAY()-$H1493)</f>
        <v/>
      </c>
      <c r="O1493" s="15" t="n"/>
      <c r="P1493" s="15" t="n"/>
      <c r="Q1493" s="15" t="n"/>
      <c r="R1493" s="25" t="n"/>
      <c r="S1493" s="26">
        <f>IF($A1493="","",AND(OR('Assignment Builder'!$B$5="",$B1493='Assignment Builder'!$B$5),OR('Assignment Builder'!$B$6="",ISNUMBER(SEARCH('Assignment Builder'!$B$6,$C1493))),OR('Assignment Builder'!$B$7="",'Assignment Builder'!$B$7=IFERROR(INDEX('Category Dictionary'!$C$5:$C$135,MATCH($L1493,'Category Dictionary'!$D$5:$D$135,0)),"")),OR('Assignment Builder'!$B$8="",$D1493='Assignment Builder'!$B$8),OR('Assignment Builder'!$B$9="",$F1493='Assignment Builder'!$B$9),OR('Assignment Builder'!$B$10="",$O1493='Assignment Builder'!$B$10),OR('Assignment Builder'!$B$11="",$H1493&gt;='Assignment Builder'!$B$11),OR('Assignment Builder'!$B$12="",N($Q1493)&lt;='Assignment Builder'!$B$12)))</f>
        <v/>
      </c>
      <c r="T1493" s="23" t="n"/>
    </row>
    <row r="1494">
      <c r="A1494" s="23" t="n"/>
      <c r="B1494" s="23" t="n"/>
      <c r="C1494" s="24" t="n"/>
      <c r="D1494" s="15" t="n"/>
      <c r="E1494" s="23" t="n"/>
      <c r="F1494" s="15" t="n"/>
      <c r="G1494" s="23" t="n"/>
      <c r="H1494" s="25" t="n"/>
      <c r="I1494" s="15" t="n"/>
      <c r="J1494" s="26">
        <f>IF($A1494="","",LEN($C1494)-LEN(SUBSTITUTE($C1494,",",""))+1)</f>
        <v/>
      </c>
      <c r="K1494" s="26">
        <f>IF($A1494="","",SUMPRODUCT(--ISNUMBER(SEARCH('Category Dictionary'!$D$5:$D$135&amp;"",$C1494)),--('Category Dictionary'!$D$5:$D$135&lt;&gt;"")))</f>
        <v/>
      </c>
      <c r="L1494" s="27">
        <f>IF($A1494="","",TRIM(IF(ISERROR(FIND(",",$C1494)),$C1494,LEFT($C1494,FIND(",",$C1494)-1))))</f>
        <v/>
      </c>
      <c r="M1494" s="28">
        <f>IF($H1494="","",DATE(YEAR($H1494),MONTH($H1494),1))</f>
        <v/>
      </c>
      <c r="N1494" s="26">
        <f>IF($H1494="","",TODAY()-$H1494)</f>
        <v/>
      </c>
      <c r="O1494" s="15" t="n"/>
      <c r="P1494" s="15" t="n"/>
      <c r="Q1494" s="15" t="n"/>
      <c r="R1494" s="25" t="n"/>
      <c r="S1494" s="26">
        <f>IF($A1494="","",AND(OR('Assignment Builder'!$B$5="",$B1494='Assignment Builder'!$B$5),OR('Assignment Builder'!$B$6="",ISNUMBER(SEARCH('Assignment Builder'!$B$6,$C1494))),OR('Assignment Builder'!$B$7="",'Assignment Builder'!$B$7=IFERROR(INDEX('Category Dictionary'!$C$5:$C$135,MATCH($L1494,'Category Dictionary'!$D$5:$D$135,0)),"")),OR('Assignment Builder'!$B$8="",$D1494='Assignment Builder'!$B$8),OR('Assignment Builder'!$B$9="",$F1494='Assignment Builder'!$B$9),OR('Assignment Builder'!$B$10="",$O1494='Assignment Builder'!$B$10),OR('Assignment Builder'!$B$11="",$H1494&gt;='Assignment Builder'!$B$11),OR('Assignment Builder'!$B$12="",N($Q1494)&lt;='Assignment Builder'!$B$12)))</f>
        <v/>
      </c>
      <c r="T1494" s="23" t="n"/>
    </row>
    <row r="1495">
      <c r="A1495" s="23" t="n"/>
      <c r="B1495" s="23" t="n"/>
      <c r="C1495" s="24" t="n"/>
      <c r="D1495" s="15" t="n"/>
      <c r="E1495" s="23" t="n"/>
      <c r="F1495" s="15" t="n"/>
      <c r="G1495" s="23" t="n"/>
      <c r="H1495" s="25" t="n"/>
      <c r="I1495" s="15" t="n"/>
      <c r="J1495" s="26">
        <f>IF($A1495="","",LEN($C1495)-LEN(SUBSTITUTE($C1495,",",""))+1)</f>
        <v/>
      </c>
      <c r="K1495" s="26">
        <f>IF($A1495="","",SUMPRODUCT(--ISNUMBER(SEARCH('Category Dictionary'!$D$5:$D$135&amp;"",$C1495)),--('Category Dictionary'!$D$5:$D$135&lt;&gt;"")))</f>
        <v/>
      </c>
      <c r="L1495" s="27">
        <f>IF($A1495="","",TRIM(IF(ISERROR(FIND(",",$C1495)),$C1495,LEFT($C1495,FIND(",",$C1495)-1))))</f>
        <v/>
      </c>
      <c r="M1495" s="28">
        <f>IF($H1495="","",DATE(YEAR($H1495),MONTH($H1495),1))</f>
        <v/>
      </c>
      <c r="N1495" s="26">
        <f>IF($H1495="","",TODAY()-$H1495)</f>
        <v/>
      </c>
      <c r="O1495" s="15" t="n"/>
      <c r="P1495" s="15" t="n"/>
      <c r="Q1495" s="15" t="n"/>
      <c r="R1495" s="25" t="n"/>
      <c r="S1495" s="26">
        <f>IF($A1495="","",AND(OR('Assignment Builder'!$B$5="",$B1495='Assignment Builder'!$B$5),OR('Assignment Builder'!$B$6="",ISNUMBER(SEARCH('Assignment Builder'!$B$6,$C1495))),OR('Assignment Builder'!$B$7="",'Assignment Builder'!$B$7=IFERROR(INDEX('Category Dictionary'!$C$5:$C$135,MATCH($L1495,'Category Dictionary'!$D$5:$D$135,0)),"")),OR('Assignment Builder'!$B$8="",$D1495='Assignment Builder'!$B$8),OR('Assignment Builder'!$B$9="",$F1495='Assignment Builder'!$B$9),OR('Assignment Builder'!$B$10="",$O1495='Assignment Builder'!$B$10),OR('Assignment Builder'!$B$11="",$H1495&gt;='Assignment Builder'!$B$11),OR('Assignment Builder'!$B$12="",N($Q1495)&lt;='Assignment Builder'!$B$12)))</f>
        <v/>
      </c>
      <c r="T1495" s="23" t="n"/>
    </row>
    <row r="1496">
      <c r="A1496" s="23" t="n"/>
      <c r="B1496" s="23" t="n"/>
      <c r="C1496" s="24" t="n"/>
      <c r="D1496" s="15" t="n"/>
      <c r="E1496" s="23" t="n"/>
      <c r="F1496" s="15" t="n"/>
      <c r="G1496" s="23" t="n"/>
      <c r="H1496" s="25" t="n"/>
      <c r="I1496" s="15" t="n"/>
      <c r="J1496" s="26">
        <f>IF($A1496="","",LEN($C1496)-LEN(SUBSTITUTE($C1496,",",""))+1)</f>
        <v/>
      </c>
      <c r="K1496" s="26">
        <f>IF($A1496="","",SUMPRODUCT(--ISNUMBER(SEARCH('Category Dictionary'!$D$5:$D$135&amp;"",$C1496)),--('Category Dictionary'!$D$5:$D$135&lt;&gt;"")))</f>
        <v/>
      </c>
      <c r="L1496" s="27">
        <f>IF($A1496="","",TRIM(IF(ISERROR(FIND(",",$C1496)),$C1496,LEFT($C1496,FIND(",",$C1496)-1))))</f>
        <v/>
      </c>
      <c r="M1496" s="28">
        <f>IF($H1496="","",DATE(YEAR($H1496),MONTH($H1496),1))</f>
        <v/>
      </c>
      <c r="N1496" s="26">
        <f>IF($H1496="","",TODAY()-$H1496)</f>
        <v/>
      </c>
      <c r="O1496" s="15" t="n"/>
      <c r="P1496" s="15" t="n"/>
      <c r="Q1496" s="15" t="n"/>
      <c r="R1496" s="25" t="n"/>
      <c r="S1496" s="26">
        <f>IF($A1496="","",AND(OR('Assignment Builder'!$B$5="",$B1496='Assignment Builder'!$B$5),OR('Assignment Builder'!$B$6="",ISNUMBER(SEARCH('Assignment Builder'!$B$6,$C1496))),OR('Assignment Builder'!$B$7="",'Assignment Builder'!$B$7=IFERROR(INDEX('Category Dictionary'!$C$5:$C$135,MATCH($L1496,'Category Dictionary'!$D$5:$D$135,0)),"")),OR('Assignment Builder'!$B$8="",$D1496='Assignment Builder'!$B$8),OR('Assignment Builder'!$B$9="",$F1496='Assignment Builder'!$B$9),OR('Assignment Builder'!$B$10="",$O1496='Assignment Builder'!$B$10),OR('Assignment Builder'!$B$11="",$H1496&gt;='Assignment Builder'!$B$11),OR('Assignment Builder'!$B$12="",N($Q1496)&lt;='Assignment Builder'!$B$12)))</f>
        <v/>
      </c>
      <c r="T1496" s="23" t="n"/>
    </row>
    <row r="1497">
      <c r="A1497" s="23" t="n"/>
      <c r="B1497" s="23" t="n"/>
      <c r="C1497" s="24" t="n"/>
      <c r="D1497" s="15" t="n"/>
      <c r="E1497" s="23" t="n"/>
      <c r="F1497" s="15" t="n"/>
      <c r="G1497" s="23" t="n"/>
      <c r="H1497" s="25" t="n"/>
      <c r="I1497" s="15" t="n"/>
      <c r="J1497" s="26">
        <f>IF($A1497="","",LEN($C1497)-LEN(SUBSTITUTE($C1497,",",""))+1)</f>
        <v/>
      </c>
      <c r="K1497" s="26">
        <f>IF($A1497="","",SUMPRODUCT(--ISNUMBER(SEARCH('Category Dictionary'!$D$5:$D$135&amp;"",$C1497)),--('Category Dictionary'!$D$5:$D$135&lt;&gt;"")))</f>
        <v/>
      </c>
      <c r="L1497" s="27">
        <f>IF($A1497="","",TRIM(IF(ISERROR(FIND(",",$C1497)),$C1497,LEFT($C1497,FIND(",",$C1497)-1))))</f>
        <v/>
      </c>
      <c r="M1497" s="28">
        <f>IF($H1497="","",DATE(YEAR($H1497),MONTH($H1497),1))</f>
        <v/>
      </c>
      <c r="N1497" s="26">
        <f>IF($H1497="","",TODAY()-$H1497)</f>
        <v/>
      </c>
      <c r="O1497" s="15" t="n"/>
      <c r="P1497" s="15" t="n"/>
      <c r="Q1497" s="15" t="n"/>
      <c r="R1497" s="25" t="n"/>
      <c r="S1497" s="26">
        <f>IF($A1497="","",AND(OR('Assignment Builder'!$B$5="",$B1497='Assignment Builder'!$B$5),OR('Assignment Builder'!$B$6="",ISNUMBER(SEARCH('Assignment Builder'!$B$6,$C1497))),OR('Assignment Builder'!$B$7="",'Assignment Builder'!$B$7=IFERROR(INDEX('Category Dictionary'!$C$5:$C$135,MATCH($L1497,'Category Dictionary'!$D$5:$D$135,0)),"")),OR('Assignment Builder'!$B$8="",$D1497='Assignment Builder'!$B$8),OR('Assignment Builder'!$B$9="",$F1497='Assignment Builder'!$B$9),OR('Assignment Builder'!$B$10="",$O1497='Assignment Builder'!$B$10),OR('Assignment Builder'!$B$11="",$H1497&gt;='Assignment Builder'!$B$11),OR('Assignment Builder'!$B$12="",N($Q1497)&lt;='Assignment Builder'!$B$12)))</f>
        <v/>
      </c>
      <c r="T1497" s="23" t="n"/>
    </row>
    <row r="1498">
      <c r="A1498" s="23" t="n"/>
      <c r="B1498" s="23" t="n"/>
      <c r="C1498" s="24" t="n"/>
      <c r="D1498" s="15" t="n"/>
      <c r="E1498" s="23" t="n"/>
      <c r="F1498" s="15" t="n"/>
      <c r="G1498" s="23" t="n"/>
      <c r="H1498" s="25" t="n"/>
      <c r="I1498" s="15" t="n"/>
      <c r="J1498" s="26">
        <f>IF($A1498="","",LEN($C1498)-LEN(SUBSTITUTE($C1498,",",""))+1)</f>
        <v/>
      </c>
      <c r="K1498" s="26">
        <f>IF($A1498="","",SUMPRODUCT(--ISNUMBER(SEARCH('Category Dictionary'!$D$5:$D$135&amp;"",$C1498)),--('Category Dictionary'!$D$5:$D$135&lt;&gt;"")))</f>
        <v/>
      </c>
      <c r="L1498" s="27">
        <f>IF($A1498="","",TRIM(IF(ISERROR(FIND(",",$C1498)),$C1498,LEFT($C1498,FIND(",",$C1498)-1))))</f>
        <v/>
      </c>
      <c r="M1498" s="28">
        <f>IF($H1498="","",DATE(YEAR($H1498),MONTH($H1498),1))</f>
        <v/>
      </c>
      <c r="N1498" s="26">
        <f>IF($H1498="","",TODAY()-$H1498)</f>
        <v/>
      </c>
      <c r="O1498" s="15" t="n"/>
      <c r="P1498" s="15" t="n"/>
      <c r="Q1498" s="15" t="n"/>
      <c r="R1498" s="25" t="n"/>
      <c r="S1498" s="26">
        <f>IF($A1498="","",AND(OR('Assignment Builder'!$B$5="",$B1498='Assignment Builder'!$B$5),OR('Assignment Builder'!$B$6="",ISNUMBER(SEARCH('Assignment Builder'!$B$6,$C1498))),OR('Assignment Builder'!$B$7="",'Assignment Builder'!$B$7=IFERROR(INDEX('Category Dictionary'!$C$5:$C$135,MATCH($L1498,'Category Dictionary'!$D$5:$D$135,0)),"")),OR('Assignment Builder'!$B$8="",$D1498='Assignment Builder'!$B$8),OR('Assignment Builder'!$B$9="",$F1498='Assignment Builder'!$B$9),OR('Assignment Builder'!$B$10="",$O1498='Assignment Builder'!$B$10),OR('Assignment Builder'!$B$11="",$H1498&gt;='Assignment Builder'!$B$11),OR('Assignment Builder'!$B$12="",N($Q1498)&lt;='Assignment Builder'!$B$12)))</f>
        <v/>
      </c>
      <c r="T1498" s="23" t="n"/>
    </row>
    <row r="1499">
      <c r="A1499" s="23" t="n"/>
      <c r="B1499" s="23" t="n"/>
      <c r="C1499" s="24" t="n"/>
      <c r="D1499" s="15" t="n"/>
      <c r="E1499" s="23" t="n"/>
      <c r="F1499" s="15" t="n"/>
      <c r="G1499" s="23" t="n"/>
      <c r="H1499" s="25" t="n"/>
      <c r="I1499" s="15" t="n"/>
      <c r="J1499" s="26">
        <f>IF($A1499="","",LEN($C1499)-LEN(SUBSTITUTE($C1499,",",""))+1)</f>
        <v/>
      </c>
      <c r="K1499" s="26">
        <f>IF($A1499="","",SUMPRODUCT(--ISNUMBER(SEARCH('Category Dictionary'!$D$5:$D$135&amp;"",$C1499)),--('Category Dictionary'!$D$5:$D$135&lt;&gt;"")))</f>
        <v/>
      </c>
      <c r="L1499" s="27">
        <f>IF($A1499="","",TRIM(IF(ISERROR(FIND(",",$C1499)),$C1499,LEFT($C1499,FIND(",",$C1499)-1))))</f>
        <v/>
      </c>
      <c r="M1499" s="28">
        <f>IF($H1499="","",DATE(YEAR($H1499),MONTH($H1499),1))</f>
        <v/>
      </c>
      <c r="N1499" s="26">
        <f>IF($H1499="","",TODAY()-$H1499)</f>
        <v/>
      </c>
      <c r="O1499" s="15" t="n"/>
      <c r="P1499" s="15" t="n"/>
      <c r="Q1499" s="15" t="n"/>
      <c r="R1499" s="25" t="n"/>
      <c r="S1499" s="26">
        <f>IF($A1499="","",AND(OR('Assignment Builder'!$B$5="",$B1499='Assignment Builder'!$B$5),OR('Assignment Builder'!$B$6="",ISNUMBER(SEARCH('Assignment Builder'!$B$6,$C1499))),OR('Assignment Builder'!$B$7="",'Assignment Builder'!$B$7=IFERROR(INDEX('Category Dictionary'!$C$5:$C$135,MATCH($L1499,'Category Dictionary'!$D$5:$D$135,0)),"")),OR('Assignment Builder'!$B$8="",$D1499='Assignment Builder'!$B$8),OR('Assignment Builder'!$B$9="",$F1499='Assignment Builder'!$B$9),OR('Assignment Builder'!$B$10="",$O1499='Assignment Builder'!$B$10),OR('Assignment Builder'!$B$11="",$H1499&gt;='Assignment Builder'!$B$11),OR('Assignment Builder'!$B$12="",N($Q1499)&lt;='Assignment Builder'!$B$12)))</f>
        <v/>
      </c>
      <c r="T1499" s="23" t="n"/>
    </row>
    <row r="1500">
      <c r="A1500" s="23" t="n"/>
      <c r="B1500" s="23" t="n"/>
      <c r="C1500" s="24" t="n"/>
      <c r="D1500" s="15" t="n"/>
      <c r="E1500" s="23" t="n"/>
      <c r="F1500" s="15" t="n"/>
      <c r="G1500" s="23" t="n"/>
      <c r="H1500" s="25" t="n"/>
      <c r="I1500" s="15" t="n"/>
      <c r="J1500" s="26">
        <f>IF($A1500="","",LEN($C1500)-LEN(SUBSTITUTE($C1500,",",""))+1)</f>
        <v/>
      </c>
      <c r="K1500" s="26">
        <f>IF($A1500="","",SUMPRODUCT(--ISNUMBER(SEARCH('Category Dictionary'!$D$5:$D$135&amp;"",$C1500)),--('Category Dictionary'!$D$5:$D$135&lt;&gt;"")))</f>
        <v/>
      </c>
      <c r="L1500" s="27">
        <f>IF($A1500="","",TRIM(IF(ISERROR(FIND(",",$C1500)),$C1500,LEFT($C1500,FIND(",",$C1500)-1))))</f>
        <v/>
      </c>
      <c r="M1500" s="28">
        <f>IF($H1500="","",DATE(YEAR($H1500),MONTH($H1500),1))</f>
        <v/>
      </c>
      <c r="N1500" s="26">
        <f>IF($H1500="","",TODAY()-$H1500)</f>
        <v/>
      </c>
      <c r="O1500" s="15" t="n"/>
      <c r="P1500" s="15" t="n"/>
      <c r="Q1500" s="15" t="n"/>
      <c r="R1500" s="25" t="n"/>
      <c r="S1500" s="26">
        <f>IF($A1500="","",AND(OR('Assignment Builder'!$B$5="",$B1500='Assignment Builder'!$B$5),OR('Assignment Builder'!$B$6="",ISNUMBER(SEARCH('Assignment Builder'!$B$6,$C1500))),OR('Assignment Builder'!$B$7="",'Assignment Builder'!$B$7=IFERROR(INDEX('Category Dictionary'!$C$5:$C$135,MATCH($L1500,'Category Dictionary'!$D$5:$D$135,0)),"")),OR('Assignment Builder'!$B$8="",$D1500='Assignment Builder'!$B$8),OR('Assignment Builder'!$B$9="",$F1500='Assignment Builder'!$B$9),OR('Assignment Builder'!$B$10="",$O1500='Assignment Builder'!$B$10),OR('Assignment Builder'!$B$11="",$H1500&gt;='Assignment Builder'!$B$11),OR('Assignment Builder'!$B$12="",N($Q1500)&lt;='Assignment Builder'!$B$12)))</f>
        <v/>
      </c>
      <c r="T1500" s="23" t="n"/>
    </row>
    <row r="1501">
      <c r="A1501" s="23" t="n"/>
      <c r="B1501" s="23" t="n"/>
      <c r="C1501" s="24" t="n"/>
      <c r="D1501" s="15" t="n"/>
      <c r="E1501" s="23" t="n"/>
      <c r="F1501" s="15" t="n"/>
      <c r="G1501" s="23" t="n"/>
      <c r="H1501" s="25" t="n"/>
      <c r="I1501" s="15" t="n"/>
      <c r="J1501" s="26">
        <f>IF($A1501="","",LEN($C1501)-LEN(SUBSTITUTE($C1501,",",""))+1)</f>
        <v/>
      </c>
      <c r="K1501" s="26">
        <f>IF($A1501="","",SUMPRODUCT(--ISNUMBER(SEARCH('Category Dictionary'!$D$5:$D$135&amp;"",$C1501)),--('Category Dictionary'!$D$5:$D$135&lt;&gt;"")))</f>
        <v/>
      </c>
      <c r="L1501" s="27">
        <f>IF($A1501="","",TRIM(IF(ISERROR(FIND(",",$C1501)),$C1501,LEFT($C1501,FIND(",",$C1501)-1))))</f>
        <v/>
      </c>
      <c r="M1501" s="28">
        <f>IF($H1501="","",DATE(YEAR($H1501),MONTH($H1501),1))</f>
        <v/>
      </c>
      <c r="N1501" s="26">
        <f>IF($H1501="","",TODAY()-$H1501)</f>
        <v/>
      </c>
      <c r="O1501" s="15" t="n"/>
      <c r="P1501" s="15" t="n"/>
      <c r="Q1501" s="15" t="n"/>
      <c r="R1501" s="25" t="n"/>
      <c r="S1501" s="26">
        <f>IF($A1501="","",AND(OR('Assignment Builder'!$B$5="",$B1501='Assignment Builder'!$B$5),OR('Assignment Builder'!$B$6="",ISNUMBER(SEARCH('Assignment Builder'!$B$6,$C1501))),OR('Assignment Builder'!$B$7="",'Assignment Builder'!$B$7=IFERROR(INDEX('Category Dictionary'!$C$5:$C$135,MATCH($L1501,'Category Dictionary'!$D$5:$D$135,0)),"")),OR('Assignment Builder'!$B$8="",$D1501='Assignment Builder'!$B$8),OR('Assignment Builder'!$B$9="",$F1501='Assignment Builder'!$B$9),OR('Assignment Builder'!$B$10="",$O1501='Assignment Builder'!$B$10),OR('Assignment Builder'!$B$11="",$H1501&gt;='Assignment Builder'!$B$11),OR('Assignment Builder'!$B$12="",N($Q1501)&lt;='Assignment Builder'!$B$12)))</f>
        <v/>
      </c>
      <c r="T1501" s="23" t="n"/>
    </row>
    <row r="1502">
      <c r="A1502" s="23" t="n"/>
      <c r="B1502" s="23" t="n"/>
      <c r="C1502" s="24" t="n"/>
      <c r="D1502" s="15" t="n"/>
      <c r="E1502" s="23" t="n"/>
      <c r="F1502" s="15" t="n"/>
      <c r="G1502" s="23" t="n"/>
      <c r="H1502" s="25" t="n"/>
      <c r="I1502" s="15" t="n"/>
      <c r="J1502" s="26">
        <f>IF($A1502="","",LEN($C1502)-LEN(SUBSTITUTE($C1502,",",""))+1)</f>
        <v/>
      </c>
      <c r="K1502" s="26">
        <f>IF($A1502="","",SUMPRODUCT(--ISNUMBER(SEARCH('Category Dictionary'!$D$5:$D$135&amp;"",$C1502)),--('Category Dictionary'!$D$5:$D$135&lt;&gt;"")))</f>
        <v/>
      </c>
      <c r="L1502" s="27">
        <f>IF($A1502="","",TRIM(IF(ISERROR(FIND(",",$C1502)),$C1502,LEFT($C1502,FIND(",",$C1502)-1))))</f>
        <v/>
      </c>
      <c r="M1502" s="28">
        <f>IF($H1502="","",DATE(YEAR($H1502),MONTH($H1502),1))</f>
        <v/>
      </c>
      <c r="N1502" s="26">
        <f>IF($H1502="","",TODAY()-$H1502)</f>
        <v/>
      </c>
      <c r="O1502" s="15" t="n"/>
      <c r="P1502" s="15" t="n"/>
      <c r="Q1502" s="15" t="n"/>
      <c r="R1502" s="25" t="n"/>
      <c r="S1502" s="26">
        <f>IF($A1502="","",AND(OR('Assignment Builder'!$B$5="",$B1502='Assignment Builder'!$B$5),OR('Assignment Builder'!$B$6="",ISNUMBER(SEARCH('Assignment Builder'!$B$6,$C1502))),OR('Assignment Builder'!$B$7="",'Assignment Builder'!$B$7=IFERROR(INDEX('Category Dictionary'!$C$5:$C$135,MATCH($L1502,'Category Dictionary'!$D$5:$D$135,0)),"")),OR('Assignment Builder'!$B$8="",$D1502='Assignment Builder'!$B$8),OR('Assignment Builder'!$B$9="",$F1502='Assignment Builder'!$B$9),OR('Assignment Builder'!$B$10="",$O1502='Assignment Builder'!$B$10),OR('Assignment Builder'!$B$11="",$H1502&gt;='Assignment Builder'!$B$11),OR('Assignment Builder'!$B$12="",N($Q1502)&lt;='Assignment Builder'!$B$12)))</f>
        <v/>
      </c>
      <c r="T1502" s="23" t="n"/>
    </row>
    <row r="1503">
      <c r="A1503" s="23" t="n"/>
      <c r="B1503" s="23" t="n"/>
      <c r="C1503" s="24" t="n"/>
      <c r="D1503" s="15" t="n"/>
      <c r="E1503" s="23" t="n"/>
      <c r="F1503" s="15" t="n"/>
      <c r="G1503" s="23" t="n"/>
      <c r="H1503" s="25" t="n"/>
      <c r="I1503" s="15" t="n"/>
      <c r="J1503" s="26">
        <f>IF($A1503="","",LEN($C1503)-LEN(SUBSTITUTE($C1503,",",""))+1)</f>
        <v/>
      </c>
      <c r="K1503" s="26">
        <f>IF($A1503="","",SUMPRODUCT(--ISNUMBER(SEARCH('Category Dictionary'!$D$5:$D$135&amp;"",$C1503)),--('Category Dictionary'!$D$5:$D$135&lt;&gt;"")))</f>
        <v/>
      </c>
      <c r="L1503" s="27">
        <f>IF($A1503="","",TRIM(IF(ISERROR(FIND(",",$C1503)),$C1503,LEFT($C1503,FIND(",",$C1503)-1))))</f>
        <v/>
      </c>
      <c r="M1503" s="28">
        <f>IF($H1503="","",DATE(YEAR($H1503),MONTH($H1503),1))</f>
        <v/>
      </c>
      <c r="N1503" s="26">
        <f>IF($H1503="","",TODAY()-$H1503)</f>
        <v/>
      </c>
      <c r="O1503" s="15" t="n"/>
      <c r="P1503" s="15" t="n"/>
      <c r="Q1503" s="15" t="n"/>
      <c r="R1503" s="25" t="n"/>
      <c r="S1503" s="26">
        <f>IF($A1503="","",AND(OR('Assignment Builder'!$B$5="",$B1503='Assignment Builder'!$B$5),OR('Assignment Builder'!$B$6="",ISNUMBER(SEARCH('Assignment Builder'!$B$6,$C1503))),OR('Assignment Builder'!$B$7="",'Assignment Builder'!$B$7=IFERROR(INDEX('Category Dictionary'!$C$5:$C$135,MATCH($L1503,'Category Dictionary'!$D$5:$D$135,0)),"")),OR('Assignment Builder'!$B$8="",$D1503='Assignment Builder'!$B$8),OR('Assignment Builder'!$B$9="",$F1503='Assignment Builder'!$B$9),OR('Assignment Builder'!$B$10="",$O1503='Assignment Builder'!$B$10),OR('Assignment Builder'!$B$11="",$H1503&gt;='Assignment Builder'!$B$11),OR('Assignment Builder'!$B$12="",N($Q1503)&lt;='Assignment Builder'!$B$12)))</f>
        <v/>
      </c>
      <c r="T1503" s="23" t="n"/>
    </row>
    <row r="1504">
      <c r="A1504" s="23" t="n"/>
      <c r="B1504" s="23" t="n"/>
      <c r="C1504" s="24" t="n"/>
      <c r="D1504" s="15" t="n"/>
      <c r="E1504" s="23" t="n"/>
      <c r="F1504" s="15" t="n"/>
      <c r="G1504" s="23" t="n"/>
      <c r="H1504" s="25" t="n"/>
      <c r="I1504" s="15" t="n"/>
      <c r="J1504" s="26">
        <f>IF($A1504="","",LEN($C1504)-LEN(SUBSTITUTE($C1504,",",""))+1)</f>
        <v/>
      </c>
      <c r="K1504" s="26">
        <f>IF($A1504="","",SUMPRODUCT(--ISNUMBER(SEARCH('Category Dictionary'!$D$5:$D$135&amp;"",$C1504)),--('Category Dictionary'!$D$5:$D$135&lt;&gt;"")))</f>
        <v/>
      </c>
      <c r="L1504" s="27">
        <f>IF($A1504="","",TRIM(IF(ISERROR(FIND(",",$C1504)),$C1504,LEFT($C1504,FIND(",",$C1504)-1))))</f>
        <v/>
      </c>
      <c r="M1504" s="28">
        <f>IF($H1504="","",DATE(YEAR($H1504),MONTH($H1504),1))</f>
        <v/>
      </c>
      <c r="N1504" s="26">
        <f>IF($H1504="","",TODAY()-$H1504)</f>
        <v/>
      </c>
      <c r="O1504" s="15" t="n"/>
      <c r="P1504" s="15" t="n"/>
      <c r="Q1504" s="15" t="n"/>
      <c r="R1504" s="25" t="n"/>
      <c r="S1504" s="26">
        <f>IF($A1504="","",AND(OR('Assignment Builder'!$B$5="",$B1504='Assignment Builder'!$B$5),OR('Assignment Builder'!$B$6="",ISNUMBER(SEARCH('Assignment Builder'!$B$6,$C1504))),OR('Assignment Builder'!$B$7="",'Assignment Builder'!$B$7=IFERROR(INDEX('Category Dictionary'!$C$5:$C$135,MATCH($L1504,'Category Dictionary'!$D$5:$D$135,0)),"")),OR('Assignment Builder'!$B$8="",$D1504='Assignment Builder'!$B$8),OR('Assignment Builder'!$B$9="",$F1504='Assignment Builder'!$B$9),OR('Assignment Builder'!$B$10="",$O1504='Assignment Builder'!$B$10),OR('Assignment Builder'!$B$11="",$H1504&gt;='Assignment Builder'!$B$11),OR('Assignment Builder'!$B$12="",N($Q1504)&lt;='Assignment Builder'!$B$12)))</f>
        <v/>
      </c>
      <c r="T1504" s="23" t="n"/>
    </row>
    <row r="1505">
      <c r="A1505" s="23" t="n"/>
      <c r="B1505" s="23" t="n"/>
      <c r="C1505" s="24" t="n"/>
      <c r="D1505" s="15" t="n"/>
      <c r="E1505" s="23" t="n"/>
      <c r="F1505" s="15" t="n"/>
      <c r="G1505" s="23" t="n"/>
      <c r="H1505" s="25" t="n"/>
      <c r="I1505" s="15" t="n"/>
      <c r="J1505" s="26">
        <f>IF($A1505="","",LEN($C1505)-LEN(SUBSTITUTE($C1505,",",""))+1)</f>
        <v/>
      </c>
      <c r="K1505" s="26">
        <f>IF($A1505="","",SUMPRODUCT(--ISNUMBER(SEARCH('Category Dictionary'!$D$5:$D$135&amp;"",$C1505)),--('Category Dictionary'!$D$5:$D$135&lt;&gt;"")))</f>
        <v/>
      </c>
      <c r="L1505" s="27">
        <f>IF($A1505="","",TRIM(IF(ISERROR(FIND(",",$C1505)),$C1505,LEFT($C1505,FIND(",",$C1505)-1))))</f>
        <v/>
      </c>
      <c r="M1505" s="28">
        <f>IF($H1505="","",DATE(YEAR($H1505),MONTH($H1505),1))</f>
        <v/>
      </c>
      <c r="N1505" s="26">
        <f>IF($H1505="","",TODAY()-$H1505)</f>
        <v/>
      </c>
      <c r="O1505" s="15" t="n"/>
      <c r="P1505" s="15" t="n"/>
      <c r="Q1505" s="15" t="n"/>
      <c r="R1505" s="25" t="n"/>
      <c r="S1505" s="26">
        <f>IF($A1505="","",AND(OR('Assignment Builder'!$B$5="",$B1505='Assignment Builder'!$B$5),OR('Assignment Builder'!$B$6="",ISNUMBER(SEARCH('Assignment Builder'!$B$6,$C1505))),OR('Assignment Builder'!$B$7="",'Assignment Builder'!$B$7=IFERROR(INDEX('Category Dictionary'!$C$5:$C$135,MATCH($L1505,'Category Dictionary'!$D$5:$D$135,0)),"")),OR('Assignment Builder'!$B$8="",$D1505='Assignment Builder'!$B$8),OR('Assignment Builder'!$B$9="",$F1505='Assignment Builder'!$B$9),OR('Assignment Builder'!$B$10="",$O1505='Assignment Builder'!$B$10),OR('Assignment Builder'!$B$11="",$H1505&gt;='Assignment Builder'!$B$11),OR('Assignment Builder'!$B$12="",N($Q1505)&lt;='Assignment Builder'!$B$12)))</f>
        <v/>
      </c>
      <c r="T1505" s="23" t="n"/>
    </row>
    <row r="1506">
      <c r="A1506" s="23" t="n"/>
      <c r="B1506" s="23" t="n"/>
      <c r="C1506" s="24" t="n"/>
      <c r="D1506" s="15" t="n"/>
      <c r="E1506" s="23" t="n"/>
      <c r="F1506" s="15" t="n"/>
      <c r="G1506" s="23" t="n"/>
      <c r="H1506" s="25" t="n"/>
      <c r="I1506" s="15" t="n"/>
      <c r="J1506" s="26">
        <f>IF($A1506="","",LEN($C1506)-LEN(SUBSTITUTE($C1506,",",""))+1)</f>
        <v/>
      </c>
      <c r="K1506" s="26">
        <f>IF($A1506="","",SUMPRODUCT(--ISNUMBER(SEARCH('Category Dictionary'!$D$5:$D$135&amp;"",$C1506)),--('Category Dictionary'!$D$5:$D$135&lt;&gt;"")))</f>
        <v/>
      </c>
      <c r="L1506" s="27">
        <f>IF($A1506="","",TRIM(IF(ISERROR(FIND(",",$C1506)),$C1506,LEFT($C1506,FIND(",",$C1506)-1))))</f>
        <v/>
      </c>
      <c r="M1506" s="28">
        <f>IF($H1506="","",DATE(YEAR($H1506),MONTH($H1506),1))</f>
        <v/>
      </c>
      <c r="N1506" s="26">
        <f>IF($H1506="","",TODAY()-$H1506)</f>
        <v/>
      </c>
      <c r="O1506" s="15" t="n"/>
      <c r="P1506" s="15" t="n"/>
      <c r="Q1506" s="15" t="n"/>
      <c r="R1506" s="25" t="n"/>
      <c r="S1506" s="26">
        <f>IF($A1506="","",AND(OR('Assignment Builder'!$B$5="",$B1506='Assignment Builder'!$B$5),OR('Assignment Builder'!$B$6="",ISNUMBER(SEARCH('Assignment Builder'!$B$6,$C1506))),OR('Assignment Builder'!$B$7="",'Assignment Builder'!$B$7=IFERROR(INDEX('Category Dictionary'!$C$5:$C$135,MATCH($L1506,'Category Dictionary'!$D$5:$D$135,0)),"")),OR('Assignment Builder'!$B$8="",$D1506='Assignment Builder'!$B$8),OR('Assignment Builder'!$B$9="",$F1506='Assignment Builder'!$B$9),OR('Assignment Builder'!$B$10="",$O1506='Assignment Builder'!$B$10),OR('Assignment Builder'!$B$11="",$H1506&gt;='Assignment Builder'!$B$11),OR('Assignment Builder'!$B$12="",N($Q1506)&lt;='Assignment Builder'!$B$12)))</f>
        <v/>
      </c>
      <c r="T1506" s="23" t="n"/>
    </row>
    <row r="1507">
      <c r="A1507" s="23" t="n"/>
      <c r="B1507" s="23" t="n"/>
      <c r="C1507" s="24" t="n"/>
      <c r="D1507" s="15" t="n"/>
      <c r="E1507" s="23" t="n"/>
      <c r="F1507" s="15" t="n"/>
      <c r="G1507" s="23" t="n"/>
      <c r="H1507" s="25" t="n"/>
      <c r="I1507" s="15" t="n"/>
      <c r="J1507" s="26">
        <f>IF($A1507="","",LEN($C1507)-LEN(SUBSTITUTE($C1507,",",""))+1)</f>
        <v/>
      </c>
      <c r="K1507" s="26">
        <f>IF($A1507="","",SUMPRODUCT(--ISNUMBER(SEARCH('Category Dictionary'!$D$5:$D$135&amp;"",$C1507)),--('Category Dictionary'!$D$5:$D$135&lt;&gt;"")))</f>
        <v/>
      </c>
      <c r="L1507" s="27">
        <f>IF($A1507="","",TRIM(IF(ISERROR(FIND(",",$C1507)),$C1507,LEFT($C1507,FIND(",",$C1507)-1))))</f>
        <v/>
      </c>
      <c r="M1507" s="28">
        <f>IF($H1507="","",DATE(YEAR($H1507),MONTH($H1507),1))</f>
        <v/>
      </c>
      <c r="N1507" s="26">
        <f>IF($H1507="","",TODAY()-$H1507)</f>
        <v/>
      </c>
      <c r="O1507" s="15" t="n"/>
      <c r="P1507" s="15" t="n"/>
      <c r="Q1507" s="15" t="n"/>
      <c r="R1507" s="25" t="n"/>
      <c r="S1507" s="26">
        <f>IF($A1507="","",AND(OR('Assignment Builder'!$B$5="",$B1507='Assignment Builder'!$B$5),OR('Assignment Builder'!$B$6="",ISNUMBER(SEARCH('Assignment Builder'!$B$6,$C1507))),OR('Assignment Builder'!$B$7="",'Assignment Builder'!$B$7=IFERROR(INDEX('Category Dictionary'!$C$5:$C$135,MATCH($L1507,'Category Dictionary'!$D$5:$D$135,0)),"")),OR('Assignment Builder'!$B$8="",$D1507='Assignment Builder'!$B$8),OR('Assignment Builder'!$B$9="",$F1507='Assignment Builder'!$B$9),OR('Assignment Builder'!$B$10="",$O1507='Assignment Builder'!$B$10),OR('Assignment Builder'!$B$11="",$H1507&gt;='Assignment Builder'!$B$11),OR('Assignment Builder'!$B$12="",N($Q1507)&lt;='Assignment Builder'!$B$12)))</f>
        <v/>
      </c>
      <c r="T1507" s="23" t="n"/>
    </row>
    <row r="1508">
      <c r="A1508" s="23" t="n"/>
      <c r="B1508" s="23" t="n"/>
      <c r="C1508" s="24" t="n"/>
      <c r="D1508" s="15" t="n"/>
      <c r="E1508" s="23" t="n"/>
      <c r="F1508" s="15" t="n"/>
      <c r="G1508" s="23" t="n"/>
      <c r="H1508" s="25" t="n"/>
      <c r="I1508" s="15" t="n"/>
      <c r="J1508" s="26">
        <f>IF($A1508="","",LEN($C1508)-LEN(SUBSTITUTE($C1508,",",""))+1)</f>
        <v/>
      </c>
      <c r="K1508" s="26">
        <f>IF($A1508="","",SUMPRODUCT(--ISNUMBER(SEARCH('Category Dictionary'!$D$5:$D$135&amp;"",$C1508)),--('Category Dictionary'!$D$5:$D$135&lt;&gt;"")))</f>
        <v/>
      </c>
      <c r="L1508" s="27">
        <f>IF($A1508="","",TRIM(IF(ISERROR(FIND(",",$C1508)),$C1508,LEFT($C1508,FIND(",",$C1508)-1))))</f>
        <v/>
      </c>
      <c r="M1508" s="28">
        <f>IF($H1508="","",DATE(YEAR($H1508),MONTH($H1508),1))</f>
        <v/>
      </c>
      <c r="N1508" s="26">
        <f>IF($H1508="","",TODAY()-$H1508)</f>
        <v/>
      </c>
      <c r="O1508" s="15" t="n"/>
      <c r="P1508" s="15" t="n"/>
      <c r="Q1508" s="15" t="n"/>
      <c r="R1508" s="25" t="n"/>
      <c r="S1508" s="26">
        <f>IF($A1508="","",AND(OR('Assignment Builder'!$B$5="",$B1508='Assignment Builder'!$B$5),OR('Assignment Builder'!$B$6="",ISNUMBER(SEARCH('Assignment Builder'!$B$6,$C1508))),OR('Assignment Builder'!$B$7="",'Assignment Builder'!$B$7=IFERROR(INDEX('Category Dictionary'!$C$5:$C$135,MATCH($L1508,'Category Dictionary'!$D$5:$D$135,0)),"")),OR('Assignment Builder'!$B$8="",$D1508='Assignment Builder'!$B$8),OR('Assignment Builder'!$B$9="",$F1508='Assignment Builder'!$B$9),OR('Assignment Builder'!$B$10="",$O1508='Assignment Builder'!$B$10),OR('Assignment Builder'!$B$11="",$H1508&gt;='Assignment Builder'!$B$11),OR('Assignment Builder'!$B$12="",N($Q1508)&lt;='Assignment Builder'!$B$12)))</f>
        <v/>
      </c>
      <c r="T1508" s="23" t="n"/>
    </row>
    <row r="1509">
      <c r="A1509" s="23" t="n"/>
      <c r="B1509" s="23" t="n"/>
      <c r="C1509" s="24" t="n"/>
      <c r="D1509" s="15" t="n"/>
      <c r="E1509" s="23" t="n"/>
      <c r="F1509" s="15" t="n"/>
      <c r="G1509" s="23" t="n"/>
      <c r="H1509" s="25" t="n"/>
      <c r="I1509" s="15" t="n"/>
      <c r="J1509" s="26">
        <f>IF($A1509="","",LEN($C1509)-LEN(SUBSTITUTE($C1509,",",""))+1)</f>
        <v/>
      </c>
      <c r="K1509" s="26">
        <f>IF($A1509="","",SUMPRODUCT(--ISNUMBER(SEARCH('Category Dictionary'!$D$5:$D$135&amp;"",$C1509)),--('Category Dictionary'!$D$5:$D$135&lt;&gt;"")))</f>
        <v/>
      </c>
      <c r="L1509" s="27">
        <f>IF($A1509="","",TRIM(IF(ISERROR(FIND(",",$C1509)),$C1509,LEFT($C1509,FIND(",",$C1509)-1))))</f>
        <v/>
      </c>
      <c r="M1509" s="28">
        <f>IF($H1509="","",DATE(YEAR($H1509),MONTH($H1509),1))</f>
        <v/>
      </c>
      <c r="N1509" s="26">
        <f>IF($H1509="","",TODAY()-$H1509)</f>
        <v/>
      </c>
      <c r="O1509" s="15" t="n"/>
      <c r="P1509" s="15" t="n"/>
      <c r="Q1509" s="15" t="n"/>
      <c r="R1509" s="25" t="n"/>
      <c r="S1509" s="26">
        <f>IF($A1509="","",AND(OR('Assignment Builder'!$B$5="",$B1509='Assignment Builder'!$B$5),OR('Assignment Builder'!$B$6="",ISNUMBER(SEARCH('Assignment Builder'!$B$6,$C1509))),OR('Assignment Builder'!$B$7="",'Assignment Builder'!$B$7=IFERROR(INDEX('Category Dictionary'!$C$5:$C$135,MATCH($L1509,'Category Dictionary'!$D$5:$D$135,0)),"")),OR('Assignment Builder'!$B$8="",$D1509='Assignment Builder'!$B$8),OR('Assignment Builder'!$B$9="",$F1509='Assignment Builder'!$B$9),OR('Assignment Builder'!$B$10="",$O1509='Assignment Builder'!$B$10),OR('Assignment Builder'!$B$11="",$H1509&gt;='Assignment Builder'!$B$11),OR('Assignment Builder'!$B$12="",N($Q1509)&lt;='Assignment Builder'!$B$12)))</f>
        <v/>
      </c>
      <c r="T1509" s="23" t="n"/>
    </row>
    <row r="1510">
      <c r="A1510" s="23" t="n"/>
      <c r="B1510" s="23" t="n"/>
      <c r="C1510" s="24" t="n"/>
      <c r="D1510" s="15" t="n"/>
      <c r="E1510" s="23" t="n"/>
      <c r="F1510" s="15" t="n"/>
      <c r="G1510" s="23" t="n"/>
      <c r="H1510" s="25" t="n"/>
      <c r="I1510" s="15" t="n"/>
      <c r="J1510" s="26">
        <f>IF($A1510="","",LEN($C1510)-LEN(SUBSTITUTE($C1510,",",""))+1)</f>
        <v/>
      </c>
      <c r="K1510" s="26">
        <f>IF($A1510="","",SUMPRODUCT(--ISNUMBER(SEARCH('Category Dictionary'!$D$5:$D$135&amp;"",$C1510)),--('Category Dictionary'!$D$5:$D$135&lt;&gt;"")))</f>
        <v/>
      </c>
      <c r="L1510" s="27">
        <f>IF($A1510="","",TRIM(IF(ISERROR(FIND(",",$C1510)),$C1510,LEFT($C1510,FIND(",",$C1510)-1))))</f>
        <v/>
      </c>
      <c r="M1510" s="28">
        <f>IF($H1510="","",DATE(YEAR($H1510),MONTH($H1510),1))</f>
        <v/>
      </c>
      <c r="N1510" s="26">
        <f>IF($H1510="","",TODAY()-$H1510)</f>
        <v/>
      </c>
      <c r="O1510" s="15" t="n"/>
      <c r="P1510" s="15" t="n"/>
      <c r="Q1510" s="15" t="n"/>
      <c r="R1510" s="25" t="n"/>
      <c r="S1510" s="26">
        <f>IF($A1510="","",AND(OR('Assignment Builder'!$B$5="",$B1510='Assignment Builder'!$B$5),OR('Assignment Builder'!$B$6="",ISNUMBER(SEARCH('Assignment Builder'!$B$6,$C1510))),OR('Assignment Builder'!$B$7="",'Assignment Builder'!$B$7=IFERROR(INDEX('Category Dictionary'!$C$5:$C$135,MATCH($L1510,'Category Dictionary'!$D$5:$D$135,0)),"")),OR('Assignment Builder'!$B$8="",$D1510='Assignment Builder'!$B$8),OR('Assignment Builder'!$B$9="",$F1510='Assignment Builder'!$B$9),OR('Assignment Builder'!$B$10="",$O1510='Assignment Builder'!$B$10),OR('Assignment Builder'!$B$11="",$H1510&gt;='Assignment Builder'!$B$11),OR('Assignment Builder'!$B$12="",N($Q1510)&lt;='Assignment Builder'!$B$12)))</f>
        <v/>
      </c>
      <c r="T1510" s="23" t="n"/>
    </row>
    <row r="1511">
      <c r="A1511" s="23" t="n"/>
      <c r="B1511" s="23" t="n"/>
      <c r="C1511" s="24" t="n"/>
      <c r="D1511" s="15" t="n"/>
      <c r="E1511" s="23" t="n"/>
      <c r="F1511" s="15" t="n"/>
      <c r="G1511" s="23" t="n"/>
      <c r="H1511" s="25" t="n"/>
      <c r="I1511" s="15" t="n"/>
      <c r="J1511" s="26">
        <f>IF($A1511="","",LEN($C1511)-LEN(SUBSTITUTE($C1511,",",""))+1)</f>
        <v/>
      </c>
      <c r="K1511" s="26">
        <f>IF($A1511="","",SUMPRODUCT(--ISNUMBER(SEARCH('Category Dictionary'!$D$5:$D$135&amp;"",$C1511)),--('Category Dictionary'!$D$5:$D$135&lt;&gt;"")))</f>
        <v/>
      </c>
      <c r="L1511" s="27">
        <f>IF($A1511="","",TRIM(IF(ISERROR(FIND(",",$C1511)),$C1511,LEFT($C1511,FIND(",",$C1511)-1))))</f>
        <v/>
      </c>
      <c r="M1511" s="28">
        <f>IF($H1511="","",DATE(YEAR($H1511),MONTH($H1511),1))</f>
        <v/>
      </c>
      <c r="N1511" s="26">
        <f>IF($H1511="","",TODAY()-$H1511)</f>
        <v/>
      </c>
      <c r="O1511" s="15" t="n"/>
      <c r="P1511" s="15" t="n"/>
      <c r="Q1511" s="15" t="n"/>
      <c r="R1511" s="25" t="n"/>
      <c r="S1511" s="26">
        <f>IF($A1511="","",AND(OR('Assignment Builder'!$B$5="",$B1511='Assignment Builder'!$B$5),OR('Assignment Builder'!$B$6="",ISNUMBER(SEARCH('Assignment Builder'!$B$6,$C1511))),OR('Assignment Builder'!$B$7="",'Assignment Builder'!$B$7=IFERROR(INDEX('Category Dictionary'!$C$5:$C$135,MATCH($L1511,'Category Dictionary'!$D$5:$D$135,0)),"")),OR('Assignment Builder'!$B$8="",$D1511='Assignment Builder'!$B$8),OR('Assignment Builder'!$B$9="",$F1511='Assignment Builder'!$B$9),OR('Assignment Builder'!$B$10="",$O1511='Assignment Builder'!$B$10),OR('Assignment Builder'!$B$11="",$H1511&gt;='Assignment Builder'!$B$11),OR('Assignment Builder'!$B$12="",N($Q1511)&lt;='Assignment Builder'!$B$12)))</f>
        <v/>
      </c>
      <c r="T1511" s="23" t="n"/>
    </row>
    <row r="1512">
      <c r="A1512" s="23" t="n"/>
      <c r="B1512" s="23" t="n"/>
      <c r="C1512" s="24" t="n"/>
      <c r="D1512" s="15" t="n"/>
      <c r="E1512" s="23" t="n"/>
      <c r="F1512" s="15" t="n"/>
      <c r="G1512" s="23" t="n"/>
      <c r="H1512" s="25" t="n"/>
      <c r="I1512" s="15" t="n"/>
      <c r="J1512" s="26">
        <f>IF($A1512="","",LEN($C1512)-LEN(SUBSTITUTE($C1512,",",""))+1)</f>
        <v/>
      </c>
      <c r="K1512" s="26">
        <f>IF($A1512="","",SUMPRODUCT(--ISNUMBER(SEARCH('Category Dictionary'!$D$5:$D$135&amp;"",$C1512)),--('Category Dictionary'!$D$5:$D$135&lt;&gt;"")))</f>
        <v/>
      </c>
      <c r="L1512" s="27">
        <f>IF($A1512="","",TRIM(IF(ISERROR(FIND(",",$C1512)),$C1512,LEFT($C1512,FIND(",",$C1512)-1))))</f>
        <v/>
      </c>
      <c r="M1512" s="28">
        <f>IF($H1512="","",DATE(YEAR($H1512),MONTH($H1512),1))</f>
        <v/>
      </c>
      <c r="N1512" s="26">
        <f>IF($H1512="","",TODAY()-$H1512)</f>
        <v/>
      </c>
      <c r="O1512" s="15" t="n"/>
      <c r="P1512" s="15" t="n"/>
      <c r="Q1512" s="15" t="n"/>
      <c r="R1512" s="25" t="n"/>
      <c r="S1512" s="26">
        <f>IF($A1512="","",AND(OR('Assignment Builder'!$B$5="",$B1512='Assignment Builder'!$B$5),OR('Assignment Builder'!$B$6="",ISNUMBER(SEARCH('Assignment Builder'!$B$6,$C1512))),OR('Assignment Builder'!$B$7="",'Assignment Builder'!$B$7=IFERROR(INDEX('Category Dictionary'!$C$5:$C$135,MATCH($L1512,'Category Dictionary'!$D$5:$D$135,0)),"")),OR('Assignment Builder'!$B$8="",$D1512='Assignment Builder'!$B$8),OR('Assignment Builder'!$B$9="",$F1512='Assignment Builder'!$B$9),OR('Assignment Builder'!$B$10="",$O1512='Assignment Builder'!$B$10),OR('Assignment Builder'!$B$11="",$H1512&gt;='Assignment Builder'!$B$11),OR('Assignment Builder'!$B$12="",N($Q1512)&lt;='Assignment Builder'!$B$12)))</f>
        <v/>
      </c>
      <c r="T1512" s="23" t="n"/>
    </row>
    <row r="1513">
      <c r="A1513" s="23" t="n"/>
      <c r="B1513" s="23" t="n"/>
      <c r="C1513" s="24" t="n"/>
      <c r="D1513" s="15" t="n"/>
      <c r="E1513" s="23" t="n"/>
      <c r="F1513" s="15" t="n"/>
      <c r="G1513" s="23" t="n"/>
      <c r="H1513" s="25" t="n"/>
      <c r="I1513" s="15" t="n"/>
      <c r="J1513" s="26">
        <f>IF($A1513="","",LEN($C1513)-LEN(SUBSTITUTE($C1513,",",""))+1)</f>
        <v/>
      </c>
      <c r="K1513" s="26">
        <f>IF($A1513="","",SUMPRODUCT(--ISNUMBER(SEARCH('Category Dictionary'!$D$5:$D$135&amp;"",$C1513)),--('Category Dictionary'!$D$5:$D$135&lt;&gt;"")))</f>
        <v/>
      </c>
      <c r="L1513" s="27">
        <f>IF($A1513="","",TRIM(IF(ISERROR(FIND(",",$C1513)),$C1513,LEFT($C1513,FIND(",",$C1513)-1))))</f>
        <v/>
      </c>
      <c r="M1513" s="28">
        <f>IF($H1513="","",DATE(YEAR($H1513),MONTH($H1513),1))</f>
        <v/>
      </c>
      <c r="N1513" s="26">
        <f>IF($H1513="","",TODAY()-$H1513)</f>
        <v/>
      </c>
      <c r="O1513" s="15" t="n"/>
      <c r="P1513" s="15" t="n"/>
      <c r="Q1513" s="15" t="n"/>
      <c r="R1513" s="25" t="n"/>
      <c r="S1513" s="26">
        <f>IF($A1513="","",AND(OR('Assignment Builder'!$B$5="",$B1513='Assignment Builder'!$B$5),OR('Assignment Builder'!$B$6="",ISNUMBER(SEARCH('Assignment Builder'!$B$6,$C1513))),OR('Assignment Builder'!$B$7="",'Assignment Builder'!$B$7=IFERROR(INDEX('Category Dictionary'!$C$5:$C$135,MATCH($L1513,'Category Dictionary'!$D$5:$D$135,0)),"")),OR('Assignment Builder'!$B$8="",$D1513='Assignment Builder'!$B$8),OR('Assignment Builder'!$B$9="",$F1513='Assignment Builder'!$B$9),OR('Assignment Builder'!$B$10="",$O1513='Assignment Builder'!$B$10),OR('Assignment Builder'!$B$11="",$H1513&gt;='Assignment Builder'!$B$11),OR('Assignment Builder'!$B$12="",N($Q1513)&lt;='Assignment Builder'!$B$12)))</f>
        <v/>
      </c>
      <c r="T1513" s="23" t="n"/>
    </row>
    <row r="1514">
      <c r="A1514" s="23" t="n"/>
      <c r="B1514" s="23" t="n"/>
      <c r="C1514" s="24" t="n"/>
      <c r="D1514" s="15" t="n"/>
      <c r="E1514" s="23" t="n"/>
      <c r="F1514" s="15" t="n"/>
      <c r="G1514" s="23" t="n"/>
      <c r="H1514" s="25" t="n"/>
      <c r="I1514" s="15" t="n"/>
      <c r="J1514" s="26">
        <f>IF($A1514="","",LEN($C1514)-LEN(SUBSTITUTE($C1514,",",""))+1)</f>
        <v/>
      </c>
      <c r="K1514" s="26">
        <f>IF($A1514="","",SUMPRODUCT(--ISNUMBER(SEARCH('Category Dictionary'!$D$5:$D$135&amp;"",$C1514)),--('Category Dictionary'!$D$5:$D$135&lt;&gt;"")))</f>
        <v/>
      </c>
      <c r="L1514" s="27">
        <f>IF($A1514="","",TRIM(IF(ISERROR(FIND(",",$C1514)),$C1514,LEFT($C1514,FIND(",",$C1514)-1))))</f>
        <v/>
      </c>
      <c r="M1514" s="28">
        <f>IF($H1514="","",DATE(YEAR($H1514),MONTH($H1514),1))</f>
        <v/>
      </c>
      <c r="N1514" s="26">
        <f>IF($H1514="","",TODAY()-$H1514)</f>
        <v/>
      </c>
      <c r="O1514" s="15" t="n"/>
      <c r="P1514" s="15" t="n"/>
      <c r="Q1514" s="15" t="n"/>
      <c r="R1514" s="25" t="n"/>
      <c r="S1514" s="26">
        <f>IF($A1514="","",AND(OR('Assignment Builder'!$B$5="",$B1514='Assignment Builder'!$B$5),OR('Assignment Builder'!$B$6="",ISNUMBER(SEARCH('Assignment Builder'!$B$6,$C1514))),OR('Assignment Builder'!$B$7="",'Assignment Builder'!$B$7=IFERROR(INDEX('Category Dictionary'!$C$5:$C$135,MATCH($L1514,'Category Dictionary'!$D$5:$D$135,0)),"")),OR('Assignment Builder'!$B$8="",$D1514='Assignment Builder'!$B$8),OR('Assignment Builder'!$B$9="",$F1514='Assignment Builder'!$B$9),OR('Assignment Builder'!$B$10="",$O1514='Assignment Builder'!$B$10),OR('Assignment Builder'!$B$11="",$H1514&gt;='Assignment Builder'!$B$11),OR('Assignment Builder'!$B$12="",N($Q1514)&lt;='Assignment Builder'!$B$12)))</f>
        <v/>
      </c>
      <c r="T1514" s="23" t="n"/>
    </row>
    <row r="1515">
      <c r="A1515" s="23" t="n"/>
      <c r="B1515" s="23" t="n"/>
      <c r="C1515" s="24" t="n"/>
      <c r="D1515" s="15" t="n"/>
      <c r="E1515" s="23" t="n"/>
      <c r="F1515" s="15" t="n"/>
      <c r="G1515" s="23" t="n"/>
      <c r="H1515" s="25" t="n"/>
      <c r="I1515" s="15" t="n"/>
      <c r="J1515" s="26">
        <f>IF($A1515="","",LEN($C1515)-LEN(SUBSTITUTE($C1515,",",""))+1)</f>
        <v/>
      </c>
      <c r="K1515" s="26">
        <f>IF($A1515="","",SUMPRODUCT(--ISNUMBER(SEARCH('Category Dictionary'!$D$5:$D$135&amp;"",$C1515)),--('Category Dictionary'!$D$5:$D$135&lt;&gt;"")))</f>
        <v/>
      </c>
      <c r="L1515" s="27">
        <f>IF($A1515="","",TRIM(IF(ISERROR(FIND(",",$C1515)),$C1515,LEFT($C1515,FIND(",",$C1515)-1))))</f>
        <v/>
      </c>
      <c r="M1515" s="28">
        <f>IF($H1515="","",DATE(YEAR($H1515),MONTH($H1515),1))</f>
        <v/>
      </c>
      <c r="N1515" s="26">
        <f>IF($H1515="","",TODAY()-$H1515)</f>
        <v/>
      </c>
      <c r="O1515" s="15" t="n"/>
      <c r="P1515" s="15" t="n"/>
      <c r="Q1515" s="15" t="n"/>
      <c r="R1515" s="25" t="n"/>
      <c r="S1515" s="26">
        <f>IF($A1515="","",AND(OR('Assignment Builder'!$B$5="",$B1515='Assignment Builder'!$B$5),OR('Assignment Builder'!$B$6="",ISNUMBER(SEARCH('Assignment Builder'!$B$6,$C1515))),OR('Assignment Builder'!$B$7="",'Assignment Builder'!$B$7=IFERROR(INDEX('Category Dictionary'!$C$5:$C$135,MATCH($L1515,'Category Dictionary'!$D$5:$D$135,0)),"")),OR('Assignment Builder'!$B$8="",$D1515='Assignment Builder'!$B$8),OR('Assignment Builder'!$B$9="",$F1515='Assignment Builder'!$B$9),OR('Assignment Builder'!$B$10="",$O1515='Assignment Builder'!$B$10),OR('Assignment Builder'!$B$11="",$H1515&gt;='Assignment Builder'!$B$11),OR('Assignment Builder'!$B$12="",N($Q1515)&lt;='Assignment Builder'!$B$12)))</f>
        <v/>
      </c>
      <c r="T1515" s="23" t="n"/>
    </row>
    <row r="1516">
      <c r="A1516" s="23" t="n"/>
      <c r="B1516" s="23" t="n"/>
      <c r="C1516" s="24" t="n"/>
      <c r="D1516" s="15" t="n"/>
      <c r="E1516" s="23" t="n"/>
      <c r="F1516" s="15" t="n"/>
      <c r="G1516" s="23" t="n"/>
      <c r="H1516" s="25" t="n"/>
      <c r="I1516" s="15" t="n"/>
      <c r="J1516" s="26">
        <f>IF($A1516="","",LEN($C1516)-LEN(SUBSTITUTE($C1516,",",""))+1)</f>
        <v/>
      </c>
      <c r="K1516" s="26">
        <f>IF($A1516="","",SUMPRODUCT(--ISNUMBER(SEARCH('Category Dictionary'!$D$5:$D$135&amp;"",$C1516)),--('Category Dictionary'!$D$5:$D$135&lt;&gt;"")))</f>
        <v/>
      </c>
      <c r="L1516" s="27">
        <f>IF($A1516="","",TRIM(IF(ISERROR(FIND(",",$C1516)),$C1516,LEFT($C1516,FIND(",",$C1516)-1))))</f>
        <v/>
      </c>
      <c r="M1516" s="28">
        <f>IF($H1516="","",DATE(YEAR($H1516),MONTH($H1516),1))</f>
        <v/>
      </c>
      <c r="N1516" s="26">
        <f>IF($H1516="","",TODAY()-$H1516)</f>
        <v/>
      </c>
      <c r="O1516" s="15" t="n"/>
      <c r="P1516" s="15" t="n"/>
      <c r="Q1516" s="15" t="n"/>
      <c r="R1516" s="25" t="n"/>
      <c r="S1516" s="26">
        <f>IF($A1516="","",AND(OR('Assignment Builder'!$B$5="",$B1516='Assignment Builder'!$B$5),OR('Assignment Builder'!$B$6="",ISNUMBER(SEARCH('Assignment Builder'!$B$6,$C1516))),OR('Assignment Builder'!$B$7="",'Assignment Builder'!$B$7=IFERROR(INDEX('Category Dictionary'!$C$5:$C$135,MATCH($L1516,'Category Dictionary'!$D$5:$D$135,0)),"")),OR('Assignment Builder'!$B$8="",$D1516='Assignment Builder'!$B$8),OR('Assignment Builder'!$B$9="",$F1516='Assignment Builder'!$B$9),OR('Assignment Builder'!$B$10="",$O1516='Assignment Builder'!$B$10),OR('Assignment Builder'!$B$11="",$H1516&gt;='Assignment Builder'!$B$11),OR('Assignment Builder'!$B$12="",N($Q1516)&lt;='Assignment Builder'!$B$12)))</f>
        <v/>
      </c>
      <c r="T1516" s="23" t="n"/>
    </row>
    <row r="1517">
      <c r="A1517" s="23" t="n"/>
      <c r="B1517" s="23" t="n"/>
      <c r="C1517" s="24" t="n"/>
      <c r="D1517" s="15" t="n"/>
      <c r="E1517" s="23" t="n"/>
      <c r="F1517" s="15" t="n"/>
      <c r="G1517" s="23" t="n"/>
      <c r="H1517" s="25" t="n"/>
      <c r="I1517" s="15" t="n"/>
      <c r="J1517" s="26">
        <f>IF($A1517="","",LEN($C1517)-LEN(SUBSTITUTE($C1517,",",""))+1)</f>
        <v/>
      </c>
      <c r="K1517" s="26">
        <f>IF($A1517="","",SUMPRODUCT(--ISNUMBER(SEARCH('Category Dictionary'!$D$5:$D$135&amp;"",$C1517)),--('Category Dictionary'!$D$5:$D$135&lt;&gt;"")))</f>
        <v/>
      </c>
      <c r="L1517" s="27">
        <f>IF($A1517="","",TRIM(IF(ISERROR(FIND(",",$C1517)),$C1517,LEFT($C1517,FIND(",",$C1517)-1))))</f>
        <v/>
      </c>
      <c r="M1517" s="28">
        <f>IF($H1517="","",DATE(YEAR($H1517),MONTH($H1517),1))</f>
        <v/>
      </c>
      <c r="N1517" s="26">
        <f>IF($H1517="","",TODAY()-$H1517)</f>
        <v/>
      </c>
      <c r="O1517" s="15" t="n"/>
      <c r="P1517" s="15" t="n"/>
      <c r="Q1517" s="15" t="n"/>
      <c r="R1517" s="25" t="n"/>
      <c r="S1517" s="26">
        <f>IF($A1517="","",AND(OR('Assignment Builder'!$B$5="",$B1517='Assignment Builder'!$B$5),OR('Assignment Builder'!$B$6="",ISNUMBER(SEARCH('Assignment Builder'!$B$6,$C1517))),OR('Assignment Builder'!$B$7="",'Assignment Builder'!$B$7=IFERROR(INDEX('Category Dictionary'!$C$5:$C$135,MATCH($L1517,'Category Dictionary'!$D$5:$D$135,0)),"")),OR('Assignment Builder'!$B$8="",$D1517='Assignment Builder'!$B$8),OR('Assignment Builder'!$B$9="",$F1517='Assignment Builder'!$B$9),OR('Assignment Builder'!$B$10="",$O1517='Assignment Builder'!$B$10),OR('Assignment Builder'!$B$11="",$H1517&gt;='Assignment Builder'!$B$11),OR('Assignment Builder'!$B$12="",N($Q1517)&lt;='Assignment Builder'!$B$12)))</f>
        <v/>
      </c>
      <c r="T1517" s="23" t="n"/>
    </row>
    <row r="1518">
      <c r="A1518" s="23" t="n"/>
      <c r="B1518" s="23" t="n"/>
      <c r="C1518" s="24" t="n"/>
      <c r="D1518" s="15" t="n"/>
      <c r="E1518" s="23" t="n"/>
      <c r="F1518" s="15" t="n"/>
      <c r="G1518" s="23" t="n"/>
      <c r="H1518" s="25" t="n"/>
      <c r="I1518" s="15" t="n"/>
      <c r="J1518" s="26">
        <f>IF($A1518="","",LEN($C1518)-LEN(SUBSTITUTE($C1518,",",""))+1)</f>
        <v/>
      </c>
      <c r="K1518" s="26">
        <f>IF($A1518="","",SUMPRODUCT(--ISNUMBER(SEARCH('Category Dictionary'!$D$5:$D$135&amp;"",$C1518)),--('Category Dictionary'!$D$5:$D$135&lt;&gt;"")))</f>
        <v/>
      </c>
      <c r="L1518" s="27">
        <f>IF($A1518="","",TRIM(IF(ISERROR(FIND(",",$C1518)),$C1518,LEFT($C1518,FIND(",",$C1518)-1))))</f>
        <v/>
      </c>
      <c r="M1518" s="28">
        <f>IF($H1518="","",DATE(YEAR($H1518),MONTH($H1518),1))</f>
        <v/>
      </c>
      <c r="N1518" s="26">
        <f>IF($H1518="","",TODAY()-$H1518)</f>
        <v/>
      </c>
      <c r="O1518" s="15" t="n"/>
      <c r="P1518" s="15" t="n"/>
      <c r="Q1518" s="15" t="n"/>
      <c r="R1518" s="25" t="n"/>
      <c r="S1518" s="26">
        <f>IF($A1518="","",AND(OR('Assignment Builder'!$B$5="",$B1518='Assignment Builder'!$B$5),OR('Assignment Builder'!$B$6="",ISNUMBER(SEARCH('Assignment Builder'!$B$6,$C1518))),OR('Assignment Builder'!$B$7="",'Assignment Builder'!$B$7=IFERROR(INDEX('Category Dictionary'!$C$5:$C$135,MATCH($L1518,'Category Dictionary'!$D$5:$D$135,0)),"")),OR('Assignment Builder'!$B$8="",$D1518='Assignment Builder'!$B$8),OR('Assignment Builder'!$B$9="",$F1518='Assignment Builder'!$B$9),OR('Assignment Builder'!$B$10="",$O1518='Assignment Builder'!$B$10),OR('Assignment Builder'!$B$11="",$H1518&gt;='Assignment Builder'!$B$11),OR('Assignment Builder'!$B$12="",N($Q1518)&lt;='Assignment Builder'!$B$12)))</f>
        <v/>
      </c>
      <c r="T1518" s="23" t="n"/>
    </row>
    <row r="1519">
      <c r="A1519" s="23" t="n"/>
      <c r="B1519" s="23" t="n"/>
      <c r="C1519" s="24" t="n"/>
      <c r="D1519" s="15" t="n"/>
      <c r="E1519" s="23" t="n"/>
      <c r="F1519" s="15" t="n"/>
      <c r="G1519" s="23" t="n"/>
      <c r="H1519" s="25" t="n"/>
      <c r="I1519" s="15" t="n"/>
      <c r="J1519" s="26">
        <f>IF($A1519="","",LEN($C1519)-LEN(SUBSTITUTE($C1519,",",""))+1)</f>
        <v/>
      </c>
      <c r="K1519" s="26">
        <f>IF($A1519="","",SUMPRODUCT(--ISNUMBER(SEARCH('Category Dictionary'!$D$5:$D$135&amp;"",$C1519)),--('Category Dictionary'!$D$5:$D$135&lt;&gt;"")))</f>
        <v/>
      </c>
      <c r="L1519" s="27">
        <f>IF($A1519="","",TRIM(IF(ISERROR(FIND(",",$C1519)),$C1519,LEFT($C1519,FIND(",",$C1519)-1))))</f>
        <v/>
      </c>
      <c r="M1519" s="28">
        <f>IF($H1519="","",DATE(YEAR($H1519),MONTH($H1519),1))</f>
        <v/>
      </c>
      <c r="N1519" s="26">
        <f>IF($H1519="","",TODAY()-$H1519)</f>
        <v/>
      </c>
      <c r="O1519" s="15" t="n"/>
      <c r="P1519" s="15" t="n"/>
      <c r="Q1519" s="15" t="n"/>
      <c r="R1519" s="25" t="n"/>
      <c r="S1519" s="26">
        <f>IF($A1519="","",AND(OR('Assignment Builder'!$B$5="",$B1519='Assignment Builder'!$B$5),OR('Assignment Builder'!$B$6="",ISNUMBER(SEARCH('Assignment Builder'!$B$6,$C1519))),OR('Assignment Builder'!$B$7="",'Assignment Builder'!$B$7=IFERROR(INDEX('Category Dictionary'!$C$5:$C$135,MATCH($L1519,'Category Dictionary'!$D$5:$D$135,0)),"")),OR('Assignment Builder'!$B$8="",$D1519='Assignment Builder'!$B$8),OR('Assignment Builder'!$B$9="",$F1519='Assignment Builder'!$B$9),OR('Assignment Builder'!$B$10="",$O1519='Assignment Builder'!$B$10),OR('Assignment Builder'!$B$11="",$H1519&gt;='Assignment Builder'!$B$11),OR('Assignment Builder'!$B$12="",N($Q1519)&lt;='Assignment Builder'!$B$12)))</f>
        <v/>
      </c>
      <c r="T1519" s="23" t="n"/>
    </row>
    <row r="1520">
      <c r="A1520" s="23" t="n"/>
      <c r="B1520" s="23" t="n"/>
      <c r="C1520" s="24" t="n"/>
      <c r="D1520" s="15" t="n"/>
      <c r="E1520" s="23" t="n"/>
      <c r="F1520" s="15" t="n"/>
      <c r="G1520" s="23" t="n"/>
      <c r="H1520" s="25" t="n"/>
      <c r="I1520" s="15" t="n"/>
      <c r="J1520" s="26">
        <f>IF($A1520="","",LEN($C1520)-LEN(SUBSTITUTE($C1520,",",""))+1)</f>
        <v/>
      </c>
      <c r="K1520" s="26">
        <f>IF($A1520="","",SUMPRODUCT(--ISNUMBER(SEARCH('Category Dictionary'!$D$5:$D$135&amp;"",$C1520)),--('Category Dictionary'!$D$5:$D$135&lt;&gt;"")))</f>
        <v/>
      </c>
      <c r="L1520" s="27">
        <f>IF($A1520="","",TRIM(IF(ISERROR(FIND(",",$C1520)),$C1520,LEFT($C1520,FIND(",",$C1520)-1))))</f>
        <v/>
      </c>
      <c r="M1520" s="28">
        <f>IF($H1520="","",DATE(YEAR($H1520),MONTH($H1520),1))</f>
        <v/>
      </c>
      <c r="N1520" s="26">
        <f>IF($H1520="","",TODAY()-$H1520)</f>
        <v/>
      </c>
      <c r="O1520" s="15" t="n"/>
      <c r="P1520" s="15" t="n"/>
      <c r="Q1520" s="15" t="n"/>
      <c r="R1520" s="25" t="n"/>
      <c r="S1520" s="26">
        <f>IF($A1520="","",AND(OR('Assignment Builder'!$B$5="",$B1520='Assignment Builder'!$B$5),OR('Assignment Builder'!$B$6="",ISNUMBER(SEARCH('Assignment Builder'!$B$6,$C1520))),OR('Assignment Builder'!$B$7="",'Assignment Builder'!$B$7=IFERROR(INDEX('Category Dictionary'!$C$5:$C$135,MATCH($L1520,'Category Dictionary'!$D$5:$D$135,0)),"")),OR('Assignment Builder'!$B$8="",$D1520='Assignment Builder'!$B$8),OR('Assignment Builder'!$B$9="",$F1520='Assignment Builder'!$B$9),OR('Assignment Builder'!$B$10="",$O1520='Assignment Builder'!$B$10),OR('Assignment Builder'!$B$11="",$H1520&gt;='Assignment Builder'!$B$11),OR('Assignment Builder'!$B$12="",N($Q1520)&lt;='Assignment Builder'!$B$12)))</f>
        <v/>
      </c>
      <c r="T1520" s="23" t="n"/>
    </row>
    <row r="1521">
      <c r="A1521" s="23" t="n"/>
      <c r="B1521" s="23" t="n"/>
      <c r="C1521" s="24" t="n"/>
      <c r="D1521" s="15" t="n"/>
      <c r="E1521" s="23" t="n"/>
      <c r="F1521" s="15" t="n"/>
      <c r="G1521" s="23" t="n"/>
      <c r="H1521" s="25" t="n"/>
      <c r="I1521" s="15" t="n"/>
      <c r="J1521" s="26">
        <f>IF($A1521="","",LEN($C1521)-LEN(SUBSTITUTE($C1521,",",""))+1)</f>
        <v/>
      </c>
      <c r="K1521" s="26">
        <f>IF($A1521="","",SUMPRODUCT(--ISNUMBER(SEARCH('Category Dictionary'!$D$5:$D$135&amp;"",$C1521)),--('Category Dictionary'!$D$5:$D$135&lt;&gt;"")))</f>
        <v/>
      </c>
      <c r="L1521" s="27">
        <f>IF($A1521="","",TRIM(IF(ISERROR(FIND(",",$C1521)),$C1521,LEFT($C1521,FIND(",",$C1521)-1))))</f>
        <v/>
      </c>
      <c r="M1521" s="28">
        <f>IF($H1521="","",DATE(YEAR($H1521),MONTH($H1521),1))</f>
        <v/>
      </c>
      <c r="N1521" s="26">
        <f>IF($H1521="","",TODAY()-$H1521)</f>
        <v/>
      </c>
      <c r="O1521" s="15" t="n"/>
      <c r="P1521" s="15" t="n"/>
      <c r="Q1521" s="15" t="n"/>
      <c r="R1521" s="25" t="n"/>
      <c r="S1521" s="26">
        <f>IF($A1521="","",AND(OR('Assignment Builder'!$B$5="",$B1521='Assignment Builder'!$B$5),OR('Assignment Builder'!$B$6="",ISNUMBER(SEARCH('Assignment Builder'!$B$6,$C1521))),OR('Assignment Builder'!$B$7="",'Assignment Builder'!$B$7=IFERROR(INDEX('Category Dictionary'!$C$5:$C$135,MATCH($L1521,'Category Dictionary'!$D$5:$D$135,0)),"")),OR('Assignment Builder'!$B$8="",$D1521='Assignment Builder'!$B$8),OR('Assignment Builder'!$B$9="",$F1521='Assignment Builder'!$B$9),OR('Assignment Builder'!$B$10="",$O1521='Assignment Builder'!$B$10),OR('Assignment Builder'!$B$11="",$H1521&gt;='Assignment Builder'!$B$11),OR('Assignment Builder'!$B$12="",N($Q1521)&lt;='Assignment Builder'!$B$12)))</f>
        <v/>
      </c>
      <c r="T1521" s="23" t="n"/>
    </row>
    <row r="1522">
      <c r="A1522" s="23" t="n"/>
      <c r="B1522" s="23" t="n"/>
      <c r="C1522" s="24" t="n"/>
      <c r="D1522" s="15" t="n"/>
      <c r="E1522" s="23" t="n"/>
      <c r="F1522" s="15" t="n"/>
      <c r="G1522" s="23" t="n"/>
      <c r="H1522" s="25" t="n"/>
      <c r="I1522" s="15" t="n"/>
      <c r="J1522" s="26">
        <f>IF($A1522="","",LEN($C1522)-LEN(SUBSTITUTE($C1522,",",""))+1)</f>
        <v/>
      </c>
      <c r="K1522" s="26">
        <f>IF($A1522="","",SUMPRODUCT(--ISNUMBER(SEARCH('Category Dictionary'!$D$5:$D$135&amp;"",$C1522)),--('Category Dictionary'!$D$5:$D$135&lt;&gt;"")))</f>
        <v/>
      </c>
      <c r="L1522" s="27">
        <f>IF($A1522="","",TRIM(IF(ISERROR(FIND(",",$C1522)),$C1522,LEFT($C1522,FIND(",",$C1522)-1))))</f>
        <v/>
      </c>
      <c r="M1522" s="28">
        <f>IF($H1522="","",DATE(YEAR($H1522),MONTH($H1522),1))</f>
        <v/>
      </c>
      <c r="N1522" s="26">
        <f>IF($H1522="","",TODAY()-$H1522)</f>
        <v/>
      </c>
      <c r="O1522" s="15" t="n"/>
      <c r="P1522" s="15" t="n"/>
      <c r="Q1522" s="15" t="n"/>
      <c r="R1522" s="25" t="n"/>
      <c r="S1522" s="26">
        <f>IF($A1522="","",AND(OR('Assignment Builder'!$B$5="",$B1522='Assignment Builder'!$B$5),OR('Assignment Builder'!$B$6="",ISNUMBER(SEARCH('Assignment Builder'!$B$6,$C1522))),OR('Assignment Builder'!$B$7="",'Assignment Builder'!$B$7=IFERROR(INDEX('Category Dictionary'!$C$5:$C$135,MATCH($L1522,'Category Dictionary'!$D$5:$D$135,0)),"")),OR('Assignment Builder'!$B$8="",$D1522='Assignment Builder'!$B$8),OR('Assignment Builder'!$B$9="",$F1522='Assignment Builder'!$B$9),OR('Assignment Builder'!$B$10="",$O1522='Assignment Builder'!$B$10),OR('Assignment Builder'!$B$11="",$H1522&gt;='Assignment Builder'!$B$11),OR('Assignment Builder'!$B$12="",N($Q1522)&lt;='Assignment Builder'!$B$12)))</f>
        <v/>
      </c>
      <c r="T1522" s="23" t="n"/>
    </row>
    <row r="1523">
      <c r="A1523" s="23" t="n"/>
      <c r="B1523" s="23" t="n"/>
      <c r="C1523" s="24" t="n"/>
      <c r="D1523" s="15" t="n"/>
      <c r="E1523" s="23" t="n"/>
      <c r="F1523" s="15" t="n"/>
      <c r="G1523" s="23" t="n"/>
      <c r="H1523" s="25" t="n"/>
      <c r="I1523" s="15" t="n"/>
      <c r="J1523" s="26">
        <f>IF($A1523="","",LEN($C1523)-LEN(SUBSTITUTE($C1523,",",""))+1)</f>
        <v/>
      </c>
      <c r="K1523" s="26">
        <f>IF($A1523="","",SUMPRODUCT(--ISNUMBER(SEARCH('Category Dictionary'!$D$5:$D$135&amp;"",$C1523)),--('Category Dictionary'!$D$5:$D$135&lt;&gt;"")))</f>
        <v/>
      </c>
      <c r="L1523" s="27">
        <f>IF($A1523="","",TRIM(IF(ISERROR(FIND(",",$C1523)),$C1523,LEFT($C1523,FIND(",",$C1523)-1))))</f>
        <v/>
      </c>
      <c r="M1523" s="28">
        <f>IF($H1523="","",DATE(YEAR($H1523),MONTH($H1523),1))</f>
        <v/>
      </c>
      <c r="N1523" s="26">
        <f>IF($H1523="","",TODAY()-$H1523)</f>
        <v/>
      </c>
      <c r="O1523" s="15" t="n"/>
      <c r="P1523" s="15" t="n"/>
      <c r="Q1523" s="15" t="n"/>
      <c r="R1523" s="25" t="n"/>
      <c r="S1523" s="26">
        <f>IF($A1523="","",AND(OR('Assignment Builder'!$B$5="",$B1523='Assignment Builder'!$B$5),OR('Assignment Builder'!$B$6="",ISNUMBER(SEARCH('Assignment Builder'!$B$6,$C1523))),OR('Assignment Builder'!$B$7="",'Assignment Builder'!$B$7=IFERROR(INDEX('Category Dictionary'!$C$5:$C$135,MATCH($L1523,'Category Dictionary'!$D$5:$D$135,0)),"")),OR('Assignment Builder'!$B$8="",$D1523='Assignment Builder'!$B$8),OR('Assignment Builder'!$B$9="",$F1523='Assignment Builder'!$B$9),OR('Assignment Builder'!$B$10="",$O1523='Assignment Builder'!$B$10),OR('Assignment Builder'!$B$11="",$H1523&gt;='Assignment Builder'!$B$11),OR('Assignment Builder'!$B$12="",N($Q1523)&lt;='Assignment Builder'!$B$12)))</f>
        <v/>
      </c>
      <c r="T1523" s="23" t="n"/>
    </row>
    <row r="1524">
      <c r="A1524" s="23" t="n"/>
      <c r="B1524" s="23" t="n"/>
      <c r="C1524" s="24" t="n"/>
      <c r="D1524" s="15" t="n"/>
      <c r="E1524" s="23" t="n"/>
      <c r="F1524" s="15" t="n"/>
      <c r="G1524" s="23" t="n"/>
      <c r="H1524" s="25" t="n"/>
      <c r="I1524" s="15" t="n"/>
      <c r="J1524" s="26">
        <f>IF($A1524="","",LEN($C1524)-LEN(SUBSTITUTE($C1524,",",""))+1)</f>
        <v/>
      </c>
      <c r="K1524" s="26">
        <f>IF($A1524="","",SUMPRODUCT(--ISNUMBER(SEARCH('Category Dictionary'!$D$5:$D$135&amp;"",$C1524)),--('Category Dictionary'!$D$5:$D$135&lt;&gt;"")))</f>
        <v/>
      </c>
      <c r="L1524" s="27">
        <f>IF($A1524="","",TRIM(IF(ISERROR(FIND(",",$C1524)),$C1524,LEFT($C1524,FIND(",",$C1524)-1))))</f>
        <v/>
      </c>
      <c r="M1524" s="28">
        <f>IF($H1524="","",DATE(YEAR($H1524),MONTH($H1524),1))</f>
        <v/>
      </c>
      <c r="N1524" s="26">
        <f>IF($H1524="","",TODAY()-$H1524)</f>
        <v/>
      </c>
      <c r="O1524" s="15" t="n"/>
      <c r="P1524" s="15" t="n"/>
      <c r="Q1524" s="15" t="n"/>
      <c r="R1524" s="25" t="n"/>
      <c r="S1524" s="26">
        <f>IF($A1524="","",AND(OR('Assignment Builder'!$B$5="",$B1524='Assignment Builder'!$B$5),OR('Assignment Builder'!$B$6="",ISNUMBER(SEARCH('Assignment Builder'!$B$6,$C1524))),OR('Assignment Builder'!$B$7="",'Assignment Builder'!$B$7=IFERROR(INDEX('Category Dictionary'!$C$5:$C$135,MATCH($L1524,'Category Dictionary'!$D$5:$D$135,0)),"")),OR('Assignment Builder'!$B$8="",$D1524='Assignment Builder'!$B$8),OR('Assignment Builder'!$B$9="",$F1524='Assignment Builder'!$B$9),OR('Assignment Builder'!$B$10="",$O1524='Assignment Builder'!$B$10),OR('Assignment Builder'!$B$11="",$H1524&gt;='Assignment Builder'!$B$11),OR('Assignment Builder'!$B$12="",N($Q1524)&lt;='Assignment Builder'!$B$12)))</f>
        <v/>
      </c>
      <c r="T1524" s="23" t="n"/>
    </row>
    <row r="1525">
      <c r="A1525" s="23" t="n"/>
      <c r="B1525" s="23" t="n"/>
      <c r="C1525" s="24" t="n"/>
      <c r="D1525" s="15" t="n"/>
      <c r="E1525" s="23" t="n"/>
      <c r="F1525" s="15" t="n"/>
      <c r="G1525" s="23" t="n"/>
      <c r="H1525" s="25" t="n"/>
      <c r="I1525" s="15" t="n"/>
      <c r="J1525" s="26">
        <f>IF($A1525="","",LEN($C1525)-LEN(SUBSTITUTE($C1525,",",""))+1)</f>
        <v/>
      </c>
      <c r="K1525" s="26">
        <f>IF($A1525="","",SUMPRODUCT(--ISNUMBER(SEARCH('Category Dictionary'!$D$5:$D$135&amp;"",$C1525)),--('Category Dictionary'!$D$5:$D$135&lt;&gt;"")))</f>
        <v/>
      </c>
      <c r="L1525" s="27">
        <f>IF($A1525="","",TRIM(IF(ISERROR(FIND(",",$C1525)),$C1525,LEFT($C1525,FIND(",",$C1525)-1))))</f>
        <v/>
      </c>
      <c r="M1525" s="28">
        <f>IF($H1525="","",DATE(YEAR($H1525),MONTH($H1525),1))</f>
        <v/>
      </c>
      <c r="N1525" s="26">
        <f>IF($H1525="","",TODAY()-$H1525)</f>
        <v/>
      </c>
      <c r="O1525" s="15" t="n"/>
      <c r="P1525" s="15" t="n"/>
      <c r="Q1525" s="15" t="n"/>
      <c r="R1525" s="25" t="n"/>
      <c r="S1525" s="26">
        <f>IF($A1525="","",AND(OR('Assignment Builder'!$B$5="",$B1525='Assignment Builder'!$B$5),OR('Assignment Builder'!$B$6="",ISNUMBER(SEARCH('Assignment Builder'!$B$6,$C1525))),OR('Assignment Builder'!$B$7="",'Assignment Builder'!$B$7=IFERROR(INDEX('Category Dictionary'!$C$5:$C$135,MATCH($L1525,'Category Dictionary'!$D$5:$D$135,0)),"")),OR('Assignment Builder'!$B$8="",$D1525='Assignment Builder'!$B$8),OR('Assignment Builder'!$B$9="",$F1525='Assignment Builder'!$B$9),OR('Assignment Builder'!$B$10="",$O1525='Assignment Builder'!$B$10),OR('Assignment Builder'!$B$11="",$H1525&gt;='Assignment Builder'!$B$11),OR('Assignment Builder'!$B$12="",N($Q1525)&lt;='Assignment Builder'!$B$12)))</f>
        <v/>
      </c>
      <c r="T1525" s="23" t="n"/>
    </row>
    <row r="1526">
      <c r="A1526" s="23" t="n"/>
      <c r="B1526" s="23" t="n"/>
      <c r="C1526" s="24" t="n"/>
      <c r="D1526" s="15" t="n"/>
      <c r="E1526" s="23" t="n"/>
      <c r="F1526" s="15" t="n"/>
      <c r="G1526" s="23" t="n"/>
      <c r="H1526" s="25" t="n"/>
      <c r="I1526" s="15" t="n"/>
      <c r="J1526" s="26">
        <f>IF($A1526="","",LEN($C1526)-LEN(SUBSTITUTE($C1526,",",""))+1)</f>
        <v/>
      </c>
      <c r="K1526" s="26">
        <f>IF($A1526="","",SUMPRODUCT(--ISNUMBER(SEARCH('Category Dictionary'!$D$5:$D$135&amp;"",$C1526)),--('Category Dictionary'!$D$5:$D$135&lt;&gt;"")))</f>
        <v/>
      </c>
      <c r="L1526" s="27">
        <f>IF($A1526="","",TRIM(IF(ISERROR(FIND(",",$C1526)),$C1526,LEFT($C1526,FIND(",",$C1526)-1))))</f>
        <v/>
      </c>
      <c r="M1526" s="28">
        <f>IF($H1526="","",DATE(YEAR($H1526),MONTH($H1526),1))</f>
        <v/>
      </c>
      <c r="N1526" s="26">
        <f>IF($H1526="","",TODAY()-$H1526)</f>
        <v/>
      </c>
      <c r="O1526" s="15" t="n"/>
      <c r="P1526" s="15" t="n"/>
      <c r="Q1526" s="15" t="n"/>
      <c r="R1526" s="25" t="n"/>
      <c r="S1526" s="26">
        <f>IF($A1526="","",AND(OR('Assignment Builder'!$B$5="",$B1526='Assignment Builder'!$B$5),OR('Assignment Builder'!$B$6="",ISNUMBER(SEARCH('Assignment Builder'!$B$6,$C1526))),OR('Assignment Builder'!$B$7="",'Assignment Builder'!$B$7=IFERROR(INDEX('Category Dictionary'!$C$5:$C$135,MATCH($L1526,'Category Dictionary'!$D$5:$D$135,0)),"")),OR('Assignment Builder'!$B$8="",$D1526='Assignment Builder'!$B$8),OR('Assignment Builder'!$B$9="",$F1526='Assignment Builder'!$B$9),OR('Assignment Builder'!$B$10="",$O1526='Assignment Builder'!$B$10),OR('Assignment Builder'!$B$11="",$H1526&gt;='Assignment Builder'!$B$11),OR('Assignment Builder'!$B$12="",N($Q1526)&lt;='Assignment Builder'!$B$12)))</f>
        <v/>
      </c>
      <c r="T1526" s="23" t="n"/>
    </row>
    <row r="1527">
      <c r="A1527" s="23" t="n"/>
      <c r="B1527" s="23" t="n"/>
      <c r="C1527" s="24" t="n"/>
      <c r="D1527" s="15" t="n"/>
      <c r="E1527" s="23" t="n"/>
      <c r="F1527" s="15" t="n"/>
      <c r="G1527" s="23" t="n"/>
      <c r="H1527" s="25" t="n"/>
      <c r="I1527" s="15" t="n"/>
      <c r="J1527" s="26">
        <f>IF($A1527="","",LEN($C1527)-LEN(SUBSTITUTE($C1527,",",""))+1)</f>
        <v/>
      </c>
      <c r="K1527" s="26">
        <f>IF($A1527="","",SUMPRODUCT(--ISNUMBER(SEARCH('Category Dictionary'!$D$5:$D$135&amp;"",$C1527)),--('Category Dictionary'!$D$5:$D$135&lt;&gt;"")))</f>
        <v/>
      </c>
      <c r="L1527" s="27">
        <f>IF($A1527="","",TRIM(IF(ISERROR(FIND(",",$C1527)),$C1527,LEFT($C1527,FIND(",",$C1527)-1))))</f>
        <v/>
      </c>
      <c r="M1527" s="28">
        <f>IF($H1527="","",DATE(YEAR($H1527),MONTH($H1527),1))</f>
        <v/>
      </c>
      <c r="N1527" s="26">
        <f>IF($H1527="","",TODAY()-$H1527)</f>
        <v/>
      </c>
      <c r="O1527" s="15" t="n"/>
      <c r="P1527" s="15" t="n"/>
      <c r="Q1527" s="15" t="n"/>
      <c r="R1527" s="25" t="n"/>
      <c r="S1527" s="26">
        <f>IF($A1527="","",AND(OR('Assignment Builder'!$B$5="",$B1527='Assignment Builder'!$B$5),OR('Assignment Builder'!$B$6="",ISNUMBER(SEARCH('Assignment Builder'!$B$6,$C1527))),OR('Assignment Builder'!$B$7="",'Assignment Builder'!$B$7=IFERROR(INDEX('Category Dictionary'!$C$5:$C$135,MATCH($L1527,'Category Dictionary'!$D$5:$D$135,0)),"")),OR('Assignment Builder'!$B$8="",$D1527='Assignment Builder'!$B$8),OR('Assignment Builder'!$B$9="",$F1527='Assignment Builder'!$B$9),OR('Assignment Builder'!$B$10="",$O1527='Assignment Builder'!$B$10),OR('Assignment Builder'!$B$11="",$H1527&gt;='Assignment Builder'!$B$11),OR('Assignment Builder'!$B$12="",N($Q1527)&lt;='Assignment Builder'!$B$12)))</f>
        <v/>
      </c>
      <c r="T1527" s="23" t="n"/>
    </row>
    <row r="1528">
      <c r="A1528" s="23" t="n"/>
      <c r="B1528" s="23" t="n"/>
      <c r="C1528" s="24" t="n"/>
      <c r="D1528" s="15" t="n"/>
      <c r="E1528" s="23" t="n"/>
      <c r="F1528" s="15" t="n"/>
      <c r="G1528" s="23" t="n"/>
      <c r="H1528" s="25" t="n"/>
      <c r="I1528" s="15" t="n"/>
      <c r="J1528" s="26">
        <f>IF($A1528="","",LEN($C1528)-LEN(SUBSTITUTE($C1528,",",""))+1)</f>
        <v/>
      </c>
      <c r="K1528" s="26">
        <f>IF($A1528="","",SUMPRODUCT(--ISNUMBER(SEARCH('Category Dictionary'!$D$5:$D$135&amp;"",$C1528)),--('Category Dictionary'!$D$5:$D$135&lt;&gt;"")))</f>
        <v/>
      </c>
      <c r="L1528" s="27">
        <f>IF($A1528="","",TRIM(IF(ISERROR(FIND(",",$C1528)),$C1528,LEFT($C1528,FIND(",",$C1528)-1))))</f>
        <v/>
      </c>
      <c r="M1528" s="28">
        <f>IF($H1528="","",DATE(YEAR($H1528),MONTH($H1528),1))</f>
        <v/>
      </c>
      <c r="N1528" s="26">
        <f>IF($H1528="","",TODAY()-$H1528)</f>
        <v/>
      </c>
      <c r="O1528" s="15" t="n"/>
      <c r="P1528" s="15" t="n"/>
      <c r="Q1528" s="15" t="n"/>
      <c r="R1528" s="25" t="n"/>
      <c r="S1528" s="26">
        <f>IF($A1528="","",AND(OR('Assignment Builder'!$B$5="",$B1528='Assignment Builder'!$B$5),OR('Assignment Builder'!$B$6="",ISNUMBER(SEARCH('Assignment Builder'!$B$6,$C1528))),OR('Assignment Builder'!$B$7="",'Assignment Builder'!$B$7=IFERROR(INDEX('Category Dictionary'!$C$5:$C$135,MATCH($L1528,'Category Dictionary'!$D$5:$D$135,0)),"")),OR('Assignment Builder'!$B$8="",$D1528='Assignment Builder'!$B$8),OR('Assignment Builder'!$B$9="",$F1528='Assignment Builder'!$B$9),OR('Assignment Builder'!$B$10="",$O1528='Assignment Builder'!$B$10),OR('Assignment Builder'!$B$11="",$H1528&gt;='Assignment Builder'!$B$11),OR('Assignment Builder'!$B$12="",N($Q1528)&lt;='Assignment Builder'!$B$12)))</f>
        <v/>
      </c>
      <c r="T1528" s="23" t="n"/>
    </row>
    <row r="1529">
      <c r="A1529" s="23" t="n"/>
      <c r="B1529" s="23" t="n"/>
      <c r="C1529" s="24" t="n"/>
      <c r="D1529" s="15" t="n"/>
      <c r="E1529" s="23" t="n"/>
      <c r="F1529" s="15" t="n"/>
      <c r="G1529" s="23" t="n"/>
      <c r="H1529" s="25" t="n"/>
      <c r="I1529" s="15" t="n"/>
      <c r="J1529" s="26">
        <f>IF($A1529="","",LEN($C1529)-LEN(SUBSTITUTE($C1529,",",""))+1)</f>
        <v/>
      </c>
      <c r="K1529" s="26">
        <f>IF($A1529="","",SUMPRODUCT(--ISNUMBER(SEARCH('Category Dictionary'!$D$5:$D$135&amp;"",$C1529)),--('Category Dictionary'!$D$5:$D$135&lt;&gt;"")))</f>
        <v/>
      </c>
      <c r="L1529" s="27">
        <f>IF($A1529="","",TRIM(IF(ISERROR(FIND(",",$C1529)),$C1529,LEFT($C1529,FIND(",",$C1529)-1))))</f>
        <v/>
      </c>
      <c r="M1529" s="28">
        <f>IF($H1529="","",DATE(YEAR($H1529),MONTH($H1529),1))</f>
        <v/>
      </c>
      <c r="N1529" s="26">
        <f>IF($H1529="","",TODAY()-$H1529)</f>
        <v/>
      </c>
      <c r="O1529" s="15" t="n"/>
      <c r="P1529" s="15" t="n"/>
      <c r="Q1529" s="15" t="n"/>
      <c r="R1529" s="25" t="n"/>
      <c r="S1529" s="26">
        <f>IF($A1529="","",AND(OR('Assignment Builder'!$B$5="",$B1529='Assignment Builder'!$B$5),OR('Assignment Builder'!$B$6="",ISNUMBER(SEARCH('Assignment Builder'!$B$6,$C1529))),OR('Assignment Builder'!$B$7="",'Assignment Builder'!$B$7=IFERROR(INDEX('Category Dictionary'!$C$5:$C$135,MATCH($L1529,'Category Dictionary'!$D$5:$D$135,0)),"")),OR('Assignment Builder'!$B$8="",$D1529='Assignment Builder'!$B$8),OR('Assignment Builder'!$B$9="",$F1529='Assignment Builder'!$B$9),OR('Assignment Builder'!$B$10="",$O1529='Assignment Builder'!$B$10),OR('Assignment Builder'!$B$11="",$H1529&gt;='Assignment Builder'!$B$11),OR('Assignment Builder'!$B$12="",N($Q1529)&lt;='Assignment Builder'!$B$12)))</f>
        <v/>
      </c>
      <c r="T1529" s="23" t="n"/>
    </row>
    <row r="1530">
      <c r="A1530" s="23" t="n"/>
      <c r="B1530" s="23" t="n"/>
      <c r="C1530" s="24" t="n"/>
      <c r="D1530" s="15" t="n"/>
      <c r="E1530" s="23" t="n"/>
      <c r="F1530" s="15" t="n"/>
      <c r="G1530" s="23" t="n"/>
      <c r="H1530" s="25" t="n"/>
      <c r="I1530" s="15" t="n"/>
      <c r="J1530" s="26">
        <f>IF($A1530="","",LEN($C1530)-LEN(SUBSTITUTE($C1530,",",""))+1)</f>
        <v/>
      </c>
      <c r="K1530" s="26">
        <f>IF($A1530="","",SUMPRODUCT(--ISNUMBER(SEARCH('Category Dictionary'!$D$5:$D$135&amp;"",$C1530)),--('Category Dictionary'!$D$5:$D$135&lt;&gt;"")))</f>
        <v/>
      </c>
      <c r="L1530" s="27">
        <f>IF($A1530="","",TRIM(IF(ISERROR(FIND(",",$C1530)),$C1530,LEFT($C1530,FIND(",",$C1530)-1))))</f>
        <v/>
      </c>
      <c r="M1530" s="28">
        <f>IF($H1530="","",DATE(YEAR($H1530),MONTH($H1530),1))</f>
        <v/>
      </c>
      <c r="N1530" s="26">
        <f>IF($H1530="","",TODAY()-$H1530)</f>
        <v/>
      </c>
      <c r="O1530" s="15" t="n"/>
      <c r="P1530" s="15" t="n"/>
      <c r="Q1530" s="15" t="n"/>
      <c r="R1530" s="25" t="n"/>
      <c r="S1530" s="26">
        <f>IF($A1530="","",AND(OR('Assignment Builder'!$B$5="",$B1530='Assignment Builder'!$B$5),OR('Assignment Builder'!$B$6="",ISNUMBER(SEARCH('Assignment Builder'!$B$6,$C1530))),OR('Assignment Builder'!$B$7="",'Assignment Builder'!$B$7=IFERROR(INDEX('Category Dictionary'!$C$5:$C$135,MATCH($L1530,'Category Dictionary'!$D$5:$D$135,0)),"")),OR('Assignment Builder'!$B$8="",$D1530='Assignment Builder'!$B$8),OR('Assignment Builder'!$B$9="",$F1530='Assignment Builder'!$B$9),OR('Assignment Builder'!$B$10="",$O1530='Assignment Builder'!$B$10),OR('Assignment Builder'!$B$11="",$H1530&gt;='Assignment Builder'!$B$11),OR('Assignment Builder'!$B$12="",N($Q1530)&lt;='Assignment Builder'!$B$12)))</f>
        <v/>
      </c>
      <c r="T1530" s="23" t="n"/>
    </row>
    <row r="1531">
      <c r="A1531" s="23" t="n"/>
      <c r="B1531" s="23" t="n"/>
      <c r="C1531" s="24" t="n"/>
      <c r="D1531" s="15" t="n"/>
      <c r="E1531" s="23" t="n"/>
      <c r="F1531" s="15" t="n"/>
      <c r="G1531" s="23" t="n"/>
      <c r="H1531" s="25" t="n"/>
      <c r="I1531" s="15" t="n"/>
      <c r="J1531" s="26">
        <f>IF($A1531="","",LEN($C1531)-LEN(SUBSTITUTE($C1531,",",""))+1)</f>
        <v/>
      </c>
      <c r="K1531" s="26">
        <f>IF($A1531="","",SUMPRODUCT(--ISNUMBER(SEARCH('Category Dictionary'!$D$5:$D$135&amp;"",$C1531)),--('Category Dictionary'!$D$5:$D$135&lt;&gt;"")))</f>
        <v/>
      </c>
      <c r="L1531" s="27">
        <f>IF($A1531="","",TRIM(IF(ISERROR(FIND(",",$C1531)),$C1531,LEFT($C1531,FIND(",",$C1531)-1))))</f>
        <v/>
      </c>
      <c r="M1531" s="28">
        <f>IF($H1531="","",DATE(YEAR($H1531),MONTH($H1531),1))</f>
        <v/>
      </c>
      <c r="N1531" s="26">
        <f>IF($H1531="","",TODAY()-$H1531)</f>
        <v/>
      </c>
      <c r="O1531" s="15" t="n"/>
      <c r="P1531" s="15" t="n"/>
      <c r="Q1531" s="15" t="n"/>
      <c r="R1531" s="25" t="n"/>
      <c r="S1531" s="26">
        <f>IF($A1531="","",AND(OR('Assignment Builder'!$B$5="",$B1531='Assignment Builder'!$B$5),OR('Assignment Builder'!$B$6="",ISNUMBER(SEARCH('Assignment Builder'!$B$6,$C1531))),OR('Assignment Builder'!$B$7="",'Assignment Builder'!$B$7=IFERROR(INDEX('Category Dictionary'!$C$5:$C$135,MATCH($L1531,'Category Dictionary'!$D$5:$D$135,0)),"")),OR('Assignment Builder'!$B$8="",$D1531='Assignment Builder'!$B$8),OR('Assignment Builder'!$B$9="",$F1531='Assignment Builder'!$B$9),OR('Assignment Builder'!$B$10="",$O1531='Assignment Builder'!$B$10),OR('Assignment Builder'!$B$11="",$H1531&gt;='Assignment Builder'!$B$11),OR('Assignment Builder'!$B$12="",N($Q1531)&lt;='Assignment Builder'!$B$12)))</f>
        <v/>
      </c>
      <c r="T1531" s="23" t="n"/>
    </row>
    <row r="1532">
      <c r="A1532" s="23" t="n"/>
      <c r="B1532" s="23" t="n"/>
      <c r="C1532" s="24" t="n"/>
      <c r="D1532" s="15" t="n"/>
      <c r="E1532" s="23" t="n"/>
      <c r="F1532" s="15" t="n"/>
      <c r="G1532" s="23" t="n"/>
      <c r="H1532" s="25" t="n"/>
      <c r="I1532" s="15" t="n"/>
      <c r="J1532" s="26">
        <f>IF($A1532="","",LEN($C1532)-LEN(SUBSTITUTE($C1532,",",""))+1)</f>
        <v/>
      </c>
      <c r="K1532" s="26">
        <f>IF($A1532="","",SUMPRODUCT(--ISNUMBER(SEARCH('Category Dictionary'!$D$5:$D$135&amp;"",$C1532)),--('Category Dictionary'!$D$5:$D$135&lt;&gt;"")))</f>
        <v/>
      </c>
      <c r="L1532" s="27">
        <f>IF($A1532="","",TRIM(IF(ISERROR(FIND(",",$C1532)),$C1532,LEFT($C1532,FIND(",",$C1532)-1))))</f>
        <v/>
      </c>
      <c r="M1532" s="28">
        <f>IF($H1532="","",DATE(YEAR($H1532),MONTH($H1532),1))</f>
        <v/>
      </c>
      <c r="N1532" s="26">
        <f>IF($H1532="","",TODAY()-$H1532)</f>
        <v/>
      </c>
      <c r="O1532" s="15" t="n"/>
      <c r="P1532" s="15" t="n"/>
      <c r="Q1532" s="15" t="n"/>
      <c r="R1532" s="25" t="n"/>
      <c r="S1532" s="26">
        <f>IF($A1532="","",AND(OR('Assignment Builder'!$B$5="",$B1532='Assignment Builder'!$B$5),OR('Assignment Builder'!$B$6="",ISNUMBER(SEARCH('Assignment Builder'!$B$6,$C1532))),OR('Assignment Builder'!$B$7="",'Assignment Builder'!$B$7=IFERROR(INDEX('Category Dictionary'!$C$5:$C$135,MATCH($L1532,'Category Dictionary'!$D$5:$D$135,0)),"")),OR('Assignment Builder'!$B$8="",$D1532='Assignment Builder'!$B$8),OR('Assignment Builder'!$B$9="",$F1532='Assignment Builder'!$B$9),OR('Assignment Builder'!$B$10="",$O1532='Assignment Builder'!$B$10),OR('Assignment Builder'!$B$11="",$H1532&gt;='Assignment Builder'!$B$11),OR('Assignment Builder'!$B$12="",N($Q1532)&lt;='Assignment Builder'!$B$12)))</f>
        <v/>
      </c>
      <c r="T1532" s="23" t="n"/>
    </row>
    <row r="1533">
      <c r="A1533" s="23" t="n"/>
      <c r="B1533" s="23" t="n"/>
      <c r="C1533" s="24" t="n"/>
      <c r="D1533" s="15" t="n"/>
      <c r="E1533" s="23" t="n"/>
      <c r="F1533" s="15" t="n"/>
      <c r="G1533" s="23" t="n"/>
      <c r="H1533" s="25" t="n"/>
      <c r="I1533" s="15" t="n"/>
      <c r="J1533" s="26">
        <f>IF($A1533="","",LEN($C1533)-LEN(SUBSTITUTE($C1533,",",""))+1)</f>
        <v/>
      </c>
      <c r="K1533" s="26">
        <f>IF($A1533="","",SUMPRODUCT(--ISNUMBER(SEARCH('Category Dictionary'!$D$5:$D$135&amp;"",$C1533)),--('Category Dictionary'!$D$5:$D$135&lt;&gt;"")))</f>
        <v/>
      </c>
      <c r="L1533" s="27">
        <f>IF($A1533="","",TRIM(IF(ISERROR(FIND(",",$C1533)),$C1533,LEFT($C1533,FIND(",",$C1533)-1))))</f>
        <v/>
      </c>
      <c r="M1533" s="28">
        <f>IF($H1533="","",DATE(YEAR($H1533),MONTH($H1533),1))</f>
        <v/>
      </c>
      <c r="N1533" s="26">
        <f>IF($H1533="","",TODAY()-$H1533)</f>
        <v/>
      </c>
      <c r="O1533" s="15" t="n"/>
      <c r="P1533" s="15" t="n"/>
      <c r="Q1533" s="15" t="n"/>
      <c r="R1533" s="25" t="n"/>
      <c r="S1533" s="26">
        <f>IF($A1533="","",AND(OR('Assignment Builder'!$B$5="",$B1533='Assignment Builder'!$B$5),OR('Assignment Builder'!$B$6="",ISNUMBER(SEARCH('Assignment Builder'!$B$6,$C1533))),OR('Assignment Builder'!$B$7="",'Assignment Builder'!$B$7=IFERROR(INDEX('Category Dictionary'!$C$5:$C$135,MATCH($L1533,'Category Dictionary'!$D$5:$D$135,0)),"")),OR('Assignment Builder'!$B$8="",$D1533='Assignment Builder'!$B$8),OR('Assignment Builder'!$B$9="",$F1533='Assignment Builder'!$B$9),OR('Assignment Builder'!$B$10="",$O1533='Assignment Builder'!$B$10),OR('Assignment Builder'!$B$11="",$H1533&gt;='Assignment Builder'!$B$11),OR('Assignment Builder'!$B$12="",N($Q1533)&lt;='Assignment Builder'!$B$12)))</f>
        <v/>
      </c>
      <c r="T1533" s="23" t="n"/>
    </row>
    <row r="1534">
      <c r="A1534" s="23" t="n"/>
      <c r="B1534" s="23" t="n"/>
      <c r="C1534" s="24" t="n"/>
      <c r="D1534" s="15" t="n"/>
      <c r="E1534" s="23" t="n"/>
      <c r="F1534" s="15" t="n"/>
      <c r="G1534" s="23" t="n"/>
      <c r="H1534" s="25" t="n"/>
      <c r="I1534" s="15" t="n"/>
      <c r="J1534" s="26">
        <f>IF($A1534="","",LEN($C1534)-LEN(SUBSTITUTE($C1534,",",""))+1)</f>
        <v/>
      </c>
      <c r="K1534" s="26">
        <f>IF($A1534="","",SUMPRODUCT(--ISNUMBER(SEARCH('Category Dictionary'!$D$5:$D$135&amp;"",$C1534)),--('Category Dictionary'!$D$5:$D$135&lt;&gt;"")))</f>
        <v/>
      </c>
      <c r="L1534" s="27">
        <f>IF($A1534="","",TRIM(IF(ISERROR(FIND(",",$C1534)),$C1534,LEFT($C1534,FIND(",",$C1534)-1))))</f>
        <v/>
      </c>
      <c r="M1534" s="28">
        <f>IF($H1534="","",DATE(YEAR($H1534),MONTH($H1534),1))</f>
        <v/>
      </c>
      <c r="N1534" s="26">
        <f>IF($H1534="","",TODAY()-$H1534)</f>
        <v/>
      </c>
      <c r="O1534" s="15" t="n"/>
      <c r="P1534" s="15" t="n"/>
      <c r="Q1534" s="15" t="n"/>
      <c r="R1534" s="25" t="n"/>
      <c r="S1534" s="26">
        <f>IF($A1534="","",AND(OR('Assignment Builder'!$B$5="",$B1534='Assignment Builder'!$B$5),OR('Assignment Builder'!$B$6="",ISNUMBER(SEARCH('Assignment Builder'!$B$6,$C1534))),OR('Assignment Builder'!$B$7="",'Assignment Builder'!$B$7=IFERROR(INDEX('Category Dictionary'!$C$5:$C$135,MATCH($L1534,'Category Dictionary'!$D$5:$D$135,0)),"")),OR('Assignment Builder'!$B$8="",$D1534='Assignment Builder'!$B$8),OR('Assignment Builder'!$B$9="",$F1534='Assignment Builder'!$B$9),OR('Assignment Builder'!$B$10="",$O1534='Assignment Builder'!$B$10),OR('Assignment Builder'!$B$11="",$H1534&gt;='Assignment Builder'!$B$11),OR('Assignment Builder'!$B$12="",N($Q1534)&lt;='Assignment Builder'!$B$12)))</f>
        <v/>
      </c>
      <c r="T1534" s="23" t="n"/>
    </row>
    <row r="1535">
      <c r="A1535" s="23" t="n"/>
      <c r="B1535" s="23" t="n"/>
      <c r="C1535" s="24" t="n"/>
      <c r="D1535" s="15" t="n"/>
      <c r="E1535" s="23" t="n"/>
      <c r="F1535" s="15" t="n"/>
      <c r="G1535" s="23" t="n"/>
      <c r="H1535" s="25" t="n"/>
      <c r="I1535" s="15" t="n"/>
      <c r="J1535" s="26">
        <f>IF($A1535="","",LEN($C1535)-LEN(SUBSTITUTE($C1535,",",""))+1)</f>
        <v/>
      </c>
      <c r="K1535" s="26">
        <f>IF($A1535="","",SUMPRODUCT(--ISNUMBER(SEARCH('Category Dictionary'!$D$5:$D$135&amp;"",$C1535)),--('Category Dictionary'!$D$5:$D$135&lt;&gt;"")))</f>
        <v/>
      </c>
      <c r="L1535" s="27">
        <f>IF($A1535="","",TRIM(IF(ISERROR(FIND(",",$C1535)),$C1535,LEFT($C1535,FIND(",",$C1535)-1))))</f>
        <v/>
      </c>
      <c r="M1535" s="28">
        <f>IF($H1535="","",DATE(YEAR($H1535),MONTH($H1535),1))</f>
        <v/>
      </c>
      <c r="N1535" s="26">
        <f>IF($H1535="","",TODAY()-$H1535)</f>
        <v/>
      </c>
      <c r="O1535" s="15" t="n"/>
      <c r="P1535" s="15" t="n"/>
      <c r="Q1535" s="15" t="n"/>
      <c r="R1535" s="25" t="n"/>
      <c r="S1535" s="26">
        <f>IF($A1535="","",AND(OR('Assignment Builder'!$B$5="",$B1535='Assignment Builder'!$B$5),OR('Assignment Builder'!$B$6="",ISNUMBER(SEARCH('Assignment Builder'!$B$6,$C1535))),OR('Assignment Builder'!$B$7="",'Assignment Builder'!$B$7=IFERROR(INDEX('Category Dictionary'!$C$5:$C$135,MATCH($L1535,'Category Dictionary'!$D$5:$D$135,0)),"")),OR('Assignment Builder'!$B$8="",$D1535='Assignment Builder'!$B$8),OR('Assignment Builder'!$B$9="",$F1535='Assignment Builder'!$B$9),OR('Assignment Builder'!$B$10="",$O1535='Assignment Builder'!$B$10),OR('Assignment Builder'!$B$11="",$H1535&gt;='Assignment Builder'!$B$11),OR('Assignment Builder'!$B$12="",N($Q1535)&lt;='Assignment Builder'!$B$12)))</f>
        <v/>
      </c>
      <c r="T1535" s="23" t="n"/>
    </row>
    <row r="1536">
      <c r="A1536" s="23" t="n"/>
      <c r="B1536" s="23" t="n"/>
      <c r="C1536" s="24" t="n"/>
      <c r="D1536" s="15" t="n"/>
      <c r="E1536" s="23" t="n"/>
      <c r="F1536" s="15" t="n"/>
      <c r="G1536" s="23" t="n"/>
      <c r="H1536" s="25" t="n"/>
      <c r="I1536" s="15" t="n"/>
      <c r="J1536" s="26">
        <f>IF($A1536="","",LEN($C1536)-LEN(SUBSTITUTE($C1536,",",""))+1)</f>
        <v/>
      </c>
      <c r="K1536" s="26">
        <f>IF($A1536="","",SUMPRODUCT(--ISNUMBER(SEARCH('Category Dictionary'!$D$5:$D$135&amp;"",$C1536)),--('Category Dictionary'!$D$5:$D$135&lt;&gt;"")))</f>
        <v/>
      </c>
      <c r="L1536" s="27">
        <f>IF($A1536="","",TRIM(IF(ISERROR(FIND(",",$C1536)),$C1536,LEFT($C1536,FIND(",",$C1536)-1))))</f>
        <v/>
      </c>
      <c r="M1536" s="28">
        <f>IF($H1536="","",DATE(YEAR($H1536),MONTH($H1536),1))</f>
        <v/>
      </c>
      <c r="N1536" s="26">
        <f>IF($H1536="","",TODAY()-$H1536)</f>
        <v/>
      </c>
      <c r="O1536" s="15" t="n"/>
      <c r="P1536" s="15" t="n"/>
      <c r="Q1536" s="15" t="n"/>
      <c r="R1536" s="25" t="n"/>
      <c r="S1536" s="26">
        <f>IF($A1536="","",AND(OR('Assignment Builder'!$B$5="",$B1536='Assignment Builder'!$B$5),OR('Assignment Builder'!$B$6="",ISNUMBER(SEARCH('Assignment Builder'!$B$6,$C1536))),OR('Assignment Builder'!$B$7="",'Assignment Builder'!$B$7=IFERROR(INDEX('Category Dictionary'!$C$5:$C$135,MATCH($L1536,'Category Dictionary'!$D$5:$D$135,0)),"")),OR('Assignment Builder'!$B$8="",$D1536='Assignment Builder'!$B$8),OR('Assignment Builder'!$B$9="",$F1536='Assignment Builder'!$B$9),OR('Assignment Builder'!$B$10="",$O1536='Assignment Builder'!$B$10),OR('Assignment Builder'!$B$11="",$H1536&gt;='Assignment Builder'!$B$11),OR('Assignment Builder'!$B$12="",N($Q1536)&lt;='Assignment Builder'!$B$12)))</f>
        <v/>
      </c>
      <c r="T1536" s="23" t="n"/>
    </row>
    <row r="1537">
      <c r="A1537" s="23" t="n"/>
      <c r="B1537" s="23" t="n"/>
      <c r="C1537" s="24" t="n"/>
      <c r="D1537" s="15" t="n"/>
      <c r="E1537" s="23" t="n"/>
      <c r="F1537" s="15" t="n"/>
      <c r="G1537" s="23" t="n"/>
      <c r="H1537" s="25" t="n"/>
      <c r="I1537" s="15" t="n"/>
      <c r="J1537" s="26">
        <f>IF($A1537="","",LEN($C1537)-LEN(SUBSTITUTE($C1537,",",""))+1)</f>
        <v/>
      </c>
      <c r="K1537" s="26">
        <f>IF($A1537="","",SUMPRODUCT(--ISNUMBER(SEARCH('Category Dictionary'!$D$5:$D$135&amp;"",$C1537)),--('Category Dictionary'!$D$5:$D$135&lt;&gt;"")))</f>
        <v/>
      </c>
      <c r="L1537" s="27">
        <f>IF($A1537="","",TRIM(IF(ISERROR(FIND(",",$C1537)),$C1537,LEFT($C1537,FIND(",",$C1537)-1))))</f>
        <v/>
      </c>
      <c r="M1537" s="28">
        <f>IF($H1537="","",DATE(YEAR($H1537),MONTH($H1537),1))</f>
        <v/>
      </c>
      <c r="N1537" s="26">
        <f>IF($H1537="","",TODAY()-$H1537)</f>
        <v/>
      </c>
      <c r="O1537" s="15" t="n"/>
      <c r="P1537" s="15" t="n"/>
      <c r="Q1537" s="15" t="n"/>
      <c r="R1537" s="25" t="n"/>
      <c r="S1537" s="26">
        <f>IF($A1537="","",AND(OR('Assignment Builder'!$B$5="",$B1537='Assignment Builder'!$B$5),OR('Assignment Builder'!$B$6="",ISNUMBER(SEARCH('Assignment Builder'!$B$6,$C1537))),OR('Assignment Builder'!$B$7="",'Assignment Builder'!$B$7=IFERROR(INDEX('Category Dictionary'!$C$5:$C$135,MATCH($L1537,'Category Dictionary'!$D$5:$D$135,0)),"")),OR('Assignment Builder'!$B$8="",$D1537='Assignment Builder'!$B$8),OR('Assignment Builder'!$B$9="",$F1537='Assignment Builder'!$B$9),OR('Assignment Builder'!$B$10="",$O1537='Assignment Builder'!$B$10),OR('Assignment Builder'!$B$11="",$H1537&gt;='Assignment Builder'!$B$11),OR('Assignment Builder'!$B$12="",N($Q1537)&lt;='Assignment Builder'!$B$12)))</f>
        <v/>
      </c>
      <c r="T1537" s="23" t="n"/>
    </row>
    <row r="1538">
      <c r="A1538" s="23" t="n"/>
      <c r="B1538" s="23" t="n"/>
      <c r="C1538" s="24" t="n"/>
      <c r="D1538" s="15" t="n"/>
      <c r="E1538" s="23" t="n"/>
      <c r="F1538" s="15" t="n"/>
      <c r="G1538" s="23" t="n"/>
      <c r="H1538" s="25" t="n"/>
      <c r="I1538" s="15" t="n"/>
      <c r="J1538" s="26">
        <f>IF($A1538="","",LEN($C1538)-LEN(SUBSTITUTE($C1538,",",""))+1)</f>
        <v/>
      </c>
      <c r="K1538" s="26">
        <f>IF($A1538="","",SUMPRODUCT(--ISNUMBER(SEARCH('Category Dictionary'!$D$5:$D$135&amp;"",$C1538)),--('Category Dictionary'!$D$5:$D$135&lt;&gt;"")))</f>
        <v/>
      </c>
      <c r="L1538" s="27">
        <f>IF($A1538="","",TRIM(IF(ISERROR(FIND(",",$C1538)),$C1538,LEFT($C1538,FIND(",",$C1538)-1))))</f>
        <v/>
      </c>
      <c r="M1538" s="28">
        <f>IF($H1538="","",DATE(YEAR($H1538),MONTH($H1538),1))</f>
        <v/>
      </c>
      <c r="N1538" s="26">
        <f>IF($H1538="","",TODAY()-$H1538)</f>
        <v/>
      </c>
      <c r="O1538" s="15" t="n"/>
      <c r="P1538" s="15" t="n"/>
      <c r="Q1538" s="15" t="n"/>
      <c r="R1538" s="25" t="n"/>
      <c r="S1538" s="26">
        <f>IF($A1538="","",AND(OR('Assignment Builder'!$B$5="",$B1538='Assignment Builder'!$B$5),OR('Assignment Builder'!$B$6="",ISNUMBER(SEARCH('Assignment Builder'!$B$6,$C1538))),OR('Assignment Builder'!$B$7="",'Assignment Builder'!$B$7=IFERROR(INDEX('Category Dictionary'!$C$5:$C$135,MATCH($L1538,'Category Dictionary'!$D$5:$D$135,0)),"")),OR('Assignment Builder'!$B$8="",$D1538='Assignment Builder'!$B$8),OR('Assignment Builder'!$B$9="",$F1538='Assignment Builder'!$B$9),OR('Assignment Builder'!$B$10="",$O1538='Assignment Builder'!$B$10),OR('Assignment Builder'!$B$11="",$H1538&gt;='Assignment Builder'!$B$11),OR('Assignment Builder'!$B$12="",N($Q1538)&lt;='Assignment Builder'!$B$12)))</f>
        <v/>
      </c>
      <c r="T1538" s="23" t="n"/>
    </row>
    <row r="1539">
      <c r="A1539" s="23" t="n"/>
      <c r="B1539" s="23" t="n"/>
      <c r="C1539" s="24" t="n"/>
      <c r="D1539" s="15" t="n"/>
      <c r="E1539" s="23" t="n"/>
      <c r="F1539" s="15" t="n"/>
      <c r="G1539" s="23" t="n"/>
      <c r="H1539" s="25" t="n"/>
      <c r="I1539" s="15" t="n"/>
      <c r="J1539" s="26">
        <f>IF($A1539="","",LEN($C1539)-LEN(SUBSTITUTE($C1539,",",""))+1)</f>
        <v/>
      </c>
      <c r="K1539" s="26">
        <f>IF($A1539="","",SUMPRODUCT(--ISNUMBER(SEARCH('Category Dictionary'!$D$5:$D$135&amp;"",$C1539)),--('Category Dictionary'!$D$5:$D$135&lt;&gt;"")))</f>
        <v/>
      </c>
      <c r="L1539" s="27">
        <f>IF($A1539="","",TRIM(IF(ISERROR(FIND(",",$C1539)),$C1539,LEFT($C1539,FIND(",",$C1539)-1))))</f>
        <v/>
      </c>
      <c r="M1539" s="28">
        <f>IF($H1539="","",DATE(YEAR($H1539),MONTH($H1539),1))</f>
        <v/>
      </c>
      <c r="N1539" s="26">
        <f>IF($H1539="","",TODAY()-$H1539)</f>
        <v/>
      </c>
      <c r="O1539" s="15" t="n"/>
      <c r="P1539" s="15" t="n"/>
      <c r="Q1539" s="15" t="n"/>
      <c r="R1539" s="25" t="n"/>
      <c r="S1539" s="26">
        <f>IF($A1539="","",AND(OR('Assignment Builder'!$B$5="",$B1539='Assignment Builder'!$B$5),OR('Assignment Builder'!$B$6="",ISNUMBER(SEARCH('Assignment Builder'!$B$6,$C1539))),OR('Assignment Builder'!$B$7="",'Assignment Builder'!$B$7=IFERROR(INDEX('Category Dictionary'!$C$5:$C$135,MATCH($L1539,'Category Dictionary'!$D$5:$D$135,0)),"")),OR('Assignment Builder'!$B$8="",$D1539='Assignment Builder'!$B$8),OR('Assignment Builder'!$B$9="",$F1539='Assignment Builder'!$B$9),OR('Assignment Builder'!$B$10="",$O1539='Assignment Builder'!$B$10),OR('Assignment Builder'!$B$11="",$H1539&gt;='Assignment Builder'!$B$11),OR('Assignment Builder'!$B$12="",N($Q1539)&lt;='Assignment Builder'!$B$12)))</f>
        <v/>
      </c>
      <c r="T1539" s="23" t="n"/>
    </row>
    <row r="1540">
      <c r="A1540" s="23" t="n"/>
      <c r="B1540" s="23" t="n"/>
      <c r="C1540" s="24" t="n"/>
      <c r="D1540" s="15" t="n"/>
      <c r="E1540" s="23" t="n"/>
      <c r="F1540" s="15" t="n"/>
      <c r="G1540" s="23" t="n"/>
      <c r="H1540" s="25" t="n"/>
      <c r="I1540" s="15" t="n"/>
      <c r="J1540" s="26">
        <f>IF($A1540="","",LEN($C1540)-LEN(SUBSTITUTE($C1540,",",""))+1)</f>
        <v/>
      </c>
      <c r="K1540" s="26">
        <f>IF($A1540="","",SUMPRODUCT(--ISNUMBER(SEARCH('Category Dictionary'!$D$5:$D$135&amp;"",$C1540)),--('Category Dictionary'!$D$5:$D$135&lt;&gt;"")))</f>
        <v/>
      </c>
      <c r="L1540" s="27">
        <f>IF($A1540="","",TRIM(IF(ISERROR(FIND(",",$C1540)),$C1540,LEFT($C1540,FIND(",",$C1540)-1))))</f>
        <v/>
      </c>
      <c r="M1540" s="28">
        <f>IF($H1540="","",DATE(YEAR($H1540),MONTH($H1540),1))</f>
        <v/>
      </c>
      <c r="N1540" s="26">
        <f>IF($H1540="","",TODAY()-$H1540)</f>
        <v/>
      </c>
      <c r="O1540" s="15" t="n"/>
      <c r="P1540" s="15" t="n"/>
      <c r="Q1540" s="15" t="n"/>
      <c r="R1540" s="25" t="n"/>
      <c r="S1540" s="26">
        <f>IF($A1540="","",AND(OR('Assignment Builder'!$B$5="",$B1540='Assignment Builder'!$B$5),OR('Assignment Builder'!$B$6="",ISNUMBER(SEARCH('Assignment Builder'!$B$6,$C1540))),OR('Assignment Builder'!$B$7="",'Assignment Builder'!$B$7=IFERROR(INDEX('Category Dictionary'!$C$5:$C$135,MATCH($L1540,'Category Dictionary'!$D$5:$D$135,0)),"")),OR('Assignment Builder'!$B$8="",$D1540='Assignment Builder'!$B$8),OR('Assignment Builder'!$B$9="",$F1540='Assignment Builder'!$B$9),OR('Assignment Builder'!$B$10="",$O1540='Assignment Builder'!$B$10),OR('Assignment Builder'!$B$11="",$H1540&gt;='Assignment Builder'!$B$11),OR('Assignment Builder'!$B$12="",N($Q1540)&lt;='Assignment Builder'!$B$12)))</f>
        <v/>
      </c>
      <c r="T1540" s="23" t="n"/>
    </row>
    <row r="1541">
      <c r="A1541" s="23" t="n"/>
      <c r="B1541" s="23" t="n"/>
      <c r="C1541" s="24" t="n"/>
      <c r="D1541" s="15" t="n"/>
      <c r="E1541" s="23" t="n"/>
      <c r="F1541" s="15" t="n"/>
      <c r="G1541" s="23" t="n"/>
      <c r="H1541" s="25" t="n"/>
      <c r="I1541" s="15" t="n"/>
      <c r="J1541" s="26">
        <f>IF($A1541="","",LEN($C1541)-LEN(SUBSTITUTE($C1541,",",""))+1)</f>
        <v/>
      </c>
      <c r="K1541" s="26">
        <f>IF($A1541="","",SUMPRODUCT(--ISNUMBER(SEARCH('Category Dictionary'!$D$5:$D$135&amp;"",$C1541)),--('Category Dictionary'!$D$5:$D$135&lt;&gt;"")))</f>
        <v/>
      </c>
      <c r="L1541" s="27">
        <f>IF($A1541="","",TRIM(IF(ISERROR(FIND(",",$C1541)),$C1541,LEFT($C1541,FIND(",",$C1541)-1))))</f>
        <v/>
      </c>
      <c r="M1541" s="28">
        <f>IF($H1541="","",DATE(YEAR($H1541),MONTH($H1541),1))</f>
        <v/>
      </c>
      <c r="N1541" s="26">
        <f>IF($H1541="","",TODAY()-$H1541)</f>
        <v/>
      </c>
      <c r="O1541" s="15" t="n"/>
      <c r="P1541" s="15" t="n"/>
      <c r="Q1541" s="15" t="n"/>
      <c r="R1541" s="25" t="n"/>
      <c r="S1541" s="26">
        <f>IF($A1541="","",AND(OR('Assignment Builder'!$B$5="",$B1541='Assignment Builder'!$B$5),OR('Assignment Builder'!$B$6="",ISNUMBER(SEARCH('Assignment Builder'!$B$6,$C1541))),OR('Assignment Builder'!$B$7="",'Assignment Builder'!$B$7=IFERROR(INDEX('Category Dictionary'!$C$5:$C$135,MATCH($L1541,'Category Dictionary'!$D$5:$D$135,0)),"")),OR('Assignment Builder'!$B$8="",$D1541='Assignment Builder'!$B$8),OR('Assignment Builder'!$B$9="",$F1541='Assignment Builder'!$B$9),OR('Assignment Builder'!$B$10="",$O1541='Assignment Builder'!$B$10),OR('Assignment Builder'!$B$11="",$H1541&gt;='Assignment Builder'!$B$11),OR('Assignment Builder'!$B$12="",N($Q1541)&lt;='Assignment Builder'!$B$12)))</f>
        <v/>
      </c>
      <c r="T1541" s="23" t="n"/>
    </row>
    <row r="1542">
      <c r="A1542" s="23" t="n"/>
      <c r="B1542" s="23" t="n"/>
      <c r="C1542" s="24" t="n"/>
      <c r="D1542" s="15" t="n"/>
      <c r="E1542" s="23" t="n"/>
      <c r="F1542" s="15" t="n"/>
      <c r="G1542" s="23" t="n"/>
      <c r="H1542" s="25" t="n"/>
      <c r="I1542" s="15" t="n"/>
      <c r="J1542" s="26">
        <f>IF($A1542="","",LEN($C1542)-LEN(SUBSTITUTE($C1542,",",""))+1)</f>
        <v/>
      </c>
      <c r="K1542" s="26">
        <f>IF($A1542="","",SUMPRODUCT(--ISNUMBER(SEARCH('Category Dictionary'!$D$5:$D$135&amp;"",$C1542)),--('Category Dictionary'!$D$5:$D$135&lt;&gt;"")))</f>
        <v/>
      </c>
      <c r="L1542" s="27">
        <f>IF($A1542="","",TRIM(IF(ISERROR(FIND(",",$C1542)),$C1542,LEFT($C1542,FIND(",",$C1542)-1))))</f>
        <v/>
      </c>
      <c r="M1542" s="28">
        <f>IF($H1542="","",DATE(YEAR($H1542),MONTH($H1542),1))</f>
        <v/>
      </c>
      <c r="N1542" s="26">
        <f>IF($H1542="","",TODAY()-$H1542)</f>
        <v/>
      </c>
      <c r="O1542" s="15" t="n"/>
      <c r="P1542" s="15" t="n"/>
      <c r="Q1542" s="15" t="n"/>
      <c r="R1542" s="25" t="n"/>
      <c r="S1542" s="26">
        <f>IF($A1542="","",AND(OR('Assignment Builder'!$B$5="",$B1542='Assignment Builder'!$B$5),OR('Assignment Builder'!$B$6="",ISNUMBER(SEARCH('Assignment Builder'!$B$6,$C1542))),OR('Assignment Builder'!$B$7="",'Assignment Builder'!$B$7=IFERROR(INDEX('Category Dictionary'!$C$5:$C$135,MATCH($L1542,'Category Dictionary'!$D$5:$D$135,0)),"")),OR('Assignment Builder'!$B$8="",$D1542='Assignment Builder'!$B$8),OR('Assignment Builder'!$B$9="",$F1542='Assignment Builder'!$B$9),OR('Assignment Builder'!$B$10="",$O1542='Assignment Builder'!$B$10),OR('Assignment Builder'!$B$11="",$H1542&gt;='Assignment Builder'!$B$11),OR('Assignment Builder'!$B$12="",N($Q1542)&lt;='Assignment Builder'!$B$12)))</f>
        <v/>
      </c>
      <c r="T1542" s="23" t="n"/>
    </row>
    <row r="1543">
      <c r="A1543" s="23" t="n"/>
      <c r="B1543" s="23" t="n"/>
      <c r="C1543" s="24" t="n"/>
      <c r="D1543" s="15" t="n"/>
      <c r="E1543" s="23" t="n"/>
      <c r="F1543" s="15" t="n"/>
      <c r="G1543" s="23" t="n"/>
      <c r="H1543" s="25" t="n"/>
      <c r="I1543" s="15" t="n"/>
      <c r="J1543" s="26">
        <f>IF($A1543="","",LEN($C1543)-LEN(SUBSTITUTE($C1543,",",""))+1)</f>
        <v/>
      </c>
      <c r="K1543" s="26">
        <f>IF($A1543="","",SUMPRODUCT(--ISNUMBER(SEARCH('Category Dictionary'!$D$5:$D$135&amp;"",$C1543)),--('Category Dictionary'!$D$5:$D$135&lt;&gt;"")))</f>
        <v/>
      </c>
      <c r="L1543" s="27">
        <f>IF($A1543="","",TRIM(IF(ISERROR(FIND(",",$C1543)),$C1543,LEFT($C1543,FIND(",",$C1543)-1))))</f>
        <v/>
      </c>
      <c r="M1543" s="28">
        <f>IF($H1543="","",DATE(YEAR($H1543),MONTH($H1543),1))</f>
        <v/>
      </c>
      <c r="N1543" s="26">
        <f>IF($H1543="","",TODAY()-$H1543)</f>
        <v/>
      </c>
      <c r="O1543" s="15" t="n"/>
      <c r="P1543" s="15" t="n"/>
      <c r="Q1543" s="15" t="n"/>
      <c r="R1543" s="25" t="n"/>
      <c r="S1543" s="26">
        <f>IF($A1543="","",AND(OR('Assignment Builder'!$B$5="",$B1543='Assignment Builder'!$B$5),OR('Assignment Builder'!$B$6="",ISNUMBER(SEARCH('Assignment Builder'!$B$6,$C1543))),OR('Assignment Builder'!$B$7="",'Assignment Builder'!$B$7=IFERROR(INDEX('Category Dictionary'!$C$5:$C$135,MATCH($L1543,'Category Dictionary'!$D$5:$D$135,0)),"")),OR('Assignment Builder'!$B$8="",$D1543='Assignment Builder'!$B$8),OR('Assignment Builder'!$B$9="",$F1543='Assignment Builder'!$B$9),OR('Assignment Builder'!$B$10="",$O1543='Assignment Builder'!$B$10),OR('Assignment Builder'!$B$11="",$H1543&gt;='Assignment Builder'!$B$11),OR('Assignment Builder'!$B$12="",N($Q1543)&lt;='Assignment Builder'!$B$12)))</f>
        <v/>
      </c>
      <c r="T1543" s="23" t="n"/>
    </row>
    <row r="1544">
      <c r="A1544" s="23" t="n"/>
      <c r="B1544" s="23" t="n"/>
      <c r="C1544" s="24" t="n"/>
      <c r="D1544" s="15" t="n"/>
      <c r="E1544" s="23" t="n"/>
      <c r="F1544" s="15" t="n"/>
      <c r="G1544" s="23" t="n"/>
      <c r="H1544" s="25" t="n"/>
      <c r="I1544" s="15" t="n"/>
      <c r="J1544" s="26">
        <f>IF($A1544="","",LEN($C1544)-LEN(SUBSTITUTE($C1544,",",""))+1)</f>
        <v/>
      </c>
      <c r="K1544" s="26">
        <f>IF($A1544="","",SUMPRODUCT(--ISNUMBER(SEARCH('Category Dictionary'!$D$5:$D$135&amp;"",$C1544)),--('Category Dictionary'!$D$5:$D$135&lt;&gt;"")))</f>
        <v/>
      </c>
      <c r="L1544" s="27">
        <f>IF($A1544="","",TRIM(IF(ISERROR(FIND(",",$C1544)),$C1544,LEFT($C1544,FIND(",",$C1544)-1))))</f>
        <v/>
      </c>
      <c r="M1544" s="28">
        <f>IF($H1544="","",DATE(YEAR($H1544),MONTH($H1544),1))</f>
        <v/>
      </c>
      <c r="N1544" s="26">
        <f>IF($H1544="","",TODAY()-$H1544)</f>
        <v/>
      </c>
      <c r="O1544" s="15" t="n"/>
      <c r="P1544" s="15" t="n"/>
      <c r="Q1544" s="15" t="n"/>
      <c r="R1544" s="25" t="n"/>
      <c r="S1544" s="26">
        <f>IF($A1544="","",AND(OR('Assignment Builder'!$B$5="",$B1544='Assignment Builder'!$B$5),OR('Assignment Builder'!$B$6="",ISNUMBER(SEARCH('Assignment Builder'!$B$6,$C1544))),OR('Assignment Builder'!$B$7="",'Assignment Builder'!$B$7=IFERROR(INDEX('Category Dictionary'!$C$5:$C$135,MATCH($L1544,'Category Dictionary'!$D$5:$D$135,0)),"")),OR('Assignment Builder'!$B$8="",$D1544='Assignment Builder'!$B$8),OR('Assignment Builder'!$B$9="",$F1544='Assignment Builder'!$B$9),OR('Assignment Builder'!$B$10="",$O1544='Assignment Builder'!$B$10),OR('Assignment Builder'!$B$11="",$H1544&gt;='Assignment Builder'!$B$11),OR('Assignment Builder'!$B$12="",N($Q1544)&lt;='Assignment Builder'!$B$12)))</f>
        <v/>
      </c>
      <c r="T1544" s="23" t="n"/>
    </row>
    <row r="1545">
      <c r="A1545" s="23" t="n"/>
      <c r="B1545" s="23" t="n"/>
      <c r="C1545" s="24" t="n"/>
      <c r="D1545" s="15" t="n"/>
      <c r="E1545" s="23" t="n"/>
      <c r="F1545" s="15" t="n"/>
      <c r="G1545" s="23" t="n"/>
      <c r="H1545" s="25" t="n"/>
      <c r="I1545" s="15" t="n"/>
      <c r="J1545" s="26">
        <f>IF($A1545="","",LEN($C1545)-LEN(SUBSTITUTE($C1545,",",""))+1)</f>
        <v/>
      </c>
      <c r="K1545" s="26">
        <f>IF($A1545="","",SUMPRODUCT(--ISNUMBER(SEARCH('Category Dictionary'!$D$5:$D$135&amp;"",$C1545)),--('Category Dictionary'!$D$5:$D$135&lt;&gt;"")))</f>
        <v/>
      </c>
      <c r="L1545" s="27">
        <f>IF($A1545="","",TRIM(IF(ISERROR(FIND(",",$C1545)),$C1545,LEFT($C1545,FIND(",",$C1545)-1))))</f>
        <v/>
      </c>
      <c r="M1545" s="28">
        <f>IF($H1545="","",DATE(YEAR($H1545),MONTH($H1545),1))</f>
        <v/>
      </c>
      <c r="N1545" s="26">
        <f>IF($H1545="","",TODAY()-$H1545)</f>
        <v/>
      </c>
      <c r="O1545" s="15" t="n"/>
      <c r="P1545" s="15" t="n"/>
      <c r="Q1545" s="15" t="n"/>
      <c r="R1545" s="25" t="n"/>
      <c r="S1545" s="26">
        <f>IF($A1545="","",AND(OR('Assignment Builder'!$B$5="",$B1545='Assignment Builder'!$B$5),OR('Assignment Builder'!$B$6="",ISNUMBER(SEARCH('Assignment Builder'!$B$6,$C1545))),OR('Assignment Builder'!$B$7="",'Assignment Builder'!$B$7=IFERROR(INDEX('Category Dictionary'!$C$5:$C$135,MATCH($L1545,'Category Dictionary'!$D$5:$D$135,0)),"")),OR('Assignment Builder'!$B$8="",$D1545='Assignment Builder'!$B$8),OR('Assignment Builder'!$B$9="",$F1545='Assignment Builder'!$B$9),OR('Assignment Builder'!$B$10="",$O1545='Assignment Builder'!$B$10),OR('Assignment Builder'!$B$11="",$H1545&gt;='Assignment Builder'!$B$11),OR('Assignment Builder'!$B$12="",N($Q1545)&lt;='Assignment Builder'!$B$12)))</f>
        <v/>
      </c>
      <c r="T1545" s="23" t="n"/>
    </row>
    <row r="1546">
      <c r="A1546" s="23" t="n"/>
      <c r="B1546" s="23" t="n"/>
      <c r="C1546" s="24" t="n"/>
      <c r="D1546" s="15" t="n"/>
      <c r="E1546" s="23" t="n"/>
      <c r="F1546" s="15" t="n"/>
      <c r="G1546" s="23" t="n"/>
      <c r="H1546" s="25" t="n"/>
      <c r="I1546" s="15" t="n"/>
      <c r="J1546" s="26">
        <f>IF($A1546="","",LEN($C1546)-LEN(SUBSTITUTE($C1546,",",""))+1)</f>
        <v/>
      </c>
      <c r="K1546" s="26">
        <f>IF($A1546="","",SUMPRODUCT(--ISNUMBER(SEARCH('Category Dictionary'!$D$5:$D$135&amp;"",$C1546)),--('Category Dictionary'!$D$5:$D$135&lt;&gt;"")))</f>
        <v/>
      </c>
      <c r="L1546" s="27">
        <f>IF($A1546="","",TRIM(IF(ISERROR(FIND(",",$C1546)),$C1546,LEFT($C1546,FIND(",",$C1546)-1))))</f>
        <v/>
      </c>
      <c r="M1546" s="28">
        <f>IF($H1546="","",DATE(YEAR($H1546),MONTH($H1546),1))</f>
        <v/>
      </c>
      <c r="N1546" s="26">
        <f>IF($H1546="","",TODAY()-$H1546)</f>
        <v/>
      </c>
      <c r="O1546" s="15" t="n"/>
      <c r="P1546" s="15" t="n"/>
      <c r="Q1546" s="15" t="n"/>
      <c r="R1546" s="25" t="n"/>
      <c r="S1546" s="26">
        <f>IF($A1546="","",AND(OR('Assignment Builder'!$B$5="",$B1546='Assignment Builder'!$B$5),OR('Assignment Builder'!$B$6="",ISNUMBER(SEARCH('Assignment Builder'!$B$6,$C1546))),OR('Assignment Builder'!$B$7="",'Assignment Builder'!$B$7=IFERROR(INDEX('Category Dictionary'!$C$5:$C$135,MATCH($L1546,'Category Dictionary'!$D$5:$D$135,0)),"")),OR('Assignment Builder'!$B$8="",$D1546='Assignment Builder'!$B$8),OR('Assignment Builder'!$B$9="",$F1546='Assignment Builder'!$B$9),OR('Assignment Builder'!$B$10="",$O1546='Assignment Builder'!$B$10),OR('Assignment Builder'!$B$11="",$H1546&gt;='Assignment Builder'!$B$11),OR('Assignment Builder'!$B$12="",N($Q1546)&lt;='Assignment Builder'!$B$12)))</f>
        <v/>
      </c>
      <c r="T1546" s="23" t="n"/>
    </row>
    <row r="1547">
      <c r="A1547" s="23" t="n"/>
      <c r="B1547" s="23" t="n"/>
      <c r="C1547" s="24" t="n"/>
      <c r="D1547" s="15" t="n"/>
      <c r="E1547" s="23" t="n"/>
      <c r="F1547" s="15" t="n"/>
      <c r="G1547" s="23" t="n"/>
      <c r="H1547" s="25" t="n"/>
      <c r="I1547" s="15" t="n"/>
      <c r="J1547" s="26">
        <f>IF($A1547="","",LEN($C1547)-LEN(SUBSTITUTE($C1547,",",""))+1)</f>
        <v/>
      </c>
      <c r="K1547" s="26">
        <f>IF($A1547="","",SUMPRODUCT(--ISNUMBER(SEARCH('Category Dictionary'!$D$5:$D$135&amp;"",$C1547)),--('Category Dictionary'!$D$5:$D$135&lt;&gt;"")))</f>
        <v/>
      </c>
      <c r="L1547" s="27">
        <f>IF($A1547="","",TRIM(IF(ISERROR(FIND(",",$C1547)),$C1547,LEFT($C1547,FIND(",",$C1547)-1))))</f>
        <v/>
      </c>
      <c r="M1547" s="28">
        <f>IF($H1547="","",DATE(YEAR($H1547),MONTH($H1547),1))</f>
        <v/>
      </c>
      <c r="N1547" s="26">
        <f>IF($H1547="","",TODAY()-$H1547)</f>
        <v/>
      </c>
      <c r="O1547" s="15" t="n"/>
      <c r="P1547" s="15" t="n"/>
      <c r="Q1547" s="15" t="n"/>
      <c r="R1547" s="25" t="n"/>
      <c r="S1547" s="26">
        <f>IF($A1547="","",AND(OR('Assignment Builder'!$B$5="",$B1547='Assignment Builder'!$B$5),OR('Assignment Builder'!$B$6="",ISNUMBER(SEARCH('Assignment Builder'!$B$6,$C1547))),OR('Assignment Builder'!$B$7="",'Assignment Builder'!$B$7=IFERROR(INDEX('Category Dictionary'!$C$5:$C$135,MATCH($L1547,'Category Dictionary'!$D$5:$D$135,0)),"")),OR('Assignment Builder'!$B$8="",$D1547='Assignment Builder'!$B$8),OR('Assignment Builder'!$B$9="",$F1547='Assignment Builder'!$B$9),OR('Assignment Builder'!$B$10="",$O1547='Assignment Builder'!$B$10),OR('Assignment Builder'!$B$11="",$H1547&gt;='Assignment Builder'!$B$11),OR('Assignment Builder'!$B$12="",N($Q1547)&lt;='Assignment Builder'!$B$12)))</f>
        <v/>
      </c>
      <c r="T1547" s="23" t="n"/>
    </row>
    <row r="1548">
      <c r="A1548" s="23" t="n"/>
      <c r="B1548" s="23" t="n"/>
      <c r="C1548" s="24" t="n"/>
      <c r="D1548" s="15" t="n"/>
      <c r="E1548" s="23" t="n"/>
      <c r="F1548" s="15" t="n"/>
      <c r="G1548" s="23" t="n"/>
      <c r="H1548" s="25" t="n"/>
      <c r="I1548" s="15" t="n"/>
      <c r="J1548" s="26">
        <f>IF($A1548="","",LEN($C1548)-LEN(SUBSTITUTE($C1548,",",""))+1)</f>
        <v/>
      </c>
      <c r="K1548" s="26">
        <f>IF($A1548="","",SUMPRODUCT(--ISNUMBER(SEARCH('Category Dictionary'!$D$5:$D$135&amp;"",$C1548)),--('Category Dictionary'!$D$5:$D$135&lt;&gt;"")))</f>
        <v/>
      </c>
      <c r="L1548" s="27">
        <f>IF($A1548="","",TRIM(IF(ISERROR(FIND(",",$C1548)),$C1548,LEFT($C1548,FIND(",",$C1548)-1))))</f>
        <v/>
      </c>
      <c r="M1548" s="28">
        <f>IF($H1548="","",DATE(YEAR($H1548),MONTH($H1548),1))</f>
        <v/>
      </c>
      <c r="N1548" s="26">
        <f>IF($H1548="","",TODAY()-$H1548)</f>
        <v/>
      </c>
      <c r="O1548" s="15" t="n"/>
      <c r="P1548" s="15" t="n"/>
      <c r="Q1548" s="15" t="n"/>
      <c r="R1548" s="25" t="n"/>
      <c r="S1548" s="26">
        <f>IF($A1548="","",AND(OR('Assignment Builder'!$B$5="",$B1548='Assignment Builder'!$B$5),OR('Assignment Builder'!$B$6="",ISNUMBER(SEARCH('Assignment Builder'!$B$6,$C1548))),OR('Assignment Builder'!$B$7="",'Assignment Builder'!$B$7=IFERROR(INDEX('Category Dictionary'!$C$5:$C$135,MATCH($L1548,'Category Dictionary'!$D$5:$D$135,0)),"")),OR('Assignment Builder'!$B$8="",$D1548='Assignment Builder'!$B$8),OR('Assignment Builder'!$B$9="",$F1548='Assignment Builder'!$B$9),OR('Assignment Builder'!$B$10="",$O1548='Assignment Builder'!$B$10),OR('Assignment Builder'!$B$11="",$H1548&gt;='Assignment Builder'!$B$11),OR('Assignment Builder'!$B$12="",N($Q1548)&lt;='Assignment Builder'!$B$12)))</f>
        <v/>
      </c>
      <c r="T1548" s="23" t="n"/>
    </row>
    <row r="1549">
      <c r="A1549" s="23" t="n"/>
      <c r="B1549" s="23" t="n"/>
      <c r="C1549" s="24" t="n"/>
      <c r="D1549" s="15" t="n"/>
      <c r="E1549" s="23" t="n"/>
      <c r="F1549" s="15" t="n"/>
      <c r="G1549" s="23" t="n"/>
      <c r="H1549" s="25" t="n"/>
      <c r="I1549" s="15" t="n"/>
      <c r="J1549" s="26">
        <f>IF($A1549="","",LEN($C1549)-LEN(SUBSTITUTE($C1549,",",""))+1)</f>
        <v/>
      </c>
      <c r="K1549" s="26">
        <f>IF($A1549="","",SUMPRODUCT(--ISNUMBER(SEARCH('Category Dictionary'!$D$5:$D$135&amp;"",$C1549)),--('Category Dictionary'!$D$5:$D$135&lt;&gt;"")))</f>
        <v/>
      </c>
      <c r="L1549" s="27">
        <f>IF($A1549="","",TRIM(IF(ISERROR(FIND(",",$C1549)),$C1549,LEFT($C1549,FIND(",",$C1549)-1))))</f>
        <v/>
      </c>
      <c r="M1549" s="28">
        <f>IF($H1549="","",DATE(YEAR($H1549),MONTH($H1549),1))</f>
        <v/>
      </c>
      <c r="N1549" s="26">
        <f>IF($H1549="","",TODAY()-$H1549)</f>
        <v/>
      </c>
      <c r="O1549" s="15" t="n"/>
      <c r="P1549" s="15" t="n"/>
      <c r="Q1549" s="15" t="n"/>
      <c r="R1549" s="25" t="n"/>
      <c r="S1549" s="26">
        <f>IF($A1549="","",AND(OR('Assignment Builder'!$B$5="",$B1549='Assignment Builder'!$B$5),OR('Assignment Builder'!$B$6="",ISNUMBER(SEARCH('Assignment Builder'!$B$6,$C1549))),OR('Assignment Builder'!$B$7="",'Assignment Builder'!$B$7=IFERROR(INDEX('Category Dictionary'!$C$5:$C$135,MATCH($L1549,'Category Dictionary'!$D$5:$D$135,0)),"")),OR('Assignment Builder'!$B$8="",$D1549='Assignment Builder'!$B$8),OR('Assignment Builder'!$B$9="",$F1549='Assignment Builder'!$B$9),OR('Assignment Builder'!$B$10="",$O1549='Assignment Builder'!$B$10),OR('Assignment Builder'!$B$11="",$H1549&gt;='Assignment Builder'!$B$11),OR('Assignment Builder'!$B$12="",N($Q1549)&lt;='Assignment Builder'!$B$12)))</f>
        <v/>
      </c>
      <c r="T1549" s="23" t="n"/>
    </row>
    <row r="1550">
      <c r="A1550" s="23" t="n"/>
      <c r="B1550" s="23" t="n"/>
      <c r="C1550" s="24" t="n"/>
      <c r="D1550" s="15" t="n"/>
      <c r="E1550" s="23" t="n"/>
      <c r="F1550" s="15" t="n"/>
      <c r="G1550" s="23" t="n"/>
      <c r="H1550" s="25" t="n"/>
      <c r="I1550" s="15" t="n"/>
      <c r="J1550" s="26">
        <f>IF($A1550="","",LEN($C1550)-LEN(SUBSTITUTE($C1550,",",""))+1)</f>
        <v/>
      </c>
      <c r="K1550" s="26">
        <f>IF($A1550="","",SUMPRODUCT(--ISNUMBER(SEARCH('Category Dictionary'!$D$5:$D$135&amp;"",$C1550)),--('Category Dictionary'!$D$5:$D$135&lt;&gt;"")))</f>
        <v/>
      </c>
      <c r="L1550" s="27">
        <f>IF($A1550="","",TRIM(IF(ISERROR(FIND(",",$C1550)),$C1550,LEFT($C1550,FIND(",",$C1550)-1))))</f>
        <v/>
      </c>
      <c r="M1550" s="28">
        <f>IF($H1550="","",DATE(YEAR($H1550),MONTH($H1550),1))</f>
        <v/>
      </c>
      <c r="N1550" s="26">
        <f>IF($H1550="","",TODAY()-$H1550)</f>
        <v/>
      </c>
      <c r="O1550" s="15" t="n"/>
      <c r="P1550" s="15" t="n"/>
      <c r="Q1550" s="15" t="n"/>
      <c r="R1550" s="25" t="n"/>
      <c r="S1550" s="26">
        <f>IF($A1550="","",AND(OR('Assignment Builder'!$B$5="",$B1550='Assignment Builder'!$B$5),OR('Assignment Builder'!$B$6="",ISNUMBER(SEARCH('Assignment Builder'!$B$6,$C1550))),OR('Assignment Builder'!$B$7="",'Assignment Builder'!$B$7=IFERROR(INDEX('Category Dictionary'!$C$5:$C$135,MATCH($L1550,'Category Dictionary'!$D$5:$D$135,0)),"")),OR('Assignment Builder'!$B$8="",$D1550='Assignment Builder'!$B$8),OR('Assignment Builder'!$B$9="",$F1550='Assignment Builder'!$B$9),OR('Assignment Builder'!$B$10="",$O1550='Assignment Builder'!$B$10),OR('Assignment Builder'!$B$11="",$H1550&gt;='Assignment Builder'!$B$11),OR('Assignment Builder'!$B$12="",N($Q1550)&lt;='Assignment Builder'!$B$12)))</f>
        <v/>
      </c>
      <c r="T1550" s="23" t="n"/>
    </row>
    <row r="1551">
      <c r="A1551" s="23" t="n"/>
      <c r="B1551" s="23" t="n"/>
      <c r="C1551" s="24" t="n"/>
      <c r="D1551" s="15" t="n"/>
      <c r="E1551" s="23" t="n"/>
      <c r="F1551" s="15" t="n"/>
      <c r="G1551" s="23" t="n"/>
      <c r="H1551" s="25" t="n"/>
      <c r="I1551" s="15" t="n"/>
      <c r="J1551" s="26">
        <f>IF($A1551="","",LEN($C1551)-LEN(SUBSTITUTE($C1551,",",""))+1)</f>
        <v/>
      </c>
      <c r="K1551" s="26">
        <f>IF($A1551="","",SUMPRODUCT(--ISNUMBER(SEARCH('Category Dictionary'!$D$5:$D$135&amp;"",$C1551)),--('Category Dictionary'!$D$5:$D$135&lt;&gt;"")))</f>
        <v/>
      </c>
      <c r="L1551" s="27">
        <f>IF($A1551="","",TRIM(IF(ISERROR(FIND(",",$C1551)),$C1551,LEFT($C1551,FIND(",",$C1551)-1))))</f>
        <v/>
      </c>
      <c r="M1551" s="28">
        <f>IF($H1551="","",DATE(YEAR($H1551),MONTH($H1551),1))</f>
        <v/>
      </c>
      <c r="N1551" s="26">
        <f>IF($H1551="","",TODAY()-$H1551)</f>
        <v/>
      </c>
      <c r="O1551" s="15" t="n"/>
      <c r="P1551" s="15" t="n"/>
      <c r="Q1551" s="15" t="n"/>
      <c r="R1551" s="25" t="n"/>
      <c r="S1551" s="26">
        <f>IF($A1551="","",AND(OR('Assignment Builder'!$B$5="",$B1551='Assignment Builder'!$B$5),OR('Assignment Builder'!$B$6="",ISNUMBER(SEARCH('Assignment Builder'!$B$6,$C1551))),OR('Assignment Builder'!$B$7="",'Assignment Builder'!$B$7=IFERROR(INDEX('Category Dictionary'!$C$5:$C$135,MATCH($L1551,'Category Dictionary'!$D$5:$D$135,0)),"")),OR('Assignment Builder'!$B$8="",$D1551='Assignment Builder'!$B$8),OR('Assignment Builder'!$B$9="",$F1551='Assignment Builder'!$B$9),OR('Assignment Builder'!$B$10="",$O1551='Assignment Builder'!$B$10),OR('Assignment Builder'!$B$11="",$H1551&gt;='Assignment Builder'!$B$11),OR('Assignment Builder'!$B$12="",N($Q1551)&lt;='Assignment Builder'!$B$12)))</f>
        <v/>
      </c>
      <c r="T1551" s="23" t="n"/>
    </row>
    <row r="1552">
      <c r="A1552" s="23" t="n"/>
      <c r="B1552" s="23" t="n"/>
      <c r="C1552" s="24" t="n"/>
      <c r="D1552" s="15" t="n"/>
      <c r="E1552" s="23" t="n"/>
      <c r="F1552" s="15" t="n"/>
      <c r="G1552" s="23" t="n"/>
      <c r="H1552" s="25" t="n"/>
      <c r="I1552" s="15" t="n"/>
      <c r="J1552" s="26">
        <f>IF($A1552="","",LEN($C1552)-LEN(SUBSTITUTE($C1552,",",""))+1)</f>
        <v/>
      </c>
      <c r="K1552" s="26">
        <f>IF($A1552="","",SUMPRODUCT(--ISNUMBER(SEARCH('Category Dictionary'!$D$5:$D$135&amp;"",$C1552)),--('Category Dictionary'!$D$5:$D$135&lt;&gt;"")))</f>
        <v/>
      </c>
      <c r="L1552" s="27">
        <f>IF($A1552="","",TRIM(IF(ISERROR(FIND(",",$C1552)),$C1552,LEFT($C1552,FIND(",",$C1552)-1))))</f>
        <v/>
      </c>
      <c r="M1552" s="28">
        <f>IF($H1552="","",DATE(YEAR($H1552),MONTH($H1552),1))</f>
        <v/>
      </c>
      <c r="N1552" s="26">
        <f>IF($H1552="","",TODAY()-$H1552)</f>
        <v/>
      </c>
      <c r="O1552" s="15" t="n"/>
      <c r="P1552" s="15" t="n"/>
      <c r="Q1552" s="15" t="n"/>
      <c r="R1552" s="25" t="n"/>
      <c r="S1552" s="26">
        <f>IF($A1552="","",AND(OR('Assignment Builder'!$B$5="",$B1552='Assignment Builder'!$B$5),OR('Assignment Builder'!$B$6="",ISNUMBER(SEARCH('Assignment Builder'!$B$6,$C1552))),OR('Assignment Builder'!$B$7="",'Assignment Builder'!$B$7=IFERROR(INDEX('Category Dictionary'!$C$5:$C$135,MATCH($L1552,'Category Dictionary'!$D$5:$D$135,0)),"")),OR('Assignment Builder'!$B$8="",$D1552='Assignment Builder'!$B$8),OR('Assignment Builder'!$B$9="",$F1552='Assignment Builder'!$B$9),OR('Assignment Builder'!$B$10="",$O1552='Assignment Builder'!$B$10),OR('Assignment Builder'!$B$11="",$H1552&gt;='Assignment Builder'!$B$11),OR('Assignment Builder'!$B$12="",N($Q1552)&lt;='Assignment Builder'!$B$12)))</f>
        <v/>
      </c>
      <c r="T1552" s="23" t="n"/>
    </row>
    <row r="1553">
      <c r="A1553" s="23" t="n"/>
      <c r="B1553" s="23" t="n"/>
      <c r="C1553" s="24" t="n"/>
      <c r="D1553" s="15" t="n"/>
      <c r="E1553" s="23" t="n"/>
      <c r="F1553" s="15" t="n"/>
      <c r="G1553" s="23" t="n"/>
      <c r="H1553" s="25" t="n"/>
      <c r="I1553" s="15" t="n"/>
      <c r="J1553" s="26">
        <f>IF($A1553="","",LEN($C1553)-LEN(SUBSTITUTE($C1553,",",""))+1)</f>
        <v/>
      </c>
      <c r="K1553" s="26">
        <f>IF($A1553="","",SUMPRODUCT(--ISNUMBER(SEARCH('Category Dictionary'!$D$5:$D$135&amp;"",$C1553)),--('Category Dictionary'!$D$5:$D$135&lt;&gt;"")))</f>
        <v/>
      </c>
      <c r="L1553" s="27">
        <f>IF($A1553="","",TRIM(IF(ISERROR(FIND(",",$C1553)),$C1553,LEFT($C1553,FIND(",",$C1553)-1))))</f>
        <v/>
      </c>
      <c r="M1553" s="28">
        <f>IF($H1553="","",DATE(YEAR($H1553),MONTH($H1553),1))</f>
        <v/>
      </c>
      <c r="N1553" s="26">
        <f>IF($H1553="","",TODAY()-$H1553)</f>
        <v/>
      </c>
      <c r="O1553" s="15" t="n"/>
      <c r="P1553" s="15" t="n"/>
      <c r="Q1553" s="15" t="n"/>
      <c r="R1553" s="25" t="n"/>
      <c r="S1553" s="26">
        <f>IF($A1553="","",AND(OR('Assignment Builder'!$B$5="",$B1553='Assignment Builder'!$B$5),OR('Assignment Builder'!$B$6="",ISNUMBER(SEARCH('Assignment Builder'!$B$6,$C1553))),OR('Assignment Builder'!$B$7="",'Assignment Builder'!$B$7=IFERROR(INDEX('Category Dictionary'!$C$5:$C$135,MATCH($L1553,'Category Dictionary'!$D$5:$D$135,0)),"")),OR('Assignment Builder'!$B$8="",$D1553='Assignment Builder'!$B$8),OR('Assignment Builder'!$B$9="",$F1553='Assignment Builder'!$B$9),OR('Assignment Builder'!$B$10="",$O1553='Assignment Builder'!$B$10),OR('Assignment Builder'!$B$11="",$H1553&gt;='Assignment Builder'!$B$11),OR('Assignment Builder'!$B$12="",N($Q1553)&lt;='Assignment Builder'!$B$12)))</f>
        <v/>
      </c>
      <c r="T1553" s="23" t="n"/>
    </row>
    <row r="1554">
      <c r="A1554" s="23" t="n"/>
      <c r="B1554" s="23" t="n"/>
      <c r="C1554" s="24" t="n"/>
      <c r="D1554" s="15" t="n"/>
      <c r="E1554" s="23" t="n"/>
      <c r="F1554" s="15" t="n"/>
      <c r="G1554" s="23" t="n"/>
      <c r="H1554" s="25" t="n"/>
      <c r="I1554" s="15" t="n"/>
      <c r="J1554" s="26">
        <f>IF($A1554="","",LEN($C1554)-LEN(SUBSTITUTE($C1554,",",""))+1)</f>
        <v/>
      </c>
      <c r="K1554" s="26">
        <f>IF($A1554="","",SUMPRODUCT(--ISNUMBER(SEARCH('Category Dictionary'!$D$5:$D$135&amp;"",$C1554)),--('Category Dictionary'!$D$5:$D$135&lt;&gt;"")))</f>
        <v/>
      </c>
      <c r="L1554" s="27">
        <f>IF($A1554="","",TRIM(IF(ISERROR(FIND(",",$C1554)),$C1554,LEFT($C1554,FIND(",",$C1554)-1))))</f>
        <v/>
      </c>
      <c r="M1554" s="28">
        <f>IF($H1554="","",DATE(YEAR($H1554),MONTH($H1554),1))</f>
        <v/>
      </c>
      <c r="N1554" s="26">
        <f>IF($H1554="","",TODAY()-$H1554)</f>
        <v/>
      </c>
      <c r="O1554" s="15" t="n"/>
      <c r="P1554" s="15" t="n"/>
      <c r="Q1554" s="15" t="n"/>
      <c r="R1554" s="25" t="n"/>
      <c r="S1554" s="26">
        <f>IF($A1554="","",AND(OR('Assignment Builder'!$B$5="",$B1554='Assignment Builder'!$B$5),OR('Assignment Builder'!$B$6="",ISNUMBER(SEARCH('Assignment Builder'!$B$6,$C1554))),OR('Assignment Builder'!$B$7="",'Assignment Builder'!$B$7=IFERROR(INDEX('Category Dictionary'!$C$5:$C$135,MATCH($L1554,'Category Dictionary'!$D$5:$D$135,0)),"")),OR('Assignment Builder'!$B$8="",$D1554='Assignment Builder'!$B$8),OR('Assignment Builder'!$B$9="",$F1554='Assignment Builder'!$B$9),OR('Assignment Builder'!$B$10="",$O1554='Assignment Builder'!$B$10),OR('Assignment Builder'!$B$11="",$H1554&gt;='Assignment Builder'!$B$11),OR('Assignment Builder'!$B$12="",N($Q1554)&lt;='Assignment Builder'!$B$12)))</f>
        <v/>
      </c>
      <c r="T1554" s="23" t="n"/>
    </row>
    <row r="1555">
      <c r="A1555" s="23" t="n"/>
      <c r="B1555" s="23" t="n"/>
      <c r="C1555" s="24" t="n"/>
      <c r="D1555" s="15" t="n"/>
      <c r="E1555" s="23" t="n"/>
      <c r="F1555" s="15" t="n"/>
      <c r="G1555" s="23" t="n"/>
      <c r="H1555" s="25" t="n"/>
      <c r="I1555" s="15" t="n"/>
      <c r="J1555" s="26">
        <f>IF($A1555="","",LEN($C1555)-LEN(SUBSTITUTE($C1555,",",""))+1)</f>
        <v/>
      </c>
      <c r="K1555" s="26">
        <f>IF($A1555="","",SUMPRODUCT(--ISNUMBER(SEARCH('Category Dictionary'!$D$5:$D$135&amp;"",$C1555)),--('Category Dictionary'!$D$5:$D$135&lt;&gt;"")))</f>
        <v/>
      </c>
      <c r="L1555" s="27">
        <f>IF($A1555="","",TRIM(IF(ISERROR(FIND(",",$C1555)),$C1555,LEFT($C1555,FIND(",",$C1555)-1))))</f>
        <v/>
      </c>
      <c r="M1555" s="28">
        <f>IF($H1555="","",DATE(YEAR($H1555),MONTH($H1555),1))</f>
        <v/>
      </c>
      <c r="N1555" s="26">
        <f>IF($H1555="","",TODAY()-$H1555)</f>
        <v/>
      </c>
      <c r="O1555" s="15" t="n"/>
      <c r="P1555" s="15" t="n"/>
      <c r="Q1555" s="15" t="n"/>
      <c r="R1555" s="25" t="n"/>
      <c r="S1555" s="26">
        <f>IF($A1555="","",AND(OR('Assignment Builder'!$B$5="",$B1555='Assignment Builder'!$B$5),OR('Assignment Builder'!$B$6="",ISNUMBER(SEARCH('Assignment Builder'!$B$6,$C1555))),OR('Assignment Builder'!$B$7="",'Assignment Builder'!$B$7=IFERROR(INDEX('Category Dictionary'!$C$5:$C$135,MATCH($L1555,'Category Dictionary'!$D$5:$D$135,0)),"")),OR('Assignment Builder'!$B$8="",$D1555='Assignment Builder'!$B$8),OR('Assignment Builder'!$B$9="",$F1555='Assignment Builder'!$B$9),OR('Assignment Builder'!$B$10="",$O1555='Assignment Builder'!$B$10),OR('Assignment Builder'!$B$11="",$H1555&gt;='Assignment Builder'!$B$11),OR('Assignment Builder'!$B$12="",N($Q1555)&lt;='Assignment Builder'!$B$12)))</f>
        <v/>
      </c>
      <c r="T1555" s="23" t="n"/>
    </row>
    <row r="1556">
      <c r="A1556" s="23" t="n"/>
      <c r="B1556" s="23" t="n"/>
      <c r="C1556" s="24" t="n"/>
      <c r="D1556" s="15" t="n"/>
      <c r="E1556" s="23" t="n"/>
      <c r="F1556" s="15" t="n"/>
      <c r="G1556" s="23" t="n"/>
      <c r="H1556" s="25" t="n"/>
      <c r="I1556" s="15" t="n"/>
      <c r="J1556" s="26">
        <f>IF($A1556="","",LEN($C1556)-LEN(SUBSTITUTE($C1556,",",""))+1)</f>
        <v/>
      </c>
      <c r="K1556" s="26">
        <f>IF($A1556="","",SUMPRODUCT(--ISNUMBER(SEARCH('Category Dictionary'!$D$5:$D$135&amp;"",$C1556)),--('Category Dictionary'!$D$5:$D$135&lt;&gt;"")))</f>
        <v/>
      </c>
      <c r="L1556" s="27">
        <f>IF($A1556="","",TRIM(IF(ISERROR(FIND(",",$C1556)),$C1556,LEFT($C1556,FIND(",",$C1556)-1))))</f>
        <v/>
      </c>
      <c r="M1556" s="28">
        <f>IF($H1556="","",DATE(YEAR($H1556),MONTH($H1556),1))</f>
        <v/>
      </c>
      <c r="N1556" s="26">
        <f>IF($H1556="","",TODAY()-$H1556)</f>
        <v/>
      </c>
      <c r="O1556" s="15" t="n"/>
      <c r="P1556" s="15" t="n"/>
      <c r="Q1556" s="15" t="n"/>
      <c r="R1556" s="25" t="n"/>
      <c r="S1556" s="26">
        <f>IF($A1556="","",AND(OR('Assignment Builder'!$B$5="",$B1556='Assignment Builder'!$B$5),OR('Assignment Builder'!$B$6="",ISNUMBER(SEARCH('Assignment Builder'!$B$6,$C1556))),OR('Assignment Builder'!$B$7="",'Assignment Builder'!$B$7=IFERROR(INDEX('Category Dictionary'!$C$5:$C$135,MATCH($L1556,'Category Dictionary'!$D$5:$D$135,0)),"")),OR('Assignment Builder'!$B$8="",$D1556='Assignment Builder'!$B$8),OR('Assignment Builder'!$B$9="",$F1556='Assignment Builder'!$B$9),OR('Assignment Builder'!$B$10="",$O1556='Assignment Builder'!$B$10),OR('Assignment Builder'!$B$11="",$H1556&gt;='Assignment Builder'!$B$11),OR('Assignment Builder'!$B$12="",N($Q1556)&lt;='Assignment Builder'!$B$12)))</f>
        <v/>
      </c>
      <c r="T1556" s="23" t="n"/>
    </row>
    <row r="1557">
      <c r="A1557" s="23" t="n"/>
      <c r="B1557" s="23" t="n"/>
      <c r="C1557" s="24" t="n"/>
      <c r="D1557" s="15" t="n"/>
      <c r="E1557" s="23" t="n"/>
      <c r="F1557" s="15" t="n"/>
      <c r="G1557" s="23" t="n"/>
      <c r="H1557" s="25" t="n"/>
      <c r="I1557" s="15" t="n"/>
      <c r="J1557" s="26">
        <f>IF($A1557="","",LEN($C1557)-LEN(SUBSTITUTE($C1557,",",""))+1)</f>
        <v/>
      </c>
      <c r="K1557" s="26">
        <f>IF($A1557="","",SUMPRODUCT(--ISNUMBER(SEARCH('Category Dictionary'!$D$5:$D$135&amp;"",$C1557)),--('Category Dictionary'!$D$5:$D$135&lt;&gt;"")))</f>
        <v/>
      </c>
      <c r="L1557" s="27">
        <f>IF($A1557="","",TRIM(IF(ISERROR(FIND(",",$C1557)),$C1557,LEFT($C1557,FIND(",",$C1557)-1))))</f>
        <v/>
      </c>
      <c r="M1557" s="28">
        <f>IF($H1557="","",DATE(YEAR($H1557),MONTH($H1557),1))</f>
        <v/>
      </c>
      <c r="N1557" s="26">
        <f>IF($H1557="","",TODAY()-$H1557)</f>
        <v/>
      </c>
      <c r="O1557" s="15" t="n"/>
      <c r="P1557" s="15" t="n"/>
      <c r="Q1557" s="15" t="n"/>
      <c r="R1557" s="25" t="n"/>
      <c r="S1557" s="26">
        <f>IF($A1557="","",AND(OR('Assignment Builder'!$B$5="",$B1557='Assignment Builder'!$B$5),OR('Assignment Builder'!$B$6="",ISNUMBER(SEARCH('Assignment Builder'!$B$6,$C1557))),OR('Assignment Builder'!$B$7="",'Assignment Builder'!$B$7=IFERROR(INDEX('Category Dictionary'!$C$5:$C$135,MATCH($L1557,'Category Dictionary'!$D$5:$D$135,0)),"")),OR('Assignment Builder'!$B$8="",$D1557='Assignment Builder'!$B$8),OR('Assignment Builder'!$B$9="",$F1557='Assignment Builder'!$B$9),OR('Assignment Builder'!$B$10="",$O1557='Assignment Builder'!$B$10),OR('Assignment Builder'!$B$11="",$H1557&gt;='Assignment Builder'!$B$11),OR('Assignment Builder'!$B$12="",N($Q1557)&lt;='Assignment Builder'!$B$12)))</f>
        <v/>
      </c>
      <c r="T1557" s="23" t="n"/>
    </row>
    <row r="1558">
      <c r="A1558" s="23" t="n"/>
      <c r="B1558" s="23" t="n"/>
      <c r="C1558" s="24" t="n"/>
      <c r="D1558" s="15" t="n"/>
      <c r="E1558" s="23" t="n"/>
      <c r="F1558" s="15" t="n"/>
      <c r="G1558" s="23" t="n"/>
      <c r="H1558" s="25" t="n"/>
      <c r="I1558" s="15" t="n"/>
      <c r="J1558" s="26">
        <f>IF($A1558="","",LEN($C1558)-LEN(SUBSTITUTE($C1558,",",""))+1)</f>
        <v/>
      </c>
      <c r="K1558" s="26">
        <f>IF($A1558="","",SUMPRODUCT(--ISNUMBER(SEARCH('Category Dictionary'!$D$5:$D$135&amp;"",$C1558)),--('Category Dictionary'!$D$5:$D$135&lt;&gt;"")))</f>
        <v/>
      </c>
      <c r="L1558" s="27">
        <f>IF($A1558="","",TRIM(IF(ISERROR(FIND(",",$C1558)),$C1558,LEFT($C1558,FIND(",",$C1558)-1))))</f>
        <v/>
      </c>
      <c r="M1558" s="28">
        <f>IF($H1558="","",DATE(YEAR($H1558),MONTH($H1558),1))</f>
        <v/>
      </c>
      <c r="N1558" s="26">
        <f>IF($H1558="","",TODAY()-$H1558)</f>
        <v/>
      </c>
      <c r="O1558" s="15" t="n"/>
      <c r="P1558" s="15" t="n"/>
      <c r="Q1558" s="15" t="n"/>
      <c r="R1558" s="25" t="n"/>
      <c r="S1558" s="26">
        <f>IF($A1558="","",AND(OR('Assignment Builder'!$B$5="",$B1558='Assignment Builder'!$B$5),OR('Assignment Builder'!$B$6="",ISNUMBER(SEARCH('Assignment Builder'!$B$6,$C1558))),OR('Assignment Builder'!$B$7="",'Assignment Builder'!$B$7=IFERROR(INDEX('Category Dictionary'!$C$5:$C$135,MATCH($L1558,'Category Dictionary'!$D$5:$D$135,0)),"")),OR('Assignment Builder'!$B$8="",$D1558='Assignment Builder'!$B$8),OR('Assignment Builder'!$B$9="",$F1558='Assignment Builder'!$B$9),OR('Assignment Builder'!$B$10="",$O1558='Assignment Builder'!$B$10),OR('Assignment Builder'!$B$11="",$H1558&gt;='Assignment Builder'!$B$11),OR('Assignment Builder'!$B$12="",N($Q1558)&lt;='Assignment Builder'!$B$12)))</f>
        <v/>
      </c>
      <c r="T1558" s="23" t="n"/>
    </row>
    <row r="1559">
      <c r="A1559" s="23" t="n"/>
      <c r="B1559" s="23" t="n"/>
      <c r="C1559" s="24" t="n"/>
      <c r="D1559" s="15" t="n"/>
      <c r="E1559" s="23" t="n"/>
      <c r="F1559" s="15" t="n"/>
      <c r="G1559" s="23" t="n"/>
      <c r="H1559" s="25" t="n"/>
      <c r="I1559" s="15" t="n"/>
      <c r="J1559" s="26">
        <f>IF($A1559="","",LEN($C1559)-LEN(SUBSTITUTE($C1559,",",""))+1)</f>
        <v/>
      </c>
      <c r="K1559" s="26">
        <f>IF($A1559="","",SUMPRODUCT(--ISNUMBER(SEARCH('Category Dictionary'!$D$5:$D$135&amp;"",$C1559)),--('Category Dictionary'!$D$5:$D$135&lt;&gt;"")))</f>
        <v/>
      </c>
      <c r="L1559" s="27">
        <f>IF($A1559="","",TRIM(IF(ISERROR(FIND(",",$C1559)),$C1559,LEFT($C1559,FIND(",",$C1559)-1))))</f>
        <v/>
      </c>
      <c r="M1559" s="28">
        <f>IF($H1559="","",DATE(YEAR($H1559),MONTH($H1559),1))</f>
        <v/>
      </c>
      <c r="N1559" s="26">
        <f>IF($H1559="","",TODAY()-$H1559)</f>
        <v/>
      </c>
      <c r="O1559" s="15" t="n"/>
      <c r="P1559" s="15" t="n"/>
      <c r="Q1559" s="15" t="n"/>
      <c r="R1559" s="25" t="n"/>
      <c r="S1559" s="26">
        <f>IF($A1559="","",AND(OR('Assignment Builder'!$B$5="",$B1559='Assignment Builder'!$B$5),OR('Assignment Builder'!$B$6="",ISNUMBER(SEARCH('Assignment Builder'!$B$6,$C1559))),OR('Assignment Builder'!$B$7="",'Assignment Builder'!$B$7=IFERROR(INDEX('Category Dictionary'!$C$5:$C$135,MATCH($L1559,'Category Dictionary'!$D$5:$D$135,0)),"")),OR('Assignment Builder'!$B$8="",$D1559='Assignment Builder'!$B$8),OR('Assignment Builder'!$B$9="",$F1559='Assignment Builder'!$B$9),OR('Assignment Builder'!$B$10="",$O1559='Assignment Builder'!$B$10),OR('Assignment Builder'!$B$11="",$H1559&gt;='Assignment Builder'!$B$11),OR('Assignment Builder'!$B$12="",N($Q1559)&lt;='Assignment Builder'!$B$12)))</f>
        <v/>
      </c>
      <c r="T1559" s="23" t="n"/>
    </row>
    <row r="1560">
      <c r="A1560" s="23" t="n"/>
      <c r="B1560" s="23" t="n"/>
      <c r="C1560" s="24" t="n"/>
      <c r="D1560" s="15" t="n"/>
      <c r="E1560" s="23" t="n"/>
      <c r="F1560" s="15" t="n"/>
      <c r="G1560" s="23" t="n"/>
      <c r="H1560" s="25" t="n"/>
      <c r="I1560" s="15" t="n"/>
      <c r="J1560" s="26">
        <f>IF($A1560="","",LEN($C1560)-LEN(SUBSTITUTE($C1560,",",""))+1)</f>
        <v/>
      </c>
      <c r="K1560" s="26">
        <f>IF($A1560="","",SUMPRODUCT(--ISNUMBER(SEARCH('Category Dictionary'!$D$5:$D$135&amp;"",$C1560)),--('Category Dictionary'!$D$5:$D$135&lt;&gt;"")))</f>
        <v/>
      </c>
      <c r="L1560" s="27">
        <f>IF($A1560="","",TRIM(IF(ISERROR(FIND(",",$C1560)),$C1560,LEFT($C1560,FIND(",",$C1560)-1))))</f>
        <v/>
      </c>
      <c r="M1560" s="28">
        <f>IF($H1560="","",DATE(YEAR($H1560),MONTH($H1560),1))</f>
        <v/>
      </c>
      <c r="N1560" s="26">
        <f>IF($H1560="","",TODAY()-$H1560)</f>
        <v/>
      </c>
      <c r="O1560" s="15" t="n"/>
      <c r="P1560" s="15" t="n"/>
      <c r="Q1560" s="15" t="n"/>
      <c r="R1560" s="25" t="n"/>
      <c r="S1560" s="26">
        <f>IF($A1560="","",AND(OR('Assignment Builder'!$B$5="",$B1560='Assignment Builder'!$B$5),OR('Assignment Builder'!$B$6="",ISNUMBER(SEARCH('Assignment Builder'!$B$6,$C1560))),OR('Assignment Builder'!$B$7="",'Assignment Builder'!$B$7=IFERROR(INDEX('Category Dictionary'!$C$5:$C$135,MATCH($L1560,'Category Dictionary'!$D$5:$D$135,0)),"")),OR('Assignment Builder'!$B$8="",$D1560='Assignment Builder'!$B$8),OR('Assignment Builder'!$B$9="",$F1560='Assignment Builder'!$B$9),OR('Assignment Builder'!$B$10="",$O1560='Assignment Builder'!$B$10),OR('Assignment Builder'!$B$11="",$H1560&gt;='Assignment Builder'!$B$11),OR('Assignment Builder'!$B$12="",N($Q1560)&lt;='Assignment Builder'!$B$12)))</f>
        <v/>
      </c>
      <c r="T1560" s="23" t="n"/>
    </row>
    <row r="1561">
      <c r="A1561" s="23" t="n"/>
      <c r="B1561" s="23" t="n"/>
      <c r="C1561" s="24" t="n"/>
      <c r="D1561" s="15" t="n"/>
      <c r="E1561" s="23" t="n"/>
      <c r="F1561" s="15" t="n"/>
      <c r="G1561" s="23" t="n"/>
      <c r="H1561" s="25" t="n"/>
      <c r="I1561" s="15" t="n"/>
      <c r="J1561" s="26">
        <f>IF($A1561="","",LEN($C1561)-LEN(SUBSTITUTE($C1561,",",""))+1)</f>
        <v/>
      </c>
      <c r="K1561" s="26">
        <f>IF($A1561="","",SUMPRODUCT(--ISNUMBER(SEARCH('Category Dictionary'!$D$5:$D$135&amp;"",$C1561)),--('Category Dictionary'!$D$5:$D$135&lt;&gt;"")))</f>
        <v/>
      </c>
      <c r="L1561" s="27">
        <f>IF($A1561="","",TRIM(IF(ISERROR(FIND(",",$C1561)),$C1561,LEFT($C1561,FIND(",",$C1561)-1))))</f>
        <v/>
      </c>
      <c r="M1561" s="28">
        <f>IF($H1561="","",DATE(YEAR($H1561),MONTH($H1561),1))</f>
        <v/>
      </c>
      <c r="N1561" s="26">
        <f>IF($H1561="","",TODAY()-$H1561)</f>
        <v/>
      </c>
      <c r="O1561" s="15" t="n"/>
      <c r="P1561" s="15" t="n"/>
      <c r="Q1561" s="15" t="n"/>
      <c r="R1561" s="25" t="n"/>
      <c r="S1561" s="26">
        <f>IF($A1561="","",AND(OR('Assignment Builder'!$B$5="",$B1561='Assignment Builder'!$B$5),OR('Assignment Builder'!$B$6="",ISNUMBER(SEARCH('Assignment Builder'!$B$6,$C1561))),OR('Assignment Builder'!$B$7="",'Assignment Builder'!$B$7=IFERROR(INDEX('Category Dictionary'!$C$5:$C$135,MATCH($L1561,'Category Dictionary'!$D$5:$D$135,0)),"")),OR('Assignment Builder'!$B$8="",$D1561='Assignment Builder'!$B$8),OR('Assignment Builder'!$B$9="",$F1561='Assignment Builder'!$B$9),OR('Assignment Builder'!$B$10="",$O1561='Assignment Builder'!$B$10),OR('Assignment Builder'!$B$11="",$H1561&gt;='Assignment Builder'!$B$11),OR('Assignment Builder'!$B$12="",N($Q1561)&lt;='Assignment Builder'!$B$12)))</f>
        <v/>
      </c>
      <c r="T1561" s="23" t="n"/>
    </row>
    <row r="1562">
      <c r="A1562" s="23" t="n"/>
      <c r="B1562" s="23" t="n"/>
      <c r="C1562" s="24" t="n"/>
      <c r="D1562" s="15" t="n"/>
      <c r="E1562" s="23" t="n"/>
      <c r="F1562" s="15" t="n"/>
      <c r="G1562" s="23" t="n"/>
      <c r="H1562" s="25" t="n"/>
      <c r="I1562" s="15" t="n"/>
      <c r="J1562" s="26">
        <f>IF($A1562="","",LEN($C1562)-LEN(SUBSTITUTE($C1562,",",""))+1)</f>
        <v/>
      </c>
      <c r="K1562" s="26">
        <f>IF($A1562="","",SUMPRODUCT(--ISNUMBER(SEARCH('Category Dictionary'!$D$5:$D$135&amp;"",$C1562)),--('Category Dictionary'!$D$5:$D$135&lt;&gt;"")))</f>
        <v/>
      </c>
      <c r="L1562" s="27">
        <f>IF($A1562="","",TRIM(IF(ISERROR(FIND(",",$C1562)),$C1562,LEFT($C1562,FIND(",",$C1562)-1))))</f>
        <v/>
      </c>
      <c r="M1562" s="28">
        <f>IF($H1562="","",DATE(YEAR($H1562),MONTH($H1562),1))</f>
        <v/>
      </c>
      <c r="N1562" s="26">
        <f>IF($H1562="","",TODAY()-$H1562)</f>
        <v/>
      </c>
      <c r="O1562" s="15" t="n"/>
      <c r="P1562" s="15" t="n"/>
      <c r="Q1562" s="15" t="n"/>
      <c r="R1562" s="25" t="n"/>
      <c r="S1562" s="26">
        <f>IF($A1562="","",AND(OR('Assignment Builder'!$B$5="",$B1562='Assignment Builder'!$B$5),OR('Assignment Builder'!$B$6="",ISNUMBER(SEARCH('Assignment Builder'!$B$6,$C1562))),OR('Assignment Builder'!$B$7="",'Assignment Builder'!$B$7=IFERROR(INDEX('Category Dictionary'!$C$5:$C$135,MATCH($L1562,'Category Dictionary'!$D$5:$D$135,0)),"")),OR('Assignment Builder'!$B$8="",$D1562='Assignment Builder'!$B$8),OR('Assignment Builder'!$B$9="",$F1562='Assignment Builder'!$B$9),OR('Assignment Builder'!$B$10="",$O1562='Assignment Builder'!$B$10),OR('Assignment Builder'!$B$11="",$H1562&gt;='Assignment Builder'!$B$11),OR('Assignment Builder'!$B$12="",N($Q1562)&lt;='Assignment Builder'!$B$12)))</f>
        <v/>
      </c>
      <c r="T1562" s="23" t="n"/>
    </row>
    <row r="1563">
      <c r="A1563" s="23" t="n"/>
      <c r="B1563" s="23" t="n"/>
      <c r="C1563" s="24" t="n"/>
      <c r="D1563" s="15" t="n"/>
      <c r="E1563" s="23" t="n"/>
      <c r="F1563" s="15" t="n"/>
      <c r="G1563" s="23" t="n"/>
      <c r="H1563" s="25" t="n"/>
      <c r="I1563" s="15" t="n"/>
      <c r="J1563" s="26">
        <f>IF($A1563="","",LEN($C1563)-LEN(SUBSTITUTE($C1563,",",""))+1)</f>
        <v/>
      </c>
      <c r="K1563" s="26">
        <f>IF($A1563="","",SUMPRODUCT(--ISNUMBER(SEARCH('Category Dictionary'!$D$5:$D$135&amp;"",$C1563)),--('Category Dictionary'!$D$5:$D$135&lt;&gt;"")))</f>
        <v/>
      </c>
      <c r="L1563" s="27">
        <f>IF($A1563="","",TRIM(IF(ISERROR(FIND(",",$C1563)),$C1563,LEFT($C1563,FIND(",",$C1563)-1))))</f>
        <v/>
      </c>
      <c r="M1563" s="28">
        <f>IF($H1563="","",DATE(YEAR($H1563),MONTH($H1563),1))</f>
        <v/>
      </c>
      <c r="N1563" s="26">
        <f>IF($H1563="","",TODAY()-$H1563)</f>
        <v/>
      </c>
      <c r="O1563" s="15" t="n"/>
      <c r="P1563" s="15" t="n"/>
      <c r="Q1563" s="15" t="n"/>
      <c r="R1563" s="25" t="n"/>
      <c r="S1563" s="26">
        <f>IF($A1563="","",AND(OR('Assignment Builder'!$B$5="",$B1563='Assignment Builder'!$B$5),OR('Assignment Builder'!$B$6="",ISNUMBER(SEARCH('Assignment Builder'!$B$6,$C1563))),OR('Assignment Builder'!$B$7="",'Assignment Builder'!$B$7=IFERROR(INDEX('Category Dictionary'!$C$5:$C$135,MATCH($L1563,'Category Dictionary'!$D$5:$D$135,0)),"")),OR('Assignment Builder'!$B$8="",$D1563='Assignment Builder'!$B$8),OR('Assignment Builder'!$B$9="",$F1563='Assignment Builder'!$B$9),OR('Assignment Builder'!$B$10="",$O1563='Assignment Builder'!$B$10),OR('Assignment Builder'!$B$11="",$H1563&gt;='Assignment Builder'!$B$11),OR('Assignment Builder'!$B$12="",N($Q1563)&lt;='Assignment Builder'!$B$12)))</f>
        <v/>
      </c>
      <c r="T1563" s="23" t="n"/>
    </row>
    <row r="1564">
      <c r="A1564" s="23" t="n"/>
      <c r="B1564" s="23" t="n"/>
      <c r="C1564" s="24" t="n"/>
      <c r="D1564" s="15" t="n"/>
      <c r="E1564" s="23" t="n"/>
      <c r="F1564" s="15" t="n"/>
      <c r="G1564" s="23" t="n"/>
      <c r="H1564" s="25" t="n"/>
      <c r="I1564" s="15" t="n"/>
      <c r="J1564" s="26">
        <f>IF($A1564="","",LEN($C1564)-LEN(SUBSTITUTE($C1564,",",""))+1)</f>
        <v/>
      </c>
      <c r="K1564" s="26">
        <f>IF($A1564="","",SUMPRODUCT(--ISNUMBER(SEARCH('Category Dictionary'!$D$5:$D$135&amp;"",$C1564)),--('Category Dictionary'!$D$5:$D$135&lt;&gt;"")))</f>
        <v/>
      </c>
      <c r="L1564" s="27">
        <f>IF($A1564="","",TRIM(IF(ISERROR(FIND(",",$C1564)),$C1564,LEFT($C1564,FIND(",",$C1564)-1))))</f>
        <v/>
      </c>
      <c r="M1564" s="28">
        <f>IF($H1564="","",DATE(YEAR($H1564),MONTH($H1564),1))</f>
        <v/>
      </c>
      <c r="N1564" s="26">
        <f>IF($H1564="","",TODAY()-$H1564)</f>
        <v/>
      </c>
      <c r="O1564" s="15" t="n"/>
      <c r="P1564" s="15" t="n"/>
      <c r="Q1564" s="15" t="n"/>
      <c r="R1564" s="25" t="n"/>
      <c r="S1564" s="26">
        <f>IF($A1564="","",AND(OR('Assignment Builder'!$B$5="",$B1564='Assignment Builder'!$B$5),OR('Assignment Builder'!$B$6="",ISNUMBER(SEARCH('Assignment Builder'!$B$6,$C1564))),OR('Assignment Builder'!$B$7="",'Assignment Builder'!$B$7=IFERROR(INDEX('Category Dictionary'!$C$5:$C$135,MATCH($L1564,'Category Dictionary'!$D$5:$D$135,0)),"")),OR('Assignment Builder'!$B$8="",$D1564='Assignment Builder'!$B$8),OR('Assignment Builder'!$B$9="",$F1564='Assignment Builder'!$B$9),OR('Assignment Builder'!$B$10="",$O1564='Assignment Builder'!$B$10),OR('Assignment Builder'!$B$11="",$H1564&gt;='Assignment Builder'!$B$11),OR('Assignment Builder'!$B$12="",N($Q1564)&lt;='Assignment Builder'!$B$12)))</f>
        <v/>
      </c>
      <c r="T1564" s="23" t="n"/>
    </row>
    <row r="1565">
      <c r="A1565" s="23" t="n"/>
      <c r="B1565" s="23" t="n"/>
      <c r="C1565" s="24" t="n"/>
      <c r="D1565" s="15" t="n"/>
      <c r="E1565" s="23" t="n"/>
      <c r="F1565" s="15" t="n"/>
      <c r="G1565" s="23" t="n"/>
      <c r="H1565" s="25" t="n"/>
      <c r="I1565" s="15" t="n"/>
      <c r="J1565" s="26">
        <f>IF($A1565="","",LEN($C1565)-LEN(SUBSTITUTE($C1565,",",""))+1)</f>
        <v/>
      </c>
      <c r="K1565" s="26">
        <f>IF($A1565="","",SUMPRODUCT(--ISNUMBER(SEARCH('Category Dictionary'!$D$5:$D$135&amp;"",$C1565)),--('Category Dictionary'!$D$5:$D$135&lt;&gt;"")))</f>
        <v/>
      </c>
      <c r="L1565" s="27">
        <f>IF($A1565="","",TRIM(IF(ISERROR(FIND(",",$C1565)),$C1565,LEFT($C1565,FIND(",",$C1565)-1))))</f>
        <v/>
      </c>
      <c r="M1565" s="28">
        <f>IF($H1565="","",DATE(YEAR($H1565),MONTH($H1565),1))</f>
        <v/>
      </c>
      <c r="N1565" s="26">
        <f>IF($H1565="","",TODAY()-$H1565)</f>
        <v/>
      </c>
      <c r="O1565" s="15" t="n"/>
      <c r="P1565" s="15" t="n"/>
      <c r="Q1565" s="15" t="n"/>
      <c r="R1565" s="25" t="n"/>
      <c r="S1565" s="26">
        <f>IF($A1565="","",AND(OR('Assignment Builder'!$B$5="",$B1565='Assignment Builder'!$B$5),OR('Assignment Builder'!$B$6="",ISNUMBER(SEARCH('Assignment Builder'!$B$6,$C1565))),OR('Assignment Builder'!$B$7="",'Assignment Builder'!$B$7=IFERROR(INDEX('Category Dictionary'!$C$5:$C$135,MATCH($L1565,'Category Dictionary'!$D$5:$D$135,0)),"")),OR('Assignment Builder'!$B$8="",$D1565='Assignment Builder'!$B$8),OR('Assignment Builder'!$B$9="",$F1565='Assignment Builder'!$B$9),OR('Assignment Builder'!$B$10="",$O1565='Assignment Builder'!$B$10),OR('Assignment Builder'!$B$11="",$H1565&gt;='Assignment Builder'!$B$11),OR('Assignment Builder'!$B$12="",N($Q1565)&lt;='Assignment Builder'!$B$12)))</f>
        <v/>
      </c>
      <c r="T1565" s="23" t="n"/>
    </row>
    <row r="1566">
      <c r="A1566" s="23" t="n"/>
      <c r="B1566" s="23" t="n"/>
      <c r="C1566" s="24" t="n"/>
      <c r="D1566" s="15" t="n"/>
      <c r="E1566" s="23" t="n"/>
      <c r="F1566" s="15" t="n"/>
      <c r="G1566" s="23" t="n"/>
      <c r="H1566" s="25" t="n"/>
      <c r="I1566" s="15" t="n"/>
      <c r="J1566" s="26">
        <f>IF($A1566="","",LEN($C1566)-LEN(SUBSTITUTE($C1566,",",""))+1)</f>
        <v/>
      </c>
      <c r="K1566" s="26">
        <f>IF($A1566="","",SUMPRODUCT(--ISNUMBER(SEARCH('Category Dictionary'!$D$5:$D$135&amp;"",$C1566)),--('Category Dictionary'!$D$5:$D$135&lt;&gt;"")))</f>
        <v/>
      </c>
      <c r="L1566" s="27">
        <f>IF($A1566="","",TRIM(IF(ISERROR(FIND(",",$C1566)),$C1566,LEFT($C1566,FIND(",",$C1566)-1))))</f>
        <v/>
      </c>
      <c r="M1566" s="28">
        <f>IF($H1566="","",DATE(YEAR($H1566),MONTH($H1566),1))</f>
        <v/>
      </c>
      <c r="N1566" s="26">
        <f>IF($H1566="","",TODAY()-$H1566)</f>
        <v/>
      </c>
      <c r="O1566" s="15" t="n"/>
      <c r="P1566" s="15" t="n"/>
      <c r="Q1566" s="15" t="n"/>
      <c r="R1566" s="25" t="n"/>
      <c r="S1566" s="26">
        <f>IF($A1566="","",AND(OR('Assignment Builder'!$B$5="",$B1566='Assignment Builder'!$B$5),OR('Assignment Builder'!$B$6="",ISNUMBER(SEARCH('Assignment Builder'!$B$6,$C1566))),OR('Assignment Builder'!$B$7="",'Assignment Builder'!$B$7=IFERROR(INDEX('Category Dictionary'!$C$5:$C$135,MATCH($L1566,'Category Dictionary'!$D$5:$D$135,0)),"")),OR('Assignment Builder'!$B$8="",$D1566='Assignment Builder'!$B$8),OR('Assignment Builder'!$B$9="",$F1566='Assignment Builder'!$B$9),OR('Assignment Builder'!$B$10="",$O1566='Assignment Builder'!$B$10),OR('Assignment Builder'!$B$11="",$H1566&gt;='Assignment Builder'!$B$11),OR('Assignment Builder'!$B$12="",N($Q1566)&lt;='Assignment Builder'!$B$12)))</f>
        <v/>
      </c>
      <c r="T1566" s="23" t="n"/>
    </row>
    <row r="1567">
      <c r="A1567" s="23" t="n"/>
      <c r="B1567" s="23" t="n"/>
      <c r="C1567" s="24" t="n"/>
      <c r="D1567" s="15" t="n"/>
      <c r="E1567" s="23" t="n"/>
      <c r="F1567" s="15" t="n"/>
      <c r="G1567" s="23" t="n"/>
      <c r="H1567" s="25" t="n"/>
      <c r="I1567" s="15" t="n"/>
      <c r="J1567" s="26">
        <f>IF($A1567="","",LEN($C1567)-LEN(SUBSTITUTE($C1567,",",""))+1)</f>
        <v/>
      </c>
      <c r="K1567" s="26">
        <f>IF($A1567="","",SUMPRODUCT(--ISNUMBER(SEARCH('Category Dictionary'!$D$5:$D$135&amp;"",$C1567)),--('Category Dictionary'!$D$5:$D$135&lt;&gt;"")))</f>
        <v/>
      </c>
      <c r="L1567" s="27">
        <f>IF($A1567="","",TRIM(IF(ISERROR(FIND(",",$C1567)),$C1567,LEFT($C1567,FIND(",",$C1567)-1))))</f>
        <v/>
      </c>
      <c r="M1567" s="28">
        <f>IF($H1567="","",DATE(YEAR($H1567),MONTH($H1567),1))</f>
        <v/>
      </c>
      <c r="N1567" s="26">
        <f>IF($H1567="","",TODAY()-$H1567)</f>
        <v/>
      </c>
      <c r="O1567" s="15" t="n"/>
      <c r="P1567" s="15" t="n"/>
      <c r="Q1567" s="15" t="n"/>
      <c r="R1567" s="25" t="n"/>
      <c r="S1567" s="26">
        <f>IF($A1567="","",AND(OR('Assignment Builder'!$B$5="",$B1567='Assignment Builder'!$B$5),OR('Assignment Builder'!$B$6="",ISNUMBER(SEARCH('Assignment Builder'!$B$6,$C1567))),OR('Assignment Builder'!$B$7="",'Assignment Builder'!$B$7=IFERROR(INDEX('Category Dictionary'!$C$5:$C$135,MATCH($L1567,'Category Dictionary'!$D$5:$D$135,0)),"")),OR('Assignment Builder'!$B$8="",$D1567='Assignment Builder'!$B$8),OR('Assignment Builder'!$B$9="",$F1567='Assignment Builder'!$B$9),OR('Assignment Builder'!$B$10="",$O1567='Assignment Builder'!$B$10),OR('Assignment Builder'!$B$11="",$H1567&gt;='Assignment Builder'!$B$11),OR('Assignment Builder'!$B$12="",N($Q1567)&lt;='Assignment Builder'!$B$12)))</f>
        <v/>
      </c>
      <c r="T1567" s="23" t="n"/>
    </row>
    <row r="1568">
      <c r="A1568" s="23" t="n"/>
      <c r="B1568" s="23" t="n"/>
      <c r="C1568" s="24" t="n"/>
      <c r="D1568" s="15" t="n"/>
      <c r="E1568" s="23" t="n"/>
      <c r="F1568" s="15" t="n"/>
      <c r="G1568" s="23" t="n"/>
      <c r="H1568" s="25" t="n"/>
      <c r="I1568" s="15" t="n"/>
      <c r="J1568" s="26">
        <f>IF($A1568="","",LEN($C1568)-LEN(SUBSTITUTE($C1568,",",""))+1)</f>
        <v/>
      </c>
      <c r="K1568" s="26">
        <f>IF($A1568="","",SUMPRODUCT(--ISNUMBER(SEARCH('Category Dictionary'!$D$5:$D$135&amp;"",$C1568)),--('Category Dictionary'!$D$5:$D$135&lt;&gt;"")))</f>
        <v/>
      </c>
      <c r="L1568" s="27">
        <f>IF($A1568="","",TRIM(IF(ISERROR(FIND(",",$C1568)),$C1568,LEFT($C1568,FIND(",",$C1568)-1))))</f>
        <v/>
      </c>
      <c r="M1568" s="28">
        <f>IF($H1568="","",DATE(YEAR($H1568),MONTH($H1568),1))</f>
        <v/>
      </c>
      <c r="N1568" s="26">
        <f>IF($H1568="","",TODAY()-$H1568)</f>
        <v/>
      </c>
      <c r="O1568" s="15" t="n"/>
      <c r="P1568" s="15" t="n"/>
      <c r="Q1568" s="15" t="n"/>
      <c r="R1568" s="25" t="n"/>
      <c r="S1568" s="26">
        <f>IF($A1568="","",AND(OR('Assignment Builder'!$B$5="",$B1568='Assignment Builder'!$B$5),OR('Assignment Builder'!$B$6="",ISNUMBER(SEARCH('Assignment Builder'!$B$6,$C1568))),OR('Assignment Builder'!$B$7="",'Assignment Builder'!$B$7=IFERROR(INDEX('Category Dictionary'!$C$5:$C$135,MATCH($L1568,'Category Dictionary'!$D$5:$D$135,0)),"")),OR('Assignment Builder'!$B$8="",$D1568='Assignment Builder'!$B$8),OR('Assignment Builder'!$B$9="",$F1568='Assignment Builder'!$B$9),OR('Assignment Builder'!$B$10="",$O1568='Assignment Builder'!$B$10),OR('Assignment Builder'!$B$11="",$H1568&gt;='Assignment Builder'!$B$11),OR('Assignment Builder'!$B$12="",N($Q1568)&lt;='Assignment Builder'!$B$12)))</f>
        <v/>
      </c>
      <c r="T1568" s="23" t="n"/>
    </row>
    <row r="1569">
      <c r="A1569" s="23" t="n"/>
      <c r="B1569" s="23" t="n"/>
      <c r="C1569" s="24" t="n"/>
      <c r="D1569" s="15" t="n"/>
      <c r="E1569" s="23" t="n"/>
      <c r="F1569" s="15" t="n"/>
      <c r="G1569" s="23" t="n"/>
      <c r="H1569" s="25" t="n"/>
      <c r="I1569" s="15" t="n"/>
      <c r="J1569" s="26">
        <f>IF($A1569="","",LEN($C1569)-LEN(SUBSTITUTE($C1569,",",""))+1)</f>
        <v/>
      </c>
      <c r="K1569" s="26">
        <f>IF($A1569="","",SUMPRODUCT(--ISNUMBER(SEARCH('Category Dictionary'!$D$5:$D$135&amp;"",$C1569)),--('Category Dictionary'!$D$5:$D$135&lt;&gt;"")))</f>
        <v/>
      </c>
      <c r="L1569" s="27">
        <f>IF($A1569="","",TRIM(IF(ISERROR(FIND(",",$C1569)),$C1569,LEFT($C1569,FIND(",",$C1569)-1))))</f>
        <v/>
      </c>
      <c r="M1569" s="28">
        <f>IF($H1569="","",DATE(YEAR($H1569),MONTH($H1569),1))</f>
        <v/>
      </c>
      <c r="N1569" s="26">
        <f>IF($H1569="","",TODAY()-$H1569)</f>
        <v/>
      </c>
      <c r="O1569" s="15" t="n"/>
      <c r="P1569" s="15" t="n"/>
      <c r="Q1569" s="15" t="n"/>
      <c r="R1569" s="25" t="n"/>
      <c r="S1569" s="26">
        <f>IF($A1569="","",AND(OR('Assignment Builder'!$B$5="",$B1569='Assignment Builder'!$B$5),OR('Assignment Builder'!$B$6="",ISNUMBER(SEARCH('Assignment Builder'!$B$6,$C1569))),OR('Assignment Builder'!$B$7="",'Assignment Builder'!$B$7=IFERROR(INDEX('Category Dictionary'!$C$5:$C$135,MATCH($L1569,'Category Dictionary'!$D$5:$D$135,0)),"")),OR('Assignment Builder'!$B$8="",$D1569='Assignment Builder'!$B$8),OR('Assignment Builder'!$B$9="",$F1569='Assignment Builder'!$B$9),OR('Assignment Builder'!$B$10="",$O1569='Assignment Builder'!$B$10),OR('Assignment Builder'!$B$11="",$H1569&gt;='Assignment Builder'!$B$11),OR('Assignment Builder'!$B$12="",N($Q1569)&lt;='Assignment Builder'!$B$12)))</f>
        <v/>
      </c>
      <c r="T1569" s="23" t="n"/>
    </row>
    <row r="1570">
      <c r="A1570" s="23" t="n"/>
      <c r="B1570" s="23" t="n"/>
      <c r="C1570" s="24" t="n"/>
      <c r="D1570" s="15" t="n"/>
      <c r="E1570" s="23" t="n"/>
      <c r="F1570" s="15" t="n"/>
      <c r="G1570" s="23" t="n"/>
      <c r="H1570" s="25" t="n"/>
      <c r="I1570" s="15" t="n"/>
      <c r="J1570" s="26">
        <f>IF($A1570="","",LEN($C1570)-LEN(SUBSTITUTE($C1570,",",""))+1)</f>
        <v/>
      </c>
      <c r="K1570" s="26">
        <f>IF($A1570="","",SUMPRODUCT(--ISNUMBER(SEARCH('Category Dictionary'!$D$5:$D$135&amp;"",$C1570)),--('Category Dictionary'!$D$5:$D$135&lt;&gt;"")))</f>
        <v/>
      </c>
      <c r="L1570" s="27">
        <f>IF($A1570="","",TRIM(IF(ISERROR(FIND(",",$C1570)),$C1570,LEFT($C1570,FIND(",",$C1570)-1))))</f>
        <v/>
      </c>
      <c r="M1570" s="28">
        <f>IF($H1570="","",DATE(YEAR($H1570),MONTH($H1570),1))</f>
        <v/>
      </c>
      <c r="N1570" s="26">
        <f>IF($H1570="","",TODAY()-$H1570)</f>
        <v/>
      </c>
      <c r="O1570" s="15" t="n"/>
      <c r="P1570" s="15" t="n"/>
      <c r="Q1570" s="15" t="n"/>
      <c r="R1570" s="25" t="n"/>
      <c r="S1570" s="26">
        <f>IF($A1570="","",AND(OR('Assignment Builder'!$B$5="",$B1570='Assignment Builder'!$B$5),OR('Assignment Builder'!$B$6="",ISNUMBER(SEARCH('Assignment Builder'!$B$6,$C1570))),OR('Assignment Builder'!$B$7="",'Assignment Builder'!$B$7=IFERROR(INDEX('Category Dictionary'!$C$5:$C$135,MATCH($L1570,'Category Dictionary'!$D$5:$D$135,0)),"")),OR('Assignment Builder'!$B$8="",$D1570='Assignment Builder'!$B$8),OR('Assignment Builder'!$B$9="",$F1570='Assignment Builder'!$B$9),OR('Assignment Builder'!$B$10="",$O1570='Assignment Builder'!$B$10),OR('Assignment Builder'!$B$11="",$H1570&gt;='Assignment Builder'!$B$11),OR('Assignment Builder'!$B$12="",N($Q1570)&lt;='Assignment Builder'!$B$12)))</f>
        <v/>
      </c>
      <c r="T1570" s="23" t="n"/>
    </row>
    <row r="1571">
      <c r="A1571" s="23" t="n"/>
      <c r="B1571" s="23" t="n"/>
      <c r="C1571" s="24" t="n"/>
      <c r="D1571" s="15" t="n"/>
      <c r="E1571" s="23" t="n"/>
      <c r="F1571" s="15" t="n"/>
      <c r="G1571" s="23" t="n"/>
      <c r="H1571" s="25" t="n"/>
      <c r="I1571" s="15" t="n"/>
      <c r="J1571" s="26">
        <f>IF($A1571="","",LEN($C1571)-LEN(SUBSTITUTE($C1571,",",""))+1)</f>
        <v/>
      </c>
      <c r="K1571" s="26">
        <f>IF($A1571="","",SUMPRODUCT(--ISNUMBER(SEARCH('Category Dictionary'!$D$5:$D$135&amp;"",$C1571)),--('Category Dictionary'!$D$5:$D$135&lt;&gt;"")))</f>
        <v/>
      </c>
      <c r="L1571" s="27">
        <f>IF($A1571="","",TRIM(IF(ISERROR(FIND(",",$C1571)),$C1571,LEFT($C1571,FIND(",",$C1571)-1))))</f>
        <v/>
      </c>
      <c r="M1571" s="28">
        <f>IF($H1571="","",DATE(YEAR($H1571),MONTH($H1571),1))</f>
        <v/>
      </c>
      <c r="N1571" s="26">
        <f>IF($H1571="","",TODAY()-$H1571)</f>
        <v/>
      </c>
      <c r="O1571" s="15" t="n"/>
      <c r="P1571" s="15" t="n"/>
      <c r="Q1571" s="15" t="n"/>
      <c r="R1571" s="25" t="n"/>
      <c r="S1571" s="26">
        <f>IF($A1571="","",AND(OR('Assignment Builder'!$B$5="",$B1571='Assignment Builder'!$B$5),OR('Assignment Builder'!$B$6="",ISNUMBER(SEARCH('Assignment Builder'!$B$6,$C1571))),OR('Assignment Builder'!$B$7="",'Assignment Builder'!$B$7=IFERROR(INDEX('Category Dictionary'!$C$5:$C$135,MATCH($L1571,'Category Dictionary'!$D$5:$D$135,0)),"")),OR('Assignment Builder'!$B$8="",$D1571='Assignment Builder'!$B$8),OR('Assignment Builder'!$B$9="",$F1571='Assignment Builder'!$B$9),OR('Assignment Builder'!$B$10="",$O1571='Assignment Builder'!$B$10),OR('Assignment Builder'!$B$11="",$H1571&gt;='Assignment Builder'!$B$11),OR('Assignment Builder'!$B$12="",N($Q1571)&lt;='Assignment Builder'!$B$12)))</f>
        <v/>
      </c>
      <c r="T1571" s="23" t="n"/>
    </row>
    <row r="1572">
      <c r="A1572" s="23" t="n"/>
      <c r="B1572" s="23" t="n"/>
      <c r="C1572" s="24" t="n"/>
      <c r="D1572" s="15" t="n"/>
      <c r="E1572" s="23" t="n"/>
      <c r="F1572" s="15" t="n"/>
      <c r="G1572" s="23" t="n"/>
      <c r="H1572" s="25" t="n"/>
      <c r="I1572" s="15" t="n"/>
      <c r="J1572" s="26">
        <f>IF($A1572="","",LEN($C1572)-LEN(SUBSTITUTE($C1572,",",""))+1)</f>
        <v/>
      </c>
      <c r="K1572" s="26">
        <f>IF($A1572="","",SUMPRODUCT(--ISNUMBER(SEARCH('Category Dictionary'!$D$5:$D$135&amp;"",$C1572)),--('Category Dictionary'!$D$5:$D$135&lt;&gt;"")))</f>
        <v/>
      </c>
      <c r="L1572" s="27">
        <f>IF($A1572="","",TRIM(IF(ISERROR(FIND(",",$C1572)),$C1572,LEFT($C1572,FIND(",",$C1572)-1))))</f>
        <v/>
      </c>
      <c r="M1572" s="28">
        <f>IF($H1572="","",DATE(YEAR($H1572),MONTH($H1572),1))</f>
        <v/>
      </c>
      <c r="N1572" s="26">
        <f>IF($H1572="","",TODAY()-$H1572)</f>
        <v/>
      </c>
      <c r="O1572" s="15" t="n"/>
      <c r="P1572" s="15" t="n"/>
      <c r="Q1572" s="15" t="n"/>
      <c r="R1572" s="25" t="n"/>
      <c r="S1572" s="26">
        <f>IF($A1572="","",AND(OR('Assignment Builder'!$B$5="",$B1572='Assignment Builder'!$B$5),OR('Assignment Builder'!$B$6="",ISNUMBER(SEARCH('Assignment Builder'!$B$6,$C1572))),OR('Assignment Builder'!$B$7="",'Assignment Builder'!$B$7=IFERROR(INDEX('Category Dictionary'!$C$5:$C$135,MATCH($L1572,'Category Dictionary'!$D$5:$D$135,0)),"")),OR('Assignment Builder'!$B$8="",$D1572='Assignment Builder'!$B$8),OR('Assignment Builder'!$B$9="",$F1572='Assignment Builder'!$B$9),OR('Assignment Builder'!$B$10="",$O1572='Assignment Builder'!$B$10),OR('Assignment Builder'!$B$11="",$H1572&gt;='Assignment Builder'!$B$11),OR('Assignment Builder'!$B$12="",N($Q1572)&lt;='Assignment Builder'!$B$12)))</f>
        <v/>
      </c>
      <c r="T1572" s="23" t="n"/>
    </row>
    <row r="1573">
      <c r="A1573" s="23" t="n"/>
      <c r="B1573" s="23" t="n"/>
      <c r="C1573" s="24" t="n"/>
      <c r="D1573" s="15" t="n"/>
      <c r="E1573" s="23" t="n"/>
      <c r="F1573" s="15" t="n"/>
      <c r="G1573" s="23" t="n"/>
      <c r="H1573" s="25" t="n"/>
      <c r="I1573" s="15" t="n"/>
      <c r="J1573" s="26">
        <f>IF($A1573="","",LEN($C1573)-LEN(SUBSTITUTE($C1573,",",""))+1)</f>
        <v/>
      </c>
      <c r="K1573" s="26">
        <f>IF($A1573="","",SUMPRODUCT(--ISNUMBER(SEARCH('Category Dictionary'!$D$5:$D$135&amp;"",$C1573)),--('Category Dictionary'!$D$5:$D$135&lt;&gt;"")))</f>
        <v/>
      </c>
      <c r="L1573" s="27">
        <f>IF($A1573="","",TRIM(IF(ISERROR(FIND(",",$C1573)),$C1573,LEFT($C1573,FIND(",",$C1573)-1))))</f>
        <v/>
      </c>
      <c r="M1573" s="28">
        <f>IF($H1573="","",DATE(YEAR($H1573),MONTH($H1573),1))</f>
        <v/>
      </c>
      <c r="N1573" s="26">
        <f>IF($H1573="","",TODAY()-$H1573)</f>
        <v/>
      </c>
      <c r="O1573" s="15" t="n"/>
      <c r="P1573" s="15" t="n"/>
      <c r="Q1573" s="15" t="n"/>
      <c r="R1573" s="25" t="n"/>
      <c r="S1573" s="26">
        <f>IF($A1573="","",AND(OR('Assignment Builder'!$B$5="",$B1573='Assignment Builder'!$B$5),OR('Assignment Builder'!$B$6="",ISNUMBER(SEARCH('Assignment Builder'!$B$6,$C1573))),OR('Assignment Builder'!$B$7="",'Assignment Builder'!$B$7=IFERROR(INDEX('Category Dictionary'!$C$5:$C$135,MATCH($L1573,'Category Dictionary'!$D$5:$D$135,0)),"")),OR('Assignment Builder'!$B$8="",$D1573='Assignment Builder'!$B$8),OR('Assignment Builder'!$B$9="",$F1573='Assignment Builder'!$B$9),OR('Assignment Builder'!$B$10="",$O1573='Assignment Builder'!$B$10),OR('Assignment Builder'!$B$11="",$H1573&gt;='Assignment Builder'!$B$11),OR('Assignment Builder'!$B$12="",N($Q1573)&lt;='Assignment Builder'!$B$12)))</f>
        <v/>
      </c>
      <c r="T1573" s="23" t="n"/>
    </row>
    <row r="1574">
      <c r="A1574" s="23" t="n"/>
      <c r="B1574" s="23" t="n"/>
      <c r="C1574" s="24" t="n"/>
      <c r="D1574" s="15" t="n"/>
      <c r="E1574" s="23" t="n"/>
      <c r="F1574" s="15" t="n"/>
      <c r="G1574" s="23" t="n"/>
      <c r="H1574" s="25" t="n"/>
      <c r="I1574" s="15" t="n"/>
      <c r="J1574" s="26">
        <f>IF($A1574="","",LEN($C1574)-LEN(SUBSTITUTE($C1574,",",""))+1)</f>
        <v/>
      </c>
      <c r="K1574" s="26">
        <f>IF($A1574="","",SUMPRODUCT(--ISNUMBER(SEARCH('Category Dictionary'!$D$5:$D$135&amp;"",$C1574)),--('Category Dictionary'!$D$5:$D$135&lt;&gt;"")))</f>
        <v/>
      </c>
      <c r="L1574" s="27">
        <f>IF($A1574="","",TRIM(IF(ISERROR(FIND(",",$C1574)),$C1574,LEFT($C1574,FIND(",",$C1574)-1))))</f>
        <v/>
      </c>
      <c r="M1574" s="28">
        <f>IF($H1574="","",DATE(YEAR($H1574),MONTH($H1574),1))</f>
        <v/>
      </c>
      <c r="N1574" s="26">
        <f>IF($H1574="","",TODAY()-$H1574)</f>
        <v/>
      </c>
      <c r="O1574" s="15" t="n"/>
      <c r="P1574" s="15" t="n"/>
      <c r="Q1574" s="15" t="n"/>
      <c r="R1574" s="25" t="n"/>
      <c r="S1574" s="26">
        <f>IF($A1574="","",AND(OR('Assignment Builder'!$B$5="",$B1574='Assignment Builder'!$B$5),OR('Assignment Builder'!$B$6="",ISNUMBER(SEARCH('Assignment Builder'!$B$6,$C1574))),OR('Assignment Builder'!$B$7="",'Assignment Builder'!$B$7=IFERROR(INDEX('Category Dictionary'!$C$5:$C$135,MATCH($L1574,'Category Dictionary'!$D$5:$D$135,0)),"")),OR('Assignment Builder'!$B$8="",$D1574='Assignment Builder'!$B$8),OR('Assignment Builder'!$B$9="",$F1574='Assignment Builder'!$B$9),OR('Assignment Builder'!$B$10="",$O1574='Assignment Builder'!$B$10),OR('Assignment Builder'!$B$11="",$H1574&gt;='Assignment Builder'!$B$11),OR('Assignment Builder'!$B$12="",N($Q1574)&lt;='Assignment Builder'!$B$12)))</f>
        <v/>
      </c>
      <c r="T1574" s="23" t="n"/>
    </row>
    <row r="1575">
      <c r="A1575" s="23" t="n"/>
      <c r="B1575" s="23" t="n"/>
      <c r="C1575" s="24" t="n"/>
      <c r="D1575" s="15" t="n"/>
      <c r="E1575" s="23" t="n"/>
      <c r="F1575" s="15" t="n"/>
      <c r="G1575" s="23" t="n"/>
      <c r="H1575" s="25" t="n"/>
      <c r="I1575" s="15" t="n"/>
      <c r="J1575" s="26">
        <f>IF($A1575="","",LEN($C1575)-LEN(SUBSTITUTE($C1575,",",""))+1)</f>
        <v/>
      </c>
      <c r="K1575" s="26">
        <f>IF($A1575="","",SUMPRODUCT(--ISNUMBER(SEARCH('Category Dictionary'!$D$5:$D$135&amp;"",$C1575)),--('Category Dictionary'!$D$5:$D$135&lt;&gt;"")))</f>
        <v/>
      </c>
      <c r="L1575" s="27">
        <f>IF($A1575="","",TRIM(IF(ISERROR(FIND(",",$C1575)),$C1575,LEFT($C1575,FIND(",",$C1575)-1))))</f>
        <v/>
      </c>
      <c r="M1575" s="28">
        <f>IF($H1575="","",DATE(YEAR($H1575),MONTH($H1575),1))</f>
        <v/>
      </c>
      <c r="N1575" s="26">
        <f>IF($H1575="","",TODAY()-$H1575)</f>
        <v/>
      </c>
      <c r="O1575" s="15" t="n"/>
      <c r="P1575" s="15" t="n"/>
      <c r="Q1575" s="15" t="n"/>
      <c r="R1575" s="25" t="n"/>
      <c r="S1575" s="26">
        <f>IF($A1575="","",AND(OR('Assignment Builder'!$B$5="",$B1575='Assignment Builder'!$B$5),OR('Assignment Builder'!$B$6="",ISNUMBER(SEARCH('Assignment Builder'!$B$6,$C1575))),OR('Assignment Builder'!$B$7="",'Assignment Builder'!$B$7=IFERROR(INDEX('Category Dictionary'!$C$5:$C$135,MATCH($L1575,'Category Dictionary'!$D$5:$D$135,0)),"")),OR('Assignment Builder'!$B$8="",$D1575='Assignment Builder'!$B$8),OR('Assignment Builder'!$B$9="",$F1575='Assignment Builder'!$B$9),OR('Assignment Builder'!$B$10="",$O1575='Assignment Builder'!$B$10),OR('Assignment Builder'!$B$11="",$H1575&gt;='Assignment Builder'!$B$11),OR('Assignment Builder'!$B$12="",N($Q1575)&lt;='Assignment Builder'!$B$12)))</f>
        <v/>
      </c>
      <c r="T1575" s="23" t="n"/>
    </row>
    <row r="1576">
      <c r="A1576" s="23" t="n"/>
      <c r="B1576" s="23" t="n"/>
      <c r="C1576" s="24" t="n"/>
      <c r="D1576" s="15" t="n"/>
      <c r="E1576" s="23" t="n"/>
      <c r="F1576" s="15" t="n"/>
      <c r="G1576" s="23" t="n"/>
      <c r="H1576" s="25" t="n"/>
      <c r="I1576" s="15" t="n"/>
      <c r="J1576" s="26">
        <f>IF($A1576="","",LEN($C1576)-LEN(SUBSTITUTE($C1576,",",""))+1)</f>
        <v/>
      </c>
      <c r="K1576" s="26">
        <f>IF($A1576="","",SUMPRODUCT(--ISNUMBER(SEARCH('Category Dictionary'!$D$5:$D$135&amp;"",$C1576)),--('Category Dictionary'!$D$5:$D$135&lt;&gt;"")))</f>
        <v/>
      </c>
      <c r="L1576" s="27">
        <f>IF($A1576="","",TRIM(IF(ISERROR(FIND(",",$C1576)),$C1576,LEFT($C1576,FIND(",",$C1576)-1))))</f>
        <v/>
      </c>
      <c r="M1576" s="28">
        <f>IF($H1576="","",DATE(YEAR($H1576),MONTH($H1576),1))</f>
        <v/>
      </c>
      <c r="N1576" s="26">
        <f>IF($H1576="","",TODAY()-$H1576)</f>
        <v/>
      </c>
      <c r="O1576" s="15" t="n"/>
      <c r="P1576" s="15" t="n"/>
      <c r="Q1576" s="15" t="n"/>
      <c r="R1576" s="25" t="n"/>
      <c r="S1576" s="26">
        <f>IF($A1576="","",AND(OR('Assignment Builder'!$B$5="",$B1576='Assignment Builder'!$B$5),OR('Assignment Builder'!$B$6="",ISNUMBER(SEARCH('Assignment Builder'!$B$6,$C1576))),OR('Assignment Builder'!$B$7="",'Assignment Builder'!$B$7=IFERROR(INDEX('Category Dictionary'!$C$5:$C$135,MATCH($L1576,'Category Dictionary'!$D$5:$D$135,0)),"")),OR('Assignment Builder'!$B$8="",$D1576='Assignment Builder'!$B$8),OR('Assignment Builder'!$B$9="",$F1576='Assignment Builder'!$B$9),OR('Assignment Builder'!$B$10="",$O1576='Assignment Builder'!$B$10),OR('Assignment Builder'!$B$11="",$H1576&gt;='Assignment Builder'!$B$11),OR('Assignment Builder'!$B$12="",N($Q1576)&lt;='Assignment Builder'!$B$12)))</f>
        <v/>
      </c>
      <c r="T1576" s="23" t="n"/>
    </row>
    <row r="1577">
      <c r="A1577" s="23" t="n"/>
      <c r="B1577" s="23" t="n"/>
      <c r="C1577" s="24" t="n"/>
      <c r="D1577" s="15" t="n"/>
      <c r="E1577" s="23" t="n"/>
      <c r="F1577" s="15" t="n"/>
      <c r="G1577" s="23" t="n"/>
      <c r="H1577" s="25" t="n"/>
      <c r="I1577" s="15" t="n"/>
      <c r="J1577" s="26">
        <f>IF($A1577="","",LEN($C1577)-LEN(SUBSTITUTE($C1577,",",""))+1)</f>
        <v/>
      </c>
      <c r="K1577" s="26">
        <f>IF($A1577="","",SUMPRODUCT(--ISNUMBER(SEARCH('Category Dictionary'!$D$5:$D$135&amp;"",$C1577)),--('Category Dictionary'!$D$5:$D$135&lt;&gt;"")))</f>
        <v/>
      </c>
      <c r="L1577" s="27">
        <f>IF($A1577="","",TRIM(IF(ISERROR(FIND(",",$C1577)),$C1577,LEFT($C1577,FIND(",",$C1577)-1))))</f>
        <v/>
      </c>
      <c r="M1577" s="28">
        <f>IF($H1577="","",DATE(YEAR($H1577),MONTH($H1577),1))</f>
        <v/>
      </c>
      <c r="N1577" s="26">
        <f>IF($H1577="","",TODAY()-$H1577)</f>
        <v/>
      </c>
      <c r="O1577" s="15" t="n"/>
      <c r="P1577" s="15" t="n"/>
      <c r="Q1577" s="15" t="n"/>
      <c r="R1577" s="25" t="n"/>
      <c r="S1577" s="26">
        <f>IF($A1577="","",AND(OR('Assignment Builder'!$B$5="",$B1577='Assignment Builder'!$B$5),OR('Assignment Builder'!$B$6="",ISNUMBER(SEARCH('Assignment Builder'!$B$6,$C1577))),OR('Assignment Builder'!$B$7="",'Assignment Builder'!$B$7=IFERROR(INDEX('Category Dictionary'!$C$5:$C$135,MATCH($L1577,'Category Dictionary'!$D$5:$D$135,0)),"")),OR('Assignment Builder'!$B$8="",$D1577='Assignment Builder'!$B$8),OR('Assignment Builder'!$B$9="",$F1577='Assignment Builder'!$B$9),OR('Assignment Builder'!$B$10="",$O1577='Assignment Builder'!$B$10),OR('Assignment Builder'!$B$11="",$H1577&gt;='Assignment Builder'!$B$11),OR('Assignment Builder'!$B$12="",N($Q1577)&lt;='Assignment Builder'!$B$12)))</f>
        <v/>
      </c>
      <c r="T1577" s="23" t="n"/>
    </row>
    <row r="1578">
      <c r="A1578" s="23" t="n"/>
      <c r="B1578" s="23" t="n"/>
      <c r="C1578" s="24" t="n"/>
      <c r="D1578" s="15" t="n"/>
      <c r="E1578" s="23" t="n"/>
      <c r="F1578" s="15" t="n"/>
      <c r="G1578" s="23" t="n"/>
      <c r="H1578" s="25" t="n"/>
      <c r="I1578" s="15" t="n"/>
      <c r="J1578" s="26">
        <f>IF($A1578="","",LEN($C1578)-LEN(SUBSTITUTE($C1578,",",""))+1)</f>
        <v/>
      </c>
      <c r="K1578" s="26">
        <f>IF($A1578="","",SUMPRODUCT(--ISNUMBER(SEARCH('Category Dictionary'!$D$5:$D$135&amp;"",$C1578)),--('Category Dictionary'!$D$5:$D$135&lt;&gt;"")))</f>
        <v/>
      </c>
      <c r="L1578" s="27">
        <f>IF($A1578="","",TRIM(IF(ISERROR(FIND(",",$C1578)),$C1578,LEFT($C1578,FIND(",",$C1578)-1))))</f>
        <v/>
      </c>
      <c r="M1578" s="28">
        <f>IF($H1578="","",DATE(YEAR($H1578),MONTH($H1578),1))</f>
        <v/>
      </c>
      <c r="N1578" s="26">
        <f>IF($H1578="","",TODAY()-$H1578)</f>
        <v/>
      </c>
      <c r="O1578" s="15" t="n"/>
      <c r="P1578" s="15" t="n"/>
      <c r="Q1578" s="15" t="n"/>
      <c r="R1578" s="25" t="n"/>
      <c r="S1578" s="26">
        <f>IF($A1578="","",AND(OR('Assignment Builder'!$B$5="",$B1578='Assignment Builder'!$B$5),OR('Assignment Builder'!$B$6="",ISNUMBER(SEARCH('Assignment Builder'!$B$6,$C1578))),OR('Assignment Builder'!$B$7="",'Assignment Builder'!$B$7=IFERROR(INDEX('Category Dictionary'!$C$5:$C$135,MATCH($L1578,'Category Dictionary'!$D$5:$D$135,0)),"")),OR('Assignment Builder'!$B$8="",$D1578='Assignment Builder'!$B$8),OR('Assignment Builder'!$B$9="",$F1578='Assignment Builder'!$B$9),OR('Assignment Builder'!$B$10="",$O1578='Assignment Builder'!$B$10),OR('Assignment Builder'!$B$11="",$H1578&gt;='Assignment Builder'!$B$11),OR('Assignment Builder'!$B$12="",N($Q1578)&lt;='Assignment Builder'!$B$12)))</f>
        <v/>
      </c>
      <c r="T1578" s="23" t="n"/>
    </row>
    <row r="1579">
      <c r="A1579" s="23" t="n"/>
      <c r="B1579" s="23" t="n"/>
      <c r="C1579" s="24" t="n"/>
      <c r="D1579" s="15" t="n"/>
      <c r="E1579" s="23" t="n"/>
      <c r="F1579" s="15" t="n"/>
      <c r="G1579" s="23" t="n"/>
      <c r="H1579" s="25" t="n"/>
      <c r="I1579" s="15" t="n"/>
      <c r="J1579" s="26">
        <f>IF($A1579="","",LEN($C1579)-LEN(SUBSTITUTE($C1579,",",""))+1)</f>
        <v/>
      </c>
      <c r="K1579" s="26">
        <f>IF($A1579="","",SUMPRODUCT(--ISNUMBER(SEARCH('Category Dictionary'!$D$5:$D$135&amp;"",$C1579)),--('Category Dictionary'!$D$5:$D$135&lt;&gt;"")))</f>
        <v/>
      </c>
      <c r="L1579" s="27">
        <f>IF($A1579="","",TRIM(IF(ISERROR(FIND(",",$C1579)),$C1579,LEFT($C1579,FIND(",",$C1579)-1))))</f>
        <v/>
      </c>
      <c r="M1579" s="28">
        <f>IF($H1579="","",DATE(YEAR($H1579),MONTH($H1579),1))</f>
        <v/>
      </c>
      <c r="N1579" s="26">
        <f>IF($H1579="","",TODAY()-$H1579)</f>
        <v/>
      </c>
      <c r="O1579" s="15" t="n"/>
      <c r="P1579" s="15" t="n"/>
      <c r="Q1579" s="15" t="n"/>
      <c r="R1579" s="25" t="n"/>
      <c r="S1579" s="26">
        <f>IF($A1579="","",AND(OR('Assignment Builder'!$B$5="",$B1579='Assignment Builder'!$B$5),OR('Assignment Builder'!$B$6="",ISNUMBER(SEARCH('Assignment Builder'!$B$6,$C1579))),OR('Assignment Builder'!$B$7="",'Assignment Builder'!$B$7=IFERROR(INDEX('Category Dictionary'!$C$5:$C$135,MATCH($L1579,'Category Dictionary'!$D$5:$D$135,0)),"")),OR('Assignment Builder'!$B$8="",$D1579='Assignment Builder'!$B$8),OR('Assignment Builder'!$B$9="",$F1579='Assignment Builder'!$B$9),OR('Assignment Builder'!$B$10="",$O1579='Assignment Builder'!$B$10),OR('Assignment Builder'!$B$11="",$H1579&gt;='Assignment Builder'!$B$11),OR('Assignment Builder'!$B$12="",N($Q1579)&lt;='Assignment Builder'!$B$12)))</f>
        <v/>
      </c>
      <c r="T1579" s="23" t="n"/>
    </row>
    <row r="1580">
      <c r="A1580" s="23" t="n"/>
      <c r="B1580" s="23" t="n"/>
      <c r="C1580" s="24" t="n"/>
      <c r="D1580" s="15" t="n"/>
      <c r="E1580" s="23" t="n"/>
      <c r="F1580" s="15" t="n"/>
      <c r="G1580" s="23" t="n"/>
      <c r="H1580" s="25" t="n"/>
      <c r="I1580" s="15" t="n"/>
      <c r="J1580" s="26">
        <f>IF($A1580="","",LEN($C1580)-LEN(SUBSTITUTE($C1580,",",""))+1)</f>
        <v/>
      </c>
      <c r="K1580" s="26">
        <f>IF($A1580="","",SUMPRODUCT(--ISNUMBER(SEARCH('Category Dictionary'!$D$5:$D$135&amp;"",$C1580)),--('Category Dictionary'!$D$5:$D$135&lt;&gt;"")))</f>
        <v/>
      </c>
      <c r="L1580" s="27">
        <f>IF($A1580="","",TRIM(IF(ISERROR(FIND(",",$C1580)),$C1580,LEFT($C1580,FIND(",",$C1580)-1))))</f>
        <v/>
      </c>
      <c r="M1580" s="28">
        <f>IF($H1580="","",DATE(YEAR($H1580),MONTH($H1580),1))</f>
        <v/>
      </c>
      <c r="N1580" s="26">
        <f>IF($H1580="","",TODAY()-$H1580)</f>
        <v/>
      </c>
      <c r="O1580" s="15" t="n"/>
      <c r="P1580" s="15" t="n"/>
      <c r="Q1580" s="15" t="n"/>
      <c r="R1580" s="25" t="n"/>
      <c r="S1580" s="26">
        <f>IF($A1580="","",AND(OR('Assignment Builder'!$B$5="",$B1580='Assignment Builder'!$B$5),OR('Assignment Builder'!$B$6="",ISNUMBER(SEARCH('Assignment Builder'!$B$6,$C1580))),OR('Assignment Builder'!$B$7="",'Assignment Builder'!$B$7=IFERROR(INDEX('Category Dictionary'!$C$5:$C$135,MATCH($L1580,'Category Dictionary'!$D$5:$D$135,0)),"")),OR('Assignment Builder'!$B$8="",$D1580='Assignment Builder'!$B$8),OR('Assignment Builder'!$B$9="",$F1580='Assignment Builder'!$B$9),OR('Assignment Builder'!$B$10="",$O1580='Assignment Builder'!$B$10),OR('Assignment Builder'!$B$11="",$H1580&gt;='Assignment Builder'!$B$11),OR('Assignment Builder'!$B$12="",N($Q1580)&lt;='Assignment Builder'!$B$12)))</f>
        <v/>
      </c>
      <c r="T1580" s="23" t="n"/>
    </row>
    <row r="1581">
      <c r="A1581" s="23" t="n"/>
      <c r="B1581" s="23" t="n"/>
      <c r="C1581" s="24" t="n"/>
      <c r="D1581" s="15" t="n"/>
      <c r="E1581" s="23" t="n"/>
      <c r="F1581" s="15" t="n"/>
      <c r="G1581" s="23" t="n"/>
      <c r="H1581" s="25" t="n"/>
      <c r="I1581" s="15" t="n"/>
      <c r="J1581" s="26">
        <f>IF($A1581="","",LEN($C1581)-LEN(SUBSTITUTE($C1581,",",""))+1)</f>
        <v/>
      </c>
      <c r="K1581" s="26">
        <f>IF($A1581="","",SUMPRODUCT(--ISNUMBER(SEARCH('Category Dictionary'!$D$5:$D$135&amp;"",$C1581)),--('Category Dictionary'!$D$5:$D$135&lt;&gt;"")))</f>
        <v/>
      </c>
      <c r="L1581" s="27">
        <f>IF($A1581="","",TRIM(IF(ISERROR(FIND(",",$C1581)),$C1581,LEFT($C1581,FIND(",",$C1581)-1))))</f>
        <v/>
      </c>
      <c r="M1581" s="28">
        <f>IF($H1581="","",DATE(YEAR($H1581),MONTH($H1581),1))</f>
        <v/>
      </c>
      <c r="N1581" s="26">
        <f>IF($H1581="","",TODAY()-$H1581)</f>
        <v/>
      </c>
      <c r="O1581" s="15" t="n"/>
      <c r="P1581" s="15" t="n"/>
      <c r="Q1581" s="15" t="n"/>
      <c r="R1581" s="25" t="n"/>
      <c r="S1581" s="26">
        <f>IF($A1581="","",AND(OR('Assignment Builder'!$B$5="",$B1581='Assignment Builder'!$B$5),OR('Assignment Builder'!$B$6="",ISNUMBER(SEARCH('Assignment Builder'!$B$6,$C1581))),OR('Assignment Builder'!$B$7="",'Assignment Builder'!$B$7=IFERROR(INDEX('Category Dictionary'!$C$5:$C$135,MATCH($L1581,'Category Dictionary'!$D$5:$D$135,0)),"")),OR('Assignment Builder'!$B$8="",$D1581='Assignment Builder'!$B$8),OR('Assignment Builder'!$B$9="",$F1581='Assignment Builder'!$B$9),OR('Assignment Builder'!$B$10="",$O1581='Assignment Builder'!$B$10),OR('Assignment Builder'!$B$11="",$H1581&gt;='Assignment Builder'!$B$11),OR('Assignment Builder'!$B$12="",N($Q1581)&lt;='Assignment Builder'!$B$12)))</f>
        <v/>
      </c>
      <c r="T1581" s="23" t="n"/>
    </row>
    <row r="1582">
      <c r="A1582" s="23" t="n"/>
      <c r="B1582" s="23" t="n"/>
      <c r="C1582" s="24" t="n"/>
      <c r="D1582" s="15" t="n"/>
      <c r="E1582" s="23" t="n"/>
      <c r="F1582" s="15" t="n"/>
      <c r="G1582" s="23" t="n"/>
      <c r="H1582" s="25" t="n"/>
      <c r="I1582" s="15" t="n"/>
      <c r="J1582" s="26">
        <f>IF($A1582="","",LEN($C1582)-LEN(SUBSTITUTE($C1582,",",""))+1)</f>
        <v/>
      </c>
      <c r="K1582" s="26">
        <f>IF($A1582="","",SUMPRODUCT(--ISNUMBER(SEARCH('Category Dictionary'!$D$5:$D$135&amp;"",$C1582)),--('Category Dictionary'!$D$5:$D$135&lt;&gt;"")))</f>
        <v/>
      </c>
      <c r="L1582" s="27">
        <f>IF($A1582="","",TRIM(IF(ISERROR(FIND(",",$C1582)),$C1582,LEFT($C1582,FIND(",",$C1582)-1))))</f>
        <v/>
      </c>
      <c r="M1582" s="28">
        <f>IF($H1582="","",DATE(YEAR($H1582),MONTH($H1582),1))</f>
        <v/>
      </c>
      <c r="N1582" s="26">
        <f>IF($H1582="","",TODAY()-$H1582)</f>
        <v/>
      </c>
      <c r="O1582" s="15" t="n"/>
      <c r="P1582" s="15" t="n"/>
      <c r="Q1582" s="15" t="n"/>
      <c r="R1582" s="25" t="n"/>
      <c r="S1582" s="26">
        <f>IF($A1582="","",AND(OR('Assignment Builder'!$B$5="",$B1582='Assignment Builder'!$B$5),OR('Assignment Builder'!$B$6="",ISNUMBER(SEARCH('Assignment Builder'!$B$6,$C1582))),OR('Assignment Builder'!$B$7="",'Assignment Builder'!$B$7=IFERROR(INDEX('Category Dictionary'!$C$5:$C$135,MATCH($L1582,'Category Dictionary'!$D$5:$D$135,0)),"")),OR('Assignment Builder'!$B$8="",$D1582='Assignment Builder'!$B$8),OR('Assignment Builder'!$B$9="",$F1582='Assignment Builder'!$B$9),OR('Assignment Builder'!$B$10="",$O1582='Assignment Builder'!$B$10),OR('Assignment Builder'!$B$11="",$H1582&gt;='Assignment Builder'!$B$11),OR('Assignment Builder'!$B$12="",N($Q1582)&lt;='Assignment Builder'!$B$12)))</f>
        <v/>
      </c>
      <c r="T1582" s="23" t="n"/>
    </row>
    <row r="1583">
      <c r="A1583" s="23" t="n"/>
      <c r="B1583" s="23" t="n"/>
      <c r="C1583" s="24" t="n"/>
      <c r="D1583" s="15" t="n"/>
      <c r="E1583" s="23" t="n"/>
      <c r="F1583" s="15" t="n"/>
      <c r="G1583" s="23" t="n"/>
      <c r="H1583" s="25" t="n"/>
      <c r="I1583" s="15" t="n"/>
      <c r="J1583" s="26">
        <f>IF($A1583="","",LEN($C1583)-LEN(SUBSTITUTE($C1583,",",""))+1)</f>
        <v/>
      </c>
      <c r="K1583" s="26">
        <f>IF($A1583="","",SUMPRODUCT(--ISNUMBER(SEARCH('Category Dictionary'!$D$5:$D$135&amp;"",$C1583)),--('Category Dictionary'!$D$5:$D$135&lt;&gt;"")))</f>
        <v/>
      </c>
      <c r="L1583" s="27">
        <f>IF($A1583="","",TRIM(IF(ISERROR(FIND(",",$C1583)),$C1583,LEFT($C1583,FIND(",",$C1583)-1))))</f>
        <v/>
      </c>
      <c r="M1583" s="28">
        <f>IF($H1583="","",DATE(YEAR($H1583),MONTH($H1583),1))</f>
        <v/>
      </c>
      <c r="N1583" s="26">
        <f>IF($H1583="","",TODAY()-$H1583)</f>
        <v/>
      </c>
      <c r="O1583" s="15" t="n"/>
      <c r="P1583" s="15" t="n"/>
      <c r="Q1583" s="15" t="n"/>
      <c r="R1583" s="25" t="n"/>
      <c r="S1583" s="26">
        <f>IF($A1583="","",AND(OR('Assignment Builder'!$B$5="",$B1583='Assignment Builder'!$B$5),OR('Assignment Builder'!$B$6="",ISNUMBER(SEARCH('Assignment Builder'!$B$6,$C1583))),OR('Assignment Builder'!$B$7="",'Assignment Builder'!$B$7=IFERROR(INDEX('Category Dictionary'!$C$5:$C$135,MATCH($L1583,'Category Dictionary'!$D$5:$D$135,0)),"")),OR('Assignment Builder'!$B$8="",$D1583='Assignment Builder'!$B$8),OR('Assignment Builder'!$B$9="",$F1583='Assignment Builder'!$B$9),OR('Assignment Builder'!$B$10="",$O1583='Assignment Builder'!$B$10),OR('Assignment Builder'!$B$11="",$H1583&gt;='Assignment Builder'!$B$11),OR('Assignment Builder'!$B$12="",N($Q1583)&lt;='Assignment Builder'!$B$12)))</f>
        <v/>
      </c>
      <c r="T1583" s="23" t="n"/>
    </row>
    <row r="1584">
      <c r="A1584" s="23" t="n"/>
      <c r="B1584" s="23" t="n"/>
      <c r="C1584" s="24" t="n"/>
      <c r="D1584" s="15" t="n"/>
      <c r="E1584" s="23" t="n"/>
      <c r="F1584" s="15" t="n"/>
      <c r="G1584" s="23" t="n"/>
      <c r="H1584" s="25" t="n"/>
      <c r="I1584" s="15" t="n"/>
      <c r="J1584" s="26">
        <f>IF($A1584="","",LEN($C1584)-LEN(SUBSTITUTE($C1584,",",""))+1)</f>
        <v/>
      </c>
      <c r="K1584" s="26">
        <f>IF($A1584="","",SUMPRODUCT(--ISNUMBER(SEARCH('Category Dictionary'!$D$5:$D$135&amp;"",$C1584)),--('Category Dictionary'!$D$5:$D$135&lt;&gt;"")))</f>
        <v/>
      </c>
      <c r="L1584" s="27">
        <f>IF($A1584="","",TRIM(IF(ISERROR(FIND(",",$C1584)),$C1584,LEFT($C1584,FIND(",",$C1584)-1))))</f>
        <v/>
      </c>
      <c r="M1584" s="28">
        <f>IF($H1584="","",DATE(YEAR($H1584),MONTH($H1584),1))</f>
        <v/>
      </c>
      <c r="N1584" s="26">
        <f>IF($H1584="","",TODAY()-$H1584)</f>
        <v/>
      </c>
      <c r="O1584" s="15" t="n"/>
      <c r="P1584" s="15" t="n"/>
      <c r="Q1584" s="15" t="n"/>
      <c r="R1584" s="25" t="n"/>
      <c r="S1584" s="26">
        <f>IF($A1584="","",AND(OR('Assignment Builder'!$B$5="",$B1584='Assignment Builder'!$B$5),OR('Assignment Builder'!$B$6="",ISNUMBER(SEARCH('Assignment Builder'!$B$6,$C1584))),OR('Assignment Builder'!$B$7="",'Assignment Builder'!$B$7=IFERROR(INDEX('Category Dictionary'!$C$5:$C$135,MATCH($L1584,'Category Dictionary'!$D$5:$D$135,0)),"")),OR('Assignment Builder'!$B$8="",$D1584='Assignment Builder'!$B$8),OR('Assignment Builder'!$B$9="",$F1584='Assignment Builder'!$B$9),OR('Assignment Builder'!$B$10="",$O1584='Assignment Builder'!$B$10),OR('Assignment Builder'!$B$11="",$H1584&gt;='Assignment Builder'!$B$11),OR('Assignment Builder'!$B$12="",N($Q1584)&lt;='Assignment Builder'!$B$12)))</f>
        <v/>
      </c>
      <c r="T1584" s="23" t="n"/>
    </row>
    <row r="1585">
      <c r="A1585" s="23" t="n"/>
      <c r="B1585" s="23" t="n"/>
      <c r="C1585" s="24" t="n"/>
      <c r="D1585" s="15" t="n"/>
      <c r="E1585" s="23" t="n"/>
      <c r="F1585" s="15" t="n"/>
      <c r="G1585" s="23" t="n"/>
      <c r="H1585" s="25" t="n"/>
      <c r="I1585" s="15" t="n"/>
      <c r="J1585" s="26">
        <f>IF($A1585="","",LEN($C1585)-LEN(SUBSTITUTE($C1585,",",""))+1)</f>
        <v/>
      </c>
      <c r="K1585" s="26">
        <f>IF($A1585="","",SUMPRODUCT(--ISNUMBER(SEARCH('Category Dictionary'!$D$5:$D$135&amp;"",$C1585)),--('Category Dictionary'!$D$5:$D$135&lt;&gt;"")))</f>
        <v/>
      </c>
      <c r="L1585" s="27">
        <f>IF($A1585="","",TRIM(IF(ISERROR(FIND(",",$C1585)),$C1585,LEFT($C1585,FIND(",",$C1585)-1))))</f>
        <v/>
      </c>
      <c r="M1585" s="28">
        <f>IF($H1585="","",DATE(YEAR($H1585),MONTH($H1585),1))</f>
        <v/>
      </c>
      <c r="N1585" s="26">
        <f>IF($H1585="","",TODAY()-$H1585)</f>
        <v/>
      </c>
      <c r="O1585" s="15" t="n"/>
      <c r="P1585" s="15" t="n"/>
      <c r="Q1585" s="15" t="n"/>
      <c r="R1585" s="25" t="n"/>
      <c r="S1585" s="26">
        <f>IF($A1585="","",AND(OR('Assignment Builder'!$B$5="",$B1585='Assignment Builder'!$B$5),OR('Assignment Builder'!$B$6="",ISNUMBER(SEARCH('Assignment Builder'!$B$6,$C1585))),OR('Assignment Builder'!$B$7="",'Assignment Builder'!$B$7=IFERROR(INDEX('Category Dictionary'!$C$5:$C$135,MATCH($L1585,'Category Dictionary'!$D$5:$D$135,0)),"")),OR('Assignment Builder'!$B$8="",$D1585='Assignment Builder'!$B$8),OR('Assignment Builder'!$B$9="",$F1585='Assignment Builder'!$B$9),OR('Assignment Builder'!$B$10="",$O1585='Assignment Builder'!$B$10),OR('Assignment Builder'!$B$11="",$H1585&gt;='Assignment Builder'!$B$11),OR('Assignment Builder'!$B$12="",N($Q1585)&lt;='Assignment Builder'!$B$12)))</f>
        <v/>
      </c>
      <c r="T1585" s="23" t="n"/>
    </row>
    <row r="1586">
      <c r="A1586" s="23" t="n"/>
      <c r="B1586" s="23" t="n"/>
      <c r="C1586" s="24" t="n"/>
      <c r="D1586" s="15" t="n"/>
      <c r="E1586" s="23" t="n"/>
      <c r="F1586" s="15" t="n"/>
      <c r="G1586" s="23" t="n"/>
      <c r="H1586" s="25" t="n"/>
      <c r="I1586" s="15" t="n"/>
      <c r="J1586" s="26">
        <f>IF($A1586="","",LEN($C1586)-LEN(SUBSTITUTE($C1586,",",""))+1)</f>
        <v/>
      </c>
      <c r="K1586" s="26">
        <f>IF($A1586="","",SUMPRODUCT(--ISNUMBER(SEARCH('Category Dictionary'!$D$5:$D$135&amp;"",$C1586)),--('Category Dictionary'!$D$5:$D$135&lt;&gt;"")))</f>
        <v/>
      </c>
      <c r="L1586" s="27">
        <f>IF($A1586="","",TRIM(IF(ISERROR(FIND(",",$C1586)),$C1586,LEFT($C1586,FIND(",",$C1586)-1))))</f>
        <v/>
      </c>
      <c r="M1586" s="28">
        <f>IF($H1586="","",DATE(YEAR($H1586),MONTH($H1586),1))</f>
        <v/>
      </c>
      <c r="N1586" s="26">
        <f>IF($H1586="","",TODAY()-$H1586)</f>
        <v/>
      </c>
      <c r="O1586" s="15" t="n"/>
      <c r="P1586" s="15" t="n"/>
      <c r="Q1586" s="15" t="n"/>
      <c r="R1586" s="25" t="n"/>
      <c r="S1586" s="26">
        <f>IF($A1586="","",AND(OR('Assignment Builder'!$B$5="",$B1586='Assignment Builder'!$B$5),OR('Assignment Builder'!$B$6="",ISNUMBER(SEARCH('Assignment Builder'!$B$6,$C1586))),OR('Assignment Builder'!$B$7="",'Assignment Builder'!$B$7=IFERROR(INDEX('Category Dictionary'!$C$5:$C$135,MATCH($L1586,'Category Dictionary'!$D$5:$D$135,0)),"")),OR('Assignment Builder'!$B$8="",$D1586='Assignment Builder'!$B$8),OR('Assignment Builder'!$B$9="",$F1586='Assignment Builder'!$B$9),OR('Assignment Builder'!$B$10="",$O1586='Assignment Builder'!$B$10),OR('Assignment Builder'!$B$11="",$H1586&gt;='Assignment Builder'!$B$11),OR('Assignment Builder'!$B$12="",N($Q1586)&lt;='Assignment Builder'!$B$12)))</f>
        <v/>
      </c>
      <c r="T1586" s="23" t="n"/>
    </row>
    <row r="1587">
      <c r="A1587" s="23" t="n"/>
      <c r="B1587" s="23" t="n"/>
      <c r="C1587" s="24" t="n"/>
      <c r="D1587" s="15" t="n"/>
      <c r="E1587" s="23" t="n"/>
      <c r="F1587" s="15" t="n"/>
      <c r="G1587" s="23" t="n"/>
      <c r="H1587" s="25" t="n"/>
      <c r="I1587" s="15" t="n"/>
      <c r="J1587" s="26">
        <f>IF($A1587="","",LEN($C1587)-LEN(SUBSTITUTE($C1587,",",""))+1)</f>
        <v/>
      </c>
      <c r="K1587" s="26">
        <f>IF($A1587="","",SUMPRODUCT(--ISNUMBER(SEARCH('Category Dictionary'!$D$5:$D$135&amp;"",$C1587)),--('Category Dictionary'!$D$5:$D$135&lt;&gt;"")))</f>
        <v/>
      </c>
      <c r="L1587" s="27">
        <f>IF($A1587="","",TRIM(IF(ISERROR(FIND(",",$C1587)),$C1587,LEFT($C1587,FIND(",",$C1587)-1))))</f>
        <v/>
      </c>
      <c r="M1587" s="28">
        <f>IF($H1587="","",DATE(YEAR($H1587),MONTH($H1587),1))</f>
        <v/>
      </c>
      <c r="N1587" s="26">
        <f>IF($H1587="","",TODAY()-$H1587)</f>
        <v/>
      </c>
      <c r="O1587" s="15" t="n"/>
      <c r="P1587" s="15" t="n"/>
      <c r="Q1587" s="15" t="n"/>
      <c r="R1587" s="25" t="n"/>
      <c r="S1587" s="26">
        <f>IF($A1587="","",AND(OR('Assignment Builder'!$B$5="",$B1587='Assignment Builder'!$B$5),OR('Assignment Builder'!$B$6="",ISNUMBER(SEARCH('Assignment Builder'!$B$6,$C1587))),OR('Assignment Builder'!$B$7="",'Assignment Builder'!$B$7=IFERROR(INDEX('Category Dictionary'!$C$5:$C$135,MATCH($L1587,'Category Dictionary'!$D$5:$D$135,0)),"")),OR('Assignment Builder'!$B$8="",$D1587='Assignment Builder'!$B$8),OR('Assignment Builder'!$B$9="",$F1587='Assignment Builder'!$B$9),OR('Assignment Builder'!$B$10="",$O1587='Assignment Builder'!$B$10),OR('Assignment Builder'!$B$11="",$H1587&gt;='Assignment Builder'!$B$11),OR('Assignment Builder'!$B$12="",N($Q1587)&lt;='Assignment Builder'!$B$12)))</f>
        <v/>
      </c>
      <c r="T1587" s="23" t="n"/>
    </row>
    <row r="1588">
      <c r="A1588" s="23" t="n"/>
      <c r="B1588" s="23" t="n"/>
      <c r="C1588" s="24" t="n"/>
      <c r="D1588" s="15" t="n"/>
      <c r="E1588" s="23" t="n"/>
      <c r="F1588" s="15" t="n"/>
      <c r="G1588" s="23" t="n"/>
      <c r="H1588" s="25" t="n"/>
      <c r="I1588" s="15" t="n"/>
      <c r="J1588" s="26">
        <f>IF($A1588="","",LEN($C1588)-LEN(SUBSTITUTE($C1588,",",""))+1)</f>
        <v/>
      </c>
      <c r="K1588" s="26">
        <f>IF($A1588="","",SUMPRODUCT(--ISNUMBER(SEARCH('Category Dictionary'!$D$5:$D$135&amp;"",$C1588)),--('Category Dictionary'!$D$5:$D$135&lt;&gt;"")))</f>
        <v/>
      </c>
      <c r="L1588" s="27">
        <f>IF($A1588="","",TRIM(IF(ISERROR(FIND(",",$C1588)),$C1588,LEFT($C1588,FIND(",",$C1588)-1))))</f>
        <v/>
      </c>
      <c r="M1588" s="28">
        <f>IF($H1588="","",DATE(YEAR($H1588),MONTH($H1588),1))</f>
        <v/>
      </c>
      <c r="N1588" s="26">
        <f>IF($H1588="","",TODAY()-$H1588)</f>
        <v/>
      </c>
      <c r="O1588" s="15" t="n"/>
      <c r="P1588" s="15" t="n"/>
      <c r="Q1588" s="15" t="n"/>
      <c r="R1588" s="25" t="n"/>
      <c r="S1588" s="26">
        <f>IF($A1588="","",AND(OR('Assignment Builder'!$B$5="",$B1588='Assignment Builder'!$B$5),OR('Assignment Builder'!$B$6="",ISNUMBER(SEARCH('Assignment Builder'!$B$6,$C1588))),OR('Assignment Builder'!$B$7="",'Assignment Builder'!$B$7=IFERROR(INDEX('Category Dictionary'!$C$5:$C$135,MATCH($L1588,'Category Dictionary'!$D$5:$D$135,0)),"")),OR('Assignment Builder'!$B$8="",$D1588='Assignment Builder'!$B$8),OR('Assignment Builder'!$B$9="",$F1588='Assignment Builder'!$B$9),OR('Assignment Builder'!$B$10="",$O1588='Assignment Builder'!$B$10),OR('Assignment Builder'!$B$11="",$H1588&gt;='Assignment Builder'!$B$11),OR('Assignment Builder'!$B$12="",N($Q1588)&lt;='Assignment Builder'!$B$12)))</f>
        <v/>
      </c>
      <c r="T1588" s="23" t="n"/>
    </row>
    <row r="1589">
      <c r="A1589" s="23" t="n"/>
      <c r="B1589" s="23" t="n"/>
      <c r="C1589" s="24" t="n"/>
      <c r="D1589" s="15" t="n"/>
      <c r="E1589" s="23" t="n"/>
      <c r="F1589" s="15" t="n"/>
      <c r="G1589" s="23" t="n"/>
      <c r="H1589" s="25" t="n"/>
      <c r="I1589" s="15" t="n"/>
      <c r="J1589" s="26">
        <f>IF($A1589="","",LEN($C1589)-LEN(SUBSTITUTE($C1589,",",""))+1)</f>
        <v/>
      </c>
      <c r="K1589" s="26">
        <f>IF($A1589="","",SUMPRODUCT(--ISNUMBER(SEARCH('Category Dictionary'!$D$5:$D$135&amp;"",$C1589)),--('Category Dictionary'!$D$5:$D$135&lt;&gt;"")))</f>
        <v/>
      </c>
      <c r="L1589" s="27">
        <f>IF($A1589="","",TRIM(IF(ISERROR(FIND(",",$C1589)),$C1589,LEFT($C1589,FIND(",",$C1589)-1))))</f>
        <v/>
      </c>
      <c r="M1589" s="28">
        <f>IF($H1589="","",DATE(YEAR($H1589),MONTH($H1589),1))</f>
        <v/>
      </c>
      <c r="N1589" s="26">
        <f>IF($H1589="","",TODAY()-$H1589)</f>
        <v/>
      </c>
      <c r="O1589" s="15" t="n"/>
      <c r="P1589" s="15" t="n"/>
      <c r="Q1589" s="15" t="n"/>
      <c r="R1589" s="25" t="n"/>
      <c r="S1589" s="26">
        <f>IF($A1589="","",AND(OR('Assignment Builder'!$B$5="",$B1589='Assignment Builder'!$B$5),OR('Assignment Builder'!$B$6="",ISNUMBER(SEARCH('Assignment Builder'!$B$6,$C1589))),OR('Assignment Builder'!$B$7="",'Assignment Builder'!$B$7=IFERROR(INDEX('Category Dictionary'!$C$5:$C$135,MATCH($L1589,'Category Dictionary'!$D$5:$D$135,0)),"")),OR('Assignment Builder'!$B$8="",$D1589='Assignment Builder'!$B$8),OR('Assignment Builder'!$B$9="",$F1589='Assignment Builder'!$B$9),OR('Assignment Builder'!$B$10="",$O1589='Assignment Builder'!$B$10),OR('Assignment Builder'!$B$11="",$H1589&gt;='Assignment Builder'!$B$11),OR('Assignment Builder'!$B$12="",N($Q1589)&lt;='Assignment Builder'!$B$12)))</f>
        <v/>
      </c>
      <c r="T1589" s="23" t="n"/>
    </row>
    <row r="1590">
      <c r="A1590" s="23" t="n"/>
      <c r="B1590" s="23" t="n"/>
      <c r="C1590" s="24" t="n"/>
      <c r="D1590" s="15" t="n"/>
      <c r="E1590" s="23" t="n"/>
      <c r="F1590" s="15" t="n"/>
      <c r="G1590" s="23" t="n"/>
      <c r="H1590" s="25" t="n"/>
      <c r="I1590" s="15" t="n"/>
      <c r="J1590" s="26">
        <f>IF($A1590="","",LEN($C1590)-LEN(SUBSTITUTE($C1590,",",""))+1)</f>
        <v/>
      </c>
      <c r="K1590" s="26">
        <f>IF($A1590="","",SUMPRODUCT(--ISNUMBER(SEARCH('Category Dictionary'!$D$5:$D$135&amp;"",$C1590)),--('Category Dictionary'!$D$5:$D$135&lt;&gt;"")))</f>
        <v/>
      </c>
      <c r="L1590" s="27">
        <f>IF($A1590="","",TRIM(IF(ISERROR(FIND(",",$C1590)),$C1590,LEFT($C1590,FIND(",",$C1590)-1))))</f>
        <v/>
      </c>
      <c r="M1590" s="28">
        <f>IF($H1590="","",DATE(YEAR($H1590),MONTH($H1590),1))</f>
        <v/>
      </c>
      <c r="N1590" s="26">
        <f>IF($H1590="","",TODAY()-$H1590)</f>
        <v/>
      </c>
      <c r="O1590" s="15" t="n"/>
      <c r="P1590" s="15" t="n"/>
      <c r="Q1590" s="15" t="n"/>
      <c r="R1590" s="25" t="n"/>
      <c r="S1590" s="26">
        <f>IF($A1590="","",AND(OR('Assignment Builder'!$B$5="",$B1590='Assignment Builder'!$B$5),OR('Assignment Builder'!$B$6="",ISNUMBER(SEARCH('Assignment Builder'!$B$6,$C1590))),OR('Assignment Builder'!$B$7="",'Assignment Builder'!$B$7=IFERROR(INDEX('Category Dictionary'!$C$5:$C$135,MATCH($L1590,'Category Dictionary'!$D$5:$D$135,0)),"")),OR('Assignment Builder'!$B$8="",$D1590='Assignment Builder'!$B$8),OR('Assignment Builder'!$B$9="",$F1590='Assignment Builder'!$B$9),OR('Assignment Builder'!$B$10="",$O1590='Assignment Builder'!$B$10),OR('Assignment Builder'!$B$11="",$H1590&gt;='Assignment Builder'!$B$11),OR('Assignment Builder'!$B$12="",N($Q1590)&lt;='Assignment Builder'!$B$12)))</f>
        <v/>
      </c>
      <c r="T1590" s="23" t="n"/>
    </row>
    <row r="1591">
      <c r="A1591" s="23" t="n"/>
      <c r="B1591" s="23" t="n"/>
      <c r="C1591" s="24" t="n"/>
      <c r="D1591" s="15" t="n"/>
      <c r="E1591" s="23" t="n"/>
      <c r="F1591" s="15" t="n"/>
      <c r="G1591" s="23" t="n"/>
      <c r="H1591" s="25" t="n"/>
      <c r="I1591" s="15" t="n"/>
      <c r="J1591" s="26">
        <f>IF($A1591="","",LEN($C1591)-LEN(SUBSTITUTE($C1591,",",""))+1)</f>
        <v/>
      </c>
      <c r="K1591" s="26">
        <f>IF($A1591="","",SUMPRODUCT(--ISNUMBER(SEARCH('Category Dictionary'!$D$5:$D$135&amp;"",$C1591)),--('Category Dictionary'!$D$5:$D$135&lt;&gt;"")))</f>
        <v/>
      </c>
      <c r="L1591" s="27">
        <f>IF($A1591="","",TRIM(IF(ISERROR(FIND(",",$C1591)),$C1591,LEFT($C1591,FIND(",",$C1591)-1))))</f>
        <v/>
      </c>
      <c r="M1591" s="28">
        <f>IF($H1591="","",DATE(YEAR($H1591),MONTH($H1591),1))</f>
        <v/>
      </c>
      <c r="N1591" s="26">
        <f>IF($H1591="","",TODAY()-$H1591)</f>
        <v/>
      </c>
      <c r="O1591" s="15" t="n"/>
      <c r="P1591" s="15" t="n"/>
      <c r="Q1591" s="15" t="n"/>
      <c r="R1591" s="25" t="n"/>
      <c r="S1591" s="26">
        <f>IF($A1591="","",AND(OR('Assignment Builder'!$B$5="",$B1591='Assignment Builder'!$B$5),OR('Assignment Builder'!$B$6="",ISNUMBER(SEARCH('Assignment Builder'!$B$6,$C1591))),OR('Assignment Builder'!$B$7="",'Assignment Builder'!$B$7=IFERROR(INDEX('Category Dictionary'!$C$5:$C$135,MATCH($L1591,'Category Dictionary'!$D$5:$D$135,0)),"")),OR('Assignment Builder'!$B$8="",$D1591='Assignment Builder'!$B$8),OR('Assignment Builder'!$B$9="",$F1591='Assignment Builder'!$B$9),OR('Assignment Builder'!$B$10="",$O1591='Assignment Builder'!$B$10),OR('Assignment Builder'!$B$11="",$H1591&gt;='Assignment Builder'!$B$11),OR('Assignment Builder'!$B$12="",N($Q1591)&lt;='Assignment Builder'!$B$12)))</f>
        <v/>
      </c>
      <c r="T1591" s="23" t="n"/>
    </row>
    <row r="1592">
      <c r="A1592" s="23" t="n"/>
      <c r="B1592" s="23" t="n"/>
      <c r="C1592" s="24" t="n"/>
      <c r="D1592" s="15" t="n"/>
      <c r="E1592" s="23" t="n"/>
      <c r="F1592" s="15" t="n"/>
      <c r="G1592" s="23" t="n"/>
      <c r="H1592" s="25" t="n"/>
      <c r="I1592" s="15" t="n"/>
      <c r="J1592" s="26">
        <f>IF($A1592="","",LEN($C1592)-LEN(SUBSTITUTE($C1592,",",""))+1)</f>
        <v/>
      </c>
      <c r="K1592" s="26">
        <f>IF($A1592="","",SUMPRODUCT(--ISNUMBER(SEARCH('Category Dictionary'!$D$5:$D$135&amp;"",$C1592)),--('Category Dictionary'!$D$5:$D$135&lt;&gt;"")))</f>
        <v/>
      </c>
      <c r="L1592" s="27">
        <f>IF($A1592="","",TRIM(IF(ISERROR(FIND(",",$C1592)),$C1592,LEFT($C1592,FIND(",",$C1592)-1))))</f>
        <v/>
      </c>
      <c r="M1592" s="28">
        <f>IF($H1592="","",DATE(YEAR($H1592),MONTH($H1592),1))</f>
        <v/>
      </c>
      <c r="N1592" s="26">
        <f>IF($H1592="","",TODAY()-$H1592)</f>
        <v/>
      </c>
      <c r="O1592" s="15" t="n"/>
      <c r="P1592" s="15" t="n"/>
      <c r="Q1592" s="15" t="n"/>
      <c r="R1592" s="25" t="n"/>
      <c r="S1592" s="26">
        <f>IF($A1592="","",AND(OR('Assignment Builder'!$B$5="",$B1592='Assignment Builder'!$B$5),OR('Assignment Builder'!$B$6="",ISNUMBER(SEARCH('Assignment Builder'!$B$6,$C1592))),OR('Assignment Builder'!$B$7="",'Assignment Builder'!$B$7=IFERROR(INDEX('Category Dictionary'!$C$5:$C$135,MATCH($L1592,'Category Dictionary'!$D$5:$D$135,0)),"")),OR('Assignment Builder'!$B$8="",$D1592='Assignment Builder'!$B$8),OR('Assignment Builder'!$B$9="",$F1592='Assignment Builder'!$B$9),OR('Assignment Builder'!$B$10="",$O1592='Assignment Builder'!$B$10),OR('Assignment Builder'!$B$11="",$H1592&gt;='Assignment Builder'!$B$11),OR('Assignment Builder'!$B$12="",N($Q1592)&lt;='Assignment Builder'!$B$12)))</f>
        <v/>
      </c>
      <c r="T1592" s="23" t="n"/>
    </row>
    <row r="1593">
      <c r="A1593" s="23" t="n"/>
      <c r="B1593" s="23" t="n"/>
      <c r="C1593" s="24" t="n"/>
      <c r="D1593" s="15" t="n"/>
      <c r="E1593" s="23" t="n"/>
      <c r="F1593" s="15" t="n"/>
      <c r="G1593" s="23" t="n"/>
      <c r="H1593" s="25" t="n"/>
      <c r="I1593" s="15" t="n"/>
      <c r="J1593" s="26">
        <f>IF($A1593="","",LEN($C1593)-LEN(SUBSTITUTE($C1593,",",""))+1)</f>
        <v/>
      </c>
      <c r="K1593" s="26">
        <f>IF($A1593="","",SUMPRODUCT(--ISNUMBER(SEARCH('Category Dictionary'!$D$5:$D$135&amp;"",$C1593)),--('Category Dictionary'!$D$5:$D$135&lt;&gt;"")))</f>
        <v/>
      </c>
      <c r="L1593" s="27">
        <f>IF($A1593="","",TRIM(IF(ISERROR(FIND(",",$C1593)),$C1593,LEFT($C1593,FIND(",",$C1593)-1))))</f>
        <v/>
      </c>
      <c r="M1593" s="28">
        <f>IF($H1593="","",DATE(YEAR($H1593),MONTH($H1593),1))</f>
        <v/>
      </c>
      <c r="N1593" s="26">
        <f>IF($H1593="","",TODAY()-$H1593)</f>
        <v/>
      </c>
      <c r="O1593" s="15" t="n"/>
      <c r="P1593" s="15" t="n"/>
      <c r="Q1593" s="15" t="n"/>
      <c r="R1593" s="25" t="n"/>
      <c r="S1593" s="26">
        <f>IF($A1593="","",AND(OR('Assignment Builder'!$B$5="",$B1593='Assignment Builder'!$B$5),OR('Assignment Builder'!$B$6="",ISNUMBER(SEARCH('Assignment Builder'!$B$6,$C1593))),OR('Assignment Builder'!$B$7="",'Assignment Builder'!$B$7=IFERROR(INDEX('Category Dictionary'!$C$5:$C$135,MATCH($L1593,'Category Dictionary'!$D$5:$D$135,0)),"")),OR('Assignment Builder'!$B$8="",$D1593='Assignment Builder'!$B$8),OR('Assignment Builder'!$B$9="",$F1593='Assignment Builder'!$B$9),OR('Assignment Builder'!$B$10="",$O1593='Assignment Builder'!$B$10),OR('Assignment Builder'!$B$11="",$H1593&gt;='Assignment Builder'!$B$11),OR('Assignment Builder'!$B$12="",N($Q1593)&lt;='Assignment Builder'!$B$12)))</f>
        <v/>
      </c>
      <c r="T1593" s="23" t="n"/>
    </row>
    <row r="1594">
      <c r="A1594" s="23" t="n"/>
      <c r="B1594" s="23" t="n"/>
      <c r="C1594" s="24" t="n"/>
      <c r="D1594" s="15" t="n"/>
      <c r="E1594" s="23" t="n"/>
      <c r="F1594" s="15" t="n"/>
      <c r="G1594" s="23" t="n"/>
      <c r="H1594" s="25" t="n"/>
      <c r="I1594" s="15" t="n"/>
      <c r="J1594" s="26">
        <f>IF($A1594="","",LEN($C1594)-LEN(SUBSTITUTE($C1594,",",""))+1)</f>
        <v/>
      </c>
      <c r="K1594" s="26">
        <f>IF($A1594="","",SUMPRODUCT(--ISNUMBER(SEARCH('Category Dictionary'!$D$5:$D$135&amp;"",$C1594)),--('Category Dictionary'!$D$5:$D$135&lt;&gt;"")))</f>
        <v/>
      </c>
      <c r="L1594" s="27">
        <f>IF($A1594="","",TRIM(IF(ISERROR(FIND(",",$C1594)),$C1594,LEFT($C1594,FIND(",",$C1594)-1))))</f>
        <v/>
      </c>
      <c r="M1594" s="28">
        <f>IF($H1594="","",DATE(YEAR($H1594),MONTH($H1594),1))</f>
        <v/>
      </c>
      <c r="N1594" s="26">
        <f>IF($H1594="","",TODAY()-$H1594)</f>
        <v/>
      </c>
      <c r="O1594" s="15" t="n"/>
      <c r="P1594" s="15" t="n"/>
      <c r="Q1594" s="15" t="n"/>
      <c r="R1594" s="25" t="n"/>
      <c r="S1594" s="26">
        <f>IF($A1594="","",AND(OR('Assignment Builder'!$B$5="",$B1594='Assignment Builder'!$B$5),OR('Assignment Builder'!$B$6="",ISNUMBER(SEARCH('Assignment Builder'!$B$6,$C1594))),OR('Assignment Builder'!$B$7="",'Assignment Builder'!$B$7=IFERROR(INDEX('Category Dictionary'!$C$5:$C$135,MATCH($L1594,'Category Dictionary'!$D$5:$D$135,0)),"")),OR('Assignment Builder'!$B$8="",$D1594='Assignment Builder'!$B$8),OR('Assignment Builder'!$B$9="",$F1594='Assignment Builder'!$B$9),OR('Assignment Builder'!$B$10="",$O1594='Assignment Builder'!$B$10),OR('Assignment Builder'!$B$11="",$H1594&gt;='Assignment Builder'!$B$11),OR('Assignment Builder'!$B$12="",N($Q1594)&lt;='Assignment Builder'!$B$12)))</f>
        <v/>
      </c>
      <c r="T1594" s="23" t="n"/>
    </row>
    <row r="1595">
      <c r="A1595" s="23" t="n"/>
      <c r="B1595" s="23" t="n"/>
      <c r="C1595" s="24" t="n"/>
      <c r="D1595" s="15" t="n"/>
      <c r="E1595" s="23" t="n"/>
      <c r="F1595" s="15" t="n"/>
      <c r="G1595" s="23" t="n"/>
      <c r="H1595" s="25" t="n"/>
      <c r="I1595" s="15" t="n"/>
      <c r="J1595" s="26">
        <f>IF($A1595="","",LEN($C1595)-LEN(SUBSTITUTE($C1595,",",""))+1)</f>
        <v/>
      </c>
      <c r="K1595" s="26">
        <f>IF($A1595="","",SUMPRODUCT(--ISNUMBER(SEARCH('Category Dictionary'!$D$5:$D$135&amp;"",$C1595)),--('Category Dictionary'!$D$5:$D$135&lt;&gt;"")))</f>
        <v/>
      </c>
      <c r="L1595" s="27">
        <f>IF($A1595="","",TRIM(IF(ISERROR(FIND(",",$C1595)),$C1595,LEFT($C1595,FIND(",",$C1595)-1))))</f>
        <v/>
      </c>
      <c r="M1595" s="28">
        <f>IF($H1595="","",DATE(YEAR($H1595),MONTH($H1595),1))</f>
        <v/>
      </c>
      <c r="N1595" s="26">
        <f>IF($H1595="","",TODAY()-$H1595)</f>
        <v/>
      </c>
      <c r="O1595" s="15" t="n"/>
      <c r="P1595" s="15" t="n"/>
      <c r="Q1595" s="15" t="n"/>
      <c r="R1595" s="25" t="n"/>
      <c r="S1595" s="26">
        <f>IF($A1595="","",AND(OR('Assignment Builder'!$B$5="",$B1595='Assignment Builder'!$B$5),OR('Assignment Builder'!$B$6="",ISNUMBER(SEARCH('Assignment Builder'!$B$6,$C1595))),OR('Assignment Builder'!$B$7="",'Assignment Builder'!$B$7=IFERROR(INDEX('Category Dictionary'!$C$5:$C$135,MATCH($L1595,'Category Dictionary'!$D$5:$D$135,0)),"")),OR('Assignment Builder'!$B$8="",$D1595='Assignment Builder'!$B$8),OR('Assignment Builder'!$B$9="",$F1595='Assignment Builder'!$B$9),OR('Assignment Builder'!$B$10="",$O1595='Assignment Builder'!$B$10),OR('Assignment Builder'!$B$11="",$H1595&gt;='Assignment Builder'!$B$11),OR('Assignment Builder'!$B$12="",N($Q1595)&lt;='Assignment Builder'!$B$12)))</f>
        <v/>
      </c>
      <c r="T1595" s="23" t="n"/>
    </row>
    <row r="1596">
      <c r="A1596" s="23" t="n"/>
      <c r="B1596" s="23" t="n"/>
      <c r="C1596" s="24" t="n"/>
      <c r="D1596" s="15" t="n"/>
      <c r="E1596" s="23" t="n"/>
      <c r="F1596" s="15" t="n"/>
      <c r="G1596" s="23" t="n"/>
      <c r="H1596" s="25" t="n"/>
      <c r="I1596" s="15" t="n"/>
      <c r="J1596" s="26">
        <f>IF($A1596="","",LEN($C1596)-LEN(SUBSTITUTE($C1596,",",""))+1)</f>
        <v/>
      </c>
      <c r="K1596" s="26">
        <f>IF($A1596="","",SUMPRODUCT(--ISNUMBER(SEARCH('Category Dictionary'!$D$5:$D$135&amp;"",$C1596)),--('Category Dictionary'!$D$5:$D$135&lt;&gt;"")))</f>
        <v/>
      </c>
      <c r="L1596" s="27">
        <f>IF($A1596="","",TRIM(IF(ISERROR(FIND(",",$C1596)),$C1596,LEFT($C1596,FIND(",",$C1596)-1))))</f>
        <v/>
      </c>
      <c r="M1596" s="28">
        <f>IF($H1596="","",DATE(YEAR($H1596),MONTH($H1596),1))</f>
        <v/>
      </c>
      <c r="N1596" s="26">
        <f>IF($H1596="","",TODAY()-$H1596)</f>
        <v/>
      </c>
      <c r="O1596" s="15" t="n"/>
      <c r="P1596" s="15" t="n"/>
      <c r="Q1596" s="15" t="n"/>
      <c r="R1596" s="25" t="n"/>
      <c r="S1596" s="26">
        <f>IF($A1596="","",AND(OR('Assignment Builder'!$B$5="",$B1596='Assignment Builder'!$B$5),OR('Assignment Builder'!$B$6="",ISNUMBER(SEARCH('Assignment Builder'!$B$6,$C1596))),OR('Assignment Builder'!$B$7="",'Assignment Builder'!$B$7=IFERROR(INDEX('Category Dictionary'!$C$5:$C$135,MATCH($L1596,'Category Dictionary'!$D$5:$D$135,0)),"")),OR('Assignment Builder'!$B$8="",$D1596='Assignment Builder'!$B$8),OR('Assignment Builder'!$B$9="",$F1596='Assignment Builder'!$B$9),OR('Assignment Builder'!$B$10="",$O1596='Assignment Builder'!$B$10),OR('Assignment Builder'!$B$11="",$H1596&gt;='Assignment Builder'!$B$11),OR('Assignment Builder'!$B$12="",N($Q1596)&lt;='Assignment Builder'!$B$12)))</f>
        <v/>
      </c>
      <c r="T1596" s="23" t="n"/>
    </row>
    <row r="1597">
      <c r="A1597" s="23" t="n"/>
      <c r="B1597" s="23" t="n"/>
      <c r="C1597" s="24" t="n"/>
      <c r="D1597" s="15" t="n"/>
      <c r="E1597" s="23" t="n"/>
      <c r="F1597" s="15" t="n"/>
      <c r="G1597" s="23" t="n"/>
      <c r="H1597" s="25" t="n"/>
      <c r="I1597" s="15" t="n"/>
      <c r="J1597" s="26">
        <f>IF($A1597="","",LEN($C1597)-LEN(SUBSTITUTE($C1597,",",""))+1)</f>
        <v/>
      </c>
      <c r="K1597" s="26">
        <f>IF($A1597="","",SUMPRODUCT(--ISNUMBER(SEARCH('Category Dictionary'!$D$5:$D$135&amp;"",$C1597)),--('Category Dictionary'!$D$5:$D$135&lt;&gt;"")))</f>
        <v/>
      </c>
      <c r="L1597" s="27">
        <f>IF($A1597="","",TRIM(IF(ISERROR(FIND(",",$C1597)),$C1597,LEFT($C1597,FIND(",",$C1597)-1))))</f>
        <v/>
      </c>
      <c r="M1597" s="28">
        <f>IF($H1597="","",DATE(YEAR($H1597),MONTH($H1597),1))</f>
        <v/>
      </c>
      <c r="N1597" s="26">
        <f>IF($H1597="","",TODAY()-$H1597)</f>
        <v/>
      </c>
      <c r="O1597" s="15" t="n"/>
      <c r="P1597" s="15" t="n"/>
      <c r="Q1597" s="15" t="n"/>
      <c r="R1597" s="25" t="n"/>
      <c r="S1597" s="26">
        <f>IF($A1597="","",AND(OR('Assignment Builder'!$B$5="",$B1597='Assignment Builder'!$B$5),OR('Assignment Builder'!$B$6="",ISNUMBER(SEARCH('Assignment Builder'!$B$6,$C1597))),OR('Assignment Builder'!$B$7="",'Assignment Builder'!$B$7=IFERROR(INDEX('Category Dictionary'!$C$5:$C$135,MATCH($L1597,'Category Dictionary'!$D$5:$D$135,0)),"")),OR('Assignment Builder'!$B$8="",$D1597='Assignment Builder'!$B$8),OR('Assignment Builder'!$B$9="",$F1597='Assignment Builder'!$B$9),OR('Assignment Builder'!$B$10="",$O1597='Assignment Builder'!$B$10),OR('Assignment Builder'!$B$11="",$H1597&gt;='Assignment Builder'!$B$11),OR('Assignment Builder'!$B$12="",N($Q1597)&lt;='Assignment Builder'!$B$12)))</f>
        <v/>
      </c>
      <c r="T1597" s="23" t="n"/>
    </row>
    <row r="1598">
      <c r="A1598" s="23" t="n"/>
      <c r="B1598" s="23" t="n"/>
      <c r="C1598" s="24" t="n"/>
      <c r="D1598" s="15" t="n"/>
      <c r="E1598" s="23" t="n"/>
      <c r="F1598" s="15" t="n"/>
      <c r="G1598" s="23" t="n"/>
      <c r="H1598" s="25" t="n"/>
      <c r="I1598" s="15" t="n"/>
      <c r="J1598" s="26">
        <f>IF($A1598="","",LEN($C1598)-LEN(SUBSTITUTE($C1598,",",""))+1)</f>
        <v/>
      </c>
      <c r="K1598" s="26">
        <f>IF($A1598="","",SUMPRODUCT(--ISNUMBER(SEARCH('Category Dictionary'!$D$5:$D$135&amp;"",$C1598)),--('Category Dictionary'!$D$5:$D$135&lt;&gt;"")))</f>
        <v/>
      </c>
      <c r="L1598" s="27">
        <f>IF($A1598="","",TRIM(IF(ISERROR(FIND(",",$C1598)),$C1598,LEFT($C1598,FIND(",",$C1598)-1))))</f>
        <v/>
      </c>
      <c r="M1598" s="28">
        <f>IF($H1598="","",DATE(YEAR($H1598),MONTH($H1598),1))</f>
        <v/>
      </c>
      <c r="N1598" s="26">
        <f>IF($H1598="","",TODAY()-$H1598)</f>
        <v/>
      </c>
      <c r="O1598" s="15" t="n"/>
      <c r="P1598" s="15" t="n"/>
      <c r="Q1598" s="15" t="n"/>
      <c r="R1598" s="25" t="n"/>
      <c r="S1598" s="26">
        <f>IF($A1598="","",AND(OR('Assignment Builder'!$B$5="",$B1598='Assignment Builder'!$B$5),OR('Assignment Builder'!$B$6="",ISNUMBER(SEARCH('Assignment Builder'!$B$6,$C1598))),OR('Assignment Builder'!$B$7="",'Assignment Builder'!$B$7=IFERROR(INDEX('Category Dictionary'!$C$5:$C$135,MATCH($L1598,'Category Dictionary'!$D$5:$D$135,0)),"")),OR('Assignment Builder'!$B$8="",$D1598='Assignment Builder'!$B$8),OR('Assignment Builder'!$B$9="",$F1598='Assignment Builder'!$B$9),OR('Assignment Builder'!$B$10="",$O1598='Assignment Builder'!$B$10),OR('Assignment Builder'!$B$11="",$H1598&gt;='Assignment Builder'!$B$11),OR('Assignment Builder'!$B$12="",N($Q1598)&lt;='Assignment Builder'!$B$12)))</f>
        <v/>
      </c>
      <c r="T1598" s="23" t="n"/>
    </row>
    <row r="1599">
      <c r="A1599" s="23" t="n"/>
      <c r="B1599" s="23" t="n"/>
      <c r="C1599" s="24" t="n"/>
      <c r="D1599" s="15" t="n"/>
      <c r="E1599" s="23" t="n"/>
      <c r="F1599" s="15" t="n"/>
      <c r="G1599" s="23" t="n"/>
      <c r="H1599" s="25" t="n"/>
      <c r="I1599" s="15" t="n"/>
      <c r="J1599" s="26">
        <f>IF($A1599="","",LEN($C1599)-LEN(SUBSTITUTE($C1599,",",""))+1)</f>
        <v/>
      </c>
      <c r="K1599" s="26">
        <f>IF($A1599="","",SUMPRODUCT(--ISNUMBER(SEARCH('Category Dictionary'!$D$5:$D$135&amp;"",$C1599)),--('Category Dictionary'!$D$5:$D$135&lt;&gt;"")))</f>
        <v/>
      </c>
      <c r="L1599" s="27">
        <f>IF($A1599="","",TRIM(IF(ISERROR(FIND(",",$C1599)),$C1599,LEFT($C1599,FIND(",",$C1599)-1))))</f>
        <v/>
      </c>
      <c r="M1599" s="28">
        <f>IF($H1599="","",DATE(YEAR($H1599),MONTH($H1599),1))</f>
        <v/>
      </c>
      <c r="N1599" s="26">
        <f>IF($H1599="","",TODAY()-$H1599)</f>
        <v/>
      </c>
      <c r="O1599" s="15" t="n"/>
      <c r="P1599" s="15" t="n"/>
      <c r="Q1599" s="15" t="n"/>
      <c r="R1599" s="25" t="n"/>
      <c r="S1599" s="26">
        <f>IF($A1599="","",AND(OR('Assignment Builder'!$B$5="",$B1599='Assignment Builder'!$B$5),OR('Assignment Builder'!$B$6="",ISNUMBER(SEARCH('Assignment Builder'!$B$6,$C1599))),OR('Assignment Builder'!$B$7="",'Assignment Builder'!$B$7=IFERROR(INDEX('Category Dictionary'!$C$5:$C$135,MATCH($L1599,'Category Dictionary'!$D$5:$D$135,0)),"")),OR('Assignment Builder'!$B$8="",$D1599='Assignment Builder'!$B$8),OR('Assignment Builder'!$B$9="",$F1599='Assignment Builder'!$B$9),OR('Assignment Builder'!$B$10="",$O1599='Assignment Builder'!$B$10),OR('Assignment Builder'!$B$11="",$H1599&gt;='Assignment Builder'!$B$11),OR('Assignment Builder'!$B$12="",N($Q1599)&lt;='Assignment Builder'!$B$12)))</f>
        <v/>
      </c>
      <c r="T1599" s="23" t="n"/>
    </row>
    <row r="1600">
      <c r="A1600" s="23" t="n"/>
      <c r="B1600" s="23" t="n"/>
      <c r="C1600" s="24" t="n"/>
      <c r="D1600" s="15" t="n"/>
      <c r="E1600" s="23" t="n"/>
      <c r="F1600" s="15" t="n"/>
      <c r="G1600" s="23" t="n"/>
      <c r="H1600" s="25" t="n"/>
      <c r="I1600" s="15" t="n"/>
      <c r="J1600" s="26">
        <f>IF($A1600="","",LEN($C1600)-LEN(SUBSTITUTE($C1600,",",""))+1)</f>
        <v/>
      </c>
      <c r="K1600" s="26">
        <f>IF($A1600="","",SUMPRODUCT(--ISNUMBER(SEARCH('Category Dictionary'!$D$5:$D$135&amp;"",$C1600)),--('Category Dictionary'!$D$5:$D$135&lt;&gt;"")))</f>
        <v/>
      </c>
      <c r="L1600" s="27">
        <f>IF($A1600="","",TRIM(IF(ISERROR(FIND(",",$C1600)),$C1600,LEFT($C1600,FIND(",",$C1600)-1))))</f>
        <v/>
      </c>
      <c r="M1600" s="28">
        <f>IF($H1600="","",DATE(YEAR($H1600),MONTH($H1600),1))</f>
        <v/>
      </c>
      <c r="N1600" s="26">
        <f>IF($H1600="","",TODAY()-$H1600)</f>
        <v/>
      </c>
      <c r="O1600" s="15" t="n"/>
      <c r="P1600" s="15" t="n"/>
      <c r="Q1600" s="15" t="n"/>
      <c r="R1600" s="25" t="n"/>
      <c r="S1600" s="26">
        <f>IF($A1600="","",AND(OR('Assignment Builder'!$B$5="",$B1600='Assignment Builder'!$B$5),OR('Assignment Builder'!$B$6="",ISNUMBER(SEARCH('Assignment Builder'!$B$6,$C1600))),OR('Assignment Builder'!$B$7="",'Assignment Builder'!$B$7=IFERROR(INDEX('Category Dictionary'!$C$5:$C$135,MATCH($L1600,'Category Dictionary'!$D$5:$D$135,0)),"")),OR('Assignment Builder'!$B$8="",$D1600='Assignment Builder'!$B$8),OR('Assignment Builder'!$B$9="",$F1600='Assignment Builder'!$B$9),OR('Assignment Builder'!$B$10="",$O1600='Assignment Builder'!$B$10),OR('Assignment Builder'!$B$11="",$H1600&gt;='Assignment Builder'!$B$11),OR('Assignment Builder'!$B$12="",N($Q1600)&lt;='Assignment Builder'!$B$12)))</f>
        <v/>
      </c>
      <c r="T1600" s="23" t="n"/>
    </row>
    <row r="1601">
      <c r="A1601" s="23" t="n"/>
      <c r="B1601" s="23" t="n"/>
      <c r="C1601" s="24" t="n"/>
      <c r="D1601" s="15" t="n"/>
      <c r="E1601" s="23" t="n"/>
      <c r="F1601" s="15" t="n"/>
      <c r="G1601" s="23" t="n"/>
      <c r="H1601" s="25" t="n"/>
      <c r="I1601" s="15" t="n"/>
      <c r="J1601" s="26">
        <f>IF($A1601="","",LEN($C1601)-LEN(SUBSTITUTE($C1601,",",""))+1)</f>
        <v/>
      </c>
      <c r="K1601" s="26">
        <f>IF($A1601="","",SUMPRODUCT(--ISNUMBER(SEARCH('Category Dictionary'!$D$5:$D$135&amp;"",$C1601)),--('Category Dictionary'!$D$5:$D$135&lt;&gt;"")))</f>
        <v/>
      </c>
      <c r="L1601" s="27">
        <f>IF($A1601="","",TRIM(IF(ISERROR(FIND(",",$C1601)),$C1601,LEFT($C1601,FIND(",",$C1601)-1))))</f>
        <v/>
      </c>
      <c r="M1601" s="28">
        <f>IF($H1601="","",DATE(YEAR($H1601),MONTH($H1601),1))</f>
        <v/>
      </c>
      <c r="N1601" s="26">
        <f>IF($H1601="","",TODAY()-$H1601)</f>
        <v/>
      </c>
      <c r="O1601" s="15" t="n"/>
      <c r="P1601" s="15" t="n"/>
      <c r="Q1601" s="15" t="n"/>
      <c r="R1601" s="25" t="n"/>
      <c r="S1601" s="26">
        <f>IF($A1601="","",AND(OR('Assignment Builder'!$B$5="",$B1601='Assignment Builder'!$B$5),OR('Assignment Builder'!$B$6="",ISNUMBER(SEARCH('Assignment Builder'!$B$6,$C1601))),OR('Assignment Builder'!$B$7="",'Assignment Builder'!$B$7=IFERROR(INDEX('Category Dictionary'!$C$5:$C$135,MATCH($L1601,'Category Dictionary'!$D$5:$D$135,0)),"")),OR('Assignment Builder'!$B$8="",$D1601='Assignment Builder'!$B$8),OR('Assignment Builder'!$B$9="",$F1601='Assignment Builder'!$B$9),OR('Assignment Builder'!$B$10="",$O1601='Assignment Builder'!$B$10),OR('Assignment Builder'!$B$11="",$H1601&gt;='Assignment Builder'!$B$11),OR('Assignment Builder'!$B$12="",N($Q1601)&lt;='Assignment Builder'!$B$12)))</f>
        <v/>
      </c>
      <c r="T1601" s="23" t="n"/>
    </row>
    <row r="1602">
      <c r="A1602" s="23" t="n"/>
      <c r="B1602" s="23" t="n"/>
      <c r="C1602" s="24" t="n"/>
      <c r="D1602" s="15" t="n"/>
      <c r="E1602" s="23" t="n"/>
      <c r="F1602" s="15" t="n"/>
      <c r="G1602" s="23" t="n"/>
      <c r="H1602" s="25" t="n"/>
      <c r="I1602" s="15" t="n"/>
      <c r="J1602" s="26">
        <f>IF($A1602="","",LEN($C1602)-LEN(SUBSTITUTE($C1602,",",""))+1)</f>
        <v/>
      </c>
      <c r="K1602" s="26">
        <f>IF($A1602="","",SUMPRODUCT(--ISNUMBER(SEARCH('Category Dictionary'!$D$5:$D$135&amp;"",$C1602)),--('Category Dictionary'!$D$5:$D$135&lt;&gt;"")))</f>
        <v/>
      </c>
      <c r="L1602" s="27">
        <f>IF($A1602="","",TRIM(IF(ISERROR(FIND(",",$C1602)),$C1602,LEFT($C1602,FIND(",",$C1602)-1))))</f>
        <v/>
      </c>
      <c r="M1602" s="28">
        <f>IF($H1602="","",DATE(YEAR($H1602),MONTH($H1602),1))</f>
        <v/>
      </c>
      <c r="N1602" s="26">
        <f>IF($H1602="","",TODAY()-$H1602)</f>
        <v/>
      </c>
      <c r="O1602" s="15" t="n"/>
      <c r="P1602" s="15" t="n"/>
      <c r="Q1602" s="15" t="n"/>
      <c r="R1602" s="25" t="n"/>
      <c r="S1602" s="26">
        <f>IF($A1602="","",AND(OR('Assignment Builder'!$B$5="",$B1602='Assignment Builder'!$B$5),OR('Assignment Builder'!$B$6="",ISNUMBER(SEARCH('Assignment Builder'!$B$6,$C1602))),OR('Assignment Builder'!$B$7="",'Assignment Builder'!$B$7=IFERROR(INDEX('Category Dictionary'!$C$5:$C$135,MATCH($L1602,'Category Dictionary'!$D$5:$D$135,0)),"")),OR('Assignment Builder'!$B$8="",$D1602='Assignment Builder'!$B$8),OR('Assignment Builder'!$B$9="",$F1602='Assignment Builder'!$B$9),OR('Assignment Builder'!$B$10="",$O1602='Assignment Builder'!$B$10),OR('Assignment Builder'!$B$11="",$H1602&gt;='Assignment Builder'!$B$11),OR('Assignment Builder'!$B$12="",N($Q1602)&lt;='Assignment Builder'!$B$12)))</f>
        <v/>
      </c>
      <c r="T1602" s="23" t="n"/>
    </row>
    <row r="1603">
      <c r="A1603" s="23" t="n"/>
      <c r="B1603" s="23" t="n"/>
      <c r="C1603" s="24" t="n"/>
      <c r="D1603" s="15" t="n"/>
      <c r="E1603" s="23" t="n"/>
      <c r="F1603" s="15" t="n"/>
      <c r="G1603" s="23" t="n"/>
      <c r="H1603" s="25" t="n"/>
      <c r="I1603" s="15" t="n"/>
      <c r="J1603" s="26">
        <f>IF($A1603="","",LEN($C1603)-LEN(SUBSTITUTE($C1603,",",""))+1)</f>
        <v/>
      </c>
      <c r="K1603" s="26">
        <f>IF($A1603="","",SUMPRODUCT(--ISNUMBER(SEARCH('Category Dictionary'!$D$5:$D$135&amp;"",$C1603)),--('Category Dictionary'!$D$5:$D$135&lt;&gt;"")))</f>
        <v/>
      </c>
      <c r="L1603" s="27">
        <f>IF($A1603="","",TRIM(IF(ISERROR(FIND(",",$C1603)),$C1603,LEFT($C1603,FIND(",",$C1603)-1))))</f>
        <v/>
      </c>
      <c r="M1603" s="28">
        <f>IF($H1603="","",DATE(YEAR($H1603),MONTH($H1603),1))</f>
        <v/>
      </c>
      <c r="N1603" s="26">
        <f>IF($H1603="","",TODAY()-$H1603)</f>
        <v/>
      </c>
      <c r="O1603" s="15" t="n"/>
      <c r="P1603" s="15" t="n"/>
      <c r="Q1603" s="15" t="n"/>
      <c r="R1603" s="25" t="n"/>
      <c r="S1603" s="26">
        <f>IF($A1603="","",AND(OR('Assignment Builder'!$B$5="",$B1603='Assignment Builder'!$B$5),OR('Assignment Builder'!$B$6="",ISNUMBER(SEARCH('Assignment Builder'!$B$6,$C1603))),OR('Assignment Builder'!$B$7="",'Assignment Builder'!$B$7=IFERROR(INDEX('Category Dictionary'!$C$5:$C$135,MATCH($L1603,'Category Dictionary'!$D$5:$D$135,0)),"")),OR('Assignment Builder'!$B$8="",$D1603='Assignment Builder'!$B$8),OR('Assignment Builder'!$B$9="",$F1603='Assignment Builder'!$B$9),OR('Assignment Builder'!$B$10="",$O1603='Assignment Builder'!$B$10),OR('Assignment Builder'!$B$11="",$H1603&gt;='Assignment Builder'!$B$11),OR('Assignment Builder'!$B$12="",N($Q1603)&lt;='Assignment Builder'!$B$12)))</f>
        <v/>
      </c>
      <c r="T1603" s="23" t="n"/>
    </row>
    <row r="1604">
      <c r="A1604" s="23" t="n"/>
      <c r="B1604" s="23" t="n"/>
      <c r="C1604" s="24" t="n"/>
      <c r="D1604" s="15" t="n"/>
      <c r="E1604" s="23" t="n"/>
      <c r="F1604" s="15" t="n"/>
      <c r="G1604" s="23" t="n"/>
      <c r="H1604" s="25" t="n"/>
      <c r="I1604" s="15" t="n"/>
      <c r="J1604" s="26">
        <f>IF($A1604="","",LEN($C1604)-LEN(SUBSTITUTE($C1604,",",""))+1)</f>
        <v/>
      </c>
      <c r="K1604" s="26">
        <f>IF($A1604="","",SUMPRODUCT(--ISNUMBER(SEARCH('Category Dictionary'!$D$5:$D$135&amp;"",$C1604)),--('Category Dictionary'!$D$5:$D$135&lt;&gt;"")))</f>
        <v/>
      </c>
      <c r="L1604" s="27">
        <f>IF($A1604="","",TRIM(IF(ISERROR(FIND(",",$C1604)),$C1604,LEFT($C1604,FIND(",",$C1604)-1))))</f>
        <v/>
      </c>
      <c r="M1604" s="28">
        <f>IF($H1604="","",DATE(YEAR($H1604),MONTH($H1604),1))</f>
        <v/>
      </c>
      <c r="N1604" s="26">
        <f>IF($H1604="","",TODAY()-$H1604)</f>
        <v/>
      </c>
      <c r="O1604" s="15" t="n"/>
      <c r="P1604" s="15" t="n"/>
      <c r="Q1604" s="15" t="n"/>
      <c r="R1604" s="25" t="n"/>
      <c r="S1604" s="26">
        <f>IF($A1604="","",AND(OR('Assignment Builder'!$B$5="",$B1604='Assignment Builder'!$B$5),OR('Assignment Builder'!$B$6="",ISNUMBER(SEARCH('Assignment Builder'!$B$6,$C1604))),OR('Assignment Builder'!$B$7="",'Assignment Builder'!$B$7=IFERROR(INDEX('Category Dictionary'!$C$5:$C$135,MATCH($L1604,'Category Dictionary'!$D$5:$D$135,0)),"")),OR('Assignment Builder'!$B$8="",$D1604='Assignment Builder'!$B$8),OR('Assignment Builder'!$B$9="",$F1604='Assignment Builder'!$B$9),OR('Assignment Builder'!$B$10="",$O1604='Assignment Builder'!$B$10),OR('Assignment Builder'!$B$11="",$H1604&gt;='Assignment Builder'!$B$11),OR('Assignment Builder'!$B$12="",N($Q1604)&lt;='Assignment Builder'!$B$12)))</f>
        <v/>
      </c>
      <c r="T1604" s="23" t="n"/>
    </row>
    <row r="1605">
      <c r="A1605" s="23" t="n"/>
      <c r="B1605" s="23" t="n"/>
      <c r="C1605" s="24" t="n"/>
      <c r="D1605" s="15" t="n"/>
      <c r="E1605" s="23" t="n"/>
      <c r="F1605" s="15" t="n"/>
      <c r="G1605" s="23" t="n"/>
      <c r="H1605" s="25" t="n"/>
      <c r="I1605" s="15" t="n"/>
      <c r="J1605" s="26">
        <f>IF($A1605="","",LEN($C1605)-LEN(SUBSTITUTE($C1605,",",""))+1)</f>
        <v/>
      </c>
      <c r="K1605" s="26">
        <f>IF($A1605="","",SUMPRODUCT(--ISNUMBER(SEARCH('Category Dictionary'!$D$5:$D$135&amp;"",$C1605)),--('Category Dictionary'!$D$5:$D$135&lt;&gt;"")))</f>
        <v/>
      </c>
      <c r="L1605" s="27">
        <f>IF($A1605="","",TRIM(IF(ISERROR(FIND(",",$C1605)),$C1605,LEFT($C1605,FIND(",",$C1605)-1))))</f>
        <v/>
      </c>
      <c r="M1605" s="28">
        <f>IF($H1605="","",DATE(YEAR($H1605),MONTH($H1605),1))</f>
        <v/>
      </c>
      <c r="N1605" s="26">
        <f>IF($H1605="","",TODAY()-$H1605)</f>
        <v/>
      </c>
      <c r="O1605" s="15" t="n"/>
      <c r="P1605" s="15" t="n"/>
      <c r="Q1605" s="15" t="n"/>
      <c r="R1605" s="25" t="n"/>
      <c r="S1605" s="26">
        <f>IF($A1605="","",AND(OR('Assignment Builder'!$B$5="",$B1605='Assignment Builder'!$B$5),OR('Assignment Builder'!$B$6="",ISNUMBER(SEARCH('Assignment Builder'!$B$6,$C1605))),OR('Assignment Builder'!$B$7="",'Assignment Builder'!$B$7=IFERROR(INDEX('Category Dictionary'!$C$5:$C$135,MATCH($L1605,'Category Dictionary'!$D$5:$D$135,0)),"")),OR('Assignment Builder'!$B$8="",$D1605='Assignment Builder'!$B$8),OR('Assignment Builder'!$B$9="",$F1605='Assignment Builder'!$B$9),OR('Assignment Builder'!$B$10="",$O1605='Assignment Builder'!$B$10),OR('Assignment Builder'!$B$11="",$H1605&gt;='Assignment Builder'!$B$11),OR('Assignment Builder'!$B$12="",N($Q1605)&lt;='Assignment Builder'!$B$12)))</f>
        <v/>
      </c>
      <c r="T1605" s="23" t="n"/>
    </row>
    <row r="1606">
      <c r="A1606" s="23" t="n"/>
      <c r="B1606" s="23" t="n"/>
      <c r="C1606" s="24" t="n"/>
      <c r="D1606" s="15" t="n"/>
      <c r="E1606" s="23" t="n"/>
      <c r="F1606" s="15" t="n"/>
      <c r="G1606" s="23" t="n"/>
      <c r="H1606" s="25" t="n"/>
      <c r="I1606" s="15" t="n"/>
      <c r="J1606" s="26">
        <f>IF($A1606="","",LEN($C1606)-LEN(SUBSTITUTE($C1606,",",""))+1)</f>
        <v/>
      </c>
      <c r="K1606" s="26">
        <f>IF($A1606="","",SUMPRODUCT(--ISNUMBER(SEARCH('Category Dictionary'!$D$5:$D$135&amp;"",$C1606)),--('Category Dictionary'!$D$5:$D$135&lt;&gt;"")))</f>
        <v/>
      </c>
      <c r="L1606" s="27">
        <f>IF($A1606="","",TRIM(IF(ISERROR(FIND(",",$C1606)),$C1606,LEFT($C1606,FIND(",",$C1606)-1))))</f>
        <v/>
      </c>
      <c r="M1606" s="28">
        <f>IF($H1606="","",DATE(YEAR($H1606),MONTH($H1606),1))</f>
        <v/>
      </c>
      <c r="N1606" s="26">
        <f>IF($H1606="","",TODAY()-$H1606)</f>
        <v/>
      </c>
      <c r="O1606" s="15" t="n"/>
      <c r="P1606" s="15" t="n"/>
      <c r="Q1606" s="15" t="n"/>
      <c r="R1606" s="25" t="n"/>
      <c r="S1606" s="26">
        <f>IF($A1606="","",AND(OR('Assignment Builder'!$B$5="",$B1606='Assignment Builder'!$B$5),OR('Assignment Builder'!$B$6="",ISNUMBER(SEARCH('Assignment Builder'!$B$6,$C1606))),OR('Assignment Builder'!$B$7="",'Assignment Builder'!$B$7=IFERROR(INDEX('Category Dictionary'!$C$5:$C$135,MATCH($L1606,'Category Dictionary'!$D$5:$D$135,0)),"")),OR('Assignment Builder'!$B$8="",$D1606='Assignment Builder'!$B$8),OR('Assignment Builder'!$B$9="",$F1606='Assignment Builder'!$B$9),OR('Assignment Builder'!$B$10="",$O1606='Assignment Builder'!$B$10),OR('Assignment Builder'!$B$11="",$H1606&gt;='Assignment Builder'!$B$11),OR('Assignment Builder'!$B$12="",N($Q1606)&lt;='Assignment Builder'!$B$12)))</f>
        <v/>
      </c>
      <c r="T1606" s="23" t="n"/>
    </row>
    <row r="1607">
      <c r="A1607" s="23" t="n"/>
      <c r="B1607" s="23" t="n"/>
      <c r="C1607" s="24" t="n"/>
      <c r="D1607" s="15" t="n"/>
      <c r="E1607" s="23" t="n"/>
      <c r="F1607" s="15" t="n"/>
      <c r="G1607" s="23" t="n"/>
      <c r="H1607" s="25" t="n"/>
      <c r="I1607" s="15" t="n"/>
      <c r="J1607" s="26">
        <f>IF($A1607="","",LEN($C1607)-LEN(SUBSTITUTE($C1607,",",""))+1)</f>
        <v/>
      </c>
      <c r="K1607" s="26">
        <f>IF($A1607="","",SUMPRODUCT(--ISNUMBER(SEARCH('Category Dictionary'!$D$5:$D$135&amp;"",$C1607)),--('Category Dictionary'!$D$5:$D$135&lt;&gt;"")))</f>
        <v/>
      </c>
      <c r="L1607" s="27">
        <f>IF($A1607="","",TRIM(IF(ISERROR(FIND(",",$C1607)),$C1607,LEFT($C1607,FIND(",",$C1607)-1))))</f>
        <v/>
      </c>
      <c r="M1607" s="28">
        <f>IF($H1607="","",DATE(YEAR($H1607),MONTH($H1607),1))</f>
        <v/>
      </c>
      <c r="N1607" s="26">
        <f>IF($H1607="","",TODAY()-$H1607)</f>
        <v/>
      </c>
      <c r="O1607" s="15" t="n"/>
      <c r="P1607" s="15" t="n"/>
      <c r="Q1607" s="15" t="n"/>
      <c r="R1607" s="25" t="n"/>
      <c r="S1607" s="26">
        <f>IF($A1607="","",AND(OR('Assignment Builder'!$B$5="",$B1607='Assignment Builder'!$B$5),OR('Assignment Builder'!$B$6="",ISNUMBER(SEARCH('Assignment Builder'!$B$6,$C1607))),OR('Assignment Builder'!$B$7="",'Assignment Builder'!$B$7=IFERROR(INDEX('Category Dictionary'!$C$5:$C$135,MATCH($L1607,'Category Dictionary'!$D$5:$D$135,0)),"")),OR('Assignment Builder'!$B$8="",$D1607='Assignment Builder'!$B$8),OR('Assignment Builder'!$B$9="",$F1607='Assignment Builder'!$B$9),OR('Assignment Builder'!$B$10="",$O1607='Assignment Builder'!$B$10),OR('Assignment Builder'!$B$11="",$H1607&gt;='Assignment Builder'!$B$11),OR('Assignment Builder'!$B$12="",N($Q1607)&lt;='Assignment Builder'!$B$12)))</f>
        <v/>
      </c>
      <c r="T1607" s="23" t="n"/>
    </row>
    <row r="1608">
      <c r="A1608" s="23" t="n"/>
      <c r="B1608" s="23" t="n"/>
      <c r="C1608" s="24" t="n"/>
      <c r="D1608" s="15" t="n"/>
      <c r="E1608" s="23" t="n"/>
      <c r="F1608" s="15" t="n"/>
      <c r="G1608" s="23" t="n"/>
      <c r="H1608" s="25" t="n"/>
      <c r="I1608" s="15" t="n"/>
      <c r="J1608" s="26">
        <f>IF($A1608="","",LEN($C1608)-LEN(SUBSTITUTE($C1608,",",""))+1)</f>
        <v/>
      </c>
      <c r="K1608" s="26">
        <f>IF($A1608="","",SUMPRODUCT(--ISNUMBER(SEARCH('Category Dictionary'!$D$5:$D$135&amp;"",$C1608)),--('Category Dictionary'!$D$5:$D$135&lt;&gt;"")))</f>
        <v/>
      </c>
      <c r="L1608" s="27">
        <f>IF($A1608="","",TRIM(IF(ISERROR(FIND(",",$C1608)),$C1608,LEFT($C1608,FIND(",",$C1608)-1))))</f>
        <v/>
      </c>
      <c r="M1608" s="28">
        <f>IF($H1608="","",DATE(YEAR($H1608),MONTH($H1608),1))</f>
        <v/>
      </c>
      <c r="N1608" s="26">
        <f>IF($H1608="","",TODAY()-$H1608)</f>
        <v/>
      </c>
      <c r="O1608" s="15" t="n"/>
      <c r="P1608" s="15" t="n"/>
      <c r="Q1608" s="15" t="n"/>
      <c r="R1608" s="25" t="n"/>
      <c r="S1608" s="26">
        <f>IF($A1608="","",AND(OR('Assignment Builder'!$B$5="",$B1608='Assignment Builder'!$B$5),OR('Assignment Builder'!$B$6="",ISNUMBER(SEARCH('Assignment Builder'!$B$6,$C1608))),OR('Assignment Builder'!$B$7="",'Assignment Builder'!$B$7=IFERROR(INDEX('Category Dictionary'!$C$5:$C$135,MATCH($L1608,'Category Dictionary'!$D$5:$D$135,0)),"")),OR('Assignment Builder'!$B$8="",$D1608='Assignment Builder'!$B$8),OR('Assignment Builder'!$B$9="",$F1608='Assignment Builder'!$B$9),OR('Assignment Builder'!$B$10="",$O1608='Assignment Builder'!$B$10),OR('Assignment Builder'!$B$11="",$H1608&gt;='Assignment Builder'!$B$11),OR('Assignment Builder'!$B$12="",N($Q1608)&lt;='Assignment Builder'!$B$12)))</f>
        <v/>
      </c>
      <c r="T1608" s="23" t="n"/>
    </row>
    <row r="1609">
      <c r="A1609" s="23" t="n"/>
      <c r="B1609" s="23" t="n"/>
      <c r="C1609" s="24" t="n"/>
      <c r="D1609" s="15" t="n"/>
      <c r="E1609" s="23" t="n"/>
      <c r="F1609" s="15" t="n"/>
      <c r="G1609" s="23" t="n"/>
      <c r="H1609" s="25" t="n"/>
      <c r="I1609" s="15" t="n"/>
      <c r="J1609" s="26">
        <f>IF($A1609="","",LEN($C1609)-LEN(SUBSTITUTE($C1609,",",""))+1)</f>
        <v/>
      </c>
      <c r="K1609" s="26">
        <f>IF($A1609="","",SUMPRODUCT(--ISNUMBER(SEARCH('Category Dictionary'!$D$5:$D$135&amp;"",$C1609)),--('Category Dictionary'!$D$5:$D$135&lt;&gt;"")))</f>
        <v/>
      </c>
      <c r="L1609" s="27">
        <f>IF($A1609="","",TRIM(IF(ISERROR(FIND(",",$C1609)),$C1609,LEFT($C1609,FIND(",",$C1609)-1))))</f>
        <v/>
      </c>
      <c r="M1609" s="28">
        <f>IF($H1609="","",DATE(YEAR($H1609),MONTH($H1609),1))</f>
        <v/>
      </c>
      <c r="N1609" s="26">
        <f>IF($H1609="","",TODAY()-$H1609)</f>
        <v/>
      </c>
      <c r="O1609" s="15" t="n"/>
      <c r="P1609" s="15" t="n"/>
      <c r="Q1609" s="15" t="n"/>
      <c r="R1609" s="25" t="n"/>
      <c r="S1609" s="26">
        <f>IF($A1609="","",AND(OR('Assignment Builder'!$B$5="",$B1609='Assignment Builder'!$B$5),OR('Assignment Builder'!$B$6="",ISNUMBER(SEARCH('Assignment Builder'!$B$6,$C1609))),OR('Assignment Builder'!$B$7="",'Assignment Builder'!$B$7=IFERROR(INDEX('Category Dictionary'!$C$5:$C$135,MATCH($L1609,'Category Dictionary'!$D$5:$D$135,0)),"")),OR('Assignment Builder'!$B$8="",$D1609='Assignment Builder'!$B$8),OR('Assignment Builder'!$B$9="",$F1609='Assignment Builder'!$B$9),OR('Assignment Builder'!$B$10="",$O1609='Assignment Builder'!$B$10),OR('Assignment Builder'!$B$11="",$H1609&gt;='Assignment Builder'!$B$11),OR('Assignment Builder'!$B$12="",N($Q1609)&lt;='Assignment Builder'!$B$12)))</f>
        <v/>
      </c>
      <c r="T1609" s="23" t="n"/>
    </row>
    <row r="1610">
      <c r="A1610" s="23" t="n"/>
      <c r="B1610" s="23" t="n"/>
      <c r="C1610" s="24" t="n"/>
      <c r="D1610" s="15" t="n"/>
      <c r="E1610" s="23" t="n"/>
      <c r="F1610" s="15" t="n"/>
      <c r="G1610" s="23" t="n"/>
      <c r="H1610" s="25" t="n"/>
      <c r="I1610" s="15" t="n"/>
      <c r="J1610" s="26">
        <f>IF($A1610="","",LEN($C1610)-LEN(SUBSTITUTE($C1610,",",""))+1)</f>
        <v/>
      </c>
      <c r="K1610" s="26">
        <f>IF($A1610="","",SUMPRODUCT(--ISNUMBER(SEARCH('Category Dictionary'!$D$5:$D$135&amp;"",$C1610)),--('Category Dictionary'!$D$5:$D$135&lt;&gt;"")))</f>
        <v/>
      </c>
      <c r="L1610" s="27">
        <f>IF($A1610="","",TRIM(IF(ISERROR(FIND(",",$C1610)),$C1610,LEFT($C1610,FIND(",",$C1610)-1))))</f>
        <v/>
      </c>
      <c r="M1610" s="28">
        <f>IF($H1610="","",DATE(YEAR($H1610),MONTH($H1610),1))</f>
        <v/>
      </c>
      <c r="N1610" s="26">
        <f>IF($H1610="","",TODAY()-$H1610)</f>
        <v/>
      </c>
      <c r="O1610" s="15" t="n"/>
      <c r="P1610" s="15" t="n"/>
      <c r="Q1610" s="15" t="n"/>
      <c r="R1610" s="25" t="n"/>
      <c r="S1610" s="26">
        <f>IF($A1610="","",AND(OR('Assignment Builder'!$B$5="",$B1610='Assignment Builder'!$B$5),OR('Assignment Builder'!$B$6="",ISNUMBER(SEARCH('Assignment Builder'!$B$6,$C1610))),OR('Assignment Builder'!$B$7="",'Assignment Builder'!$B$7=IFERROR(INDEX('Category Dictionary'!$C$5:$C$135,MATCH($L1610,'Category Dictionary'!$D$5:$D$135,0)),"")),OR('Assignment Builder'!$B$8="",$D1610='Assignment Builder'!$B$8),OR('Assignment Builder'!$B$9="",$F1610='Assignment Builder'!$B$9),OR('Assignment Builder'!$B$10="",$O1610='Assignment Builder'!$B$10),OR('Assignment Builder'!$B$11="",$H1610&gt;='Assignment Builder'!$B$11),OR('Assignment Builder'!$B$12="",N($Q1610)&lt;='Assignment Builder'!$B$12)))</f>
        <v/>
      </c>
      <c r="T1610" s="23" t="n"/>
    </row>
    <row r="1611">
      <c r="A1611" s="23" t="n"/>
      <c r="B1611" s="23" t="n"/>
      <c r="C1611" s="24" t="n"/>
      <c r="D1611" s="15" t="n"/>
      <c r="E1611" s="23" t="n"/>
      <c r="F1611" s="15" t="n"/>
      <c r="G1611" s="23" t="n"/>
      <c r="H1611" s="25" t="n"/>
      <c r="I1611" s="15" t="n"/>
      <c r="J1611" s="26">
        <f>IF($A1611="","",LEN($C1611)-LEN(SUBSTITUTE($C1611,",",""))+1)</f>
        <v/>
      </c>
      <c r="K1611" s="26">
        <f>IF($A1611="","",SUMPRODUCT(--ISNUMBER(SEARCH('Category Dictionary'!$D$5:$D$135&amp;"",$C1611)),--('Category Dictionary'!$D$5:$D$135&lt;&gt;"")))</f>
        <v/>
      </c>
      <c r="L1611" s="27">
        <f>IF($A1611="","",TRIM(IF(ISERROR(FIND(",",$C1611)),$C1611,LEFT($C1611,FIND(",",$C1611)-1))))</f>
        <v/>
      </c>
      <c r="M1611" s="28">
        <f>IF($H1611="","",DATE(YEAR($H1611),MONTH($H1611),1))</f>
        <v/>
      </c>
      <c r="N1611" s="26">
        <f>IF($H1611="","",TODAY()-$H1611)</f>
        <v/>
      </c>
      <c r="O1611" s="15" t="n"/>
      <c r="P1611" s="15" t="n"/>
      <c r="Q1611" s="15" t="n"/>
      <c r="R1611" s="25" t="n"/>
      <c r="S1611" s="26">
        <f>IF($A1611="","",AND(OR('Assignment Builder'!$B$5="",$B1611='Assignment Builder'!$B$5),OR('Assignment Builder'!$B$6="",ISNUMBER(SEARCH('Assignment Builder'!$B$6,$C1611))),OR('Assignment Builder'!$B$7="",'Assignment Builder'!$B$7=IFERROR(INDEX('Category Dictionary'!$C$5:$C$135,MATCH($L1611,'Category Dictionary'!$D$5:$D$135,0)),"")),OR('Assignment Builder'!$B$8="",$D1611='Assignment Builder'!$B$8),OR('Assignment Builder'!$B$9="",$F1611='Assignment Builder'!$B$9),OR('Assignment Builder'!$B$10="",$O1611='Assignment Builder'!$B$10),OR('Assignment Builder'!$B$11="",$H1611&gt;='Assignment Builder'!$B$11),OR('Assignment Builder'!$B$12="",N($Q1611)&lt;='Assignment Builder'!$B$12)))</f>
        <v/>
      </c>
      <c r="T1611" s="23" t="n"/>
    </row>
    <row r="1612">
      <c r="A1612" s="23" t="n"/>
      <c r="B1612" s="23" t="n"/>
      <c r="C1612" s="24" t="n"/>
      <c r="D1612" s="15" t="n"/>
      <c r="E1612" s="23" t="n"/>
      <c r="F1612" s="15" t="n"/>
      <c r="G1612" s="23" t="n"/>
      <c r="H1612" s="25" t="n"/>
      <c r="I1612" s="15" t="n"/>
      <c r="J1612" s="26">
        <f>IF($A1612="","",LEN($C1612)-LEN(SUBSTITUTE($C1612,",",""))+1)</f>
        <v/>
      </c>
      <c r="K1612" s="26">
        <f>IF($A1612="","",SUMPRODUCT(--ISNUMBER(SEARCH('Category Dictionary'!$D$5:$D$135&amp;"",$C1612)),--('Category Dictionary'!$D$5:$D$135&lt;&gt;"")))</f>
        <v/>
      </c>
      <c r="L1612" s="27">
        <f>IF($A1612="","",TRIM(IF(ISERROR(FIND(",",$C1612)),$C1612,LEFT($C1612,FIND(",",$C1612)-1))))</f>
        <v/>
      </c>
      <c r="M1612" s="28">
        <f>IF($H1612="","",DATE(YEAR($H1612),MONTH($H1612),1))</f>
        <v/>
      </c>
      <c r="N1612" s="26">
        <f>IF($H1612="","",TODAY()-$H1612)</f>
        <v/>
      </c>
      <c r="O1612" s="15" t="n"/>
      <c r="P1612" s="15" t="n"/>
      <c r="Q1612" s="15" t="n"/>
      <c r="R1612" s="25" t="n"/>
      <c r="S1612" s="26">
        <f>IF($A1612="","",AND(OR('Assignment Builder'!$B$5="",$B1612='Assignment Builder'!$B$5),OR('Assignment Builder'!$B$6="",ISNUMBER(SEARCH('Assignment Builder'!$B$6,$C1612))),OR('Assignment Builder'!$B$7="",'Assignment Builder'!$B$7=IFERROR(INDEX('Category Dictionary'!$C$5:$C$135,MATCH($L1612,'Category Dictionary'!$D$5:$D$135,0)),"")),OR('Assignment Builder'!$B$8="",$D1612='Assignment Builder'!$B$8),OR('Assignment Builder'!$B$9="",$F1612='Assignment Builder'!$B$9),OR('Assignment Builder'!$B$10="",$O1612='Assignment Builder'!$B$10),OR('Assignment Builder'!$B$11="",$H1612&gt;='Assignment Builder'!$B$11),OR('Assignment Builder'!$B$12="",N($Q1612)&lt;='Assignment Builder'!$B$12)))</f>
        <v/>
      </c>
      <c r="T1612" s="23" t="n"/>
    </row>
    <row r="1613">
      <c r="A1613" s="23" t="n"/>
      <c r="B1613" s="23" t="n"/>
      <c r="C1613" s="24" t="n"/>
      <c r="D1613" s="15" t="n"/>
      <c r="E1613" s="23" t="n"/>
      <c r="F1613" s="15" t="n"/>
      <c r="G1613" s="23" t="n"/>
      <c r="H1613" s="25" t="n"/>
      <c r="I1613" s="15" t="n"/>
      <c r="J1613" s="26">
        <f>IF($A1613="","",LEN($C1613)-LEN(SUBSTITUTE($C1613,",",""))+1)</f>
        <v/>
      </c>
      <c r="K1613" s="26">
        <f>IF($A1613="","",SUMPRODUCT(--ISNUMBER(SEARCH('Category Dictionary'!$D$5:$D$135&amp;"",$C1613)),--('Category Dictionary'!$D$5:$D$135&lt;&gt;"")))</f>
        <v/>
      </c>
      <c r="L1613" s="27">
        <f>IF($A1613="","",TRIM(IF(ISERROR(FIND(",",$C1613)),$C1613,LEFT($C1613,FIND(",",$C1613)-1))))</f>
        <v/>
      </c>
      <c r="M1613" s="28">
        <f>IF($H1613="","",DATE(YEAR($H1613),MONTH($H1613),1))</f>
        <v/>
      </c>
      <c r="N1613" s="26">
        <f>IF($H1613="","",TODAY()-$H1613)</f>
        <v/>
      </c>
      <c r="O1613" s="15" t="n"/>
      <c r="P1613" s="15" t="n"/>
      <c r="Q1613" s="15" t="n"/>
      <c r="R1613" s="25" t="n"/>
      <c r="S1613" s="26">
        <f>IF($A1613="","",AND(OR('Assignment Builder'!$B$5="",$B1613='Assignment Builder'!$B$5),OR('Assignment Builder'!$B$6="",ISNUMBER(SEARCH('Assignment Builder'!$B$6,$C1613))),OR('Assignment Builder'!$B$7="",'Assignment Builder'!$B$7=IFERROR(INDEX('Category Dictionary'!$C$5:$C$135,MATCH($L1613,'Category Dictionary'!$D$5:$D$135,0)),"")),OR('Assignment Builder'!$B$8="",$D1613='Assignment Builder'!$B$8),OR('Assignment Builder'!$B$9="",$F1613='Assignment Builder'!$B$9),OR('Assignment Builder'!$B$10="",$O1613='Assignment Builder'!$B$10),OR('Assignment Builder'!$B$11="",$H1613&gt;='Assignment Builder'!$B$11),OR('Assignment Builder'!$B$12="",N($Q1613)&lt;='Assignment Builder'!$B$12)))</f>
        <v/>
      </c>
      <c r="T1613" s="23" t="n"/>
    </row>
    <row r="1614">
      <c r="A1614" s="23" t="n"/>
      <c r="B1614" s="23" t="n"/>
      <c r="C1614" s="24" t="n"/>
      <c r="D1614" s="15" t="n"/>
      <c r="E1614" s="23" t="n"/>
      <c r="F1614" s="15" t="n"/>
      <c r="G1614" s="23" t="n"/>
      <c r="H1614" s="25" t="n"/>
      <c r="I1614" s="15" t="n"/>
      <c r="J1614" s="26">
        <f>IF($A1614="","",LEN($C1614)-LEN(SUBSTITUTE($C1614,",",""))+1)</f>
        <v/>
      </c>
      <c r="K1614" s="26">
        <f>IF($A1614="","",SUMPRODUCT(--ISNUMBER(SEARCH('Category Dictionary'!$D$5:$D$135&amp;"",$C1614)),--('Category Dictionary'!$D$5:$D$135&lt;&gt;"")))</f>
        <v/>
      </c>
      <c r="L1614" s="27">
        <f>IF($A1614="","",TRIM(IF(ISERROR(FIND(",",$C1614)),$C1614,LEFT($C1614,FIND(",",$C1614)-1))))</f>
        <v/>
      </c>
      <c r="M1614" s="28">
        <f>IF($H1614="","",DATE(YEAR($H1614),MONTH($H1614),1))</f>
        <v/>
      </c>
      <c r="N1614" s="26">
        <f>IF($H1614="","",TODAY()-$H1614)</f>
        <v/>
      </c>
      <c r="O1614" s="15" t="n"/>
      <c r="P1614" s="15" t="n"/>
      <c r="Q1614" s="15" t="n"/>
      <c r="R1614" s="25" t="n"/>
      <c r="S1614" s="26">
        <f>IF($A1614="","",AND(OR('Assignment Builder'!$B$5="",$B1614='Assignment Builder'!$B$5),OR('Assignment Builder'!$B$6="",ISNUMBER(SEARCH('Assignment Builder'!$B$6,$C1614))),OR('Assignment Builder'!$B$7="",'Assignment Builder'!$B$7=IFERROR(INDEX('Category Dictionary'!$C$5:$C$135,MATCH($L1614,'Category Dictionary'!$D$5:$D$135,0)),"")),OR('Assignment Builder'!$B$8="",$D1614='Assignment Builder'!$B$8),OR('Assignment Builder'!$B$9="",$F1614='Assignment Builder'!$B$9),OR('Assignment Builder'!$B$10="",$O1614='Assignment Builder'!$B$10),OR('Assignment Builder'!$B$11="",$H1614&gt;='Assignment Builder'!$B$11),OR('Assignment Builder'!$B$12="",N($Q1614)&lt;='Assignment Builder'!$B$12)))</f>
        <v/>
      </c>
      <c r="T1614" s="23" t="n"/>
    </row>
    <row r="1615">
      <c r="A1615" s="23" t="n"/>
      <c r="B1615" s="23" t="n"/>
      <c r="C1615" s="24" t="n"/>
      <c r="D1615" s="15" t="n"/>
      <c r="E1615" s="23" t="n"/>
      <c r="F1615" s="15" t="n"/>
      <c r="G1615" s="23" t="n"/>
      <c r="H1615" s="25" t="n"/>
      <c r="I1615" s="15" t="n"/>
      <c r="J1615" s="26">
        <f>IF($A1615="","",LEN($C1615)-LEN(SUBSTITUTE($C1615,",",""))+1)</f>
        <v/>
      </c>
      <c r="K1615" s="26">
        <f>IF($A1615="","",SUMPRODUCT(--ISNUMBER(SEARCH('Category Dictionary'!$D$5:$D$135&amp;"",$C1615)),--('Category Dictionary'!$D$5:$D$135&lt;&gt;"")))</f>
        <v/>
      </c>
      <c r="L1615" s="27">
        <f>IF($A1615="","",TRIM(IF(ISERROR(FIND(",",$C1615)),$C1615,LEFT($C1615,FIND(",",$C1615)-1))))</f>
        <v/>
      </c>
      <c r="M1615" s="28">
        <f>IF($H1615="","",DATE(YEAR($H1615),MONTH($H1615),1))</f>
        <v/>
      </c>
      <c r="N1615" s="26">
        <f>IF($H1615="","",TODAY()-$H1615)</f>
        <v/>
      </c>
      <c r="O1615" s="15" t="n"/>
      <c r="P1615" s="15" t="n"/>
      <c r="Q1615" s="15" t="n"/>
      <c r="R1615" s="25" t="n"/>
      <c r="S1615" s="26">
        <f>IF($A1615="","",AND(OR('Assignment Builder'!$B$5="",$B1615='Assignment Builder'!$B$5),OR('Assignment Builder'!$B$6="",ISNUMBER(SEARCH('Assignment Builder'!$B$6,$C1615))),OR('Assignment Builder'!$B$7="",'Assignment Builder'!$B$7=IFERROR(INDEX('Category Dictionary'!$C$5:$C$135,MATCH($L1615,'Category Dictionary'!$D$5:$D$135,0)),"")),OR('Assignment Builder'!$B$8="",$D1615='Assignment Builder'!$B$8),OR('Assignment Builder'!$B$9="",$F1615='Assignment Builder'!$B$9),OR('Assignment Builder'!$B$10="",$O1615='Assignment Builder'!$B$10),OR('Assignment Builder'!$B$11="",$H1615&gt;='Assignment Builder'!$B$11),OR('Assignment Builder'!$B$12="",N($Q1615)&lt;='Assignment Builder'!$B$12)))</f>
        <v/>
      </c>
      <c r="T1615" s="23" t="n"/>
    </row>
    <row r="1616">
      <c r="A1616" s="23" t="n"/>
      <c r="B1616" s="23" t="n"/>
      <c r="C1616" s="24" t="n"/>
      <c r="D1616" s="15" t="n"/>
      <c r="E1616" s="23" t="n"/>
      <c r="F1616" s="15" t="n"/>
      <c r="G1616" s="23" t="n"/>
      <c r="H1616" s="25" t="n"/>
      <c r="I1616" s="15" t="n"/>
      <c r="J1616" s="26">
        <f>IF($A1616="","",LEN($C1616)-LEN(SUBSTITUTE($C1616,",",""))+1)</f>
        <v/>
      </c>
      <c r="K1616" s="26">
        <f>IF($A1616="","",SUMPRODUCT(--ISNUMBER(SEARCH('Category Dictionary'!$D$5:$D$135&amp;"",$C1616)),--('Category Dictionary'!$D$5:$D$135&lt;&gt;"")))</f>
        <v/>
      </c>
      <c r="L1616" s="27">
        <f>IF($A1616="","",TRIM(IF(ISERROR(FIND(",",$C1616)),$C1616,LEFT($C1616,FIND(",",$C1616)-1))))</f>
        <v/>
      </c>
      <c r="M1616" s="28">
        <f>IF($H1616="","",DATE(YEAR($H1616),MONTH($H1616),1))</f>
        <v/>
      </c>
      <c r="N1616" s="26">
        <f>IF($H1616="","",TODAY()-$H1616)</f>
        <v/>
      </c>
      <c r="O1616" s="15" t="n"/>
      <c r="P1616" s="15" t="n"/>
      <c r="Q1616" s="15" t="n"/>
      <c r="R1616" s="25" t="n"/>
      <c r="S1616" s="26">
        <f>IF($A1616="","",AND(OR('Assignment Builder'!$B$5="",$B1616='Assignment Builder'!$B$5),OR('Assignment Builder'!$B$6="",ISNUMBER(SEARCH('Assignment Builder'!$B$6,$C1616))),OR('Assignment Builder'!$B$7="",'Assignment Builder'!$B$7=IFERROR(INDEX('Category Dictionary'!$C$5:$C$135,MATCH($L1616,'Category Dictionary'!$D$5:$D$135,0)),"")),OR('Assignment Builder'!$B$8="",$D1616='Assignment Builder'!$B$8),OR('Assignment Builder'!$B$9="",$F1616='Assignment Builder'!$B$9),OR('Assignment Builder'!$B$10="",$O1616='Assignment Builder'!$B$10),OR('Assignment Builder'!$B$11="",$H1616&gt;='Assignment Builder'!$B$11),OR('Assignment Builder'!$B$12="",N($Q1616)&lt;='Assignment Builder'!$B$12)))</f>
        <v/>
      </c>
      <c r="T1616" s="23" t="n"/>
    </row>
    <row r="1617">
      <c r="A1617" s="23" t="n"/>
      <c r="B1617" s="23" t="n"/>
      <c r="C1617" s="24" t="n"/>
      <c r="D1617" s="15" t="n"/>
      <c r="E1617" s="23" t="n"/>
      <c r="F1617" s="15" t="n"/>
      <c r="G1617" s="23" t="n"/>
      <c r="H1617" s="25" t="n"/>
      <c r="I1617" s="15" t="n"/>
      <c r="J1617" s="26">
        <f>IF($A1617="","",LEN($C1617)-LEN(SUBSTITUTE($C1617,",",""))+1)</f>
        <v/>
      </c>
      <c r="K1617" s="26">
        <f>IF($A1617="","",SUMPRODUCT(--ISNUMBER(SEARCH('Category Dictionary'!$D$5:$D$135&amp;"",$C1617)),--('Category Dictionary'!$D$5:$D$135&lt;&gt;"")))</f>
        <v/>
      </c>
      <c r="L1617" s="27">
        <f>IF($A1617="","",TRIM(IF(ISERROR(FIND(",",$C1617)),$C1617,LEFT($C1617,FIND(",",$C1617)-1))))</f>
        <v/>
      </c>
      <c r="M1617" s="28">
        <f>IF($H1617="","",DATE(YEAR($H1617),MONTH($H1617),1))</f>
        <v/>
      </c>
      <c r="N1617" s="26">
        <f>IF($H1617="","",TODAY()-$H1617)</f>
        <v/>
      </c>
      <c r="O1617" s="15" t="n"/>
      <c r="P1617" s="15" t="n"/>
      <c r="Q1617" s="15" t="n"/>
      <c r="R1617" s="25" t="n"/>
      <c r="S1617" s="26">
        <f>IF($A1617="","",AND(OR('Assignment Builder'!$B$5="",$B1617='Assignment Builder'!$B$5),OR('Assignment Builder'!$B$6="",ISNUMBER(SEARCH('Assignment Builder'!$B$6,$C1617))),OR('Assignment Builder'!$B$7="",'Assignment Builder'!$B$7=IFERROR(INDEX('Category Dictionary'!$C$5:$C$135,MATCH($L1617,'Category Dictionary'!$D$5:$D$135,0)),"")),OR('Assignment Builder'!$B$8="",$D1617='Assignment Builder'!$B$8),OR('Assignment Builder'!$B$9="",$F1617='Assignment Builder'!$B$9),OR('Assignment Builder'!$B$10="",$O1617='Assignment Builder'!$B$10),OR('Assignment Builder'!$B$11="",$H1617&gt;='Assignment Builder'!$B$11),OR('Assignment Builder'!$B$12="",N($Q1617)&lt;='Assignment Builder'!$B$12)))</f>
        <v/>
      </c>
      <c r="T1617" s="23" t="n"/>
    </row>
    <row r="1618">
      <c r="A1618" s="23" t="n"/>
      <c r="B1618" s="23" t="n"/>
      <c r="C1618" s="24" t="n"/>
      <c r="D1618" s="15" t="n"/>
      <c r="E1618" s="23" t="n"/>
      <c r="F1618" s="15" t="n"/>
      <c r="G1618" s="23" t="n"/>
      <c r="H1618" s="25" t="n"/>
      <c r="I1618" s="15" t="n"/>
      <c r="J1618" s="26">
        <f>IF($A1618="","",LEN($C1618)-LEN(SUBSTITUTE($C1618,",",""))+1)</f>
        <v/>
      </c>
      <c r="K1618" s="26">
        <f>IF($A1618="","",SUMPRODUCT(--ISNUMBER(SEARCH('Category Dictionary'!$D$5:$D$135&amp;"",$C1618)),--('Category Dictionary'!$D$5:$D$135&lt;&gt;"")))</f>
        <v/>
      </c>
      <c r="L1618" s="27">
        <f>IF($A1618="","",TRIM(IF(ISERROR(FIND(",",$C1618)),$C1618,LEFT($C1618,FIND(",",$C1618)-1))))</f>
        <v/>
      </c>
      <c r="M1618" s="28">
        <f>IF($H1618="","",DATE(YEAR($H1618),MONTH($H1618),1))</f>
        <v/>
      </c>
      <c r="N1618" s="26">
        <f>IF($H1618="","",TODAY()-$H1618)</f>
        <v/>
      </c>
      <c r="O1618" s="15" t="n"/>
      <c r="P1618" s="15" t="n"/>
      <c r="Q1618" s="15" t="n"/>
      <c r="R1618" s="25" t="n"/>
      <c r="S1618" s="26">
        <f>IF($A1618="","",AND(OR('Assignment Builder'!$B$5="",$B1618='Assignment Builder'!$B$5),OR('Assignment Builder'!$B$6="",ISNUMBER(SEARCH('Assignment Builder'!$B$6,$C1618))),OR('Assignment Builder'!$B$7="",'Assignment Builder'!$B$7=IFERROR(INDEX('Category Dictionary'!$C$5:$C$135,MATCH($L1618,'Category Dictionary'!$D$5:$D$135,0)),"")),OR('Assignment Builder'!$B$8="",$D1618='Assignment Builder'!$B$8),OR('Assignment Builder'!$B$9="",$F1618='Assignment Builder'!$B$9),OR('Assignment Builder'!$B$10="",$O1618='Assignment Builder'!$B$10),OR('Assignment Builder'!$B$11="",$H1618&gt;='Assignment Builder'!$B$11),OR('Assignment Builder'!$B$12="",N($Q1618)&lt;='Assignment Builder'!$B$12)))</f>
        <v/>
      </c>
      <c r="T1618" s="23" t="n"/>
    </row>
    <row r="1619">
      <c r="A1619" s="23" t="n"/>
      <c r="B1619" s="23" t="n"/>
      <c r="C1619" s="24" t="n"/>
      <c r="D1619" s="15" t="n"/>
      <c r="E1619" s="23" t="n"/>
      <c r="F1619" s="15" t="n"/>
      <c r="G1619" s="23" t="n"/>
      <c r="H1619" s="25" t="n"/>
      <c r="I1619" s="15" t="n"/>
      <c r="J1619" s="26">
        <f>IF($A1619="","",LEN($C1619)-LEN(SUBSTITUTE($C1619,",",""))+1)</f>
        <v/>
      </c>
      <c r="K1619" s="26">
        <f>IF($A1619="","",SUMPRODUCT(--ISNUMBER(SEARCH('Category Dictionary'!$D$5:$D$135&amp;"",$C1619)),--('Category Dictionary'!$D$5:$D$135&lt;&gt;"")))</f>
        <v/>
      </c>
      <c r="L1619" s="27">
        <f>IF($A1619="","",TRIM(IF(ISERROR(FIND(",",$C1619)),$C1619,LEFT($C1619,FIND(",",$C1619)-1))))</f>
        <v/>
      </c>
      <c r="M1619" s="28">
        <f>IF($H1619="","",DATE(YEAR($H1619),MONTH($H1619),1))</f>
        <v/>
      </c>
      <c r="N1619" s="26">
        <f>IF($H1619="","",TODAY()-$H1619)</f>
        <v/>
      </c>
      <c r="O1619" s="15" t="n"/>
      <c r="P1619" s="15" t="n"/>
      <c r="Q1619" s="15" t="n"/>
      <c r="R1619" s="25" t="n"/>
      <c r="S1619" s="26">
        <f>IF($A1619="","",AND(OR('Assignment Builder'!$B$5="",$B1619='Assignment Builder'!$B$5),OR('Assignment Builder'!$B$6="",ISNUMBER(SEARCH('Assignment Builder'!$B$6,$C1619))),OR('Assignment Builder'!$B$7="",'Assignment Builder'!$B$7=IFERROR(INDEX('Category Dictionary'!$C$5:$C$135,MATCH($L1619,'Category Dictionary'!$D$5:$D$135,0)),"")),OR('Assignment Builder'!$B$8="",$D1619='Assignment Builder'!$B$8),OR('Assignment Builder'!$B$9="",$F1619='Assignment Builder'!$B$9),OR('Assignment Builder'!$B$10="",$O1619='Assignment Builder'!$B$10),OR('Assignment Builder'!$B$11="",$H1619&gt;='Assignment Builder'!$B$11),OR('Assignment Builder'!$B$12="",N($Q1619)&lt;='Assignment Builder'!$B$12)))</f>
        <v/>
      </c>
      <c r="T1619" s="23" t="n"/>
    </row>
    <row r="1620">
      <c r="A1620" s="23" t="n"/>
      <c r="B1620" s="23" t="n"/>
      <c r="C1620" s="24" t="n"/>
      <c r="D1620" s="15" t="n"/>
      <c r="E1620" s="23" t="n"/>
      <c r="F1620" s="15" t="n"/>
      <c r="G1620" s="23" t="n"/>
      <c r="H1620" s="25" t="n"/>
      <c r="I1620" s="15" t="n"/>
      <c r="J1620" s="26">
        <f>IF($A1620="","",LEN($C1620)-LEN(SUBSTITUTE($C1620,",",""))+1)</f>
        <v/>
      </c>
      <c r="K1620" s="26">
        <f>IF($A1620="","",SUMPRODUCT(--ISNUMBER(SEARCH('Category Dictionary'!$D$5:$D$135&amp;"",$C1620)),--('Category Dictionary'!$D$5:$D$135&lt;&gt;"")))</f>
        <v/>
      </c>
      <c r="L1620" s="27">
        <f>IF($A1620="","",TRIM(IF(ISERROR(FIND(",",$C1620)),$C1620,LEFT($C1620,FIND(",",$C1620)-1))))</f>
        <v/>
      </c>
      <c r="M1620" s="28">
        <f>IF($H1620="","",DATE(YEAR($H1620),MONTH($H1620),1))</f>
        <v/>
      </c>
      <c r="N1620" s="26">
        <f>IF($H1620="","",TODAY()-$H1620)</f>
        <v/>
      </c>
      <c r="O1620" s="15" t="n"/>
      <c r="P1620" s="15" t="n"/>
      <c r="Q1620" s="15" t="n"/>
      <c r="R1620" s="25" t="n"/>
      <c r="S1620" s="26">
        <f>IF($A1620="","",AND(OR('Assignment Builder'!$B$5="",$B1620='Assignment Builder'!$B$5),OR('Assignment Builder'!$B$6="",ISNUMBER(SEARCH('Assignment Builder'!$B$6,$C1620))),OR('Assignment Builder'!$B$7="",'Assignment Builder'!$B$7=IFERROR(INDEX('Category Dictionary'!$C$5:$C$135,MATCH($L1620,'Category Dictionary'!$D$5:$D$135,0)),"")),OR('Assignment Builder'!$B$8="",$D1620='Assignment Builder'!$B$8),OR('Assignment Builder'!$B$9="",$F1620='Assignment Builder'!$B$9),OR('Assignment Builder'!$B$10="",$O1620='Assignment Builder'!$B$10),OR('Assignment Builder'!$B$11="",$H1620&gt;='Assignment Builder'!$B$11),OR('Assignment Builder'!$B$12="",N($Q1620)&lt;='Assignment Builder'!$B$12)))</f>
        <v/>
      </c>
      <c r="T1620" s="23" t="n"/>
    </row>
    <row r="1621">
      <c r="A1621" s="23" t="n"/>
      <c r="B1621" s="23" t="n"/>
      <c r="C1621" s="24" t="n"/>
      <c r="D1621" s="15" t="n"/>
      <c r="E1621" s="23" t="n"/>
      <c r="F1621" s="15" t="n"/>
      <c r="G1621" s="23" t="n"/>
      <c r="H1621" s="25" t="n"/>
      <c r="I1621" s="15" t="n"/>
      <c r="J1621" s="26">
        <f>IF($A1621="","",LEN($C1621)-LEN(SUBSTITUTE($C1621,",",""))+1)</f>
        <v/>
      </c>
      <c r="K1621" s="26">
        <f>IF($A1621="","",SUMPRODUCT(--ISNUMBER(SEARCH('Category Dictionary'!$D$5:$D$135&amp;"",$C1621)),--('Category Dictionary'!$D$5:$D$135&lt;&gt;"")))</f>
        <v/>
      </c>
      <c r="L1621" s="27">
        <f>IF($A1621="","",TRIM(IF(ISERROR(FIND(",",$C1621)),$C1621,LEFT($C1621,FIND(",",$C1621)-1))))</f>
        <v/>
      </c>
      <c r="M1621" s="28">
        <f>IF($H1621="","",DATE(YEAR($H1621),MONTH($H1621),1))</f>
        <v/>
      </c>
      <c r="N1621" s="26">
        <f>IF($H1621="","",TODAY()-$H1621)</f>
        <v/>
      </c>
      <c r="O1621" s="15" t="n"/>
      <c r="P1621" s="15" t="n"/>
      <c r="Q1621" s="15" t="n"/>
      <c r="R1621" s="25" t="n"/>
      <c r="S1621" s="26">
        <f>IF($A1621="","",AND(OR('Assignment Builder'!$B$5="",$B1621='Assignment Builder'!$B$5),OR('Assignment Builder'!$B$6="",ISNUMBER(SEARCH('Assignment Builder'!$B$6,$C1621))),OR('Assignment Builder'!$B$7="",'Assignment Builder'!$B$7=IFERROR(INDEX('Category Dictionary'!$C$5:$C$135,MATCH($L1621,'Category Dictionary'!$D$5:$D$135,0)),"")),OR('Assignment Builder'!$B$8="",$D1621='Assignment Builder'!$B$8),OR('Assignment Builder'!$B$9="",$F1621='Assignment Builder'!$B$9),OR('Assignment Builder'!$B$10="",$O1621='Assignment Builder'!$B$10),OR('Assignment Builder'!$B$11="",$H1621&gt;='Assignment Builder'!$B$11),OR('Assignment Builder'!$B$12="",N($Q1621)&lt;='Assignment Builder'!$B$12)))</f>
        <v/>
      </c>
      <c r="T1621" s="23" t="n"/>
    </row>
    <row r="1622">
      <c r="A1622" s="23" t="n"/>
      <c r="B1622" s="23" t="n"/>
      <c r="C1622" s="24" t="n"/>
      <c r="D1622" s="15" t="n"/>
      <c r="E1622" s="23" t="n"/>
      <c r="F1622" s="15" t="n"/>
      <c r="G1622" s="23" t="n"/>
      <c r="H1622" s="25" t="n"/>
      <c r="I1622" s="15" t="n"/>
      <c r="J1622" s="26">
        <f>IF($A1622="","",LEN($C1622)-LEN(SUBSTITUTE($C1622,",",""))+1)</f>
        <v/>
      </c>
      <c r="K1622" s="26">
        <f>IF($A1622="","",SUMPRODUCT(--ISNUMBER(SEARCH('Category Dictionary'!$D$5:$D$135&amp;"",$C1622)),--('Category Dictionary'!$D$5:$D$135&lt;&gt;"")))</f>
        <v/>
      </c>
      <c r="L1622" s="27">
        <f>IF($A1622="","",TRIM(IF(ISERROR(FIND(",",$C1622)),$C1622,LEFT($C1622,FIND(",",$C1622)-1))))</f>
        <v/>
      </c>
      <c r="M1622" s="28">
        <f>IF($H1622="","",DATE(YEAR($H1622),MONTH($H1622),1))</f>
        <v/>
      </c>
      <c r="N1622" s="26">
        <f>IF($H1622="","",TODAY()-$H1622)</f>
        <v/>
      </c>
      <c r="O1622" s="15" t="n"/>
      <c r="P1622" s="15" t="n"/>
      <c r="Q1622" s="15" t="n"/>
      <c r="R1622" s="25" t="n"/>
      <c r="S1622" s="26">
        <f>IF($A1622="","",AND(OR('Assignment Builder'!$B$5="",$B1622='Assignment Builder'!$B$5),OR('Assignment Builder'!$B$6="",ISNUMBER(SEARCH('Assignment Builder'!$B$6,$C1622))),OR('Assignment Builder'!$B$7="",'Assignment Builder'!$B$7=IFERROR(INDEX('Category Dictionary'!$C$5:$C$135,MATCH($L1622,'Category Dictionary'!$D$5:$D$135,0)),"")),OR('Assignment Builder'!$B$8="",$D1622='Assignment Builder'!$B$8),OR('Assignment Builder'!$B$9="",$F1622='Assignment Builder'!$B$9),OR('Assignment Builder'!$B$10="",$O1622='Assignment Builder'!$B$10),OR('Assignment Builder'!$B$11="",$H1622&gt;='Assignment Builder'!$B$11),OR('Assignment Builder'!$B$12="",N($Q1622)&lt;='Assignment Builder'!$B$12)))</f>
        <v/>
      </c>
      <c r="T1622" s="23" t="n"/>
    </row>
    <row r="1623">
      <c r="A1623" s="23" t="n"/>
      <c r="B1623" s="23" t="n"/>
      <c r="C1623" s="24" t="n"/>
      <c r="D1623" s="15" t="n"/>
      <c r="E1623" s="23" t="n"/>
      <c r="F1623" s="15" t="n"/>
      <c r="G1623" s="23" t="n"/>
      <c r="H1623" s="25" t="n"/>
      <c r="I1623" s="15" t="n"/>
      <c r="J1623" s="26">
        <f>IF($A1623="","",LEN($C1623)-LEN(SUBSTITUTE($C1623,",",""))+1)</f>
        <v/>
      </c>
      <c r="K1623" s="26">
        <f>IF($A1623="","",SUMPRODUCT(--ISNUMBER(SEARCH('Category Dictionary'!$D$5:$D$135&amp;"",$C1623)),--('Category Dictionary'!$D$5:$D$135&lt;&gt;"")))</f>
        <v/>
      </c>
      <c r="L1623" s="27">
        <f>IF($A1623="","",TRIM(IF(ISERROR(FIND(",",$C1623)),$C1623,LEFT($C1623,FIND(",",$C1623)-1))))</f>
        <v/>
      </c>
      <c r="M1623" s="28">
        <f>IF($H1623="","",DATE(YEAR($H1623),MONTH($H1623),1))</f>
        <v/>
      </c>
      <c r="N1623" s="26">
        <f>IF($H1623="","",TODAY()-$H1623)</f>
        <v/>
      </c>
      <c r="O1623" s="15" t="n"/>
      <c r="P1623" s="15" t="n"/>
      <c r="Q1623" s="15" t="n"/>
      <c r="R1623" s="25" t="n"/>
      <c r="S1623" s="26">
        <f>IF($A1623="","",AND(OR('Assignment Builder'!$B$5="",$B1623='Assignment Builder'!$B$5),OR('Assignment Builder'!$B$6="",ISNUMBER(SEARCH('Assignment Builder'!$B$6,$C1623))),OR('Assignment Builder'!$B$7="",'Assignment Builder'!$B$7=IFERROR(INDEX('Category Dictionary'!$C$5:$C$135,MATCH($L1623,'Category Dictionary'!$D$5:$D$135,0)),"")),OR('Assignment Builder'!$B$8="",$D1623='Assignment Builder'!$B$8),OR('Assignment Builder'!$B$9="",$F1623='Assignment Builder'!$B$9),OR('Assignment Builder'!$B$10="",$O1623='Assignment Builder'!$B$10),OR('Assignment Builder'!$B$11="",$H1623&gt;='Assignment Builder'!$B$11),OR('Assignment Builder'!$B$12="",N($Q1623)&lt;='Assignment Builder'!$B$12)))</f>
        <v/>
      </c>
      <c r="T1623" s="23" t="n"/>
    </row>
    <row r="1624">
      <c r="A1624" s="23" t="n"/>
      <c r="B1624" s="23" t="n"/>
      <c r="C1624" s="24" t="n"/>
      <c r="D1624" s="15" t="n"/>
      <c r="E1624" s="23" t="n"/>
      <c r="F1624" s="15" t="n"/>
      <c r="G1624" s="23" t="n"/>
      <c r="H1624" s="25" t="n"/>
      <c r="I1624" s="15" t="n"/>
      <c r="J1624" s="26">
        <f>IF($A1624="","",LEN($C1624)-LEN(SUBSTITUTE($C1624,",",""))+1)</f>
        <v/>
      </c>
      <c r="K1624" s="26">
        <f>IF($A1624="","",SUMPRODUCT(--ISNUMBER(SEARCH('Category Dictionary'!$D$5:$D$135&amp;"",$C1624)),--('Category Dictionary'!$D$5:$D$135&lt;&gt;"")))</f>
        <v/>
      </c>
      <c r="L1624" s="27">
        <f>IF($A1624="","",TRIM(IF(ISERROR(FIND(",",$C1624)),$C1624,LEFT($C1624,FIND(",",$C1624)-1))))</f>
        <v/>
      </c>
      <c r="M1624" s="28">
        <f>IF($H1624="","",DATE(YEAR($H1624),MONTH($H1624),1))</f>
        <v/>
      </c>
      <c r="N1624" s="26">
        <f>IF($H1624="","",TODAY()-$H1624)</f>
        <v/>
      </c>
      <c r="O1624" s="15" t="n"/>
      <c r="P1624" s="15" t="n"/>
      <c r="Q1624" s="15" t="n"/>
      <c r="R1624" s="25" t="n"/>
      <c r="S1624" s="26">
        <f>IF($A1624="","",AND(OR('Assignment Builder'!$B$5="",$B1624='Assignment Builder'!$B$5),OR('Assignment Builder'!$B$6="",ISNUMBER(SEARCH('Assignment Builder'!$B$6,$C1624))),OR('Assignment Builder'!$B$7="",'Assignment Builder'!$B$7=IFERROR(INDEX('Category Dictionary'!$C$5:$C$135,MATCH($L1624,'Category Dictionary'!$D$5:$D$135,0)),"")),OR('Assignment Builder'!$B$8="",$D1624='Assignment Builder'!$B$8),OR('Assignment Builder'!$B$9="",$F1624='Assignment Builder'!$B$9),OR('Assignment Builder'!$B$10="",$O1624='Assignment Builder'!$B$10),OR('Assignment Builder'!$B$11="",$H1624&gt;='Assignment Builder'!$B$11),OR('Assignment Builder'!$B$12="",N($Q1624)&lt;='Assignment Builder'!$B$12)))</f>
        <v/>
      </c>
      <c r="T1624" s="23" t="n"/>
    </row>
    <row r="1625">
      <c r="A1625" s="23" t="n"/>
      <c r="B1625" s="23" t="n"/>
      <c r="C1625" s="24" t="n"/>
      <c r="D1625" s="15" t="n"/>
      <c r="E1625" s="23" t="n"/>
      <c r="F1625" s="15" t="n"/>
      <c r="G1625" s="23" t="n"/>
      <c r="H1625" s="25" t="n"/>
      <c r="I1625" s="15" t="n"/>
      <c r="J1625" s="26">
        <f>IF($A1625="","",LEN($C1625)-LEN(SUBSTITUTE($C1625,",",""))+1)</f>
        <v/>
      </c>
      <c r="K1625" s="26">
        <f>IF($A1625="","",SUMPRODUCT(--ISNUMBER(SEARCH('Category Dictionary'!$D$5:$D$135&amp;"",$C1625)),--('Category Dictionary'!$D$5:$D$135&lt;&gt;"")))</f>
        <v/>
      </c>
      <c r="L1625" s="27">
        <f>IF($A1625="","",TRIM(IF(ISERROR(FIND(",",$C1625)),$C1625,LEFT($C1625,FIND(",",$C1625)-1))))</f>
        <v/>
      </c>
      <c r="M1625" s="28">
        <f>IF($H1625="","",DATE(YEAR($H1625),MONTH($H1625),1))</f>
        <v/>
      </c>
      <c r="N1625" s="26">
        <f>IF($H1625="","",TODAY()-$H1625)</f>
        <v/>
      </c>
      <c r="O1625" s="15" t="n"/>
      <c r="P1625" s="15" t="n"/>
      <c r="Q1625" s="15" t="n"/>
      <c r="R1625" s="25" t="n"/>
      <c r="S1625" s="26">
        <f>IF($A1625="","",AND(OR('Assignment Builder'!$B$5="",$B1625='Assignment Builder'!$B$5),OR('Assignment Builder'!$B$6="",ISNUMBER(SEARCH('Assignment Builder'!$B$6,$C1625))),OR('Assignment Builder'!$B$7="",'Assignment Builder'!$B$7=IFERROR(INDEX('Category Dictionary'!$C$5:$C$135,MATCH($L1625,'Category Dictionary'!$D$5:$D$135,0)),"")),OR('Assignment Builder'!$B$8="",$D1625='Assignment Builder'!$B$8),OR('Assignment Builder'!$B$9="",$F1625='Assignment Builder'!$B$9),OR('Assignment Builder'!$B$10="",$O1625='Assignment Builder'!$B$10),OR('Assignment Builder'!$B$11="",$H1625&gt;='Assignment Builder'!$B$11),OR('Assignment Builder'!$B$12="",N($Q1625)&lt;='Assignment Builder'!$B$12)))</f>
        <v/>
      </c>
      <c r="T1625" s="23" t="n"/>
    </row>
    <row r="1626">
      <c r="A1626" s="23" t="n"/>
      <c r="B1626" s="23" t="n"/>
      <c r="C1626" s="24" t="n"/>
      <c r="D1626" s="15" t="n"/>
      <c r="E1626" s="23" t="n"/>
      <c r="F1626" s="15" t="n"/>
      <c r="G1626" s="23" t="n"/>
      <c r="H1626" s="25" t="n"/>
      <c r="I1626" s="15" t="n"/>
      <c r="J1626" s="26">
        <f>IF($A1626="","",LEN($C1626)-LEN(SUBSTITUTE($C1626,",",""))+1)</f>
        <v/>
      </c>
      <c r="K1626" s="26">
        <f>IF($A1626="","",SUMPRODUCT(--ISNUMBER(SEARCH('Category Dictionary'!$D$5:$D$135&amp;"",$C1626)),--('Category Dictionary'!$D$5:$D$135&lt;&gt;"")))</f>
        <v/>
      </c>
      <c r="L1626" s="27">
        <f>IF($A1626="","",TRIM(IF(ISERROR(FIND(",",$C1626)),$C1626,LEFT($C1626,FIND(",",$C1626)-1))))</f>
        <v/>
      </c>
      <c r="M1626" s="28">
        <f>IF($H1626="","",DATE(YEAR($H1626),MONTH($H1626),1))</f>
        <v/>
      </c>
      <c r="N1626" s="26">
        <f>IF($H1626="","",TODAY()-$H1626)</f>
        <v/>
      </c>
      <c r="O1626" s="15" t="n"/>
      <c r="P1626" s="15" t="n"/>
      <c r="Q1626" s="15" t="n"/>
      <c r="R1626" s="25" t="n"/>
      <c r="S1626" s="26">
        <f>IF($A1626="","",AND(OR('Assignment Builder'!$B$5="",$B1626='Assignment Builder'!$B$5),OR('Assignment Builder'!$B$6="",ISNUMBER(SEARCH('Assignment Builder'!$B$6,$C1626))),OR('Assignment Builder'!$B$7="",'Assignment Builder'!$B$7=IFERROR(INDEX('Category Dictionary'!$C$5:$C$135,MATCH($L1626,'Category Dictionary'!$D$5:$D$135,0)),"")),OR('Assignment Builder'!$B$8="",$D1626='Assignment Builder'!$B$8),OR('Assignment Builder'!$B$9="",$F1626='Assignment Builder'!$B$9),OR('Assignment Builder'!$B$10="",$O1626='Assignment Builder'!$B$10),OR('Assignment Builder'!$B$11="",$H1626&gt;='Assignment Builder'!$B$11),OR('Assignment Builder'!$B$12="",N($Q1626)&lt;='Assignment Builder'!$B$12)))</f>
        <v/>
      </c>
      <c r="T1626" s="23" t="n"/>
    </row>
    <row r="1627">
      <c r="A1627" s="23" t="n"/>
      <c r="B1627" s="23" t="n"/>
      <c r="C1627" s="24" t="n"/>
      <c r="D1627" s="15" t="n"/>
      <c r="E1627" s="23" t="n"/>
      <c r="F1627" s="15" t="n"/>
      <c r="G1627" s="23" t="n"/>
      <c r="H1627" s="25" t="n"/>
      <c r="I1627" s="15" t="n"/>
      <c r="J1627" s="26">
        <f>IF($A1627="","",LEN($C1627)-LEN(SUBSTITUTE($C1627,",",""))+1)</f>
        <v/>
      </c>
      <c r="K1627" s="26">
        <f>IF($A1627="","",SUMPRODUCT(--ISNUMBER(SEARCH('Category Dictionary'!$D$5:$D$135&amp;"",$C1627)),--('Category Dictionary'!$D$5:$D$135&lt;&gt;"")))</f>
        <v/>
      </c>
      <c r="L1627" s="27">
        <f>IF($A1627="","",TRIM(IF(ISERROR(FIND(",",$C1627)),$C1627,LEFT($C1627,FIND(",",$C1627)-1))))</f>
        <v/>
      </c>
      <c r="M1627" s="28">
        <f>IF($H1627="","",DATE(YEAR($H1627),MONTH($H1627),1))</f>
        <v/>
      </c>
      <c r="N1627" s="26">
        <f>IF($H1627="","",TODAY()-$H1627)</f>
        <v/>
      </c>
      <c r="O1627" s="15" t="n"/>
      <c r="P1627" s="15" t="n"/>
      <c r="Q1627" s="15" t="n"/>
      <c r="R1627" s="25" t="n"/>
      <c r="S1627" s="26">
        <f>IF($A1627="","",AND(OR('Assignment Builder'!$B$5="",$B1627='Assignment Builder'!$B$5),OR('Assignment Builder'!$B$6="",ISNUMBER(SEARCH('Assignment Builder'!$B$6,$C1627))),OR('Assignment Builder'!$B$7="",'Assignment Builder'!$B$7=IFERROR(INDEX('Category Dictionary'!$C$5:$C$135,MATCH($L1627,'Category Dictionary'!$D$5:$D$135,0)),"")),OR('Assignment Builder'!$B$8="",$D1627='Assignment Builder'!$B$8),OR('Assignment Builder'!$B$9="",$F1627='Assignment Builder'!$B$9),OR('Assignment Builder'!$B$10="",$O1627='Assignment Builder'!$B$10),OR('Assignment Builder'!$B$11="",$H1627&gt;='Assignment Builder'!$B$11),OR('Assignment Builder'!$B$12="",N($Q1627)&lt;='Assignment Builder'!$B$12)))</f>
        <v/>
      </c>
      <c r="T1627" s="23" t="n"/>
    </row>
    <row r="1628">
      <c r="A1628" s="23" t="n"/>
      <c r="B1628" s="23" t="n"/>
      <c r="C1628" s="24" t="n"/>
      <c r="D1628" s="15" t="n"/>
      <c r="E1628" s="23" t="n"/>
      <c r="F1628" s="15" t="n"/>
      <c r="G1628" s="23" t="n"/>
      <c r="H1628" s="25" t="n"/>
      <c r="I1628" s="15" t="n"/>
      <c r="J1628" s="26">
        <f>IF($A1628="","",LEN($C1628)-LEN(SUBSTITUTE($C1628,",",""))+1)</f>
        <v/>
      </c>
      <c r="K1628" s="26">
        <f>IF($A1628="","",SUMPRODUCT(--ISNUMBER(SEARCH('Category Dictionary'!$D$5:$D$135&amp;"",$C1628)),--('Category Dictionary'!$D$5:$D$135&lt;&gt;"")))</f>
        <v/>
      </c>
      <c r="L1628" s="27">
        <f>IF($A1628="","",TRIM(IF(ISERROR(FIND(",",$C1628)),$C1628,LEFT($C1628,FIND(",",$C1628)-1))))</f>
        <v/>
      </c>
      <c r="M1628" s="28">
        <f>IF($H1628="","",DATE(YEAR($H1628),MONTH($H1628),1))</f>
        <v/>
      </c>
      <c r="N1628" s="26">
        <f>IF($H1628="","",TODAY()-$H1628)</f>
        <v/>
      </c>
      <c r="O1628" s="15" t="n"/>
      <c r="P1628" s="15" t="n"/>
      <c r="Q1628" s="15" t="n"/>
      <c r="R1628" s="25" t="n"/>
      <c r="S1628" s="26">
        <f>IF($A1628="","",AND(OR('Assignment Builder'!$B$5="",$B1628='Assignment Builder'!$B$5),OR('Assignment Builder'!$B$6="",ISNUMBER(SEARCH('Assignment Builder'!$B$6,$C1628))),OR('Assignment Builder'!$B$7="",'Assignment Builder'!$B$7=IFERROR(INDEX('Category Dictionary'!$C$5:$C$135,MATCH($L1628,'Category Dictionary'!$D$5:$D$135,0)),"")),OR('Assignment Builder'!$B$8="",$D1628='Assignment Builder'!$B$8),OR('Assignment Builder'!$B$9="",$F1628='Assignment Builder'!$B$9),OR('Assignment Builder'!$B$10="",$O1628='Assignment Builder'!$B$10),OR('Assignment Builder'!$B$11="",$H1628&gt;='Assignment Builder'!$B$11),OR('Assignment Builder'!$B$12="",N($Q1628)&lt;='Assignment Builder'!$B$12)))</f>
        <v/>
      </c>
      <c r="T1628" s="23" t="n"/>
    </row>
    <row r="1629">
      <c r="A1629" s="23" t="n"/>
      <c r="B1629" s="23" t="n"/>
      <c r="C1629" s="24" t="n"/>
      <c r="D1629" s="15" t="n"/>
      <c r="E1629" s="23" t="n"/>
      <c r="F1629" s="15" t="n"/>
      <c r="G1629" s="23" t="n"/>
      <c r="H1629" s="25" t="n"/>
      <c r="I1629" s="15" t="n"/>
      <c r="J1629" s="26">
        <f>IF($A1629="","",LEN($C1629)-LEN(SUBSTITUTE($C1629,",",""))+1)</f>
        <v/>
      </c>
      <c r="K1629" s="26">
        <f>IF($A1629="","",SUMPRODUCT(--ISNUMBER(SEARCH('Category Dictionary'!$D$5:$D$135&amp;"",$C1629)),--('Category Dictionary'!$D$5:$D$135&lt;&gt;"")))</f>
        <v/>
      </c>
      <c r="L1629" s="27">
        <f>IF($A1629="","",TRIM(IF(ISERROR(FIND(",",$C1629)),$C1629,LEFT($C1629,FIND(",",$C1629)-1))))</f>
        <v/>
      </c>
      <c r="M1629" s="28">
        <f>IF($H1629="","",DATE(YEAR($H1629),MONTH($H1629),1))</f>
        <v/>
      </c>
      <c r="N1629" s="26">
        <f>IF($H1629="","",TODAY()-$H1629)</f>
        <v/>
      </c>
      <c r="O1629" s="15" t="n"/>
      <c r="P1629" s="15" t="n"/>
      <c r="Q1629" s="15" t="n"/>
      <c r="R1629" s="25" t="n"/>
      <c r="S1629" s="26">
        <f>IF($A1629="","",AND(OR('Assignment Builder'!$B$5="",$B1629='Assignment Builder'!$B$5),OR('Assignment Builder'!$B$6="",ISNUMBER(SEARCH('Assignment Builder'!$B$6,$C1629))),OR('Assignment Builder'!$B$7="",'Assignment Builder'!$B$7=IFERROR(INDEX('Category Dictionary'!$C$5:$C$135,MATCH($L1629,'Category Dictionary'!$D$5:$D$135,0)),"")),OR('Assignment Builder'!$B$8="",$D1629='Assignment Builder'!$B$8),OR('Assignment Builder'!$B$9="",$F1629='Assignment Builder'!$B$9),OR('Assignment Builder'!$B$10="",$O1629='Assignment Builder'!$B$10),OR('Assignment Builder'!$B$11="",$H1629&gt;='Assignment Builder'!$B$11),OR('Assignment Builder'!$B$12="",N($Q1629)&lt;='Assignment Builder'!$B$12)))</f>
        <v/>
      </c>
      <c r="T1629" s="23" t="n"/>
    </row>
    <row r="1630">
      <c r="A1630" s="23" t="n"/>
      <c r="B1630" s="23" t="n"/>
      <c r="C1630" s="24" t="n"/>
      <c r="D1630" s="15" t="n"/>
      <c r="E1630" s="23" t="n"/>
      <c r="F1630" s="15" t="n"/>
      <c r="G1630" s="23" t="n"/>
      <c r="H1630" s="25" t="n"/>
      <c r="I1630" s="15" t="n"/>
      <c r="J1630" s="26">
        <f>IF($A1630="","",LEN($C1630)-LEN(SUBSTITUTE($C1630,",",""))+1)</f>
        <v/>
      </c>
      <c r="K1630" s="26">
        <f>IF($A1630="","",SUMPRODUCT(--ISNUMBER(SEARCH('Category Dictionary'!$D$5:$D$135&amp;"",$C1630)),--('Category Dictionary'!$D$5:$D$135&lt;&gt;"")))</f>
        <v/>
      </c>
      <c r="L1630" s="27">
        <f>IF($A1630="","",TRIM(IF(ISERROR(FIND(",",$C1630)),$C1630,LEFT($C1630,FIND(",",$C1630)-1))))</f>
        <v/>
      </c>
      <c r="M1630" s="28">
        <f>IF($H1630="","",DATE(YEAR($H1630),MONTH($H1630),1))</f>
        <v/>
      </c>
      <c r="N1630" s="26">
        <f>IF($H1630="","",TODAY()-$H1630)</f>
        <v/>
      </c>
      <c r="O1630" s="15" t="n"/>
      <c r="P1630" s="15" t="n"/>
      <c r="Q1630" s="15" t="n"/>
      <c r="R1630" s="25" t="n"/>
      <c r="S1630" s="26">
        <f>IF($A1630="","",AND(OR('Assignment Builder'!$B$5="",$B1630='Assignment Builder'!$B$5),OR('Assignment Builder'!$B$6="",ISNUMBER(SEARCH('Assignment Builder'!$B$6,$C1630))),OR('Assignment Builder'!$B$7="",'Assignment Builder'!$B$7=IFERROR(INDEX('Category Dictionary'!$C$5:$C$135,MATCH($L1630,'Category Dictionary'!$D$5:$D$135,0)),"")),OR('Assignment Builder'!$B$8="",$D1630='Assignment Builder'!$B$8),OR('Assignment Builder'!$B$9="",$F1630='Assignment Builder'!$B$9),OR('Assignment Builder'!$B$10="",$O1630='Assignment Builder'!$B$10),OR('Assignment Builder'!$B$11="",$H1630&gt;='Assignment Builder'!$B$11),OR('Assignment Builder'!$B$12="",N($Q1630)&lt;='Assignment Builder'!$B$12)))</f>
        <v/>
      </c>
      <c r="T1630" s="23" t="n"/>
    </row>
    <row r="1631">
      <c r="A1631" s="23" t="n"/>
      <c r="B1631" s="23" t="n"/>
      <c r="C1631" s="24" t="n"/>
      <c r="D1631" s="15" t="n"/>
      <c r="E1631" s="23" t="n"/>
      <c r="F1631" s="15" t="n"/>
      <c r="G1631" s="23" t="n"/>
      <c r="H1631" s="25" t="n"/>
      <c r="I1631" s="15" t="n"/>
      <c r="J1631" s="26">
        <f>IF($A1631="","",LEN($C1631)-LEN(SUBSTITUTE($C1631,",",""))+1)</f>
        <v/>
      </c>
      <c r="K1631" s="26">
        <f>IF($A1631="","",SUMPRODUCT(--ISNUMBER(SEARCH('Category Dictionary'!$D$5:$D$135&amp;"",$C1631)),--('Category Dictionary'!$D$5:$D$135&lt;&gt;"")))</f>
        <v/>
      </c>
      <c r="L1631" s="27">
        <f>IF($A1631="","",TRIM(IF(ISERROR(FIND(",",$C1631)),$C1631,LEFT($C1631,FIND(",",$C1631)-1))))</f>
        <v/>
      </c>
      <c r="M1631" s="28">
        <f>IF($H1631="","",DATE(YEAR($H1631),MONTH($H1631),1))</f>
        <v/>
      </c>
      <c r="N1631" s="26">
        <f>IF($H1631="","",TODAY()-$H1631)</f>
        <v/>
      </c>
      <c r="O1631" s="15" t="n"/>
      <c r="P1631" s="15" t="n"/>
      <c r="Q1631" s="15" t="n"/>
      <c r="R1631" s="25" t="n"/>
      <c r="S1631" s="26">
        <f>IF($A1631="","",AND(OR('Assignment Builder'!$B$5="",$B1631='Assignment Builder'!$B$5),OR('Assignment Builder'!$B$6="",ISNUMBER(SEARCH('Assignment Builder'!$B$6,$C1631))),OR('Assignment Builder'!$B$7="",'Assignment Builder'!$B$7=IFERROR(INDEX('Category Dictionary'!$C$5:$C$135,MATCH($L1631,'Category Dictionary'!$D$5:$D$135,0)),"")),OR('Assignment Builder'!$B$8="",$D1631='Assignment Builder'!$B$8),OR('Assignment Builder'!$B$9="",$F1631='Assignment Builder'!$B$9),OR('Assignment Builder'!$B$10="",$O1631='Assignment Builder'!$B$10),OR('Assignment Builder'!$B$11="",$H1631&gt;='Assignment Builder'!$B$11),OR('Assignment Builder'!$B$12="",N($Q1631)&lt;='Assignment Builder'!$B$12)))</f>
        <v/>
      </c>
      <c r="T1631" s="23" t="n"/>
    </row>
    <row r="1632">
      <c r="A1632" s="23" t="n"/>
      <c r="B1632" s="23" t="n"/>
      <c r="C1632" s="24" t="n"/>
      <c r="D1632" s="15" t="n"/>
      <c r="E1632" s="23" t="n"/>
      <c r="F1632" s="15" t="n"/>
      <c r="G1632" s="23" t="n"/>
      <c r="H1632" s="25" t="n"/>
      <c r="I1632" s="15" t="n"/>
      <c r="J1632" s="26">
        <f>IF($A1632="","",LEN($C1632)-LEN(SUBSTITUTE($C1632,",",""))+1)</f>
        <v/>
      </c>
      <c r="K1632" s="26">
        <f>IF($A1632="","",SUMPRODUCT(--ISNUMBER(SEARCH('Category Dictionary'!$D$5:$D$135&amp;"",$C1632)),--('Category Dictionary'!$D$5:$D$135&lt;&gt;"")))</f>
        <v/>
      </c>
      <c r="L1632" s="27">
        <f>IF($A1632="","",TRIM(IF(ISERROR(FIND(",",$C1632)),$C1632,LEFT($C1632,FIND(",",$C1632)-1))))</f>
        <v/>
      </c>
      <c r="M1632" s="28">
        <f>IF($H1632="","",DATE(YEAR($H1632),MONTH($H1632),1))</f>
        <v/>
      </c>
      <c r="N1632" s="26">
        <f>IF($H1632="","",TODAY()-$H1632)</f>
        <v/>
      </c>
      <c r="O1632" s="15" t="n"/>
      <c r="P1632" s="15" t="n"/>
      <c r="Q1632" s="15" t="n"/>
      <c r="R1632" s="25" t="n"/>
      <c r="S1632" s="26">
        <f>IF($A1632="","",AND(OR('Assignment Builder'!$B$5="",$B1632='Assignment Builder'!$B$5),OR('Assignment Builder'!$B$6="",ISNUMBER(SEARCH('Assignment Builder'!$B$6,$C1632))),OR('Assignment Builder'!$B$7="",'Assignment Builder'!$B$7=IFERROR(INDEX('Category Dictionary'!$C$5:$C$135,MATCH($L1632,'Category Dictionary'!$D$5:$D$135,0)),"")),OR('Assignment Builder'!$B$8="",$D1632='Assignment Builder'!$B$8),OR('Assignment Builder'!$B$9="",$F1632='Assignment Builder'!$B$9),OR('Assignment Builder'!$B$10="",$O1632='Assignment Builder'!$B$10),OR('Assignment Builder'!$B$11="",$H1632&gt;='Assignment Builder'!$B$11),OR('Assignment Builder'!$B$12="",N($Q1632)&lt;='Assignment Builder'!$B$12)))</f>
        <v/>
      </c>
      <c r="T1632" s="23" t="n"/>
    </row>
    <row r="1633">
      <c r="A1633" s="23" t="n"/>
      <c r="B1633" s="23" t="n"/>
      <c r="C1633" s="24" t="n"/>
      <c r="D1633" s="15" t="n"/>
      <c r="E1633" s="23" t="n"/>
      <c r="F1633" s="15" t="n"/>
      <c r="G1633" s="23" t="n"/>
      <c r="H1633" s="25" t="n"/>
      <c r="I1633" s="15" t="n"/>
      <c r="J1633" s="26">
        <f>IF($A1633="","",LEN($C1633)-LEN(SUBSTITUTE($C1633,",",""))+1)</f>
        <v/>
      </c>
      <c r="K1633" s="26">
        <f>IF($A1633="","",SUMPRODUCT(--ISNUMBER(SEARCH('Category Dictionary'!$D$5:$D$135&amp;"",$C1633)),--('Category Dictionary'!$D$5:$D$135&lt;&gt;"")))</f>
        <v/>
      </c>
      <c r="L1633" s="27">
        <f>IF($A1633="","",TRIM(IF(ISERROR(FIND(",",$C1633)),$C1633,LEFT($C1633,FIND(",",$C1633)-1))))</f>
        <v/>
      </c>
      <c r="M1633" s="28">
        <f>IF($H1633="","",DATE(YEAR($H1633),MONTH($H1633),1))</f>
        <v/>
      </c>
      <c r="N1633" s="26">
        <f>IF($H1633="","",TODAY()-$H1633)</f>
        <v/>
      </c>
      <c r="O1633" s="15" t="n"/>
      <c r="P1633" s="15" t="n"/>
      <c r="Q1633" s="15" t="n"/>
      <c r="R1633" s="25" t="n"/>
      <c r="S1633" s="26">
        <f>IF($A1633="","",AND(OR('Assignment Builder'!$B$5="",$B1633='Assignment Builder'!$B$5),OR('Assignment Builder'!$B$6="",ISNUMBER(SEARCH('Assignment Builder'!$B$6,$C1633))),OR('Assignment Builder'!$B$7="",'Assignment Builder'!$B$7=IFERROR(INDEX('Category Dictionary'!$C$5:$C$135,MATCH($L1633,'Category Dictionary'!$D$5:$D$135,0)),"")),OR('Assignment Builder'!$B$8="",$D1633='Assignment Builder'!$B$8),OR('Assignment Builder'!$B$9="",$F1633='Assignment Builder'!$B$9),OR('Assignment Builder'!$B$10="",$O1633='Assignment Builder'!$B$10),OR('Assignment Builder'!$B$11="",$H1633&gt;='Assignment Builder'!$B$11),OR('Assignment Builder'!$B$12="",N($Q1633)&lt;='Assignment Builder'!$B$12)))</f>
        <v/>
      </c>
      <c r="T1633" s="23" t="n"/>
    </row>
    <row r="1634">
      <c r="A1634" s="23" t="n"/>
      <c r="B1634" s="23" t="n"/>
      <c r="C1634" s="24" t="n"/>
      <c r="D1634" s="15" t="n"/>
      <c r="E1634" s="23" t="n"/>
      <c r="F1634" s="15" t="n"/>
      <c r="G1634" s="23" t="n"/>
      <c r="H1634" s="25" t="n"/>
      <c r="I1634" s="15" t="n"/>
      <c r="J1634" s="26">
        <f>IF($A1634="","",LEN($C1634)-LEN(SUBSTITUTE($C1634,",",""))+1)</f>
        <v/>
      </c>
      <c r="K1634" s="26">
        <f>IF($A1634="","",SUMPRODUCT(--ISNUMBER(SEARCH('Category Dictionary'!$D$5:$D$135&amp;"",$C1634)),--('Category Dictionary'!$D$5:$D$135&lt;&gt;"")))</f>
        <v/>
      </c>
      <c r="L1634" s="27">
        <f>IF($A1634="","",TRIM(IF(ISERROR(FIND(",",$C1634)),$C1634,LEFT($C1634,FIND(",",$C1634)-1))))</f>
        <v/>
      </c>
      <c r="M1634" s="28">
        <f>IF($H1634="","",DATE(YEAR($H1634),MONTH($H1634),1))</f>
        <v/>
      </c>
      <c r="N1634" s="26">
        <f>IF($H1634="","",TODAY()-$H1634)</f>
        <v/>
      </c>
      <c r="O1634" s="15" t="n"/>
      <c r="P1634" s="15" t="n"/>
      <c r="Q1634" s="15" t="n"/>
      <c r="R1634" s="25" t="n"/>
      <c r="S1634" s="26">
        <f>IF($A1634="","",AND(OR('Assignment Builder'!$B$5="",$B1634='Assignment Builder'!$B$5),OR('Assignment Builder'!$B$6="",ISNUMBER(SEARCH('Assignment Builder'!$B$6,$C1634))),OR('Assignment Builder'!$B$7="",'Assignment Builder'!$B$7=IFERROR(INDEX('Category Dictionary'!$C$5:$C$135,MATCH($L1634,'Category Dictionary'!$D$5:$D$135,0)),"")),OR('Assignment Builder'!$B$8="",$D1634='Assignment Builder'!$B$8),OR('Assignment Builder'!$B$9="",$F1634='Assignment Builder'!$B$9),OR('Assignment Builder'!$B$10="",$O1634='Assignment Builder'!$B$10),OR('Assignment Builder'!$B$11="",$H1634&gt;='Assignment Builder'!$B$11),OR('Assignment Builder'!$B$12="",N($Q1634)&lt;='Assignment Builder'!$B$12)))</f>
        <v/>
      </c>
      <c r="T1634" s="23" t="n"/>
    </row>
    <row r="1635">
      <c r="A1635" s="23" t="n"/>
      <c r="B1635" s="23" t="n"/>
      <c r="C1635" s="24" t="n"/>
      <c r="D1635" s="15" t="n"/>
      <c r="E1635" s="23" t="n"/>
      <c r="F1635" s="15" t="n"/>
      <c r="G1635" s="23" t="n"/>
      <c r="H1635" s="25" t="n"/>
      <c r="I1635" s="15" t="n"/>
      <c r="J1635" s="26">
        <f>IF($A1635="","",LEN($C1635)-LEN(SUBSTITUTE($C1635,",",""))+1)</f>
        <v/>
      </c>
      <c r="K1635" s="26">
        <f>IF($A1635="","",SUMPRODUCT(--ISNUMBER(SEARCH('Category Dictionary'!$D$5:$D$135&amp;"",$C1635)),--('Category Dictionary'!$D$5:$D$135&lt;&gt;"")))</f>
        <v/>
      </c>
      <c r="L1635" s="27">
        <f>IF($A1635="","",TRIM(IF(ISERROR(FIND(",",$C1635)),$C1635,LEFT($C1635,FIND(",",$C1635)-1))))</f>
        <v/>
      </c>
      <c r="M1635" s="28">
        <f>IF($H1635="","",DATE(YEAR($H1635),MONTH($H1635),1))</f>
        <v/>
      </c>
      <c r="N1635" s="26">
        <f>IF($H1635="","",TODAY()-$H1635)</f>
        <v/>
      </c>
      <c r="O1635" s="15" t="n"/>
      <c r="P1635" s="15" t="n"/>
      <c r="Q1635" s="15" t="n"/>
      <c r="R1635" s="25" t="n"/>
      <c r="S1635" s="26">
        <f>IF($A1635="","",AND(OR('Assignment Builder'!$B$5="",$B1635='Assignment Builder'!$B$5),OR('Assignment Builder'!$B$6="",ISNUMBER(SEARCH('Assignment Builder'!$B$6,$C1635))),OR('Assignment Builder'!$B$7="",'Assignment Builder'!$B$7=IFERROR(INDEX('Category Dictionary'!$C$5:$C$135,MATCH($L1635,'Category Dictionary'!$D$5:$D$135,0)),"")),OR('Assignment Builder'!$B$8="",$D1635='Assignment Builder'!$B$8),OR('Assignment Builder'!$B$9="",$F1635='Assignment Builder'!$B$9),OR('Assignment Builder'!$B$10="",$O1635='Assignment Builder'!$B$10),OR('Assignment Builder'!$B$11="",$H1635&gt;='Assignment Builder'!$B$11),OR('Assignment Builder'!$B$12="",N($Q1635)&lt;='Assignment Builder'!$B$12)))</f>
        <v/>
      </c>
      <c r="T1635" s="23" t="n"/>
    </row>
    <row r="1636">
      <c r="A1636" s="23" t="n"/>
      <c r="B1636" s="23" t="n"/>
      <c r="C1636" s="24" t="n"/>
      <c r="D1636" s="15" t="n"/>
      <c r="E1636" s="23" t="n"/>
      <c r="F1636" s="15" t="n"/>
      <c r="G1636" s="23" t="n"/>
      <c r="H1636" s="25" t="n"/>
      <c r="I1636" s="15" t="n"/>
      <c r="J1636" s="26">
        <f>IF($A1636="","",LEN($C1636)-LEN(SUBSTITUTE($C1636,",",""))+1)</f>
        <v/>
      </c>
      <c r="K1636" s="26">
        <f>IF($A1636="","",SUMPRODUCT(--ISNUMBER(SEARCH('Category Dictionary'!$D$5:$D$135&amp;"",$C1636)),--('Category Dictionary'!$D$5:$D$135&lt;&gt;"")))</f>
        <v/>
      </c>
      <c r="L1636" s="27">
        <f>IF($A1636="","",TRIM(IF(ISERROR(FIND(",",$C1636)),$C1636,LEFT($C1636,FIND(",",$C1636)-1))))</f>
        <v/>
      </c>
      <c r="M1636" s="28">
        <f>IF($H1636="","",DATE(YEAR($H1636),MONTH($H1636),1))</f>
        <v/>
      </c>
      <c r="N1636" s="26">
        <f>IF($H1636="","",TODAY()-$H1636)</f>
        <v/>
      </c>
      <c r="O1636" s="15" t="n"/>
      <c r="P1636" s="15" t="n"/>
      <c r="Q1636" s="15" t="n"/>
      <c r="R1636" s="25" t="n"/>
      <c r="S1636" s="26">
        <f>IF($A1636="","",AND(OR('Assignment Builder'!$B$5="",$B1636='Assignment Builder'!$B$5),OR('Assignment Builder'!$B$6="",ISNUMBER(SEARCH('Assignment Builder'!$B$6,$C1636))),OR('Assignment Builder'!$B$7="",'Assignment Builder'!$B$7=IFERROR(INDEX('Category Dictionary'!$C$5:$C$135,MATCH($L1636,'Category Dictionary'!$D$5:$D$135,0)),"")),OR('Assignment Builder'!$B$8="",$D1636='Assignment Builder'!$B$8),OR('Assignment Builder'!$B$9="",$F1636='Assignment Builder'!$B$9),OR('Assignment Builder'!$B$10="",$O1636='Assignment Builder'!$B$10),OR('Assignment Builder'!$B$11="",$H1636&gt;='Assignment Builder'!$B$11),OR('Assignment Builder'!$B$12="",N($Q1636)&lt;='Assignment Builder'!$B$12)))</f>
        <v/>
      </c>
      <c r="T1636" s="23" t="n"/>
    </row>
    <row r="1637">
      <c r="A1637" s="23" t="n"/>
      <c r="B1637" s="23" t="n"/>
      <c r="C1637" s="24" t="n"/>
      <c r="D1637" s="15" t="n"/>
      <c r="E1637" s="23" t="n"/>
      <c r="F1637" s="15" t="n"/>
      <c r="G1637" s="23" t="n"/>
      <c r="H1637" s="25" t="n"/>
      <c r="I1637" s="15" t="n"/>
      <c r="J1637" s="26">
        <f>IF($A1637="","",LEN($C1637)-LEN(SUBSTITUTE($C1637,",",""))+1)</f>
        <v/>
      </c>
      <c r="K1637" s="26">
        <f>IF($A1637="","",SUMPRODUCT(--ISNUMBER(SEARCH('Category Dictionary'!$D$5:$D$135&amp;"",$C1637)),--('Category Dictionary'!$D$5:$D$135&lt;&gt;"")))</f>
        <v/>
      </c>
      <c r="L1637" s="27">
        <f>IF($A1637="","",TRIM(IF(ISERROR(FIND(",",$C1637)),$C1637,LEFT($C1637,FIND(",",$C1637)-1))))</f>
        <v/>
      </c>
      <c r="M1637" s="28">
        <f>IF($H1637="","",DATE(YEAR($H1637),MONTH($H1637),1))</f>
        <v/>
      </c>
      <c r="N1637" s="26">
        <f>IF($H1637="","",TODAY()-$H1637)</f>
        <v/>
      </c>
      <c r="O1637" s="15" t="n"/>
      <c r="P1637" s="15" t="n"/>
      <c r="Q1637" s="15" t="n"/>
      <c r="R1637" s="25" t="n"/>
      <c r="S1637" s="26">
        <f>IF($A1637="","",AND(OR('Assignment Builder'!$B$5="",$B1637='Assignment Builder'!$B$5),OR('Assignment Builder'!$B$6="",ISNUMBER(SEARCH('Assignment Builder'!$B$6,$C1637))),OR('Assignment Builder'!$B$7="",'Assignment Builder'!$B$7=IFERROR(INDEX('Category Dictionary'!$C$5:$C$135,MATCH($L1637,'Category Dictionary'!$D$5:$D$135,0)),"")),OR('Assignment Builder'!$B$8="",$D1637='Assignment Builder'!$B$8),OR('Assignment Builder'!$B$9="",$F1637='Assignment Builder'!$B$9),OR('Assignment Builder'!$B$10="",$O1637='Assignment Builder'!$B$10),OR('Assignment Builder'!$B$11="",$H1637&gt;='Assignment Builder'!$B$11),OR('Assignment Builder'!$B$12="",N($Q1637)&lt;='Assignment Builder'!$B$12)))</f>
        <v/>
      </c>
      <c r="T1637" s="23" t="n"/>
    </row>
    <row r="1638">
      <c r="A1638" s="23" t="n"/>
      <c r="B1638" s="23" t="n"/>
      <c r="C1638" s="24" t="n"/>
      <c r="D1638" s="15" t="n"/>
      <c r="E1638" s="23" t="n"/>
      <c r="F1638" s="15" t="n"/>
      <c r="G1638" s="23" t="n"/>
      <c r="H1638" s="25" t="n"/>
      <c r="I1638" s="15" t="n"/>
      <c r="J1638" s="26">
        <f>IF($A1638="","",LEN($C1638)-LEN(SUBSTITUTE($C1638,",",""))+1)</f>
        <v/>
      </c>
      <c r="K1638" s="26">
        <f>IF($A1638="","",SUMPRODUCT(--ISNUMBER(SEARCH('Category Dictionary'!$D$5:$D$135&amp;"",$C1638)),--('Category Dictionary'!$D$5:$D$135&lt;&gt;"")))</f>
        <v/>
      </c>
      <c r="L1638" s="27">
        <f>IF($A1638="","",TRIM(IF(ISERROR(FIND(",",$C1638)),$C1638,LEFT($C1638,FIND(",",$C1638)-1))))</f>
        <v/>
      </c>
      <c r="M1638" s="28">
        <f>IF($H1638="","",DATE(YEAR($H1638),MONTH($H1638),1))</f>
        <v/>
      </c>
      <c r="N1638" s="26">
        <f>IF($H1638="","",TODAY()-$H1638)</f>
        <v/>
      </c>
      <c r="O1638" s="15" t="n"/>
      <c r="P1638" s="15" t="n"/>
      <c r="Q1638" s="15" t="n"/>
      <c r="R1638" s="25" t="n"/>
      <c r="S1638" s="26">
        <f>IF($A1638="","",AND(OR('Assignment Builder'!$B$5="",$B1638='Assignment Builder'!$B$5),OR('Assignment Builder'!$B$6="",ISNUMBER(SEARCH('Assignment Builder'!$B$6,$C1638))),OR('Assignment Builder'!$B$7="",'Assignment Builder'!$B$7=IFERROR(INDEX('Category Dictionary'!$C$5:$C$135,MATCH($L1638,'Category Dictionary'!$D$5:$D$135,0)),"")),OR('Assignment Builder'!$B$8="",$D1638='Assignment Builder'!$B$8),OR('Assignment Builder'!$B$9="",$F1638='Assignment Builder'!$B$9),OR('Assignment Builder'!$B$10="",$O1638='Assignment Builder'!$B$10),OR('Assignment Builder'!$B$11="",$H1638&gt;='Assignment Builder'!$B$11),OR('Assignment Builder'!$B$12="",N($Q1638)&lt;='Assignment Builder'!$B$12)))</f>
        <v/>
      </c>
      <c r="T1638" s="23" t="n"/>
    </row>
    <row r="1639">
      <c r="A1639" s="23" t="n"/>
      <c r="B1639" s="23" t="n"/>
      <c r="C1639" s="24" t="n"/>
      <c r="D1639" s="15" t="n"/>
      <c r="E1639" s="23" t="n"/>
      <c r="F1639" s="15" t="n"/>
      <c r="G1639" s="23" t="n"/>
      <c r="H1639" s="25" t="n"/>
      <c r="I1639" s="15" t="n"/>
      <c r="J1639" s="26">
        <f>IF($A1639="","",LEN($C1639)-LEN(SUBSTITUTE($C1639,",",""))+1)</f>
        <v/>
      </c>
      <c r="K1639" s="26">
        <f>IF($A1639="","",SUMPRODUCT(--ISNUMBER(SEARCH('Category Dictionary'!$D$5:$D$135&amp;"",$C1639)),--('Category Dictionary'!$D$5:$D$135&lt;&gt;"")))</f>
        <v/>
      </c>
      <c r="L1639" s="27">
        <f>IF($A1639="","",TRIM(IF(ISERROR(FIND(",",$C1639)),$C1639,LEFT($C1639,FIND(",",$C1639)-1))))</f>
        <v/>
      </c>
      <c r="M1639" s="28">
        <f>IF($H1639="","",DATE(YEAR($H1639),MONTH($H1639),1))</f>
        <v/>
      </c>
      <c r="N1639" s="26">
        <f>IF($H1639="","",TODAY()-$H1639)</f>
        <v/>
      </c>
      <c r="O1639" s="15" t="n"/>
      <c r="P1639" s="15" t="n"/>
      <c r="Q1639" s="15" t="n"/>
      <c r="R1639" s="25" t="n"/>
      <c r="S1639" s="26">
        <f>IF($A1639="","",AND(OR('Assignment Builder'!$B$5="",$B1639='Assignment Builder'!$B$5),OR('Assignment Builder'!$B$6="",ISNUMBER(SEARCH('Assignment Builder'!$B$6,$C1639))),OR('Assignment Builder'!$B$7="",'Assignment Builder'!$B$7=IFERROR(INDEX('Category Dictionary'!$C$5:$C$135,MATCH($L1639,'Category Dictionary'!$D$5:$D$135,0)),"")),OR('Assignment Builder'!$B$8="",$D1639='Assignment Builder'!$B$8),OR('Assignment Builder'!$B$9="",$F1639='Assignment Builder'!$B$9),OR('Assignment Builder'!$B$10="",$O1639='Assignment Builder'!$B$10),OR('Assignment Builder'!$B$11="",$H1639&gt;='Assignment Builder'!$B$11),OR('Assignment Builder'!$B$12="",N($Q1639)&lt;='Assignment Builder'!$B$12)))</f>
        <v/>
      </c>
      <c r="T1639" s="23" t="n"/>
    </row>
    <row r="1640">
      <c r="A1640" s="23" t="n"/>
      <c r="B1640" s="23" t="n"/>
      <c r="C1640" s="24" t="n"/>
      <c r="D1640" s="15" t="n"/>
      <c r="E1640" s="23" t="n"/>
      <c r="F1640" s="15" t="n"/>
      <c r="G1640" s="23" t="n"/>
      <c r="H1640" s="25" t="n"/>
      <c r="I1640" s="15" t="n"/>
      <c r="J1640" s="26">
        <f>IF($A1640="","",LEN($C1640)-LEN(SUBSTITUTE($C1640,",",""))+1)</f>
        <v/>
      </c>
      <c r="K1640" s="26">
        <f>IF($A1640="","",SUMPRODUCT(--ISNUMBER(SEARCH('Category Dictionary'!$D$5:$D$135&amp;"",$C1640)),--('Category Dictionary'!$D$5:$D$135&lt;&gt;"")))</f>
        <v/>
      </c>
      <c r="L1640" s="27">
        <f>IF($A1640="","",TRIM(IF(ISERROR(FIND(",",$C1640)),$C1640,LEFT($C1640,FIND(",",$C1640)-1))))</f>
        <v/>
      </c>
      <c r="M1640" s="28">
        <f>IF($H1640="","",DATE(YEAR($H1640),MONTH($H1640),1))</f>
        <v/>
      </c>
      <c r="N1640" s="26">
        <f>IF($H1640="","",TODAY()-$H1640)</f>
        <v/>
      </c>
      <c r="O1640" s="15" t="n"/>
      <c r="P1640" s="15" t="n"/>
      <c r="Q1640" s="15" t="n"/>
      <c r="R1640" s="25" t="n"/>
      <c r="S1640" s="26">
        <f>IF($A1640="","",AND(OR('Assignment Builder'!$B$5="",$B1640='Assignment Builder'!$B$5),OR('Assignment Builder'!$B$6="",ISNUMBER(SEARCH('Assignment Builder'!$B$6,$C1640))),OR('Assignment Builder'!$B$7="",'Assignment Builder'!$B$7=IFERROR(INDEX('Category Dictionary'!$C$5:$C$135,MATCH($L1640,'Category Dictionary'!$D$5:$D$135,0)),"")),OR('Assignment Builder'!$B$8="",$D1640='Assignment Builder'!$B$8),OR('Assignment Builder'!$B$9="",$F1640='Assignment Builder'!$B$9),OR('Assignment Builder'!$B$10="",$O1640='Assignment Builder'!$B$10),OR('Assignment Builder'!$B$11="",$H1640&gt;='Assignment Builder'!$B$11),OR('Assignment Builder'!$B$12="",N($Q1640)&lt;='Assignment Builder'!$B$12)))</f>
        <v/>
      </c>
      <c r="T1640" s="23" t="n"/>
    </row>
    <row r="1641">
      <c r="A1641" s="23" t="n"/>
      <c r="B1641" s="23" t="n"/>
      <c r="C1641" s="24" t="n"/>
      <c r="D1641" s="15" t="n"/>
      <c r="E1641" s="23" t="n"/>
      <c r="F1641" s="15" t="n"/>
      <c r="G1641" s="23" t="n"/>
      <c r="H1641" s="25" t="n"/>
      <c r="I1641" s="15" t="n"/>
      <c r="J1641" s="26">
        <f>IF($A1641="","",LEN($C1641)-LEN(SUBSTITUTE($C1641,",",""))+1)</f>
        <v/>
      </c>
      <c r="K1641" s="26">
        <f>IF($A1641="","",SUMPRODUCT(--ISNUMBER(SEARCH('Category Dictionary'!$D$5:$D$135&amp;"",$C1641)),--('Category Dictionary'!$D$5:$D$135&lt;&gt;"")))</f>
        <v/>
      </c>
      <c r="L1641" s="27">
        <f>IF($A1641="","",TRIM(IF(ISERROR(FIND(",",$C1641)),$C1641,LEFT($C1641,FIND(",",$C1641)-1))))</f>
        <v/>
      </c>
      <c r="M1641" s="28">
        <f>IF($H1641="","",DATE(YEAR($H1641),MONTH($H1641),1))</f>
        <v/>
      </c>
      <c r="N1641" s="26">
        <f>IF($H1641="","",TODAY()-$H1641)</f>
        <v/>
      </c>
      <c r="O1641" s="15" t="n"/>
      <c r="P1641" s="15" t="n"/>
      <c r="Q1641" s="15" t="n"/>
      <c r="R1641" s="25" t="n"/>
      <c r="S1641" s="26">
        <f>IF($A1641="","",AND(OR('Assignment Builder'!$B$5="",$B1641='Assignment Builder'!$B$5),OR('Assignment Builder'!$B$6="",ISNUMBER(SEARCH('Assignment Builder'!$B$6,$C1641))),OR('Assignment Builder'!$B$7="",'Assignment Builder'!$B$7=IFERROR(INDEX('Category Dictionary'!$C$5:$C$135,MATCH($L1641,'Category Dictionary'!$D$5:$D$135,0)),"")),OR('Assignment Builder'!$B$8="",$D1641='Assignment Builder'!$B$8),OR('Assignment Builder'!$B$9="",$F1641='Assignment Builder'!$B$9),OR('Assignment Builder'!$B$10="",$O1641='Assignment Builder'!$B$10),OR('Assignment Builder'!$B$11="",$H1641&gt;='Assignment Builder'!$B$11),OR('Assignment Builder'!$B$12="",N($Q1641)&lt;='Assignment Builder'!$B$12)))</f>
        <v/>
      </c>
      <c r="T1641" s="23" t="n"/>
    </row>
    <row r="1642">
      <c r="A1642" s="23" t="n"/>
      <c r="B1642" s="23" t="n"/>
      <c r="C1642" s="24" t="n"/>
      <c r="D1642" s="15" t="n"/>
      <c r="E1642" s="23" t="n"/>
      <c r="F1642" s="15" t="n"/>
      <c r="G1642" s="23" t="n"/>
      <c r="H1642" s="25" t="n"/>
      <c r="I1642" s="15" t="n"/>
      <c r="J1642" s="26">
        <f>IF($A1642="","",LEN($C1642)-LEN(SUBSTITUTE($C1642,",",""))+1)</f>
        <v/>
      </c>
      <c r="K1642" s="26">
        <f>IF($A1642="","",SUMPRODUCT(--ISNUMBER(SEARCH('Category Dictionary'!$D$5:$D$135&amp;"",$C1642)),--('Category Dictionary'!$D$5:$D$135&lt;&gt;"")))</f>
        <v/>
      </c>
      <c r="L1642" s="27">
        <f>IF($A1642="","",TRIM(IF(ISERROR(FIND(",",$C1642)),$C1642,LEFT($C1642,FIND(",",$C1642)-1))))</f>
        <v/>
      </c>
      <c r="M1642" s="28">
        <f>IF($H1642="","",DATE(YEAR($H1642),MONTH($H1642),1))</f>
        <v/>
      </c>
      <c r="N1642" s="26">
        <f>IF($H1642="","",TODAY()-$H1642)</f>
        <v/>
      </c>
      <c r="O1642" s="15" t="n"/>
      <c r="P1642" s="15" t="n"/>
      <c r="Q1642" s="15" t="n"/>
      <c r="R1642" s="25" t="n"/>
      <c r="S1642" s="26">
        <f>IF($A1642="","",AND(OR('Assignment Builder'!$B$5="",$B1642='Assignment Builder'!$B$5),OR('Assignment Builder'!$B$6="",ISNUMBER(SEARCH('Assignment Builder'!$B$6,$C1642))),OR('Assignment Builder'!$B$7="",'Assignment Builder'!$B$7=IFERROR(INDEX('Category Dictionary'!$C$5:$C$135,MATCH($L1642,'Category Dictionary'!$D$5:$D$135,0)),"")),OR('Assignment Builder'!$B$8="",$D1642='Assignment Builder'!$B$8),OR('Assignment Builder'!$B$9="",$F1642='Assignment Builder'!$B$9),OR('Assignment Builder'!$B$10="",$O1642='Assignment Builder'!$B$10),OR('Assignment Builder'!$B$11="",$H1642&gt;='Assignment Builder'!$B$11),OR('Assignment Builder'!$B$12="",N($Q1642)&lt;='Assignment Builder'!$B$12)))</f>
        <v/>
      </c>
      <c r="T1642" s="23" t="n"/>
    </row>
    <row r="1643">
      <c r="A1643" s="23" t="n"/>
      <c r="B1643" s="23" t="n"/>
      <c r="C1643" s="24" t="n"/>
      <c r="D1643" s="15" t="n"/>
      <c r="E1643" s="23" t="n"/>
      <c r="F1643" s="15" t="n"/>
      <c r="G1643" s="23" t="n"/>
      <c r="H1643" s="25" t="n"/>
      <c r="I1643" s="15" t="n"/>
      <c r="J1643" s="26">
        <f>IF($A1643="","",LEN($C1643)-LEN(SUBSTITUTE($C1643,",",""))+1)</f>
        <v/>
      </c>
      <c r="K1643" s="26">
        <f>IF($A1643="","",SUMPRODUCT(--ISNUMBER(SEARCH('Category Dictionary'!$D$5:$D$135&amp;"",$C1643)),--('Category Dictionary'!$D$5:$D$135&lt;&gt;"")))</f>
        <v/>
      </c>
      <c r="L1643" s="27">
        <f>IF($A1643="","",TRIM(IF(ISERROR(FIND(",",$C1643)),$C1643,LEFT($C1643,FIND(",",$C1643)-1))))</f>
        <v/>
      </c>
      <c r="M1643" s="28">
        <f>IF($H1643="","",DATE(YEAR($H1643),MONTH($H1643),1))</f>
        <v/>
      </c>
      <c r="N1643" s="26">
        <f>IF($H1643="","",TODAY()-$H1643)</f>
        <v/>
      </c>
      <c r="O1643" s="15" t="n"/>
      <c r="P1643" s="15" t="n"/>
      <c r="Q1643" s="15" t="n"/>
      <c r="R1643" s="25" t="n"/>
      <c r="S1643" s="26">
        <f>IF($A1643="","",AND(OR('Assignment Builder'!$B$5="",$B1643='Assignment Builder'!$B$5),OR('Assignment Builder'!$B$6="",ISNUMBER(SEARCH('Assignment Builder'!$B$6,$C1643))),OR('Assignment Builder'!$B$7="",'Assignment Builder'!$B$7=IFERROR(INDEX('Category Dictionary'!$C$5:$C$135,MATCH($L1643,'Category Dictionary'!$D$5:$D$135,0)),"")),OR('Assignment Builder'!$B$8="",$D1643='Assignment Builder'!$B$8),OR('Assignment Builder'!$B$9="",$F1643='Assignment Builder'!$B$9),OR('Assignment Builder'!$B$10="",$O1643='Assignment Builder'!$B$10),OR('Assignment Builder'!$B$11="",$H1643&gt;='Assignment Builder'!$B$11),OR('Assignment Builder'!$B$12="",N($Q1643)&lt;='Assignment Builder'!$B$12)))</f>
        <v/>
      </c>
      <c r="T1643" s="23" t="n"/>
    </row>
    <row r="1644">
      <c r="A1644" s="23" t="n"/>
      <c r="B1644" s="23" t="n"/>
      <c r="C1644" s="24" t="n"/>
      <c r="D1644" s="15" t="n"/>
      <c r="E1644" s="23" t="n"/>
      <c r="F1644" s="15" t="n"/>
      <c r="G1644" s="23" t="n"/>
      <c r="H1644" s="25" t="n"/>
      <c r="I1644" s="15" t="n"/>
      <c r="J1644" s="26">
        <f>IF($A1644="","",LEN($C1644)-LEN(SUBSTITUTE($C1644,",",""))+1)</f>
        <v/>
      </c>
      <c r="K1644" s="26">
        <f>IF($A1644="","",SUMPRODUCT(--ISNUMBER(SEARCH('Category Dictionary'!$D$5:$D$135&amp;"",$C1644)),--('Category Dictionary'!$D$5:$D$135&lt;&gt;"")))</f>
        <v/>
      </c>
      <c r="L1644" s="27">
        <f>IF($A1644="","",TRIM(IF(ISERROR(FIND(",",$C1644)),$C1644,LEFT($C1644,FIND(",",$C1644)-1))))</f>
        <v/>
      </c>
      <c r="M1644" s="28">
        <f>IF($H1644="","",DATE(YEAR($H1644),MONTH($H1644),1))</f>
        <v/>
      </c>
      <c r="N1644" s="26">
        <f>IF($H1644="","",TODAY()-$H1644)</f>
        <v/>
      </c>
      <c r="O1644" s="15" t="n"/>
      <c r="P1644" s="15" t="n"/>
      <c r="Q1644" s="15" t="n"/>
      <c r="R1644" s="25" t="n"/>
      <c r="S1644" s="26">
        <f>IF($A1644="","",AND(OR('Assignment Builder'!$B$5="",$B1644='Assignment Builder'!$B$5),OR('Assignment Builder'!$B$6="",ISNUMBER(SEARCH('Assignment Builder'!$B$6,$C1644))),OR('Assignment Builder'!$B$7="",'Assignment Builder'!$B$7=IFERROR(INDEX('Category Dictionary'!$C$5:$C$135,MATCH($L1644,'Category Dictionary'!$D$5:$D$135,0)),"")),OR('Assignment Builder'!$B$8="",$D1644='Assignment Builder'!$B$8),OR('Assignment Builder'!$B$9="",$F1644='Assignment Builder'!$B$9),OR('Assignment Builder'!$B$10="",$O1644='Assignment Builder'!$B$10),OR('Assignment Builder'!$B$11="",$H1644&gt;='Assignment Builder'!$B$11),OR('Assignment Builder'!$B$12="",N($Q1644)&lt;='Assignment Builder'!$B$12)))</f>
        <v/>
      </c>
      <c r="T1644" s="23" t="n"/>
    </row>
    <row r="1645">
      <c r="A1645" s="23" t="n"/>
      <c r="B1645" s="23" t="n"/>
      <c r="C1645" s="24" t="n"/>
      <c r="D1645" s="15" t="n"/>
      <c r="E1645" s="23" t="n"/>
      <c r="F1645" s="15" t="n"/>
      <c r="G1645" s="23" t="n"/>
      <c r="H1645" s="25" t="n"/>
      <c r="I1645" s="15" t="n"/>
      <c r="J1645" s="26">
        <f>IF($A1645="","",LEN($C1645)-LEN(SUBSTITUTE($C1645,",",""))+1)</f>
        <v/>
      </c>
      <c r="K1645" s="26">
        <f>IF($A1645="","",SUMPRODUCT(--ISNUMBER(SEARCH('Category Dictionary'!$D$5:$D$135&amp;"",$C1645)),--('Category Dictionary'!$D$5:$D$135&lt;&gt;"")))</f>
        <v/>
      </c>
      <c r="L1645" s="27">
        <f>IF($A1645="","",TRIM(IF(ISERROR(FIND(",",$C1645)),$C1645,LEFT($C1645,FIND(",",$C1645)-1))))</f>
        <v/>
      </c>
      <c r="M1645" s="28">
        <f>IF($H1645="","",DATE(YEAR($H1645),MONTH($H1645),1))</f>
        <v/>
      </c>
      <c r="N1645" s="26">
        <f>IF($H1645="","",TODAY()-$H1645)</f>
        <v/>
      </c>
      <c r="O1645" s="15" t="n"/>
      <c r="P1645" s="15" t="n"/>
      <c r="Q1645" s="15" t="n"/>
      <c r="R1645" s="25" t="n"/>
      <c r="S1645" s="26">
        <f>IF($A1645="","",AND(OR('Assignment Builder'!$B$5="",$B1645='Assignment Builder'!$B$5),OR('Assignment Builder'!$B$6="",ISNUMBER(SEARCH('Assignment Builder'!$B$6,$C1645))),OR('Assignment Builder'!$B$7="",'Assignment Builder'!$B$7=IFERROR(INDEX('Category Dictionary'!$C$5:$C$135,MATCH($L1645,'Category Dictionary'!$D$5:$D$135,0)),"")),OR('Assignment Builder'!$B$8="",$D1645='Assignment Builder'!$B$8),OR('Assignment Builder'!$B$9="",$F1645='Assignment Builder'!$B$9),OR('Assignment Builder'!$B$10="",$O1645='Assignment Builder'!$B$10),OR('Assignment Builder'!$B$11="",$H1645&gt;='Assignment Builder'!$B$11),OR('Assignment Builder'!$B$12="",N($Q1645)&lt;='Assignment Builder'!$B$12)))</f>
        <v/>
      </c>
      <c r="T1645" s="23" t="n"/>
    </row>
    <row r="1646">
      <c r="A1646" s="23" t="n"/>
      <c r="B1646" s="23" t="n"/>
      <c r="C1646" s="24" t="n"/>
      <c r="D1646" s="15" t="n"/>
      <c r="E1646" s="23" t="n"/>
      <c r="F1646" s="15" t="n"/>
      <c r="G1646" s="23" t="n"/>
      <c r="H1646" s="25" t="n"/>
      <c r="I1646" s="15" t="n"/>
      <c r="J1646" s="26">
        <f>IF($A1646="","",LEN($C1646)-LEN(SUBSTITUTE($C1646,",",""))+1)</f>
        <v/>
      </c>
      <c r="K1646" s="26">
        <f>IF($A1646="","",SUMPRODUCT(--ISNUMBER(SEARCH('Category Dictionary'!$D$5:$D$135&amp;"",$C1646)),--('Category Dictionary'!$D$5:$D$135&lt;&gt;"")))</f>
        <v/>
      </c>
      <c r="L1646" s="27">
        <f>IF($A1646="","",TRIM(IF(ISERROR(FIND(",",$C1646)),$C1646,LEFT($C1646,FIND(",",$C1646)-1))))</f>
        <v/>
      </c>
      <c r="M1646" s="28">
        <f>IF($H1646="","",DATE(YEAR($H1646),MONTH($H1646),1))</f>
        <v/>
      </c>
      <c r="N1646" s="26">
        <f>IF($H1646="","",TODAY()-$H1646)</f>
        <v/>
      </c>
      <c r="O1646" s="15" t="n"/>
      <c r="P1646" s="15" t="n"/>
      <c r="Q1646" s="15" t="n"/>
      <c r="R1646" s="25" t="n"/>
      <c r="S1646" s="26">
        <f>IF($A1646="","",AND(OR('Assignment Builder'!$B$5="",$B1646='Assignment Builder'!$B$5),OR('Assignment Builder'!$B$6="",ISNUMBER(SEARCH('Assignment Builder'!$B$6,$C1646))),OR('Assignment Builder'!$B$7="",'Assignment Builder'!$B$7=IFERROR(INDEX('Category Dictionary'!$C$5:$C$135,MATCH($L1646,'Category Dictionary'!$D$5:$D$135,0)),"")),OR('Assignment Builder'!$B$8="",$D1646='Assignment Builder'!$B$8),OR('Assignment Builder'!$B$9="",$F1646='Assignment Builder'!$B$9),OR('Assignment Builder'!$B$10="",$O1646='Assignment Builder'!$B$10),OR('Assignment Builder'!$B$11="",$H1646&gt;='Assignment Builder'!$B$11),OR('Assignment Builder'!$B$12="",N($Q1646)&lt;='Assignment Builder'!$B$12)))</f>
        <v/>
      </c>
      <c r="T1646" s="23" t="n"/>
    </row>
    <row r="1647">
      <c r="A1647" s="23" t="n"/>
      <c r="B1647" s="23" t="n"/>
      <c r="C1647" s="24" t="n"/>
      <c r="D1647" s="15" t="n"/>
      <c r="E1647" s="23" t="n"/>
      <c r="F1647" s="15" t="n"/>
      <c r="G1647" s="23" t="n"/>
      <c r="H1647" s="25" t="n"/>
      <c r="I1647" s="15" t="n"/>
      <c r="J1647" s="26">
        <f>IF($A1647="","",LEN($C1647)-LEN(SUBSTITUTE($C1647,",",""))+1)</f>
        <v/>
      </c>
      <c r="K1647" s="26">
        <f>IF($A1647="","",SUMPRODUCT(--ISNUMBER(SEARCH('Category Dictionary'!$D$5:$D$135&amp;"",$C1647)),--('Category Dictionary'!$D$5:$D$135&lt;&gt;"")))</f>
        <v/>
      </c>
      <c r="L1647" s="27">
        <f>IF($A1647="","",TRIM(IF(ISERROR(FIND(",",$C1647)),$C1647,LEFT($C1647,FIND(",",$C1647)-1))))</f>
        <v/>
      </c>
      <c r="M1647" s="28">
        <f>IF($H1647="","",DATE(YEAR($H1647),MONTH($H1647),1))</f>
        <v/>
      </c>
      <c r="N1647" s="26">
        <f>IF($H1647="","",TODAY()-$H1647)</f>
        <v/>
      </c>
      <c r="O1647" s="15" t="n"/>
      <c r="P1647" s="15" t="n"/>
      <c r="Q1647" s="15" t="n"/>
      <c r="R1647" s="25" t="n"/>
      <c r="S1647" s="26">
        <f>IF($A1647="","",AND(OR('Assignment Builder'!$B$5="",$B1647='Assignment Builder'!$B$5),OR('Assignment Builder'!$B$6="",ISNUMBER(SEARCH('Assignment Builder'!$B$6,$C1647))),OR('Assignment Builder'!$B$7="",'Assignment Builder'!$B$7=IFERROR(INDEX('Category Dictionary'!$C$5:$C$135,MATCH($L1647,'Category Dictionary'!$D$5:$D$135,0)),"")),OR('Assignment Builder'!$B$8="",$D1647='Assignment Builder'!$B$8),OR('Assignment Builder'!$B$9="",$F1647='Assignment Builder'!$B$9),OR('Assignment Builder'!$B$10="",$O1647='Assignment Builder'!$B$10),OR('Assignment Builder'!$B$11="",$H1647&gt;='Assignment Builder'!$B$11),OR('Assignment Builder'!$B$12="",N($Q1647)&lt;='Assignment Builder'!$B$12)))</f>
        <v/>
      </c>
      <c r="T1647" s="23" t="n"/>
    </row>
    <row r="1648">
      <c r="A1648" s="23" t="n"/>
      <c r="B1648" s="23" t="n"/>
      <c r="C1648" s="24" t="n"/>
      <c r="D1648" s="15" t="n"/>
      <c r="E1648" s="23" t="n"/>
      <c r="F1648" s="15" t="n"/>
      <c r="G1648" s="23" t="n"/>
      <c r="H1648" s="25" t="n"/>
      <c r="I1648" s="15" t="n"/>
      <c r="J1648" s="26">
        <f>IF($A1648="","",LEN($C1648)-LEN(SUBSTITUTE($C1648,",",""))+1)</f>
        <v/>
      </c>
      <c r="K1648" s="26">
        <f>IF($A1648="","",SUMPRODUCT(--ISNUMBER(SEARCH('Category Dictionary'!$D$5:$D$135&amp;"",$C1648)),--('Category Dictionary'!$D$5:$D$135&lt;&gt;"")))</f>
        <v/>
      </c>
      <c r="L1648" s="27">
        <f>IF($A1648="","",TRIM(IF(ISERROR(FIND(",",$C1648)),$C1648,LEFT($C1648,FIND(",",$C1648)-1))))</f>
        <v/>
      </c>
      <c r="M1648" s="28">
        <f>IF($H1648="","",DATE(YEAR($H1648),MONTH($H1648),1))</f>
        <v/>
      </c>
      <c r="N1648" s="26">
        <f>IF($H1648="","",TODAY()-$H1648)</f>
        <v/>
      </c>
      <c r="O1648" s="15" t="n"/>
      <c r="P1648" s="15" t="n"/>
      <c r="Q1648" s="15" t="n"/>
      <c r="R1648" s="25" t="n"/>
      <c r="S1648" s="26">
        <f>IF($A1648="","",AND(OR('Assignment Builder'!$B$5="",$B1648='Assignment Builder'!$B$5),OR('Assignment Builder'!$B$6="",ISNUMBER(SEARCH('Assignment Builder'!$B$6,$C1648))),OR('Assignment Builder'!$B$7="",'Assignment Builder'!$B$7=IFERROR(INDEX('Category Dictionary'!$C$5:$C$135,MATCH($L1648,'Category Dictionary'!$D$5:$D$135,0)),"")),OR('Assignment Builder'!$B$8="",$D1648='Assignment Builder'!$B$8),OR('Assignment Builder'!$B$9="",$F1648='Assignment Builder'!$B$9),OR('Assignment Builder'!$B$10="",$O1648='Assignment Builder'!$B$10),OR('Assignment Builder'!$B$11="",$H1648&gt;='Assignment Builder'!$B$11),OR('Assignment Builder'!$B$12="",N($Q1648)&lt;='Assignment Builder'!$B$12)))</f>
        <v/>
      </c>
      <c r="T1648" s="23" t="n"/>
    </row>
    <row r="1649">
      <c r="A1649" s="23" t="n"/>
      <c r="B1649" s="23" t="n"/>
      <c r="C1649" s="24" t="n"/>
      <c r="D1649" s="15" t="n"/>
      <c r="E1649" s="23" t="n"/>
      <c r="F1649" s="15" t="n"/>
      <c r="G1649" s="23" t="n"/>
      <c r="H1649" s="25" t="n"/>
      <c r="I1649" s="15" t="n"/>
      <c r="J1649" s="26">
        <f>IF($A1649="","",LEN($C1649)-LEN(SUBSTITUTE($C1649,",",""))+1)</f>
        <v/>
      </c>
      <c r="K1649" s="26">
        <f>IF($A1649="","",SUMPRODUCT(--ISNUMBER(SEARCH('Category Dictionary'!$D$5:$D$135&amp;"",$C1649)),--('Category Dictionary'!$D$5:$D$135&lt;&gt;"")))</f>
        <v/>
      </c>
      <c r="L1649" s="27">
        <f>IF($A1649="","",TRIM(IF(ISERROR(FIND(",",$C1649)),$C1649,LEFT($C1649,FIND(",",$C1649)-1))))</f>
        <v/>
      </c>
      <c r="M1649" s="28">
        <f>IF($H1649="","",DATE(YEAR($H1649),MONTH($H1649),1))</f>
        <v/>
      </c>
      <c r="N1649" s="26">
        <f>IF($H1649="","",TODAY()-$H1649)</f>
        <v/>
      </c>
      <c r="O1649" s="15" t="n"/>
      <c r="P1649" s="15" t="n"/>
      <c r="Q1649" s="15" t="n"/>
      <c r="R1649" s="25" t="n"/>
      <c r="S1649" s="26">
        <f>IF($A1649="","",AND(OR('Assignment Builder'!$B$5="",$B1649='Assignment Builder'!$B$5),OR('Assignment Builder'!$B$6="",ISNUMBER(SEARCH('Assignment Builder'!$B$6,$C1649))),OR('Assignment Builder'!$B$7="",'Assignment Builder'!$B$7=IFERROR(INDEX('Category Dictionary'!$C$5:$C$135,MATCH($L1649,'Category Dictionary'!$D$5:$D$135,0)),"")),OR('Assignment Builder'!$B$8="",$D1649='Assignment Builder'!$B$8),OR('Assignment Builder'!$B$9="",$F1649='Assignment Builder'!$B$9),OR('Assignment Builder'!$B$10="",$O1649='Assignment Builder'!$B$10),OR('Assignment Builder'!$B$11="",$H1649&gt;='Assignment Builder'!$B$11),OR('Assignment Builder'!$B$12="",N($Q1649)&lt;='Assignment Builder'!$B$12)))</f>
        <v/>
      </c>
      <c r="T1649" s="23" t="n"/>
    </row>
    <row r="1650">
      <c r="A1650" s="23" t="n"/>
      <c r="B1650" s="23" t="n"/>
      <c r="C1650" s="24" t="n"/>
      <c r="D1650" s="15" t="n"/>
      <c r="E1650" s="23" t="n"/>
      <c r="F1650" s="15" t="n"/>
      <c r="G1650" s="23" t="n"/>
      <c r="H1650" s="25" t="n"/>
      <c r="I1650" s="15" t="n"/>
      <c r="J1650" s="26">
        <f>IF($A1650="","",LEN($C1650)-LEN(SUBSTITUTE($C1650,",",""))+1)</f>
        <v/>
      </c>
      <c r="K1650" s="26">
        <f>IF($A1650="","",SUMPRODUCT(--ISNUMBER(SEARCH('Category Dictionary'!$D$5:$D$135&amp;"",$C1650)),--('Category Dictionary'!$D$5:$D$135&lt;&gt;"")))</f>
        <v/>
      </c>
      <c r="L1650" s="27">
        <f>IF($A1650="","",TRIM(IF(ISERROR(FIND(",",$C1650)),$C1650,LEFT($C1650,FIND(",",$C1650)-1))))</f>
        <v/>
      </c>
      <c r="M1650" s="28">
        <f>IF($H1650="","",DATE(YEAR($H1650),MONTH($H1650),1))</f>
        <v/>
      </c>
      <c r="N1650" s="26">
        <f>IF($H1650="","",TODAY()-$H1650)</f>
        <v/>
      </c>
      <c r="O1650" s="15" t="n"/>
      <c r="P1650" s="15" t="n"/>
      <c r="Q1650" s="15" t="n"/>
      <c r="R1650" s="25" t="n"/>
      <c r="S1650" s="26">
        <f>IF($A1650="","",AND(OR('Assignment Builder'!$B$5="",$B1650='Assignment Builder'!$B$5),OR('Assignment Builder'!$B$6="",ISNUMBER(SEARCH('Assignment Builder'!$B$6,$C1650))),OR('Assignment Builder'!$B$7="",'Assignment Builder'!$B$7=IFERROR(INDEX('Category Dictionary'!$C$5:$C$135,MATCH($L1650,'Category Dictionary'!$D$5:$D$135,0)),"")),OR('Assignment Builder'!$B$8="",$D1650='Assignment Builder'!$B$8),OR('Assignment Builder'!$B$9="",$F1650='Assignment Builder'!$B$9),OR('Assignment Builder'!$B$10="",$O1650='Assignment Builder'!$B$10),OR('Assignment Builder'!$B$11="",$H1650&gt;='Assignment Builder'!$B$11),OR('Assignment Builder'!$B$12="",N($Q1650)&lt;='Assignment Builder'!$B$12)))</f>
        <v/>
      </c>
      <c r="T1650" s="23" t="n"/>
    </row>
    <row r="1651">
      <c r="A1651" s="23" t="n"/>
      <c r="B1651" s="23" t="n"/>
      <c r="C1651" s="24" t="n"/>
      <c r="D1651" s="15" t="n"/>
      <c r="E1651" s="23" t="n"/>
      <c r="F1651" s="15" t="n"/>
      <c r="G1651" s="23" t="n"/>
      <c r="H1651" s="25" t="n"/>
      <c r="I1651" s="15" t="n"/>
      <c r="J1651" s="26">
        <f>IF($A1651="","",LEN($C1651)-LEN(SUBSTITUTE($C1651,",",""))+1)</f>
        <v/>
      </c>
      <c r="K1651" s="26">
        <f>IF($A1651="","",SUMPRODUCT(--ISNUMBER(SEARCH('Category Dictionary'!$D$5:$D$135&amp;"",$C1651)),--('Category Dictionary'!$D$5:$D$135&lt;&gt;"")))</f>
        <v/>
      </c>
      <c r="L1651" s="27">
        <f>IF($A1651="","",TRIM(IF(ISERROR(FIND(",",$C1651)),$C1651,LEFT($C1651,FIND(",",$C1651)-1))))</f>
        <v/>
      </c>
      <c r="M1651" s="28">
        <f>IF($H1651="","",DATE(YEAR($H1651),MONTH($H1651),1))</f>
        <v/>
      </c>
      <c r="N1651" s="26">
        <f>IF($H1651="","",TODAY()-$H1651)</f>
        <v/>
      </c>
      <c r="O1651" s="15" t="n"/>
      <c r="P1651" s="15" t="n"/>
      <c r="Q1651" s="15" t="n"/>
      <c r="R1651" s="25" t="n"/>
      <c r="S1651" s="26">
        <f>IF($A1651="","",AND(OR('Assignment Builder'!$B$5="",$B1651='Assignment Builder'!$B$5),OR('Assignment Builder'!$B$6="",ISNUMBER(SEARCH('Assignment Builder'!$B$6,$C1651))),OR('Assignment Builder'!$B$7="",'Assignment Builder'!$B$7=IFERROR(INDEX('Category Dictionary'!$C$5:$C$135,MATCH($L1651,'Category Dictionary'!$D$5:$D$135,0)),"")),OR('Assignment Builder'!$B$8="",$D1651='Assignment Builder'!$B$8),OR('Assignment Builder'!$B$9="",$F1651='Assignment Builder'!$B$9),OR('Assignment Builder'!$B$10="",$O1651='Assignment Builder'!$B$10),OR('Assignment Builder'!$B$11="",$H1651&gt;='Assignment Builder'!$B$11),OR('Assignment Builder'!$B$12="",N($Q1651)&lt;='Assignment Builder'!$B$12)))</f>
        <v/>
      </c>
      <c r="T1651" s="23" t="n"/>
    </row>
    <row r="1652">
      <c r="A1652" s="23" t="n"/>
      <c r="B1652" s="23" t="n"/>
      <c r="C1652" s="24" t="n"/>
      <c r="D1652" s="15" t="n"/>
      <c r="E1652" s="23" t="n"/>
      <c r="F1652" s="15" t="n"/>
      <c r="G1652" s="23" t="n"/>
      <c r="H1652" s="25" t="n"/>
      <c r="I1652" s="15" t="n"/>
      <c r="J1652" s="26">
        <f>IF($A1652="","",LEN($C1652)-LEN(SUBSTITUTE($C1652,",",""))+1)</f>
        <v/>
      </c>
      <c r="K1652" s="26">
        <f>IF($A1652="","",SUMPRODUCT(--ISNUMBER(SEARCH('Category Dictionary'!$D$5:$D$135&amp;"",$C1652)),--('Category Dictionary'!$D$5:$D$135&lt;&gt;"")))</f>
        <v/>
      </c>
      <c r="L1652" s="27">
        <f>IF($A1652="","",TRIM(IF(ISERROR(FIND(",",$C1652)),$C1652,LEFT($C1652,FIND(",",$C1652)-1))))</f>
        <v/>
      </c>
      <c r="M1652" s="28">
        <f>IF($H1652="","",DATE(YEAR($H1652),MONTH($H1652),1))</f>
        <v/>
      </c>
      <c r="N1652" s="26">
        <f>IF($H1652="","",TODAY()-$H1652)</f>
        <v/>
      </c>
      <c r="O1652" s="15" t="n"/>
      <c r="P1652" s="15" t="n"/>
      <c r="Q1652" s="15" t="n"/>
      <c r="R1652" s="25" t="n"/>
      <c r="S1652" s="26">
        <f>IF($A1652="","",AND(OR('Assignment Builder'!$B$5="",$B1652='Assignment Builder'!$B$5),OR('Assignment Builder'!$B$6="",ISNUMBER(SEARCH('Assignment Builder'!$B$6,$C1652))),OR('Assignment Builder'!$B$7="",'Assignment Builder'!$B$7=IFERROR(INDEX('Category Dictionary'!$C$5:$C$135,MATCH($L1652,'Category Dictionary'!$D$5:$D$135,0)),"")),OR('Assignment Builder'!$B$8="",$D1652='Assignment Builder'!$B$8),OR('Assignment Builder'!$B$9="",$F1652='Assignment Builder'!$B$9),OR('Assignment Builder'!$B$10="",$O1652='Assignment Builder'!$B$10),OR('Assignment Builder'!$B$11="",$H1652&gt;='Assignment Builder'!$B$11),OR('Assignment Builder'!$B$12="",N($Q1652)&lt;='Assignment Builder'!$B$12)))</f>
        <v/>
      </c>
      <c r="T1652" s="23" t="n"/>
    </row>
    <row r="1653">
      <c r="A1653" s="23" t="n"/>
      <c r="B1653" s="23" t="n"/>
      <c r="C1653" s="24" t="n"/>
      <c r="D1653" s="15" t="n"/>
      <c r="E1653" s="23" t="n"/>
      <c r="F1653" s="15" t="n"/>
      <c r="G1653" s="23" t="n"/>
      <c r="H1653" s="25" t="n"/>
      <c r="I1653" s="15" t="n"/>
      <c r="J1653" s="26">
        <f>IF($A1653="","",LEN($C1653)-LEN(SUBSTITUTE($C1653,",",""))+1)</f>
        <v/>
      </c>
      <c r="K1653" s="26">
        <f>IF($A1653="","",SUMPRODUCT(--ISNUMBER(SEARCH('Category Dictionary'!$D$5:$D$135&amp;"",$C1653)),--('Category Dictionary'!$D$5:$D$135&lt;&gt;"")))</f>
        <v/>
      </c>
      <c r="L1653" s="27">
        <f>IF($A1653="","",TRIM(IF(ISERROR(FIND(",",$C1653)),$C1653,LEFT($C1653,FIND(",",$C1653)-1))))</f>
        <v/>
      </c>
      <c r="M1653" s="28">
        <f>IF($H1653="","",DATE(YEAR($H1653),MONTH($H1653),1))</f>
        <v/>
      </c>
      <c r="N1653" s="26">
        <f>IF($H1653="","",TODAY()-$H1653)</f>
        <v/>
      </c>
      <c r="O1653" s="15" t="n"/>
      <c r="P1653" s="15" t="n"/>
      <c r="Q1653" s="15" t="n"/>
      <c r="R1653" s="25" t="n"/>
      <c r="S1653" s="26">
        <f>IF($A1653="","",AND(OR('Assignment Builder'!$B$5="",$B1653='Assignment Builder'!$B$5),OR('Assignment Builder'!$B$6="",ISNUMBER(SEARCH('Assignment Builder'!$B$6,$C1653))),OR('Assignment Builder'!$B$7="",'Assignment Builder'!$B$7=IFERROR(INDEX('Category Dictionary'!$C$5:$C$135,MATCH($L1653,'Category Dictionary'!$D$5:$D$135,0)),"")),OR('Assignment Builder'!$B$8="",$D1653='Assignment Builder'!$B$8),OR('Assignment Builder'!$B$9="",$F1653='Assignment Builder'!$B$9),OR('Assignment Builder'!$B$10="",$O1653='Assignment Builder'!$B$10),OR('Assignment Builder'!$B$11="",$H1653&gt;='Assignment Builder'!$B$11),OR('Assignment Builder'!$B$12="",N($Q1653)&lt;='Assignment Builder'!$B$12)))</f>
        <v/>
      </c>
      <c r="T1653" s="23" t="n"/>
    </row>
    <row r="1654">
      <c r="A1654" s="23" t="n"/>
      <c r="B1654" s="23" t="n"/>
      <c r="C1654" s="24" t="n"/>
      <c r="D1654" s="15" t="n"/>
      <c r="E1654" s="23" t="n"/>
      <c r="F1654" s="15" t="n"/>
      <c r="G1654" s="23" t="n"/>
      <c r="H1654" s="25" t="n"/>
      <c r="I1654" s="15" t="n"/>
      <c r="J1654" s="26">
        <f>IF($A1654="","",LEN($C1654)-LEN(SUBSTITUTE($C1654,",",""))+1)</f>
        <v/>
      </c>
      <c r="K1654" s="26">
        <f>IF($A1654="","",SUMPRODUCT(--ISNUMBER(SEARCH('Category Dictionary'!$D$5:$D$135&amp;"",$C1654)),--('Category Dictionary'!$D$5:$D$135&lt;&gt;"")))</f>
        <v/>
      </c>
      <c r="L1654" s="27">
        <f>IF($A1654="","",TRIM(IF(ISERROR(FIND(",",$C1654)),$C1654,LEFT($C1654,FIND(",",$C1654)-1))))</f>
        <v/>
      </c>
      <c r="M1654" s="28">
        <f>IF($H1654="","",DATE(YEAR($H1654),MONTH($H1654),1))</f>
        <v/>
      </c>
      <c r="N1654" s="26">
        <f>IF($H1654="","",TODAY()-$H1654)</f>
        <v/>
      </c>
      <c r="O1654" s="15" t="n"/>
      <c r="P1654" s="15" t="n"/>
      <c r="Q1654" s="15" t="n"/>
      <c r="R1654" s="25" t="n"/>
      <c r="S1654" s="26">
        <f>IF($A1654="","",AND(OR('Assignment Builder'!$B$5="",$B1654='Assignment Builder'!$B$5),OR('Assignment Builder'!$B$6="",ISNUMBER(SEARCH('Assignment Builder'!$B$6,$C1654))),OR('Assignment Builder'!$B$7="",'Assignment Builder'!$B$7=IFERROR(INDEX('Category Dictionary'!$C$5:$C$135,MATCH($L1654,'Category Dictionary'!$D$5:$D$135,0)),"")),OR('Assignment Builder'!$B$8="",$D1654='Assignment Builder'!$B$8),OR('Assignment Builder'!$B$9="",$F1654='Assignment Builder'!$B$9),OR('Assignment Builder'!$B$10="",$O1654='Assignment Builder'!$B$10),OR('Assignment Builder'!$B$11="",$H1654&gt;='Assignment Builder'!$B$11),OR('Assignment Builder'!$B$12="",N($Q1654)&lt;='Assignment Builder'!$B$12)))</f>
        <v/>
      </c>
      <c r="T1654" s="23" t="n"/>
    </row>
    <row r="1655">
      <c r="A1655" s="23" t="n"/>
      <c r="B1655" s="23" t="n"/>
      <c r="C1655" s="24" t="n"/>
      <c r="D1655" s="15" t="n"/>
      <c r="E1655" s="23" t="n"/>
      <c r="F1655" s="15" t="n"/>
      <c r="G1655" s="23" t="n"/>
      <c r="H1655" s="25" t="n"/>
      <c r="I1655" s="15" t="n"/>
      <c r="J1655" s="26">
        <f>IF($A1655="","",LEN($C1655)-LEN(SUBSTITUTE($C1655,",",""))+1)</f>
        <v/>
      </c>
      <c r="K1655" s="26">
        <f>IF($A1655="","",SUMPRODUCT(--ISNUMBER(SEARCH('Category Dictionary'!$D$5:$D$135&amp;"",$C1655)),--('Category Dictionary'!$D$5:$D$135&lt;&gt;"")))</f>
        <v/>
      </c>
      <c r="L1655" s="27">
        <f>IF($A1655="","",TRIM(IF(ISERROR(FIND(",",$C1655)),$C1655,LEFT($C1655,FIND(",",$C1655)-1))))</f>
        <v/>
      </c>
      <c r="M1655" s="28">
        <f>IF($H1655="","",DATE(YEAR($H1655),MONTH($H1655),1))</f>
        <v/>
      </c>
      <c r="N1655" s="26">
        <f>IF($H1655="","",TODAY()-$H1655)</f>
        <v/>
      </c>
      <c r="O1655" s="15" t="n"/>
      <c r="P1655" s="15" t="n"/>
      <c r="Q1655" s="15" t="n"/>
      <c r="R1655" s="25" t="n"/>
      <c r="S1655" s="26">
        <f>IF($A1655="","",AND(OR('Assignment Builder'!$B$5="",$B1655='Assignment Builder'!$B$5),OR('Assignment Builder'!$B$6="",ISNUMBER(SEARCH('Assignment Builder'!$B$6,$C1655))),OR('Assignment Builder'!$B$7="",'Assignment Builder'!$B$7=IFERROR(INDEX('Category Dictionary'!$C$5:$C$135,MATCH($L1655,'Category Dictionary'!$D$5:$D$135,0)),"")),OR('Assignment Builder'!$B$8="",$D1655='Assignment Builder'!$B$8),OR('Assignment Builder'!$B$9="",$F1655='Assignment Builder'!$B$9),OR('Assignment Builder'!$B$10="",$O1655='Assignment Builder'!$B$10),OR('Assignment Builder'!$B$11="",$H1655&gt;='Assignment Builder'!$B$11),OR('Assignment Builder'!$B$12="",N($Q1655)&lt;='Assignment Builder'!$B$12)))</f>
        <v/>
      </c>
      <c r="T1655" s="23" t="n"/>
    </row>
    <row r="1656">
      <c r="A1656" s="23" t="n"/>
      <c r="B1656" s="23" t="n"/>
      <c r="C1656" s="24" t="n"/>
      <c r="D1656" s="15" t="n"/>
      <c r="E1656" s="23" t="n"/>
      <c r="F1656" s="15" t="n"/>
      <c r="G1656" s="23" t="n"/>
      <c r="H1656" s="25" t="n"/>
      <c r="I1656" s="15" t="n"/>
      <c r="J1656" s="26">
        <f>IF($A1656="","",LEN($C1656)-LEN(SUBSTITUTE($C1656,",",""))+1)</f>
        <v/>
      </c>
      <c r="K1656" s="26">
        <f>IF($A1656="","",SUMPRODUCT(--ISNUMBER(SEARCH('Category Dictionary'!$D$5:$D$135&amp;"",$C1656)),--('Category Dictionary'!$D$5:$D$135&lt;&gt;"")))</f>
        <v/>
      </c>
      <c r="L1656" s="27">
        <f>IF($A1656="","",TRIM(IF(ISERROR(FIND(",",$C1656)),$C1656,LEFT($C1656,FIND(",",$C1656)-1))))</f>
        <v/>
      </c>
      <c r="M1656" s="28">
        <f>IF($H1656="","",DATE(YEAR($H1656),MONTH($H1656),1))</f>
        <v/>
      </c>
      <c r="N1656" s="26">
        <f>IF($H1656="","",TODAY()-$H1656)</f>
        <v/>
      </c>
      <c r="O1656" s="15" t="n"/>
      <c r="P1656" s="15" t="n"/>
      <c r="Q1656" s="15" t="n"/>
      <c r="R1656" s="25" t="n"/>
      <c r="S1656" s="26">
        <f>IF($A1656="","",AND(OR('Assignment Builder'!$B$5="",$B1656='Assignment Builder'!$B$5),OR('Assignment Builder'!$B$6="",ISNUMBER(SEARCH('Assignment Builder'!$B$6,$C1656))),OR('Assignment Builder'!$B$7="",'Assignment Builder'!$B$7=IFERROR(INDEX('Category Dictionary'!$C$5:$C$135,MATCH($L1656,'Category Dictionary'!$D$5:$D$135,0)),"")),OR('Assignment Builder'!$B$8="",$D1656='Assignment Builder'!$B$8),OR('Assignment Builder'!$B$9="",$F1656='Assignment Builder'!$B$9),OR('Assignment Builder'!$B$10="",$O1656='Assignment Builder'!$B$10),OR('Assignment Builder'!$B$11="",$H1656&gt;='Assignment Builder'!$B$11),OR('Assignment Builder'!$B$12="",N($Q1656)&lt;='Assignment Builder'!$B$12)))</f>
        <v/>
      </c>
      <c r="T1656" s="23" t="n"/>
    </row>
    <row r="1657">
      <c r="A1657" s="23" t="n"/>
      <c r="B1657" s="23" t="n"/>
      <c r="C1657" s="24" t="n"/>
      <c r="D1657" s="15" t="n"/>
      <c r="E1657" s="23" t="n"/>
      <c r="F1657" s="15" t="n"/>
      <c r="G1657" s="23" t="n"/>
      <c r="H1657" s="25" t="n"/>
      <c r="I1657" s="15" t="n"/>
      <c r="J1657" s="26">
        <f>IF($A1657="","",LEN($C1657)-LEN(SUBSTITUTE($C1657,",",""))+1)</f>
        <v/>
      </c>
      <c r="K1657" s="26">
        <f>IF($A1657="","",SUMPRODUCT(--ISNUMBER(SEARCH('Category Dictionary'!$D$5:$D$135&amp;"",$C1657)),--('Category Dictionary'!$D$5:$D$135&lt;&gt;"")))</f>
        <v/>
      </c>
      <c r="L1657" s="27">
        <f>IF($A1657="","",TRIM(IF(ISERROR(FIND(",",$C1657)),$C1657,LEFT($C1657,FIND(",",$C1657)-1))))</f>
        <v/>
      </c>
      <c r="M1657" s="28">
        <f>IF($H1657="","",DATE(YEAR($H1657),MONTH($H1657),1))</f>
        <v/>
      </c>
      <c r="N1657" s="26">
        <f>IF($H1657="","",TODAY()-$H1657)</f>
        <v/>
      </c>
      <c r="O1657" s="15" t="n"/>
      <c r="P1657" s="15" t="n"/>
      <c r="Q1657" s="15" t="n"/>
      <c r="R1657" s="25" t="n"/>
      <c r="S1657" s="26">
        <f>IF($A1657="","",AND(OR('Assignment Builder'!$B$5="",$B1657='Assignment Builder'!$B$5),OR('Assignment Builder'!$B$6="",ISNUMBER(SEARCH('Assignment Builder'!$B$6,$C1657))),OR('Assignment Builder'!$B$7="",'Assignment Builder'!$B$7=IFERROR(INDEX('Category Dictionary'!$C$5:$C$135,MATCH($L1657,'Category Dictionary'!$D$5:$D$135,0)),"")),OR('Assignment Builder'!$B$8="",$D1657='Assignment Builder'!$B$8),OR('Assignment Builder'!$B$9="",$F1657='Assignment Builder'!$B$9),OR('Assignment Builder'!$B$10="",$O1657='Assignment Builder'!$B$10),OR('Assignment Builder'!$B$11="",$H1657&gt;='Assignment Builder'!$B$11),OR('Assignment Builder'!$B$12="",N($Q1657)&lt;='Assignment Builder'!$B$12)))</f>
        <v/>
      </c>
      <c r="T1657" s="23" t="n"/>
    </row>
    <row r="1658">
      <c r="A1658" s="23" t="n"/>
      <c r="B1658" s="23" t="n"/>
      <c r="C1658" s="24" t="n"/>
      <c r="D1658" s="15" t="n"/>
      <c r="E1658" s="23" t="n"/>
      <c r="F1658" s="15" t="n"/>
      <c r="G1658" s="23" t="n"/>
      <c r="H1658" s="25" t="n"/>
      <c r="I1658" s="15" t="n"/>
      <c r="J1658" s="26">
        <f>IF($A1658="","",LEN($C1658)-LEN(SUBSTITUTE($C1658,",",""))+1)</f>
        <v/>
      </c>
      <c r="K1658" s="26">
        <f>IF($A1658="","",SUMPRODUCT(--ISNUMBER(SEARCH('Category Dictionary'!$D$5:$D$135&amp;"",$C1658)),--('Category Dictionary'!$D$5:$D$135&lt;&gt;"")))</f>
        <v/>
      </c>
      <c r="L1658" s="27">
        <f>IF($A1658="","",TRIM(IF(ISERROR(FIND(",",$C1658)),$C1658,LEFT($C1658,FIND(",",$C1658)-1))))</f>
        <v/>
      </c>
      <c r="M1658" s="28">
        <f>IF($H1658="","",DATE(YEAR($H1658),MONTH($H1658),1))</f>
        <v/>
      </c>
      <c r="N1658" s="26">
        <f>IF($H1658="","",TODAY()-$H1658)</f>
        <v/>
      </c>
      <c r="O1658" s="15" t="n"/>
      <c r="P1658" s="15" t="n"/>
      <c r="Q1658" s="15" t="n"/>
      <c r="R1658" s="25" t="n"/>
      <c r="S1658" s="26">
        <f>IF($A1658="","",AND(OR('Assignment Builder'!$B$5="",$B1658='Assignment Builder'!$B$5),OR('Assignment Builder'!$B$6="",ISNUMBER(SEARCH('Assignment Builder'!$B$6,$C1658))),OR('Assignment Builder'!$B$7="",'Assignment Builder'!$B$7=IFERROR(INDEX('Category Dictionary'!$C$5:$C$135,MATCH($L1658,'Category Dictionary'!$D$5:$D$135,0)),"")),OR('Assignment Builder'!$B$8="",$D1658='Assignment Builder'!$B$8),OR('Assignment Builder'!$B$9="",$F1658='Assignment Builder'!$B$9),OR('Assignment Builder'!$B$10="",$O1658='Assignment Builder'!$B$10),OR('Assignment Builder'!$B$11="",$H1658&gt;='Assignment Builder'!$B$11),OR('Assignment Builder'!$B$12="",N($Q1658)&lt;='Assignment Builder'!$B$12)))</f>
        <v/>
      </c>
      <c r="T1658" s="23" t="n"/>
    </row>
    <row r="1659">
      <c r="A1659" s="23" t="n"/>
      <c r="B1659" s="23" t="n"/>
      <c r="C1659" s="24" t="n"/>
      <c r="D1659" s="15" t="n"/>
      <c r="E1659" s="23" t="n"/>
      <c r="F1659" s="15" t="n"/>
      <c r="G1659" s="23" t="n"/>
      <c r="H1659" s="25" t="n"/>
      <c r="I1659" s="15" t="n"/>
      <c r="J1659" s="26">
        <f>IF($A1659="","",LEN($C1659)-LEN(SUBSTITUTE($C1659,",",""))+1)</f>
        <v/>
      </c>
      <c r="K1659" s="26">
        <f>IF($A1659="","",SUMPRODUCT(--ISNUMBER(SEARCH('Category Dictionary'!$D$5:$D$135&amp;"",$C1659)),--('Category Dictionary'!$D$5:$D$135&lt;&gt;"")))</f>
        <v/>
      </c>
      <c r="L1659" s="27">
        <f>IF($A1659="","",TRIM(IF(ISERROR(FIND(",",$C1659)),$C1659,LEFT($C1659,FIND(",",$C1659)-1))))</f>
        <v/>
      </c>
      <c r="M1659" s="28">
        <f>IF($H1659="","",DATE(YEAR($H1659),MONTH($H1659),1))</f>
        <v/>
      </c>
      <c r="N1659" s="26">
        <f>IF($H1659="","",TODAY()-$H1659)</f>
        <v/>
      </c>
      <c r="O1659" s="15" t="n"/>
      <c r="P1659" s="15" t="n"/>
      <c r="Q1659" s="15" t="n"/>
      <c r="R1659" s="25" t="n"/>
      <c r="S1659" s="26">
        <f>IF($A1659="","",AND(OR('Assignment Builder'!$B$5="",$B1659='Assignment Builder'!$B$5),OR('Assignment Builder'!$B$6="",ISNUMBER(SEARCH('Assignment Builder'!$B$6,$C1659))),OR('Assignment Builder'!$B$7="",'Assignment Builder'!$B$7=IFERROR(INDEX('Category Dictionary'!$C$5:$C$135,MATCH($L1659,'Category Dictionary'!$D$5:$D$135,0)),"")),OR('Assignment Builder'!$B$8="",$D1659='Assignment Builder'!$B$8),OR('Assignment Builder'!$B$9="",$F1659='Assignment Builder'!$B$9),OR('Assignment Builder'!$B$10="",$O1659='Assignment Builder'!$B$10),OR('Assignment Builder'!$B$11="",$H1659&gt;='Assignment Builder'!$B$11),OR('Assignment Builder'!$B$12="",N($Q1659)&lt;='Assignment Builder'!$B$12)))</f>
        <v/>
      </c>
      <c r="T1659" s="23" t="n"/>
    </row>
    <row r="1660">
      <c r="A1660" s="23" t="n"/>
      <c r="B1660" s="23" t="n"/>
      <c r="C1660" s="24" t="n"/>
      <c r="D1660" s="15" t="n"/>
      <c r="E1660" s="23" t="n"/>
      <c r="F1660" s="15" t="n"/>
      <c r="G1660" s="23" t="n"/>
      <c r="H1660" s="25" t="n"/>
      <c r="I1660" s="15" t="n"/>
      <c r="J1660" s="26">
        <f>IF($A1660="","",LEN($C1660)-LEN(SUBSTITUTE($C1660,",",""))+1)</f>
        <v/>
      </c>
      <c r="K1660" s="26">
        <f>IF($A1660="","",SUMPRODUCT(--ISNUMBER(SEARCH('Category Dictionary'!$D$5:$D$135&amp;"",$C1660)),--('Category Dictionary'!$D$5:$D$135&lt;&gt;"")))</f>
        <v/>
      </c>
      <c r="L1660" s="27">
        <f>IF($A1660="","",TRIM(IF(ISERROR(FIND(",",$C1660)),$C1660,LEFT($C1660,FIND(",",$C1660)-1))))</f>
        <v/>
      </c>
      <c r="M1660" s="28">
        <f>IF($H1660="","",DATE(YEAR($H1660),MONTH($H1660),1))</f>
        <v/>
      </c>
      <c r="N1660" s="26">
        <f>IF($H1660="","",TODAY()-$H1660)</f>
        <v/>
      </c>
      <c r="O1660" s="15" t="n"/>
      <c r="P1660" s="15" t="n"/>
      <c r="Q1660" s="15" t="n"/>
      <c r="R1660" s="25" t="n"/>
      <c r="S1660" s="26">
        <f>IF($A1660="","",AND(OR('Assignment Builder'!$B$5="",$B1660='Assignment Builder'!$B$5),OR('Assignment Builder'!$B$6="",ISNUMBER(SEARCH('Assignment Builder'!$B$6,$C1660))),OR('Assignment Builder'!$B$7="",'Assignment Builder'!$B$7=IFERROR(INDEX('Category Dictionary'!$C$5:$C$135,MATCH($L1660,'Category Dictionary'!$D$5:$D$135,0)),"")),OR('Assignment Builder'!$B$8="",$D1660='Assignment Builder'!$B$8),OR('Assignment Builder'!$B$9="",$F1660='Assignment Builder'!$B$9),OR('Assignment Builder'!$B$10="",$O1660='Assignment Builder'!$B$10),OR('Assignment Builder'!$B$11="",$H1660&gt;='Assignment Builder'!$B$11),OR('Assignment Builder'!$B$12="",N($Q1660)&lt;='Assignment Builder'!$B$12)))</f>
        <v/>
      </c>
      <c r="T1660" s="23" t="n"/>
    </row>
    <row r="1661">
      <c r="A1661" s="23" t="n"/>
      <c r="B1661" s="23" t="n"/>
      <c r="C1661" s="24" t="n"/>
      <c r="D1661" s="15" t="n"/>
      <c r="E1661" s="23" t="n"/>
      <c r="F1661" s="15" t="n"/>
      <c r="G1661" s="23" t="n"/>
      <c r="H1661" s="25" t="n"/>
      <c r="I1661" s="15" t="n"/>
      <c r="J1661" s="26">
        <f>IF($A1661="","",LEN($C1661)-LEN(SUBSTITUTE($C1661,",",""))+1)</f>
        <v/>
      </c>
      <c r="K1661" s="26">
        <f>IF($A1661="","",SUMPRODUCT(--ISNUMBER(SEARCH('Category Dictionary'!$D$5:$D$135&amp;"",$C1661)),--('Category Dictionary'!$D$5:$D$135&lt;&gt;"")))</f>
        <v/>
      </c>
      <c r="L1661" s="27">
        <f>IF($A1661="","",TRIM(IF(ISERROR(FIND(",",$C1661)),$C1661,LEFT($C1661,FIND(",",$C1661)-1))))</f>
        <v/>
      </c>
      <c r="M1661" s="28">
        <f>IF($H1661="","",DATE(YEAR($H1661),MONTH($H1661),1))</f>
        <v/>
      </c>
      <c r="N1661" s="26">
        <f>IF($H1661="","",TODAY()-$H1661)</f>
        <v/>
      </c>
      <c r="O1661" s="15" t="n"/>
      <c r="P1661" s="15" t="n"/>
      <c r="Q1661" s="15" t="n"/>
      <c r="R1661" s="25" t="n"/>
      <c r="S1661" s="26">
        <f>IF($A1661="","",AND(OR('Assignment Builder'!$B$5="",$B1661='Assignment Builder'!$B$5),OR('Assignment Builder'!$B$6="",ISNUMBER(SEARCH('Assignment Builder'!$B$6,$C1661))),OR('Assignment Builder'!$B$7="",'Assignment Builder'!$B$7=IFERROR(INDEX('Category Dictionary'!$C$5:$C$135,MATCH($L1661,'Category Dictionary'!$D$5:$D$135,0)),"")),OR('Assignment Builder'!$B$8="",$D1661='Assignment Builder'!$B$8),OR('Assignment Builder'!$B$9="",$F1661='Assignment Builder'!$B$9),OR('Assignment Builder'!$B$10="",$O1661='Assignment Builder'!$B$10),OR('Assignment Builder'!$B$11="",$H1661&gt;='Assignment Builder'!$B$11),OR('Assignment Builder'!$B$12="",N($Q1661)&lt;='Assignment Builder'!$B$12)))</f>
        <v/>
      </c>
      <c r="T1661" s="23" t="n"/>
    </row>
    <row r="1662">
      <c r="A1662" s="23" t="n"/>
      <c r="B1662" s="23" t="n"/>
      <c r="C1662" s="24" t="n"/>
      <c r="D1662" s="15" t="n"/>
      <c r="E1662" s="23" t="n"/>
      <c r="F1662" s="15" t="n"/>
      <c r="G1662" s="23" t="n"/>
      <c r="H1662" s="25" t="n"/>
      <c r="I1662" s="15" t="n"/>
      <c r="J1662" s="26">
        <f>IF($A1662="","",LEN($C1662)-LEN(SUBSTITUTE($C1662,",",""))+1)</f>
        <v/>
      </c>
      <c r="K1662" s="26">
        <f>IF($A1662="","",SUMPRODUCT(--ISNUMBER(SEARCH('Category Dictionary'!$D$5:$D$135&amp;"",$C1662)),--('Category Dictionary'!$D$5:$D$135&lt;&gt;"")))</f>
        <v/>
      </c>
      <c r="L1662" s="27">
        <f>IF($A1662="","",TRIM(IF(ISERROR(FIND(",",$C1662)),$C1662,LEFT($C1662,FIND(",",$C1662)-1))))</f>
        <v/>
      </c>
      <c r="M1662" s="28">
        <f>IF($H1662="","",DATE(YEAR($H1662),MONTH($H1662),1))</f>
        <v/>
      </c>
      <c r="N1662" s="26">
        <f>IF($H1662="","",TODAY()-$H1662)</f>
        <v/>
      </c>
      <c r="O1662" s="15" t="n"/>
      <c r="P1662" s="15" t="n"/>
      <c r="Q1662" s="15" t="n"/>
      <c r="R1662" s="25" t="n"/>
      <c r="S1662" s="26">
        <f>IF($A1662="","",AND(OR('Assignment Builder'!$B$5="",$B1662='Assignment Builder'!$B$5),OR('Assignment Builder'!$B$6="",ISNUMBER(SEARCH('Assignment Builder'!$B$6,$C1662))),OR('Assignment Builder'!$B$7="",'Assignment Builder'!$B$7=IFERROR(INDEX('Category Dictionary'!$C$5:$C$135,MATCH($L1662,'Category Dictionary'!$D$5:$D$135,0)),"")),OR('Assignment Builder'!$B$8="",$D1662='Assignment Builder'!$B$8),OR('Assignment Builder'!$B$9="",$F1662='Assignment Builder'!$B$9),OR('Assignment Builder'!$B$10="",$O1662='Assignment Builder'!$B$10),OR('Assignment Builder'!$B$11="",$H1662&gt;='Assignment Builder'!$B$11),OR('Assignment Builder'!$B$12="",N($Q1662)&lt;='Assignment Builder'!$B$12)))</f>
        <v/>
      </c>
      <c r="T1662" s="23" t="n"/>
    </row>
    <row r="1663">
      <c r="A1663" s="23" t="n"/>
      <c r="B1663" s="23" t="n"/>
      <c r="C1663" s="24" t="n"/>
      <c r="D1663" s="15" t="n"/>
      <c r="E1663" s="23" t="n"/>
      <c r="F1663" s="15" t="n"/>
      <c r="G1663" s="23" t="n"/>
      <c r="H1663" s="25" t="n"/>
      <c r="I1663" s="15" t="n"/>
      <c r="J1663" s="26">
        <f>IF($A1663="","",LEN($C1663)-LEN(SUBSTITUTE($C1663,",",""))+1)</f>
        <v/>
      </c>
      <c r="K1663" s="26">
        <f>IF($A1663="","",SUMPRODUCT(--ISNUMBER(SEARCH('Category Dictionary'!$D$5:$D$135&amp;"",$C1663)),--('Category Dictionary'!$D$5:$D$135&lt;&gt;"")))</f>
        <v/>
      </c>
      <c r="L1663" s="27">
        <f>IF($A1663="","",TRIM(IF(ISERROR(FIND(",",$C1663)),$C1663,LEFT($C1663,FIND(",",$C1663)-1))))</f>
        <v/>
      </c>
      <c r="M1663" s="28">
        <f>IF($H1663="","",DATE(YEAR($H1663),MONTH($H1663),1))</f>
        <v/>
      </c>
      <c r="N1663" s="26">
        <f>IF($H1663="","",TODAY()-$H1663)</f>
        <v/>
      </c>
      <c r="O1663" s="15" t="n"/>
      <c r="P1663" s="15" t="n"/>
      <c r="Q1663" s="15" t="n"/>
      <c r="R1663" s="25" t="n"/>
      <c r="S1663" s="26">
        <f>IF($A1663="","",AND(OR('Assignment Builder'!$B$5="",$B1663='Assignment Builder'!$B$5),OR('Assignment Builder'!$B$6="",ISNUMBER(SEARCH('Assignment Builder'!$B$6,$C1663))),OR('Assignment Builder'!$B$7="",'Assignment Builder'!$B$7=IFERROR(INDEX('Category Dictionary'!$C$5:$C$135,MATCH($L1663,'Category Dictionary'!$D$5:$D$135,0)),"")),OR('Assignment Builder'!$B$8="",$D1663='Assignment Builder'!$B$8),OR('Assignment Builder'!$B$9="",$F1663='Assignment Builder'!$B$9),OR('Assignment Builder'!$B$10="",$O1663='Assignment Builder'!$B$10),OR('Assignment Builder'!$B$11="",$H1663&gt;='Assignment Builder'!$B$11),OR('Assignment Builder'!$B$12="",N($Q1663)&lt;='Assignment Builder'!$B$12)))</f>
        <v/>
      </c>
      <c r="T1663" s="23" t="n"/>
    </row>
    <row r="1664">
      <c r="A1664" s="23" t="n"/>
      <c r="B1664" s="23" t="n"/>
      <c r="C1664" s="24" t="n"/>
      <c r="D1664" s="15" t="n"/>
      <c r="E1664" s="23" t="n"/>
      <c r="F1664" s="15" t="n"/>
      <c r="G1664" s="23" t="n"/>
      <c r="H1664" s="25" t="n"/>
      <c r="I1664" s="15" t="n"/>
      <c r="J1664" s="26">
        <f>IF($A1664="","",LEN($C1664)-LEN(SUBSTITUTE($C1664,",",""))+1)</f>
        <v/>
      </c>
      <c r="K1664" s="26">
        <f>IF($A1664="","",SUMPRODUCT(--ISNUMBER(SEARCH('Category Dictionary'!$D$5:$D$135&amp;"",$C1664)),--('Category Dictionary'!$D$5:$D$135&lt;&gt;"")))</f>
        <v/>
      </c>
      <c r="L1664" s="27">
        <f>IF($A1664="","",TRIM(IF(ISERROR(FIND(",",$C1664)),$C1664,LEFT($C1664,FIND(",",$C1664)-1))))</f>
        <v/>
      </c>
      <c r="M1664" s="28">
        <f>IF($H1664="","",DATE(YEAR($H1664),MONTH($H1664),1))</f>
        <v/>
      </c>
      <c r="N1664" s="26">
        <f>IF($H1664="","",TODAY()-$H1664)</f>
        <v/>
      </c>
      <c r="O1664" s="15" t="n"/>
      <c r="P1664" s="15" t="n"/>
      <c r="Q1664" s="15" t="n"/>
      <c r="R1664" s="25" t="n"/>
      <c r="S1664" s="26">
        <f>IF($A1664="","",AND(OR('Assignment Builder'!$B$5="",$B1664='Assignment Builder'!$B$5),OR('Assignment Builder'!$B$6="",ISNUMBER(SEARCH('Assignment Builder'!$B$6,$C1664))),OR('Assignment Builder'!$B$7="",'Assignment Builder'!$B$7=IFERROR(INDEX('Category Dictionary'!$C$5:$C$135,MATCH($L1664,'Category Dictionary'!$D$5:$D$135,0)),"")),OR('Assignment Builder'!$B$8="",$D1664='Assignment Builder'!$B$8),OR('Assignment Builder'!$B$9="",$F1664='Assignment Builder'!$B$9),OR('Assignment Builder'!$B$10="",$O1664='Assignment Builder'!$B$10),OR('Assignment Builder'!$B$11="",$H1664&gt;='Assignment Builder'!$B$11),OR('Assignment Builder'!$B$12="",N($Q1664)&lt;='Assignment Builder'!$B$12)))</f>
        <v/>
      </c>
      <c r="T1664" s="23" t="n"/>
    </row>
    <row r="1665">
      <c r="A1665" s="23" t="n"/>
      <c r="B1665" s="23" t="n"/>
      <c r="C1665" s="24" t="n"/>
      <c r="D1665" s="15" t="n"/>
      <c r="E1665" s="23" t="n"/>
      <c r="F1665" s="15" t="n"/>
      <c r="G1665" s="23" t="n"/>
      <c r="H1665" s="25" t="n"/>
      <c r="I1665" s="15" t="n"/>
      <c r="J1665" s="26">
        <f>IF($A1665="","",LEN($C1665)-LEN(SUBSTITUTE($C1665,",",""))+1)</f>
        <v/>
      </c>
      <c r="K1665" s="26">
        <f>IF($A1665="","",SUMPRODUCT(--ISNUMBER(SEARCH('Category Dictionary'!$D$5:$D$135&amp;"",$C1665)),--('Category Dictionary'!$D$5:$D$135&lt;&gt;"")))</f>
        <v/>
      </c>
      <c r="L1665" s="27">
        <f>IF($A1665="","",TRIM(IF(ISERROR(FIND(",",$C1665)),$C1665,LEFT($C1665,FIND(",",$C1665)-1))))</f>
        <v/>
      </c>
      <c r="M1665" s="28">
        <f>IF($H1665="","",DATE(YEAR($H1665),MONTH($H1665),1))</f>
        <v/>
      </c>
      <c r="N1665" s="26">
        <f>IF($H1665="","",TODAY()-$H1665)</f>
        <v/>
      </c>
      <c r="O1665" s="15" t="n"/>
      <c r="P1665" s="15" t="n"/>
      <c r="Q1665" s="15" t="n"/>
      <c r="R1665" s="25" t="n"/>
      <c r="S1665" s="26">
        <f>IF($A1665="","",AND(OR('Assignment Builder'!$B$5="",$B1665='Assignment Builder'!$B$5),OR('Assignment Builder'!$B$6="",ISNUMBER(SEARCH('Assignment Builder'!$B$6,$C1665))),OR('Assignment Builder'!$B$7="",'Assignment Builder'!$B$7=IFERROR(INDEX('Category Dictionary'!$C$5:$C$135,MATCH($L1665,'Category Dictionary'!$D$5:$D$135,0)),"")),OR('Assignment Builder'!$B$8="",$D1665='Assignment Builder'!$B$8),OR('Assignment Builder'!$B$9="",$F1665='Assignment Builder'!$B$9),OR('Assignment Builder'!$B$10="",$O1665='Assignment Builder'!$B$10),OR('Assignment Builder'!$B$11="",$H1665&gt;='Assignment Builder'!$B$11),OR('Assignment Builder'!$B$12="",N($Q1665)&lt;='Assignment Builder'!$B$12)))</f>
        <v/>
      </c>
      <c r="T1665" s="23" t="n"/>
    </row>
    <row r="1666">
      <c r="A1666" s="23" t="n"/>
      <c r="B1666" s="23" t="n"/>
      <c r="C1666" s="24" t="n"/>
      <c r="D1666" s="15" t="n"/>
      <c r="E1666" s="23" t="n"/>
      <c r="F1666" s="15" t="n"/>
      <c r="G1666" s="23" t="n"/>
      <c r="H1666" s="25" t="n"/>
      <c r="I1666" s="15" t="n"/>
      <c r="J1666" s="26">
        <f>IF($A1666="","",LEN($C1666)-LEN(SUBSTITUTE($C1666,",",""))+1)</f>
        <v/>
      </c>
      <c r="K1666" s="26">
        <f>IF($A1666="","",SUMPRODUCT(--ISNUMBER(SEARCH('Category Dictionary'!$D$5:$D$135&amp;"",$C1666)),--('Category Dictionary'!$D$5:$D$135&lt;&gt;"")))</f>
        <v/>
      </c>
      <c r="L1666" s="27">
        <f>IF($A1666="","",TRIM(IF(ISERROR(FIND(",",$C1666)),$C1666,LEFT($C1666,FIND(",",$C1666)-1))))</f>
        <v/>
      </c>
      <c r="M1666" s="28">
        <f>IF($H1666="","",DATE(YEAR($H1666),MONTH($H1666),1))</f>
        <v/>
      </c>
      <c r="N1666" s="26">
        <f>IF($H1666="","",TODAY()-$H1666)</f>
        <v/>
      </c>
      <c r="O1666" s="15" t="n"/>
      <c r="P1666" s="15" t="n"/>
      <c r="Q1666" s="15" t="n"/>
      <c r="R1666" s="25" t="n"/>
      <c r="S1666" s="26">
        <f>IF($A1666="","",AND(OR('Assignment Builder'!$B$5="",$B1666='Assignment Builder'!$B$5),OR('Assignment Builder'!$B$6="",ISNUMBER(SEARCH('Assignment Builder'!$B$6,$C1666))),OR('Assignment Builder'!$B$7="",'Assignment Builder'!$B$7=IFERROR(INDEX('Category Dictionary'!$C$5:$C$135,MATCH($L1666,'Category Dictionary'!$D$5:$D$135,0)),"")),OR('Assignment Builder'!$B$8="",$D1666='Assignment Builder'!$B$8),OR('Assignment Builder'!$B$9="",$F1666='Assignment Builder'!$B$9),OR('Assignment Builder'!$B$10="",$O1666='Assignment Builder'!$B$10),OR('Assignment Builder'!$B$11="",$H1666&gt;='Assignment Builder'!$B$11),OR('Assignment Builder'!$B$12="",N($Q1666)&lt;='Assignment Builder'!$B$12)))</f>
        <v/>
      </c>
      <c r="T1666" s="23" t="n"/>
    </row>
    <row r="1667">
      <c r="A1667" s="23" t="n"/>
      <c r="B1667" s="23" t="n"/>
      <c r="C1667" s="24" t="n"/>
      <c r="D1667" s="15" t="n"/>
      <c r="E1667" s="23" t="n"/>
      <c r="F1667" s="15" t="n"/>
      <c r="G1667" s="23" t="n"/>
      <c r="H1667" s="25" t="n"/>
      <c r="I1667" s="15" t="n"/>
      <c r="J1667" s="26">
        <f>IF($A1667="","",LEN($C1667)-LEN(SUBSTITUTE($C1667,",",""))+1)</f>
        <v/>
      </c>
      <c r="K1667" s="26">
        <f>IF($A1667="","",SUMPRODUCT(--ISNUMBER(SEARCH('Category Dictionary'!$D$5:$D$135&amp;"",$C1667)),--('Category Dictionary'!$D$5:$D$135&lt;&gt;"")))</f>
        <v/>
      </c>
      <c r="L1667" s="27">
        <f>IF($A1667="","",TRIM(IF(ISERROR(FIND(",",$C1667)),$C1667,LEFT($C1667,FIND(",",$C1667)-1))))</f>
        <v/>
      </c>
      <c r="M1667" s="28">
        <f>IF($H1667="","",DATE(YEAR($H1667),MONTH($H1667),1))</f>
        <v/>
      </c>
      <c r="N1667" s="26">
        <f>IF($H1667="","",TODAY()-$H1667)</f>
        <v/>
      </c>
      <c r="O1667" s="15" t="n"/>
      <c r="P1667" s="15" t="n"/>
      <c r="Q1667" s="15" t="n"/>
      <c r="R1667" s="25" t="n"/>
      <c r="S1667" s="26">
        <f>IF($A1667="","",AND(OR('Assignment Builder'!$B$5="",$B1667='Assignment Builder'!$B$5),OR('Assignment Builder'!$B$6="",ISNUMBER(SEARCH('Assignment Builder'!$B$6,$C1667))),OR('Assignment Builder'!$B$7="",'Assignment Builder'!$B$7=IFERROR(INDEX('Category Dictionary'!$C$5:$C$135,MATCH($L1667,'Category Dictionary'!$D$5:$D$135,0)),"")),OR('Assignment Builder'!$B$8="",$D1667='Assignment Builder'!$B$8),OR('Assignment Builder'!$B$9="",$F1667='Assignment Builder'!$B$9),OR('Assignment Builder'!$B$10="",$O1667='Assignment Builder'!$B$10),OR('Assignment Builder'!$B$11="",$H1667&gt;='Assignment Builder'!$B$11),OR('Assignment Builder'!$B$12="",N($Q1667)&lt;='Assignment Builder'!$B$12)))</f>
        <v/>
      </c>
      <c r="T1667" s="23" t="n"/>
    </row>
    <row r="1668">
      <c r="A1668" s="23" t="n"/>
      <c r="B1668" s="23" t="n"/>
      <c r="C1668" s="24" t="n"/>
      <c r="D1668" s="15" t="n"/>
      <c r="E1668" s="23" t="n"/>
      <c r="F1668" s="15" t="n"/>
      <c r="G1668" s="23" t="n"/>
      <c r="H1668" s="25" t="n"/>
      <c r="I1668" s="15" t="n"/>
      <c r="J1668" s="26">
        <f>IF($A1668="","",LEN($C1668)-LEN(SUBSTITUTE($C1668,",",""))+1)</f>
        <v/>
      </c>
      <c r="K1668" s="26">
        <f>IF($A1668="","",SUMPRODUCT(--ISNUMBER(SEARCH('Category Dictionary'!$D$5:$D$135&amp;"",$C1668)),--('Category Dictionary'!$D$5:$D$135&lt;&gt;"")))</f>
        <v/>
      </c>
      <c r="L1668" s="27">
        <f>IF($A1668="","",TRIM(IF(ISERROR(FIND(",",$C1668)),$C1668,LEFT($C1668,FIND(",",$C1668)-1))))</f>
        <v/>
      </c>
      <c r="M1668" s="28">
        <f>IF($H1668="","",DATE(YEAR($H1668),MONTH($H1668),1))</f>
        <v/>
      </c>
      <c r="N1668" s="26">
        <f>IF($H1668="","",TODAY()-$H1668)</f>
        <v/>
      </c>
      <c r="O1668" s="15" t="n"/>
      <c r="P1668" s="15" t="n"/>
      <c r="Q1668" s="15" t="n"/>
      <c r="R1668" s="25" t="n"/>
      <c r="S1668" s="26">
        <f>IF($A1668="","",AND(OR('Assignment Builder'!$B$5="",$B1668='Assignment Builder'!$B$5),OR('Assignment Builder'!$B$6="",ISNUMBER(SEARCH('Assignment Builder'!$B$6,$C1668))),OR('Assignment Builder'!$B$7="",'Assignment Builder'!$B$7=IFERROR(INDEX('Category Dictionary'!$C$5:$C$135,MATCH($L1668,'Category Dictionary'!$D$5:$D$135,0)),"")),OR('Assignment Builder'!$B$8="",$D1668='Assignment Builder'!$B$8),OR('Assignment Builder'!$B$9="",$F1668='Assignment Builder'!$B$9),OR('Assignment Builder'!$B$10="",$O1668='Assignment Builder'!$B$10),OR('Assignment Builder'!$B$11="",$H1668&gt;='Assignment Builder'!$B$11),OR('Assignment Builder'!$B$12="",N($Q1668)&lt;='Assignment Builder'!$B$12)))</f>
        <v/>
      </c>
      <c r="T1668" s="23" t="n"/>
    </row>
    <row r="1669">
      <c r="A1669" s="23" t="n"/>
      <c r="B1669" s="23" t="n"/>
      <c r="C1669" s="24" t="n"/>
      <c r="D1669" s="15" t="n"/>
      <c r="E1669" s="23" t="n"/>
      <c r="F1669" s="15" t="n"/>
      <c r="G1669" s="23" t="n"/>
      <c r="H1669" s="25" t="n"/>
      <c r="I1669" s="15" t="n"/>
      <c r="J1669" s="26">
        <f>IF($A1669="","",LEN($C1669)-LEN(SUBSTITUTE($C1669,",",""))+1)</f>
        <v/>
      </c>
      <c r="K1669" s="26">
        <f>IF($A1669="","",SUMPRODUCT(--ISNUMBER(SEARCH('Category Dictionary'!$D$5:$D$135&amp;"",$C1669)),--('Category Dictionary'!$D$5:$D$135&lt;&gt;"")))</f>
        <v/>
      </c>
      <c r="L1669" s="27">
        <f>IF($A1669="","",TRIM(IF(ISERROR(FIND(",",$C1669)),$C1669,LEFT($C1669,FIND(",",$C1669)-1))))</f>
        <v/>
      </c>
      <c r="M1669" s="28">
        <f>IF($H1669="","",DATE(YEAR($H1669),MONTH($H1669),1))</f>
        <v/>
      </c>
      <c r="N1669" s="26">
        <f>IF($H1669="","",TODAY()-$H1669)</f>
        <v/>
      </c>
      <c r="O1669" s="15" t="n"/>
      <c r="P1669" s="15" t="n"/>
      <c r="Q1669" s="15" t="n"/>
      <c r="R1669" s="25" t="n"/>
      <c r="S1669" s="26">
        <f>IF($A1669="","",AND(OR('Assignment Builder'!$B$5="",$B1669='Assignment Builder'!$B$5),OR('Assignment Builder'!$B$6="",ISNUMBER(SEARCH('Assignment Builder'!$B$6,$C1669))),OR('Assignment Builder'!$B$7="",'Assignment Builder'!$B$7=IFERROR(INDEX('Category Dictionary'!$C$5:$C$135,MATCH($L1669,'Category Dictionary'!$D$5:$D$135,0)),"")),OR('Assignment Builder'!$B$8="",$D1669='Assignment Builder'!$B$8),OR('Assignment Builder'!$B$9="",$F1669='Assignment Builder'!$B$9),OR('Assignment Builder'!$B$10="",$O1669='Assignment Builder'!$B$10),OR('Assignment Builder'!$B$11="",$H1669&gt;='Assignment Builder'!$B$11),OR('Assignment Builder'!$B$12="",N($Q1669)&lt;='Assignment Builder'!$B$12)))</f>
        <v/>
      </c>
      <c r="T1669" s="23" t="n"/>
    </row>
    <row r="1670">
      <c r="A1670" s="23" t="n"/>
      <c r="B1670" s="23" t="n"/>
      <c r="C1670" s="24" t="n"/>
      <c r="D1670" s="15" t="n"/>
      <c r="E1670" s="23" t="n"/>
      <c r="F1670" s="15" t="n"/>
      <c r="G1670" s="23" t="n"/>
      <c r="H1670" s="25" t="n"/>
      <c r="I1670" s="15" t="n"/>
      <c r="J1670" s="26">
        <f>IF($A1670="","",LEN($C1670)-LEN(SUBSTITUTE($C1670,",",""))+1)</f>
        <v/>
      </c>
      <c r="K1670" s="26">
        <f>IF($A1670="","",SUMPRODUCT(--ISNUMBER(SEARCH('Category Dictionary'!$D$5:$D$135&amp;"",$C1670)),--('Category Dictionary'!$D$5:$D$135&lt;&gt;"")))</f>
        <v/>
      </c>
      <c r="L1670" s="27">
        <f>IF($A1670="","",TRIM(IF(ISERROR(FIND(",",$C1670)),$C1670,LEFT($C1670,FIND(",",$C1670)-1))))</f>
        <v/>
      </c>
      <c r="M1670" s="28">
        <f>IF($H1670="","",DATE(YEAR($H1670),MONTH($H1670),1))</f>
        <v/>
      </c>
      <c r="N1670" s="26">
        <f>IF($H1670="","",TODAY()-$H1670)</f>
        <v/>
      </c>
      <c r="O1670" s="15" t="n"/>
      <c r="P1670" s="15" t="n"/>
      <c r="Q1670" s="15" t="n"/>
      <c r="R1670" s="25" t="n"/>
      <c r="S1670" s="26">
        <f>IF($A1670="","",AND(OR('Assignment Builder'!$B$5="",$B1670='Assignment Builder'!$B$5),OR('Assignment Builder'!$B$6="",ISNUMBER(SEARCH('Assignment Builder'!$B$6,$C1670))),OR('Assignment Builder'!$B$7="",'Assignment Builder'!$B$7=IFERROR(INDEX('Category Dictionary'!$C$5:$C$135,MATCH($L1670,'Category Dictionary'!$D$5:$D$135,0)),"")),OR('Assignment Builder'!$B$8="",$D1670='Assignment Builder'!$B$8),OR('Assignment Builder'!$B$9="",$F1670='Assignment Builder'!$B$9),OR('Assignment Builder'!$B$10="",$O1670='Assignment Builder'!$B$10),OR('Assignment Builder'!$B$11="",$H1670&gt;='Assignment Builder'!$B$11),OR('Assignment Builder'!$B$12="",N($Q1670)&lt;='Assignment Builder'!$B$12)))</f>
        <v/>
      </c>
      <c r="T1670" s="23" t="n"/>
    </row>
    <row r="1671">
      <c r="A1671" s="23" t="n"/>
      <c r="B1671" s="23" t="n"/>
      <c r="C1671" s="24" t="n"/>
      <c r="D1671" s="15" t="n"/>
      <c r="E1671" s="23" t="n"/>
      <c r="F1671" s="15" t="n"/>
      <c r="G1671" s="23" t="n"/>
      <c r="H1671" s="25" t="n"/>
      <c r="I1671" s="15" t="n"/>
      <c r="J1671" s="26">
        <f>IF($A1671="","",LEN($C1671)-LEN(SUBSTITUTE($C1671,",",""))+1)</f>
        <v/>
      </c>
      <c r="K1671" s="26">
        <f>IF($A1671="","",SUMPRODUCT(--ISNUMBER(SEARCH('Category Dictionary'!$D$5:$D$135&amp;"",$C1671)),--('Category Dictionary'!$D$5:$D$135&lt;&gt;"")))</f>
        <v/>
      </c>
      <c r="L1671" s="27">
        <f>IF($A1671="","",TRIM(IF(ISERROR(FIND(",",$C1671)),$C1671,LEFT($C1671,FIND(",",$C1671)-1))))</f>
        <v/>
      </c>
      <c r="M1671" s="28">
        <f>IF($H1671="","",DATE(YEAR($H1671),MONTH($H1671),1))</f>
        <v/>
      </c>
      <c r="N1671" s="26">
        <f>IF($H1671="","",TODAY()-$H1671)</f>
        <v/>
      </c>
      <c r="O1671" s="15" t="n"/>
      <c r="P1671" s="15" t="n"/>
      <c r="Q1671" s="15" t="n"/>
      <c r="R1671" s="25" t="n"/>
      <c r="S1671" s="26">
        <f>IF($A1671="","",AND(OR('Assignment Builder'!$B$5="",$B1671='Assignment Builder'!$B$5),OR('Assignment Builder'!$B$6="",ISNUMBER(SEARCH('Assignment Builder'!$B$6,$C1671))),OR('Assignment Builder'!$B$7="",'Assignment Builder'!$B$7=IFERROR(INDEX('Category Dictionary'!$C$5:$C$135,MATCH($L1671,'Category Dictionary'!$D$5:$D$135,0)),"")),OR('Assignment Builder'!$B$8="",$D1671='Assignment Builder'!$B$8),OR('Assignment Builder'!$B$9="",$F1671='Assignment Builder'!$B$9),OR('Assignment Builder'!$B$10="",$O1671='Assignment Builder'!$B$10),OR('Assignment Builder'!$B$11="",$H1671&gt;='Assignment Builder'!$B$11),OR('Assignment Builder'!$B$12="",N($Q1671)&lt;='Assignment Builder'!$B$12)))</f>
        <v/>
      </c>
      <c r="T1671" s="23" t="n"/>
    </row>
    <row r="1672">
      <c r="A1672" s="23" t="n"/>
      <c r="B1672" s="23" t="n"/>
      <c r="C1672" s="24" t="n"/>
      <c r="D1672" s="15" t="n"/>
      <c r="E1672" s="23" t="n"/>
      <c r="F1672" s="15" t="n"/>
      <c r="G1672" s="23" t="n"/>
      <c r="H1672" s="25" t="n"/>
      <c r="I1672" s="15" t="n"/>
      <c r="J1672" s="26">
        <f>IF($A1672="","",LEN($C1672)-LEN(SUBSTITUTE($C1672,",",""))+1)</f>
        <v/>
      </c>
      <c r="K1672" s="26">
        <f>IF($A1672="","",SUMPRODUCT(--ISNUMBER(SEARCH('Category Dictionary'!$D$5:$D$135&amp;"",$C1672)),--('Category Dictionary'!$D$5:$D$135&lt;&gt;"")))</f>
        <v/>
      </c>
      <c r="L1672" s="27">
        <f>IF($A1672="","",TRIM(IF(ISERROR(FIND(",",$C1672)),$C1672,LEFT($C1672,FIND(",",$C1672)-1))))</f>
        <v/>
      </c>
      <c r="M1672" s="28">
        <f>IF($H1672="","",DATE(YEAR($H1672),MONTH($H1672),1))</f>
        <v/>
      </c>
      <c r="N1672" s="26">
        <f>IF($H1672="","",TODAY()-$H1672)</f>
        <v/>
      </c>
      <c r="O1672" s="15" t="n"/>
      <c r="P1672" s="15" t="n"/>
      <c r="Q1672" s="15" t="n"/>
      <c r="R1672" s="25" t="n"/>
      <c r="S1672" s="26">
        <f>IF($A1672="","",AND(OR('Assignment Builder'!$B$5="",$B1672='Assignment Builder'!$B$5),OR('Assignment Builder'!$B$6="",ISNUMBER(SEARCH('Assignment Builder'!$B$6,$C1672))),OR('Assignment Builder'!$B$7="",'Assignment Builder'!$B$7=IFERROR(INDEX('Category Dictionary'!$C$5:$C$135,MATCH($L1672,'Category Dictionary'!$D$5:$D$135,0)),"")),OR('Assignment Builder'!$B$8="",$D1672='Assignment Builder'!$B$8),OR('Assignment Builder'!$B$9="",$F1672='Assignment Builder'!$B$9),OR('Assignment Builder'!$B$10="",$O1672='Assignment Builder'!$B$10),OR('Assignment Builder'!$B$11="",$H1672&gt;='Assignment Builder'!$B$11),OR('Assignment Builder'!$B$12="",N($Q1672)&lt;='Assignment Builder'!$B$12)))</f>
        <v/>
      </c>
      <c r="T1672" s="23" t="n"/>
    </row>
    <row r="1673">
      <c r="A1673" s="23" t="n"/>
      <c r="B1673" s="23" t="n"/>
      <c r="C1673" s="24" t="n"/>
      <c r="D1673" s="15" t="n"/>
      <c r="E1673" s="23" t="n"/>
      <c r="F1673" s="15" t="n"/>
      <c r="G1673" s="23" t="n"/>
      <c r="H1673" s="25" t="n"/>
      <c r="I1673" s="15" t="n"/>
      <c r="J1673" s="26">
        <f>IF($A1673="","",LEN($C1673)-LEN(SUBSTITUTE($C1673,",",""))+1)</f>
        <v/>
      </c>
      <c r="K1673" s="26">
        <f>IF($A1673="","",SUMPRODUCT(--ISNUMBER(SEARCH('Category Dictionary'!$D$5:$D$135&amp;"",$C1673)),--('Category Dictionary'!$D$5:$D$135&lt;&gt;"")))</f>
        <v/>
      </c>
      <c r="L1673" s="27">
        <f>IF($A1673="","",TRIM(IF(ISERROR(FIND(",",$C1673)),$C1673,LEFT($C1673,FIND(",",$C1673)-1))))</f>
        <v/>
      </c>
      <c r="M1673" s="28">
        <f>IF($H1673="","",DATE(YEAR($H1673),MONTH($H1673),1))</f>
        <v/>
      </c>
      <c r="N1673" s="26">
        <f>IF($H1673="","",TODAY()-$H1673)</f>
        <v/>
      </c>
      <c r="O1673" s="15" t="n"/>
      <c r="P1673" s="15" t="n"/>
      <c r="Q1673" s="15" t="n"/>
      <c r="R1673" s="25" t="n"/>
      <c r="S1673" s="26">
        <f>IF($A1673="","",AND(OR('Assignment Builder'!$B$5="",$B1673='Assignment Builder'!$B$5),OR('Assignment Builder'!$B$6="",ISNUMBER(SEARCH('Assignment Builder'!$B$6,$C1673))),OR('Assignment Builder'!$B$7="",'Assignment Builder'!$B$7=IFERROR(INDEX('Category Dictionary'!$C$5:$C$135,MATCH($L1673,'Category Dictionary'!$D$5:$D$135,0)),"")),OR('Assignment Builder'!$B$8="",$D1673='Assignment Builder'!$B$8),OR('Assignment Builder'!$B$9="",$F1673='Assignment Builder'!$B$9),OR('Assignment Builder'!$B$10="",$O1673='Assignment Builder'!$B$10),OR('Assignment Builder'!$B$11="",$H1673&gt;='Assignment Builder'!$B$11),OR('Assignment Builder'!$B$12="",N($Q1673)&lt;='Assignment Builder'!$B$12)))</f>
        <v/>
      </c>
      <c r="T1673" s="23" t="n"/>
    </row>
    <row r="1674">
      <c r="A1674" s="23" t="n"/>
      <c r="B1674" s="23" t="n"/>
      <c r="C1674" s="24" t="n"/>
      <c r="D1674" s="15" t="n"/>
      <c r="E1674" s="23" t="n"/>
      <c r="F1674" s="15" t="n"/>
      <c r="G1674" s="23" t="n"/>
      <c r="H1674" s="25" t="n"/>
      <c r="I1674" s="15" t="n"/>
      <c r="J1674" s="26">
        <f>IF($A1674="","",LEN($C1674)-LEN(SUBSTITUTE($C1674,",",""))+1)</f>
        <v/>
      </c>
      <c r="K1674" s="26">
        <f>IF($A1674="","",SUMPRODUCT(--ISNUMBER(SEARCH('Category Dictionary'!$D$5:$D$135&amp;"",$C1674)),--('Category Dictionary'!$D$5:$D$135&lt;&gt;"")))</f>
        <v/>
      </c>
      <c r="L1674" s="27">
        <f>IF($A1674="","",TRIM(IF(ISERROR(FIND(",",$C1674)),$C1674,LEFT($C1674,FIND(",",$C1674)-1))))</f>
        <v/>
      </c>
      <c r="M1674" s="28">
        <f>IF($H1674="","",DATE(YEAR($H1674),MONTH($H1674),1))</f>
        <v/>
      </c>
      <c r="N1674" s="26">
        <f>IF($H1674="","",TODAY()-$H1674)</f>
        <v/>
      </c>
      <c r="O1674" s="15" t="n"/>
      <c r="P1674" s="15" t="n"/>
      <c r="Q1674" s="15" t="n"/>
      <c r="R1674" s="25" t="n"/>
      <c r="S1674" s="26">
        <f>IF($A1674="","",AND(OR('Assignment Builder'!$B$5="",$B1674='Assignment Builder'!$B$5),OR('Assignment Builder'!$B$6="",ISNUMBER(SEARCH('Assignment Builder'!$B$6,$C1674))),OR('Assignment Builder'!$B$7="",'Assignment Builder'!$B$7=IFERROR(INDEX('Category Dictionary'!$C$5:$C$135,MATCH($L1674,'Category Dictionary'!$D$5:$D$135,0)),"")),OR('Assignment Builder'!$B$8="",$D1674='Assignment Builder'!$B$8),OR('Assignment Builder'!$B$9="",$F1674='Assignment Builder'!$B$9),OR('Assignment Builder'!$B$10="",$O1674='Assignment Builder'!$B$10),OR('Assignment Builder'!$B$11="",$H1674&gt;='Assignment Builder'!$B$11),OR('Assignment Builder'!$B$12="",N($Q1674)&lt;='Assignment Builder'!$B$12)))</f>
        <v/>
      </c>
      <c r="T1674" s="23" t="n"/>
    </row>
    <row r="1675">
      <c r="A1675" s="23" t="n"/>
      <c r="B1675" s="23" t="n"/>
      <c r="C1675" s="24" t="n"/>
      <c r="D1675" s="15" t="n"/>
      <c r="E1675" s="23" t="n"/>
      <c r="F1675" s="15" t="n"/>
      <c r="G1675" s="23" t="n"/>
      <c r="H1675" s="25" t="n"/>
      <c r="I1675" s="15" t="n"/>
      <c r="J1675" s="26">
        <f>IF($A1675="","",LEN($C1675)-LEN(SUBSTITUTE($C1675,",",""))+1)</f>
        <v/>
      </c>
      <c r="K1675" s="26">
        <f>IF($A1675="","",SUMPRODUCT(--ISNUMBER(SEARCH('Category Dictionary'!$D$5:$D$135&amp;"",$C1675)),--('Category Dictionary'!$D$5:$D$135&lt;&gt;"")))</f>
        <v/>
      </c>
      <c r="L1675" s="27">
        <f>IF($A1675="","",TRIM(IF(ISERROR(FIND(",",$C1675)),$C1675,LEFT($C1675,FIND(",",$C1675)-1))))</f>
        <v/>
      </c>
      <c r="M1675" s="28">
        <f>IF($H1675="","",DATE(YEAR($H1675),MONTH($H1675),1))</f>
        <v/>
      </c>
      <c r="N1675" s="26">
        <f>IF($H1675="","",TODAY()-$H1675)</f>
        <v/>
      </c>
      <c r="O1675" s="15" t="n"/>
      <c r="P1675" s="15" t="n"/>
      <c r="Q1675" s="15" t="n"/>
      <c r="R1675" s="25" t="n"/>
      <c r="S1675" s="26">
        <f>IF($A1675="","",AND(OR('Assignment Builder'!$B$5="",$B1675='Assignment Builder'!$B$5),OR('Assignment Builder'!$B$6="",ISNUMBER(SEARCH('Assignment Builder'!$B$6,$C1675))),OR('Assignment Builder'!$B$7="",'Assignment Builder'!$B$7=IFERROR(INDEX('Category Dictionary'!$C$5:$C$135,MATCH($L1675,'Category Dictionary'!$D$5:$D$135,0)),"")),OR('Assignment Builder'!$B$8="",$D1675='Assignment Builder'!$B$8),OR('Assignment Builder'!$B$9="",$F1675='Assignment Builder'!$B$9),OR('Assignment Builder'!$B$10="",$O1675='Assignment Builder'!$B$10),OR('Assignment Builder'!$B$11="",$H1675&gt;='Assignment Builder'!$B$11),OR('Assignment Builder'!$B$12="",N($Q1675)&lt;='Assignment Builder'!$B$12)))</f>
        <v/>
      </c>
      <c r="T1675" s="23" t="n"/>
    </row>
    <row r="1676">
      <c r="A1676" s="23" t="n"/>
      <c r="B1676" s="23" t="n"/>
      <c r="C1676" s="24" t="n"/>
      <c r="D1676" s="15" t="n"/>
      <c r="E1676" s="23" t="n"/>
      <c r="F1676" s="15" t="n"/>
      <c r="G1676" s="23" t="n"/>
      <c r="H1676" s="25" t="n"/>
      <c r="I1676" s="15" t="n"/>
      <c r="J1676" s="26">
        <f>IF($A1676="","",LEN($C1676)-LEN(SUBSTITUTE($C1676,",",""))+1)</f>
        <v/>
      </c>
      <c r="K1676" s="26">
        <f>IF($A1676="","",SUMPRODUCT(--ISNUMBER(SEARCH('Category Dictionary'!$D$5:$D$135&amp;"",$C1676)),--('Category Dictionary'!$D$5:$D$135&lt;&gt;"")))</f>
        <v/>
      </c>
      <c r="L1676" s="27">
        <f>IF($A1676="","",TRIM(IF(ISERROR(FIND(",",$C1676)),$C1676,LEFT($C1676,FIND(",",$C1676)-1))))</f>
        <v/>
      </c>
      <c r="M1676" s="28">
        <f>IF($H1676="","",DATE(YEAR($H1676),MONTH($H1676),1))</f>
        <v/>
      </c>
      <c r="N1676" s="26">
        <f>IF($H1676="","",TODAY()-$H1676)</f>
        <v/>
      </c>
      <c r="O1676" s="15" t="n"/>
      <c r="P1676" s="15" t="n"/>
      <c r="Q1676" s="15" t="n"/>
      <c r="R1676" s="25" t="n"/>
      <c r="S1676" s="26">
        <f>IF($A1676="","",AND(OR('Assignment Builder'!$B$5="",$B1676='Assignment Builder'!$B$5),OR('Assignment Builder'!$B$6="",ISNUMBER(SEARCH('Assignment Builder'!$B$6,$C1676))),OR('Assignment Builder'!$B$7="",'Assignment Builder'!$B$7=IFERROR(INDEX('Category Dictionary'!$C$5:$C$135,MATCH($L1676,'Category Dictionary'!$D$5:$D$135,0)),"")),OR('Assignment Builder'!$B$8="",$D1676='Assignment Builder'!$B$8),OR('Assignment Builder'!$B$9="",$F1676='Assignment Builder'!$B$9),OR('Assignment Builder'!$B$10="",$O1676='Assignment Builder'!$B$10),OR('Assignment Builder'!$B$11="",$H1676&gt;='Assignment Builder'!$B$11),OR('Assignment Builder'!$B$12="",N($Q1676)&lt;='Assignment Builder'!$B$12)))</f>
        <v/>
      </c>
      <c r="T1676" s="23" t="n"/>
    </row>
    <row r="1677">
      <c r="A1677" s="23" t="n"/>
      <c r="B1677" s="23" t="n"/>
      <c r="C1677" s="24" t="n"/>
      <c r="D1677" s="15" t="n"/>
      <c r="E1677" s="23" t="n"/>
      <c r="F1677" s="15" t="n"/>
      <c r="G1677" s="23" t="n"/>
      <c r="H1677" s="25" t="n"/>
      <c r="I1677" s="15" t="n"/>
      <c r="J1677" s="26">
        <f>IF($A1677="","",LEN($C1677)-LEN(SUBSTITUTE($C1677,",",""))+1)</f>
        <v/>
      </c>
      <c r="K1677" s="26">
        <f>IF($A1677="","",SUMPRODUCT(--ISNUMBER(SEARCH('Category Dictionary'!$D$5:$D$135&amp;"",$C1677)),--('Category Dictionary'!$D$5:$D$135&lt;&gt;"")))</f>
        <v/>
      </c>
      <c r="L1677" s="27">
        <f>IF($A1677="","",TRIM(IF(ISERROR(FIND(",",$C1677)),$C1677,LEFT($C1677,FIND(",",$C1677)-1))))</f>
        <v/>
      </c>
      <c r="M1677" s="28">
        <f>IF($H1677="","",DATE(YEAR($H1677),MONTH($H1677),1))</f>
        <v/>
      </c>
      <c r="N1677" s="26">
        <f>IF($H1677="","",TODAY()-$H1677)</f>
        <v/>
      </c>
      <c r="O1677" s="15" t="n"/>
      <c r="P1677" s="15" t="n"/>
      <c r="Q1677" s="15" t="n"/>
      <c r="R1677" s="25" t="n"/>
      <c r="S1677" s="26">
        <f>IF($A1677="","",AND(OR('Assignment Builder'!$B$5="",$B1677='Assignment Builder'!$B$5),OR('Assignment Builder'!$B$6="",ISNUMBER(SEARCH('Assignment Builder'!$B$6,$C1677))),OR('Assignment Builder'!$B$7="",'Assignment Builder'!$B$7=IFERROR(INDEX('Category Dictionary'!$C$5:$C$135,MATCH($L1677,'Category Dictionary'!$D$5:$D$135,0)),"")),OR('Assignment Builder'!$B$8="",$D1677='Assignment Builder'!$B$8),OR('Assignment Builder'!$B$9="",$F1677='Assignment Builder'!$B$9),OR('Assignment Builder'!$B$10="",$O1677='Assignment Builder'!$B$10),OR('Assignment Builder'!$B$11="",$H1677&gt;='Assignment Builder'!$B$11),OR('Assignment Builder'!$B$12="",N($Q1677)&lt;='Assignment Builder'!$B$12)))</f>
        <v/>
      </c>
      <c r="T1677" s="23" t="n"/>
    </row>
    <row r="1678">
      <c r="A1678" s="23" t="n"/>
      <c r="B1678" s="23" t="n"/>
      <c r="C1678" s="24" t="n"/>
      <c r="D1678" s="15" t="n"/>
      <c r="E1678" s="23" t="n"/>
      <c r="F1678" s="15" t="n"/>
      <c r="G1678" s="23" t="n"/>
      <c r="H1678" s="25" t="n"/>
      <c r="I1678" s="15" t="n"/>
      <c r="J1678" s="26">
        <f>IF($A1678="","",LEN($C1678)-LEN(SUBSTITUTE($C1678,",",""))+1)</f>
        <v/>
      </c>
      <c r="K1678" s="26">
        <f>IF($A1678="","",SUMPRODUCT(--ISNUMBER(SEARCH('Category Dictionary'!$D$5:$D$135&amp;"",$C1678)),--('Category Dictionary'!$D$5:$D$135&lt;&gt;"")))</f>
        <v/>
      </c>
      <c r="L1678" s="27">
        <f>IF($A1678="","",TRIM(IF(ISERROR(FIND(",",$C1678)),$C1678,LEFT($C1678,FIND(",",$C1678)-1))))</f>
        <v/>
      </c>
      <c r="M1678" s="28">
        <f>IF($H1678="","",DATE(YEAR($H1678),MONTH($H1678),1))</f>
        <v/>
      </c>
      <c r="N1678" s="26">
        <f>IF($H1678="","",TODAY()-$H1678)</f>
        <v/>
      </c>
      <c r="O1678" s="15" t="n"/>
      <c r="P1678" s="15" t="n"/>
      <c r="Q1678" s="15" t="n"/>
      <c r="R1678" s="25" t="n"/>
      <c r="S1678" s="26">
        <f>IF($A1678="","",AND(OR('Assignment Builder'!$B$5="",$B1678='Assignment Builder'!$B$5),OR('Assignment Builder'!$B$6="",ISNUMBER(SEARCH('Assignment Builder'!$B$6,$C1678))),OR('Assignment Builder'!$B$7="",'Assignment Builder'!$B$7=IFERROR(INDEX('Category Dictionary'!$C$5:$C$135,MATCH($L1678,'Category Dictionary'!$D$5:$D$135,0)),"")),OR('Assignment Builder'!$B$8="",$D1678='Assignment Builder'!$B$8),OR('Assignment Builder'!$B$9="",$F1678='Assignment Builder'!$B$9),OR('Assignment Builder'!$B$10="",$O1678='Assignment Builder'!$B$10),OR('Assignment Builder'!$B$11="",$H1678&gt;='Assignment Builder'!$B$11),OR('Assignment Builder'!$B$12="",N($Q1678)&lt;='Assignment Builder'!$B$12)))</f>
        <v/>
      </c>
      <c r="T1678" s="23" t="n"/>
    </row>
    <row r="1679">
      <c r="A1679" s="23" t="n"/>
      <c r="B1679" s="23" t="n"/>
      <c r="C1679" s="24" t="n"/>
      <c r="D1679" s="15" t="n"/>
      <c r="E1679" s="23" t="n"/>
      <c r="F1679" s="15" t="n"/>
      <c r="G1679" s="23" t="n"/>
      <c r="H1679" s="25" t="n"/>
      <c r="I1679" s="15" t="n"/>
      <c r="J1679" s="26">
        <f>IF($A1679="","",LEN($C1679)-LEN(SUBSTITUTE($C1679,",",""))+1)</f>
        <v/>
      </c>
      <c r="K1679" s="26">
        <f>IF($A1679="","",SUMPRODUCT(--ISNUMBER(SEARCH('Category Dictionary'!$D$5:$D$135&amp;"",$C1679)),--('Category Dictionary'!$D$5:$D$135&lt;&gt;"")))</f>
        <v/>
      </c>
      <c r="L1679" s="27">
        <f>IF($A1679="","",TRIM(IF(ISERROR(FIND(",",$C1679)),$C1679,LEFT($C1679,FIND(",",$C1679)-1))))</f>
        <v/>
      </c>
      <c r="M1679" s="28">
        <f>IF($H1679="","",DATE(YEAR($H1679),MONTH($H1679),1))</f>
        <v/>
      </c>
      <c r="N1679" s="26">
        <f>IF($H1679="","",TODAY()-$H1679)</f>
        <v/>
      </c>
      <c r="O1679" s="15" t="n"/>
      <c r="P1679" s="15" t="n"/>
      <c r="Q1679" s="15" t="n"/>
      <c r="R1679" s="25" t="n"/>
      <c r="S1679" s="26">
        <f>IF($A1679="","",AND(OR('Assignment Builder'!$B$5="",$B1679='Assignment Builder'!$B$5),OR('Assignment Builder'!$B$6="",ISNUMBER(SEARCH('Assignment Builder'!$B$6,$C1679))),OR('Assignment Builder'!$B$7="",'Assignment Builder'!$B$7=IFERROR(INDEX('Category Dictionary'!$C$5:$C$135,MATCH($L1679,'Category Dictionary'!$D$5:$D$135,0)),"")),OR('Assignment Builder'!$B$8="",$D1679='Assignment Builder'!$B$8),OR('Assignment Builder'!$B$9="",$F1679='Assignment Builder'!$B$9),OR('Assignment Builder'!$B$10="",$O1679='Assignment Builder'!$B$10),OR('Assignment Builder'!$B$11="",$H1679&gt;='Assignment Builder'!$B$11),OR('Assignment Builder'!$B$12="",N($Q1679)&lt;='Assignment Builder'!$B$12)))</f>
        <v/>
      </c>
      <c r="T1679" s="23" t="n"/>
    </row>
    <row r="1680">
      <c r="A1680" s="23" t="n"/>
      <c r="B1680" s="23" t="n"/>
      <c r="C1680" s="24" t="n"/>
      <c r="D1680" s="15" t="n"/>
      <c r="E1680" s="23" t="n"/>
      <c r="F1680" s="15" t="n"/>
      <c r="G1680" s="23" t="n"/>
      <c r="H1680" s="25" t="n"/>
      <c r="I1680" s="15" t="n"/>
      <c r="J1680" s="26">
        <f>IF($A1680="","",LEN($C1680)-LEN(SUBSTITUTE($C1680,",",""))+1)</f>
        <v/>
      </c>
      <c r="K1680" s="26">
        <f>IF($A1680="","",SUMPRODUCT(--ISNUMBER(SEARCH('Category Dictionary'!$D$5:$D$135&amp;"",$C1680)),--('Category Dictionary'!$D$5:$D$135&lt;&gt;"")))</f>
        <v/>
      </c>
      <c r="L1680" s="27">
        <f>IF($A1680="","",TRIM(IF(ISERROR(FIND(",",$C1680)),$C1680,LEFT($C1680,FIND(",",$C1680)-1))))</f>
        <v/>
      </c>
      <c r="M1680" s="28">
        <f>IF($H1680="","",DATE(YEAR($H1680),MONTH($H1680),1))</f>
        <v/>
      </c>
      <c r="N1680" s="26">
        <f>IF($H1680="","",TODAY()-$H1680)</f>
        <v/>
      </c>
      <c r="O1680" s="15" t="n"/>
      <c r="P1680" s="15" t="n"/>
      <c r="Q1680" s="15" t="n"/>
      <c r="R1680" s="25" t="n"/>
      <c r="S1680" s="26">
        <f>IF($A1680="","",AND(OR('Assignment Builder'!$B$5="",$B1680='Assignment Builder'!$B$5),OR('Assignment Builder'!$B$6="",ISNUMBER(SEARCH('Assignment Builder'!$B$6,$C1680))),OR('Assignment Builder'!$B$7="",'Assignment Builder'!$B$7=IFERROR(INDEX('Category Dictionary'!$C$5:$C$135,MATCH($L1680,'Category Dictionary'!$D$5:$D$135,0)),"")),OR('Assignment Builder'!$B$8="",$D1680='Assignment Builder'!$B$8),OR('Assignment Builder'!$B$9="",$F1680='Assignment Builder'!$B$9),OR('Assignment Builder'!$B$10="",$O1680='Assignment Builder'!$B$10),OR('Assignment Builder'!$B$11="",$H1680&gt;='Assignment Builder'!$B$11),OR('Assignment Builder'!$B$12="",N($Q1680)&lt;='Assignment Builder'!$B$12)))</f>
        <v/>
      </c>
      <c r="T1680" s="23" t="n"/>
    </row>
    <row r="1681">
      <c r="A1681" s="23" t="n"/>
      <c r="B1681" s="23" t="n"/>
      <c r="C1681" s="24" t="n"/>
      <c r="D1681" s="15" t="n"/>
      <c r="E1681" s="23" t="n"/>
      <c r="F1681" s="15" t="n"/>
      <c r="G1681" s="23" t="n"/>
      <c r="H1681" s="25" t="n"/>
      <c r="I1681" s="15" t="n"/>
      <c r="J1681" s="26">
        <f>IF($A1681="","",LEN($C1681)-LEN(SUBSTITUTE($C1681,",",""))+1)</f>
        <v/>
      </c>
      <c r="K1681" s="26">
        <f>IF($A1681="","",SUMPRODUCT(--ISNUMBER(SEARCH('Category Dictionary'!$D$5:$D$135&amp;"",$C1681)),--('Category Dictionary'!$D$5:$D$135&lt;&gt;"")))</f>
        <v/>
      </c>
      <c r="L1681" s="27">
        <f>IF($A1681="","",TRIM(IF(ISERROR(FIND(",",$C1681)),$C1681,LEFT($C1681,FIND(",",$C1681)-1))))</f>
        <v/>
      </c>
      <c r="M1681" s="28">
        <f>IF($H1681="","",DATE(YEAR($H1681),MONTH($H1681),1))</f>
        <v/>
      </c>
      <c r="N1681" s="26">
        <f>IF($H1681="","",TODAY()-$H1681)</f>
        <v/>
      </c>
      <c r="O1681" s="15" t="n"/>
      <c r="P1681" s="15" t="n"/>
      <c r="Q1681" s="15" t="n"/>
      <c r="R1681" s="25" t="n"/>
      <c r="S1681" s="26">
        <f>IF($A1681="","",AND(OR('Assignment Builder'!$B$5="",$B1681='Assignment Builder'!$B$5),OR('Assignment Builder'!$B$6="",ISNUMBER(SEARCH('Assignment Builder'!$B$6,$C1681))),OR('Assignment Builder'!$B$7="",'Assignment Builder'!$B$7=IFERROR(INDEX('Category Dictionary'!$C$5:$C$135,MATCH($L1681,'Category Dictionary'!$D$5:$D$135,0)),"")),OR('Assignment Builder'!$B$8="",$D1681='Assignment Builder'!$B$8),OR('Assignment Builder'!$B$9="",$F1681='Assignment Builder'!$B$9),OR('Assignment Builder'!$B$10="",$O1681='Assignment Builder'!$B$10),OR('Assignment Builder'!$B$11="",$H1681&gt;='Assignment Builder'!$B$11),OR('Assignment Builder'!$B$12="",N($Q1681)&lt;='Assignment Builder'!$B$12)))</f>
        <v/>
      </c>
      <c r="T1681" s="23" t="n"/>
    </row>
    <row r="1682">
      <c r="A1682" s="23" t="n"/>
      <c r="B1682" s="23" t="n"/>
      <c r="C1682" s="24" t="n"/>
      <c r="D1682" s="15" t="n"/>
      <c r="E1682" s="23" t="n"/>
      <c r="F1682" s="15" t="n"/>
      <c r="G1682" s="23" t="n"/>
      <c r="H1682" s="25" t="n"/>
      <c r="I1682" s="15" t="n"/>
      <c r="J1682" s="26">
        <f>IF($A1682="","",LEN($C1682)-LEN(SUBSTITUTE($C1682,",",""))+1)</f>
        <v/>
      </c>
      <c r="K1682" s="26">
        <f>IF($A1682="","",SUMPRODUCT(--ISNUMBER(SEARCH('Category Dictionary'!$D$5:$D$135&amp;"",$C1682)),--('Category Dictionary'!$D$5:$D$135&lt;&gt;"")))</f>
        <v/>
      </c>
      <c r="L1682" s="27">
        <f>IF($A1682="","",TRIM(IF(ISERROR(FIND(",",$C1682)),$C1682,LEFT($C1682,FIND(",",$C1682)-1))))</f>
        <v/>
      </c>
      <c r="M1682" s="28">
        <f>IF($H1682="","",DATE(YEAR($H1682),MONTH($H1682),1))</f>
        <v/>
      </c>
      <c r="N1682" s="26">
        <f>IF($H1682="","",TODAY()-$H1682)</f>
        <v/>
      </c>
      <c r="O1682" s="15" t="n"/>
      <c r="P1682" s="15" t="n"/>
      <c r="Q1682" s="15" t="n"/>
      <c r="R1682" s="25" t="n"/>
      <c r="S1682" s="26">
        <f>IF($A1682="","",AND(OR('Assignment Builder'!$B$5="",$B1682='Assignment Builder'!$B$5),OR('Assignment Builder'!$B$6="",ISNUMBER(SEARCH('Assignment Builder'!$B$6,$C1682))),OR('Assignment Builder'!$B$7="",'Assignment Builder'!$B$7=IFERROR(INDEX('Category Dictionary'!$C$5:$C$135,MATCH($L1682,'Category Dictionary'!$D$5:$D$135,0)),"")),OR('Assignment Builder'!$B$8="",$D1682='Assignment Builder'!$B$8),OR('Assignment Builder'!$B$9="",$F1682='Assignment Builder'!$B$9),OR('Assignment Builder'!$B$10="",$O1682='Assignment Builder'!$B$10),OR('Assignment Builder'!$B$11="",$H1682&gt;='Assignment Builder'!$B$11),OR('Assignment Builder'!$B$12="",N($Q1682)&lt;='Assignment Builder'!$B$12)))</f>
        <v/>
      </c>
      <c r="T1682" s="23" t="n"/>
    </row>
    <row r="1683">
      <c r="A1683" s="23" t="n"/>
      <c r="B1683" s="23" t="n"/>
      <c r="C1683" s="24" t="n"/>
      <c r="D1683" s="15" t="n"/>
      <c r="E1683" s="23" t="n"/>
      <c r="F1683" s="15" t="n"/>
      <c r="G1683" s="23" t="n"/>
      <c r="H1683" s="25" t="n"/>
      <c r="I1683" s="15" t="n"/>
      <c r="J1683" s="26">
        <f>IF($A1683="","",LEN($C1683)-LEN(SUBSTITUTE($C1683,",",""))+1)</f>
        <v/>
      </c>
      <c r="K1683" s="26">
        <f>IF($A1683="","",SUMPRODUCT(--ISNUMBER(SEARCH('Category Dictionary'!$D$5:$D$135&amp;"",$C1683)),--('Category Dictionary'!$D$5:$D$135&lt;&gt;"")))</f>
        <v/>
      </c>
      <c r="L1683" s="27">
        <f>IF($A1683="","",TRIM(IF(ISERROR(FIND(",",$C1683)),$C1683,LEFT($C1683,FIND(",",$C1683)-1))))</f>
        <v/>
      </c>
      <c r="M1683" s="28">
        <f>IF($H1683="","",DATE(YEAR($H1683),MONTH($H1683),1))</f>
        <v/>
      </c>
      <c r="N1683" s="26">
        <f>IF($H1683="","",TODAY()-$H1683)</f>
        <v/>
      </c>
      <c r="O1683" s="15" t="n"/>
      <c r="P1683" s="15" t="n"/>
      <c r="Q1683" s="15" t="n"/>
      <c r="R1683" s="25" t="n"/>
      <c r="S1683" s="26">
        <f>IF($A1683="","",AND(OR('Assignment Builder'!$B$5="",$B1683='Assignment Builder'!$B$5),OR('Assignment Builder'!$B$6="",ISNUMBER(SEARCH('Assignment Builder'!$B$6,$C1683))),OR('Assignment Builder'!$B$7="",'Assignment Builder'!$B$7=IFERROR(INDEX('Category Dictionary'!$C$5:$C$135,MATCH($L1683,'Category Dictionary'!$D$5:$D$135,0)),"")),OR('Assignment Builder'!$B$8="",$D1683='Assignment Builder'!$B$8),OR('Assignment Builder'!$B$9="",$F1683='Assignment Builder'!$B$9),OR('Assignment Builder'!$B$10="",$O1683='Assignment Builder'!$B$10),OR('Assignment Builder'!$B$11="",$H1683&gt;='Assignment Builder'!$B$11),OR('Assignment Builder'!$B$12="",N($Q1683)&lt;='Assignment Builder'!$B$12)))</f>
        <v/>
      </c>
      <c r="T1683" s="23" t="n"/>
    </row>
    <row r="1684">
      <c r="A1684" s="23" t="n"/>
      <c r="B1684" s="23" t="n"/>
      <c r="C1684" s="24" t="n"/>
      <c r="D1684" s="15" t="n"/>
      <c r="E1684" s="23" t="n"/>
      <c r="F1684" s="15" t="n"/>
      <c r="G1684" s="23" t="n"/>
      <c r="H1684" s="25" t="n"/>
      <c r="I1684" s="15" t="n"/>
      <c r="J1684" s="26">
        <f>IF($A1684="","",LEN($C1684)-LEN(SUBSTITUTE($C1684,",",""))+1)</f>
        <v/>
      </c>
      <c r="K1684" s="26">
        <f>IF($A1684="","",SUMPRODUCT(--ISNUMBER(SEARCH('Category Dictionary'!$D$5:$D$135&amp;"",$C1684)),--('Category Dictionary'!$D$5:$D$135&lt;&gt;"")))</f>
        <v/>
      </c>
      <c r="L1684" s="27">
        <f>IF($A1684="","",TRIM(IF(ISERROR(FIND(",",$C1684)),$C1684,LEFT($C1684,FIND(",",$C1684)-1))))</f>
        <v/>
      </c>
      <c r="M1684" s="28">
        <f>IF($H1684="","",DATE(YEAR($H1684),MONTH($H1684),1))</f>
        <v/>
      </c>
      <c r="N1684" s="26">
        <f>IF($H1684="","",TODAY()-$H1684)</f>
        <v/>
      </c>
      <c r="O1684" s="15" t="n"/>
      <c r="P1684" s="15" t="n"/>
      <c r="Q1684" s="15" t="n"/>
      <c r="R1684" s="25" t="n"/>
      <c r="S1684" s="26">
        <f>IF($A1684="","",AND(OR('Assignment Builder'!$B$5="",$B1684='Assignment Builder'!$B$5),OR('Assignment Builder'!$B$6="",ISNUMBER(SEARCH('Assignment Builder'!$B$6,$C1684))),OR('Assignment Builder'!$B$7="",'Assignment Builder'!$B$7=IFERROR(INDEX('Category Dictionary'!$C$5:$C$135,MATCH($L1684,'Category Dictionary'!$D$5:$D$135,0)),"")),OR('Assignment Builder'!$B$8="",$D1684='Assignment Builder'!$B$8),OR('Assignment Builder'!$B$9="",$F1684='Assignment Builder'!$B$9),OR('Assignment Builder'!$B$10="",$O1684='Assignment Builder'!$B$10),OR('Assignment Builder'!$B$11="",$H1684&gt;='Assignment Builder'!$B$11),OR('Assignment Builder'!$B$12="",N($Q1684)&lt;='Assignment Builder'!$B$12)))</f>
        <v/>
      </c>
      <c r="T1684" s="23" t="n"/>
    </row>
    <row r="1685">
      <c r="A1685" s="23" t="n"/>
      <c r="B1685" s="23" t="n"/>
      <c r="C1685" s="24" t="n"/>
      <c r="D1685" s="15" t="n"/>
      <c r="E1685" s="23" t="n"/>
      <c r="F1685" s="15" t="n"/>
      <c r="G1685" s="23" t="n"/>
      <c r="H1685" s="25" t="n"/>
      <c r="I1685" s="15" t="n"/>
      <c r="J1685" s="26">
        <f>IF($A1685="","",LEN($C1685)-LEN(SUBSTITUTE($C1685,",",""))+1)</f>
        <v/>
      </c>
      <c r="K1685" s="26">
        <f>IF($A1685="","",SUMPRODUCT(--ISNUMBER(SEARCH('Category Dictionary'!$D$5:$D$135&amp;"",$C1685)),--('Category Dictionary'!$D$5:$D$135&lt;&gt;"")))</f>
        <v/>
      </c>
      <c r="L1685" s="27">
        <f>IF($A1685="","",TRIM(IF(ISERROR(FIND(",",$C1685)),$C1685,LEFT($C1685,FIND(",",$C1685)-1))))</f>
        <v/>
      </c>
      <c r="M1685" s="28">
        <f>IF($H1685="","",DATE(YEAR($H1685),MONTH($H1685),1))</f>
        <v/>
      </c>
      <c r="N1685" s="26">
        <f>IF($H1685="","",TODAY()-$H1685)</f>
        <v/>
      </c>
      <c r="O1685" s="15" t="n"/>
      <c r="P1685" s="15" t="n"/>
      <c r="Q1685" s="15" t="n"/>
      <c r="R1685" s="25" t="n"/>
      <c r="S1685" s="26">
        <f>IF($A1685="","",AND(OR('Assignment Builder'!$B$5="",$B1685='Assignment Builder'!$B$5),OR('Assignment Builder'!$B$6="",ISNUMBER(SEARCH('Assignment Builder'!$B$6,$C1685))),OR('Assignment Builder'!$B$7="",'Assignment Builder'!$B$7=IFERROR(INDEX('Category Dictionary'!$C$5:$C$135,MATCH($L1685,'Category Dictionary'!$D$5:$D$135,0)),"")),OR('Assignment Builder'!$B$8="",$D1685='Assignment Builder'!$B$8),OR('Assignment Builder'!$B$9="",$F1685='Assignment Builder'!$B$9),OR('Assignment Builder'!$B$10="",$O1685='Assignment Builder'!$B$10),OR('Assignment Builder'!$B$11="",$H1685&gt;='Assignment Builder'!$B$11),OR('Assignment Builder'!$B$12="",N($Q1685)&lt;='Assignment Builder'!$B$12)))</f>
        <v/>
      </c>
      <c r="T1685" s="23" t="n"/>
    </row>
    <row r="1686">
      <c r="A1686" s="23" t="n"/>
      <c r="B1686" s="23" t="n"/>
      <c r="C1686" s="24" t="n"/>
      <c r="D1686" s="15" t="n"/>
      <c r="E1686" s="23" t="n"/>
      <c r="F1686" s="15" t="n"/>
      <c r="G1686" s="23" t="n"/>
      <c r="H1686" s="25" t="n"/>
      <c r="I1686" s="15" t="n"/>
      <c r="J1686" s="26">
        <f>IF($A1686="","",LEN($C1686)-LEN(SUBSTITUTE($C1686,",",""))+1)</f>
        <v/>
      </c>
      <c r="K1686" s="26">
        <f>IF($A1686="","",SUMPRODUCT(--ISNUMBER(SEARCH('Category Dictionary'!$D$5:$D$135&amp;"",$C1686)),--('Category Dictionary'!$D$5:$D$135&lt;&gt;"")))</f>
        <v/>
      </c>
      <c r="L1686" s="27">
        <f>IF($A1686="","",TRIM(IF(ISERROR(FIND(",",$C1686)),$C1686,LEFT($C1686,FIND(",",$C1686)-1))))</f>
        <v/>
      </c>
      <c r="M1686" s="28">
        <f>IF($H1686="","",DATE(YEAR($H1686),MONTH($H1686),1))</f>
        <v/>
      </c>
      <c r="N1686" s="26">
        <f>IF($H1686="","",TODAY()-$H1686)</f>
        <v/>
      </c>
      <c r="O1686" s="15" t="n"/>
      <c r="P1686" s="15" t="n"/>
      <c r="Q1686" s="15" t="n"/>
      <c r="R1686" s="25" t="n"/>
      <c r="S1686" s="26">
        <f>IF($A1686="","",AND(OR('Assignment Builder'!$B$5="",$B1686='Assignment Builder'!$B$5),OR('Assignment Builder'!$B$6="",ISNUMBER(SEARCH('Assignment Builder'!$B$6,$C1686))),OR('Assignment Builder'!$B$7="",'Assignment Builder'!$B$7=IFERROR(INDEX('Category Dictionary'!$C$5:$C$135,MATCH($L1686,'Category Dictionary'!$D$5:$D$135,0)),"")),OR('Assignment Builder'!$B$8="",$D1686='Assignment Builder'!$B$8),OR('Assignment Builder'!$B$9="",$F1686='Assignment Builder'!$B$9),OR('Assignment Builder'!$B$10="",$O1686='Assignment Builder'!$B$10),OR('Assignment Builder'!$B$11="",$H1686&gt;='Assignment Builder'!$B$11),OR('Assignment Builder'!$B$12="",N($Q1686)&lt;='Assignment Builder'!$B$12)))</f>
        <v/>
      </c>
      <c r="T1686" s="23" t="n"/>
    </row>
    <row r="1687">
      <c r="A1687" s="23" t="n"/>
      <c r="B1687" s="23" t="n"/>
      <c r="C1687" s="24" t="n"/>
      <c r="D1687" s="15" t="n"/>
      <c r="E1687" s="23" t="n"/>
      <c r="F1687" s="15" t="n"/>
      <c r="G1687" s="23" t="n"/>
      <c r="H1687" s="25" t="n"/>
      <c r="I1687" s="15" t="n"/>
      <c r="J1687" s="26">
        <f>IF($A1687="","",LEN($C1687)-LEN(SUBSTITUTE($C1687,",",""))+1)</f>
        <v/>
      </c>
      <c r="K1687" s="26">
        <f>IF($A1687="","",SUMPRODUCT(--ISNUMBER(SEARCH('Category Dictionary'!$D$5:$D$135&amp;"",$C1687)),--('Category Dictionary'!$D$5:$D$135&lt;&gt;"")))</f>
        <v/>
      </c>
      <c r="L1687" s="27">
        <f>IF($A1687="","",TRIM(IF(ISERROR(FIND(",",$C1687)),$C1687,LEFT($C1687,FIND(",",$C1687)-1))))</f>
        <v/>
      </c>
      <c r="M1687" s="28">
        <f>IF($H1687="","",DATE(YEAR($H1687),MONTH($H1687),1))</f>
        <v/>
      </c>
      <c r="N1687" s="26">
        <f>IF($H1687="","",TODAY()-$H1687)</f>
        <v/>
      </c>
      <c r="O1687" s="15" t="n"/>
      <c r="P1687" s="15" t="n"/>
      <c r="Q1687" s="15" t="n"/>
      <c r="R1687" s="25" t="n"/>
      <c r="S1687" s="26">
        <f>IF($A1687="","",AND(OR('Assignment Builder'!$B$5="",$B1687='Assignment Builder'!$B$5),OR('Assignment Builder'!$B$6="",ISNUMBER(SEARCH('Assignment Builder'!$B$6,$C1687))),OR('Assignment Builder'!$B$7="",'Assignment Builder'!$B$7=IFERROR(INDEX('Category Dictionary'!$C$5:$C$135,MATCH($L1687,'Category Dictionary'!$D$5:$D$135,0)),"")),OR('Assignment Builder'!$B$8="",$D1687='Assignment Builder'!$B$8),OR('Assignment Builder'!$B$9="",$F1687='Assignment Builder'!$B$9),OR('Assignment Builder'!$B$10="",$O1687='Assignment Builder'!$B$10),OR('Assignment Builder'!$B$11="",$H1687&gt;='Assignment Builder'!$B$11),OR('Assignment Builder'!$B$12="",N($Q1687)&lt;='Assignment Builder'!$B$12)))</f>
        <v/>
      </c>
      <c r="T1687" s="23" t="n"/>
    </row>
    <row r="1688">
      <c r="A1688" s="23" t="n"/>
      <c r="B1688" s="23" t="n"/>
      <c r="C1688" s="24" t="n"/>
      <c r="D1688" s="15" t="n"/>
      <c r="E1688" s="23" t="n"/>
      <c r="F1688" s="15" t="n"/>
      <c r="G1688" s="23" t="n"/>
      <c r="H1688" s="25" t="n"/>
      <c r="I1688" s="15" t="n"/>
      <c r="J1688" s="26">
        <f>IF($A1688="","",LEN($C1688)-LEN(SUBSTITUTE($C1688,",",""))+1)</f>
        <v/>
      </c>
      <c r="K1688" s="26">
        <f>IF($A1688="","",SUMPRODUCT(--ISNUMBER(SEARCH('Category Dictionary'!$D$5:$D$135&amp;"",$C1688)),--('Category Dictionary'!$D$5:$D$135&lt;&gt;"")))</f>
        <v/>
      </c>
      <c r="L1688" s="27">
        <f>IF($A1688="","",TRIM(IF(ISERROR(FIND(",",$C1688)),$C1688,LEFT($C1688,FIND(",",$C1688)-1))))</f>
        <v/>
      </c>
      <c r="M1688" s="28">
        <f>IF($H1688="","",DATE(YEAR($H1688),MONTH($H1688),1))</f>
        <v/>
      </c>
      <c r="N1688" s="26">
        <f>IF($H1688="","",TODAY()-$H1688)</f>
        <v/>
      </c>
      <c r="O1688" s="15" t="n"/>
      <c r="P1688" s="15" t="n"/>
      <c r="Q1688" s="15" t="n"/>
      <c r="R1688" s="25" t="n"/>
      <c r="S1688" s="26">
        <f>IF($A1688="","",AND(OR('Assignment Builder'!$B$5="",$B1688='Assignment Builder'!$B$5),OR('Assignment Builder'!$B$6="",ISNUMBER(SEARCH('Assignment Builder'!$B$6,$C1688))),OR('Assignment Builder'!$B$7="",'Assignment Builder'!$B$7=IFERROR(INDEX('Category Dictionary'!$C$5:$C$135,MATCH($L1688,'Category Dictionary'!$D$5:$D$135,0)),"")),OR('Assignment Builder'!$B$8="",$D1688='Assignment Builder'!$B$8),OR('Assignment Builder'!$B$9="",$F1688='Assignment Builder'!$B$9),OR('Assignment Builder'!$B$10="",$O1688='Assignment Builder'!$B$10),OR('Assignment Builder'!$B$11="",$H1688&gt;='Assignment Builder'!$B$11),OR('Assignment Builder'!$B$12="",N($Q1688)&lt;='Assignment Builder'!$B$12)))</f>
        <v/>
      </c>
      <c r="T1688" s="23" t="n"/>
    </row>
    <row r="1689">
      <c r="A1689" s="23" t="n"/>
      <c r="B1689" s="23" t="n"/>
      <c r="C1689" s="24" t="n"/>
      <c r="D1689" s="15" t="n"/>
      <c r="E1689" s="23" t="n"/>
      <c r="F1689" s="15" t="n"/>
      <c r="G1689" s="23" t="n"/>
      <c r="H1689" s="25" t="n"/>
      <c r="I1689" s="15" t="n"/>
      <c r="J1689" s="26">
        <f>IF($A1689="","",LEN($C1689)-LEN(SUBSTITUTE($C1689,",",""))+1)</f>
        <v/>
      </c>
      <c r="K1689" s="26">
        <f>IF($A1689="","",SUMPRODUCT(--ISNUMBER(SEARCH('Category Dictionary'!$D$5:$D$135&amp;"",$C1689)),--('Category Dictionary'!$D$5:$D$135&lt;&gt;"")))</f>
        <v/>
      </c>
      <c r="L1689" s="27">
        <f>IF($A1689="","",TRIM(IF(ISERROR(FIND(",",$C1689)),$C1689,LEFT($C1689,FIND(",",$C1689)-1))))</f>
        <v/>
      </c>
      <c r="M1689" s="28">
        <f>IF($H1689="","",DATE(YEAR($H1689),MONTH($H1689),1))</f>
        <v/>
      </c>
      <c r="N1689" s="26">
        <f>IF($H1689="","",TODAY()-$H1689)</f>
        <v/>
      </c>
      <c r="O1689" s="15" t="n"/>
      <c r="P1689" s="15" t="n"/>
      <c r="Q1689" s="15" t="n"/>
      <c r="R1689" s="25" t="n"/>
      <c r="S1689" s="26">
        <f>IF($A1689="","",AND(OR('Assignment Builder'!$B$5="",$B1689='Assignment Builder'!$B$5),OR('Assignment Builder'!$B$6="",ISNUMBER(SEARCH('Assignment Builder'!$B$6,$C1689))),OR('Assignment Builder'!$B$7="",'Assignment Builder'!$B$7=IFERROR(INDEX('Category Dictionary'!$C$5:$C$135,MATCH($L1689,'Category Dictionary'!$D$5:$D$135,0)),"")),OR('Assignment Builder'!$B$8="",$D1689='Assignment Builder'!$B$8),OR('Assignment Builder'!$B$9="",$F1689='Assignment Builder'!$B$9),OR('Assignment Builder'!$B$10="",$O1689='Assignment Builder'!$B$10),OR('Assignment Builder'!$B$11="",$H1689&gt;='Assignment Builder'!$B$11),OR('Assignment Builder'!$B$12="",N($Q1689)&lt;='Assignment Builder'!$B$12)))</f>
        <v/>
      </c>
      <c r="T1689" s="23" t="n"/>
    </row>
    <row r="1690">
      <c r="A1690" s="23" t="n"/>
      <c r="B1690" s="23" t="n"/>
      <c r="C1690" s="24" t="n"/>
      <c r="D1690" s="15" t="n"/>
      <c r="E1690" s="23" t="n"/>
      <c r="F1690" s="15" t="n"/>
      <c r="G1690" s="23" t="n"/>
      <c r="H1690" s="25" t="n"/>
      <c r="I1690" s="15" t="n"/>
      <c r="J1690" s="26">
        <f>IF($A1690="","",LEN($C1690)-LEN(SUBSTITUTE($C1690,",",""))+1)</f>
        <v/>
      </c>
      <c r="K1690" s="26">
        <f>IF($A1690="","",SUMPRODUCT(--ISNUMBER(SEARCH('Category Dictionary'!$D$5:$D$135&amp;"",$C1690)),--('Category Dictionary'!$D$5:$D$135&lt;&gt;"")))</f>
        <v/>
      </c>
      <c r="L1690" s="27">
        <f>IF($A1690="","",TRIM(IF(ISERROR(FIND(",",$C1690)),$C1690,LEFT($C1690,FIND(",",$C1690)-1))))</f>
        <v/>
      </c>
      <c r="M1690" s="28">
        <f>IF($H1690="","",DATE(YEAR($H1690),MONTH($H1690),1))</f>
        <v/>
      </c>
      <c r="N1690" s="26">
        <f>IF($H1690="","",TODAY()-$H1690)</f>
        <v/>
      </c>
      <c r="O1690" s="15" t="n"/>
      <c r="P1690" s="15" t="n"/>
      <c r="Q1690" s="15" t="n"/>
      <c r="R1690" s="25" t="n"/>
      <c r="S1690" s="26">
        <f>IF($A1690="","",AND(OR('Assignment Builder'!$B$5="",$B1690='Assignment Builder'!$B$5),OR('Assignment Builder'!$B$6="",ISNUMBER(SEARCH('Assignment Builder'!$B$6,$C1690))),OR('Assignment Builder'!$B$7="",'Assignment Builder'!$B$7=IFERROR(INDEX('Category Dictionary'!$C$5:$C$135,MATCH($L1690,'Category Dictionary'!$D$5:$D$135,0)),"")),OR('Assignment Builder'!$B$8="",$D1690='Assignment Builder'!$B$8),OR('Assignment Builder'!$B$9="",$F1690='Assignment Builder'!$B$9),OR('Assignment Builder'!$B$10="",$O1690='Assignment Builder'!$B$10),OR('Assignment Builder'!$B$11="",$H1690&gt;='Assignment Builder'!$B$11),OR('Assignment Builder'!$B$12="",N($Q1690)&lt;='Assignment Builder'!$B$12)))</f>
        <v/>
      </c>
      <c r="T1690" s="23" t="n"/>
    </row>
    <row r="1691">
      <c r="A1691" s="23" t="n"/>
      <c r="B1691" s="23" t="n"/>
      <c r="C1691" s="24" t="n"/>
      <c r="D1691" s="15" t="n"/>
      <c r="E1691" s="23" t="n"/>
      <c r="F1691" s="15" t="n"/>
      <c r="G1691" s="23" t="n"/>
      <c r="H1691" s="25" t="n"/>
      <c r="I1691" s="15" t="n"/>
      <c r="J1691" s="26">
        <f>IF($A1691="","",LEN($C1691)-LEN(SUBSTITUTE($C1691,",",""))+1)</f>
        <v/>
      </c>
      <c r="K1691" s="26">
        <f>IF($A1691="","",SUMPRODUCT(--ISNUMBER(SEARCH('Category Dictionary'!$D$5:$D$135&amp;"",$C1691)),--('Category Dictionary'!$D$5:$D$135&lt;&gt;"")))</f>
        <v/>
      </c>
      <c r="L1691" s="27">
        <f>IF($A1691="","",TRIM(IF(ISERROR(FIND(",",$C1691)),$C1691,LEFT($C1691,FIND(",",$C1691)-1))))</f>
        <v/>
      </c>
      <c r="M1691" s="28">
        <f>IF($H1691="","",DATE(YEAR($H1691),MONTH($H1691),1))</f>
        <v/>
      </c>
      <c r="N1691" s="26">
        <f>IF($H1691="","",TODAY()-$H1691)</f>
        <v/>
      </c>
      <c r="O1691" s="15" t="n"/>
      <c r="P1691" s="15" t="n"/>
      <c r="Q1691" s="15" t="n"/>
      <c r="R1691" s="25" t="n"/>
      <c r="S1691" s="26">
        <f>IF($A1691="","",AND(OR('Assignment Builder'!$B$5="",$B1691='Assignment Builder'!$B$5),OR('Assignment Builder'!$B$6="",ISNUMBER(SEARCH('Assignment Builder'!$B$6,$C1691))),OR('Assignment Builder'!$B$7="",'Assignment Builder'!$B$7=IFERROR(INDEX('Category Dictionary'!$C$5:$C$135,MATCH($L1691,'Category Dictionary'!$D$5:$D$135,0)),"")),OR('Assignment Builder'!$B$8="",$D1691='Assignment Builder'!$B$8),OR('Assignment Builder'!$B$9="",$F1691='Assignment Builder'!$B$9),OR('Assignment Builder'!$B$10="",$O1691='Assignment Builder'!$B$10),OR('Assignment Builder'!$B$11="",$H1691&gt;='Assignment Builder'!$B$11),OR('Assignment Builder'!$B$12="",N($Q1691)&lt;='Assignment Builder'!$B$12)))</f>
        <v/>
      </c>
      <c r="T1691" s="23" t="n"/>
    </row>
    <row r="1692">
      <c r="A1692" s="23" t="n"/>
      <c r="B1692" s="23" t="n"/>
      <c r="C1692" s="24" t="n"/>
      <c r="D1692" s="15" t="n"/>
      <c r="E1692" s="23" t="n"/>
      <c r="F1692" s="15" t="n"/>
      <c r="G1692" s="23" t="n"/>
      <c r="H1692" s="25" t="n"/>
      <c r="I1692" s="15" t="n"/>
      <c r="J1692" s="26">
        <f>IF($A1692="","",LEN($C1692)-LEN(SUBSTITUTE($C1692,",",""))+1)</f>
        <v/>
      </c>
      <c r="K1692" s="26">
        <f>IF($A1692="","",SUMPRODUCT(--ISNUMBER(SEARCH('Category Dictionary'!$D$5:$D$135&amp;"",$C1692)),--('Category Dictionary'!$D$5:$D$135&lt;&gt;"")))</f>
        <v/>
      </c>
      <c r="L1692" s="27">
        <f>IF($A1692="","",TRIM(IF(ISERROR(FIND(",",$C1692)),$C1692,LEFT($C1692,FIND(",",$C1692)-1))))</f>
        <v/>
      </c>
      <c r="M1692" s="28">
        <f>IF($H1692="","",DATE(YEAR($H1692),MONTH($H1692),1))</f>
        <v/>
      </c>
      <c r="N1692" s="26">
        <f>IF($H1692="","",TODAY()-$H1692)</f>
        <v/>
      </c>
      <c r="O1692" s="15" t="n"/>
      <c r="P1692" s="15" t="n"/>
      <c r="Q1692" s="15" t="n"/>
      <c r="R1692" s="25" t="n"/>
      <c r="S1692" s="26">
        <f>IF($A1692="","",AND(OR('Assignment Builder'!$B$5="",$B1692='Assignment Builder'!$B$5),OR('Assignment Builder'!$B$6="",ISNUMBER(SEARCH('Assignment Builder'!$B$6,$C1692))),OR('Assignment Builder'!$B$7="",'Assignment Builder'!$B$7=IFERROR(INDEX('Category Dictionary'!$C$5:$C$135,MATCH($L1692,'Category Dictionary'!$D$5:$D$135,0)),"")),OR('Assignment Builder'!$B$8="",$D1692='Assignment Builder'!$B$8),OR('Assignment Builder'!$B$9="",$F1692='Assignment Builder'!$B$9),OR('Assignment Builder'!$B$10="",$O1692='Assignment Builder'!$B$10),OR('Assignment Builder'!$B$11="",$H1692&gt;='Assignment Builder'!$B$11),OR('Assignment Builder'!$B$12="",N($Q1692)&lt;='Assignment Builder'!$B$12)))</f>
        <v/>
      </c>
      <c r="T1692" s="23" t="n"/>
    </row>
    <row r="1693">
      <c r="A1693" s="23" t="n"/>
      <c r="B1693" s="23" t="n"/>
      <c r="C1693" s="24" t="n"/>
      <c r="D1693" s="15" t="n"/>
      <c r="E1693" s="23" t="n"/>
      <c r="F1693" s="15" t="n"/>
      <c r="G1693" s="23" t="n"/>
      <c r="H1693" s="25" t="n"/>
      <c r="I1693" s="15" t="n"/>
      <c r="J1693" s="26">
        <f>IF($A1693="","",LEN($C1693)-LEN(SUBSTITUTE($C1693,",",""))+1)</f>
        <v/>
      </c>
      <c r="K1693" s="26">
        <f>IF($A1693="","",SUMPRODUCT(--ISNUMBER(SEARCH('Category Dictionary'!$D$5:$D$135&amp;"",$C1693)),--('Category Dictionary'!$D$5:$D$135&lt;&gt;"")))</f>
        <v/>
      </c>
      <c r="L1693" s="27">
        <f>IF($A1693="","",TRIM(IF(ISERROR(FIND(",",$C1693)),$C1693,LEFT($C1693,FIND(",",$C1693)-1))))</f>
        <v/>
      </c>
      <c r="M1693" s="28">
        <f>IF($H1693="","",DATE(YEAR($H1693),MONTH($H1693),1))</f>
        <v/>
      </c>
      <c r="N1693" s="26">
        <f>IF($H1693="","",TODAY()-$H1693)</f>
        <v/>
      </c>
      <c r="O1693" s="15" t="n"/>
      <c r="P1693" s="15" t="n"/>
      <c r="Q1693" s="15" t="n"/>
      <c r="R1693" s="25" t="n"/>
      <c r="S1693" s="26">
        <f>IF($A1693="","",AND(OR('Assignment Builder'!$B$5="",$B1693='Assignment Builder'!$B$5),OR('Assignment Builder'!$B$6="",ISNUMBER(SEARCH('Assignment Builder'!$B$6,$C1693))),OR('Assignment Builder'!$B$7="",'Assignment Builder'!$B$7=IFERROR(INDEX('Category Dictionary'!$C$5:$C$135,MATCH($L1693,'Category Dictionary'!$D$5:$D$135,0)),"")),OR('Assignment Builder'!$B$8="",$D1693='Assignment Builder'!$B$8),OR('Assignment Builder'!$B$9="",$F1693='Assignment Builder'!$B$9),OR('Assignment Builder'!$B$10="",$O1693='Assignment Builder'!$B$10),OR('Assignment Builder'!$B$11="",$H1693&gt;='Assignment Builder'!$B$11),OR('Assignment Builder'!$B$12="",N($Q1693)&lt;='Assignment Builder'!$B$12)))</f>
        <v/>
      </c>
      <c r="T1693" s="23" t="n"/>
    </row>
    <row r="1694">
      <c r="A1694" s="23" t="n"/>
      <c r="B1694" s="23" t="n"/>
      <c r="C1694" s="24" t="n"/>
      <c r="D1694" s="15" t="n"/>
      <c r="E1694" s="23" t="n"/>
      <c r="F1694" s="15" t="n"/>
      <c r="G1694" s="23" t="n"/>
      <c r="H1694" s="25" t="n"/>
      <c r="I1694" s="15" t="n"/>
      <c r="J1694" s="26">
        <f>IF($A1694="","",LEN($C1694)-LEN(SUBSTITUTE($C1694,",",""))+1)</f>
        <v/>
      </c>
      <c r="K1694" s="26">
        <f>IF($A1694="","",SUMPRODUCT(--ISNUMBER(SEARCH('Category Dictionary'!$D$5:$D$135&amp;"",$C1694)),--('Category Dictionary'!$D$5:$D$135&lt;&gt;"")))</f>
        <v/>
      </c>
      <c r="L1694" s="27">
        <f>IF($A1694="","",TRIM(IF(ISERROR(FIND(",",$C1694)),$C1694,LEFT($C1694,FIND(",",$C1694)-1))))</f>
        <v/>
      </c>
      <c r="M1694" s="28">
        <f>IF($H1694="","",DATE(YEAR($H1694),MONTH($H1694),1))</f>
        <v/>
      </c>
      <c r="N1694" s="26">
        <f>IF($H1694="","",TODAY()-$H1694)</f>
        <v/>
      </c>
      <c r="O1694" s="15" t="n"/>
      <c r="P1694" s="15" t="n"/>
      <c r="Q1694" s="15" t="n"/>
      <c r="R1694" s="25" t="n"/>
      <c r="S1694" s="26">
        <f>IF($A1694="","",AND(OR('Assignment Builder'!$B$5="",$B1694='Assignment Builder'!$B$5),OR('Assignment Builder'!$B$6="",ISNUMBER(SEARCH('Assignment Builder'!$B$6,$C1694))),OR('Assignment Builder'!$B$7="",'Assignment Builder'!$B$7=IFERROR(INDEX('Category Dictionary'!$C$5:$C$135,MATCH($L1694,'Category Dictionary'!$D$5:$D$135,0)),"")),OR('Assignment Builder'!$B$8="",$D1694='Assignment Builder'!$B$8),OR('Assignment Builder'!$B$9="",$F1694='Assignment Builder'!$B$9),OR('Assignment Builder'!$B$10="",$O1694='Assignment Builder'!$B$10),OR('Assignment Builder'!$B$11="",$H1694&gt;='Assignment Builder'!$B$11),OR('Assignment Builder'!$B$12="",N($Q1694)&lt;='Assignment Builder'!$B$12)))</f>
        <v/>
      </c>
      <c r="T1694" s="23" t="n"/>
    </row>
    <row r="1695">
      <c r="A1695" s="23" t="n"/>
      <c r="B1695" s="23" t="n"/>
      <c r="C1695" s="24" t="n"/>
      <c r="D1695" s="15" t="n"/>
      <c r="E1695" s="23" t="n"/>
      <c r="F1695" s="15" t="n"/>
      <c r="G1695" s="23" t="n"/>
      <c r="H1695" s="25" t="n"/>
      <c r="I1695" s="15" t="n"/>
      <c r="J1695" s="26">
        <f>IF($A1695="","",LEN($C1695)-LEN(SUBSTITUTE($C1695,",",""))+1)</f>
        <v/>
      </c>
      <c r="K1695" s="26">
        <f>IF($A1695="","",SUMPRODUCT(--ISNUMBER(SEARCH('Category Dictionary'!$D$5:$D$135&amp;"",$C1695)),--('Category Dictionary'!$D$5:$D$135&lt;&gt;"")))</f>
        <v/>
      </c>
      <c r="L1695" s="27">
        <f>IF($A1695="","",TRIM(IF(ISERROR(FIND(",",$C1695)),$C1695,LEFT($C1695,FIND(",",$C1695)-1))))</f>
        <v/>
      </c>
      <c r="M1695" s="28">
        <f>IF($H1695="","",DATE(YEAR($H1695),MONTH($H1695),1))</f>
        <v/>
      </c>
      <c r="N1695" s="26">
        <f>IF($H1695="","",TODAY()-$H1695)</f>
        <v/>
      </c>
      <c r="O1695" s="15" t="n"/>
      <c r="P1695" s="15" t="n"/>
      <c r="Q1695" s="15" t="n"/>
      <c r="R1695" s="25" t="n"/>
      <c r="S1695" s="26">
        <f>IF($A1695="","",AND(OR('Assignment Builder'!$B$5="",$B1695='Assignment Builder'!$B$5),OR('Assignment Builder'!$B$6="",ISNUMBER(SEARCH('Assignment Builder'!$B$6,$C1695))),OR('Assignment Builder'!$B$7="",'Assignment Builder'!$B$7=IFERROR(INDEX('Category Dictionary'!$C$5:$C$135,MATCH($L1695,'Category Dictionary'!$D$5:$D$135,0)),"")),OR('Assignment Builder'!$B$8="",$D1695='Assignment Builder'!$B$8),OR('Assignment Builder'!$B$9="",$F1695='Assignment Builder'!$B$9),OR('Assignment Builder'!$B$10="",$O1695='Assignment Builder'!$B$10),OR('Assignment Builder'!$B$11="",$H1695&gt;='Assignment Builder'!$B$11),OR('Assignment Builder'!$B$12="",N($Q1695)&lt;='Assignment Builder'!$B$12)))</f>
        <v/>
      </c>
      <c r="T1695" s="23" t="n"/>
    </row>
    <row r="1696">
      <c r="A1696" s="23" t="n"/>
      <c r="B1696" s="23" t="n"/>
      <c r="C1696" s="24" t="n"/>
      <c r="D1696" s="15" t="n"/>
      <c r="E1696" s="23" t="n"/>
      <c r="F1696" s="15" t="n"/>
      <c r="G1696" s="23" t="n"/>
      <c r="H1696" s="25" t="n"/>
      <c r="I1696" s="15" t="n"/>
      <c r="J1696" s="26">
        <f>IF($A1696="","",LEN($C1696)-LEN(SUBSTITUTE($C1696,",",""))+1)</f>
        <v/>
      </c>
      <c r="K1696" s="26">
        <f>IF($A1696="","",SUMPRODUCT(--ISNUMBER(SEARCH('Category Dictionary'!$D$5:$D$135&amp;"",$C1696)),--('Category Dictionary'!$D$5:$D$135&lt;&gt;"")))</f>
        <v/>
      </c>
      <c r="L1696" s="27">
        <f>IF($A1696="","",TRIM(IF(ISERROR(FIND(",",$C1696)),$C1696,LEFT($C1696,FIND(",",$C1696)-1))))</f>
        <v/>
      </c>
      <c r="M1696" s="28">
        <f>IF($H1696="","",DATE(YEAR($H1696),MONTH($H1696),1))</f>
        <v/>
      </c>
      <c r="N1696" s="26">
        <f>IF($H1696="","",TODAY()-$H1696)</f>
        <v/>
      </c>
      <c r="O1696" s="15" t="n"/>
      <c r="P1696" s="15" t="n"/>
      <c r="Q1696" s="15" t="n"/>
      <c r="R1696" s="25" t="n"/>
      <c r="S1696" s="26">
        <f>IF($A1696="","",AND(OR('Assignment Builder'!$B$5="",$B1696='Assignment Builder'!$B$5),OR('Assignment Builder'!$B$6="",ISNUMBER(SEARCH('Assignment Builder'!$B$6,$C1696))),OR('Assignment Builder'!$B$7="",'Assignment Builder'!$B$7=IFERROR(INDEX('Category Dictionary'!$C$5:$C$135,MATCH($L1696,'Category Dictionary'!$D$5:$D$135,0)),"")),OR('Assignment Builder'!$B$8="",$D1696='Assignment Builder'!$B$8),OR('Assignment Builder'!$B$9="",$F1696='Assignment Builder'!$B$9),OR('Assignment Builder'!$B$10="",$O1696='Assignment Builder'!$B$10),OR('Assignment Builder'!$B$11="",$H1696&gt;='Assignment Builder'!$B$11),OR('Assignment Builder'!$B$12="",N($Q1696)&lt;='Assignment Builder'!$B$12)))</f>
        <v/>
      </c>
      <c r="T1696" s="23" t="n"/>
    </row>
    <row r="1697">
      <c r="A1697" s="23" t="n"/>
      <c r="B1697" s="23" t="n"/>
      <c r="C1697" s="24" t="n"/>
      <c r="D1697" s="15" t="n"/>
      <c r="E1697" s="23" t="n"/>
      <c r="F1697" s="15" t="n"/>
      <c r="G1697" s="23" t="n"/>
      <c r="H1697" s="25" t="n"/>
      <c r="I1697" s="15" t="n"/>
      <c r="J1697" s="26">
        <f>IF($A1697="","",LEN($C1697)-LEN(SUBSTITUTE($C1697,",",""))+1)</f>
        <v/>
      </c>
      <c r="K1697" s="26">
        <f>IF($A1697="","",SUMPRODUCT(--ISNUMBER(SEARCH('Category Dictionary'!$D$5:$D$135&amp;"",$C1697)),--('Category Dictionary'!$D$5:$D$135&lt;&gt;"")))</f>
        <v/>
      </c>
      <c r="L1697" s="27">
        <f>IF($A1697="","",TRIM(IF(ISERROR(FIND(",",$C1697)),$C1697,LEFT($C1697,FIND(",",$C1697)-1))))</f>
        <v/>
      </c>
      <c r="M1697" s="28">
        <f>IF($H1697="","",DATE(YEAR($H1697),MONTH($H1697),1))</f>
        <v/>
      </c>
      <c r="N1697" s="26">
        <f>IF($H1697="","",TODAY()-$H1697)</f>
        <v/>
      </c>
      <c r="O1697" s="15" t="n"/>
      <c r="P1697" s="15" t="n"/>
      <c r="Q1697" s="15" t="n"/>
      <c r="R1697" s="25" t="n"/>
      <c r="S1697" s="26">
        <f>IF($A1697="","",AND(OR('Assignment Builder'!$B$5="",$B1697='Assignment Builder'!$B$5),OR('Assignment Builder'!$B$6="",ISNUMBER(SEARCH('Assignment Builder'!$B$6,$C1697))),OR('Assignment Builder'!$B$7="",'Assignment Builder'!$B$7=IFERROR(INDEX('Category Dictionary'!$C$5:$C$135,MATCH($L1697,'Category Dictionary'!$D$5:$D$135,0)),"")),OR('Assignment Builder'!$B$8="",$D1697='Assignment Builder'!$B$8),OR('Assignment Builder'!$B$9="",$F1697='Assignment Builder'!$B$9),OR('Assignment Builder'!$B$10="",$O1697='Assignment Builder'!$B$10),OR('Assignment Builder'!$B$11="",$H1697&gt;='Assignment Builder'!$B$11),OR('Assignment Builder'!$B$12="",N($Q1697)&lt;='Assignment Builder'!$B$12)))</f>
        <v/>
      </c>
      <c r="T1697" s="23" t="n"/>
    </row>
    <row r="1698">
      <c r="A1698" s="23" t="n"/>
      <c r="B1698" s="23" t="n"/>
      <c r="C1698" s="24" t="n"/>
      <c r="D1698" s="15" t="n"/>
      <c r="E1698" s="23" t="n"/>
      <c r="F1698" s="15" t="n"/>
      <c r="G1698" s="23" t="n"/>
      <c r="H1698" s="25" t="n"/>
      <c r="I1698" s="15" t="n"/>
      <c r="J1698" s="26">
        <f>IF($A1698="","",LEN($C1698)-LEN(SUBSTITUTE($C1698,",",""))+1)</f>
        <v/>
      </c>
      <c r="K1698" s="26">
        <f>IF($A1698="","",SUMPRODUCT(--ISNUMBER(SEARCH('Category Dictionary'!$D$5:$D$135&amp;"",$C1698)),--('Category Dictionary'!$D$5:$D$135&lt;&gt;"")))</f>
        <v/>
      </c>
      <c r="L1698" s="27">
        <f>IF($A1698="","",TRIM(IF(ISERROR(FIND(",",$C1698)),$C1698,LEFT($C1698,FIND(",",$C1698)-1))))</f>
        <v/>
      </c>
      <c r="M1698" s="28">
        <f>IF($H1698="","",DATE(YEAR($H1698),MONTH($H1698),1))</f>
        <v/>
      </c>
      <c r="N1698" s="26">
        <f>IF($H1698="","",TODAY()-$H1698)</f>
        <v/>
      </c>
      <c r="O1698" s="15" t="n"/>
      <c r="P1698" s="15" t="n"/>
      <c r="Q1698" s="15" t="n"/>
      <c r="R1698" s="25" t="n"/>
      <c r="S1698" s="26">
        <f>IF($A1698="","",AND(OR('Assignment Builder'!$B$5="",$B1698='Assignment Builder'!$B$5),OR('Assignment Builder'!$B$6="",ISNUMBER(SEARCH('Assignment Builder'!$B$6,$C1698))),OR('Assignment Builder'!$B$7="",'Assignment Builder'!$B$7=IFERROR(INDEX('Category Dictionary'!$C$5:$C$135,MATCH($L1698,'Category Dictionary'!$D$5:$D$135,0)),"")),OR('Assignment Builder'!$B$8="",$D1698='Assignment Builder'!$B$8),OR('Assignment Builder'!$B$9="",$F1698='Assignment Builder'!$B$9),OR('Assignment Builder'!$B$10="",$O1698='Assignment Builder'!$B$10),OR('Assignment Builder'!$B$11="",$H1698&gt;='Assignment Builder'!$B$11),OR('Assignment Builder'!$B$12="",N($Q1698)&lt;='Assignment Builder'!$B$12)))</f>
        <v/>
      </c>
      <c r="T1698" s="23" t="n"/>
    </row>
    <row r="1699">
      <c r="A1699" s="23" t="n"/>
      <c r="B1699" s="23" t="n"/>
      <c r="C1699" s="24" t="n"/>
      <c r="D1699" s="15" t="n"/>
      <c r="E1699" s="23" t="n"/>
      <c r="F1699" s="15" t="n"/>
      <c r="G1699" s="23" t="n"/>
      <c r="H1699" s="25" t="n"/>
      <c r="I1699" s="15" t="n"/>
      <c r="J1699" s="26">
        <f>IF($A1699="","",LEN($C1699)-LEN(SUBSTITUTE($C1699,",",""))+1)</f>
        <v/>
      </c>
      <c r="K1699" s="26">
        <f>IF($A1699="","",SUMPRODUCT(--ISNUMBER(SEARCH('Category Dictionary'!$D$5:$D$135&amp;"",$C1699)),--('Category Dictionary'!$D$5:$D$135&lt;&gt;"")))</f>
        <v/>
      </c>
      <c r="L1699" s="27">
        <f>IF($A1699="","",TRIM(IF(ISERROR(FIND(",",$C1699)),$C1699,LEFT($C1699,FIND(",",$C1699)-1))))</f>
        <v/>
      </c>
      <c r="M1699" s="28">
        <f>IF($H1699="","",DATE(YEAR($H1699),MONTH($H1699),1))</f>
        <v/>
      </c>
      <c r="N1699" s="26">
        <f>IF($H1699="","",TODAY()-$H1699)</f>
        <v/>
      </c>
      <c r="O1699" s="15" t="n"/>
      <c r="P1699" s="15" t="n"/>
      <c r="Q1699" s="15" t="n"/>
      <c r="R1699" s="25" t="n"/>
      <c r="S1699" s="26">
        <f>IF($A1699="","",AND(OR('Assignment Builder'!$B$5="",$B1699='Assignment Builder'!$B$5),OR('Assignment Builder'!$B$6="",ISNUMBER(SEARCH('Assignment Builder'!$B$6,$C1699))),OR('Assignment Builder'!$B$7="",'Assignment Builder'!$B$7=IFERROR(INDEX('Category Dictionary'!$C$5:$C$135,MATCH($L1699,'Category Dictionary'!$D$5:$D$135,0)),"")),OR('Assignment Builder'!$B$8="",$D1699='Assignment Builder'!$B$8),OR('Assignment Builder'!$B$9="",$F1699='Assignment Builder'!$B$9),OR('Assignment Builder'!$B$10="",$O1699='Assignment Builder'!$B$10),OR('Assignment Builder'!$B$11="",$H1699&gt;='Assignment Builder'!$B$11),OR('Assignment Builder'!$B$12="",N($Q1699)&lt;='Assignment Builder'!$B$12)))</f>
        <v/>
      </c>
      <c r="T1699" s="23" t="n"/>
    </row>
    <row r="1700">
      <c r="A1700" s="23" t="n"/>
      <c r="B1700" s="23" t="n"/>
      <c r="C1700" s="24" t="n"/>
      <c r="D1700" s="15" t="n"/>
      <c r="E1700" s="23" t="n"/>
      <c r="F1700" s="15" t="n"/>
      <c r="G1700" s="23" t="n"/>
      <c r="H1700" s="25" t="n"/>
      <c r="I1700" s="15" t="n"/>
      <c r="J1700" s="26">
        <f>IF($A1700="","",LEN($C1700)-LEN(SUBSTITUTE($C1700,",",""))+1)</f>
        <v/>
      </c>
      <c r="K1700" s="26">
        <f>IF($A1700="","",SUMPRODUCT(--ISNUMBER(SEARCH('Category Dictionary'!$D$5:$D$135&amp;"",$C1700)),--('Category Dictionary'!$D$5:$D$135&lt;&gt;"")))</f>
        <v/>
      </c>
      <c r="L1700" s="27">
        <f>IF($A1700="","",TRIM(IF(ISERROR(FIND(",",$C1700)),$C1700,LEFT($C1700,FIND(",",$C1700)-1))))</f>
        <v/>
      </c>
      <c r="M1700" s="28">
        <f>IF($H1700="","",DATE(YEAR($H1700),MONTH($H1700),1))</f>
        <v/>
      </c>
      <c r="N1700" s="26">
        <f>IF($H1700="","",TODAY()-$H1700)</f>
        <v/>
      </c>
      <c r="O1700" s="15" t="n"/>
      <c r="P1700" s="15" t="n"/>
      <c r="Q1700" s="15" t="n"/>
      <c r="R1700" s="25" t="n"/>
      <c r="S1700" s="26">
        <f>IF($A1700="","",AND(OR('Assignment Builder'!$B$5="",$B1700='Assignment Builder'!$B$5),OR('Assignment Builder'!$B$6="",ISNUMBER(SEARCH('Assignment Builder'!$B$6,$C1700))),OR('Assignment Builder'!$B$7="",'Assignment Builder'!$B$7=IFERROR(INDEX('Category Dictionary'!$C$5:$C$135,MATCH($L1700,'Category Dictionary'!$D$5:$D$135,0)),"")),OR('Assignment Builder'!$B$8="",$D1700='Assignment Builder'!$B$8),OR('Assignment Builder'!$B$9="",$F1700='Assignment Builder'!$B$9),OR('Assignment Builder'!$B$10="",$O1700='Assignment Builder'!$B$10),OR('Assignment Builder'!$B$11="",$H1700&gt;='Assignment Builder'!$B$11),OR('Assignment Builder'!$B$12="",N($Q1700)&lt;='Assignment Builder'!$B$12)))</f>
        <v/>
      </c>
      <c r="T1700" s="23" t="n"/>
    </row>
    <row r="1701">
      <c r="A1701" s="23" t="n"/>
      <c r="B1701" s="23" t="n"/>
      <c r="C1701" s="24" t="n"/>
      <c r="D1701" s="15" t="n"/>
      <c r="E1701" s="23" t="n"/>
      <c r="F1701" s="15" t="n"/>
      <c r="G1701" s="23" t="n"/>
      <c r="H1701" s="25" t="n"/>
      <c r="I1701" s="15" t="n"/>
      <c r="J1701" s="26">
        <f>IF($A1701="","",LEN($C1701)-LEN(SUBSTITUTE($C1701,",",""))+1)</f>
        <v/>
      </c>
      <c r="K1701" s="26">
        <f>IF($A1701="","",SUMPRODUCT(--ISNUMBER(SEARCH('Category Dictionary'!$D$5:$D$135&amp;"",$C1701)),--('Category Dictionary'!$D$5:$D$135&lt;&gt;"")))</f>
        <v/>
      </c>
      <c r="L1701" s="27">
        <f>IF($A1701="","",TRIM(IF(ISERROR(FIND(",",$C1701)),$C1701,LEFT($C1701,FIND(",",$C1701)-1))))</f>
        <v/>
      </c>
      <c r="M1701" s="28">
        <f>IF($H1701="","",DATE(YEAR($H1701),MONTH($H1701),1))</f>
        <v/>
      </c>
      <c r="N1701" s="26">
        <f>IF($H1701="","",TODAY()-$H1701)</f>
        <v/>
      </c>
      <c r="O1701" s="15" t="n"/>
      <c r="P1701" s="15" t="n"/>
      <c r="Q1701" s="15" t="n"/>
      <c r="R1701" s="25" t="n"/>
      <c r="S1701" s="26">
        <f>IF($A1701="","",AND(OR('Assignment Builder'!$B$5="",$B1701='Assignment Builder'!$B$5),OR('Assignment Builder'!$B$6="",ISNUMBER(SEARCH('Assignment Builder'!$B$6,$C1701))),OR('Assignment Builder'!$B$7="",'Assignment Builder'!$B$7=IFERROR(INDEX('Category Dictionary'!$C$5:$C$135,MATCH($L1701,'Category Dictionary'!$D$5:$D$135,0)),"")),OR('Assignment Builder'!$B$8="",$D1701='Assignment Builder'!$B$8),OR('Assignment Builder'!$B$9="",$F1701='Assignment Builder'!$B$9),OR('Assignment Builder'!$B$10="",$O1701='Assignment Builder'!$B$10),OR('Assignment Builder'!$B$11="",$H1701&gt;='Assignment Builder'!$B$11),OR('Assignment Builder'!$B$12="",N($Q1701)&lt;='Assignment Builder'!$B$12)))</f>
        <v/>
      </c>
      <c r="T1701" s="23" t="n"/>
    </row>
    <row r="1702">
      <c r="A1702" s="23" t="n"/>
      <c r="B1702" s="23" t="n"/>
      <c r="C1702" s="24" t="n"/>
      <c r="D1702" s="15" t="n"/>
      <c r="E1702" s="23" t="n"/>
      <c r="F1702" s="15" t="n"/>
      <c r="G1702" s="23" t="n"/>
      <c r="H1702" s="25" t="n"/>
      <c r="I1702" s="15" t="n"/>
      <c r="J1702" s="26">
        <f>IF($A1702="","",LEN($C1702)-LEN(SUBSTITUTE($C1702,",",""))+1)</f>
        <v/>
      </c>
      <c r="K1702" s="26">
        <f>IF($A1702="","",SUMPRODUCT(--ISNUMBER(SEARCH('Category Dictionary'!$D$5:$D$135&amp;"",$C1702)),--('Category Dictionary'!$D$5:$D$135&lt;&gt;"")))</f>
        <v/>
      </c>
      <c r="L1702" s="27">
        <f>IF($A1702="","",TRIM(IF(ISERROR(FIND(",",$C1702)),$C1702,LEFT($C1702,FIND(",",$C1702)-1))))</f>
        <v/>
      </c>
      <c r="M1702" s="28">
        <f>IF($H1702="","",DATE(YEAR($H1702),MONTH($H1702),1))</f>
        <v/>
      </c>
      <c r="N1702" s="26">
        <f>IF($H1702="","",TODAY()-$H1702)</f>
        <v/>
      </c>
      <c r="O1702" s="15" t="n"/>
      <c r="P1702" s="15" t="n"/>
      <c r="Q1702" s="15" t="n"/>
      <c r="R1702" s="25" t="n"/>
      <c r="S1702" s="26">
        <f>IF($A1702="","",AND(OR('Assignment Builder'!$B$5="",$B1702='Assignment Builder'!$B$5),OR('Assignment Builder'!$B$6="",ISNUMBER(SEARCH('Assignment Builder'!$B$6,$C1702))),OR('Assignment Builder'!$B$7="",'Assignment Builder'!$B$7=IFERROR(INDEX('Category Dictionary'!$C$5:$C$135,MATCH($L1702,'Category Dictionary'!$D$5:$D$135,0)),"")),OR('Assignment Builder'!$B$8="",$D1702='Assignment Builder'!$B$8),OR('Assignment Builder'!$B$9="",$F1702='Assignment Builder'!$B$9),OR('Assignment Builder'!$B$10="",$O1702='Assignment Builder'!$B$10),OR('Assignment Builder'!$B$11="",$H1702&gt;='Assignment Builder'!$B$11),OR('Assignment Builder'!$B$12="",N($Q1702)&lt;='Assignment Builder'!$B$12)))</f>
        <v/>
      </c>
      <c r="T1702" s="23" t="n"/>
    </row>
    <row r="1703">
      <c r="A1703" s="23" t="n"/>
      <c r="B1703" s="23" t="n"/>
      <c r="C1703" s="24" t="n"/>
      <c r="D1703" s="15" t="n"/>
      <c r="E1703" s="23" t="n"/>
      <c r="F1703" s="15" t="n"/>
      <c r="G1703" s="23" t="n"/>
      <c r="H1703" s="25" t="n"/>
      <c r="I1703" s="15" t="n"/>
      <c r="J1703" s="26">
        <f>IF($A1703="","",LEN($C1703)-LEN(SUBSTITUTE($C1703,",",""))+1)</f>
        <v/>
      </c>
      <c r="K1703" s="26">
        <f>IF($A1703="","",SUMPRODUCT(--ISNUMBER(SEARCH('Category Dictionary'!$D$5:$D$135&amp;"",$C1703)),--('Category Dictionary'!$D$5:$D$135&lt;&gt;"")))</f>
        <v/>
      </c>
      <c r="L1703" s="27">
        <f>IF($A1703="","",TRIM(IF(ISERROR(FIND(",",$C1703)),$C1703,LEFT($C1703,FIND(",",$C1703)-1))))</f>
        <v/>
      </c>
      <c r="M1703" s="28">
        <f>IF($H1703="","",DATE(YEAR($H1703),MONTH($H1703),1))</f>
        <v/>
      </c>
      <c r="N1703" s="26">
        <f>IF($H1703="","",TODAY()-$H1703)</f>
        <v/>
      </c>
      <c r="O1703" s="15" t="n"/>
      <c r="P1703" s="15" t="n"/>
      <c r="Q1703" s="15" t="n"/>
      <c r="R1703" s="25" t="n"/>
      <c r="S1703" s="26">
        <f>IF($A1703="","",AND(OR('Assignment Builder'!$B$5="",$B1703='Assignment Builder'!$B$5),OR('Assignment Builder'!$B$6="",ISNUMBER(SEARCH('Assignment Builder'!$B$6,$C1703))),OR('Assignment Builder'!$B$7="",'Assignment Builder'!$B$7=IFERROR(INDEX('Category Dictionary'!$C$5:$C$135,MATCH($L1703,'Category Dictionary'!$D$5:$D$135,0)),"")),OR('Assignment Builder'!$B$8="",$D1703='Assignment Builder'!$B$8),OR('Assignment Builder'!$B$9="",$F1703='Assignment Builder'!$B$9),OR('Assignment Builder'!$B$10="",$O1703='Assignment Builder'!$B$10),OR('Assignment Builder'!$B$11="",$H1703&gt;='Assignment Builder'!$B$11),OR('Assignment Builder'!$B$12="",N($Q1703)&lt;='Assignment Builder'!$B$12)))</f>
        <v/>
      </c>
      <c r="T1703" s="23" t="n"/>
    </row>
    <row r="1704">
      <c r="A1704" s="23" t="n"/>
      <c r="B1704" s="23" t="n"/>
      <c r="C1704" s="24" t="n"/>
      <c r="D1704" s="15" t="n"/>
      <c r="E1704" s="23" t="n"/>
      <c r="F1704" s="15" t="n"/>
      <c r="G1704" s="23" t="n"/>
      <c r="H1704" s="25" t="n"/>
      <c r="I1704" s="15" t="n"/>
      <c r="J1704" s="26">
        <f>IF($A1704="","",LEN($C1704)-LEN(SUBSTITUTE($C1704,",",""))+1)</f>
        <v/>
      </c>
      <c r="K1704" s="26">
        <f>IF($A1704="","",SUMPRODUCT(--ISNUMBER(SEARCH('Category Dictionary'!$D$5:$D$135&amp;"",$C1704)),--('Category Dictionary'!$D$5:$D$135&lt;&gt;"")))</f>
        <v/>
      </c>
      <c r="L1704" s="27">
        <f>IF($A1704="","",TRIM(IF(ISERROR(FIND(",",$C1704)),$C1704,LEFT($C1704,FIND(",",$C1704)-1))))</f>
        <v/>
      </c>
      <c r="M1704" s="28">
        <f>IF($H1704="","",DATE(YEAR($H1704),MONTH($H1704),1))</f>
        <v/>
      </c>
      <c r="N1704" s="26">
        <f>IF($H1704="","",TODAY()-$H1704)</f>
        <v/>
      </c>
      <c r="O1704" s="15" t="n"/>
      <c r="P1704" s="15" t="n"/>
      <c r="Q1704" s="15" t="n"/>
      <c r="R1704" s="25" t="n"/>
      <c r="S1704" s="26">
        <f>IF($A1704="","",AND(OR('Assignment Builder'!$B$5="",$B1704='Assignment Builder'!$B$5),OR('Assignment Builder'!$B$6="",ISNUMBER(SEARCH('Assignment Builder'!$B$6,$C1704))),OR('Assignment Builder'!$B$7="",'Assignment Builder'!$B$7=IFERROR(INDEX('Category Dictionary'!$C$5:$C$135,MATCH($L1704,'Category Dictionary'!$D$5:$D$135,0)),"")),OR('Assignment Builder'!$B$8="",$D1704='Assignment Builder'!$B$8),OR('Assignment Builder'!$B$9="",$F1704='Assignment Builder'!$B$9),OR('Assignment Builder'!$B$10="",$O1704='Assignment Builder'!$B$10),OR('Assignment Builder'!$B$11="",$H1704&gt;='Assignment Builder'!$B$11),OR('Assignment Builder'!$B$12="",N($Q1704)&lt;='Assignment Builder'!$B$12)))</f>
        <v/>
      </c>
      <c r="T1704" s="23" t="n"/>
    </row>
    <row r="1705">
      <c r="A1705" s="23" t="n"/>
      <c r="B1705" s="23" t="n"/>
      <c r="C1705" s="24" t="n"/>
      <c r="D1705" s="15" t="n"/>
      <c r="E1705" s="23" t="n"/>
      <c r="F1705" s="15" t="n"/>
      <c r="G1705" s="23" t="n"/>
      <c r="H1705" s="25" t="n"/>
      <c r="I1705" s="15" t="n"/>
      <c r="J1705" s="26">
        <f>IF($A1705="","",LEN($C1705)-LEN(SUBSTITUTE($C1705,",",""))+1)</f>
        <v/>
      </c>
      <c r="K1705" s="26">
        <f>IF($A1705="","",SUMPRODUCT(--ISNUMBER(SEARCH('Category Dictionary'!$D$5:$D$135&amp;"",$C1705)),--('Category Dictionary'!$D$5:$D$135&lt;&gt;"")))</f>
        <v/>
      </c>
      <c r="L1705" s="27">
        <f>IF($A1705="","",TRIM(IF(ISERROR(FIND(",",$C1705)),$C1705,LEFT($C1705,FIND(",",$C1705)-1))))</f>
        <v/>
      </c>
      <c r="M1705" s="28">
        <f>IF($H1705="","",DATE(YEAR($H1705),MONTH($H1705),1))</f>
        <v/>
      </c>
      <c r="N1705" s="26">
        <f>IF($H1705="","",TODAY()-$H1705)</f>
        <v/>
      </c>
      <c r="O1705" s="15" t="n"/>
      <c r="P1705" s="15" t="n"/>
      <c r="Q1705" s="15" t="n"/>
      <c r="R1705" s="25" t="n"/>
      <c r="S1705" s="26">
        <f>IF($A1705="","",AND(OR('Assignment Builder'!$B$5="",$B1705='Assignment Builder'!$B$5),OR('Assignment Builder'!$B$6="",ISNUMBER(SEARCH('Assignment Builder'!$B$6,$C1705))),OR('Assignment Builder'!$B$7="",'Assignment Builder'!$B$7=IFERROR(INDEX('Category Dictionary'!$C$5:$C$135,MATCH($L1705,'Category Dictionary'!$D$5:$D$135,0)),"")),OR('Assignment Builder'!$B$8="",$D1705='Assignment Builder'!$B$8),OR('Assignment Builder'!$B$9="",$F1705='Assignment Builder'!$B$9),OR('Assignment Builder'!$B$10="",$O1705='Assignment Builder'!$B$10),OR('Assignment Builder'!$B$11="",$H1705&gt;='Assignment Builder'!$B$11),OR('Assignment Builder'!$B$12="",N($Q1705)&lt;='Assignment Builder'!$B$12)))</f>
        <v/>
      </c>
      <c r="T1705" s="23" t="n"/>
    </row>
    <row r="1706">
      <c r="A1706" s="23" t="n"/>
      <c r="B1706" s="23" t="n"/>
      <c r="C1706" s="24" t="n"/>
      <c r="D1706" s="15" t="n"/>
      <c r="E1706" s="23" t="n"/>
      <c r="F1706" s="15" t="n"/>
      <c r="G1706" s="23" t="n"/>
      <c r="H1706" s="25" t="n"/>
      <c r="I1706" s="15" t="n"/>
      <c r="J1706" s="26">
        <f>IF($A1706="","",LEN($C1706)-LEN(SUBSTITUTE($C1706,",",""))+1)</f>
        <v/>
      </c>
      <c r="K1706" s="26">
        <f>IF($A1706="","",SUMPRODUCT(--ISNUMBER(SEARCH('Category Dictionary'!$D$5:$D$135&amp;"",$C1706)),--('Category Dictionary'!$D$5:$D$135&lt;&gt;"")))</f>
        <v/>
      </c>
      <c r="L1706" s="27">
        <f>IF($A1706="","",TRIM(IF(ISERROR(FIND(",",$C1706)),$C1706,LEFT($C1706,FIND(",",$C1706)-1))))</f>
        <v/>
      </c>
      <c r="M1706" s="28">
        <f>IF($H1706="","",DATE(YEAR($H1706),MONTH($H1706),1))</f>
        <v/>
      </c>
      <c r="N1706" s="26">
        <f>IF($H1706="","",TODAY()-$H1706)</f>
        <v/>
      </c>
      <c r="O1706" s="15" t="n"/>
      <c r="P1706" s="15" t="n"/>
      <c r="Q1706" s="15" t="n"/>
      <c r="R1706" s="25" t="n"/>
      <c r="S1706" s="26">
        <f>IF($A1706="","",AND(OR('Assignment Builder'!$B$5="",$B1706='Assignment Builder'!$B$5),OR('Assignment Builder'!$B$6="",ISNUMBER(SEARCH('Assignment Builder'!$B$6,$C1706))),OR('Assignment Builder'!$B$7="",'Assignment Builder'!$B$7=IFERROR(INDEX('Category Dictionary'!$C$5:$C$135,MATCH($L1706,'Category Dictionary'!$D$5:$D$135,0)),"")),OR('Assignment Builder'!$B$8="",$D1706='Assignment Builder'!$B$8),OR('Assignment Builder'!$B$9="",$F1706='Assignment Builder'!$B$9),OR('Assignment Builder'!$B$10="",$O1706='Assignment Builder'!$B$10),OR('Assignment Builder'!$B$11="",$H1706&gt;='Assignment Builder'!$B$11),OR('Assignment Builder'!$B$12="",N($Q1706)&lt;='Assignment Builder'!$B$12)))</f>
        <v/>
      </c>
      <c r="T1706" s="23" t="n"/>
    </row>
    <row r="1707">
      <c r="A1707" s="23" t="n"/>
      <c r="B1707" s="23" t="n"/>
      <c r="C1707" s="24" t="n"/>
      <c r="D1707" s="15" t="n"/>
      <c r="E1707" s="23" t="n"/>
      <c r="F1707" s="15" t="n"/>
      <c r="G1707" s="23" t="n"/>
      <c r="H1707" s="25" t="n"/>
      <c r="I1707" s="15" t="n"/>
      <c r="J1707" s="26">
        <f>IF($A1707="","",LEN($C1707)-LEN(SUBSTITUTE($C1707,",",""))+1)</f>
        <v/>
      </c>
      <c r="K1707" s="26">
        <f>IF($A1707="","",SUMPRODUCT(--ISNUMBER(SEARCH('Category Dictionary'!$D$5:$D$135&amp;"",$C1707)),--('Category Dictionary'!$D$5:$D$135&lt;&gt;"")))</f>
        <v/>
      </c>
      <c r="L1707" s="27">
        <f>IF($A1707="","",TRIM(IF(ISERROR(FIND(",",$C1707)),$C1707,LEFT($C1707,FIND(",",$C1707)-1))))</f>
        <v/>
      </c>
      <c r="M1707" s="28">
        <f>IF($H1707="","",DATE(YEAR($H1707),MONTH($H1707),1))</f>
        <v/>
      </c>
      <c r="N1707" s="26">
        <f>IF($H1707="","",TODAY()-$H1707)</f>
        <v/>
      </c>
      <c r="O1707" s="15" t="n"/>
      <c r="P1707" s="15" t="n"/>
      <c r="Q1707" s="15" t="n"/>
      <c r="R1707" s="25" t="n"/>
      <c r="S1707" s="26">
        <f>IF($A1707="","",AND(OR('Assignment Builder'!$B$5="",$B1707='Assignment Builder'!$B$5),OR('Assignment Builder'!$B$6="",ISNUMBER(SEARCH('Assignment Builder'!$B$6,$C1707))),OR('Assignment Builder'!$B$7="",'Assignment Builder'!$B$7=IFERROR(INDEX('Category Dictionary'!$C$5:$C$135,MATCH($L1707,'Category Dictionary'!$D$5:$D$135,0)),"")),OR('Assignment Builder'!$B$8="",$D1707='Assignment Builder'!$B$8),OR('Assignment Builder'!$B$9="",$F1707='Assignment Builder'!$B$9),OR('Assignment Builder'!$B$10="",$O1707='Assignment Builder'!$B$10),OR('Assignment Builder'!$B$11="",$H1707&gt;='Assignment Builder'!$B$11),OR('Assignment Builder'!$B$12="",N($Q1707)&lt;='Assignment Builder'!$B$12)))</f>
        <v/>
      </c>
      <c r="T1707" s="23" t="n"/>
    </row>
    <row r="1708">
      <c r="A1708" s="23" t="n"/>
      <c r="B1708" s="23" t="n"/>
      <c r="C1708" s="24" t="n"/>
      <c r="D1708" s="15" t="n"/>
      <c r="E1708" s="23" t="n"/>
      <c r="F1708" s="15" t="n"/>
      <c r="G1708" s="23" t="n"/>
      <c r="H1708" s="25" t="n"/>
      <c r="I1708" s="15" t="n"/>
      <c r="J1708" s="26">
        <f>IF($A1708="","",LEN($C1708)-LEN(SUBSTITUTE($C1708,",",""))+1)</f>
        <v/>
      </c>
      <c r="K1708" s="26">
        <f>IF($A1708="","",SUMPRODUCT(--ISNUMBER(SEARCH('Category Dictionary'!$D$5:$D$135&amp;"",$C1708)),--('Category Dictionary'!$D$5:$D$135&lt;&gt;"")))</f>
        <v/>
      </c>
      <c r="L1708" s="27">
        <f>IF($A1708="","",TRIM(IF(ISERROR(FIND(",",$C1708)),$C1708,LEFT($C1708,FIND(",",$C1708)-1))))</f>
        <v/>
      </c>
      <c r="M1708" s="28">
        <f>IF($H1708="","",DATE(YEAR($H1708),MONTH($H1708),1))</f>
        <v/>
      </c>
      <c r="N1708" s="26">
        <f>IF($H1708="","",TODAY()-$H1708)</f>
        <v/>
      </c>
      <c r="O1708" s="15" t="n"/>
      <c r="P1708" s="15" t="n"/>
      <c r="Q1708" s="15" t="n"/>
      <c r="R1708" s="25" t="n"/>
      <c r="S1708" s="26">
        <f>IF($A1708="","",AND(OR('Assignment Builder'!$B$5="",$B1708='Assignment Builder'!$B$5),OR('Assignment Builder'!$B$6="",ISNUMBER(SEARCH('Assignment Builder'!$B$6,$C1708))),OR('Assignment Builder'!$B$7="",'Assignment Builder'!$B$7=IFERROR(INDEX('Category Dictionary'!$C$5:$C$135,MATCH($L1708,'Category Dictionary'!$D$5:$D$135,0)),"")),OR('Assignment Builder'!$B$8="",$D1708='Assignment Builder'!$B$8),OR('Assignment Builder'!$B$9="",$F1708='Assignment Builder'!$B$9),OR('Assignment Builder'!$B$10="",$O1708='Assignment Builder'!$B$10),OR('Assignment Builder'!$B$11="",$H1708&gt;='Assignment Builder'!$B$11),OR('Assignment Builder'!$B$12="",N($Q1708)&lt;='Assignment Builder'!$B$12)))</f>
        <v/>
      </c>
      <c r="T1708" s="23" t="n"/>
    </row>
    <row r="1709">
      <c r="A1709" s="23" t="n"/>
      <c r="B1709" s="23" t="n"/>
      <c r="C1709" s="24" t="n"/>
      <c r="D1709" s="15" t="n"/>
      <c r="E1709" s="23" t="n"/>
      <c r="F1709" s="15" t="n"/>
      <c r="G1709" s="23" t="n"/>
      <c r="H1709" s="25" t="n"/>
      <c r="I1709" s="15" t="n"/>
      <c r="J1709" s="26">
        <f>IF($A1709="","",LEN($C1709)-LEN(SUBSTITUTE($C1709,",",""))+1)</f>
        <v/>
      </c>
      <c r="K1709" s="26">
        <f>IF($A1709="","",SUMPRODUCT(--ISNUMBER(SEARCH('Category Dictionary'!$D$5:$D$135&amp;"",$C1709)),--('Category Dictionary'!$D$5:$D$135&lt;&gt;"")))</f>
        <v/>
      </c>
      <c r="L1709" s="27">
        <f>IF($A1709="","",TRIM(IF(ISERROR(FIND(",",$C1709)),$C1709,LEFT($C1709,FIND(",",$C1709)-1))))</f>
        <v/>
      </c>
      <c r="M1709" s="28">
        <f>IF($H1709="","",DATE(YEAR($H1709),MONTH($H1709),1))</f>
        <v/>
      </c>
      <c r="N1709" s="26">
        <f>IF($H1709="","",TODAY()-$H1709)</f>
        <v/>
      </c>
      <c r="O1709" s="15" t="n"/>
      <c r="P1709" s="15" t="n"/>
      <c r="Q1709" s="15" t="n"/>
      <c r="R1709" s="25" t="n"/>
      <c r="S1709" s="26">
        <f>IF($A1709="","",AND(OR('Assignment Builder'!$B$5="",$B1709='Assignment Builder'!$B$5),OR('Assignment Builder'!$B$6="",ISNUMBER(SEARCH('Assignment Builder'!$B$6,$C1709))),OR('Assignment Builder'!$B$7="",'Assignment Builder'!$B$7=IFERROR(INDEX('Category Dictionary'!$C$5:$C$135,MATCH($L1709,'Category Dictionary'!$D$5:$D$135,0)),"")),OR('Assignment Builder'!$B$8="",$D1709='Assignment Builder'!$B$8),OR('Assignment Builder'!$B$9="",$F1709='Assignment Builder'!$B$9),OR('Assignment Builder'!$B$10="",$O1709='Assignment Builder'!$B$10),OR('Assignment Builder'!$B$11="",$H1709&gt;='Assignment Builder'!$B$11),OR('Assignment Builder'!$B$12="",N($Q1709)&lt;='Assignment Builder'!$B$12)))</f>
        <v/>
      </c>
      <c r="T1709" s="23" t="n"/>
    </row>
    <row r="1710">
      <c r="A1710" s="23" t="n"/>
      <c r="B1710" s="23" t="n"/>
      <c r="C1710" s="24" t="n"/>
      <c r="D1710" s="15" t="n"/>
      <c r="E1710" s="23" t="n"/>
      <c r="F1710" s="15" t="n"/>
      <c r="G1710" s="23" t="n"/>
      <c r="H1710" s="25" t="n"/>
      <c r="I1710" s="15" t="n"/>
      <c r="J1710" s="26">
        <f>IF($A1710="","",LEN($C1710)-LEN(SUBSTITUTE($C1710,",",""))+1)</f>
        <v/>
      </c>
      <c r="K1710" s="26">
        <f>IF($A1710="","",SUMPRODUCT(--ISNUMBER(SEARCH('Category Dictionary'!$D$5:$D$135&amp;"",$C1710)),--('Category Dictionary'!$D$5:$D$135&lt;&gt;"")))</f>
        <v/>
      </c>
      <c r="L1710" s="27">
        <f>IF($A1710="","",TRIM(IF(ISERROR(FIND(",",$C1710)),$C1710,LEFT($C1710,FIND(",",$C1710)-1))))</f>
        <v/>
      </c>
      <c r="M1710" s="28">
        <f>IF($H1710="","",DATE(YEAR($H1710),MONTH($H1710),1))</f>
        <v/>
      </c>
      <c r="N1710" s="26">
        <f>IF($H1710="","",TODAY()-$H1710)</f>
        <v/>
      </c>
      <c r="O1710" s="15" t="n"/>
      <c r="P1710" s="15" t="n"/>
      <c r="Q1710" s="15" t="n"/>
      <c r="R1710" s="25" t="n"/>
      <c r="S1710" s="26">
        <f>IF($A1710="","",AND(OR('Assignment Builder'!$B$5="",$B1710='Assignment Builder'!$B$5),OR('Assignment Builder'!$B$6="",ISNUMBER(SEARCH('Assignment Builder'!$B$6,$C1710))),OR('Assignment Builder'!$B$7="",'Assignment Builder'!$B$7=IFERROR(INDEX('Category Dictionary'!$C$5:$C$135,MATCH($L1710,'Category Dictionary'!$D$5:$D$135,0)),"")),OR('Assignment Builder'!$B$8="",$D1710='Assignment Builder'!$B$8),OR('Assignment Builder'!$B$9="",$F1710='Assignment Builder'!$B$9),OR('Assignment Builder'!$B$10="",$O1710='Assignment Builder'!$B$10),OR('Assignment Builder'!$B$11="",$H1710&gt;='Assignment Builder'!$B$11),OR('Assignment Builder'!$B$12="",N($Q1710)&lt;='Assignment Builder'!$B$12)))</f>
        <v/>
      </c>
      <c r="T1710" s="23" t="n"/>
    </row>
    <row r="1711">
      <c r="A1711" s="23" t="n"/>
      <c r="B1711" s="23" t="n"/>
      <c r="C1711" s="24" t="n"/>
      <c r="D1711" s="15" t="n"/>
      <c r="E1711" s="23" t="n"/>
      <c r="F1711" s="15" t="n"/>
      <c r="G1711" s="23" t="n"/>
      <c r="H1711" s="25" t="n"/>
      <c r="I1711" s="15" t="n"/>
      <c r="J1711" s="26">
        <f>IF($A1711="","",LEN($C1711)-LEN(SUBSTITUTE($C1711,",",""))+1)</f>
        <v/>
      </c>
      <c r="K1711" s="26">
        <f>IF($A1711="","",SUMPRODUCT(--ISNUMBER(SEARCH('Category Dictionary'!$D$5:$D$135&amp;"",$C1711)),--('Category Dictionary'!$D$5:$D$135&lt;&gt;"")))</f>
        <v/>
      </c>
      <c r="L1711" s="27">
        <f>IF($A1711="","",TRIM(IF(ISERROR(FIND(",",$C1711)),$C1711,LEFT($C1711,FIND(",",$C1711)-1))))</f>
        <v/>
      </c>
      <c r="M1711" s="28">
        <f>IF($H1711="","",DATE(YEAR($H1711),MONTH($H1711),1))</f>
        <v/>
      </c>
      <c r="N1711" s="26">
        <f>IF($H1711="","",TODAY()-$H1711)</f>
        <v/>
      </c>
      <c r="O1711" s="15" t="n"/>
      <c r="P1711" s="15" t="n"/>
      <c r="Q1711" s="15" t="n"/>
      <c r="R1711" s="25" t="n"/>
      <c r="S1711" s="26">
        <f>IF($A1711="","",AND(OR('Assignment Builder'!$B$5="",$B1711='Assignment Builder'!$B$5),OR('Assignment Builder'!$B$6="",ISNUMBER(SEARCH('Assignment Builder'!$B$6,$C1711))),OR('Assignment Builder'!$B$7="",'Assignment Builder'!$B$7=IFERROR(INDEX('Category Dictionary'!$C$5:$C$135,MATCH($L1711,'Category Dictionary'!$D$5:$D$135,0)),"")),OR('Assignment Builder'!$B$8="",$D1711='Assignment Builder'!$B$8),OR('Assignment Builder'!$B$9="",$F1711='Assignment Builder'!$B$9),OR('Assignment Builder'!$B$10="",$O1711='Assignment Builder'!$B$10),OR('Assignment Builder'!$B$11="",$H1711&gt;='Assignment Builder'!$B$11),OR('Assignment Builder'!$B$12="",N($Q1711)&lt;='Assignment Builder'!$B$12)))</f>
        <v/>
      </c>
      <c r="T1711" s="23" t="n"/>
    </row>
    <row r="1712">
      <c r="A1712" s="23" t="n"/>
      <c r="B1712" s="23" t="n"/>
      <c r="C1712" s="24" t="n"/>
      <c r="D1712" s="15" t="n"/>
      <c r="E1712" s="23" t="n"/>
      <c r="F1712" s="15" t="n"/>
      <c r="G1712" s="23" t="n"/>
      <c r="H1712" s="25" t="n"/>
      <c r="I1712" s="15" t="n"/>
      <c r="J1712" s="26">
        <f>IF($A1712="","",LEN($C1712)-LEN(SUBSTITUTE($C1712,",",""))+1)</f>
        <v/>
      </c>
      <c r="K1712" s="26">
        <f>IF($A1712="","",SUMPRODUCT(--ISNUMBER(SEARCH('Category Dictionary'!$D$5:$D$135&amp;"",$C1712)),--('Category Dictionary'!$D$5:$D$135&lt;&gt;"")))</f>
        <v/>
      </c>
      <c r="L1712" s="27">
        <f>IF($A1712="","",TRIM(IF(ISERROR(FIND(",",$C1712)),$C1712,LEFT($C1712,FIND(",",$C1712)-1))))</f>
        <v/>
      </c>
      <c r="M1712" s="28">
        <f>IF($H1712="","",DATE(YEAR($H1712),MONTH($H1712),1))</f>
        <v/>
      </c>
      <c r="N1712" s="26">
        <f>IF($H1712="","",TODAY()-$H1712)</f>
        <v/>
      </c>
      <c r="O1712" s="15" t="n"/>
      <c r="P1712" s="15" t="n"/>
      <c r="Q1712" s="15" t="n"/>
      <c r="R1712" s="25" t="n"/>
      <c r="S1712" s="26">
        <f>IF($A1712="","",AND(OR('Assignment Builder'!$B$5="",$B1712='Assignment Builder'!$B$5),OR('Assignment Builder'!$B$6="",ISNUMBER(SEARCH('Assignment Builder'!$B$6,$C1712))),OR('Assignment Builder'!$B$7="",'Assignment Builder'!$B$7=IFERROR(INDEX('Category Dictionary'!$C$5:$C$135,MATCH($L1712,'Category Dictionary'!$D$5:$D$135,0)),"")),OR('Assignment Builder'!$B$8="",$D1712='Assignment Builder'!$B$8),OR('Assignment Builder'!$B$9="",$F1712='Assignment Builder'!$B$9),OR('Assignment Builder'!$B$10="",$O1712='Assignment Builder'!$B$10),OR('Assignment Builder'!$B$11="",$H1712&gt;='Assignment Builder'!$B$11),OR('Assignment Builder'!$B$12="",N($Q1712)&lt;='Assignment Builder'!$B$12)))</f>
        <v/>
      </c>
      <c r="T1712" s="23" t="n"/>
    </row>
    <row r="1713">
      <c r="A1713" s="23" t="n"/>
      <c r="B1713" s="23" t="n"/>
      <c r="C1713" s="24" t="n"/>
      <c r="D1713" s="15" t="n"/>
      <c r="E1713" s="23" t="n"/>
      <c r="F1713" s="15" t="n"/>
      <c r="G1713" s="23" t="n"/>
      <c r="H1713" s="25" t="n"/>
      <c r="I1713" s="15" t="n"/>
      <c r="J1713" s="26">
        <f>IF($A1713="","",LEN($C1713)-LEN(SUBSTITUTE($C1713,",",""))+1)</f>
        <v/>
      </c>
      <c r="K1713" s="26">
        <f>IF($A1713="","",SUMPRODUCT(--ISNUMBER(SEARCH('Category Dictionary'!$D$5:$D$135&amp;"",$C1713)),--('Category Dictionary'!$D$5:$D$135&lt;&gt;"")))</f>
        <v/>
      </c>
      <c r="L1713" s="27">
        <f>IF($A1713="","",TRIM(IF(ISERROR(FIND(",",$C1713)),$C1713,LEFT($C1713,FIND(",",$C1713)-1))))</f>
        <v/>
      </c>
      <c r="M1713" s="28">
        <f>IF($H1713="","",DATE(YEAR($H1713),MONTH($H1713),1))</f>
        <v/>
      </c>
      <c r="N1713" s="26">
        <f>IF($H1713="","",TODAY()-$H1713)</f>
        <v/>
      </c>
      <c r="O1713" s="15" t="n"/>
      <c r="P1713" s="15" t="n"/>
      <c r="Q1713" s="15" t="n"/>
      <c r="R1713" s="25" t="n"/>
      <c r="S1713" s="26">
        <f>IF($A1713="","",AND(OR('Assignment Builder'!$B$5="",$B1713='Assignment Builder'!$B$5),OR('Assignment Builder'!$B$6="",ISNUMBER(SEARCH('Assignment Builder'!$B$6,$C1713))),OR('Assignment Builder'!$B$7="",'Assignment Builder'!$B$7=IFERROR(INDEX('Category Dictionary'!$C$5:$C$135,MATCH($L1713,'Category Dictionary'!$D$5:$D$135,0)),"")),OR('Assignment Builder'!$B$8="",$D1713='Assignment Builder'!$B$8),OR('Assignment Builder'!$B$9="",$F1713='Assignment Builder'!$B$9),OR('Assignment Builder'!$B$10="",$O1713='Assignment Builder'!$B$10),OR('Assignment Builder'!$B$11="",$H1713&gt;='Assignment Builder'!$B$11),OR('Assignment Builder'!$B$12="",N($Q1713)&lt;='Assignment Builder'!$B$12)))</f>
        <v/>
      </c>
      <c r="T1713" s="23" t="n"/>
    </row>
    <row r="1714">
      <c r="A1714" s="23" t="n"/>
      <c r="B1714" s="23" t="n"/>
      <c r="C1714" s="24" t="n"/>
      <c r="D1714" s="15" t="n"/>
      <c r="E1714" s="23" t="n"/>
      <c r="F1714" s="15" t="n"/>
      <c r="G1714" s="23" t="n"/>
      <c r="H1714" s="25" t="n"/>
      <c r="I1714" s="15" t="n"/>
      <c r="J1714" s="26">
        <f>IF($A1714="","",LEN($C1714)-LEN(SUBSTITUTE($C1714,",",""))+1)</f>
        <v/>
      </c>
      <c r="K1714" s="26">
        <f>IF($A1714="","",SUMPRODUCT(--ISNUMBER(SEARCH('Category Dictionary'!$D$5:$D$135&amp;"",$C1714)),--('Category Dictionary'!$D$5:$D$135&lt;&gt;"")))</f>
        <v/>
      </c>
      <c r="L1714" s="27">
        <f>IF($A1714="","",TRIM(IF(ISERROR(FIND(",",$C1714)),$C1714,LEFT($C1714,FIND(",",$C1714)-1))))</f>
        <v/>
      </c>
      <c r="M1714" s="28">
        <f>IF($H1714="","",DATE(YEAR($H1714),MONTH($H1714),1))</f>
        <v/>
      </c>
      <c r="N1714" s="26">
        <f>IF($H1714="","",TODAY()-$H1714)</f>
        <v/>
      </c>
      <c r="O1714" s="15" t="n"/>
      <c r="P1714" s="15" t="n"/>
      <c r="Q1714" s="15" t="n"/>
      <c r="R1714" s="25" t="n"/>
      <c r="S1714" s="26">
        <f>IF($A1714="","",AND(OR('Assignment Builder'!$B$5="",$B1714='Assignment Builder'!$B$5),OR('Assignment Builder'!$B$6="",ISNUMBER(SEARCH('Assignment Builder'!$B$6,$C1714))),OR('Assignment Builder'!$B$7="",'Assignment Builder'!$B$7=IFERROR(INDEX('Category Dictionary'!$C$5:$C$135,MATCH($L1714,'Category Dictionary'!$D$5:$D$135,0)),"")),OR('Assignment Builder'!$B$8="",$D1714='Assignment Builder'!$B$8),OR('Assignment Builder'!$B$9="",$F1714='Assignment Builder'!$B$9),OR('Assignment Builder'!$B$10="",$O1714='Assignment Builder'!$B$10),OR('Assignment Builder'!$B$11="",$H1714&gt;='Assignment Builder'!$B$11),OR('Assignment Builder'!$B$12="",N($Q1714)&lt;='Assignment Builder'!$B$12)))</f>
        <v/>
      </c>
      <c r="T1714" s="23" t="n"/>
    </row>
    <row r="1715">
      <c r="A1715" s="23" t="n"/>
      <c r="B1715" s="23" t="n"/>
      <c r="C1715" s="24" t="n"/>
      <c r="D1715" s="15" t="n"/>
      <c r="E1715" s="23" t="n"/>
      <c r="F1715" s="15" t="n"/>
      <c r="G1715" s="23" t="n"/>
      <c r="H1715" s="25" t="n"/>
      <c r="I1715" s="15" t="n"/>
      <c r="J1715" s="26">
        <f>IF($A1715="","",LEN($C1715)-LEN(SUBSTITUTE($C1715,",",""))+1)</f>
        <v/>
      </c>
      <c r="K1715" s="26">
        <f>IF($A1715="","",SUMPRODUCT(--ISNUMBER(SEARCH('Category Dictionary'!$D$5:$D$135&amp;"",$C1715)),--('Category Dictionary'!$D$5:$D$135&lt;&gt;"")))</f>
        <v/>
      </c>
      <c r="L1715" s="27">
        <f>IF($A1715="","",TRIM(IF(ISERROR(FIND(",",$C1715)),$C1715,LEFT($C1715,FIND(",",$C1715)-1))))</f>
        <v/>
      </c>
      <c r="M1715" s="28">
        <f>IF($H1715="","",DATE(YEAR($H1715),MONTH($H1715),1))</f>
        <v/>
      </c>
      <c r="N1715" s="26">
        <f>IF($H1715="","",TODAY()-$H1715)</f>
        <v/>
      </c>
      <c r="O1715" s="15" t="n"/>
      <c r="P1715" s="15" t="n"/>
      <c r="Q1715" s="15" t="n"/>
      <c r="R1715" s="25" t="n"/>
      <c r="S1715" s="26">
        <f>IF($A1715="","",AND(OR('Assignment Builder'!$B$5="",$B1715='Assignment Builder'!$B$5),OR('Assignment Builder'!$B$6="",ISNUMBER(SEARCH('Assignment Builder'!$B$6,$C1715))),OR('Assignment Builder'!$B$7="",'Assignment Builder'!$B$7=IFERROR(INDEX('Category Dictionary'!$C$5:$C$135,MATCH($L1715,'Category Dictionary'!$D$5:$D$135,0)),"")),OR('Assignment Builder'!$B$8="",$D1715='Assignment Builder'!$B$8),OR('Assignment Builder'!$B$9="",$F1715='Assignment Builder'!$B$9),OR('Assignment Builder'!$B$10="",$O1715='Assignment Builder'!$B$10),OR('Assignment Builder'!$B$11="",$H1715&gt;='Assignment Builder'!$B$11),OR('Assignment Builder'!$B$12="",N($Q1715)&lt;='Assignment Builder'!$B$12)))</f>
        <v/>
      </c>
      <c r="T1715" s="23" t="n"/>
    </row>
    <row r="1716">
      <c r="A1716" s="23" t="n"/>
      <c r="B1716" s="23" t="n"/>
      <c r="C1716" s="24" t="n"/>
      <c r="D1716" s="15" t="n"/>
      <c r="E1716" s="23" t="n"/>
      <c r="F1716" s="15" t="n"/>
      <c r="G1716" s="23" t="n"/>
      <c r="H1716" s="25" t="n"/>
      <c r="I1716" s="15" t="n"/>
      <c r="J1716" s="26">
        <f>IF($A1716="","",LEN($C1716)-LEN(SUBSTITUTE($C1716,",",""))+1)</f>
        <v/>
      </c>
      <c r="K1716" s="26">
        <f>IF($A1716="","",SUMPRODUCT(--ISNUMBER(SEARCH('Category Dictionary'!$D$5:$D$135&amp;"",$C1716)),--('Category Dictionary'!$D$5:$D$135&lt;&gt;"")))</f>
        <v/>
      </c>
      <c r="L1716" s="27">
        <f>IF($A1716="","",TRIM(IF(ISERROR(FIND(",",$C1716)),$C1716,LEFT($C1716,FIND(",",$C1716)-1))))</f>
        <v/>
      </c>
      <c r="M1716" s="28">
        <f>IF($H1716="","",DATE(YEAR($H1716),MONTH($H1716),1))</f>
        <v/>
      </c>
      <c r="N1716" s="26">
        <f>IF($H1716="","",TODAY()-$H1716)</f>
        <v/>
      </c>
      <c r="O1716" s="15" t="n"/>
      <c r="P1716" s="15" t="n"/>
      <c r="Q1716" s="15" t="n"/>
      <c r="R1716" s="25" t="n"/>
      <c r="S1716" s="26">
        <f>IF($A1716="","",AND(OR('Assignment Builder'!$B$5="",$B1716='Assignment Builder'!$B$5),OR('Assignment Builder'!$B$6="",ISNUMBER(SEARCH('Assignment Builder'!$B$6,$C1716))),OR('Assignment Builder'!$B$7="",'Assignment Builder'!$B$7=IFERROR(INDEX('Category Dictionary'!$C$5:$C$135,MATCH($L1716,'Category Dictionary'!$D$5:$D$135,0)),"")),OR('Assignment Builder'!$B$8="",$D1716='Assignment Builder'!$B$8),OR('Assignment Builder'!$B$9="",$F1716='Assignment Builder'!$B$9),OR('Assignment Builder'!$B$10="",$O1716='Assignment Builder'!$B$10),OR('Assignment Builder'!$B$11="",$H1716&gt;='Assignment Builder'!$B$11),OR('Assignment Builder'!$B$12="",N($Q1716)&lt;='Assignment Builder'!$B$12)))</f>
        <v/>
      </c>
      <c r="T1716" s="23" t="n"/>
    </row>
    <row r="1717">
      <c r="A1717" s="23" t="n"/>
      <c r="B1717" s="23" t="n"/>
      <c r="C1717" s="24" t="n"/>
      <c r="D1717" s="15" t="n"/>
      <c r="E1717" s="23" t="n"/>
      <c r="F1717" s="15" t="n"/>
      <c r="G1717" s="23" t="n"/>
      <c r="H1717" s="25" t="n"/>
      <c r="I1717" s="15" t="n"/>
      <c r="J1717" s="26">
        <f>IF($A1717="","",LEN($C1717)-LEN(SUBSTITUTE($C1717,",",""))+1)</f>
        <v/>
      </c>
      <c r="K1717" s="26">
        <f>IF($A1717="","",SUMPRODUCT(--ISNUMBER(SEARCH('Category Dictionary'!$D$5:$D$135&amp;"",$C1717)),--('Category Dictionary'!$D$5:$D$135&lt;&gt;"")))</f>
        <v/>
      </c>
      <c r="L1717" s="27">
        <f>IF($A1717="","",TRIM(IF(ISERROR(FIND(",",$C1717)),$C1717,LEFT($C1717,FIND(",",$C1717)-1))))</f>
        <v/>
      </c>
      <c r="M1717" s="28">
        <f>IF($H1717="","",DATE(YEAR($H1717),MONTH($H1717),1))</f>
        <v/>
      </c>
      <c r="N1717" s="26">
        <f>IF($H1717="","",TODAY()-$H1717)</f>
        <v/>
      </c>
      <c r="O1717" s="15" t="n"/>
      <c r="P1717" s="15" t="n"/>
      <c r="Q1717" s="15" t="n"/>
      <c r="R1717" s="25" t="n"/>
      <c r="S1717" s="26">
        <f>IF($A1717="","",AND(OR('Assignment Builder'!$B$5="",$B1717='Assignment Builder'!$B$5),OR('Assignment Builder'!$B$6="",ISNUMBER(SEARCH('Assignment Builder'!$B$6,$C1717))),OR('Assignment Builder'!$B$7="",'Assignment Builder'!$B$7=IFERROR(INDEX('Category Dictionary'!$C$5:$C$135,MATCH($L1717,'Category Dictionary'!$D$5:$D$135,0)),"")),OR('Assignment Builder'!$B$8="",$D1717='Assignment Builder'!$B$8),OR('Assignment Builder'!$B$9="",$F1717='Assignment Builder'!$B$9),OR('Assignment Builder'!$B$10="",$O1717='Assignment Builder'!$B$10),OR('Assignment Builder'!$B$11="",$H1717&gt;='Assignment Builder'!$B$11),OR('Assignment Builder'!$B$12="",N($Q1717)&lt;='Assignment Builder'!$B$12)))</f>
        <v/>
      </c>
      <c r="T1717" s="23" t="n"/>
    </row>
    <row r="1718">
      <c r="A1718" s="23" t="n"/>
      <c r="B1718" s="23" t="n"/>
      <c r="C1718" s="24" t="n"/>
      <c r="D1718" s="15" t="n"/>
      <c r="E1718" s="23" t="n"/>
      <c r="F1718" s="15" t="n"/>
      <c r="G1718" s="23" t="n"/>
      <c r="H1718" s="25" t="n"/>
      <c r="I1718" s="15" t="n"/>
      <c r="J1718" s="26">
        <f>IF($A1718="","",LEN($C1718)-LEN(SUBSTITUTE($C1718,",",""))+1)</f>
        <v/>
      </c>
      <c r="K1718" s="26">
        <f>IF($A1718="","",SUMPRODUCT(--ISNUMBER(SEARCH('Category Dictionary'!$D$5:$D$135&amp;"",$C1718)),--('Category Dictionary'!$D$5:$D$135&lt;&gt;"")))</f>
        <v/>
      </c>
      <c r="L1718" s="27">
        <f>IF($A1718="","",TRIM(IF(ISERROR(FIND(",",$C1718)),$C1718,LEFT($C1718,FIND(",",$C1718)-1))))</f>
        <v/>
      </c>
      <c r="M1718" s="28">
        <f>IF($H1718="","",DATE(YEAR($H1718),MONTH($H1718),1))</f>
        <v/>
      </c>
      <c r="N1718" s="26">
        <f>IF($H1718="","",TODAY()-$H1718)</f>
        <v/>
      </c>
      <c r="O1718" s="15" t="n"/>
      <c r="P1718" s="15" t="n"/>
      <c r="Q1718" s="15" t="n"/>
      <c r="R1718" s="25" t="n"/>
      <c r="S1718" s="26">
        <f>IF($A1718="","",AND(OR('Assignment Builder'!$B$5="",$B1718='Assignment Builder'!$B$5),OR('Assignment Builder'!$B$6="",ISNUMBER(SEARCH('Assignment Builder'!$B$6,$C1718))),OR('Assignment Builder'!$B$7="",'Assignment Builder'!$B$7=IFERROR(INDEX('Category Dictionary'!$C$5:$C$135,MATCH($L1718,'Category Dictionary'!$D$5:$D$135,0)),"")),OR('Assignment Builder'!$B$8="",$D1718='Assignment Builder'!$B$8),OR('Assignment Builder'!$B$9="",$F1718='Assignment Builder'!$B$9),OR('Assignment Builder'!$B$10="",$O1718='Assignment Builder'!$B$10),OR('Assignment Builder'!$B$11="",$H1718&gt;='Assignment Builder'!$B$11),OR('Assignment Builder'!$B$12="",N($Q1718)&lt;='Assignment Builder'!$B$12)))</f>
        <v/>
      </c>
      <c r="T1718" s="23" t="n"/>
    </row>
    <row r="1719">
      <c r="A1719" s="23" t="n"/>
      <c r="B1719" s="23" t="n"/>
      <c r="C1719" s="24" t="n"/>
      <c r="D1719" s="15" t="n"/>
      <c r="E1719" s="23" t="n"/>
      <c r="F1719" s="15" t="n"/>
      <c r="G1719" s="23" t="n"/>
      <c r="H1719" s="25" t="n"/>
      <c r="I1719" s="15" t="n"/>
      <c r="J1719" s="26">
        <f>IF($A1719="","",LEN($C1719)-LEN(SUBSTITUTE($C1719,",",""))+1)</f>
        <v/>
      </c>
      <c r="K1719" s="26">
        <f>IF($A1719="","",SUMPRODUCT(--ISNUMBER(SEARCH('Category Dictionary'!$D$5:$D$135&amp;"",$C1719)),--('Category Dictionary'!$D$5:$D$135&lt;&gt;"")))</f>
        <v/>
      </c>
      <c r="L1719" s="27">
        <f>IF($A1719="","",TRIM(IF(ISERROR(FIND(",",$C1719)),$C1719,LEFT($C1719,FIND(",",$C1719)-1))))</f>
        <v/>
      </c>
      <c r="M1719" s="28">
        <f>IF($H1719="","",DATE(YEAR($H1719),MONTH($H1719),1))</f>
        <v/>
      </c>
      <c r="N1719" s="26">
        <f>IF($H1719="","",TODAY()-$H1719)</f>
        <v/>
      </c>
      <c r="O1719" s="15" t="n"/>
      <c r="P1719" s="15" t="n"/>
      <c r="Q1719" s="15" t="n"/>
      <c r="R1719" s="25" t="n"/>
      <c r="S1719" s="26">
        <f>IF($A1719="","",AND(OR('Assignment Builder'!$B$5="",$B1719='Assignment Builder'!$B$5),OR('Assignment Builder'!$B$6="",ISNUMBER(SEARCH('Assignment Builder'!$B$6,$C1719))),OR('Assignment Builder'!$B$7="",'Assignment Builder'!$B$7=IFERROR(INDEX('Category Dictionary'!$C$5:$C$135,MATCH($L1719,'Category Dictionary'!$D$5:$D$135,0)),"")),OR('Assignment Builder'!$B$8="",$D1719='Assignment Builder'!$B$8),OR('Assignment Builder'!$B$9="",$F1719='Assignment Builder'!$B$9),OR('Assignment Builder'!$B$10="",$O1719='Assignment Builder'!$B$10),OR('Assignment Builder'!$B$11="",$H1719&gt;='Assignment Builder'!$B$11),OR('Assignment Builder'!$B$12="",N($Q1719)&lt;='Assignment Builder'!$B$12)))</f>
        <v/>
      </c>
      <c r="T1719" s="23" t="n"/>
    </row>
    <row r="1720">
      <c r="A1720" s="23" t="n"/>
      <c r="B1720" s="23" t="n"/>
      <c r="C1720" s="24" t="n"/>
      <c r="D1720" s="15" t="n"/>
      <c r="E1720" s="23" t="n"/>
      <c r="F1720" s="15" t="n"/>
      <c r="G1720" s="23" t="n"/>
      <c r="H1720" s="25" t="n"/>
      <c r="I1720" s="15" t="n"/>
      <c r="J1720" s="26">
        <f>IF($A1720="","",LEN($C1720)-LEN(SUBSTITUTE($C1720,",",""))+1)</f>
        <v/>
      </c>
      <c r="K1720" s="26">
        <f>IF($A1720="","",SUMPRODUCT(--ISNUMBER(SEARCH('Category Dictionary'!$D$5:$D$135&amp;"",$C1720)),--('Category Dictionary'!$D$5:$D$135&lt;&gt;"")))</f>
        <v/>
      </c>
      <c r="L1720" s="27">
        <f>IF($A1720="","",TRIM(IF(ISERROR(FIND(",",$C1720)),$C1720,LEFT($C1720,FIND(",",$C1720)-1))))</f>
        <v/>
      </c>
      <c r="M1720" s="28">
        <f>IF($H1720="","",DATE(YEAR($H1720),MONTH($H1720),1))</f>
        <v/>
      </c>
      <c r="N1720" s="26">
        <f>IF($H1720="","",TODAY()-$H1720)</f>
        <v/>
      </c>
      <c r="O1720" s="15" t="n"/>
      <c r="P1720" s="15" t="n"/>
      <c r="Q1720" s="15" t="n"/>
      <c r="R1720" s="25" t="n"/>
      <c r="S1720" s="26">
        <f>IF($A1720="","",AND(OR('Assignment Builder'!$B$5="",$B1720='Assignment Builder'!$B$5),OR('Assignment Builder'!$B$6="",ISNUMBER(SEARCH('Assignment Builder'!$B$6,$C1720))),OR('Assignment Builder'!$B$7="",'Assignment Builder'!$B$7=IFERROR(INDEX('Category Dictionary'!$C$5:$C$135,MATCH($L1720,'Category Dictionary'!$D$5:$D$135,0)),"")),OR('Assignment Builder'!$B$8="",$D1720='Assignment Builder'!$B$8),OR('Assignment Builder'!$B$9="",$F1720='Assignment Builder'!$B$9),OR('Assignment Builder'!$B$10="",$O1720='Assignment Builder'!$B$10),OR('Assignment Builder'!$B$11="",$H1720&gt;='Assignment Builder'!$B$11),OR('Assignment Builder'!$B$12="",N($Q1720)&lt;='Assignment Builder'!$B$12)))</f>
        <v/>
      </c>
      <c r="T1720" s="23" t="n"/>
    </row>
    <row r="1721">
      <c r="A1721" s="23" t="n"/>
      <c r="B1721" s="23" t="n"/>
      <c r="C1721" s="24" t="n"/>
      <c r="D1721" s="15" t="n"/>
      <c r="E1721" s="23" t="n"/>
      <c r="F1721" s="15" t="n"/>
      <c r="G1721" s="23" t="n"/>
      <c r="H1721" s="25" t="n"/>
      <c r="I1721" s="15" t="n"/>
      <c r="J1721" s="26">
        <f>IF($A1721="","",LEN($C1721)-LEN(SUBSTITUTE($C1721,",",""))+1)</f>
        <v/>
      </c>
      <c r="K1721" s="26">
        <f>IF($A1721="","",SUMPRODUCT(--ISNUMBER(SEARCH('Category Dictionary'!$D$5:$D$135&amp;"",$C1721)),--('Category Dictionary'!$D$5:$D$135&lt;&gt;"")))</f>
        <v/>
      </c>
      <c r="L1721" s="27">
        <f>IF($A1721="","",TRIM(IF(ISERROR(FIND(",",$C1721)),$C1721,LEFT($C1721,FIND(",",$C1721)-1))))</f>
        <v/>
      </c>
      <c r="M1721" s="28">
        <f>IF($H1721="","",DATE(YEAR($H1721),MONTH($H1721),1))</f>
        <v/>
      </c>
      <c r="N1721" s="26">
        <f>IF($H1721="","",TODAY()-$H1721)</f>
        <v/>
      </c>
      <c r="O1721" s="15" t="n"/>
      <c r="P1721" s="15" t="n"/>
      <c r="Q1721" s="15" t="n"/>
      <c r="R1721" s="25" t="n"/>
      <c r="S1721" s="26">
        <f>IF($A1721="","",AND(OR('Assignment Builder'!$B$5="",$B1721='Assignment Builder'!$B$5),OR('Assignment Builder'!$B$6="",ISNUMBER(SEARCH('Assignment Builder'!$B$6,$C1721))),OR('Assignment Builder'!$B$7="",'Assignment Builder'!$B$7=IFERROR(INDEX('Category Dictionary'!$C$5:$C$135,MATCH($L1721,'Category Dictionary'!$D$5:$D$135,0)),"")),OR('Assignment Builder'!$B$8="",$D1721='Assignment Builder'!$B$8),OR('Assignment Builder'!$B$9="",$F1721='Assignment Builder'!$B$9),OR('Assignment Builder'!$B$10="",$O1721='Assignment Builder'!$B$10),OR('Assignment Builder'!$B$11="",$H1721&gt;='Assignment Builder'!$B$11),OR('Assignment Builder'!$B$12="",N($Q1721)&lt;='Assignment Builder'!$B$12)))</f>
        <v/>
      </c>
      <c r="T1721" s="23" t="n"/>
    </row>
    <row r="1722">
      <c r="A1722" s="23" t="n"/>
      <c r="B1722" s="23" t="n"/>
      <c r="C1722" s="24" t="n"/>
      <c r="D1722" s="15" t="n"/>
      <c r="E1722" s="23" t="n"/>
      <c r="F1722" s="15" t="n"/>
      <c r="G1722" s="23" t="n"/>
      <c r="H1722" s="25" t="n"/>
      <c r="I1722" s="15" t="n"/>
      <c r="J1722" s="26">
        <f>IF($A1722="","",LEN($C1722)-LEN(SUBSTITUTE($C1722,",",""))+1)</f>
        <v/>
      </c>
      <c r="K1722" s="26">
        <f>IF($A1722="","",SUMPRODUCT(--ISNUMBER(SEARCH('Category Dictionary'!$D$5:$D$135&amp;"",$C1722)),--('Category Dictionary'!$D$5:$D$135&lt;&gt;"")))</f>
        <v/>
      </c>
      <c r="L1722" s="27">
        <f>IF($A1722="","",TRIM(IF(ISERROR(FIND(",",$C1722)),$C1722,LEFT($C1722,FIND(",",$C1722)-1))))</f>
        <v/>
      </c>
      <c r="M1722" s="28">
        <f>IF($H1722="","",DATE(YEAR($H1722),MONTH($H1722),1))</f>
        <v/>
      </c>
      <c r="N1722" s="26">
        <f>IF($H1722="","",TODAY()-$H1722)</f>
        <v/>
      </c>
      <c r="O1722" s="15" t="n"/>
      <c r="P1722" s="15" t="n"/>
      <c r="Q1722" s="15" t="n"/>
      <c r="R1722" s="25" t="n"/>
      <c r="S1722" s="26">
        <f>IF($A1722="","",AND(OR('Assignment Builder'!$B$5="",$B1722='Assignment Builder'!$B$5),OR('Assignment Builder'!$B$6="",ISNUMBER(SEARCH('Assignment Builder'!$B$6,$C1722))),OR('Assignment Builder'!$B$7="",'Assignment Builder'!$B$7=IFERROR(INDEX('Category Dictionary'!$C$5:$C$135,MATCH($L1722,'Category Dictionary'!$D$5:$D$135,0)),"")),OR('Assignment Builder'!$B$8="",$D1722='Assignment Builder'!$B$8),OR('Assignment Builder'!$B$9="",$F1722='Assignment Builder'!$B$9),OR('Assignment Builder'!$B$10="",$O1722='Assignment Builder'!$B$10),OR('Assignment Builder'!$B$11="",$H1722&gt;='Assignment Builder'!$B$11),OR('Assignment Builder'!$B$12="",N($Q1722)&lt;='Assignment Builder'!$B$12)))</f>
        <v/>
      </c>
      <c r="T1722" s="23" t="n"/>
    </row>
    <row r="1723">
      <c r="A1723" s="23" t="n"/>
      <c r="B1723" s="23" t="n"/>
      <c r="C1723" s="24" t="n"/>
      <c r="D1723" s="15" t="n"/>
      <c r="E1723" s="23" t="n"/>
      <c r="F1723" s="15" t="n"/>
      <c r="G1723" s="23" t="n"/>
      <c r="H1723" s="25" t="n"/>
      <c r="I1723" s="15" t="n"/>
      <c r="J1723" s="26">
        <f>IF($A1723="","",LEN($C1723)-LEN(SUBSTITUTE($C1723,",",""))+1)</f>
        <v/>
      </c>
      <c r="K1723" s="26">
        <f>IF($A1723="","",SUMPRODUCT(--ISNUMBER(SEARCH('Category Dictionary'!$D$5:$D$135&amp;"",$C1723)),--('Category Dictionary'!$D$5:$D$135&lt;&gt;"")))</f>
        <v/>
      </c>
      <c r="L1723" s="27">
        <f>IF($A1723="","",TRIM(IF(ISERROR(FIND(",",$C1723)),$C1723,LEFT($C1723,FIND(",",$C1723)-1))))</f>
        <v/>
      </c>
      <c r="M1723" s="28">
        <f>IF($H1723="","",DATE(YEAR($H1723),MONTH($H1723),1))</f>
        <v/>
      </c>
      <c r="N1723" s="26">
        <f>IF($H1723="","",TODAY()-$H1723)</f>
        <v/>
      </c>
      <c r="O1723" s="15" t="n"/>
      <c r="P1723" s="15" t="n"/>
      <c r="Q1723" s="15" t="n"/>
      <c r="R1723" s="25" t="n"/>
      <c r="S1723" s="26">
        <f>IF($A1723="","",AND(OR('Assignment Builder'!$B$5="",$B1723='Assignment Builder'!$B$5),OR('Assignment Builder'!$B$6="",ISNUMBER(SEARCH('Assignment Builder'!$B$6,$C1723))),OR('Assignment Builder'!$B$7="",'Assignment Builder'!$B$7=IFERROR(INDEX('Category Dictionary'!$C$5:$C$135,MATCH($L1723,'Category Dictionary'!$D$5:$D$135,0)),"")),OR('Assignment Builder'!$B$8="",$D1723='Assignment Builder'!$B$8),OR('Assignment Builder'!$B$9="",$F1723='Assignment Builder'!$B$9),OR('Assignment Builder'!$B$10="",$O1723='Assignment Builder'!$B$10),OR('Assignment Builder'!$B$11="",$H1723&gt;='Assignment Builder'!$B$11),OR('Assignment Builder'!$B$12="",N($Q1723)&lt;='Assignment Builder'!$B$12)))</f>
        <v/>
      </c>
      <c r="T1723" s="23" t="n"/>
    </row>
    <row r="1724">
      <c r="A1724" s="23" t="n"/>
      <c r="B1724" s="23" t="n"/>
      <c r="C1724" s="24" t="n"/>
      <c r="D1724" s="15" t="n"/>
      <c r="E1724" s="23" t="n"/>
      <c r="F1724" s="15" t="n"/>
      <c r="G1724" s="23" t="n"/>
      <c r="H1724" s="25" t="n"/>
      <c r="I1724" s="15" t="n"/>
      <c r="J1724" s="26">
        <f>IF($A1724="","",LEN($C1724)-LEN(SUBSTITUTE($C1724,",",""))+1)</f>
        <v/>
      </c>
      <c r="K1724" s="26">
        <f>IF($A1724="","",SUMPRODUCT(--ISNUMBER(SEARCH('Category Dictionary'!$D$5:$D$135&amp;"",$C1724)),--('Category Dictionary'!$D$5:$D$135&lt;&gt;"")))</f>
        <v/>
      </c>
      <c r="L1724" s="27">
        <f>IF($A1724="","",TRIM(IF(ISERROR(FIND(",",$C1724)),$C1724,LEFT($C1724,FIND(",",$C1724)-1))))</f>
        <v/>
      </c>
      <c r="M1724" s="28">
        <f>IF($H1724="","",DATE(YEAR($H1724),MONTH($H1724),1))</f>
        <v/>
      </c>
      <c r="N1724" s="26">
        <f>IF($H1724="","",TODAY()-$H1724)</f>
        <v/>
      </c>
      <c r="O1724" s="15" t="n"/>
      <c r="P1724" s="15" t="n"/>
      <c r="Q1724" s="15" t="n"/>
      <c r="R1724" s="25" t="n"/>
      <c r="S1724" s="26">
        <f>IF($A1724="","",AND(OR('Assignment Builder'!$B$5="",$B1724='Assignment Builder'!$B$5),OR('Assignment Builder'!$B$6="",ISNUMBER(SEARCH('Assignment Builder'!$B$6,$C1724))),OR('Assignment Builder'!$B$7="",'Assignment Builder'!$B$7=IFERROR(INDEX('Category Dictionary'!$C$5:$C$135,MATCH($L1724,'Category Dictionary'!$D$5:$D$135,0)),"")),OR('Assignment Builder'!$B$8="",$D1724='Assignment Builder'!$B$8),OR('Assignment Builder'!$B$9="",$F1724='Assignment Builder'!$B$9),OR('Assignment Builder'!$B$10="",$O1724='Assignment Builder'!$B$10),OR('Assignment Builder'!$B$11="",$H1724&gt;='Assignment Builder'!$B$11),OR('Assignment Builder'!$B$12="",N($Q1724)&lt;='Assignment Builder'!$B$12)))</f>
        <v/>
      </c>
      <c r="T1724" s="23" t="n"/>
    </row>
    <row r="1725">
      <c r="A1725" s="23" t="n"/>
      <c r="B1725" s="23" t="n"/>
      <c r="C1725" s="24" t="n"/>
      <c r="D1725" s="15" t="n"/>
      <c r="E1725" s="23" t="n"/>
      <c r="F1725" s="15" t="n"/>
      <c r="G1725" s="23" t="n"/>
      <c r="H1725" s="25" t="n"/>
      <c r="I1725" s="15" t="n"/>
      <c r="J1725" s="26">
        <f>IF($A1725="","",LEN($C1725)-LEN(SUBSTITUTE($C1725,",",""))+1)</f>
        <v/>
      </c>
      <c r="K1725" s="26">
        <f>IF($A1725="","",SUMPRODUCT(--ISNUMBER(SEARCH('Category Dictionary'!$D$5:$D$135&amp;"",$C1725)),--('Category Dictionary'!$D$5:$D$135&lt;&gt;"")))</f>
        <v/>
      </c>
      <c r="L1725" s="27">
        <f>IF($A1725="","",TRIM(IF(ISERROR(FIND(",",$C1725)),$C1725,LEFT($C1725,FIND(",",$C1725)-1))))</f>
        <v/>
      </c>
      <c r="M1725" s="28">
        <f>IF($H1725="","",DATE(YEAR($H1725),MONTH($H1725),1))</f>
        <v/>
      </c>
      <c r="N1725" s="26">
        <f>IF($H1725="","",TODAY()-$H1725)</f>
        <v/>
      </c>
      <c r="O1725" s="15" t="n"/>
      <c r="P1725" s="15" t="n"/>
      <c r="Q1725" s="15" t="n"/>
      <c r="R1725" s="25" t="n"/>
      <c r="S1725" s="26">
        <f>IF($A1725="","",AND(OR('Assignment Builder'!$B$5="",$B1725='Assignment Builder'!$B$5),OR('Assignment Builder'!$B$6="",ISNUMBER(SEARCH('Assignment Builder'!$B$6,$C1725))),OR('Assignment Builder'!$B$7="",'Assignment Builder'!$B$7=IFERROR(INDEX('Category Dictionary'!$C$5:$C$135,MATCH($L1725,'Category Dictionary'!$D$5:$D$135,0)),"")),OR('Assignment Builder'!$B$8="",$D1725='Assignment Builder'!$B$8),OR('Assignment Builder'!$B$9="",$F1725='Assignment Builder'!$B$9),OR('Assignment Builder'!$B$10="",$O1725='Assignment Builder'!$B$10),OR('Assignment Builder'!$B$11="",$H1725&gt;='Assignment Builder'!$B$11),OR('Assignment Builder'!$B$12="",N($Q1725)&lt;='Assignment Builder'!$B$12)))</f>
        <v/>
      </c>
      <c r="T1725" s="23" t="n"/>
    </row>
    <row r="1726">
      <c r="A1726" s="23" t="n"/>
      <c r="B1726" s="23" t="n"/>
      <c r="C1726" s="24" t="n"/>
      <c r="D1726" s="15" t="n"/>
      <c r="E1726" s="23" t="n"/>
      <c r="F1726" s="15" t="n"/>
      <c r="G1726" s="23" t="n"/>
      <c r="H1726" s="25" t="n"/>
      <c r="I1726" s="15" t="n"/>
      <c r="J1726" s="26">
        <f>IF($A1726="","",LEN($C1726)-LEN(SUBSTITUTE($C1726,",",""))+1)</f>
        <v/>
      </c>
      <c r="K1726" s="26">
        <f>IF($A1726="","",SUMPRODUCT(--ISNUMBER(SEARCH('Category Dictionary'!$D$5:$D$135&amp;"",$C1726)),--('Category Dictionary'!$D$5:$D$135&lt;&gt;"")))</f>
        <v/>
      </c>
      <c r="L1726" s="27">
        <f>IF($A1726="","",TRIM(IF(ISERROR(FIND(",",$C1726)),$C1726,LEFT($C1726,FIND(",",$C1726)-1))))</f>
        <v/>
      </c>
      <c r="M1726" s="28">
        <f>IF($H1726="","",DATE(YEAR($H1726),MONTH($H1726),1))</f>
        <v/>
      </c>
      <c r="N1726" s="26">
        <f>IF($H1726="","",TODAY()-$H1726)</f>
        <v/>
      </c>
      <c r="O1726" s="15" t="n"/>
      <c r="P1726" s="15" t="n"/>
      <c r="Q1726" s="15" t="n"/>
      <c r="R1726" s="25" t="n"/>
      <c r="S1726" s="26">
        <f>IF($A1726="","",AND(OR('Assignment Builder'!$B$5="",$B1726='Assignment Builder'!$B$5),OR('Assignment Builder'!$B$6="",ISNUMBER(SEARCH('Assignment Builder'!$B$6,$C1726))),OR('Assignment Builder'!$B$7="",'Assignment Builder'!$B$7=IFERROR(INDEX('Category Dictionary'!$C$5:$C$135,MATCH($L1726,'Category Dictionary'!$D$5:$D$135,0)),"")),OR('Assignment Builder'!$B$8="",$D1726='Assignment Builder'!$B$8),OR('Assignment Builder'!$B$9="",$F1726='Assignment Builder'!$B$9),OR('Assignment Builder'!$B$10="",$O1726='Assignment Builder'!$B$10),OR('Assignment Builder'!$B$11="",$H1726&gt;='Assignment Builder'!$B$11),OR('Assignment Builder'!$B$12="",N($Q1726)&lt;='Assignment Builder'!$B$12)))</f>
        <v/>
      </c>
      <c r="T1726" s="23" t="n"/>
    </row>
    <row r="1727">
      <c r="A1727" s="23" t="n"/>
      <c r="B1727" s="23" t="n"/>
      <c r="C1727" s="24" t="n"/>
      <c r="D1727" s="15" t="n"/>
      <c r="E1727" s="23" t="n"/>
      <c r="F1727" s="15" t="n"/>
      <c r="G1727" s="23" t="n"/>
      <c r="H1727" s="25" t="n"/>
      <c r="I1727" s="15" t="n"/>
      <c r="J1727" s="26">
        <f>IF($A1727="","",LEN($C1727)-LEN(SUBSTITUTE($C1727,",",""))+1)</f>
        <v/>
      </c>
      <c r="K1727" s="26">
        <f>IF($A1727="","",SUMPRODUCT(--ISNUMBER(SEARCH('Category Dictionary'!$D$5:$D$135&amp;"",$C1727)),--('Category Dictionary'!$D$5:$D$135&lt;&gt;"")))</f>
        <v/>
      </c>
      <c r="L1727" s="27">
        <f>IF($A1727="","",TRIM(IF(ISERROR(FIND(",",$C1727)),$C1727,LEFT($C1727,FIND(",",$C1727)-1))))</f>
        <v/>
      </c>
      <c r="M1727" s="28">
        <f>IF($H1727="","",DATE(YEAR($H1727),MONTH($H1727),1))</f>
        <v/>
      </c>
      <c r="N1727" s="26">
        <f>IF($H1727="","",TODAY()-$H1727)</f>
        <v/>
      </c>
      <c r="O1727" s="15" t="n"/>
      <c r="P1727" s="15" t="n"/>
      <c r="Q1727" s="15" t="n"/>
      <c r="R1727" s="25" t="n"/>
      <c r="S1727" s="26">
        <f>IF($A1727="","",AND(OR('Assignment Builder'!$B$5="",$B1727='Assignment Builder'!$B$5),OR('Assignment Builder'!$B$6="",ISNUMBER(SEARCH('Assignment Builder'!$B$6,$C1727))),OR('Assignment Builder'!$B$7="",'Assignment Builder'!$B$7=IFERROR(INDEX('Category Dictionary'!$C$5:$C$135,MATCH($L1727,'Category Dictionary'!$D$5:$D$135,0)),"")),OR('Assignment Builder'!$B$8="",$D1727='Assignment Builder'!$B$8),OR('Assignment Builder'!$B$9="",$F1727='Assignment Builder'!$B$9),OR('Assignment Builder'!$B$10="",$O1727='Assignment Builder'!$B$10),OR('Assignment Builder'!$B$11="",$H1727&gt;='Assignment Builder'!$B$11),OR('Assignment Builder'!$B$12="",N($Q1727)&lt;='Assignment Builder'!$B$12)))</f>
        <v/>
      </c>
      <c r="T1727" s="23" t="n"/>
    </row>
    <row r="1728">
      <c r="A1728" s="23" t="n"/>
      <c r="B1728" s="23" t="n"/>
      <c r="C1728" s="24" t="n"/>
      <c r="D1728" s="15" t="n"/>
      <c r="E1728" s="23" t="n"/>
      <c r="F1728" s="15" t="n"/>
      <c r="G1728" s="23" t="n"/>
      <c r="H1728" s="25" t="n"/>
      <c r="I1728" s="15" t="n"/>
      <c r="J1728" s="26">
        <f>IF($A1728="","",LEN($C1728)-LEN(SUBSTITUTE($C1728,",",""))+1)</f>
        <v/>
      </c>
      <c r="K1728" s="26">
        <f>IF($A1728="","",SUMPRODUCT(--ISNUMBER(SEARCH('Category Dictionary'!$D$5:$D$135&amp;"",$C1728)),--('Category Dictionary'!$D$5:$D$135&lt;&gt;"")))</f>
        <v/>
      </c>
      <c r="L1728" s="27">
        <f>IF($A1728="","",TRIM(IF(ISERROR(FIND(",",$C1728)),$C1728,LEFT($C1728,FIND(",",$C1728)-1))))</f>
        <v/>
      </c>
      <c r="M1728" s="28">
        <f>IF($H1728="","",DATE(YEAR($H1728),MONTH($H1728),1))</f>
        <v/>
      </c>
      <c r="N1728" s="26">
        <f>IF($H1728="","",TODAY()-$H1728)</f>
        <v/>
      </c>
      <c r="O1728" s="15" t="n"/>
      <c r="P1728" s="15" t="n"/>
      <c r="Q1728" s="15" t="n"/>
      <c r="R1728" s="25" t="n"/>
      <c r="S1728" s="26">
        <f>IF($A1728="","",AND(OR('Assignment Builder'!$B$5="",$B1728='Assignment Builder'!$B$5),OR('Assignment Builder'!$B$6="",ISNUMBER(SEARCH('Assignment Builder'!$B$6,$C1728))),OR('Assignment Builder'!$B$7="",'Assignment Builder'!$B$7=IFERROR(INDEX('Category Dictionary'!$C$5:$C$135,MATCH($L1728,'Category Dictionary'!$D$5:$D$135,0)),"")),OR('Assignment Builder'!$B$8="",$D1728='Assignment Builder'!$B$8),OR('Assignment Builder'!$B$9="",$F1728='Assignment Builder'!$B$9),OR('Assignment Builder'!$B$10="",$O1728='Assignment Builder'!$B$10),OR('Assignment Builder'!$B$11="",$H1728&gt;='Assignment Builder'!$B$11),OR('Assignment Builder'!$B$12="",N($Q1728)&lt;='Assignment Builder'!$B$12)))</f>
        <v/>
      </c>
      <c r="T1728" s="23" t="n"/>
    </row>
    <row r="1729">
      <c r="A1729" s="23" t="n"/>
      <c r="B1729" s="23" t="n"/>
      <c r="C1729" s="24" t="n"/>
      <c r="D1729" s="15" t="n"/>
      <c r="E1729" s="23" t="n"/>
      <c r="F1729" s="15" t="n"/>
      <c r="G1729" s="23" t="n"/>
      <c r="H1729" s="25" t="n"/>
      <c r="I1729" s="15" t="n"/>
      <c r="J1729" s="26">
        <f>IF($A1729="","",LEN($C1729)-LEN(SUBSTITUTE($C1729,",",""))+1)</f>
        <v/>
      </c>
      <c r="K1729" s="26">
        <f>IF($A1729="","",SUMPRODUCT(--ISNUMBER(SEARCH('Category Dictionary'!$D$5:$D$135&amp;"",$C1729)),--('Category Dictionary'!$D$5:$D$135&lt;&gt;"")))</f>
        <v/>
      </c>
      <c r="L1729" s="27">
        <f>IF($A1729="","",TRIM(IF(ISERROR(FIND(",",$C1729)),$C1729,LEFT($C1729,FIND(",",$C1729)-1))))</f>
        <v/>
      </c>
      <c r="M1729" s="28">
        <f>IF($H1729="","",DATE(YEAR($H1729),MONTH($H1729),1))</f>
        <v/>
      </c>
      <c r="N1729" s="26">
        <f>IF($H1729="","",TODAY()-$H1729)</f>
        <v/>
      </c>
      <c r="O1729" s="15" t="n"/>
      <c r="P1729" s="15" t="n"/>
      <c r="Q1729" s="15" t="n"/>
      <c r="R1729" s="25" t="n"/>
      <c r="S1729" s="26">
        <f>IF($A1729="","",AND(OR('Assignment Builder'!$B$5="",$B1729='Assignment Builder'!$B$5),OR('Assignment Builder'!$B$6="",ISNUMBER(SEARCH('Assignment Builder'!$B$6,$C1729))),OR('Assignment Builder'!$B$7="",'Assignment Builder'!$B$7=IFERROR(INDEX('Category Dictionary'!$C$5:$C$135,MATCH($L1729,'Category Dictionary'!$D$5:$D$135,0)),"")),OR('Assignment Builder'!$B$8="",$D1729='Assignment Builder'!$B$8),OR('Assignment Builder'!$B$9="",$F1729='Assignment Builder'!$B$9),OR('Assignment Builder'!$B$10="",$O1729='Assignment Builder'!$B$10),OR('Assignment Builder'!$B$11="",$H1729&gt;='Assignment Builder'!$B$11),OR('Assignment Builder'!$B$12="",N($Q1729)&lt;='Assignment Builder'!$B$12)))</f>
        <v/>
      </c>
      <c r="T1729" s="23" t="n"/>
    </row>
    <row r="1730">
      <c r="A1730" s="23" t="n"/>
      <c r="B1730" s="23" t="n"/>
      <c r="C1730" s="24" t="n"/>
      <c r="D1730" s="15" t="n"/>
      <c r="E1730" s="23" t="n"/>
      <c r="F1730" s="15" t="n"/>
      <c r="G1730" s="23" t="n"/>
      <c r="H1730" s="25" t="n"/>
      <c r="I1730" s="15" t="n"/>
      <c r="J1730" s="26">
        <f>IF($A1730="","",LEN($C1730)-LEN(SUBSTITUTE($C1730,",",""))+1)</f>
        <v/>
      </c>
      <c r="K1730" s="26">
        <f>IF($A1730="","",SUMPRODUCT(--ISNUMBER(SEARCH('Category Dictionary'!$D$5:$D$135&amp;"",$C1730)),--('Category Dictionary'!$D$5:$D$135&lt;&gt;"")))</f>
        <v/>
      </c>
      <c r="L1730" s="27">
        <f>IF($A1730="","",TRIM(IF(ISERROR(FIND(",",$C1730)),$C1730,LEFT($C1730,FIND(",",$C1730)-1))))</f>
        <v/>
      </c>
      <c r="M1730" s="28">
        <f>IF($H1730="","",DATE(YEAR($H1730),MONTH($H1730),1))</f>
        <v/>
      </c>
      <c r="N1730" s="26">
        <f>IF($H1730="","",TODAY()-$H1730)</f>
        <v/>
      </c>
      <c r="O1730" s="15" t="n"/>
      <c r="P1730" s="15" t="n"/>
      <c r="Q1730" s="15" t="n"/>
      <c r="R1730" s="25" t="n"/>
      <c r="S1730" s="26">
        <f>IF($A1730="","",AND(OR('Assignment Builder'!$B$5="",$B1730='Assignment Builder'!$B$5),OR('Assignment Builder'!$B$6="",ISNUMBER(SEARCH('Assignment Builder'!$B$6,$C1730))),OR('Assignment Builder'!$B$7="",'Assignment Builder'!$B$7=IFERROR(INDEX('Category Dictionary'!$C$5:$C$135,MATCH($L1730,'Category Dictionary'!$D$5:$D$135,0)),"")),OR('Assignment Builder'!$B$8="",$D1730='Assignment Builder'!$B$8),OR('Assignment Builder'!$B$9="",$F1730='Assignment Builder'!$B$9),OR('Assignment Builder'!$B$10="",$O1730='Assignment Builder'!$B$10),OR('Assignment Builder'!$B$11="",$H1730&gt;='Assignment Builder'!$B$11),OR('Assignment Builder'!$B$12="",N($Q1730)&lt;='Assignment Builder'!$B$12)))</f>
        <v/>
      </c>
      <c r="T1730" s="23" t="n"/>
    </row>
    <row r="1731">
      <c r="A1731" s="23" t="n"/>
      <c r="B1731" s="23" t="n"/>
      <c r="C1731" s="24" t="n"/>
      <c r="D1731" s="15" t="n"/>
      <c r="E1731" s="23" t="n"/>
      <c r="F1731" s="15" t="n"/>
      <c r="G1731" s="23" t="n"/>
      <c r="H1731" s="25" t="n"/>
      <c r="I1731" s="15" t="n"/>
      <c r="J1731" s="26">
        <f>IF($A1731="","",LEN($C1731)-LEN(SUBSTITUTE($C1731,",",""))+1)</f>
        <v/>
      </c>
      <c r="K1731" s="26">
        <f>IF($A1731="","",SUMPRODUCT(--ISNUMBER(SEARCH('Category Dictionary'!$D$5:$D$135&amp;"",$C1731)),--('Category Dictionary'!$D$5:$D$135&lt;&gt;"")))</f>
        <v/>
      </c>
      <c r="L1731" s="27">
        <f>IF($A1731="","",TRIM(IF(ISERROR(FIND(",",$C1731)),$C1731,LEFT($C1731,FIND(",",$C1731)-1))))</f>
        <v/>
      </c>
      <c r="M1731" s="28">
        <f>IF($H1731="","",DATE(YEAR($H1731),MONTH($H1731),1))</f>
        <v/>
      </c>
      <c r="N1731" s="26">
        <f>IF($H1731="","",TODAY()-$H1731)</f>
        <v/>
      </c>
      <c r="O1731" s="15" t="n"/>
      <c r="P1731" s="15" t="n"/>
      <c r="Q1731" s="15" t="n"/>
      <c r="R1731" s="25" t="n"/>
      <c r="S1731" s="26">
        <f>IF($A1731="","",AND(OR('Assignment Builder'!$B$5="",$B1731='Assignment Builder'!$B$5),OR('Assignment Builder'!$B$6="",ISNUMBER(SEARCH('Assignment Builder'!$B$6,$C1731))),OR('Assignment Builder'!$B$7="",'Assignment Builder'!$B$7=IFERROR(INDEX('Category Dictionary'!$C$5:$C$135,MATCH($L1731,'Category Dictionary'!$D$5:$D$135,0)),"")),OR('Assignment Builder'!$B$8="",$D1731='Assignment Builder'!$B$8),OR('Assignment Builder'!$B$9="",$F1731='Assignment Builder'!$B$9),OR('Assignment Builder'!$B$10="",$O1731='Assignment Builder'!$B$10),OR('Assignment Builder'!$B$11="",$H1731&gt;='Assignment Builder'!$B$11),OR('Assignment Builder'!$B$12="",N($Q1731)&lt;='Assignment Builder'!$B$12)))</f>
        <v/>
      </c>
      <c r="T1731" s="23" t="n"/>
    </row>
    <row r="1732">
      <c r="A1732" s="23" t="n"/>
      <c r="B1732" s="23" t="n"/>
      <c r="C1732" s="24" t="n"/>
      <c r="D1732" s="15" t="n"/>
      <c r="E1732" s="23" t="n"/>
      <c r="F1732" s="15" t="n"/>
      <c r="G1732" s="23" t="n"/>
      <c r="H1732" s="25" t="n"/>
      <c r="I1732" s="15" t="n"/>
      <c r="J1732" s="26">
        <f>IF($A1732="","",LEN($C1732)-LEN(SUBSTITUTE($C1732,",",""))+1)</f>
        <v/>
      </c>
      <c r="K1732" s="26">
        <f>IF($A1732="","",SUMPRODUCT(--ISNUMBER(SEARCH('Category Dictionary'!$D$5:$D$135&amp;"",$C1732)),--('Category Dictionary'!$D$5:$D$135&lt;&gt;"")))</f>
        <v/>
      </c>
      <c r="L1732" s="27">
        <f>IF($A1732="","",TRIM(IF(ISERROR(FIND(",",$C1732)),$C1732,LEFT($C1732,FIND(",",$C1732)-1))))</f>
        <v/>
      </c>
      <c r="M1732" s="28">
        <f>IF($H1732="","",DATE(YEAR($H1732),MONTH($H1732),1))</f>
        <v/>
      </c>
      <c r="N1732" s="26">
        <f>IF($H1732="","",TODAY()-$H1732)</f>
        <v/>
      </c>
      <c r="O1732" s="15" t="n"/>
      <c r="P1732" s="15" t="n"/>
      <c r="Q1732" s="15" t="n"/>
      <c r="R1732" s="25" t="n"/>
      <c r="S1732" s="26">
        <f>IF($A1732="","",AND(OR('Assignment Builder'!$B$5="",$B1732='Assignment Builder'!$B$5),OR('Assignment Builder'!$B$6="",ISNUMBER(SEARCH('Assignment Builder'!$B$6,$C1732))),OR('Assignment Builder'!$B$7="",'Assignment Builder'!$B$7=IFERROR(INDEX('Category Dictionary'!$C$5:$C$135,MATCH($L1732,'Category Dictionary'!$D$5:$D$135,0)),"")),OR('Assignment Builder'!$B$8="",$D1732='Assignment Builder'!$B$8),OR('Assignment Builder'!$B$9="",$F1732='Assignment Builder'!$B$9),OR('Assignment Builder'!$B$10="",$O1732='Assignment Builder'!$B$10),OR('Assignment Builder'!$B$11="",$H1732&gt;='Assignment Builder'!$B$11),OR('Assignment Builder'!$B$12="",N($Q1732)&lt;='Assignment Builder'!$B$12)))</f>
        <v/>
      </c>
      <c r="T1732" s="23" t="n"/>
    </row>
    <row r="1733">
      <c r="A1733" s="23" t="n"/>
      <c r="B1733" s="23" t="n"/>
      <c r="C1733" s="24" t="n"/>
      <c r="D1733" s="15" t="n"/>
      <c r="E1733" s="23" t="n"/>
      <c r="F1733" s="15" t="n"/>
      <c r="G1733" s="23" t="n"/>
      <c r="H1733" s="25" t="n"/>
      <c r="I1733" s="15" t="n"/>
      <c r="J1733" s="26">
        <f>IF($A1733="","",LEN($C1733)-LEN(SUBSTITUTE($C1733,",",""))+1)</f>
        <v/>
      </c>
      <c r="K1733" s="26">
        <f>IF($A1733="","",SUMPRODUCT(--ISNUMBER(SEARCH('Category Dictionary'!$D$5:$D$135&amp;"",$C1733)),--('Category Dictionary'!$D$5:$D$135&lt;&gt;"")))</f>
        <v/>
      </c>
      <c r="L1733" s="27">
        <f>IF($A1733="","",TRIM(IF(ISERROR(FIND(",",$C1733)),$C1733,LEFT($C1733,FIND(",",$C1733)-1))))</f>
        <v/>
      </c>
      <c r="M1733" s="28">
        <f>IF($H1733="","",DATE(YEAR($H1733),MONTH($H1733),1))</f>
        <v/>
      </c>
      <c r="N1733" s="26">
        <f>IF($H1733="","",TODAY()-$H1733)</f>
        <v/>
      </c>
      <c r="O1733" s="15" t="n"/>
      <c r="P1733" s="15" t="n"/>
      <c r="Q1733" s="15" t="n"/>
      <c r="R1733" s="25" t="n"/>
      <c r="S1733" s="26">
        <f>IF($A1733="","",AND(OR('Assignment Builder'!$B$5="",$B1733='Assignment Builder'!$B$5),OR('Assignment Builder'!$B$6="",ISNUMBER(SEARCH('Assignment Builder'!$B$6,$C1733))),OR('Assignment Builder'!$B$7="",'Assignment Builder'!$B$7=IFERROR(INDEX('Category Dictionary'!$C$5:$C$135,MATCH($L1733,'Category Dictionary'!$D$5:$D$135,0)),"")),OR('Assignment Builder'!$B$8="",$D1733='Assignment Builder'!$B$8),OR('Assignment Builder'!$B$9="",$F1733='Assignment Builder'!$B$9),OR('Assignment Builder'!$B$10="",$O1733='Assignment Builder'!$B$10),OR('Assignment Builder'!$B$11="",$H1733&gt;='Assignment Builder'!$B$11),OR('Assignment Builder'!$B$12="",N($Q1733)&lt;='Assignment Builder'!$B$12)))</f>
        <v/>
      </c>
      <c r="T1733" s="23" t="n"/>
    </row>
    <row r="1734">
      <c r="A1734" s="23" t="n"/>
      <c r="B1734" s="23" t="n"/>
      <c r="C1734" s="24" t="n"/>
      <c r="D1734" s="15" t="n"/>
      <c r="E1734" s="23" t="n"/>
      <c r="F1734" s="15" t="n"/>
      <c r="G1734" s="23" t="n"/>
      <c r="H1734" s="25" t="n"/>
      <c r="I1734" s="15" t="n"/>
      <c r="J1734" s="26">
        <f>IF($A1734="","",LEN($C1734)-LEN(SUBSTITUTE($C1734,",",""))+1)</f>
        <v/>
      </c>
      <c r="K1734" s="26">
        <f>IF($A1734="","",SUMPRODUCT(--ISNUMBER(SEARCH('Category Dictionary'!$D$5:$D$135&amp;"",$C1734)),--('Category Dictionary'!$D$5:$D$135&lt;&gt;"")))</f>
        <v/>
      </c>
      <c r="L1734" s="27">
        <f>IF($A1734="","",TRIM(IF(ISERROR(FIND(",",$C1734)),$C1734,LEFT($C1734,FIND(",",$C1734)-1))))</f>
        <v/>
      </c>
      <c r="M1734" s="28">
        <f>IF($H1734="","",DATE(YEAR($H1734),MONTH($H1734),1))</f>
        <v/>
      </c>
      <c r="N1734" s="26">
        <f>IF($H1734="","",TODAY()-$H1734)</f>
        <v/>
      </c>
      <c r="O1734" s="15" t="n"/>
      <c r="P1734" s="15" t="n"/>
      <c r="Q1734" s="15" t="n"/>
      <c r="R1734" s="25" t="n"/>
      <c r="S1734" s="26">
        <f>IF($A1734="","",AND(OR('Assignment Builder'!$B$5="",$B1734='Assignment Builder'!$B$5),OR('Assignment Builder'!$B$6="",ISNUMBER(SEARCH('Assignment Builder'!$B$6,$C1734))),OR('Assignment Builder'!$B$7="",'Assignment Builder'!$B$7=IFERROR(INDEX('Category Dictionary'!$C$5:$C$135,MATCH($L1734,'Category Dictionary'!$D$5:$D$135,0)),"")),OR('Assignment Builder'!$B$8="",$D1734='Assignment Builder'!$B$8),OR('Assignment Builder'!$B$9="",$F1734='Assignment Builder'!$B$9),OR('Assignment Builder'!$B$10="",$O1734='Assignment Builder'!$B$10),OR('Assignment Builder'!$B$11="",$H1734&gt;='Assignment Builder'!$B$11),OR('Assignment Builder'!$B$12="",N($Q1734)&lt;='Assignment Builder'!$B$12)))</f>
        <v/>
      </c>
      <c r="T1734" s="23" t="n"/>
    </row>
    <row r="1735">
      <c r="A1735" s="23" t="n"/>
      <c r="B1735" s="23" t="n"/>
      <c r="C1735" s="24" t="n"/>
      <c r="D1735" s="15" t="n"/>
      <c r="E1735" s="23" t="n"/>
      <c r="F1735" s="15" t="n"/>
      <c r="G1735" s="23" t="n"/>
      <c r="H1735" s="25" t="n"/>
      <c r="I1735" s="15" t="n"/>
      <c r="J1735" s="26">
        <f>IF($A1735="","",LEN($C1735)-LEN(SUBSTITUTE($C1735,",",""))+1)</f>
        <v/>
      </c>
      <c r="K1735" s="26">
        <f>IF($A1735="","",SUMPRODUCT(--ISNUMBER(SEARCH('Category Dictionary'!$D$5:$D$135&amp;"",$C1735)),--('Category Dictionary'!$D$5:$D$135&lt;&gt;"")))</f>
        <v/>
      </c>
      <c r="L1735" s="27">
        <f>IF($A1735="","",TRIM(IF(ISERROR(FIND(",",$C1735)),$C1735,LEFT($C1735,FIND(",",$C1735)-1))))</f>
        <v/>
      </c>
      <c r="M1735" s="28">
        <f>IF($H1735="","",DATE(YEAR($H1735),MONTH($H1735),1))</f>
        <v/>
      </c>
      <c r="N1735" s="26">
        <f>IF($H1735="","",TODAY()-$H1735)</f>
        <v/>
      </c>
      <c r="O1735" s="15" t="n"/>
      <c r="P1735" s="15" t="n"/>
      <c r="Q1735" s="15" t="n"/>
      <c r="R1735" s="25" t="n"/>
      <c r="S1735" s="26">
        <f>IF($A1735="","",AND(OR('Assignment Builder'!$B$5="",$B1735='Assignment Builder'!$B$5),OR('Assignment Builder'!$B$6="",ISNUMBER(SEARCH('Assignment Builder'!$B$6,$C1735))),OR('Assignment Builder'!$B$7="",'Assignment Builder'!$B$7=IFERROR(INDEX('Category Dictionary'!$C$5:$C$135,MATCH($L1735,'Category Dictionary'!$D$5:$D$135,0)),"")),OR('Assignment Builder'!$B$8="",$D1735='Assignment Builder'!$B$8),OR('Assignment Builder'!$B$9="",$F1735='Assignment Builder'!$B$9),OR('Assignment Builder'!$B$10="",$O1735='Assignment Builder'!$B$10),OR('Assignment Builder'!$B$11="",$H1735&gt;='Assignment Builder'!$B$11),OR('Assignment Builder'!$B$12="",N($Q1735)&lt;='Assignment Builder'!$B$12)))</f>
        <v/>
      </c>
      <c r="T1735" s="23" t="n"/>
    </row>
    <row r="1736">
      <c r="A1736" s="23" t="n"/>
      <c r="B1736" s="23" t="n"/>
      <c r="C1736" s="24" t="n"/>
      <c r="D1736" s="15" t="n"/>
      <c r="E1736" s="23" t="n"/>
      <c r="F1736" s="15" t="n"/>
      <c r="G1736" s="23" t="n"/>
      <c r="H1736" s="25" t="n"/>
      <c r="I1736" s="15" t="n"/>
      <c r="J1736" s="26">
        <f>IF($A1736="","",LEN($C1736)-LEN(SUBSTITUTE($C1736,",",""))+1)</f>
        <v/>
      </c>
      <c r="K1736" s="26">
        <f>IF($A1736="","",SUMPRODUCT(--ISNUMBER(SEARCH('Category Dictionary'!$D$5:$D$135&amp;"",$C1736)),--('Category Dictionary'!$D$5:$D$135&lt;&gt;"")))</f>
        <v/>
      </c>
      <c r="L1736" s="27">
        <f>IF($A1736="","",TRIM(IF(ISERROR(FIND(",",$C1736)),$C1736,LEFT($C1736,FIND(",",$C1736)-1))))</f>
        <v/>
      </c>
      <c r="M1736" s="28">
        <f>IF($H1736="","",DATE(YEAR($H1736),MONTH($H1736),1))</f>
        <v/>
      </c>
      <c r="N1736" s="26">
        <f>IF($H1736="","",TODAY()-$H1736)</f>
        <v/>
      </c>
      <c r="O1736" s="15" t="n"/>
      <c r="P1736" s="15" t="n"/>
      <c r="Q1736" s="15" t="n"/>
      <c r="R1736" s="25" t="n"/>
      <c r="S1736" s="26">
        <f>IF($A1736="","",AND(OR('Assignment Builder'!$B$5="",$B1736='Assignment Builder'!$B$5),OR('Assignment Builder'!$B$6="",ISNUMBER(SEARCH('Assignment Builder'!$B$6,$C1736))),OR('Assignment Builder'!$B$7="",'Assignment Builder'!$B$7=IFERROR(INDEX('Category Dictionary'!$C$5:$C$135,MATCH($L1736,'Category Dictionary'!$D$5:$D$135,0)),"")),OR('Assignment Builder'!$B$8="",$D1736='Assignment Builder'!$B$8),OR('Assignment Builder'!$B$9="",$F1736='Assignment Builder'!$B$9),OR('Assignment Builder'!$B$10="",$O1736='Assignment Builder'!$B$10),OR('Assignment Builder'!$B$11="",$H1736&gt;='Assignment Builder'!$B$11),OR('Assignment Builder'!$B$12="",N($Q1736)&lt;='Assignment Builder'!$B$12)))</f>
        <v/>
      </c>
      <c r="T1736" s="23" t="n"/>
    </row>
    <row r="1737">
      <c r="A1737" s="23" t="n"/>
      <c r="B1737" s="23" t="n"/>
      <c r="C1737" s="24" t="n"/>
      <c r="D1737" s="15" t="n"/>
      <c r="E1737" s="23" t="n"/>
      <c r="F1737" s="15" t="n"/>
      <c r="G1737" s="23" t="n"/>
      <c r="H1737" s="25" t="n"/>
      <c r="I1737" s="15" t="n"/>
      <c r="J1737" s="26">
        <f>IF($A1737="","",LEN($C1737)-LEN(SUBSTITUTE($C1737,",",""))+1)</f>
        <v/>
      </c>
      <c r="K1737" s="26">
        <f>IF($A1737="","",SUMPRODUCT(--ISNUMBER(SEARCH('Category Dictionary'!$D$5:$D$135&amp;"",$C1737)),--('Category Dictionary'!$D$5:$D$135&lt;&gt;"")))</f>
        <v/>
      </c>
      <c r="L1737" s="27">
        <f>IF($A1737="","",TRIM(IF(ISERROR(FIND(",",$C1737)),$C1737,LEFT($C1737,FIND(",",$C1737)-1))))</f>
        <v/>
      </c>
      <c r="M1737" s="28">
        <f>IF($H1737="","",DATE(YEAR($H1737),MONTH($H1737),1))</f>
        <v/>
      </c>
      <c r="N1737" s="26">
        <f>IF($H1737="","",TODAY()-$H1737)</f>
        <v/>
      </c>
      <c r="O1737" s="15" t="n"/>
      <c r="P1737" s="15" t="n"/>
      <c r="Q1737" s="15" t="n"/>
      <c r="R1737" s="25" t="n"/>
      <c r="S1737" s="26">
        <f>IF($A1737="","",AND(OR('Assignment Builder'!$B$5="",$B1737='Assignment Builder'!$B$5),OR('Assignment Builder'!$B$6="",ISNUMBER(SEARCH('Assignment Builder'!$B$6,$C1737))),OR('Assignment Builder'!$B$7="",'Assignment Builder'!$B$7=IFERROR(INDEX('Category Dictionary'!$C$5:$C$135,MATCH($L1737,'Category Dictionary'!$D$5:$D$135,0)),"")),OR('Assignment Builder'!$B$8="",$D1737='Assignment Builder'!$B$8),OR('Assignment Builder'!$B$9="",$F1737='Assignment Builder'!$B$9),OR('Assignment Builder'!$B$10="",$O1737='Assignment Builder'!$B$10),OR('Assignment Builder'!$B$11="",$H1737&gt;='Assignment Builder'!$B$11),OR('Assignment Builder'!$B$12="",N($Q1737)&lt;='Assignment Builder'!$B$12)))</f>
        <v/>
      </c>
      <c r="T1737" s="23" t="n"/>
    </row>
    <row r="1738">
      <c r="A1738" s="23" t="n"/>
      <c r="B1738" s="23" t="n"/>
      <c r="C1738" s="24" t="n"/>
      <c r="D1738" s="15" t="n"/>
      <c r="E1738" s="23" t="n"/>
      <c r="F1738" s="15" t="n"/>
      <c r="G1738" s="23" t="n"/>
      <c r="H1738" s="25" t="n"/>
      <c r="I1738" s="15" t="n"/>
      <c r="J1738" s="26">
        <f>IF($A1738="","",LEN($C1738)-LEN(SUBSTITUTE($C1738,",",""))+1)</f>
        <v/>
      </c>
      <c r="K1738" s="26">
        <f>IF($A1738="","",SUMPRODUCT(--ISNUMBER(SEARCH('Category Dictionary'!$D$5:$D$135&amp;"",$C1738)),--('Category Dictionary'!$D$5:$D$135&lt;&gt;"")))</f>
        <v/>
      </c>
      <c r="L1738" s="27">
        <f>IF($A1738="","",TRIM(IF(ISERROR(FIND(",",$C1738)),$C1738,LEFT($C1738,FIND(",",$C1738)-1))))</f>
        <v/>
      </c>
      <c r="M1738" s="28">
        <f>IF($H1738="","",DATE(YEAR($H1738),MONTH($H1738),1))</f>
        <v/>
      </c>
      <c r="N1738" s="26">
        <f>IF($H1738="","",TODAY()-$H1738)</f>
        <v/>
      </c>
      <c r="O1738" s="15" t="n"/>
      <c r="P1738" s="15" t="n"/>
      <c r="Q1738" s="15" t="n"/>
      <c r="R1738" s="25" t="n"/>
      <c r="S1738" s="26">
        <f>IF($A1738="","",AND(OR('Assignment Builder'!$B$5="",$B1738='Assignment Builder'!$B$5),OR('Assignment Builder'!$B$6="",ISNUMBER(SEARCH('Assignment Builder'!$B$6,$C1738))),OR('Assignment Builder'!$B$7="",'Assignment Builder'!$B$7=IFERROR(INDEX('Category Dictionary'!$C$5:$C$135,MATCH($L1738,'Category Dictionary'!$D$5:$D$135,0)),"")),OR('Assignment Builder'!$B$8="",$D1738='Assignment Builder'!$B$8),OR('Assignment Builder'!$B$9="",$F1738='Assignment Builder'!$B$9),OR('Assignment Builder'!$B$10="",$O1738='Assignment Builder'!$B$10),OR('Assignment Builder'!$B$11="",$H1738&gt;='Assignment Builder'!$B$11),OR('Assignment Builder'!$B$12="",N($Q1738)&lt;='Assignment Builder'!$B$12)))</f>
        <v/>
      </c>
      <c r="T1738" s="23" t="n"/>
    </row>
    <row r="1739">
      <c r="A1739" s="23" t="n"/>
      <c r="B1739" s="23" t="n"/>
      <c r="C1739" s="24" t="n"/>
      <c r="D1739" s="15" t="n"/>
      <c r="E1739" s="23" t="n"/>
      <c r="F1739" s="15" t="n"/>
      <c r="G1739" s="23" t="n"/>
      <c r="H1739" s="25" t="n"/>
      <c r="I1739" s="15" t="n"/>
      <c r="J1739" s="26">
        <f>IF($A1739="","",LEN($C1739)-LEN(SUBSTITUTE($C1739,",",""))+1)</f>
        <v/>
      </c>
      <c r="K1739" s="26">
        <f>IF($A1739="","",SUMPRODUCT(--ISNUMBER(SEARCH('Category Dictionary'!$D$5:$D$135&amp;"",$C1739)),--('Category Dictionary'!$D$5:$D$135&lt;&gt;"")))</f>
        <v/>
      </c>
      <c r="L1739" s="27">
        <f>IF($A1739="","",TRIM(IF(ISERROR(FIND(",",$C1739)),$C1739,LEFT($C1739,FIND(",",$C1739)-1))))</f>
        <v/>
      </c>
      <c r="M1739" s="28">
        <f>IF($H1739="","",DATE(YEAR($H1739),MONTH($H1739),1))</f>
        <v/>
      </c>
      <c r="N1739" s="26">
        <f>IF($H1739="","",TODAY()-$H1739)</f>
        <v/>
      </c>
      <c r="O1739" s="15" t="n"/>
      <c r="P1739" s="15" t="n"/>
      <c r="Q1739" s="15" t="n"/>
      <c r="R1739" s="25" t="n"/>
      <c r="S1739" s="26">
        <f>IF($A1739="","",AND(OR('Assignment Builder'!$B$5="",$B1739='Assignment Builder'!$B$5),OR('Assignment Builder'!$B$6="",ISNUMBER(SEARCH('Assignment Builder'!$B$6,$C1739))),OR('Assignment Builder'!$B$7="",'Assignment Builder'!$B$7=IFERROR(INDEX('Category Dictionary'!$C$5:$C$135,MATCH($L1739,'Category Dictionary'!$D$5:$D$135,0)),"")),OR('Assignment Builder'!$B$8="",$D1739='Assignment Builder'!$B$8),OR('Assignment Builder'!$B$9="",$F1739='Assignment Builder'!$B$9),OR('Assignment Builder'!$B$10="",$O1739='Assignment Builder'!$B$10),OR('Assignment Builder'!$B$11="",$H1739&gt;='Assignment Builder'!$B$11),OR('Assignment Builder'!$B$12="",N($Q1739)&lt;='Assignment Builder'!$B$12)))</f>
        <v/>
      </c>
      <c r="T1739" s="23" t="n"/>
    </row>
    <row r="1740">
      <c r="A1740" s="23" t="n"/>
      <c r="B1740" s="23" t="n"/>
      <c r="C1740" s="24" t="n"/>
      <c r="D1740" s="15" t="n"/>
      <c r="E1740" s="23" t="n"/>
      <c r="F1740" s="15" t="n"/>
      <c r="G1740" s="23" t="n"/>
      <c r="H1740" s="25" t="n"/>
      <c r="I1740" s="15" t="n"/>
      <c r="J1740" s="26">
        <f>IF($A1740="","",LEN($C1740)-LEN(SUBSTITUTE($C1740,",",""))+1)</f>
        <v/>
      </c>
      <c r="K1740" s="26">
        <f>IF($A1740="","",SUMPRODUCT(--ISNUMBER(SEARCH('Category Dictionary'!$D$5:$D$135&amp;"",$C1740)),--('Category Dictionary'!$D$5:$D$135&lt;&gt;"")))</f>
        <v/>
      </c>
      <c r="L1740" s="27">
        <f>IF($A1740="","",TRIM(IF(ISERROR(FIND(",",$C1740)),$C1740,LEFT($C1740,FIND(",",$C1740)-1))))</f>
        <v/>
      </c>
      <c r="M1740" s="28">
        <f>IF($H1740="","",DATE(YEAR($H1740),MONTH($H1740),1))</f>
        <v/>
      </c>
      <c r="N1740" s="26">
        <f>IF($H1740="","",TODAY()-$H1740)</f>
        <v/>
      </c>
      <c r="O1740" s="15" t="n"/>
      <c r="P1740" s="15" t="n"/>
      <c r="Q1740" s="15" t="n"/>
      <c r="R1740" s="25" t="n"/>
      <c r="S1740" s="26">
        <f>IF($A1740="","",AND(OR('Assignment Builder'!$B$5="",$B1740='Assignment Builder'!$B$5),OR('Assignment Builder'!$B$6="",ISNUMBER(SEARCH('Assignment Builder'!$B$6,$C1740))),OR('Assignment Builder'!$B$7="",'Assignment Builder'!$B$7=IFERROR(INDEX('Category Dictionary'!$C$5:$C$135,MATCH($L1740,'Category Dictionary'!$D$5:$D$135,0)),"")),OR('Assignment Builder'!$B$8="",$D1740='Assignment Builder'!$B$8),OR('Assignment Builder'!$B$9="",$F1740='Assignment Builder'!$B$9),OR('Assignment Builder'!$B$10="",$O1740='Assignment Builder'!$B$10),OR('Assignment Builder'!$B$11="",$H1740&gt;='Assignment Builder'!$B$11),OR('Assignment Builder'!$B$12="",N($Q1740)&lt;='Assignment Builder'!$B$12)))</f>
        <v/>
      </c>
      <c r="T1740" s="23" t="n"/>
    </row>
    <row r="1741">
      <c r="A1741" s="23" t="n"/>
      <c r="B1741" s="23" t="n"/>
      <c r="C1741" s="24" t="n"/>
      <c r="D1741" s="15" t="n"/>
      <c r="E1741" s="23" t="n"/>
      <c r="F1741" s="15" t="n"/>
      <c r="G1741" s="23" t="n"/>
      <c r="H1741" s="25" t="n"/>
      <c r="I1741" s="15" t="n"/>
      <c r="J1741" s="26">
        <f>IF($A1741="","",LEN($C1741)-LEN(SUBSTITUTE($C1741,",",""))+1)</f>
        <v/>
      </c>
      <c r="K1741" s="26">
        <f>IF($A1741="","",SUMPRODUCT(--ISNUMBER(SEARCH('Category Dictionary'!$D$5:$D$135&amp;"",$C1741)),--('Category Dictionary'!$D$5:$D$135&lt;&gt;"")))</f>
        <v/>
      </c>
      <c r="L1741" s="27">
        <f>IF($A1741="","",TRIM(IF(ISERROR(FIND(",",$C1741)),$C1741,LEFT($C1741,FIND(",",$C1741)-1))))</f>
        <v/>
      </c>
      <c r="M1741" s="28">
        <f>IF($H1741="","",DATE(YEAR($H1741),MONTH($H1741),1))</f>
        <v/>
      </c>
      <c r="N1741" s="26">
        <f>IF($H1741="","",TODAY()-$H1741)</f>
        <v/>
      </c>
      <c r="O1741" s="15" t="n"/>
      <c r="P1741" s="15" t="n"/>
      <c r="Q1741" s="15" t="n"/>
      <c r="R1741" s="25" t="n"/>
      <c r="S1741" s="26">
        <f>IF($A1741="","",AND(OR('Assignment Builder'!$B$5="",$B1741='Assignment Builder'!$B$5),OR('Assignment Builder'!$B$6="",ISNUMBER(SEARCH('Assignment Builder'!$B$6,$C1741))),OR('Assignment Builder'!$B$7="",'Assignment Builder'!$B$7=IFERROR(INDEX('Category Dictionary'!$C$5:$C$135,MATCH($L1741,'Category Dictionary'!$D$5:$D$135,0)),"")),OR('Assignment Builder'!$B$8="",$D1741='Assignment Builder'!$B$8),OR('Assignment Builder'!$B$9="",$F1741='Assignment Builder'!$B$9),OR('Assignment Builder'!$B$10="",$O1741='Assignment Builder'!$B$10),OR('Assignment Builder'!$B$11="",$H1741&gt;='Assignment Builder'!$B$11),OR('Assignment Builder'!$B$12="",N($Q1741)&lt;='Assignment Builder'!$B$12)))</f>
        <v/>
      </c>
      <c r="T1741" s="23" t="n"/>
    </row>
    <row r="1742">
      <c r="A1742" s="23" t="n"/>
      <c r="B1742" s="23" t="n"/>
      <c r="C1742" s="24" t="n"/>
      <c r="D1742" s="15" t="n"/>
      <c r="E1742" s="23" t="n"/>
      <c r="F1742" s="15" t="n"/>
      <c r="G1742" s="23" t="n"/>
      <c r="H1742" s="25" t="n"/>
      <c r="I1742" s="15" t="n"/>
      <c r="J1742" s="26">
        <f>IF($A1742="","",LEN($C1742)-LEN(SUBSTITUTE($C1742,",",""))+1)</f>
        <v/>
      </c>
      <c r="K1742" s="26">
        <f>IF($A1742="","",SUMPRODUCT(--ISNUMBER(SEARCH('Category Dictionary'!$D$5:$D$135&amp;"",$C1742)),--('Category Dictionary'!$D$5:$D$135&lt;&gt;"")))</f>
        <v/>
      </c>
      <c r="L1742" s="27">
        <f>IF($A1742="","",TRIM(IF(ISERROR(FIND(",",$C1742)),$C1742,LEFT($C1742,FIND(",",$C1742)-1))))</f>
        <v/>
      </c>
      <c r="M1742" s="28">
        <f>IF($H1742="","",DATE(YEAR($H1742),MONTH($H1742),1))</f>
        <v/>
      </c>
      <c r="N1742" s="26">
        <f>IF($H1742="","",TODAY()-$H1742)</f>
        <v/>
      </c>
      <c r="O1742" s="15" t="n"/>
      <c r="P1742" s="15" t="n"/>
      <c r="Q1742" s="15" t="n"/>
      <c r="R1742" s="25" t="n"/>
      <c r="S1742" s="26">
        <f>IF($A1742="","",AND(OR('Assignment Builder'!$B$5="",$B1742='Assignment Builder'!$B$5),OR('Assignment Builder'!$B$6="",ISNUMBER(SEARCH('Assignment Builder'!$B$6,$C1742))),OR('Assignment Builder'!$B$7="",'Assignment Builder'!$B$7=IFERROR(INDEX('Category Dictionary'!$C$5:$C$135,MATCH($L1742,'Category Dictionary'!$D$5:$D$135,0)),"")),OR('Assignment Builder'!$B$8="",$D1742='Assignment Builder'!$B$8),OR('Assignment Builder'!$B$9="",$F1742='Assignment Builder'!$B$9),OR('Assignment Builder'!$B$10="",$O1742='Assignment Builder'!$B$10),OR('Assignment Builder'!$B$11="",$H1742&gt;='Assignment Builder'!$B$11),OR('Assignment Builder'!$B$12="",N($Q1742)&lt;='Assignment Builder'!$B$12)))</f>
        <v/>
      </c>
      <c r="T1742" s="23" t="n"/>
    </row>
    <row r="1743">
      <c r="A1743" s="23" t="n"/>
      <c r="B1743" s="23" t="n"/>
      <c r="C1743" s="24" t="n"/>
      <c r="D1743" s="15" t="n"/>
      <c r="E1743" s="23" t="n"/>
      <c r="F1743" s="15" t="n"/>
      <c r="G1743" s="23" t="n"/>
      <c r="H1743" s="25" t="n"/>
      <c r="I1743" s="15" t="n"/>
      <c r="J1743" s="26">
        <f>IF($A1743="","",LEN($C1743)-LEN(SUBSTITUTE($C1743,",",""))+1)</f>
        <v/>
      </c>
      <c r="K1743" s="26">
        <f>IF($A1743="","",SUMPRODUCT(--ISNUMBER(SEARCH('Category Dictionary'!$D$5:$D$135&amp;"",$C1743)),--('Category Dictionary'!$D$5:$D$135&lt;&gt;"")))</f>
        <v/>
      </c>
      <c r="L1743" s="27">
        <f>IF($A1743="","",TRIM(IF(ISERROR(FIND(",",$C1743)),$C1743,LEFT($C1743,FIND(",",$C1743)-1))))</f>
        <v/>
      </c>
      <c r="M1743" s="28">
        <f>IF($H1743="","",DATE(YEAR($H1743),MONTH($H1743),1))</f>
        <v/>
      </c>
      <c r="N1743" s="26">
        <f>IF($H1743="","",TODAY()-$H1743)</f>
        <v/>
      </c>
      <c r="O1743" s="15" t="n"/>
      <c r="P1743" s="15" t="n"/>
      <c r="Q1743" s="15" t="n"/>
      <c r="R1743" s="25" t="n"/>
      <c r="S1743" s="26">
        <f>IF($A1743="","",AND(OR('Assignment Builder'!$B$5="",$B1743='Assignment Builder'!$B$5),OR('Assignment Builder'!$B$6="",ISNUMBER(SEARCH('Assignment Builder'!$B$6,$C1743))),OR('Assignment Builder'!$B$7="",'Assignment Builder'!$B$7=IFERROR(INDEX('Category Dictionary'!$C$5:$C$135,MATCH($L1743,'Category Dictionary'!$D$5:$D$135,0)),"")),OR('Assignment Builder'!$B$8="",$D1743='Assignment Builder'!$B$8),OR('Assignment Builder'!$B$9="",$F1743='Assignment Builder'!$B$9),OR('Assignment Builder'!$B$10="",$O1743='Assignment Builder'!$B$10),OR('Assignment Builder'!$B$11="",$H1743&gt;='Assignment Builder'!$B$11),OR('Assignment Builder'!$B$12="",N($Q1743)&lt;='Assignment Builder'!$B$12)))</f>
        <v/>
      </c>
      <c r="T1743" s="23" t="n"/>
    </row>
    <row r="1744">
      <c r="A1744" s="23" t="n"/>
      <c r="B1744" s="23" t="n"/>
      <c r="C1744" s="24" t="n"/>
      <c r="D1744" s="15" t="n"/>
      <c r="E1744" s="23" t="n"/>
      <c r="F1744" s="15" t="n"/>
      <c r="G1744" s="23" t="n"/>
      <c r="H1744" s="25" t="n"/>
      <c r="I1744" s="15" t="n"/>
      <c r="J1744" s="26">
        <f>IF($A1744="","",LEN($C1744)-LEN(SUBSTITUTE($C1744,",",""))+1)</f>
        <v/>
      </c>
      <c r="K1744" s="26">
        <f>IF($A1744="","",SUMPRODUCT(--ISNUMBER(SEARCH('Category Dictionary'!$D$5:$D$135&amp;"",$C1744)),--('Category Dictionary'!$D$5:$D$135&lt;&gt;"")))</f>
        <v/>
      </c>
      <c r="L1744" s="27">
        <f>IF($A1744="","",TRIM(IF(ISERROR(FIND(",",$C1744)),$C1744,LEFT($C1744,FIND(",",$C1744)-1))))</f>
        <v/>
      </c>
      <c r="M1744" s="28">
        <f>IF($H1744="","",DATE(YEAR($H1744),MONTH($H1744),1))</f>
        <v/>
      </c>
      <c r="N1744" s="26">
        <f>IF($H1744="","",TODAY()-$H1744)</f>
        <v/>
      </c>
      <c r="O1744" s="15" t="n"/>
      <c r="P1744" s="15" t="n"/>
      <c r="Q1744" s="15" t="n"/>
      <c r="R1744" s="25" t="n"/>
      <c r="S1744" s="26">
        <f>IF($A1744="","",AND(OR('Assignment Builder'!$B$5="",$B1744='Assignment Builder'!$B$5),OR('Assignment Builder'!$B$6="",ISNUMBER(SEARCH('Assignment Builder'!$B$6,$C1744))),OR('Assignment Builder'!$B$7="",'Assignment Builder'!$B$7=IFERROR(INDEX('Category Dictionary'!$C$5:$C$135,MATCH($L1744,'Category Dictionary'!$D$5:$D$135,0)),"")),OR('Assignment Builder'!$B$8="",$D1744='Assignment Builder'!$B$8),OR('Assignment Builder'!$B$9="",$F1744='Assignment Builder'!$B$9),OR('Assignment Builder'!$B$10="",$O1744='Assignment Builder'!$B$10),OR('Assignment Builder'!$B$11="",$H1744&gt;='Assignment Builder'!$B$11),OR('Assignment Builder'!$B$12="",N($Q1744)&lt;='Assignment Builder'!$B$12)))</f>
        <v/>
      </c>
      <c r="T1744" s="23" t="n"/>
    </row>
    <row r="1745">
      <c r="A1745" s="23" t="n"/>
      <c r="B1745" s="23" t="n"/>
      <c r="C1745" s="24" t="n"/>
      <c r="D1745" s="15" t="n"/>
      <c r="E1745" s="23" t="n"/>
      <c r="F1745" s="15" t="n"/>
      <c r="G1745" s="23" t="n"/>
      <c r="H1745" s="25" t="n"/>
      <c r="I1745" s="15" t="n"/>
      <c r="J1745" s="26">
        <f>IF($A1745="","",LEN($C1745)-LEN(SUBSTITUTE($C1745,",",""))+1)</f>
        <v/>
      </c>
      <c r="K1745" s="26">
        <f>IF($A1745="","",SUMPRODUCT(--ISNUMBER(SEARCH('Category Dictionary'!$D$5:$D$135&amp;"",$C1745)),--('Category Dictionary'!$D$5:$D$135&lt;&gt;"")))</f>
        <v/>
      </c>
      <c r="L1745" s="27">
        <f>IF($A1745="","",TRIM(IF(ISERROR(FIND(",",$C1745)),$C1745,LEFT($C1745,FIND(",",$C1745)-1))))</f>
        <v/>
      </c>
      <c r="M1745" s="28">
        <f>IF($H1745="","",DATE(YEAR($H1745),MONTH($H1745),1))</f>
        <v/>
      </c>
      <c r="N1745" s="26">
        <f>IF($H1745="","",TODAY()-$H1745)</f>
        <v/>
      </c>
      <c r="O1745" s="15" t="n"/>
      <c r="P1745" s="15" t="n"/>
      <c r="Q1745" s="15" t="n"/>
      <c r="R1745" s="25" t="n"/>
      <c r="S1745" s="26">
        <f>IF($A1745="","",AND(OR('Assignment Builder'!$B$5="",$B1745='Assignment Builder'!$B$5),OR('Assignment Builder'!$B$6="",ISNUMBER(SEARCH('Assignment Builder'!$B$6,$C1745))),OR('Assignment Builder'!$B$7="",'Assignment Builder'!$B$7=IFERROR(INDEX('Category Dictionary'!$C$5:$C$135,MATCH($L1745,'Category Dictionary'!$D$5:$D$135,0)),"")),OR('Assignment Builder'!$B$8="",$D1745='Assignment Builder'!$B$8),OR('Assignment Builder'!$B$9="",$F1745='Assignment Builder'!$B$9),OR('Assignment Builder'!$B$10="",$O1745='Assignment Builder'!$B$10),OR('Assignment Builder'!$B$11="",$H1745&gt;='Assignment Builder'!$B$11),OR('Assignment Builder'!$B$12="",N($Q1745)&lt;='Assignment Builder'!$B$12)))</f>
        <v/>
      </c>
      <c r="T1745" s="23" t="n"/>
    </row>
    <row r="1746">
      <c r="A1746" s="23" t="n"/>
      <c r="B1746" s="23" t="n"/>
      <c r="C1746" s="24" t="n"/>
      <c r="D1746" s="15" t="n"/>
      <c r="E1746" s="23" t="n"/>
      <c r="F1746" s="15" t="n"/>
      <c r="G1746" s="23" t="n"/>
      <c r="H1746" s="25" t="n"/>
      <c r="I1746" s="15" t="n"/>
      <c r="J1746" s="26">
        <f>IF($A1746="","",LEN($C1746)-LEN(SUBSTITUTE($C1746,",",""))+1)</f>
        <v/>
      </c>
      <c r="K1746" s="26">
        <f>IF($A1746="","",SUMPRODUCT(--ISNUMBER(SEARCH('Category Dictionary'!$D$5:$D$135&amp;"",$C1746)),--('Category Dictionary'!$D$5:$D$135&lt;&gt;"")))</f>
        <v/>
      </c>
      <c r="L1746" s="27">
        <f>IF($A1746="","",TRIM(IF(ISERROR(FIND(",",$C1746)),$C1746,LEFT($C1746,FIND(",",$C1746)-1))))</f>
        <v/>
      </c>
      <c r="M1746" s="28">
        <f>IF($H1746="","",DATE(YEAR($H1746),MONTH($H1746),1))</f>
        <v/>
      </c>
      <c r="N1746" s="26">
        <f>IF($H1746="","",TODAY()-$H1746)</f>
        <v/>
      </c>
      <c r="O1746" s="15" t="n"/>
      <c r="P1746" s="15" t="n"/>
      <c r="Q1746" s="15" t="n"/>
      <c r="R1746" s="25" t="n"/>
      <c r="S1746" s="26">
        <f>IF($A1746="","",AND(OR('Assignment Builder'!$B$5="",$B1746='Assignment Builder'!$B$5),OR('Assignment Builder'!$B$6="",ISNUMBER(SEARCH('Assignment Builder'!$B$6,$C1746))),OR('Assignment Builder'!$B$7="",'Assignment Builder'!$B$7=IFERROR(INDEX('Category Dictionary'!$C$5:$C$135,MATCH($L1746,'Category Dictionary'!$D$5:$D$135,0)),"")),OR('Assignment Builder'!$B$8="",$D1746='Assignment Builder'!$B$8),OR('Assignment Builder'!$B$9="",$F1746='Assignment Builder'!$B$9),OR('Assignment Builder'!$B$10="",$O1746='Assignment Builder'!$B$10),OR('Assignment Builder'!$B$11="",$H1746&gt;='Assignment Builder'!$B$11),OR('Assignment Builder'!$B$12="",N($Q1746)&lt;='Assignment Builder'!$B$12)))</f>
        <v/>
      </c>
      <c r="T1746" s="23" t="n"/>
    </row>
    <row r="1747">
      <c r="A1747" s="23" t="n"/>
      <c r="B1747" s="23" t="n"/>
      <c r="C1747" s="24" t="n"/>
      <c r="D1747" s="15" t="n"/>
      <c r="E1747" s="23" t="n"/>
      <c r="F1747" s="15" t="n"/>
      <c r="G1747" s="23" t="n"/>
      <c r="H1747" s="25" t="n"/>
      <c r="I1747" s="15" t="n"/>
      <c r="J1747" s="26">
        <f>IF($A1747="","",LEN($C1747)-LEN(SUBSTITUTE($C1747,",",""))+1)</f>
        <v/>
      </c>
      <c r="K1747" s="26">
        <f>IF($A1747="","",SUMPRODUCT(--ISNUMBER(SEARCH('Category Dictionary'!$D$5:$D$135&amp;"",$C1747)),--('Category Dictionary'!$D$5:$D$135&lt;&gt;"")))</f>
        <v/>
      </c>
      <c r="L1747" s="27">
        <f>IF($A1747="","",TRIM(IF(ISERROR(FIND(",",$C1747)),$C1747,LEFT($C1747,FIND(",",$C1747)-1))))</f>
        <v/>
      </c>
      <c r="M1747" s="28">
        <f>IF($H1747="","",DATE(YEAR($H1747),MONTH($H1747),1))</f>
        <v/>
      </c>
      <c r="N1747" s="26">
        <f>IF($H1747="","",TODAY()-$H1747)</f>
        <v/>
      </c>
      <c r="O1747" s="15" t="n"/>
      <c r="P1747" s="15" t="n"/>
      <c r="Q1747" s="15" t="n"/>
      <c r="R1747" s="25" t="n"/>
      <c r="S1747" s="26">
        <f>IF($A1747="","",AND(OR('Assignment Builder'!$B$5="",$B1747='Assignment Builder'!$B$5),OR('Assignment Builder'!$B$6="",ISNUMBER(SEARCH('Assignment Builder'!$B$6,$C1747))),OR('Assignment Builder'!$B$7="",'Assignment Builder'!$B$7=IFERROR(INDEX('Category Dictionary'!$C$5:$C$135,MATCH($L1747,'Category Dictionary'!$D$5:$D$135,0)),"")),OR('Assignment Builder'!$B$8="",$D1747='Assignment Builder'!$B$8),OR('Assignment Builder'!$B$9="",$F1747='Assignment Builder'!$B$9),OR('Assignment Builder'!$B$10="",$O1747='Assignment Builder'!$B$10),OR('Assignment Builder'!$B$11="",$H1747&gt;='Assignment Builder'!$B$11),OR('Assignment Builder'!$B$12="",N($Q1747)&lt;='Assignment Builder'!$B$12)))</f>
        <v/>
      </c>
      <c r="T1747" s="23" t="n"/>
    </row>
    <row r="1748">
      <c r="A1748" s="23" t="n"/>
      <c r="B1748" s="23" t="n"/>
      <c r="C1748" s="24" t="n"/>
      <c r="D1748" s="15" t="n"/>
      <c r="E1748" s="23" t="n"/>
      <c r="F1748" s="15" t="n"/>
      <c r="G1748" s="23" t="n"/>
      <c r="H1748" s="25" t="n"/>
      <c r="I1748" s="15" t="n"/>
      <c r="J1748" s="26">
        <f>IF($A1748="","",LEN($C1748)-LEN(SUBSTITUTE($C1748,",",""))+1)</f>
        <v/>
      </c>
      <c r="K1748" s="26">
        <f>IF($A1748="","",SUMPRODUCT(--ISNUMBER(SEARCH('Category Dictionary'!$D$5:$D$135&amp;"",$C1748)),--('Category Dictionary'!$D$5:$D$135&lt;&gt;"")))</f>
        <v/>
      </c>
      <c r="L1748" s="27">
        <f>IF($A1748="","",TRIM(IF(ISERROR(FIND(",",$C1748)),$C1748,LEFT($C1748,FIND(",",$C1748)-1))))</f>
        <v/>
      </c>
      <c r="M1748" s="28">
        <f>IF($H1748="","",DATE(YEAR($H1748),MONTH($H1748),1))</f>
        <v/>
      </c>
      <c r="N1748" s="26">
        <f>IF($H1748="","",TODAY()-$H1748)</f>
        <v/>
      </c>
      <c r="O1748" s="15" t="n"/>
      <c r="P1748" s="15" t="n"/>
      <c r="Q1748" s="15" t="n"/>
      <c r="R1748" s="25" t="n"/>
      <c r="S1748" s="26">
        <f>IF($A1748="","",AND(OR('Assignment Builder'!$B$5="",$B1748='Assignment Builder'!$B$5),OR('Assignment Builder'!$B$6="",ISNUMBER(SEARCH('Assignment Builder'!$B$6,$C1748))),OR('Assignment Builder'!$B$7="",'Assignment Builder'!$B$7=IFERROR(INDEX('Category Dictionary'!$C$5:$C$135,MATCH($L1748,'Category Dictionary'!$D$5:$D$135,0)),"")),OR('Assignment Builder'!$B$8="",$D1748='Assignment Builder'!$B$8),OR('Assignment Builder'!$B$9="",$F1748='Assignment Builder'!$B$9),OR('Assignment Builder'!$B$10="",$O1748='Assignment Builder'!$B$10),OR('Assignment Builder'!$B$11="",$H1748&gt;='Assignment Builder'!$B$11),OR('Assignment Builder'!$B$12="",N($Q1748)&lt;='Assignment Builder'!$B$12)))</f>
        <v/>
      </c>
      <c r="T1748" s="23" t="n"/>
    </row>
    <row r="1749">
      <c r="A1749" s="23" t="n"/>
      <c r="B1749" s="23" t="n"/>
      <c r="C1749" s="24" t="n"/>
      <c r="D1749" s="15" t="n"/>
      <c r="E1749" s="23" t="n"/>
      <c r="F1749" s="15" t="n"/>
      <c r="G1749" s="23" t="n"/>
      <c r="H1749" s="25" t="n"/>
      <c r="I1749" s="15" t="n"/>
      <c r="J1749" s="26">
        <f>IF($A1749="","",LEN($C1749)-LEN(SUBSTITUTE($C1749,",",""))+1)</f>
        <v/>
      </c>
      <c r="K1749" s="26">
        <f>IF($A1749="","",SUMPRODUCT(--ISNUMBER(SEARCH('Category Dictionary'!$D$5:$D$135&amp;"",$C1749)),--('Category Dictionary'!$D$5:$D$135&lt;&gt;"")))</f>
        <v/>
      </c>
      <c r="L1749" s="27">
        <f>IF($A1749="","",TRIM(IF(ISERROR(FIND(",",$C1749)),$C1749,LEFT($C1749,FIND(",",$C1749)-1))))</f>
        <v/>
      </c>
      <c r="M1749" s="28">
        <f>IF($H1749="","",DATE(YEAR($H1749),MONTH($H1749),1))</f>
        <v/>
      </c>
      <c r="N1749" s="26">
        <f>IF($H1749="","",TODAY()-$H1749)</f>
        <v/>
      </c>
      <c r="O1749" s="15" t="n"/>
      <c r="P1749" s="15" t="n"/>
      <c r="Q1749" s="15" t="n"/>
      <c r="R1749" s="25" t="n"/>
      <c r="S1749" s="26">
        <f>IF($A1749="","",AND(OR('Assignment Builder'!$B$5="",$B1749='Assignment Builder'!$B$5),OR('Assignment Builder'!$B$6="",ISNUMBER(SEARCH('Assignment Builder'!$B$6,$C1749))),OR('Assignment Builder'!$B$7="",'Assignment Builder'!$B$7=IFERROR(INDEX('Category Dictionary'!$C$5:$C$135,MATCH($L1749,'Category Dictionary'!$D$5:$D$135,0)),"")),OR('Assignment Builder'!$B$8="",$D1749='Assignment Builder'!$B$8),OR('Assignment Builder'!$B$9="",$F1749='Assignment Builder'!$B$9),OR('Assignment Builder'!$B$10="",$O1749='Assignment Builder'!$B$10),OR('Assignment Builder'!$B$11="",$H1749&gt;='Assignment Builder'!$B$11),OR('Assignment Builder'!$B$12="",N($Q1749)&lt;='Assignment Builder'!$B$12)))</f>
        <v/>
      </c>
      <c r="T1749" s="23" t="n"/>
    </row>
    <row r="1750">
      <c r="A1750" s="23" t="n"/>
      <c r="B1750" s="23" t="n"/>
      <c r="C1750" s="24" t="n"/>
      <c r="D1750" s="15" t="n"/>
      <c r="E1750" s="23" t="n"/>
      <c r="F1750" s="15" t="n"/>
      <c r="G1750" s="23" t="n"/>
      <c r="H1750" s="25" t="n"/>
      <c r="I1750" s="15" t="n"/>
      <c r="J1750" s="26">
        <f>IF($A1750="","",LEN($C1750)-LEN(SUBSTITUTE($C1750,",",""))+1)</f>
        <v/>
      </c>
      <c r="K1750" s="26">
        <f>IF($A1750="","",SUMPRODUCT(--ISNUMBER(SEARCH('Category Dictionary'!$D$5:$D$135&amp;"",$C1750)),--('Category Dictionary'!$D$5:$D$135&lt;&gt;"")))</f>
        <v/>
      </c>
      <c r="L1750" s="27">
        <f>IF($A1750="","",TRIM(IF(ISERROR(FIND(",",$C1750)),$C1750,LEFT($C1750,FIND(",",$C1750)-1))))</f>
        <v/>
      </c>
      <c r="M1750" s="28">
        <f>IF($H1750="","",DATE(YEAR($H1750),MONTH($H1750),1))</f>
        <v/>
      </c>
      <c r="N1750" s="26">
        <f>IF($H1750="","",TODAY()-$H1750)</f>
        <v/>
      </c>
      <c r="O1750" s="15" t="n"/>
      <c r="P1750" s="15" t="n"/>
      <c r="Q1750" s="15" t="n"/>
      <c r="R1750" s="25" t="n"/>
      <c r="S1750" s="26">
        <f>IF($A1750="","",AND(OR('Assignment Builder'!$B$5="",$B1750='Assignment Builder'!$B$5),OR('Assignment Builder'!$B$6="",ISNUMBER(SEARCH('Assignment Builder'!$B$6,$C1750))),OR('Assignment Builder'!$B$7="",'Assignment Builder'!$B$7=IFERROR(INDEX('Category Dictionary'!$C$5:$C$135,MATCH($L1750,'Category Dictionary'!$D$5:$D$135,0)),"")),OR('Assignment Builder'!$B$8="",$D1750='Assignment Builder'!$B$8),OR('Assignment Builder'!$B$9="",$F1750='Assignment Builder'!$B$9),OR('Assignment Builder'!$B$10="",$O1750='Assignment Builder'!$B$10),OR('Assignment Builder'!$B$11="",$H1750&gt;='Assignment Builder'!$B$11),OR('Assignment Builder'!$B$12="",N($Q1750)&lt;='Assignment Builder'!$B$12)))</f>
        <v/>
      </c>
      <c r="T1750" s="23" t="n"/>
    </row>
    <row r="1751">
      <c r="A1751" s="23" t="n"/>
      <c r="B1751" s="23" t="n"/>
      <c r="C1751" s="24" t="n"/>
      <c r="D1751" s="15" t="n"/>
      <c r="E1751" s="23" t="n"/>
      <c r="F1751" s="15" t="n"/>
      <c r="G1751" s="23" t="n"/>
      <c r="H1751" s="25" t="n"/>
      <c r="I1751" s="15" t="n"/>
      <c r="J1751" s="26">
        <f>IF($A1751="","",LEN($C1751)-LEN(SUBSTITUTE($C1751,",",""))+1)</f>
        <v/>
      </c>
      <c r="K1751" s="26">
        <f>IF($A1751="","",SUMPRODUCT(--ISNUMBER(SEARCH('Category Dictionary'!$D$5:$D$135&amp;"",$C1751)),--('Category Dictionary'!$D$5:$D$135&lt;&gt;"")))</f>
        <v/>
      </c>
      <c r="L1751" s="27">
        <f>IF($A1751="","",TRIM(IF(ISERROR(FIND(",",$C1751)),$C1751,LEFT($C1751,FIND(",",$C1751)-1))))</f>
        <v/>
      </c>
      <c r="M1751" s="28">
        <f>IF($H1751="","",DATE(YEAR($H1751),MONTH($H1751),1))</f>
        <v/>
      </c>
      <c r="N1751" s="26">
        <f>IF($H1751="","",TODAY()-$H1751)</f>
        <v/>
      </c>
      <c r="O1751" s="15" t="n"/>
      <c r="P1751" s="15" t="n"/>
      <c r="Q1751" s="15" t="n"/>
      <c r="R1751" s="25" t="n"/>
      <c r="S1751" s="26">
        <f>IF($A1751="","",AND(OR('Assignment Builder'!$B$5="",$B1751='Assignment Builder'!$B$5),OR('Assignment Builder'!$B$6="",ISNUMBER(SEARCH('Assignment Builder'!$B$6,$C1751))),OR('Assignment Builder'!$B$7="",'Assignment Builder'!$B$7=IFERROR(INDEX('Category Dictionary'!$C$5:$C$135,MATCH($L1751,'Category Dictionary'!$D$5:$D$135,0)),"")),OR('Assignment Builder'!$B$8="",$D1751='Assignment Builder'!$B$8),OR('Assignment Builder'!$B$9="",$F1751='Assignment Builder'!$B$9),OR('Assignment Builder'!$B$10="",$O1751='Assignment Builder'!$B$10),OR('Assignment Builder'!$B$11="",$H1751&gt;='Assignment Builder'!$B$11),OR('Assignment Builder'!$B$12="",N($Q1751)&lt;='Assignment Builder'!$B$12)))</f>
        <v/>
      </c>
      <c r="T1751" s="23" t="n"/>
    </row>
    <row r="1752">
      <c r="A1752" s="23" t="n"/>
      <c r="B1752" s="23" t="n"/>
      <c r="C1752" s="24" t="n"/>
      <c r="D1752" s="15" t="n"/>
      <c r="E1752" s="23" t="n"/>
      <c r="F1752" s="15" t="n"/>
      <c r="G1752" s="23" t="n"/>
      <c r="H1752" s="25" t="n"/>
      <c r="I1752" s="15" t="n"/>
      <c r="J1752" s="26">
        <f>IF($A1752="","",LEN($C1752)-LEN(SUBSTITUTE($C1752,",",""))+1)</f>
        <v/>
      </c>
      <c r="K1752" s="26">
        <f>IF($A1752="","",SUMPRODUCT(--ISNUMBER(SEARCH('Category Dictionary'!$D$5:$D$135&amp;"",$C1752)),--('Category Dictionary'!$D$5:$D$135&lt;&gt;"")))</f>
        <v/>
      </c>
      <c r="L1752" s="27">
        <f>IF($A1752="","",TRIM(IF(ISERROR(FIND(",",$C1752)),$C1752,LEFT($C1752,FIND(",",$C1752)-1))))</f>
        <v/>
      </c>
      <c r="M1752" s="28">
        <f>IF($H1752="","",DATE(YEAR($H1752),MONTH($H1752),1))</f>
        <v/>
      </c>
      <c r="N1752" s="26">
        <f>IF($H1752="","",TODAY()-$H1752)</f>
        <v/>
      </c>
      <c r="O1752" s="15" t="n"/>
      <c r="P1752" s="15" t="n"/>
      <c r="Q1752" s="15" t="n"/>
      <c r="R1752" s="25" t="n"/>
      <c r="S1752" s="26">
        <f>IF($A1752="","",AND(OR('Assignment Builder'!$B$5="",$B1752='Assignment Builder'!$B$5),OR('Assignment Builder'!$B$6="",ISNUMBER(SEARCH('Assignment Builder'!$B$6,$C1752))),OR('Assignment Builder'!$B$7="",'Assignment Builder'!$B$7=IFERROR(INDEX('Category Dictionary'!$C$5:$C$135,MATCH($L1752,'Category Dictionary'!$D$5:$D$135,0)),"")),OR('Assignment Builder'!$B$8="",$D1752='Assignment Builder'!$B$8),OR('Assignment Builder'!$B$9="",$F1752='Assignment Builder'!$B$9),OR('Assignment Builder'!$B$10="",$O1752='Assignment Builder'!$B$10),OR('Assignment Builder'!$B$11="",$H1752&gt;='Assignment Builder'!$B$11),OR('Assignment Builder'!$B$12="",N($Q1752)&lt;='Assignment Builder'!$B$12)))</f>
        <v/>
      </c>
      <c r="T1752" s="23" t="n"/>
    </row>
    <row r="1753">
      <c r="A1753" s="23" t="n"/>
      <c r="B1753" s="23" t="n"/>
      <c r="C1753" s="24" t="n"/>
      <c r="D1753" s="15" t="n"/>
      <c r="E1753" s="23" t="n"/>
      <c r="F1753" s="15" t="n"/>
      <c r="G1753" s="23" t="n"/>
      <c r="H1753" s="25" t="n"/>
      <c r="I1753" s="15" t="n"/>
      <c r="J1753" s="26">
        <f>IF($A1753="","",LEN($C1753)-LEN(SUBSTITUTE($C1753,",",""))+1)</f>
        <v/>
      </c>
      <c r="K1753" s="26">
        <f>IF($A1753="","",SUMPRODUCT(--ISNUMBER(SEARCH('Category Dictionary'!$D$5:$D$135&amp;"",$C1753)),--('Category Dictionary'!$D$5:$D$135&lt;&gt;"")))</f>
        <v/>
      </c>
      <c r="L1753" s="27">
        <f>IF($A1753="","",TRIM(IF(ISERROR(FIND(",",$C1753)),$C1753,LEFT($C1753,FIND(",",$C1753)-1))))</f>
        <v/>
      </c>
      <c r="M1753" s="28">
        <f>IF($H1753="","",DATE(YEAR($H1753),MONTH($H1753),1))</f>
        <v/>
      </c>
      <c r="N1753" s="26">
        <f>IF($H1753="","",TODAY()-$H1753)</f>
        <v/>
      </c>
      <c r="O1753" s="15" t="n"/>
      <c r="P1753" s="15" t="n"/>
      <c r="Q1753" s="15" t="n"/>
      <c r="R1753" s="25" t="n"/>
      <c r="S1753" s="26">
        <f>IF($A1753="","",AND(OR('Assignment Builder'!$B$5="",$B1753='Assignment Builder'!$B$5),OR('Assignment Builder'!$B$6="",ISNUMBER(SEARCH('Assignment Builder'!$B$6,$C1753))),OR('Assignment Builder'!$B$7="",'Assignment Builder'!$B$7=IFERROR(INDEX('Category Dictionary'!$C$5:$C$135,MATCH($L1753,'Category Dictionary'!$D$5:$D$135,0)),"")),OR('Assignment Builder'!$B$8="",$D1753='Assignment Builder'!$B$8),OR('Assignment Builder'!$B$9="",$F1753='Assignment Builder'!$B$9),OR('Assignment Builder'!$B$10="",$O1753='Assignment Builder'!$B$10),OR('Assignment Builder'!$B$11="",$H1753&gt;='Assignment Builder'!$B$11),OR('Assignment Builder'!$B$12="",N($Q1753)&lt;='Assignment Builder'!$B$12)))</f>
        <v/>
      </c>
      <c r="T1753" s="23" t="n"/>
    </row>
    <row r="1754">
      <c r="A1754" s="23" t="n"/>
      <c r="B1754" s="23" t="n"/>
      <c r="C1754" s="24" t="n"/>
      <c r="D1754" s="15" t="n"/>
      <c r="E1754" s="23" t="n"/>
      <c r="F1754" s="15" t="n"/>
      <c r="G1754" s="23" t="n"/>
      <c r="H1754" s="25" t="n"/>
      <c r="I1754" s="15" t="n"/>
      <c r="J1754" s="26">
        <f>IF($A1754="","",LEN($C1754)-LEN(SUBSTITUTE($C1754,",",""))+1)</f>
        <v/>
      </c>
      <c r="K1754" s="26">
        <f>IF($A1754="","",SUMPRODUCT(--ISNUMBER(SEARCH('Category Dictionary'!$D$5:$D$135&amp;"",$C1754)),--('Category Dictionary'!$D$5:$D$135&lt;&gt;"")))</f>
        <v/>
      </c>
      <c r="L1754" s="27">
        <f>IF($A1754="","",TRIM(IF(ISERROR(FIND(",",$C1754)),$C1754,LEFT($C1754,FIND(",",$C1754)-1))))</f>
        <v/>
      </c>
      <c r="M1754" s="28">
        <f>IF($H1754="","",DATE(YEAR($H1754),MONTH($H1754),1))</f>
        <v/>
      </c>
      <c r="N1754" s="26">
        <f>IF($H1754="","",TODAY()-$H1754)</f>
        <v/>
      </c>
      <c r="O1754" s="15" t="n"/>
      <c r="P1754" s="15" t="n"/>
      <c r="Q1754" s="15" t="n"/>
      <c r="R1754" s="25" t="n"/>
      <c r="S1754" s="26">
        <f>IF($A1754="","",AND(OR('Assignment Builder'!$B$5="",$B1754='Assignment Builder'!$B$5),OR('Assignment Builder'!$B$6="",ISNUMBER(SEARCH('Assignment Builder'!$B$6,$C1754))),OR('Assignment Builder'!$B$7="",'Assignment Builder'!$B$7=IFERROR(INDEX('Category Dictionary'!$C$5:$C$135,MATCH($L1754,'Category Dictionary'!$D$5:$D$135,0)),"")),OR('Assignment Builder'!$B$8="",$D1754='Assignment Builder'!$B$8),OR('Assignment Builder'!$B$9="",$F1754='Assignment Builder'!$B$9),OR('Assignment Builder'!$B$10="",$O1754='Assignment Builder'!$B$10),OR('Assignment Builder'!$B$11="",$H1754&gt;='Assignment Builder'!$B$11),OR('Assignment Builder'!$B$12="",N($Q1754)&lt;='Assignment Builder'!$B$12)))</f>
        <v/>
      </c>
      <c r="T1754" s="23" t="n"/>
    </row>
    <row r="1755">
      <c r="A1755" s="23" t="n"/>
      <c r="B1755" s="23" t="n"/>
      <c r="C1755" s="24" t="n"/>
      <c r="D1755" s="15" t="n"/>
      <c r="E1755" s="23" t="n"/>
      <c r="F1755" s="15" t="n"/>
      <c r="G1755" s="23" t="n"/>
      <c r="H1755" s="25" t="n"/>
      <c r="I1755" s="15" t="n"/>
      <c r="J1755" s="26">
        <f>IF($A1755="","",LEN($C1755)-LEN(SUBSTITUTE($C1755,",",""))+1)</f>
        <v/>
      </c>
      <c r="K1755" s="26">
        <f>IF($A1755="","",SUMPRODUCT(--ISNUMBER(SEARCH('Category Dictionary'!$D$5:$D$135&amp;"",$C1755)),--('Category Dictionary'!$D$5:$D$135&lt;&gt;"")))</f>
        <v/>
      </c>
      <c r="L1755" s="27">
        <f>IF($A1755="","",TRIM(IF(ISERROR(FIND(",",$C1755)),$C1755,LEFT($C1755,FIND(",",$C1755)-1))))</f>
        <v/>
      </c>
      <c r="M1755" s="28">
        <f>IF($H1755="","",DATE(YEAR($H1755),MONTH($H1755),1))</f>
        <v/>
      </c>
      <c r="N1755" s="26">
        <f>IF($H1755="","",TODAY()-$H1755)</f>
        <v/>
      </c>
      <c r="O1755" s="15" t="n"/>
      <c r="P1755" s="15" t="n"/>
      <c r="Q1755" s="15" t="n"/>
      <c r="R1755" s="25" t="n"/>
      <c r="S1755" s="26">
        <f>IF($A1755="","",AND(OR('Assignment Builder'!$B$5="",$B1755='Assignment Builder'!$B$5),OR('Assignment Builder'!$B$6="",ISNUMBER(SEARCH('Assignment Builder'!$B$6,$C1755))),OR('Assignment Builder'!$B$7="",'Assignment Builder'!$B$7=IFERROR(INDEX('Category Dictionary'!$C$5:$C$135,MATCH($L1755,'Category Dictionary'!$D$5:$D$135,0)),"")),OR('Assignment Builder'!$B$8="",$D1755='Assignment Builder'!$B$8),OR('Assignment Builder'!$B$9="",$F1755='Assignment Builder'!$B$9),OR('Assignment Builder'!$B$10="",$O1755='Assignment Builder'!$B$10),OR('Assignment Builder'!$B$11="",$H1755&gt;='Assignment Builder'!$B$11),OR('Assignment Builder'!$B$12="",N($Q1755)&lt;='Assignment Builder'!$B$12)))</f>
        <v/>
      </c>
      <c r="T1755" s="23" t="n"/>
    </row>
    <row r="1756">
      <c r="A1756" s="23" t="n"/>
      <c r="B1756" s="23" t="n"/>
      <c r="C1756" s="24" t="n"/>
      <c r="D1756" s="15" t="n"/>
      <c r="E1756" s="23" t="n"/>
      <c r="F1756" s="15" t="n"/>
      <c r="G1756" s="23" t="n"/>
      <c r="H1756" s="25" t="n"/>
      <c r="I1756" s="15" t="n"/>
      <c r="J1756" s="26">
        <f>IF($A1756="","",LEN($C1756)-LEN(SUBSTITUTE($C1756,",",""))+1)</f>
        <v/>
      </c>
      <c r="K1756" s="26">
        <f>IF($A1756="","",SUMPRODUCT(--ISNUMBER(SEARCH('Category Dictionary'!$D$5:$D$135&amp;"",$C1756)),--('Category Dictionary'!$D$5:$D$135&lt;&gt;"")))</f>
        <v/>
      </c>
      <c r="L1756" s="27">
        <f>IF($A1756="","",TRIM(IF(ISERROR(FIND(",",$C1756)),$C1756,LEFT($C1756,FIND(",",$C1756)-1))))</f>
        <v/>
      </c>
      <c r="M1756" s="28">
        <f>IF($H1756="","",DATE(YEAR($H1756),MONTH($H1756),1))</f>
        <v/>
      </c>
      <c r="N1756" s="26">
        <f>IF($H1756="","",TODAY()-$H1756)</f>
        <v/>
      </c>
      <c r="O1756" s="15" t="n"/>
      <c r="P1756" s="15" t="n"/>
      <c r="Q1756" s="15" t="n"/>
      <c r="R1756" s="25" t="n"/>
      <c r="S1756" s="26">
        <f>IF($A1756="","",AND(OR('Assignment Builder'!$B$5="",$B1756='Assignment Builder'!$B$5),OR('Assignment Builder'!$B$6="",ISNUMBER(SEARCH('Assignment Builder'!$B$6,$C1756))),OR('Assignment Builder'!$B$7="",'Assignment Builder'!$B$7=IFERROR(INDEX('Category Dictionary'!$C$5:$C$135,MATCH($L1756,'Category Dictionary'!$D$5:$D$135,0)),"")),OR('Assignment Builder'!$B$8="",$D1756='Assignment Builder'!$B$8),OR('Assignment Builder'!$B$9="",$F1756='Assignment Builder'!$B$9),OR('Assignment Builder'!$B$10="",$O1756='Assignment Builder'!$B$10),OR('Assignment Builder'!$B$11="",$H1756&gt;='Assignment Builder'!$B$11),OR('Assignment Builder'!$B$12="",N($Q1756)&lt;='Assignment Builder'!$B$12)))</f>
        <v/>
      </c>
      <c r="T1756" s="23" t="n"/>
    </row>
    <row r="1757">
      <c r="A1757" s="23" t="n"/>
      <c r="B1757" s="23" t="n"/>
      <c r="C1757" s="24" t="n"/>
      <c r="D1757" s="15" t="n"/>
      <c r="E1757" s="23" t="n"/>
      <c r="F1757" s="15" t="n"/>
      <c r="G1757" s="23" t="n"/>
      <c r="H1757" s="25" t="n"/>
      <c r="I1757" s="15" t="n"/>
      <c r="J1757" s="26">
        <f>IF($A1757="","",LEN($C1757)-LEN(SUBSTITUTE($C1757,",",""))+1)</f>
        <v/>
      </c>
      <c r="K1757" s="26">
        <f>IF($A1757="","",SUMPRODUCT(--ISNUMBER(SEARCH('Category Dictionary'!$D$5:$D$135&amp;"",$C1757)),--('Category Dictionary'!$D$5:$D$135&lt;&gt;"")))</f>
        <v/>
      </c>
      <c r="L1757" s="27">
        <f>IF($A1757="","",TRIM(IF(ISERROR(FIND(",",$C1757)),$C1757,LEFT($C1757,FIND(",",$C1757)-1))))</f>
        <v/>
      </c>
      <c r="M1757" s="28">
        <f>IF($H1757="","",DATE(YEAR($H1757),MONTH($H1757),1))</f>
        <v/>
      </c>
      <c r="N1757" s="26">
        <f>IF($H1757="","",TODAY()-$H1757)</f>
        <v/>
      </c>
      <c r="O1757" s="15" t="n"/>
      <c r="P1757" s="15" t="n"/>
      <c r="Q1757" s="15" t="n"/>
      <c r="R1757" s="25" t="n"/>
      <c r="S1757" s="26">
        <f>IF($A1757="","",AND(OR('Assignment Builder'!$B$5="",$B1757='Assignment Builder'!$B$5),OR('Assignment Builder'!$B$6="",ISNUMBER(SEARCH('Assignment Builder'!$B$6,$C1757))),OR('Assignment Builder'!$B$7="",'Assignment Builder'!$B$7=IFERROR(INDEX('Category Dictionary'!$C$5:$C$135,MATCH($L1757,'Category Dictionary'!$D$5:$D$135,0)),"")),OR('Assignment Builder'!$B$8="",$D1757='Assignment Builder'!$B$8),OR('Assignment Builder'!$B$9="",$F1757='Assignment Builder'!$B$9),OR('Assignment Builder'!$B$10="",$O1757='Assignment Builder'!$B$10),OR('Assignment Builder'!$B$11="",$H1757&gt;='Assignment Builder'!$B$11),OR('Assignment Builder'!$B$12="",N($Q1757)&lt;='Assignment Builder'!$B$12)))</f>
        <v/>
      </c>
      <c r="T1757" s="23" t="n"/>
    </row>
    <row r="1758">
      <c r="A1758" s="23" t="n"/>
      <c r="B1758" s="23" t="n"/>
      <c r="C1758" s="24" t="n"/>
      <c r="D1758" s="15" t="n"/>
      <c r="E1758" s="23" t="n"/>
      <c r="F1758" s="15" t="n"/>
      <c r="G1758" s="23" t="n"/>
      <c r="H1758" s="25" t="n"/>
      <c r="I1758" s="15" t="n"/>
      <c r="J1758" s="26">
        <f>IF($A1758="","",LEN($C1758)-LEN(SUBSTITUTE($C1758,",",""))+1)</f>
        <v/>
      </c>
      <c r="K1758" s="26">
        <f>IF($A1758="","",SUMPRODUCT(--ISNUMBER(SEARCH('Category Dictionary'!$D$5:$D$135&amp;"",$C1758)),--('Category Dictionary'!$D$5:$D$135&lt;&gt;"")))</f>
        <v/>
      </c>
      <c r="L1758" s="27">
        <f>IF($A1758="","",TRIM(IF(ISERROR(FIND(",",$C1758)),$C1758,LEFT($C1758,FIND(",",$C1758)-1))))</f>
        <v/>
      </c>
      <c r="M1758" s="28">
        <f>IF($H1758="","",DATE(YEAR($H1758),MONTH($H1758),1))</f>
        <v/>
      </c>
      <c r="N1758" s="26">
        <f>IF($H1758="","",TODAY()-$H1758)</f>
        <v/>
      </c>
      <c r="O1758" s="15" t="n"/>
      <c r="P1758" s="15" t="n"/>
      <c r="Q1758" s="15" t="n"/>
      <c r="R1758" s="25" t="n"/>
      <c r="S1758" s="26">
        <f>IF($A1758="","",AND(OR('Assignment Builder'!$B$5="",$B1758='Assignment Builder'!$B$5),OR('Assignment Builder'!$B$6="",ISNUMBER(SEARCH('Assignment Builder'!$B$6,$C1758))),OR('Assignment Builder'!$B$7="",'Assignment Builder'!$B$7=IFERROR(INDEX('Category Dictionary'!$C$5:$C$135,MATCH($L1758,'Category Dictionary'!$D$5:$D$135,0)),"")),OR('Assignment Builder'!$B$8="",$D1758='Assignment Builder'!$B$8),OR('Assignment Builder'!$B$9="",$F1758='Assignment Builder'!$B$9),OR('Assignment Builder'!$B$10="",$O1758='Assignment Builder'!$B$10),OR('Assignment Builder'!$B$11="",$H1758&gt;='Assignment Builder'!$B$11),OR('Assignment Builder'!$B$12="",N($Q1758)&lt;='Assignment Builder'!$B$12)))</f>
        <v/>
      </c>
      <c r="T1758" s="23" t="n"/>
    </row>
    <row r="1759">
      <c r="A1759" s="23" t="n"/>
      <c r="B1759" s="23" t="n"/>
      <c r="C1759" s="24" t="n"/>
      <c r="D1759" s="15" t="n"/>
      <c r="E1759" s="23" t="n"/>
      <c r="F1759" s="15" t="n"/>
      <c r="G1759" s="23" t="n"/>
      <c r="H1759" s="25" t="n"/>
      <c r="I1759" s="15" t="n"/>
      <c r="J1759" s="26">
        <f>IF($A1759="","",LEN($C1759)-LEN(SUBSTITUTE($C1759,",",""))+1)</f>
        <v/>
      </c>
      <c r="K1759" s="26">
        <f>IF($A1759="","",SUMPRODUCT(--ISNUMBER(SEARCH('Category Dictionary'!$D$5:$D$135&amp;"",$C1759)),--('Category Dictionary'!$D$5:$D$135&lt;&gt;"")))</f>
        <v/>
      </c>
      <c r="L1759" s="27">
        <f>IF($A1759="","",TRIM(IF(ISERROR(FIND(",",$C1759)),$C1759,LEFT($C1759,FIND(",",$C1759)-1))))</f>
        <v/>
      </c>
      <c r="M1759" s="28">
        <f>IF($H1759="","",DATE(YEAR($H1759),MONTH($H1759),1))</f>
        <v/>
      </c>
      <c r="N1759" s="26">
        <f>IF($H1759="","",TODAY()-$H1759)</f>
        <v/>
      </c>
      <c r="O1759" s="15" t="n"/>
      <c r="P1759" s="15" t="n"/>
      <c r="Q1759" s="15" t="n"/>
      <c r="R1759" s="25" t="n"/>
      <c r="S1759" s="26">
        <f>IF($A1759="","",AND(OR('Assignment Builder'!$B$5="",$B1759='Assignment Builder'!$B$5),OR('Assignment Builder'!$B$6="",ISNUMBER(SEARCH('Assignment Builder'!$B$6,$C1759))),OR('Assignment Builder'!$B$7="",'Assignment Builder'!$B$7=IFERROR(INDEX('Category Dictionary'!$C$5:$C$135,MATCH($L1759,'Category Dictionary'!$D$5:$D$135,0)),"")),OR('Assignment Builder'!$B$8="",$D1759='Assignment Builder'!$B$8),OR('Assignment Builder'!$B$9="",$F1759='Assignment Builder'!$B$9),OR('Assignment Builder'!$B$10="",$O1759='Assignment Builder'!$B$10),OR('Assignment Builder'!$B$11="",$H1759&gt;='Assignment Builder'!$B$11),OR('Assignment Builder'!$B$12="",N($Q1759)&lt;='Assignment Builder'!$B$12)))</f>
        <v/>
      </c>
      <c r="T1759" s="23" t="n"/>
    </row>
    <row r="1760">
      <c r="A1760" s="23" t="n"/>
      <c r="B1760" s="23" t="n"/>
      <c r="C1760" s="24" t="n"/>
      <c r="D1760" s="15" t="n"/>
      <c r="E1760" s="23" t="n"/>
      <c r="F1760" s="15" t="n"/>
      <c r="G1760" s="23" t="n"/>
      <c r="H1760" s="25" t="n"/>
      <c r="I1760" s="15" t="n"/>
      <c r="J1760" s="26">
        <f>IF($A1760="","",LEN($C1760)-LEN(SUBSTITUTE($C1760,",",""))+1)</f>
        <v/>
      </c>
      <c r="K1760" s="26">
        <f>IF($A1760="","",SUMPRODUCT(--ISNUMBER(SEARCH('Category Dictionary'!$D$5:$D$135&amp;"",$C1760)),--('Category Dictionary'!$D$5:$D$135&lt;&gt;"")))</f>
        <v/>
      </c>
      <c r="L1760" s="27">
        <f>IF($A1760="","",TRIM(IF(ISERROR(FIND(",",$C1760)),$C1760,LEFT($C1760,FIND(",",$C1760)-1))))</f>
        <v/>
      </c>
      <c r="M1760" s="28">
        <f>IF($H1760="","",DATE(YEAR($H1760),MONTH($H1760),1))</f>
        <v/>
      </c>
      <c r="N1760" s="26">
        <f>IF($H1760="","",TODAY()-$H1760)</f>
        <v/>
      </c>
      <c r="O1760" s="15" t="n"/>
      <c r="P1760" s="15" t="n"/>
      <c r="Q1760" s="15" t="n"/>
      <c r="R1760" s="25" t="n"/>
      <c r="S1760" s="26">
        <f>IF($A1760="","",AND(OR('Assignment Builder'!$B$5="",$B1760='Assignment Builder'!$B$5),OR('Assignment Builder'!$B$6="",ISNUMBER(SEARCH('Assignment Builder'!$B$6,$C1760))),OR('Assignment Builder'!$B$7="",'Assignment Builder'!$B$7=IFERROR(INDEX('Category Dictionary'!$C$5:$C$135,MATCH($L1760,'Category Dictionary'!$D$5:$D$135,0)),"")),OR('Assignment Builder'!$B$8="",$D1760='Assignment Builder'!$B$8),OR('Assignment Builder'!$B$9="",$F1760='Assignment Builder'!$B$9),OR('Assignment Builder'!$B$10="",$O1760='Assignment Builder'!$B$10),OR('Assignment Builder'!$B$11="",$H1760&gt;='Assignment Builder'!$B$11),OR('Assignment Builder'!$B$12="",N($Q1760)&lt;='Assignment Builder'!$B$12)))</f>
        <v/>
      </c>
      <c r="T1760" s="23" t="n"/>
    </row>
    <row r="1761">
      <c r="A1761" s="23" t="n"/>
      <c r="B1761" s="23" t="n"/>
      <c r="C1761" s="24" t="n"/>
      <c r="D1761" s="15" t="n"/>
      <c r="E1761" s="23" t="n"/>
      <c r="F1761" s="15" t="n"/>
      <c r="G1761" s="23" t="n"/>
      <c r="H1761" s="25" t="n"/>
      <c r="I1761" s="15" t="n"/>
      <c r="J1761" s="26">
        <f>IF($A1761="","",LEN($C1761)-LEN(SUBSTITUTE($C1761,",",""))+1)</f>
        <v/>
      </c>
      <c r="K1761" s="26">
        <f>IF($A1761="","",SUMPRODUCT(--ISNUMBER(SEARCH('Category Dictionary'!$D$5:$D$135&amp;"",$C1761)),--('Category Dictionary'!$D$5:$D$135&lt;&gt;"")))</f>
        <v/>
      </c>
      <c r="L1761" s="27">
        <f>IF($A1761="","",TRIM(IF(ISERROR(FIND(",",$C1761)),$C1761,LEFT($C1761,FIND(",",$C1761)-1))))</f>
        <v/>
      </c>
      <c r="M1761" s="28">
        <f>IF($H1761="","",DATE(YEAR($H1761),MONTH($H1761),1))</f>
        <v/>
      </c>
      <c r="N1761" s="26">
        <f>IF($H1761="","",TODAY()-$H1761)</f>
        <v/>
      </c>
      <c r="O1761" s="15" t="n"/>
      <c r="P1761" s="15" t="n"/>
      <c r="Q1761" s="15" t="n"/>
      <c r="R1761" s="25" t="n"/>
      <c r="S1761" s="26">
        <f>IF($A1761="","",AND(OR('Assignment Builder'!$B$5="",$B1761='Assignment Builder'!$B$5),OR('Assignment Builder'!$B$6="",ISNUMBER(SEARCH('Assignment Builder'!$B$6,$C1761))),OR('Assignment Builder'!$B$7="",'Assignment Builder'!$B$7=IFERROR(INDEX('Category Dictionary'!$C$5:$C$135,MATCH($L1761,'Category Dictionary'!$D$5:$D$135,0)),"")),OR('Assignment Builder'!$B$8="",$D1761='Assignment Builder'!$B$8),OR('Assignment Builder'!$B$9="",$F1761='Assignment Builder'!$B$9),OR('Assignment Builder'!$B$10="",$O1761='Assignment Builder'!$B$10),OR('Assignment Builder'!$B$11="",$H1761&gt;='Assignment Builder'!$B$11),OR('Assignment Builder'!$B$12="",N($Q1761)&lt;='Assignment Builder'!$B$12)))</f>
        <v/>
      </c>
      <c r="T1761" s="23" t="n"/>
    </row>
    <row r="1762">
      <c r="A1762" s="23" t="n"/>
      <c r="B1762" s="23" t="n"/>
      <c r="C1762" s="24" t="n"/>
      <c r="D1762" s="15" t="n"/>
      <c r="E1762" s="23" t="n"/>
      <c r="F1762" s="15" t="n"/>
      <c r="G1762" s="23" t="n"/>
      <c r="H1762" s="25" t="n"/>
      <c r="I1762" s="15" t="n"/>
      <c r="J1762" s="26">
        <f>IF($A1762="","",LEN($C1762)-LEN(SUBSTITUTE($C1762,",",""))+1)</f>
        <v/>
      </c>
      <c r="K1762" s="26">
        <f>IF($A1762="","",SUMPRODUCT(--ISNUMBER(SEARCH('Category Dictionary'!$D$5:$D$135&amp;"",$C1762)),--('Category Dictionary'!$D$5:$D$135&lt;&gt;"")))</f>
        <v/>
      </c>
      <c r="L1762" s="27">
        <f>IF($A1762="","",TRIM(IF(ISERROR(FIND(",",$C1762)),$C1762,LEFT($C1762,FIND(",",$C1762)-1))))</f>
        <v/>
      </c>
      <c r="M1762" s="28">
        <f>IF($H1762="","",DATE(YEAR($H1762),MONTH($H1762),1))</f>
        <v/>
      </c>
      <c r="N1762" s="26">
        <f>IF($H1762="","",TODAY()-$H1762)</f>
        <v/>
      </c>
      <c r="O1762" s="15" t="n"/>
      <c r="P1762" s="15" t="n"/>
      <c r="Q1762" s="15" t="n"/>
      <c r="R1762" s="25" t="n"/>
      <c r="S1762" s="26">
        <f>IF($A1762="","",AND(OR('Assignment Builder'!$B$5="",$B1762='Assignment Builder'!$B$5),OR('Assignment Builder'!$B$6="",ISNUMBER(SEARCH('Assignment Builder'!$B$6,$C1762))),OR('Assignment Builder'!$B$7="",'Assignment Builder'!$B$7=IFERROR(INDEX('Category Dictionary'!$C$5:$C$135,MATCH($L1762,'Category Dictionary'!$D$5:$D$135,0)),"")),OR('Assignment Builder'!$B$8="",$D1762='Assignment Builder'!$B$8),OR('Assignment Builder'!$B$9="",$F1762='Assignment Builder'!$B$9),OR('Assignment Builder'!$B$10="",$O1762='Assignment Builder'!$B$10),OR('Assignment Builder'!$B$11="",$H1762&gt;='Assignment Builder'!$B$11),OR('Assignment Builder'!$B$12="",N($Q1762)&lt;='Assignment Builder'!$B$12)))</f>
        <v/>
      </c>
      <c r="T1762" s="23" t="n"/>
    </row>
    <row r="1763">
      <c r="A1763" s="23" t="n"/>
      <c r="B1763" s="23" t="n"/>
      <c r="C1763" s="24" t="n"/>
      <c r="D1763" s="15" t="n"/>
      <c r="E1763" s="23" t="n"/>
      <c r="F1763" s="15" t="n"/>
      <c r="G1763" s="23" t="n"/>
      <c r="H1763" s="25" t="n"/>
      <c r="I1763" s="15" t="n"/>
      <c r="J1763" s="26">
        <f>IF($A1763="","",LEN($C1763)-LEN(SUBSTITUTE($C1763,",",""))+1)</f>
        <v/>
      </c>
      <c r="K1763" s="26">
        <f>IF($A1763="","",SUMPRODUCT(--ISNUMBER(SEARCH('Category Dictionary'!$D$5:$D$135&amp;"",$C1763)),--('Category Dictionary'!$D$5:$D$135&lt;&gt;"")))</f>
        <v/>
      </c>
      <c r="L1763" s="27">
        <f>IF($A1763="","",TRIM(IF(ISERROR(FIND(",",$C1763)),$C1763,LEFT($C1763,FIND(",",$C1763)-1))))</f>
        <v/>
      </c>
      <c r="M1763" s="28">
        <f>IF($H1763="","",DATE(YEAR($H1763),MONTH($H1763),1))</f>
        <v/>
      </c>
      <c r="N1763" s="26">
        <f>IF($H1763="","",TODAY()-$H1763)</f>
        <v/>
      </c>
      <c r="O1763" s="15" t="n"/>
      <c r="P1763" s="15" t="n"/>
      <c r="Q1763" s="15" t="n"/>
      <c r="R1763" s="25" t="n"/>
      <c r="S1763" s="26">
        <f>IF($A1763="","",AND(OR('Assignment Builder'!$B$5="",$B1763='Assignment Builder'!$B$5),OR('Assignment Builder'!$B$6="",ISNUMBER(SEARCH('Assignment Builder'!$B$6,$C1763))),OR('Assignment Builder'!$B$7="",'Assignment Builder'!$B$7=IFERROR(INDEX('Category Dictionary'!$C$5:$C$135,MATCH($L1763,'Category Dictionary'!$D$5:$D$135,0)),"")),OR('Assignment Builder'!$B$8="",$D1763='Assignment Builder'!$B$8),OR('Assignment Builder'!$B$9="",$F1763='Assignment Builder'!$B$9),OR('Assignment Builder'!$B$10="",$O1763='Assignment Builder'!$B$10),OR('Assignment Builder'!$B$11="",$H1763&gt;='Assignment Builder'!$B$11),OR('Assignment Builder'!$B$12="",N($Q1763)&lt;='Assignment Builder'!$B$12)))</f>
        <v/>
      </c>
      <c r="T1763" s="23" t="n"/>
    </row>
    <row r="1764">
      <c r="A1764" s="23" t="n"/>
      <c r="B1764" s="23" t="n"/>
      <c r="C1764" s="24" t="n"/>
      <c r="D1764" s="15" t="n"/>
      <c r="E1764" s="23" t="n"/>
      <c r="F1764" s="15" t="n"/>
      <c r="G1764" s="23" t="n"/>
      <c r="H1764" s="25" t="n"/>
      <c r="I1764" s="15" t="n"/>
      <c r="J1764" s="26">
        <f>IF($A1764="","",LEN($C1764)-LEN(SUBSTITUTE($C1764,",",""))+1)</f>
        <v/>
      </c>
      <c r="K1764" s="26">
        <f>IF($A1764="","",SUMPRODUCT(--ISNUMBER(SEARCH('Category Dictionary'!$D$5:$D$135&amp;"",$C1764)),--('Category Dictionary'!$D$5:$D$135&lt;&gt;"")))</f>
        <v/>
      </c>
      <c r="L1764" s="27">
        <f>IF($A1764="","",TRIM(IF(ISERROR(FIND(",",$C1764)),$C1764,LEFT($C1764,FIND(",",$C1764)-1))))</f>
        <v/>
      </c>
      <c r="M1764" s="28">
        <f>IF($H1764="","",DATE(YEAR($H1764),MONTH($H1764),1))</f>
        <v/>
      </c>
      <c r="N1764" s="26">
        <f>IF($H1764="","",TODAY()-$H1764)</f>
        <v/>
      </c>
      <c r="O1764" s="15" t="n"/>
      <c r="P1764" s="15" t="n"/>
      <c r="Q1764" s="15" t="n"/>
      <c r="R1764" s="25" t="n"/>
      <c r="S1764" s="26">
        <f>IF($A1764="","",AND(OR('Assignment Builder'!$B$5="",$B1764='Assignment Builder'!$B$5),OR('Assignment Builder'!$B$6="",ISNUMBER(SEARCH('Assignment Builder'!$B$6,$C1764))),OR('Assignment Builder'!$B$7="",'Assignment Builder'!$B$7=IFERROR(INDEX('Category Dictionary'!$C$5:$C$135,MATCH($L1764,'Category Dictionary'!$D$5:$D$135,0)),"")),OR('Assignment Builder'!$B$8="",$D1764='Assignment Builder'!$B$8),OR('Assignment Builder'!$B$9="",$F1764='Assignment Builder'!$B$9),OR('Assignment Builder'!$B$10="",$O1764='Assignment Builder'!$B$10),OR('Assignment Builder'!$B$11="",$H1764&gt;='Assignment Builder'!$B$11),OR('Assignment Builder'!$B$12="",N($Q1764)&lt;='Assignment Builder'!$B$12)))</f>
        <v/>
      </c>
      <c r="T1764" s="23" t="n"/>
    </row>
    <row r="1765">
      <c r="A1765" s="23" t="n"/>
      <c r="B1765" s="23" t="n"/>
      <c r="C1765" s="24" t="n"/>
      <c r="D1765" s="15" t="n"/>
      <c r="E1765" s="23" t="n"/>
      <c r="F1765" s="15" t="n"/>
      <c r="G1765" s="23" t="n"/>
      <c r="H1765" s="25" t="n"/>
      <c r="I1765" s="15" t="n"/>
      <c r="J1765" s="26">
        <f>IF($A1765="","",LEN($C1765)-LEN(SUBSTITUTE($C1765,",",""))+1)</f>
        <v/>
      </c>
      <c r="K1765" s="26">
        <f>IF($A1765="","",SUMPRODUCT(--ISNUMBER(SEARCH('Category Dictionary'!$D$5:$D$135&amp;"",$C1765)),--('Category Dictionary'!$D$5:$D$135&lt;&gt;"")))</f>
        <v/>
      </c>
      <c r="L1765" s="27">
        <f>IF($A1765="","",TRIM(IF(ISERROR(FIND(",",$C1765)),$C1765,LEFT($C1765,FIND(",",$C1765)-1))))</f>
        <v/>
      </c>
      <c r="M1765" s="28">
        <f>IF($H1765="","",DATE(YEAR($H1765),MONTH($H1765),1))</f>
        <v/>
      </c>
      <c r="N1765" s="26">
        <f>IF($H1765="","",TODAY()-$H1765)</f>
        <v/>
      </c>
      <c r="O1765" s="15" t="n"/>
      <c r="P1765" s="15" t="n"/>
      <c r="Q1765" s="15" t="n"/>
      <c r="R1765" s="25" t="n"/>
      <c r="S1765" s="26">
        <f>IF($A1765="","",AND(OR('Assignment Builder'!$B$5="",$B1765='Assignment Builder'!$B$5),OR('Assignment Builder'!$B$6="",ISNUMBER(SEARCH('Assignment Builder'!$B$6,$C1765))),OR('Assignment Builder'!$B$7="",'Assignment Builder'!$B$7=IFERROR(INDEX('Category Dictionary'!$C$5:$C$135,MATCH($L1765,'Category Dictionary'!$D$5:$D$135,0)),"")),OR('Assignment Builder'!$B$8="",$D1765='Assignment Builder'!$B$8),OR('Assignment Builder'!$B$9="",$F1765='Assignment Builder'!$B$9),OR('Assignment Builder'!$B$10="",$O1765='Assignment Builder'!$B$10),OR('Assignment Builder'!$B$11="",$H1765&gt;='Assignment Builder'!$B$11),OR('Assignment Builder'!$B$12="",N($Q1765)&lt;='Assignment Builder'!$B$12)))</f>
        <v/>
      </c>
      <c r="T1765" s="23" t="n"/>
    </row>
    <row r="1766">
      <c r="A1766" s="23" t="n"/>
      <c r="B1766" s="23" t="n"/>
      <c r="C1766" s="24" t="n"/>
      <c r="D1766" s="15" t="n"/>
      <c r="E1766" s="23" t="n"/>
      <c r="F1766" s="15" t="n"/>
      <c r="G1766" s="23" t="n"/>
      <c r="H1766" s="25" t="n"/>
      <c r="I1766" s="15" t="n"/>
      <c r="J1766" s="26">
        <f>IF($A1766="","",LEN($C1766)-LEN(SUBSTITUTE($C1766,",",""))+1)</f>
        <v/>
      </c>
      <c r="K1766" s="26">
        <f>IF($A1766="","",SUMPRODUCT(--ISNUMBER(SEARCH('Category Dictionary'!$D$5:$D$135&amp;"",$C1766)),--('Category Dictionary'!$D$5:$D$135&lt;&gt;"")))</f>
        <v/>
      </c>
      <c r="L1766" s="27">
        <f>IF($A1766="","",TRIM(IF(ISERROR(FIND(",",$C1766)),$C1766,LEFT($C1766,FIND(",",$C1766)-1))))</f>
        <v/>
      </c>
      <c r="M1766" s="28">
        <f>IF($H1766="","",DATE(YEAR($H1766),MONTH($H1766),1))</f>
        <v/>
      </c>
      <c r="N1766" s="26">
        <f>IF($H1766="","",TODAY()-$H1766)</f>
        <v/>
      </c>
      <c r="O1766" s="15" t="n"/>
      <c r="P1766" s="15" t="n"/>
      <c r="Q1766" s="15" t="n"/>
      <c r="R1766" s="25" t="n"/>
      <c r="S1766" s="26">
        <f>IF($A1766="","",AND(OR('Assignment Builder'!$B$5="",$B1766='Assignment Builder'!$B$5),OR('Assignment Builder'!$B$6="",ISNUMBER(SEARCH('Assignment Builder'!$B$6,$C1766))),OR('Assignment Builder'!$B$7="",'Assignment Builder'!$B$7=IFERROR(INDEX('Category Dictionary'!$C$5:$C$135,MATCH($L1766,'Category Dictionary'!$D$5:$D$135,0)),"")),OR('Assignment Builder'!$B$8="",$D1766='Assignment Builder'!$B$8),OR('Assignment Builder'!$B$9="",$F1766='Assignment Builder'!$B$9),OR('Assignment Builder'!$B$10="",$O1766='Assignment Builder'!$B$10),OR('Assignment Builder'!$B$11="",$H1766&gt;='Assignment Builder'!$B$11),OR('Assignment Builder'!$B$12="",N($Q1766)&lt;='Assignment Builder'!$B$12)))</f>
        <v/>
      </c>
      <c r="T1766" s="23" t="n"/>
    </row>
    <row r="1767">
      <c r="A1767" s="23" t="n"/>
      <c r="B1767" s="23" t="n"/>
      <c r="C1767" s="24" t="n"/>
      <c r="D1767" s="15" t="n"/>
      <c r="E1767" s="23" t="n"/>
      <c r="F1767" s="15" t="n"/>
      <c r="G1767" s="23" t="n"/>
      <c r="H1767" s="25" t="n"/>
      <c r="I1767" s="15" t="n"/>
      <c r="J1767" s="26">
        <f>IF($A1767="","",LEN($C1767)-LEN(SUBSTITUTE($C1767,",",""))+1)</f>
        <v/>
      </c>
      <c r="K1767" s="26">
        <f>IF($A1767="","",SUMPRODUCT(--ISNUMBER(SEARCH('Category Dictionary'!$D$5:$D$135&amp;"",$C1767)),--('Category Dictionary'!$D$5:$D$135&lt;&gt;"")))</f>
        <v/>
      </c>
      <c r="L1767" s="27">
        <f>IF($A1767="","",TRIM(IF(ISERROR(FIND(",",$C1767)),$C1767,LEFT($C1767,FIND(",",$C1767)-1))))</f>
        <v/>
      </c>
      <c r="M1767" s="28">
        <f>IF($H1767="","",DATE(YEAR($H1767),MONTH($H1767),1))</f>
        <v/>
      </c>
      <c r="N1767" s="26">
        <f>IF($H1767="","",TODAY()-$H1767)</f>
        <v/>
      </c>
      <c r="O1767" s="15" t="n"/>
      <c r="P1767" s="15" t="n"/>
      <c r="Q1767" s="15" t="n"/>
      <c r="R1767" s="25" t="n"/>
      <c r="S1767" s="26">
        <f>IF($A1767="","",AND(OR('Assignment Builder'!$B$5="",$B1767='Assignment Builder'!$B$5),OR('Assignment Builder'!$B$6="",ISNUMBER(SEARCH('Assignment Builder'!$B$6,$C1767))),OR('Assignment Builder'!$B$7="",'Assignment Builder'!$B$7=IFERROR(INDEX('Category Dictionary'!$C$5:$C$135,MATCH($L1767,'Category Dictionary'!$D$5:$D$135,0)),"")),OR('Assignment Builder'!$B$8="",$D1767='Assignment Builder'!$B$8),OR('Assignment Builder'!$B$9="",$F1767='Assignment Builder'!$B$9),OR('Assignment Builder'!$B$10="",$O1767='Assignment Builder'!$B$10),OR('Assignment Builder'!$B$11="",$H1767&gt;='Assignment Builder'!$B$11),OR('Assignment Builder'!$B$12="",N($Q1767)&lt;='Assignment Builder'!$B$12)))</f>
        <v/>
      </c>
      <c r="T1767" s="23" t="n"/>
    </row>
    <row r="1768">
      <c r="A1768" s="23" t="n"/>
      <c r="B1768" s="23" t="n"/>
      <c r="C1768" s="24" t="n"/>
      <c r="D1768" s="15" t="n"/>
      <c r="E1768" s="23" t="n"/>
      <c r="F1768" s="15" t="n"/>
      <c r="G1768" s="23" t="n"/>
      <c r="H1768" s="25" t="n"/>
      <c r="I1768" s="15" t="n"/>
      <c r="J1768" s="26">
        <f>IF($A1768="","",LEN($C1768)-LEN(SUBSTITUTE($C1768,",",""))+1)</f>
        <v/>
      </c>
      <c r="K1768" s="26">
        <f>IF($A1768="","",SUMPRODUCT(--ISNUMBER(SEARCH('Category Dictionary'!$D$5:$D$135&amp;"",$C1768)),--('Category Dictionary'!$D$5:$D$135&lt;&gt;"")))</f>
        <v/>
      </c>
      <c r="L1768" s="27">
        <f>IF($A1768="","",TRIM(IF(ISERROR(FIND(",",$C1768)),$C1768,LEFT($C1768,FIND(",",$C1768)-1))))</f>
        <v/>
      </c>
      <c r="M1768" s="28">
        <f>IF($H1768="","",DATE(YEAR($H1768),MONTH($H1768),1))</f>
        <v/>
      </c>
      <c r="N1768" s="26">
        <f>IF($H1768="","",TODAY()-$H1768)</f>
        <v/>
      </c>
      <c r="O1768" s="15" t="n"/>
      <c r="P1768" s="15" t="n"/>
      <c r="Q1768" s="15" t="n"/>
      <c r="R1768" s="25" t="n"/>
      <c r="S1768" s="26">
        <f>IF($A1768="","",AND(OR('Assignment Builder'!$B$5="",$B1768='Assignment Builder'!$B$5),OR('Assignment Builder'!$B$6="",ISNUMBER(SEARCH('Assignment Builder'!$B$6,$C1768))),OR('Assignment Builder'!$B$7="",'Assignment Builder'!$B$7=IFERROR(INDEX('Category Dictionary'!$C$5:$C$135,MATCH($L1768,'Category Dictionary'!$D$5:$D$135,0)),"")),OR('Assignment Builder'!$B$8="",$D1768='Assignment Builder'!$B$8),OR('Assignment Builder'!$B$9="",$F1768='Assignment Builder'!$B$9),OR('Assignment Builder'!$B$10="",$O1768='Assignment Builder'!$B$10),OR('Assignment Builder'!$B$11="",$H1768&gt;='Assignment Builder'!$B$11),OR('Assignment Builder'!$B$12="",N($Q1768)&lt;='Assignment Builder'!$B$12)))</f>
        <v/>
      </c>
      <c r="T1768" s="23" t="n"/>
    </row>
    <row r="1769">
      <c r="A1769" s="23" t="n"/>
      <c r="B1769" s="23" t="n"/>
      <c r="C1769" s="24" t="n"/>
      <c r="D1769" s="15" t="n"/>
      <c r="E1769" s="23" t="n"/>
      <c r="F1769" s="15" t="n"/>
      <c r="G1769" s="23" t="n"/>
      <c r="H1769" s="25" t="n"/>
      <c r="I1769" s="15" t="n"/>
      <c r="J1769" s="26">
        <f>IF($A1769="","",LEN($C1769)-LEN(SUBSTITUTE($C1769,",",""))+1)</f>
        <v/>
      </c>
      <c r="K1769" s="26">
        <f>IF($A1769="","",SUMPRODUCT(--ISNUMBER(SEARCH('Category Dictionary'!$D$5:$D$135&amp;"",$C1769)),--('Category Dictionary'!$D$5:$D$135&lt;&gt;"")))</f>
        <v/>
      </c>
      <c r="L1769" s="27">
        <f>IF($A1769="","",TRIM(IF(ISERROR(FIND(",",$C1769)),$C1769,LEFT($C1769,FIND(",",$C1769)-1))))</f>
        <v/>
      </c>
      <c r="M1769" s="28">
        <f>IF($H1769="","",DATE(YEAR($H1769),MONTH($H1769),1))</f>
        <v/>
      </c>
      <c r="N1769" s="26">
        <f>IF($H1769="","",TODAY()-$H1769)</f>
        <v/>
      </c>
      <c r="O1769" s="15" t="n"/>
      <c r="P1769" s="15" t="n"/>
      <c r="Q1769" s="15" t="n"/>
      <c r="R1769" s="25" t="n"/>
      <c r="S1769" s="26">
        <f>IF($A1769="","",AND(OR('Assignment Builder'!$B$5="",$B1769='Assignment Builder'!$B$5),OR('Assignment Builder'!$B$6="",ISNUMBER(SEARCH('Assignment Builder'!$B$6,$C1769))),OR('Assignment Builder'!$B$7="",'Assignment Builder'!$B$7=IFERROR(INDEX('Category Dictionary'!$C$5:$C$135,MATCH($L1769,'Category Dictionary'!$D$5:$D$135,0)),"")),OR('Assignment Builder'!$B$8="",$D1769='Assignment Builder'!$B$8),OR('Assignment Builder'!$B$9="",$F1769='Assignment Builder'!$B$9),OR('Assignment Builder'!$B$10="",$O1769='Assignment Builder'!$B$10),OR('Assignment Builder'!$B$11="",$H1769&gt;='Assignment Builder'!$B$11),OR('Assignment Builder'!$B$12="",N($Q1769)&lt;='Assignment Builder'!$B$12)))</f>
        <v/>
      </c>
      <c r="T1769" s="23" t="n"/>
    </row>
    <row r="1770">
      <c r="A1770" s="23" t="n"/>
      <c r="B1770" s="23" t="n"/>
      <c r="C1770" s="24" t="n"/>
      <c r="D1770" s="15" t="n"/>
      <c r="E1770" s="23" t="n"/>
      <c r="F1770" s="15" t="n"/>
      <c r="G1770" s="23" t="n"/>
      <c r="H1770" s="25" t="n"/>
      <c r="I1770" s="15" t="n"/>
      <c r="J1770" s="26">
        <f>IF($A1770="","",LEN($C1770)-LEN(SUBSTITUTE($C1770,",",""))+1)</f>
        <v/>
      </c>
      <c r="K1770" s="26">
        <f>IF($A1770="","",SUMPRODUCT(--ISNUMBER(SEARCH('Category Dictionary'!$D$5:$D$135&amp;"",$C1770)),--('Category Dictionary'!$D$5:$D$135&lt;&gt;"")))</f>
        <v/>
      </c>
      <c r="L1770" s="27">
        <f>IF($A1770="","",TRIM(IF(ISERROR(FIND(",",$C1770)),$C1770,LEFT($C1770,FIND(",",$C1770)-1))))</f>
        <v/>
      </c>
      <c r="M1770" s="28">
        <f>IF($H1770="","",DATE(YEAR($H1770),MONTH($H1770),1))</f>
        <v/>
      </c>
      <c r="N1770" s="26">
        <f>IF($H1770="","",TODAY()-$H1770)</f>
        <v/>
      </c>
      <c r="O1770" s="15" t="n"/>
      <c r="P1770" s="15" t="n"/>
      <c r="Q1770" s="15" t="n"/>
      <c r="R1770" s="25" t="n"/>
      <c r="S1770" s="26">
        <f>IF($A1770="","",AND(OR('Assignment Builder'!$B$5="",$B1770='Assignment Builder'!$B$5),OR('Assignment Builder'!$B$6="",ISNUMBER(SEARCH('Assignment Builder'!$B$6,$C1770))),OR('Assignment Builder'!$B$7="",'Assignment Builder'!$B$7=IFERROR(INDEX('Category Dictionary'!$C$5:$C$135,MATCH($L1770,'Category Dictionary'!$D$5:$D$135,0)),"")),OR('Assignment Builder'!$B$8="",$D1770='Assignment Builder'!$B$8),OR('Assignment Builder'!$B$9="",$F1770='Assignment Builder'!$B$9),OR('Assignment Builder'!$B$10="",$O1770='Assignment Builder'!$B$10),OR('Assignment Builder'!$B$11="",$H1770&gt;='Assignment Builder'!$B$11),OR('Assignment Builder'!$B$12="",N($Q1770)&lt;='Assignment Builder'!$B$12)))</f>
        <v/>
      </c>
      <c r="T1770" s="23" t="n"/>
    </row>
    <row r="1771">
      <c r="A1771" s="23" t="n"/>
      <c r="B1771" s="23" t="n"/>
      <c r="C1771" s="24" t="n"/>
      <c r="D1771" s="15" t="n"/>
      <c r="E1771" s="23" t="n"/>
      <c r="F1771" s="15" t="n"/>
      <c r="G1771" s="23" t="n"/>
      <c r="H1771" s="25" t="n"/>
      <c r="I1771" s="15" t="n"/>
      <c r="J1771" s="26">
        <f>IF($A1771="","",LEN($C1771)-LEN(SUBSTITUTE($C1771,",",""))+1)</f>
        <v/>
      </c>
      <c r="K1771" s="26">
        <f>IF($A1771="","",SUMPRODUCT(--ISNUMBER(SEARCH('Category Dictionary'!$D$5:$D$135&amp;"",$C1771)),--('Category Dictionary'!$D$5:$D$135&lt;&gt;"")))</f>
        <v/>
      </c>
      <c r="L1771" s="27">
        <f>IF($A1771="","",TRIM(IF(ISERROR(FIND(",",$C1771)),$C1771,LEFT($C1771,FIND(",",$C1771)-1))))</f>
        <v/>
      </c>
      <c r="M1771" s="28">
        <f>IF($H1771="","",DATE(YEAR($H1771),MONTH($H1771),1))</f>
        <v/>
      </c>
      <c r="N1771" s="26">
        <f>IF($H1771="","",TODAY()-$H1771)</f>
        <v/>
      </c>
      <c r="O1771" s="15" t="n"/>
      <c r="P1771" s="15" t="n"/>
      <c r="Q1771" s="15" t="n"/>
      <c r="R1771" s="25" t="n"/>
      <c r="S1771" s="26">
        <f>IF($A1771="","",AND(OR('Assignment Builder'!$B$5="",$B1771='Assignment Builder'!$B$5),OR('Assignment Builder'!$B$6="",ISNUMBER(SEARCH('Assignment Builder'!$B$6,$C1771))),OR('Assignment Builder'!$B$7="",'Assignment Builder'!$B$7=IFERROR(INDEX('Category Dictionary'!$C$5:$C$135,MATCH($L1771,'Category Dictionary'!$D$5:$D$135,0)),"")),OR('Assignment Builder'!$B$8="",$D1771='Assignment Builder'!$B$8),OR('Assignment Builder'!$B$9="",$F1771='Assignment Builder'!$B$9),OR('Assignment Builder'!$B$10="",$O1771='Assignment Builder'!$B$10),OR('Assignment Builder'!$B$11="",$H1771&gt;='Assignment Builder'!$B$11),OR('Assignment Builder'!$B$12="",N($Q1771)&lt;='Assignment Builder'!$B$12)))</f>
        <v/>
      </c>
      <c r="T1771" s="23" t="n"/>
    </row>
    <row r="1772">
      <c r="A1772" s="23" t="n"/>
      <c r="B1772" s="23" t="n"/>
      <c r="C1772" s="24" t="n"/>
      <c r="D1772" s="15" t="n"/>
      <c r="E1772" s="23" t="n"/>
      <c r="F1772" s="15" t="n"/>
      <c r="G1772" s="23" t="n"/>
      <c r="H1772" s="25" t="n"/>
      <c r="I1772" s="15" t="n"/>
      <c r="J1772" s="26">
        <f>IF($A1772="","",LEN($C1772)-LEN(SUBSTITUTE($C1772,",",""))+1)</f>
        <v/>
      </c>
      <c r="K1772" s="26">
        <f>IF($A1772="","",SUMPRODUCT(--ISNUMBER(SEARCH('Category Dictionary'!$D$5:$D$135&amp;"",$C1772)),--('Category Dictionary'!$D$5:$D$135&lt;&gt;"")))</f>
        <v/>
      </c>
      <c r="L1772" s="27">
        <f>IF($A1772="","",TRIM(IF(ISERROR(FIND(",",$C1772)),$C1772,LEFT($C1772,FIND(",",$C1772)-1))))</f>
        <v/>
      </c>
      <c r="M1772" s="28">
        <f>IF($H1772="","",DATE(YEAR($H1772),MONTH($H1772),1))</f>
        <v/>
      </c>
      <c r="N1772" s="26">
        <f>IF($H1772="","",TODAY()-$H1772)</f>
        <v/>
      </c>
      <c r="O1772" s="15" t="n"/>
      <c r="P1772" s="15" t="n"/>
      <c r="Q1772" s="15" t="n"/>
      <c r="R1772" s="25" t="n"/>
      <c r="S1772" s="26">
        <f>IF($A1772="","",AND(OR('Assignment Builder'!$B$5="",$B1772='Assignment Builder'!$B$5),OR('Assignment Builder'!$B$6="",ISNUMBER(SEARCH('Assignment Builder'!$B$6,$C1772))),OR('Assignment Builder'!$B$7="",'Assignment Builder'!$B$7=IFERROR(INDEX('Category Dictionary'!$C$5:$C$135,MATCH($L1772,'Category Dictionary'!$D$5:$D$135,0)),"")),OR('Assignment Builder'!$B$8="",$D1772='Assignment Builder'!$B$8),OR('Assignment Builder'!$B$9="",$F1772='Assignment Builder'!$B$9),OR('Assignment Builder'!$B$10="",$O1772='Assignment Builder'!$B$10),OR('Assignment Builder'!$B$11="",$H1772&gt;='Assignment Builder'!$B$11),OR('Assignment Builder'!$B$12="",N($Q1772)&lt;='Assignment Builder'!$B$12)))</f>
        <v/>
      </c>
      <c r="T1772" s="23" t="n"/>
    </row>
    <row r="1773">
      <c r="A1773" s="23" t="n"/>
      <c r="B1773" s="23" t="n"/>
      <c r="C1773" s="24" t="n"/>
      <c r="D1773" s="15" t="n"/>
      <c r="E1773" s="23" t="n"/>
      <c r="F1773" s="15" t="n"/>
      <c r="G1773" s="23" t="n"/>
      <c r="H1773" s="25" t="n"/>
      <c r="I1773" s="15" t="n"/>
      <c r="J1773" s="26">
        <f>IF($A1773="","",LEN($C1773)-LEN(SUBSTITUTE($C1773,",",""))+1)</f>
        <v/>
      </c>
      <c r="K1773" s="26">
        <f>IF($A1773="","",SUMPRODUCT(--ISNUMBER(SEARCH('Category Dictionary'!$D$5:$D$135&amp;"",$C1773)),--('Category Dictionary'!$D$5:$D$135&lt;&gt;"")))</f>
        <v/>
      </c>
      <c r="L1773" s="27">
        <f>IF($A1773="","",TRIM(IF(ISERROR(FIND(",",$C1773)),$C1773,LEFT($C1773,FIND(",",$C1773)-1))))</f>
        <v/>
      </c>
      <c r="M1773" s="28">
        <f>IF($H1773="","",DATE(YEAR($H1773),MONTH($H1773),1))</f>
        <v/>
      </c>
      <c r="N1773" s="26">
        <f>IF($H1773="","",TODAY()-$H1773)</f>
        <v/>
      </c>
      <c r="O1773" s="15" t="n"/>
      <c r="P1773" s="15" t="n"/>
      <c r="Q1773" s="15" t="n"/>
      <c r="R1773" s="25" t="n"/>
      <c r="S1773" s="26">
        <f>IF($A1773="","",AND(OR('Assignment Builder'!$B$5="",$B1773='Assignment Builder'!$B$5),OR('Assignment Builder'!$B$6="",ISNUMBER(SEARCH('Assignment Builder'!$B$6,$C1773))),OR('Assignment Builder'!$B$7="",'Assignment Builder'!$B$7=IFERROR(INDEX('Category Dictionary'!$C$5:$C$135,MATCH($L1773,'Category Dictionary'!$D$5:$D$135,0)),"")),OR('Assignment Builder'!$B$8="",$D1773='Assignment Builder'!$B$8),OR('Assignment Builder'!$B$9="",$F1773='Assignment Builder'!$B$9),OR('Assignment Builder'!$B$10="",$O1773='Assignment Builder'!$B$10),OR('Assignment Builder'!$B$11="",$H1773&gt;='Assignment Builder'!$B$11),OR('Assignment Builder'!$B$12="",N($Q1773)&lt;='Assignment Builder'!$B$12)))</f>
        <v/>
      </c>
      <c r="T1773" s="23" t="n"/>
    </row>
    <row r="1774">
      <c r="A1774" s="23" t="n"/>
      <c r="B1774" s="23" t="n"/>
      <c r="C1774" s="24" t="n"/>
      <c r="D1774" s="15" t="n"/>
      <c r="E1774" s="23" t="n"/>
      <c r="F1774" s="15" t="n"/>
      <c r="G1774" s="23" t="n"/>
      <c r="H1774" s="25" t="n"/>
      <c r="I1774" s="15" t="n"/>
      <c r="J1774" s="26">
        <f>IF($A1774="","",LEN($C1774)-LEN(SUBSTITUTE($C1774,",",""))+1)</f>
        <v/>
      </c>
      <c r="K1774" s="26">
        <f>IF($A1774="","",SUMPRODUCT(--ISNUMBER(SEARCH('Category Dictionary'!$D$5:$D$135&amp;"",$C1774)),--('Category Dictionary'!$D$5:$D$135&lt;&gt;"")))</f>
        <v/>
      </c>
      <c r="L1774" s="27">
        <f>IF($A1774="","",TRIM(IF(ISERROR(FIND(",",$C1774)),$C1774,LEFT($C1774,FIND(",",$C1774)-1))))</f>
        <v/>
      </c>
      <c r="M1774" s="28">
        <f>IF($H1774="","",DATE(YEAR($H1774),MONTH($H1774),1))</f>
        <v/>
      </c>
      <c r="N1774" s="26">
        <f>IF($H1774="","",TODAY()-$H1774)</f>
        <v/>
      </c>
      <c r="O1774" s="15" t="n"/>
      <c r="P1774" s="15" t="n"/>
      <c r="Q1774" s="15" t="n"/>
      <c r="R1774" s="25" t="n"/>
      <c r="S1774" s="26">
        <f>IF($A1774="","",AND(OR('Assignment Builder'!$B$5="",$B1774='Assignment Builder'!$B$5),OR('Assignment Builder'!$B$6="",ISNUMBER(SEARCH('Assignment Builder'!$B$6,$C1774))),OR('Assignment Builder'!$B$7="",'Assignment Builder'!$B$7=IFERROR(INDEX('Category Dictionary'!$C$5:$C$135,MATCH($L1774,'Category Dictionary'!$D$5:$D$135,0)),"")),OR('Assignment Builder'!$B$8="",$D1774='Assignment Builder'!$B$8),OR('Assignment Builder'!$B$9="",$F1774='Assignment Builder'!$B$9),OR('Assignment Builder'!$B$10="",$O1774='Assignment Builder'!$B$10),OR('Assignment Builder'!$B$11="",$H1774&gt;='Assignment Builder'!$B$11),OR('Assignment Builder'!$B$12="",N($Q1774)&lt;='Assignment Builder'!$B$12)))</f>
        <v/>
      </c>
      <c r="T1774" s="23" t="n"/>
    </row>
    <row r="1775">
      <c r="A1775" s="23" t="n"/>
      <c r="B1775" s="23" t="n"/>
      <c r="C1775" s="24" t="n"/>
      <c r="D1775" s="15" t="n"/>
      <c r="E1775" s="23" t="n"/>
      <c r="F1775" s="15" t="n"/>
      <c r="G1775" s="23" t="n"/>
      <c r="H1775" s="25" t="n"/>
      <c r="I1775" s="15" t="n"/>
      <c r="J1775" s="26">
        <f>IF($A1775="","",LEN($C1775)-LEN(SUBSTITUTE($C1775,",",""))+1)</f>
        <v/>
      </c>
      <c r="K1775" s="26">
        <f>IF($A1775="","",SUMPRODUCT(--ISNUMBER(SEARCH('Category Dictionary'!$D$5:$D$135&amp;"",$C1775)),--('Category Dictionary'!$D$5:$D$135&lt;&gt;"")))</f>
        <v/>
      </c>
      <c r="L1775" s="27">
        <f>IF($A1775="","",TRIM(IF(ISERROR(FIND(",",$C1775)),$C1775,LEFT($C1775,FIND(",",$C1775)-1))))</f>
        <v/>
      </c>
      <c r="M1775" s="28">
        <f>IF($H1775="","",DATE(YEAR($H1775),MONTH($H1775),1))</f>
        <v/>
      </c>
      <c r="N1775" s="26">
        <f>IF($H1775="","",TODAY()-$H1775)</f>
        <v/>
      </c>
      <c r="O1775" s="15" t="n"/>
      <c r="P1775" s="15" t="n"/>
      <c r="Q1775" s="15" t="n"/>
      <c r="R1775" s="25" t="n"/>
      <c r="S1775" s="26">
        <f>IF($A1775="","",AND(OR('Assignment Builder'!$B$5="",$B1775='Assignment Builder'!$B$5),OR('Assignment Builder'!$B$6="",ISNUMBER(SEARCH('Assignment Builder'!$B$6,$C1775))),OR('Assignment Builder'!$B$7="",'Assignment Builder'!$B$7=IFERROR(INDEX('Category Dictionary'!$C$5:$C$135,MATCH($L1775,'Category Dictionary'!$D$5:$D$135,0)),"")),OR('Assignment Builder'!$B$8="",$D1775='Assignment Builder'!$B$8),OR('Assignment Builder'!$B$9="",$F1775='Assignment Builder'!$B$9),OR('Assignment Builder'!$B$10="",$O1775='Assignment Builder'!$B$10),OR('Assignment Builder'!$B$11="",$H1775&gt;='Assignment Builder'!$B$11),OR('Assignment Builder'!$B$12="",N($Q1775)&lt;='Assignment Builder'!$B$12)))</f>
        <v/>
      </c>
      <c r="T1775" s="23" t="n"/>
    </row>
    <row r="1776">
      <c r="A1776" s="23" t="n"/>
      <c r="B1776" s="23" t="n"/>
      <c r="C1776" s="24" t="n"/>
      <c r="D1776" s="15" t="n"/>
      <c r="E1776" s="23" t="n"/>
      <c r="F1776" s="15" t="n"/>
      <c r="G1776" s="23" t="n"/>
      <c r="H1776" s="25" t="n"/>
      <c r="I1776" s="15" t="n"/>
      <c r="J1776" s="26">
        <f>IF($A1776="","",LEN($C1776)-LEN(SUBSTITUTE($C1776,",",""))+1)</f>
        <v/>
      </c>
      <c r="K1776" s="26">
        <f>IF($A1776="","",SUMPRODUCT(--ISNUMBER(SEARCH('Category Dictionary'!$D$5:$D$135&amp;"",$C1776)),--('Category Dictionary'!$D$5:$D$135&lt;&gt;"")))</f>
        <v/>
      </c>
      <c r="L1776" s="27">
        <f>IF($A1776="","",TRIM(IF(ISERROR(FIND(",",$C1776)),$C1776,LEFT($C1776,FIND(",",$C1776)-1))))</f>
        <v/>
      </c>
      <c r="M1776" s="28">
        <f>IF($H1776="","",DATE(YEAR($H1776),MONTH($H1776),1))</f>
        <v/>
      </c>
      <c r="N1776" s="26">
        <f>IF($H1776="","",TODAY()-$H1776)</f>
        <v/>
      </c>
      <c r="O1776" s="15" t="n"/>
      <c r="P1776" s="15" t="n"/>
      <c r="Q1776" s="15" t="n"/>
      <c r="R1776" s="25" t="n"/>
      <c r="S1776" s="26">
        <f>IF($A1776="","",AND(OR('Assignment Builder'!$B$5="",$B1776='Assignment Builder'!$B$5),OR('Assignment Builder'!$B$6="",ISNUMBER(SEARCH('Assignment Builder'!$B$6,$C1776))),OR('Assignment Builder'!$B$7="",'Assignment Builder'!$B$7=IFERROR(INDEX('Category Dictionary'!$C$5:$C$135,MATCH($L1776,'Category Dictionary'!$D$5:$D$135,0)),"")),OR('Assignment Builder'!$B$8="",$D1776='Assignment Builder'!$B$8),OR('Assignment Builder'!$B$9="",$F1776='Assignment Builder'!$B$9),OR('Assignment Builder'!$B$10="",$O1776='Assignment Builder'!$B$10),OR('Assignment Builder'!$B$11="",$H1776&gt;='Assignment Builder'!$B$11),OR('Assignment Builder'!$B$12="",N($Q1776)&lt;='Assignment Builder'!$B$12)))</f>
        <v/>
      </c>
      <c r="T1776" s="23" t="n"/>
    </row>
    <row r="1777">
      <c r="A1777" s="23" t="n"/>
      <c r="B1777" s="23" t="n"/>
      <c r="C1777" s="24" t="n"/>
      <c r="D1777" s="15" t="n"/>
      <c r="E1777" s="23" t="n"/>
      <c r="F1777" s="15" t="n"/>
      <c r="G1777" s="23" t="n"/>
      <c r="H1777" s="25" t="n"/>
      <c r="I1777" s="15" t="n"/>
      <c r="J1777" s="26">
        <f>IF($A1777="","",LEN($C1777)-LEN(SUBSTITUTE($C1777,",",""))+1)</f>
        <v/>
      </c>
      <c r="K1777" s="26">
        <f>IF($A1777="","",SUMPRODUCT(--ISNUMBER(SEARCH('Category Dictionary'!$D$5:$D$135&amp;"",$C1777)),--('Category Dictionary'!$D$5:$D$135&lt;&gt;"")))</f>
        <v/>
      </c>
      <c r="L1777" s="27">
        <f>IF($A1777="","",TRIM(IF(ISERROR(FIND(",",$C1777)),$C1777,LEFT($C1777,FIND(",",$C1777)-1))))</f>
        <v/>
      </c>
      <c r="M1777" s="28">
        <f>IF($H1777="","",DATE(YEAR($H1777),MONTH($H1777),1))</f>
        <v/>
      </c>
      <c r="N1777" s="26">
        <f>IF($H1777="","",TODAY()-$H1777)</f>
        <v/>
      </c>
      <c r="O1777" s="15" t="n"/>
      <c r="P1777" s="15" t="n"/>
      <c r="Q1777" s="15" t="n"/>
      <c r="R1777" s="25" t="n"/>
      <c r="S1777" s="26">
        <f>IF($A1777="","",AND(OR('Assignment Builder'!$B$5="",$B1777='Assignment Builder'!$B$5),OR('Assignment Builder'!$B$6="",ISNUMBER(SEARCH('Assignment Builder'!$B$6,$C1777))),OR('Assignment Builder'!$B$7="",'Assignment Builder'!$B$7=IFERROR(INDEX('Category Dictionary'!$C$5:$C$135,MATCH($L1777,'Category Dictionary'!$D$5:$D$135,0)),"")),OR('Assignment Builder'!$B$8="",$D1777='Assignment Builder'!$B$8),OR('Assignment Builder'!$B$9="",$F1777='Assignment Builder'!$B$9),OR('Assignment Builder'!$B$10="",$O1777='Assignment Builder'!$B$10),OR('Assignment Builder'!$B$11="",$H1777&gt;='Assignment Builder'!$B$11),OR('Assignment Builder'!$B$12="",N($Q1777)&lt;='Assignment Builder'!$B$12)))</f>
        <v/>
      </c>
      <c r="T1777" s="23" t="n"/>
    </row>
    <row r="1778">
      <c r="A1778" s="23" t="n"/>
      <c r="B1778" s="23" t="n"/>
      <c r="C1778" s="24" t="n"/>
      <c r="D1778" s="15" t="n"/>
      <c r="E1778" s="23" t="n"/>
      <c r="F1778" s="15" t="n"/>
      <c r="G1778" s="23" t="n"/>
      <c r="H1778" s="25" t="n"/>
      <c r="I1778" s="15" t="n"/>
      <c r="J1778" s="26">
        <f>IF($A1778="","",LEN($C1778)-LEN(SUBSTITUTE($C1778,",",""))+1)</f>
        <v/>
      </c>
      <c r="K1778" s="26">
        <f>IF($A1778="","",SUMPRODUCT(--ISNUMBER(SEARCH('Category Dictionary'!$D$5:$D$135&amp;"",$C1778)),--('Category Dictionary'!$D$5:$D$135&lt;&gt;"")))</f>
        <v/>
      </c>
      <c r="L1778" s="27">
        <f>IF($A1778="","",TRIM(IF(ISERROR(FIND(",",$C1778)),$C1778,LEFT($C1778,FIND(",",$C1778)-1))))</f>
        <v/>
      </c>
      <c r="M1778" s="28">
        <f>IF($H1778="","",DATE(YEAR($H1778),MONTH($H1778),1))</f>
        <v/>
      </c>
      <c r="N1778" s="26">
        <f>IF($H1778="","",TODAY()-$H1778)</f>
        <v/>
      </c>
      <c r="O1778" s="15" t="n"/>
      <c r="P1778" s="15" t="n"/>
      <c r="Q1778" s="15" t="n"/>
      <c r="R1778" s="25" t="n"/>
      <c r="S1778" s="26">
        <f>IF($A1778="","",AND(OR('Assignment Builder'!$B$5="",$B1778='Assignment Builder'!$B$5),OR('Assignment Builder'!$B$6="",ISNUMBER(SEARCH('Assignment Builder'!$B$6,$C1778))),OR('Assignment Builder'!$B$7="",'Assignment Builder'!$B$7=IFERROR(INDEX('Category Dictionary'!$C$5:$C$135,MATCH($L1778,'Category Dictionary'!$D$5:$D$135,0)),"")),OR('Assignment Builder'!$B$8="",$D1778='Assignment Builder'!$B$8),OR('Assignment Builder'!$B$9="",$F1778='Assignment Builder'!$B$9),OR('Assignment Builder'!$B$10="",$O1778='Assignment Builder'!$B$10),OR('Assignment Builder'!$B$11="",$H1778&gt;='Assignment Builder'!$B$11),OR('Assignment Builder'!$B$12="",N($Q1778)&lt;='Assignment Builder'!$B$12)))</f>
        <v/>
      </c>
      <c r="T1778" s="23" t="n"/>
    </row>
    <row r="1779">
      <c r="A1779" s="23" t="n"/>
      <c r="B1779" s="23" t="n"/>
      <c r="C1779" s="24" t="n"/>
      <c r="D1779" s="15" t="n"/>
      <c r="E1779" s="23" t="n"/>
      <c r="F1779" s="15" t="n"/>
      <c r="G1779" s="23" t="n"/>
      <c r="H1779" s="25" t="n"/>
      <c r="I1779" s="15" t="n"/>
      <c r="J1779" s="26">
        <f>IF($A1779="","",LEN($C1779)-LEN(SUBSTITUTE($C1779,",",""))+1)</f>
        <v/>
      </c>
      <c r="K1779" s="26">
        <f>IF($A1779="","",SUMPRODUCT(--ISNUMBER(SEARCH('Category Dictionary'!$D$5:$D$135&amp;"",$C1779)),--('Category Dictionary'!$D$5:$D$135&lt;&gt;"")))</f>
        <v/>
      </c>
      <c r="L1779" s="27">
        <f>IF($A1779="","",TRIM(IF(ISERROR(FIND(",",$C1779)),$C1779,LEFT($C1779,FIND(",",$C1779)-1))))</f>
        <v/>
      </c>
      <c r="M1779" s="28">
        <f>IF($H1779="","",DATE(YEAR($H1779),MONTH($H1779),1))</f>
        <v/>
      </c>
      <c r="N1779" s="26">
        <f>IF($H1779="","",TODAY()-$H1779)</f>
        <v/>
      </c>
      <c r="O1779" s="15" t="n"/>
      <c r="P1779" s="15" t="n"/>
      <c r="Q1779" s="15" t="n"/>
      <c r="R1779" s="25" t="n"/>
      <c r="S1779" s="26">
        <f>IF($A1779="","",AND(OR('Assignment Builder'!$B$5="",$B1779='Assignment Builder'!$B$5),OR('Assignment Builder'!$B$6="",ISNUMBER(SEARCH('Assignment Builder'!$B$6,$C1779))),OR('Assignment Builder'!$B$7="",'Assignment Builder'!$B$7=IFERROR(INDEX('Category Dictionary'!$C$5:$C$135,MATCH($L1779,'Category Dictionary'!$D$5:$D$135,0)),"")),OR('Assignment Builder'!$B$8="",$D1779='Assignment Builder'!$B$8),OR('Assignment Builder'!$B$9="",$F1779='Assignment Builder'!$B$9),OR('Assignment Builder'!$B$10="",$O1779='Assignment Builder'!$B$10),OR('Assignment Builder'!$B$11="",$H1779&gt;='Assignment Builder'!$B$11),OR('Assignment Builder'!$B$12="",N($Q1779)&lt;='Assignment Builder'!$B$12)))</f>
        <v/>
      </c>
      <c r="T1779" s="23" t="n"/>
    </row>
    <row r="1780">
      <c r="A1780" s="23" t="n"/>
      <c r="B1780" s="23" t="n"/>
      <c r="C1780" s="24" t="n"/>
      <c r="D1780" s="15" t="n"/>
      <c r="E1780" s="23" t="n"/>
      <c r="F1780" s="15" t="n"/>
      <c r="G1780" s="23" t="n"/>
      <c r="H1780" s="25" t="n"/>
      <c r="I1780" s="15" t="n"/>
      <c r="J1780" s="26">
        <f>IF($A1780="","",LEN($C1780)-LEN(SUBSTITUTE($C1780,",",""))+1)</f>
        <v/>
      </c>
      <c r="K1780" s="26">
        <f>IF($A1780="","",SUMPRODUCT(--ISNUMBER(SEARCH('Category Dictionary'!$D$5:$D$135&amp;"",$C1780)),--('Category Dictionary'!$D$5:$D$135&lt;&gt;"")))</f>
        <v/>
      </c>
      <c r="L1780" s="27">
        <f>IF($A1780="","",TRIM(IF(ISERROR(FIND(",",$C1780)),$C1780,LEFT($C1780,FIND(",",$C1780)-1))))</f>
        <v/>
      </c>
      <c r="M1780" s="28">
        <f>IF($H1780="","",DATE(YEAR($H1780),MONTH($H1780),1))</f>
        <v/>
      </c>
      <c r="N1780" s="26">
        <f>IF($H1780="","",TODAY()-$H1780)</f>
        <v/>
      </c>
      <c r="O1780" s="15" t="n"/>
      <c r="P1780" s="15" t="n"/>
      <c r="Q1780" s="15" t="n"/>
      <c r="R1780" s="25" t="n"/>
      <c r="S1780" s="26">
        <f>IF($A1780="","",AND(OR('Assignment Builder'!$B$5="",$B1780='Assignment Builder'!$B$5),OR('Assignment Builder'!$B$6="",ISNUMBER(SEARCH('Assignment Builder'!$B$6,$C1780))),OR('Assignment Builder'!$B$7="",'Assignment Builder'!$B$7=IFERROR(INDEX('Category Dictionary'!$C$5:$C$135,MATCH($L1780,'Category Dictionary'!$D$5:$D$135,0)),"")),OR('Assignment Builder'!$B$8="",$D1780='Assignment Builder'!$B$8),OR('Assignment Builder'!$B$9="",$F1780='Assignment Builder'!$B$9),OR('Assignment Builder'!$B$10="",$O1780='Assignment Builder'!$B$10),OR('Assignment Builder'!$B$11="",$H1780&gt;='Assignment Builder'!$B$11),OR('Assignment Builder'!$B$12="",N($Q1780)&lt;='Assignment Builder'!$B$12)))</f>
        <v/>
      </c>
      <c r="T1780" s="23" t="n"/>
    </row>
    <row r="1781">
      <c r="A1781" s="23" t="n"/>
      <c r="B1781" s="23" t="n"/>
      <c r="C1781" s="24" t="n"/>
      <c r="D1781" s="15" t="n"/>
      <c r="E1781" s="23" t="n"/>
      <c r="F1781" s="15" t="n"/>
      <c r="G1781" s="23" t="n"/>
      <c r="H1781" s="25" t="n"/>
      <c r="I1781" s="15" t="n"/>
      <c r="J1781" s="26">
        <f>IF($A1781="","",LEN($C1781)-LEN(SUBSTITUTE($C1781,",",""))+1)</f>
        <v/>
      </c>
      <c r="K1781" s="26">
        <f>IF($A1781="","",SUMPRODUCT(--ISNUMBER(SEARCH('Category Dictionary'!$D$5:$D$135&amp;"",$C1781)),--('Category Dictionary'!$D$5:$D$135&lt;&gt;"")))</f>
        <v/>
      </c>
      <c r="L1781" s="27">
        <f>IF($A1781="","",TRIM(IF(ISERROR(FIND(",",$C1781)),$C1781,LEFT($C1781,FIND(",",$C1781)-1))))</f>
        <v/>
      </c>
      <c r="M1781" s="28">
        <f>IF($H1781="","",DATE(YEAR($H1781),MONTH($H1781),1))</f>
        <v/>
      </c>
      <c r="N1781" s="26">
        <f>IF($H1781="","",TODAY()-$H1781)</f>
        <v/>
      </c>
      <c r="O1781" s="15" t="n"/>
      <c r="P1781" s="15" t="n"/>
      <c r="Q1781" s="15" t="n"/>
      <c r="R1781" s="25" t="n"/>
      <c r="S1781" s="26">
        <f>IF($A1781="","",AND(OR('Assignment Builder'!$B$5="",$B1781='Assignment Builder'!$B$5),OR('Assignment Builder'!$B$6="",ISNUMBER(SEARCH('Assignment Builder'!$B$6,$C1781))),OR('Assignment Builder'!$B$7="",'Assignment Builder'!$B$7=IFERROR(INDEX('Category Dictionary'!$C$5:$C$135,MATCH($L1781,'Category Dictionary'!$D$5:$D$135,0)),"")),OR('Assignment Builder'!$B$8="",$D1781='Assignment Builder'!$B$8),OR('Assignment Builder'!$B$9="",$F1781='Assignment Builder'!$B$9),OR('Assignment Builder'!$B$10="",$O1781='Assignment Builder'!$B$10),OR('Assignment Builder'!$B$11="",$H1781&gt;='Assignment Builder'!$B$11),OR('Assignment Builder'!$B$12="",N($Q1781)&lt;='Assignment Builder'!$B$12)))</f>
        <v/>
      </c>
      <c r="T1781" s="23" t="n"/>
    </row>
    <row r="1782">
      <c r="A1782" s="23" t="n"/>
      <c r="B1782" s="23" t="n"/>
      <c r="C1782" s="24" t="n"/>
      <c r="D1782" s="15" t="n"/>
      <c r="E1782" s="23" t="n"/>
      <c r="F1782" s="15" t="n"/>
      <c r="G1782" s="23" t="n"/>
      <c r="H1782" s="25" t="n"/>
      <c r="I1782" s="15" t="n"/>
      <c r="J1782" s="26">
        <f>IF($A1782="","",LEN($C1782)-LEN(SUBSTITUTE($C1782,",",""))+1)</f>
        <v/>
      </c>
      <c r="K1782" s="26">
        <f>IF($A1782="","",SUMPRODUCT(--ISNUMBER(SEARCH('Category Dictionary'!$D$5:$D$135&amp;"",$C1782)),--('Category Dictionary'!$D$5:$D$135&lt;&gt;"")))</f>
        <v/>
      </c>
      <c r="L1782" s="27">
        <f>IF($A1782="","",TRIM(IF(ISERROR(FIND(",",$C1782)),$C1782,LEFT($C1782,FIND(",",$C1782)-1))))</f>
        <v/>
      </c>
      <c r="M1782" s="28">
        <f>IF($H1782="","",DATE(YEAR($H1782),MONTH($H1782),1))</f>
        <v/>
      </c>
      <c r="N1782" s="26">
        <f>IF($H1782="","",TODAY()-$H1782)</f>
        <v/>
      </c>
      <c r="O1782" s="15" t="n"/>
      <c r="P1782" s="15" t="n"/>
      <c r="Q1782" s="15" t="n"/>
      <c r="R1782" s="25" t="n"/>
      <c r="S1782" s="26">
        <f>IF($A1782="","",AND(OR('Assignment Builder'!$B$5="",$B1782='Assignment Builder'!$B$5),OR('Assignment Builder'!$B$6="",ISNUMBER(SEARCH('Assignment Builder'!$B$6,$C1782))),OR('Assignment Builder'!$B$7="",'Assignment Builder'!$B$7=IFERROR(INDEX('Category Dictionary'!$C$5:$C$135,MATCH($L1782,'Category Dictionary'!$D$5:$D$135,0)),"")),OR('Assignment Builder'!$B$8="",$D1782='Assignment Builder'!$B$8),OR('Assignment Builder'!$B$9="",$F1782='Assignment Builder'!$B$9),OR('Assignment Builder'!$B$10="",$O1782='Assignment Builder'!$B$10),OR('Assignment Builder'!$B$11="",$H1782&gt;='Assignment Builder'!$B$11),OR('Assignment Builder'!$B$12="",N($Q1782)&lt;='Assignment Builder'!$B$12)))</f>
        <v/>
      </c>
      <c r="T1782" s="23" t="n"/>
    </row>
    <row r="1783">
      <c r="A1783" s="23" t="n"/>
      <c r="B1783" s="23" t="n"/>
      <c r="C1783" s="24" t="n"/>
      <c r="D1783" s="15" t="n"/>
      <c r="E1783" s="23" t="n"/>
      <c r="F1783" s="15" t="n"/>
      <c r="G1783" s="23" t="n"/>
      <c r="H1783" s="25" t="n"/>
      <c r="I1783" s="15" t="n"/>
      <c r="J1783" s="26">
        <f>IF($A1783="","",LEN($C1783)-LEN(SUBSTITUTE($C1783,",",""))+1)</f>
        <v/>
      </c>
      <c r="K1783" s="26">
        <f>IF($A1783="","",SUMPRODUCT(--ISNUMBER(SEARCH('Category Dictionary'!$D$5:$D$135&amp;"",$C1783)),--('Category Dictionary'!$D$5:$D$135&lt;&gt;"")))</f>
        <v/>
      </c>
      <c r="L1783" s="27">
        <f>IF($A1783="","",TRIM(IF(ISERROR(FIND(",",$C1783)),$C1783,LEFT($C1783,FIND(",",$C1783)-1))))</f>
        <v/>
      </c>
      <c r="M1783" s="28">
        <f>IF($H1783="","",DATE(YEAR($H1783),MONTH($H1783),1))</f>
        <v/>
      </c>
      <c r="N1783" s="26">
        <f>IF($H1783="","",TODAY()-$H1783)</f>
        <v/>
      </c>
      <c r="O1783" s="15" t="n"/>
      <c r="P1783" s="15" t="n"/>
      <c r="Q1783" s="15" t="n"/>
      <c r="R1783" s="25" t="n"/>
      <c r="S1783" s="26">
        <f>IF($A1783="","",AND(OR('Assignment Builder'!$B$5="",$B1783='Assignment Builder'!$B$5),OR('Assignment Builder'!$B$6="",ISNUMBER(SEARCH('Assignment Builder'!$B$6,$C1783))),OR('Assignment Builder'!$B$7="",'Assignment Builder'!$B$7=IFERROR(INDEX('Category Dictionary'!$C$5:$C$135,MATCH($L1783,'Category Dictionary'!$D$5:$D$135,0)),"")),OR('Assignment Builder'!$B$8="",$D1783='Assignment Builder'!$B$8),OR('Assignment Builder'!$B$9="",$F1783='Assignment Builder'!$B$9),OR('Assignment Builder'!$B$10="",$O1783='Assignment Builder'!$B$10),OR('Assignment Builder'!$B$11="",$H1783&gt;='Assignment Builder'!$B$11),OR('Assignment Builder'!$B$12="",N($Q1783)&lt;='Assignment Builder'!$B$12)))</f>
        <v/>
      </c>
      <c r="T1783" s="23" t="n"/>
    </row>
    <row r="1784">
      <c r="A1784" s="23" t="n"/>
      <c r="B1784" s="23" t="n"/>
      <c r="C1784" s="24" t="n"/>
      <c r="D1784" s="15" t="n"/>
      <c r="E1784" s="23" t="n"/>
      <c r="F1784" s="15" t="n"/>
      <c r="G1784" s="23" t="n"/>
      <c r="H1784" s="25" t="n"/>
      <c r="I1784" s="15" t="n"/>
      <c r="J1784" s="26">
        <f>IF($A1784="","",LEN($C1784)-LEN(SUBSTITUTE($C1784,",",""))+1)</f>
        <v/>
      </c>
      <c r="K1784" s="26">
        <f>IF($A1784="","",SUMPRODUCT(--ISNUMBER(SEARCH('Category Dictionary'!$D$5:$D$135&amp;"",$C1784)),--('Category Dictionary'!$D$5:$D$135&lt;&gt;"")))</f>
        <v/>
      </c>
      <c r="L1784" s="27">
        <f>IF($A1784="","",TRIM(IF(ISERROR(FIND(",",$C1784)),$C1784,LEFT($C1784,FIND(",",$C1784)-1))))</f>
        <v/>
      </c>
      <c r="M1784" s="28">
        <f>IF($H1784="","",DATE(YEAR($H1784),MONTH($H1784),1))</f>
        <v/>
      </c>
      <c r="N1784" s="26">
        <f>IF($H1784="","",TODAY()-$H1784)</f>
        <v/>
      </c>
      <c r="O1784" s="15" t="n"/>
      <c r="P1784" s="15" t="n"/>
      <c r="Q1784" s="15" t="n"/>
      <c r="R1784" s="25" t="n"/>
      <c r="S1784" s="26">
        <f>IF($A1784="","",AND(OR('Assignment Builder'!$B$5="",$B1784='Assignment Builder'!$B$5),OR('Assignment Builder'!$B$6="",ISNUMBER(SEARCH('Assignment Builder'!$B$6,$C1784))),OR('Assignment Builder'!$B$7="",'Assignment Builder'!$B$7=IFERROR(INDEX('Category Dictionary'!$C$5:$C$135,MATCH($L1784,'Category Dictionary'!$D$5:$D$135,0)),"")),OR('Assignment Builder'!$B$8="",$D1784='Assignment Builder'!$B$8),OR('Assignment Builder'!$B$9="",$F1784='Assignment Builder'!$B$9),OR('Assignment Builder'!$B$10="",$O1784='Assignment Builder'!$B$10),OR('Assignment Builder'!$B$11="",$H1784&gt;='Assignment Builder'!$B$11),OR('Assignment Builder'!$B$12="",N($Q1784)&lt;='Assignment Builder'!$B$12)))</f>
        <v/>
      </c>
      <c r="T1784" s="23" t="n"/>
    </row>
    <row r="1785">
      <c r="A1785" s="23" t="n"/>
      <c r="B1785" s="23" t="n"/>
      <c r="C1785" s="24" t="n"/>
      <c r="D1785" s="15" t="n"/>
      <c r="E1785" s="23" t="n"/>
      <c r="F1785" s="15" t="n"/>
      <c r="G1785" s="23" t="n"/>
      <c r="H1785" s="25" t="n"/>
      <c r="I1785" s="15" t="n"/>
      <c r="J1785" s="26">
        <f>IF($A1785="","",LEN($C1785)-LEN(SUBSTITUTE($C1785,",",""))+1)</f>
        <v/>
      </c>
      <c r="K1785" s="26">
        <f>IF($A1785="","",SUMPRODUCT(--ISNUMBER(SEARCH('Category Dictionary'!$D$5:$D$135&amp;"",$C1785)),--('Category Dictionary'!$D$5:$D$135&lt;&gt;"")))</f>
        <v/>
      </c>
      <c r="L1785" s="27">
        <f>IF($A1785="","",TRIM(IF(ISERROR(FIND(",",$C1785)),$C1785,LEFT($C1785,FIND(",",$C1785)-1))))</f>
        <v/>
      </c>
      <c r="M1785" s="28">
        <f>IF($H1785="","",DATE(YEAR($H1785),MONTH($H1785),1))</f>
        <v/>
      </c>
      <c r="N1785" s="26">
        <f>IF($H1785="","",TODAY()-$H1785)</f>
        <v/>
      </c>
      <c r="O1785" s="15" t="n"/>
      <c r="P1785" s="15" t="n"/>
      <c r="Q1785" s="15" t="n"/>
      <c r="R1785" s="25" t="n"/>
      <c r="S1785" s="26">
        <f>IF($A1785="","",AND(OR('Assignment Builder'!$B$5="",$B1785='Assignment Builder'!$B$5),OR('Assignment Builder'!$B$6="",ISNUMBER(SEARCH('Assignment Builder'!$B$6,$C1785))),OR('Assignment Builder'!$B$7="",'Assignment Builder'!$B$7=IFERROR(INDEX('Category Dictionary'!$C$5:$C$135,MATCH($L1785,'Category Dictionary'!$D$5:$D$135,0)),"")),OR('Assignment Builder'!$B$8="",$D1785='Assignment Builder'!$B$8),OR('Assignment Builder'!$B$9="",$F1785='Assignment Builder'!$B$9),OR('Assignment Builder'!$B$10="",$O1785='Assignment Builder'!$B$10),OR('Assignment Builder'!$B$11="",$H1785&gt;='Assignment Builder'!$B$11),OR('Assignment Builder'!$B$12="",N($Q1785)&lt;='Assignment Builder'!$B$12)))</f>
        <v/>
      </c>
      <c r="T1785" s="23" t="n"/>
    </row>
    <row r="1786">
      <c r="A1786" s="23" t="n"/>
      <c r="B1786" s="23" t="n"/>
      <c r="C1786" s="24" t="n"/>
      <c r="D1786" s="15" t="n"/>
      <c r="E1786" s="23" t="n"/>
      <c r="F1786" s="15" t="n"/>
      <c r="G1786" s="23" t="n"/>
      <c r="H1786" s="25" t="n"/>
      <c r="I1786" s="15" t="n"/>
      <c r="J1786" s="26">
        <f>IF($A1786="","",LEN($C1786)-LEN(SUBSTITUTE($C1786,",",""))+1)</f>
        <v/>
      </c>
      <c r="K1786" s="26">
        <f>IF($A1786="","",SUMPRODUCT(--ISNUMBER(SEARCH('Category Dictionary'!$D$5:$D$135&amp;"",$C1786)),--('Category Dictionary'!$D$5:$D$135&lt;&gt;"")))</f>
        <v/>
      </c>
      <c r="L1786" s="27">
        <f>IF($A1786="","",TRIM(IF(ISERROR(FIND(",",$C1786)),$C1786,LEFT($C1786,FIND(",",$C1786)-1))))</f>
        <v/>
      </c>
      <c r="M1786" s="28">
        <f>IF($H1786="","",DATE(YEAR($H1786),MONTH($H1786),1))</f>
        <v/>
      </c>
      <c r="N1786" s="26">
        <f>IF($H1786="","",TODAY()-$H1786)</f>
        <v/>
      </c>
      <c r="O1786" s="15" t="n"/>
      <c r="P1786" s="15" t="n"/>
      <c r="Q1786" s="15" t="n"/>
      <c r="R1786" s="25" t="n"/>
      <c r="S1786" s="26">
        <f>IF($A1786="","",AND(OR('Assignment Builder'!$B$5="",$B1786='Assignment Builder'!$B$5),OR('Assignment Builder'!$B$6="",ISNUMBER(SEARCH('Assignment Builder'!$B$6,$C1786))),OR('Assignment Builder'!$B$7="",'Assignment Builder'!$B$7=IFERROR(INDEX('Category Dictionary'!$C$5:$C$135,MATCH($L1786,'Category Dictionary'!$D$5:$D$135,0)),"")),OR('Assignment Builder'!$B$8="",$D1786='Assignment Builder'!$B$8),OR('Assignment Builder'!$B$9="",$F1786='Assignment Builder'!$B$9),OR('Assignment Builder'!$B$10="",$O1786='Assignment Builder'!$B$10),OR('Assignment Builder'!$B$11="",$H1786&gt;='Assignment Builder'!$B$11),OR('Assignment Builder'!$B$12="",N($Q1786)&lt;='Assignment Builder'!$B$12)))</f>
        <v/>
      </c>
      <c r="T1786" s="23" t="n"/>
    </row>
    <row r="1787">
      <c r="A1787" s="23" t="n"/>
      <c r="B1787" s="23" t="n"/>
      <c r="C1787" s="24" t="n"/>
      <c r="D1787" s="15" t="n"/>
      <c r="E1787" s="23" t="n"/>
      <c r="F1787" s="15" t="n"/>
      <c r="G1787" s="23" t="n"/>
      <c r="H1787" s="25" t="n"/>
      <c r="I1787" s="15" t="n"/>
      <c r="J1787" s="26">
        <f>IF($A1787="","",LEN($C1787)-LEN(SUBSTITUTE($C1787,",",""))+1)</f>
        <v/>
      </c>
      <c r="K1787" s="26">
        <f>IF($A1787="","",SUMPRODUCT(--ISNUMBER(SEARCH('Category Dictionary'!$D$5:$D$135&amp;"",$C1787)),--('Category Dictionary'!$D$5:$D$135&lt;&gt;"")))</f>
        <v/>
      </c>
      <c r="L1787" s="27">
        <f>IF($A1787="","",TRIM(IF(ISERROR(FIND(",",$C1787)),$C1787,LEFT($C1787,FIND(",",$C1787)-1))))</f>
        <v/>
      </c>
      <c r="M1787" s="28">
        <f>IF($H1787="","",DATE(YEAR($H1787),MONTH($H1787),1))</f>
        <v/>
      </c>
      <c r="N1787" s="26">
        <f>IF($H1787="","",TODAY()-$H1787)</f>
        <v/>
      </c>
      <c r="O1787" s="15" t="n"/>
      <c r="P1787" s="15" t="n"/>
      <c r="Q1787" s="15" t="n"/>
      <c r="R1787" s="25" t="n"/>
      <c r="S1787" s="26">
        <f>IF($A1787="","",AND(OR('Assignment Builder'!$B$5="",$B1787='Assignment Builder'!$B$5),OR('Assignment Builder'!$B$6="",ISNUMBER(SEARCH('Assignment Builder'!$B$6,$C1787))),OR('Assignment Builder'!$B$7="",'Assignment Builder'!$B$7=IFERROR(INDEX('Category Dictionary'!$C$5:$C$135,MATCH($L1787,'Category Dictionary'!$D$5:$D$135,0)),"")),OR('Assignment Builder'!$B$8="",$D1787='Assignment Builder'!$B$8),OR('Assignment Builder'!$B$9="",$F1787='Assignment Builder'!$B$9),OR('Assignment Builder'!$B$10="",$O1787='Assignment Builder'!$B$10),OR('Assignment Builder'!$B$11="",$H1787&gt;='Assignment Builder'!$B$11),OR('Assignment Builder'!$B$12="",N($Q1787)&lt;='Assignment Builder'!$B$12)))</f>
        <v/>
      </c>
      <c r="T1787" s="23" t="n"/>
    </row>
    <row r="1788">
      <c r="A1788" s="23" t="n"/>
      <c r="B1788" s="23" t="n"/>
      <c r="C1788" s="24" t="n"/>
      <c r="D1788" s="15" t="n"/>
      <c r="E1788" s="23" t="n"/>
      <c r="F1788" s="15" t="n"/>
      <c r="G1788" s="23" t="n"/>
      <c r="H1788" s="25" t="n"/>
      <c r="I1788" s="15" t="n"/>
      <c r="J1788" s="26">
        <f>IF($A1788="","",LEN($C1788)-LEN(SUBSTITUTE($C1788,",",""))+1)</f>
        <v/>
      </c>
      <c r="K1788" s="26">
        <f>IF($A1788="","",SUMPRODUCT(--ISNUMBER(SEARCH('Category Dictionary'!$D$5:$D$135&amp;"",$C1788)),--('Category Dictionary'!$D$5:$D$135&lt;&gt;"")))</f>
        <v/>
      </c>
      <c r="L1788" s="27">
        <f>IF($A1788="","",TRIM(IF(ISERROR(FIND(",",$C1788)),$C1788,LEFT($C1788,FIND(",",$C1788)-1))))</f>
        <v/>
      </c>
      <c r="M1788" s="28">
        <f>IF($H1788="","",DATE(YEAR($H1788),MONTH($H1788),1))</f>
        <v/>
      </c>
      <c r="N1788" s="26">
        <f>IF($H1788="","",TODAY()-$H1788)</f>
        <v/>
      </c>
      <c r="O1788" s="15" t="n"/>
      <c r="P1788" s="15" t="n"/>
      <c r="Q1788" s="15" t="n"/>
      <c r="R1788" s="25" t="n"/>
      <c r="S1788" s="26">
        <f>IF($A1788="","",AND(OR('Assignment Builder'!$B$5="",$B1788='Assignment Builder'!$B$5),OR('Assignment Builder'!$B$6="",ISNUMBER(SEARCH('Assignment Builder'!$B$6,$C1788))),OR('Assignment Builder'!$B$7="",'Assignment Builder'!$B$7=IFERROR(INDEX('Category Dictionary'!$C$5:$C$135,MATCH($L1788,'Category Dictionary'!$D$5:$D$135,0)),"")),OR('Assignment Builder'!$B$8="",$D1788='Assignment Builder'!$B$8),OR('Assignment Builder'!$B$9="",$F1788='Assignment Builder'!$B$9),OR('Assignment Builder'!$B$10="",$O1788='Assignment Builder'!$B$10),OR('Assignment Builder'!$B$11="",$H1788&gt;='Assignment Builder'!$B$11),OR('Assignment Builder'!$B$12="",N($Q1788)&lt;='Assignment Builder'!$B$12)))</f>
        <v/>
      </c>
      <c r="T1788" s="23" t="n"/>
    </row>
    <row r="1789">
      <c r="A1789" s="23" t="n"/>
      <c r="B1789" s="23" t="n"/>
      <c r="C1789" s="24" t="n"/>
      <c r="D1789" s="15" t="n"/>
      <c r="E1789" s="23" t="n"/>
      <c r="F1789" s="15" t="n"/>
      <c r="G1789" s="23" t="n"/>
      <c r="H1789" s="25" t="n"/>
      <c r="I1789" s="15" t="n"/>
      <c r="J1789" s="26">
        <f>IF($A1789="","",LEN($C1789)-LEN(SUBSTITUTE($C1789,",",""))+1)</f>
        <v/>
      </c>
      <c r="K1789" s="26">
        <f>IF($A1789="","",SUMPRODUCT(--ISNUMBER(SEARCH('Category Dictionary'!$D$5:$D$135&amp;"",$C1789)),--('Category Dictionary'!$D$5:$D$135&lt;&gt;"")))</f>
        <v/>
      </c>
      <c r="L1789" s="27">
        <f>IF($A1789="","",TRIM(IF(ISERROR(FIND(",",$C1789)),$C1789,LEFT($C1789,FIND(",",$C1789)-1))))</f>
        <v/>
      </c>
      <c r="M1789" s="28">
        <f>IF($H1789="","",DATE(YEAR($H1789),MONTH($H1789),1))</f>
        <v/>
      </c>
      <c r="N1789" s="26">
        <f>IF($H1789="","",TODAY()-$H1789)</f>
        <v/>
      </c>
      <c r="O1789" s="15" t="n"/>
      <c r="P1789" s="15" t="n"/>
      <c r="Q1789" s="15" t="n"/>
      <c r="R1789" s="25" t="n"/>
      <c r="S1789" s="26">
        <f>IF($A1789="","",AND(OR('Assignment Builder'!$B$5="",$B1789='Assignment Builder'!$B$5),OR('Assignment Builder'!$B$6="",ISNUMBER(SEARCH('Assignment Builder'!$B$6,$C1789))),OR('Assignment Builder'!$B$7="",'Assignment Builder'!$B$7=IFERROR(INDEX('Category Dictionary'!$C$5:$C$135,MATCH($L1789,'Category Dictionary'!$D$5:$D$135,0)),"")),OR('Assignment Builder'!$B$8="",$D1789='Assignment Builder'!$B$8),OR('Assignment Builder'!$B$9="",$F1789='Assignment Builder'!$B$9),OR('Assignment Builder'!$B$10="",$O1789='Assignment Builder'!$B$10),OR('Assignment Builder'!$B$11="",$H1789&gt;='Assignment Builder'!$B$11),OR('Assignment Builder'!$B$12="",N($Q1789)&lt;='Assignment Builder'!$B$12)))</f>
        <v/>
      </c>
      <c r="T1789" s="23" t="n"/>
    </row>
    <row r="1790">
      <c r="A1790" s="23" t="n"/>
      <c r="B1790" s="23" t="n"/>
      <c r="C1790" s="24" t="n"/>
      <c r="D1790" s="15" t="n"/>
      <c r="E1790" s="23" t="n"/>
      <c r="F1790" s="15" t="n"/>
      <c r="G1790" s="23" t="n"/>
      <c r="H1790" s="25" t="n"/>
      <c r="I1790" s="15" t="n"/>
      <c r="J1790" s="26">
        <f>IF($A1790="","",LEN($C1790)-LEN(SUBSTITUTE($C1790,",",""))+1)</f>
        <v/>
      </c>
      <c r="K1790" s="26">
        <f>IF($A1790="","",SUMPRODUCT(--ISNUMBER(SEARCH('Category Dictionary'!$D$5:$D$135&amp;"",$C1790)),--('Category Dictionary'!$D$5:$D$135&lt;&gt;"")))</f>
        <v/>
      </c>
      <c r="L1790" s="27">
        <f>IF($A1790="","",TRIM(IF(ISERROR(FIND(",",$C1790)),$C1790,LEFT($C1790,FIND(",",$C1790)-1))))</f>
        <v/>
      </c>
      <c r="M1790" s="28">
        <f>IF($H1790="","",DATE(YEAR($H1790),MONTH($H1790),1))</f>
        <v/>
      </c>
      <c r="N1790" s="26">
        <f>IF($H1790="","",TODAY()-$H1790)</f>
        <v/>
      </c>
      <c r="O1790" s="15" t="n"/>
      <c r="P1790" s="15" t="n"/>
      <c r="Q1790" s="15" t="n"/>
      <c r="R1790" s="25" t="n"/>
      <c r="S1790" s="26">
        <f>IF($A1790="","",AND(OR('Assignment Builder'!$B$5="",$B1790='Assignment Builder'!$B$5),OR('Assignment Builder'!$B$6="",ISNUMBER(SEARCH('Assignment Builder'!$B$6,$C1790))),OR('Assignment Builder'!$B$7="",'Assignment Builder'!$B$7=IFERROR(INDEX('Category Dictionary'!$C$5:$C$135,MATCH($L1790,'Category Dictionary'!$D$5:$D$135,0)),"")),OR('Assignment Builder'!$B$8="",$D1790='Assignment Builder'!$B$8),OR('Assignment Builder'!$B$9="",$F1790='Assignment Builder'!$B$9),OR('Assignment Builder'!$B$10="",$O1790='Assignment Builder'!$B$10),OR('Assignment Builder'!$B$11="",$H1790&gt;='Assignment Builder'!$B$11),OR('Assignment Builder'!$B$12="",N($Q1790)&lt;='Assignment Builder'!$B$12)))</f>
        <v/>
      </c>
      <c r="T1790" s="23" t="n"/>
    </row>
    <row r="1791">
      <c r="A1791" s="23" t="n"/>
      <c r="B1791" s="23" t="n"/>
      <c r="C1791" s="24" t="n"/>
      <c r="D1791" s="15" t="n"/>
      <c r="E1791" s="23" t="n"/>
      <c r="F1791" s="15" t="n"/>
      <c r="G1791" s="23" t="n"/>
      <c r="H1791" s="25" t="n"/>
      <c r="I1791" s="15" t="n"/>
      <c r="J1791" s="26">
        <f>IF($A1791="","",LEN($C1791)-LEN(SUBSTITUTE($C1791,",",""))+1)</f>
        <v/>
      </c>
      <c r="K1791" s="26">
        <f>IF($A1791="","",SUMPRODUCT(--ISNUMBER(SEARCH('Category Dictionary'!$D$5:$D$135&amp;"",$C1791)),--('Category Dictionary'!$D$5:$D$135&lt;&gt;"")))</f>
        <v/>
      </c>
      <c r="L1791" s="27">
        <f>IF($A1791="","",TRIM(IF(ISERROR(FIND(",",$C1791)),$C1791,LEFT($C1791,FIND(",",$C1791)-1))))</f>
        <v/>
      </c>
      <c r="M1791" s="28">
        <f>IF($H1791="","",DATE(YEAR($H1791),MONTH($H1791),1))</f>
        <v/>
      </c>
      <c r="N1791" s="26">
        <f>IF($H1791="","",TODAY()-$H1791)</f>
        <v/>
      </c>
      <c r="O1791" s="15" t="n"/>
      <c r="P1791" s="15" t="n"/>
      <c r="Q1791" s="15" t="n"/>
      <c r="R1791" s="25" t="n"/>
      <c r="S1791" s="26">
        <f>IF($A1791="","",AND(OR('Assignment Builder'!$B$5="",$B1791='Assignment Builder'!$B$5),OR('Assignment Builder'!$B$6="",ISNUMBER(SEARCH('Assignment Builder'!$B$6,$C1791))),OR('Assignment Builder'!$B$7="",'Assignment Builder'!$B$7=IFERROR(INDEX('Category Dictionary'!$C$5:$C$135,MATCH($L1791,'Category Dictionary'!$D$5:$D$135,0)),"")),OR('Assignment Builder'!$B$8="",$D1791='Assignment Builder'!$B$8),OR('Assignment Builder'!$B$9="",$F1791='Assignment Builder'!$B$9),OR('Assignment Builder'!$B$10="",$O1791='Assignment Builder'!$B$10),OR('Assignment Builder'!$B$11="",$H1791&gt;='Assignment Builder'!$B$11),OR('Assignment Builder'!$B$12="",N($Q1791)&lt;='Assignment Builder'!$B$12)))</f>
        <v/>
      </c>
      <c r="T1791" s="23" t="n"/>
    </row>
    <row r="1792">
      <c r="A1792" s="23" t="n"/>
      <c r="B1792" s="23" t="n"/>
      <c r="C1792" s="24" t="n"/>
      <c r="D1792" s="15" t="n"/>
      <c r="E1792" s="23" t="n"/>
      <c r="F1792" s="15" t="n"/>
      <c r="G1792" s="23" t="n"/>
      <c r="H1792" s="25" t="n"/>
      <c r="I1792" s="15" t="n"/>
      <c r="J1792" s="26">
        <f>IF($A1792="","",LEN($C1792)-LEN(SUBSTITUTE($C1792,",",""))+1)</f>
        <v/>
      </c>
      <c r="K1792" s="26">
        <f>IF($A1792="","",SUMPRODUCT(--ISNUMBER(SEARCH('Category Dictionary'!$D$5:$D$135&amp;"",$C1792)),--('Category Dictionary'!$D$5:$D$135&lt;&gt;"")))</f>
        <v/>
      </c>
      <c r="L1792" s="27">
        <f>IF($A1792="","",TRIM(IF(ISERROR(FIND(",",$C1792)),$C1792,LEFT($C1792,FIND(",",$C1792)-1))))</f>
        <v/>
      </c>
      <c r="M1792" s="28">
        <f>IF($H1792="","",DATE(YEAR($H1792),MONTH($H1792),1))</f>
        <v/>
      </c>
      <c r="N1792" s="26">
        <f>IF($H1792="","",TODAY()-$H1792)</f>
        <v/>
      </c>
      <c r="O1792" s="15" t="n"/>
      <c r="P1792" s="15" t="n"/>
      <c r="Q1792" s="15" t="n"/>
      <c r="R1792" s="25" t="n"/>
      <c r="S1792" s="26">
        <f>IF($A1792="","",AND(OR('Assignment Builder'!$B$5="",$B1792='Assignment Builder'!$B$5),OR('Assignment Builder'!$B$6="",ISNUMBER(SEARCH('Assignment Builder'!$B$6,$C1792))),OR('Assignment Builder'!$B$7="",'Assignment Builder'!$B$7=IFERROR(INDEX('Category Dictionary'!$C$5:$C$135,MATCH($L1792,'Category Dictionary'!$D$5:$D$135,0)),"")),OR('Assignment Builder'!$B$8="",$D1792='Assignment Builder'!$B$8),OR('Assignment Builder'!$B$9="",$F1792='Assignment Builder'!$B$9),OR('Assignment Builder'!$B$10="",$O1792='Assignment Builder'!$B$10),OR('Assignment Builder'!$B$11="",$H1792&gt;='Assignment Builder'!$B$11),OR('Assignment Builder'!$B$12="",N($Q1792)&lt;='Assignment Builder'!$B$12)))</f>
        <v/>
      </c>
      <c r="T1792" s="23" t="n"/>
    </row>
    <row r="1793">
      <c r="A1793" s="23" t="n"/>
      <c r="B1793" s="23" t="n"/>
      <c r="C1793" s="24" t="n"/>
      <c r="D1793" s="15" t="n"/>
      <c r="E1793" s="23" t="n"/>
      <c r="F1793" s="15" t="n"/>
      <c r="G1793" s="23" t="n"/>
      <c r="H1793" s="25" t="n"/>
      <c r="I1793" s="15" t="n"/>
      <c r="J1793" s="26">
        <f>IF($A1793="","",LEN($C1793)-LEN(SUBSTITUTE($C1793,",",""))+1)</f>
        <v/>
      </c>
      <c r="K1793" s="26">
        <f>IF($A1793="","",SUMPRODUCT(--ISNUMBER(SEARCH('Category Dictionary'!$D$5:$D$135&amp;"",$C1793)),--('Category Dictionary'!$D$5:$D$135&lt;&gt;"")))</f>
        <v/>
      </c>
      <c r="L1793" s="27">
        <f>IF($A1793="","",TRIM(IF(ISERROR(FIND(",",$C1793)),$C1793,LEFT($C1793,FIND(",",$C1793)-1))))</f>
        <v/>
      </c>
      <c r="M1793" s="28">
        <f>IF($H1793="","",DATE(YEAR($H1793),MONTH($H1793),1))</f>
        <v/>
      </c>
      <c r="N1793" s="26">
        <f>IF($H1793="","",TODAY()-$H1793)</f>
        <v/>
      </c>
      <c r="O1793" s="15" t="n"/>
      <c r="P1793" s="15" t="n"/>
      <c r="Q1793" s="15" t="n"/>
      <c r="R1793" s="25" t="n"/>
      <c r="S1793" s="26">
        <f>IF($A1793="","",AND(OR('Assignment Builder'!$B$5="",$B1793='Assignment Builder'!$B$5),OR('Assignment Builder'!$B$6="",ISNUMBER(SEARCH('Assignment Builder'!$B$6,$C1793))),OR('Assignment Builder'!$B$7="",'Assignment Builder'!$B$7=IFERROR(INDEX('Category Dictionary'!$C$5:$C$135,MATCH($L1793,'Category Dictionary'!$D$5:$D$135,0)),"")),OR('Assignment Builder'!$B$8="",$D1793='Assignment Builder'!$B$8),OR('Assignment Builder'!$B$9="",$F1793='Assignment Builder'!$B$9),OR('Assignment Builder'!$B$10="",$O1793='Assignment Builder'!$B$10),OR('Assignment Builder'!$B$11="",$H1793&gt;='Assignment Builder'!$B$11),OR('Assignment Builder'!$B$12="",N($Q1793)&lt;='Assignment Builder'!$B$12)))</f>
        <v/>
      </c>
      <c r="T1793" s="23" t="n"/>
    </row>
    <row r="1794">
      <c r="A1794" s="23" t="n"/>
      <c r="B1794" s="23" t="n"/>
      <c r="C1794" s="24" t="n"/>
      <c r="D1794" s="15" t="n"/>
      <c r="E1794" s="23" t="n"/>
      <c r="F1794" s="15" t="n"/>
      <c r="G1794" s="23" t="n"/>
      <c r="H1794" s="25" t="n"/>
      <c r="I1794" s="15" t="n"/>
      <c r="J1794" s="26">
        <f>IF($A1794="","",LEN($C1794)-LEN(SUBSTITUTE($C1794,",",""))+1)</f>
        <v/>
      </c>
      <c r="K1794" s="26">
        <f>IF($A1794="","",SUMPRODUCT(--ISNUMBER(SEARCH('Category Dictionary'!$D$5:$D$135&amp;"",$C1794)),--('Category Dictionary'!$D$5:$D$135&lt;&gt;"")))</f>
        <v/>
      </c>
      <c r="L1794" s="27">
        <f>IF($A1794="","",TRIM(IF(ISERROR(FIND(",",$C1794)),$C1794,LEFT($C1794,FIND(",",$C1794)-1))))</f>
        <v/>
      </c>
      <c r="M1794" s="28">
        <f>IF($H1794="","",DATE(YEAR($H1794),MONTH($H1794),1))</f>
        <v/>
      </c>
      <c r="N1794" s="26">
        <f>IF($H1794="","",TODAY()-$H1794)</f>
        <v/>
      </c>
      <c r="O1794" s="15" t="n"/>
      <c r="P1794" s="15" t="n"/>
      <c r="Q1794" s="15" t="n"/>
      <c r="R1794" s="25" t="n"/>
      <c r="S1794" s="26">
        <f>IF($A1794="","",AND(OR('Assignment Builder'!$B$5="",$B1794='Assignment Builder'!$B$5),OR('Assignment Builder'!$B$6="",ISNUMBER(SEARCH('Assignment Builder'!$B$6,$C1794))),OR('Assignment Builder'!$B$7="",'Assignment Builder'!$B$7=IFERROR(INDEX('Category Dictionary'!$C$5:$C$135,MATCH($L1794,'Category Dictionary'!$D$5:$D$135,0)),"")),OR('Assignment Builder'!$B$8="",$D1794='Assignment Builder'!$B$8),OR('Assignment Builder'!$B$9="",$F1794='Assignment Builder'!$B$9),OR('Assignment Builder'!$B$10="",$O1794='Assignment Builder'!$B$10),OR('Assignment Builder'!$B$11="",$H1794&gt;='Assignment Builder'!$B$11),OR('Assignment Builder'!$B$12="",N($Q1794)&lt;='Assignment Builder'!$B$12)))</f>
        <v/>
      </c>
      <c r="T1794" s="23" t="n"/>
    </row>
    <row r="1795">
      <c r="A1795" s="23" t="n"/>
      <c r="B1795" s="23" t="n"/>
      <c r="C1795" s="24" t="n"/>
      <c r="D1795" s="15" t="n"/>
      <c r="E1795" s="23" t="n"/>
      <c r="F1795" s="15" t="n"/>
      <c r="G1795" s="23" t="n"/>
      <c r="H1795" s="25" t="n"/>
      <c r="I1795" s="15" t="n"/>
      <c r="J1795" s="26">
        <f>IF($A1795="","",LEN($C1795)-LEN(SUBSTITUTE($C1795,",",""))+1)</f>
        <v/>
      </c>
      <c r="K1795" s="26">
        <f>IF($A1795="","",SUMPRODUCT(--ISNUMBER(SEARCH('Category Dictionary'!$D$5:$D$135&amp;"",$C1795)),--('Category Dictionary'!$D$5:$D$135&lt;&gt;"")))</f>
        <v/>
      </c>
      <c r="L1795" s="27">
        <f>IF($A1795="","",TRIM(IF(ISERROR(FIND(",",$C1795)),$C1795,LEFT($C1795,FIND(",",$C1795)-1))))</f>
        <v/>
      </c>
      <c r="M1795" s="28">
        <f>IF($H1795="","",DATE(YEAR($H1795),MONTH($H1795),1))</f>
        <v/>
      </c>
      <c r="N1795" s="26">
        <f>IF($H1795="","",TODAY()-$H1795)</f>
        <v/>
      </c>
      <c r="O1795" s="15" t="n"/>
      <c r="P1795" s="15" t="n"/>
      <c r="Q1795" s="15" t="n"/>
      <c r="R1795" s="25" t="n"/>
      <c r="S1795" s="26">
        <f>IF($A1795="","",AND(OR('Assignment Builder'!$B$5="",$B1795='Assignment Builder'!$B$5),OR('Assignment Builder'!$B$6="",ISNUMBER(SEARCH('Assignment Builder'!$B$6,$C1795))),OR('Assignment Builder'!$B$7="",'Assignment Builder'!$B$7=IFERROR(INDEX('Category Dictionary'!$C$5:$C$135,MATCH($L1795,'Category Dictionary'!$D$5:$D$135,0)),"")),OR('Assignment Builder'!$B$8="",$D1795='Assignment Builder'!$B$8),OR('Assignment Builder'!$B$9="",$F1795='Assignment Builder'!$B$9),OR('Assignment Builder'!$B$10="",$O1795='Assignment Builder'!$B$10),OR('Assignment Builder'!$B$11="",$H1795&gt;='Assignment Builder'!$B$11),OR('Assignment Builder'!$B$12="",N($Q1795)&lt;='Assignment Builder'!$B$12)))</f>
        <v/>
      </c>
      <c r="T1795" s="23" t="n"/>
    </row>
    <row r="1796">
      <c r="A1796" s="23" t="n"/>
      <c r="B1796" s="23" t="n"/>
      <c r="C1796" s="24" t="n"/>
      <c r="D1796" s="15" t="n"/>
      <c r="E1796" s="23" t="n"/>
      <c r="F1796" s="15" t="n"/>
      <c r="G1796" s="23" t="n"/>
      <c r="H1796" s="25" t="n"/>
      <c r="I1796" s="15" t="n"/>
      <c r="J1796" s="26">
        <f>IF($A1796="","",LEN($C1796)-LEN(SUBSTITUTE($C1796,",",""))+1)</f>
        <v/>
      </c>
      <c r="K1796" s="26">
        <f>IF($A1796="","",SUMPRODUCT(--ISNUMBER(SEARCH('Category Dictionary'!$D$5:$D$135&amp;"",$C1796)),--('Category Dictionary'!$D$5:$D$135&lt;&gt;"")))</f>
        <v/>
      </c>
      <c r="L1796" s="27">
        <f>IF($A1796="","",TRIM(IF(ISERROR(FIND(",",$C1796)),$C1796,LEFT($C1796,FIND(",",$C1796)-1))))</f>
        <v/>
      </c>
      <c r="M1796" s="28">
        <f>IF($H1796="","",DATE(YEAR($H1796),MONTH($H1796),1))</f>
        <v/>
      </c>
      <c r="N1796" s="26">
        <f>IF($H1796="","",TODAY()-$H1796)</f>
        <v/>
      </c>
      <c r="O1796" s="15" t="n"/>
      <c r="P1796" s="15" t="n"/>
      <c r="Q1796" s="15" t="n"/>
      <c r="R1796" s="25" t="n"/>
      <c r="S1796" s="26">
        <f>IF($A1796="","",AND(OR('Assignment Builder'!$B$5="",$B1796='Assignment Builder'!$B$5),OR('Assignment Builder'!$B$6="",ISNUMBER(SEARCH('Assignment Builder'!$B$6,$C1796))),OR('Assignment Builder'!$B$7="",'Assignment Builder'!$B$7=IFERROR(INDEX('Category Dictionary'!$C$5:$C$135,MATCH($L1796,'Category Dictionary'!$D$5:$D$135,0)),"")),OR('Assignment Builder'!$B$8="",$D1796='Assignment Builder'!$B$8),OR('Assignment Builder'!$B$9="",$F1796='Assignment Builder'!$B$9),OR('Assignment Builder'!$B$10="",$O1796='Assignment Builder'!$B$10),OR('Assignment Builder'!$B$11="",$H1796&gt;='Assignment Builder'!$B$11),OR('Assignment Builder'!$B$12="",N($Q1796)&lt;='Assignment Builder'!$B$12)))</f>
        <v/>
      </c>
      <c r="T1796" s="23" t="n"/>
    </row>
    <row r="1797">
      <c r="A1797" s="23" t="n"/>
      <c r="B1797" s="23" t="n"/>
      <c r="C1797" s="24" t="n"/>
      <c r="D1797" s="15" t="n"/>
      <c r="E1797" s="23" t="n"/>
      <c r="F1797" s="15" t="n"/>
      <c r="G1797" s="23" t="n"/>
      <c r="H1797" s="25" t="n"/>
      <c r="I1797" s="15" t="n"/>
      <c r="J1797" s="26">
        <f>IF($A1797="","",LEN($C1797)-LEN(SUBSTITUTE($C1797,",",""))+1)</f>
        <v/>
      </c>
      <c r="K1797" s="26">
        <f>IF($A1797="","",SUMPRODUCT(--ISNUMBER(SEARCH('Category Dictionary'!$D$5:$D$135&amp;"",$C1797)),--('Category Dictionary'!$D$5:$D$135&lt;&gt;"")))</f>
        <v/>
      </c>
      <c r="L1797" s="27">
        <f>IF($A1797="","",TRIM(IF(ISERROR(FIND(",",$C1797)),$C1797,LEFT($C1797,FIND(",",$C1797)-1))))</f>
        <v/>
      </c>
      <c r="M1797" s="28">
        <f>IF($H1797="","",DATE(YEAR($H1797),MONTH($H1797),1))</f>
        <v/>
      </c>
      <c r="N1797" s="26">
        <f>IF($H1797="","",TODAY()-$H1797)</f>
        <v/>
      </c>
      <c r="O1797" s="15" t="n"/>
      <c r="P1797" s="15" t="n"/>
      <c r="Q1797" s="15" t="n"/>
      <c r="R1797" s="25" t="n"/>
      <c r="S1797" s="26">
        <f>IF($A1797="","",AND(OR('Assignment Builder'!$B$5="",$B1797='Assignment Builder'!$B$5),OR('Assignment Builder'!$B$6="",ISNUMBER(SEARCH('Assignment Builder'!$B$6,$C1797))),OR('Assignment Builder'!$B$7="",'Assignment Builder'!$B$7=IFERROR(INDEX('Category Dictionary'!$C$5:$C$135,MATCH($L1797,'Category Dictionary'!$D$5:$D$135,0)),"")),OR('Assignment Builder'!$B$8="",$D1797='Assignment Builder'!$B$8),OR('Assignment Builder'!$B$9="",$F1797='Assignment Builder'!$B$9),OR('Assignment Builder'!$B$10="",$O1797='Assignment Builder'!$B$10),OR('Assignment Builder'!$B$11="",$H1797&gt;='Assignment Builder'!$B$11),OR('Assignment Builder'!$B$12="",N($Q1797)&lt;='Assignment Builder'!$B$12)))</f>
        <v/>
      </c>
      <c r="T1797" s="23" t="n"/>
    </row>
    <row r="1798">
      <c r="A1798" s="23" t="n"/>
      <c r="B1798" s="23" t="n"/>
      <c r="C1798" s="24" t="n"/>
      <c r="D1798" s="15" t="n"/>
      <c r="E1798" s="23" t="n"/>
      <c r="F1798" s="15" t="n"/>
      <c r="G1798" s="23" t="n"/>
      <c r="H1798" s="25" t="n"/>
      <c r="I1798" s="15" t="n"/>
      <c r="J1798" s="26">
        <f>IF($A1798="","",LEN($C1798)-LEN(SUBSTITUTE($C1798,",",""))+1)</f>
        <v/>
      </c>
      <c r="K1798" s="26">
        <f>IF($A1798="","",SUMPRODUCT(--ISNUMBER(SEARCH('Category Dictionary'!$D$5:$D$135&amp;"",$C1798)),--('Category Dictionary'!$D$5:$D$135&lt;&gt;"")))</f>
        <v/>
      </c>
      <c r="L1798" s="27">
        <f>IF($A1798="","",TRIM(IF(ISERROR(FIND(",",$C1798)),$C1798,LEFT($C1798,FIND(",",$C1798)-1))))</f>
        <v/>
      </c>
      <c r="M1798" s="28">
        <f>IF($H1798="","",DATE(YEAR($H1798),MONTH($H1798),1))</f>
        <v/>
      </c>
      <c r="N1798" s="26">
        <f>IF($H1798="","",TODAY()-$H1798)</f>
        <v/>
      </c>
      <c r="O1798" s="15" t="n"/>
      <c r="P1798" s="15" t="n"/>
      <c r="Q1798" s="15" t="n"/>
      <c r="R1798" s="25" t="n"/>
      <c r="S1798" s="26">
        <f>IF($A1798="","",AND(OR('Assignment Builder'!$B$5="",$B1798='Assignment Builder'!$B$5),OR('Assignment Builder'!$B$6="",ISNUMBER(SEARCH('Assignment Builder'!$B$6,$C1798))),OR('Assignment Builder'!$B$7="",'Assignment Builder'!$B$7=IFERROR(INDEX('Category Dictionary'!$C$5:$C$135,MATCH($L1798,'Category Dictionary'!$D$5:$D$135,0)),"")),OR('Assignment Builder'!$B$8="",$D1798='Assignment Builder'!$B$8),OR('Assignment Builder'!$B$9="",$F1798='Assignment Builder'!$B$9),OR('Assignment Builder'!$B$10="",$O1798='Assignment Builder'!$B$10),OR('Assignment Builder'!$B$11="",$H1798&gt;='Assignment Builder'!$B$11),OR('Assignment Builder'!$B$12="",N($Q1798)&lt;='Assignment Builder'!$B$12)))</f>
        <v/>
      </c>
      <c r="T1798" s="23" t="n"/>
    </row>
    <row r="1799">
      <c r="A1799" s="23" t="n"/>
      <c r="B1799" s="23" t="n"/>
      <c r="C1799" s="24" t="n"/>
      <c r="D1799" s="15" t="n"/>
      <c r="E1799" s="23" t="n"/>
      <c r="F1799" s="15" t="n"/>
      <c r="G1799" s="23" t="n"/>
      <c r="H1799" s="25" t="n"/>
      <c r="I1799" s="15" t="n"/>
      <c r="J1799" s="26">
        <f>IF($A1799="","",LEN($C1799)-LEN(SUBSTITUTE($C1799,",",""))+1)</f>
        <v/>
      </c>
      <c r="K1799" s="26">
        <f>IF($A1799="","",SUMPRODUCT(--ISNUMBER(SEARCH('Category Dictionary'!$D$5:$D$135&amp;"",$C1799)),--('Category Dictionary'!$D$5:$D$135&lt;&gt;"")))</f>
        <v/>
      </c>
      <c r="L1799" s="27">
        <f>IF($A1799="","",TRIM(IF(ISERROR(FIND(",",$C1799)),$C1799,LEFT($C1799,FIND(",",$C1799)-1))))</f>
        <v/>
      </c>
      <c r="M1799" s="28">
        <f>IF($H1799="","",DATE(YEAR($H1799),MONTH($H1799),1))</f>
        <v/>
      </c>
      <c r="N1799" s="26">
        <f>IF($H1799="","",TODAY()-$H1799)</f>
        <v/>
      </c>
      <c r="O1799" s="15" t="n"/>
      <c r="P1799" s="15" t="n"/>
      <c r="Q1799" s="15" t="n"/>
      <c r="R1799" s="25" t="n"/>
      <c r="S1799" s="26">
        <f>IF($A1799="","",AND(OR('Assignment Builder'!$B$5="",$B1799='Assignment Builder'!$B$5),OR('Assignment Builder'!$B$6="",ISNUMBER(SEARCH('Assignment Builder'!$B$6,$C1799))),OR('Assignment Builder'!$B$7="",'Assignment Builder'!$B$7=IFERROR(INDEX('Category Dictionary'!$C$5:$C$135,MATCH($L1799,'Category Dictionary'!$D$5:$D$135,0)),"")),OR('Assignment Builder'!$B$8="",$D1799='Assignment Builder'!$B$8),OR('Assignment Builder'!$B$9="",$F1799='Assignment Builder'!$B$9),OR('Assignment Builder'!$B$10="",$O1799='Assignment Builder'!$B$10),OR('Assignment Builder'!$B$11="",$H1799&gt;='Assignment Builder'!$B$11),OR('Assignment Builder'!$B$12="",N($Q1799)&lt;='Assignment Builder'!$B$12)))</f>
        <v/>
      </c>
      <c r="T1799" s="23" t="n"/>
    </row>
    <row r="1800">
      <c r="A1800" s="23" t="n"/>
      <c r="B1800" s="23" t="n"/>
      <c r="C1800" s="24" t="n"/>
      <c r="D1800" s="15" t="n"/>
      <c r="E1800" s="23" t="n"/>
      <c r="F1800" s="15" t="n"/>
      <c r="G1800" s="23" t="n"/>
      <c r="H1800" s="25" t="n"/>
      <c r="I1800" s="15" t="n"/>
      <c r="J1800" s="26">
        <f>IF($A1800="","",LEN($C1800)-LEN(SUBSTITUTE($C1800,",",""))+1)</f>
        <v/>
      </c>
      <c r="K1800" s="26">
        <f>IF($A1800="","",SUMPRODUCT(--ISNUMBER(SEARCH('Category Dictionary'!$D$5:$D$135&amp;"",$C1800)),--('Category Dictionary'!$D$5:$D$135&lt;&gt;"")))</f>
        <v/>
      </c>
      <c r="L1800" s="27">
        <f>IF($A1800="","",TRIM(IF(ISERROR(FIND(",",$C1800)),$C1800,LEFT($C1800,FIND(",",$C1800)-1))))</f>
        <v/>
      </c>
      <c r="M1800" s="28">
        <f>IF($H1800="","",DATE(YEAR($H1800),MONTH($H1800),1))</f>
        <v/>
      </c>
      <c r="N1800" s="26">
        <f>IF($H1800="","",TODAY()-$H1800)</f>
        <v/>
      </c>
      <c r="O1800" s="15" t="n"/>
      <c r="P1800" s="15" t="n"/>
      <c r="Q1800" s="15" t="n"/>
      <c r="R1800" s="25" t="n"/>
      <c r="S1800" s="26">
        <f>IF($A1800="","",AND(OR('Assignment Builder'!$B$5="",$B1800='Assignment Builder'!$B$5),OR('Assignment Builder'!$B$6="",ISNUMBER(SEARCH('Assignment Builder'!$B$6,$C1800))),OR('Assignment Builder'!$B$7="",'Assignment Builder'!$B$7=IFERROR(INDEX('Category Dictionary'!$C$5:$C$135,MATCH($L1800,'Category Dictionary'!$D$5:$D$135,0)),"")),OR('Assignment Builder'!$B$8="",$D1800='Assignment Builder'!$B$8),OR('Assignment Builder'!$B$9="",$F1800='Assignment Builder'!$B$9),OR('Assignment Builder'!$B$10="",$O1800='Assignment Builder'!$B$10),OR('Assignment Builder'!$B$11="",$H1800&gt;='Assignment Builder'!$B$11),OR('Assignment Builder'!$B$12="",N($Q1800)&lt;='Assignment Builder'!$B$12)))</f>
        <v/>
      </c>
      <c r="T1800" s="23" t="n"/>
    </row>
    <row r="1801">
      <c r="A1801" s="23" t="n"/>
      <c r="B1801" s="23" t="n"/>
      <c r="C1801" s="24" t="n"/>
      <c r="D1801" s="15" t="n"/>
      <c r="E1801" s="23" t="n"/>
      <c r="F1801" s="15" t="n"/>
      <c r="G1801" s="23" t="n"/>
      <c r="H1801" s="25" t="n"/>
      <c r="I1801" s="15" t="n"/>
      <c r="J1801" s="26">
        <f>IF($A1801="","",LEN($C1801)-LEN(SUBSTITUTE($C1801,",",""))+1)</f>
        <v/>
      </c>
      <c r="K1801" s="26">
        <f>IF($A1801="","",SUMPRODUCT(--ISNUMBER(SEARCH('Category Dictionary'!$D$5:$D$135&amp;"",$C1801)),--('Category Dictionary'!$D$5:$D$135&lt;&gt;"")))</f>
        <v/>
      </c>
      <c r="L1801" s="27">
        <f>IF($A1801="","",TRIM(IF(ISERROR(FIND(",",$C1801)),$C1801,LEFT($C1801,FIND(",",$C1801)-1))))</f>
        <v/>
      </c>
      <c r="M1801" s="28">
        <f>IF($H1801="","",DATE(YEAR($H1801),MONTH($H1801),1))</f>
        <v/>
      </c>
      <c r="N1801" s="26">
        <f>IF($H1801="","",TODAY()-$H1801)</f>
        <v/>
      </c>
      <c r="O1801" s="15" t="n"/>
      <c r="P1801" s="15" t="n"/>
      <c r="Q1801" s="15" t="n"/>
      <c r="R1801" s="25" t="n"/>
      <c r="S1801" s="26">
        <f>IF($A1801="","",AND(OR('Assignment Builder'!$B$5="",$B1801='Assignment Builder'!$B$5),OR('Assignment Builder'!$B$6="",ISNUMBER(SEARCH('Assignment Builder'!$B$6,$C1801))),OR('Assignment Builder'!$B$7="",'Assignment Builder'!$B$7=IFERROR(INDEX('Category Dictionary'!$C$5:$C$135,MATCH($L1801,'Category Dictionary'!$D$5:$D$135,0)),"")),OR('Assignment Builder'!$B$8="",$D1801='Assignment Builder'!$B$8),OR('Assignment Builder'!$B$9="",$F1801='Assignment Builder'!$B$9),OR('Assignment Builder'!$B$10="",$O1801='Assignment Builder'!$B$10),OR('Assignment Builder'!$B$11="",$H1801&gt;='Assignment Builder'!$B$11),OR('Assignment Builder'!$B$12="",N($Q1801)&lt;='Assignment Builder'!$B$12)))</f>
        <v/>
      </c>
      <c r="T1801" s="23" t="n"/>
    </row>
    <row r="1802">
      <c r="A1802" s="23" t="n"/>
      <c r="B1802" s="23" t="n"/>
      <c r="C1802" s="24" t="n"/>
      <c r="D1802" s="15" t="n"/>
      <c r="E1802" s="23" t="n"/>
      <c r="F1802" s="15" t="n"/>
      <c r="G1802" s="23" t="n"/>
      <c r="H1802" s="25" t="n"/>
      <c r="I1802" s="15" t="n"/>
      <c r="J1802" s="26">
        <f>IF($A1802="","",LEN($C1802)-LEN(SUBSTITUTE($C1802,",",""))+1)</f>
        <v/>
      </c>
      <c r="K1802" s="26">
        <f>IF($A1802="","",SUMPRODUCT(--ISNUMBER(SEARCH('Category Dictionary'!$D$5:$D$135&amp;"",$C1802)),--('Category Dictionary'!$D$5:$D$135&lt;&gt;"")))</f>
        <v/>
      </c>
      <c r="L1802" s="27">
        <f>IF($A1802="","",TRIM(IF(ISERROR(FIND(",",$C1802)),$C1802,LEFT($C1802,FIND(",",$C1802)-1))))</f>
        <v/>
      </c>
      <c r="M1802" s="28">
        <f>IF($H1802="","",DATE(YEAR($H1802),MONTH($H1802),1))</f>
        <v/>
      </c>
      <c r="N1802" s="26">
        <f>IF($H1802="","",TODAY()-$H1802)</f>
        <v/>
      </c>
      <c r="O1802" s="15" t="n"/>
      <c r="P1802" s="15" t="n"/>
      <c r="Q1802" s="15" t="n"/>
      <c r="R1802" s="25" t="n"/>
      <c r="S1802" s="26">
        <f>IF($A1802="","",AND(OR('Assignment Builder'!$B$5="",$B1802='Assignment Builder'!$B$5),OR('Assignment Builder'!$B$6="",ISNUMBER(SEARCH('Assignment Builder'!$B$6,$C1802))),OR('Assignment Builder'!$B$7="",'Assignment Builder'!$B$7=IFERROR(INDEX('Category Dictionary'!$C$5:$C$135,MATCH($L1802,'Category Dictionary'!$D$5:$D$135,0)),"")),OR('Assignment Builder'!$B$8="",$D1802='Assignment Builder'!$B$8),OR('Assignment Builder'!$B$9="",$F1802='Assignment Builder'!$B$9),OR('Assignment Builder'!$B$10="",$O1802='Assignment Builder'!$B$10),OR('Assignment Builder'!$B$11="",$H1802&gt;='Assignment Builder'!$B$11),OR('Assignment Builder'!$B$12="",N($Q1802)&lt;='Assignment Builder'!$B$12)))</f>
        <v/>
      </c>
      <c r="T1802" s="23" t="n"/>
    </row>
    <row r="1803">
      <c r="A1803" s="23" t="n"/>
      <c r="B1803" s="23" t="n"/>
      <c r="C1803" s="24" t="n"/>
      <c r="D1803" s="15" t="n"/>
      <c r="E1803" s="23" t="n"/>
      <c r="F1803" s="15" t="n"/>
      <c r="G1803" s="23" t="n"/>
      <c r="H1803" s="25" t="n"/>
      <c r="I1803" s="15" t="n"/>
      <c r="J1803" s="26">
        <f>IF($A1803="","",LEN($C1803)-LEN(SUBSTITUTE($C1803,",",""))+1)</f>
        <v/>
      </c>
      <c r="K1803" s="26">
        <f>IF($A1803="","",SUMPRODUCT(--ISNUMBER(SEARCH('Category Dictionary'!$D$5:$D$135&amp;"",$C1803)),--('Category Dictionary'!$D$5:$D$135&lt;&gt;"")))</f>
        <v/>
      </c>
      <c r="L1803" s="27">
        <f>IF($A1803="","",TRIM(IF(ISERROR(FIND(",",$C1803)),$C1803,LEFT($C1803,FIND(",",$C1803)-1))))</f>
        <v/>
      </c>
      <c r="M1803" s="28">
        <f>IF($H1803="","",DATE(YEAR($H1803),MONTH($H1803),1))</f>
        <v/>
      </c>
      <c r="N1803" s="26">
        <f>IF($H1803="","",TODAY()-$H1803)</f>
        <v/>
      </c>
      <c r="O1803" s="15" t="n"/>
      <c r="P1803" s="15" t="n"/>
      <c r="Q1803" s="15" t="n"/>
      <c r="R1803" s="25" t="n"/>
      <c r="S1803" s="26">
        <f>IF($A1803="","",AND(OR('Assignment Builder'!$B$5="",$B1803='Assignment Builder'!$B$5),OR('Assignment Builder'!$B$6="",ISNUMBER(SEARCH('Assignment Builder'!$B$6,$C1803))),OR('Assignment Builder'!$B$7="",'Assignment Builder'!$B$7=IFERROR(INDEX('Category Dictionary'!$C$5:$C$135,MATCH($L1803,'Category Dictionary'!$D$5:$D$135,0)),"")),OR('Assignment Builder'!$B$8="",$D1803='Assignment Builder'!$B$8),OR('Assignment Builder'!$B$9="",$F1803='Assignment Builder'!$B$9),OR('Assignment Builder'!$B$10="",$O1803='Assignment Builder'!$B$10),OR('Assignment Builder'!$B$11="",$H1803&gt;='Assignment Builder'!$B$11),OR('Assignment Builder'!$B$12="",N($Q1803)&lt;='Assignment Builder'!$B$12)))</f>
        <v/>
      </c>
      <c r="T1803" s="23" t="n"/>
    </row>
    <row r="1804">
      <c r="A1804" s="23" t="n"/>
      <c r="B1804" s="23" t="n"/>
      <c r="C1804" s="24" t="n"/>
      <c r="D1804" s="15" t="n"/>
      <c r="E1804" s="23" t="n"/>
      <c r="F1804" s="15" t="n"/>
      <c r="G1804" s="23" t="n"/>
      <c r="H1804" s="25" t="n"/>
      <c r="I1804" s="15" t="n"/>
      <c r="J1804" s="26">
        <f>IF($A1804="","",LEN($C1804)-LEN(SUBSTITUTE($C1804,",",""))+1)</f>
        <v/>
      </c>
      <c r="K1804" s="26">
        <f>IF($A1804="","",SUMPRODUCT(--ISNUMBER(SEARCH('Category Dictionary'!$D$5:$D$135&amp;"",$C1804)),--('Category Dictionary'!$D$5:$D$135&lt;&gt;"")))</f>
        <v/>
      </c>
      <c r="L1804" s="27">
        <f>IF($A1804="","",TRIM(IF(ISERROR(FIND(",",$C1804)),$C1804,LEFT($C1804,FIND(",",$C1804)-1))))</f>
        <v/>
      </c>
      <c r="M1804" s="28">
        <f>IF($H1804="","",DATE(YEAR($H1804),MONTH($H1804),1))</f>
        <v/>
      </c>
      <c r="N1804" s="26">
        <f>IF($H1804="","",TODAY()-$H1804)</f>
        <v/>
      </c>
      <c r="O1804" s="15" t="n"/>
      <c r="P1804" s="15" t="n"/>
      <c r="Q1804" s="15" t="n"/>
      <c r="R1804" s="25" t="n"/>
      <c r="S1804" s="26">
        <f>IF($A1804="","",AND(OR('Assignment Builder'!$B$5="",$B1804='Assignment Builder'!$B$5),OR('Assignment Builder'!$B$6="",ISNUMBER(SEARCH('Assignment Builder'!$B$6,$C1804))),OR('Assignment Builder'!$B$7="",'Assignment Builder'!$B$7=IFERROR(INDEX('Category Dictionary'!$C$5:$C$135,MATCH($L1804,'Category Dictionary'!$D$5:$D$135,0)),"")),OR('Assignment Builder'!$B$8="",$D1804='Assignment Builder'!$B$8),OR('Assignment Builder'!$B$9="",$F1804='Assignment Builder'!$B$9),OR('Assignment Builder'!$B$10="",$O1804='Assignment Builder'!$B$10),OR('Assignment Builder'!$B$11="",$H1804&gt;='Assignment Builder'!$B$11),OR('Assignment Builder'!$B$12="",N($Q1804)&lt;='Assignment Builder'!$B$12)))</f>
        <v/>
      </c>
      <c r="T1804" s="23" t="n"/>
    </row>
    <row r="1805">
      <c r="A1805" s="23" t="n"/>
      <c r="B1805" s="23" t="n"/>
      <c r="C1805" s="24" t="n"/>
      <c r="D1805" s="15" t="n"/>
      <c r="E1805" s="23" t="n"/>
      <c r="F1805" s="15" t="n"/>
      <c r="G1805" s="23" t="n"/>
      <c r="H1805" s="25" t="n"/>
      <c r="I1805" s="15" t="n"/>
      <c r="J1805" s="26">
        <f>IF($A1805="","",LEN($C1805)-LEN(SUBSTITUTE($C1805,",",""))+1)</f>
        <v/>
      </c>
      <c r="K1805" s="26">
        <f>IF($A1805="","",SUMPRODUCT(--ISNUMBER(SEARCH('Category Dictionary'!$D$5:$D$135&amp;"",$C1805)),--('Category Dictionary'!$D$5:$D$135&lt;&gt;"")))</f>
        <v/>
      </c>
      <c r="L1805" s="27">
        <f>IF($A1805="","",TRIM(IF(ISERROR(FIND(",",$C1805)),$C1805,LEFT($C1805,FIND(",",$C1805)-1))))</f>
        <v/>
      </c>
      <c r="M1805" s="28">
        <f>IF($H1805="","",DATE(YEAR($H1805),MONTH($H1805),1))</f>
        <v/>
      </c>
      <c r="N1805" s="26">
        <f>IF($H1805="","",TODAY()-$H1805)</f>
        <v/>
      </c>
      <c r="O1805" s="15" t="n"/>
      <c r="P1805" s="15" t="n"/>
      <c r="Q1805" s="15" t="n"/>
      <c r="R1805" s="25" t="n"/>
      <c r="S1805" s="26">
        <f>IF($A1805="","",AND(OR('Assignment Builder'!$B$5="",$B1805='Assignment Builder'!$B$5),OR('Assignment Builder'!$B$6="",ISNUMBER(SEARCH('Assignment Builder'!$B$6,$C1805))),OR('Assignment Builder'!$B$7="",'Assignment Builder'!$B$7=IFERROR(INDEX('Category Dictionary'!$C$5:$C$135,MATCH($L1805,'Category Dictionary'!$D$5:$D$135,0)),"")),OR('Assignment Builder'!$B$8="",$D1805='Assignment Builder'!$B$8),OR('Assignment Builder'!$B$9="",$F1805='Assignment Builder'!$B$9),OR('Assignment Builder'!$B$10="",$O1805='Assignment Builder'!$B$10),OR('Assignment Builder'!$B$11="",$H1805&gt;='Assignment Builder'!$B$11),OR('Assignment Builder'!$B$12="",N($Q1805)&lt;='Assignment Builder'!$B$12)))</f>
        <v/>
      </c>
      <c r="T1805" s="23" t="n"/>
    </row>
    <row r="1806">
      <c r="A1806" s="23" t="n"/>
      <c r="B1806" s="23" t="n"/>
      <c r="C1806" s="24" t="n"/>
      <c r="D1806" s="15" t="n"/>
      <c r="E1806" s="23" t="n"/>
      <c r="F1806" s="15" t="n"/>
      <c r="G1806" s="23" t="n"/>
      <c r="H1806" s="25" t="n"/>
      <c r="I1806" s="15" t="n"/>
      <c r="J1806" s="26">
        <f>IF($A1806="","",LEN($C1806)-LEN(SUBSTITUTE($C1806,",",""))+1)</f>
        <v/>
      </c>
      <c r="K1806" s="26">
        <f>IF($A1806="","",SUMPRODUCT(--ISNUMBER(SEARCH('Category Dictionary'!$D$5:$D$135&amp;"",$C1806)),--('Category Dictionary'!$D$5:$D$135&lt;&gt;"")))</f>
        <v/>
      </c>
      <c r="L1806" s="27">
        <f>IF($A1806="","",TRIM(IF(ISERROR(FIND(",",$C1806)),$C1806,LEFT($C1806,FIND(",",$C1806)-1))))</f>
        <v/>
      </c>
      <c r="M1806" s="28">
        <f>IF($H1806="","",DATE(YEAR($H1806),MONTH($H1806),1))</f>
        <v/>
      </c>
      <c r="N1806" s="26">
        <f>IF($H1806="","",TODAY()-$H1806)</f>
        <v/>
      </c>
      <c r="O1806" s="15" t="n"/>
      <c r="P1806" s="15" t="n"/>
      <c r="Q1806" s="15" t="n"/>
      <c r="R1806" s="25" t="n"/>
      <c r="S1806" s="26">
        <f>IF($A1806="","",AND(OR('Assignment Builder'!$B$5="",$B1806='Assignment Builder'!$B$5),OR('Assignment Builder'!$B$6="",ISNUMBER(SEARCH('Assignment Builder'!$B$6,$C1806))),OR('Assignment Builder'!$B$7="",'Assignment Builder'!$B$7=IFERROR(INDEX('Category Dictionary'!$C$5:$C$135,MATCH($L1806,'Category Dictionary'!$D$5:$D$135,0)),"")),OR('Assignment Builder'!$B$8="",$D1806='Assignment Builder'!$B$8),OR('Assignment Builder'!$B$9="",$F1806='Assignment Builder'!$B$9),OR('Assignment Builder'!$B$10="",$O1806='Assignment Builder'!$B$10),OR('Assignment Builder'!$B$11="",$H1806&gt;='Assignment Builder'!$B$11),OR('Assignment Builder'!$B$12="",N($Q1806)&lt;='Assignment Builder'!$B$12)))</f>
        <v/>
      </c>
      <c r="T1806" s="23" t="n"/>
    </row>
    <row r="1807">
      <c r="A1807" s="23" t="n"/>
      <c r="B1807" s="23" t="n"/>
      <c r="C1807" s="24" t="n"/>
      <c r="D1807" s="15" t="n"/>
      <c r="E1807" s="23" t="n"/>
      <c r="F1807" s="15" t="n"/>
      <c r="G1807" s="23" t="n"/>
      <c r="H1807" s="25" t="n"/>
      <c r="I1807" s="15" t="n"/>
      <c r="J1807" s="26">
        <f>IF($A1807="","",LEN($C1807)-LEN(SUBSTITUTE($C1807,",",""))+1)</f>
        <v/>
      </c>
      <c r="K1807" s="26">
        <f>IF($A1807="","",SUMPRODUCT(--ISNUMBER(SEARCH('Category Dictionary'!$D$5:$D$135&amp;"",$C1807)),--('Category Dictionary'!$D$5:$D$135&lt;&gt;"")))</f>
        <v/>
      </c>
      <c r="L1807" s="27">
        <f>IF($A1807="","",TRIM(IF(ISERROR(FIND(",",$C1807)),$C1807,LEFT($C1807,FIND(",",$C1807)-1))))</f>
        <v/>
      </c>
      <c r="M1807" s="28">
        <f>IF($H1807="","",DATE(YEAR($H1807),MONTH($H1807),1))</f>
        <v/>
      </c>
      <c r="N1807" s="26">
        <f>IF($H1807="","",TODAY()-$H1807)</f>
        <v/>
      </c>
      <c r="O1807" s="15" t="n"/>
      <c r="P1807" s="15" t="n"/>
      <c r="Q1807" s="15" t="n"/>
      <c r="R1807" s="25" t="n"/>
      <c r="S1807" s="26">
        <f>IF($A1807="","",AND(OR('Assignment Builder'!$B$5="",$B1807='Assignment Builder'!$B$5),OR('Assignment Builder'!$B$6="",ISNUMBER(SEARCH('Assignment Builder'!$B$6,$C1807))),OR('Assignment Builder'!$B$7="",'Assignment Builder'!$B$7=IFERROR(INDEX('Category Dictionary'!$C$5:$C$135,MATCH($L1807,'Category Dictionary'!$D$5:$D$135,0)),"")),OR('Assignment Builder'!$B$8="",$D1807='Assignment Builder'!$B$8),OR('Assignment Builder'!$B$9="",$F1807='Assignment Builder'!$B$9),OR('Assignment Builder'!$B$10="",$O1807='Assignment Builder'!$B$10),OR('Assignment Builder'!$B$11="",$H1807&gt;='Assignment Builder'!$B$11),OR('Assignment Builder'!$B$12="",N($Q1807)&lt;='Assignment Builder'!$B$12)))</f>
        <v/>
      </c>
      <c r="T1807" s="23" t="n"/>
    </row>
    <row r="1808">
      <c r="A1808" s="23" t="n"/>
      <c r="B1808" s="23" t="n"/>
      <c r="C1808" s="24" t="n"/>
      <c r="D1808" s="15" t="n"/>
      <c r="E1808" s="23" t="n"/>
      <c r="F1808" s="15" t="n"/>
      <c r="G1808" s="23" t="n"/>
      <c r="H1808" s="25" t="n"/>
      <c r="I1808" s="15" t="n"/>
      <c r="J1808" s="26">
        <f>IF($A1808="","",LEN($C1808)-LEN(SUBSTITUTE($C1808,",",""))+1)</f>
        <v/>
      </c>
      <c r="K1808" s="26">
        <f>IF($A1808="","",SUMPRODUCT(--ISNUMBER(SEARCH('Category Dictionary'!$D$5:$D$135&amp;"",$C1808)),--('Category Dictionary'!$D$5:$D$135&lt;&gt;"")))</f>
        <v/>
      </c>
      <c r="L1808" s="27">
        <f>IF($A1808="","",TRIM(IF(ISERROR(FIND(",",$C1808)),$C1808,LEFT($C1808,FIND(",",$C1808)-1))))</f>
        <v/>
      </c>
      <c r="M1808" s="28">
        <f>IF($H1808="","",DATE(YEAR($H1808),MONTH($H1808),1))</f>
        <v/>
      </c>
      <c r="N1808" s="26">
        <f>IF($H1808="","",TODAY()-$H1808)</f>
        <v/>
      </c>
      <c r="O1808" s="15" t="n"/>
      <c r="P1808" s="15" t="n"/>
      <c r="Q1808" s="15" t="n"/>
      <c r="R1808" s="25" t="n"/>
      <c r="S1808" s="26">
        <f>IF($A1808="","",AND(OR('Assignment Builder'!$B$5="",$B1808='Assignment Builder'!$B$5),OR('Assignment Builder'!$B$6="",ISNUMBER(SEARCH('Assignment Builder'!$B$6,$C1808))),OR('Assignment Builder'!$B$7="",'Assignment Builder'!$B$7=IFERROR(INDEX('Category Dictionary'!$C$5:$C$135,MATCH($L1808,'Category Dictionary'!$D$5:$D$135,0)),"")),OR('Assignment Builder'!$B$8="",$D1808='Assignment Builder'!$B$8),OR('Assignment Builder'!$B$9="",$F1808='Assignment Builder'!$B$9),OR('Assignment Builder'!$B$10="",$O1808='Assignment Builder'!$B$10),OR('Assignment Builder'!$B$11="",$H1808&gt;='Assignment Builder'!$B$11),OR('Assignment Builder'!$B$12="",N($Q1808)&lt;='Assignment Builder'!$B$12)))</f>
        <v/>
      </c>
      <c r="T1808" s="23" t="n"/>
    </row>
    <row r="1809">
      <c r="A1809" s="23" t="n"/>
      <c r="B1809" s="23" t="n"/>
      <c r="C1809" s="24" t="n"/>
      <c r="D1809" s="15" t="n"/>
      <c r="E1809" s="23" t="n"/>
      <c r="F1809" s="15" t="n"/>
      <c r="G1809" s="23" t="n"/>
      <c r="H1809" s="25" t="n"/>
      <c r="I1809" s="15" t="n"/>
      <c r="J1809" s="26">
        <f>IF($A1809="","",LEN($C1809)-LEN(SUBSTITUTE($C1809,",",""))+1)</f>
        <v/>
      </c>
      <c r="K1809" s="26">
        <f>IF($A1809="","",SUMPRODUCT(--ISNUMBER(SEARCH('Category Dictionary'!$D$5:$D$135&amp;"",$C1809)),--('Category Dictionary'!$D$5:$D$135&lt;&gt;"")))</f>
        <v/>
      </c>
      <c r="L1809" s="27">
        <f>IF($A1809="","",TRIM(IF(ISERROR(FIND(",",$C1809)),$C1809,LEFT($C1809,FIND(",",$C1809)-1))))</f>
        <v/>
      </c>
      <c r="M1809" s="28">
        <f>IF($H1809="","",DATE(YEAR($H1809),MONTH($H1809),1))</f>
        <v/>
      </c>
      <c r="N1809" s="26">
        <f>IF($H1809="","",TODAY()-$H1809)</f>
        <v/>
      </c>
      <c r="O1809" s="15" t="n"/>
      <c r="P1809" s="15" t="n"/>
      <c r="Q1809" s="15" t="n"/>
      <c r="R1809" s="25" t="n"/>
      <c r="S1809" s="26">
        <f>IF($A1809="","",AND(OR('Assignment Builder'!$B$5="",$B1809='Assignment Builder'!$B$5),OR('Assignment Builder'!$B$6="",ISNUMBER(SEARCH('Assignment Builder'!$B$6,$C1809))),OR('Assignment Builder'!$B$7="",'Assignment Builder'!$B$7=IFERROR(INDEX('Category Dictionary'!$C$5:$C$135,MATCH($L1809,'Category Dictionary'!$D$5:$D$135,0)),"")),OR('Assignment Builder'!$B$8="",$D1809='Assignment Builder'!$B$8),OR('Assignment Builder'!$B$9="",$F1809='Assignment Builder'!$B$9),OR('Assignment Builder'!$B$10="",$O1809='Assignment Builder'!$B$10),OR('Assignment Builder'!$B$11="",$H1809&gt;='Assignment Builder'!$B$11),OR('Assignment Builder'!$B$12="",N($Q1809)&lt;='Assignment Builder'!$B$12)))</f>
        <v/>
      </c>
      <c r="T1809" s="23" t="n"/>
    </row>
    <row r="1810">
      <c r="A1810" s="23" t="n"/>
      <c r="B1810" s="23" t="n"/>
      <c r="C1810" s="24" t="n"/>
      <c r="D1810" s="15" t="n"/>
      <c r="E1810" s="23" t="n"/>
      <c r="F1810" s="15" t="n"/>
      <c r="G1810" s="23" t="n"/>
      <c r="H1810" s="25" t="n"/>
      <c r="I1810" s="15" t="n"/>
      <c r="J1810" s="26">
        <f>IF($A1810="","",LEN($C1810)-LEN(SUBSTITUTE($C1810,",",""))+1)</f>
        <v/>
      </c>
      <c r="K1810" s="26">
        <f>IF($A1810="","",SUMPRODUCT(--ISNUMBER(SEARCH('Category Dictionary'!$D$5:$D$135&amp;"",$C1810)),--('Category Dictionary'!$D$5:$D$135&lt;&gt;"")))</f>
        <v/>
      </c>
      <c r="L1810" s="27">
        <f>IF($A1810="","",TRIM(IF(ISERROR(FIND(",",$C1810)),$C1810,LEFT($C1810,FIND(",",$C1810)-1))))</f>
        <v/>
      </c>
      <c r="M1810" s="28">
        <f>IF($H1810="","",DATE(YEAR($H1810),MONTH($H1810),1))</f>
        <v/>
      </c>
      <c r="N1810" s="26">
        <f>IF($H1810="","",TODAY()-$H1810)</f>
        <v/>
      </c>
      <c r="O1810" s="15" t="n"/>
      <c r="P1810" s="15" t="n"/>
      <c r="Q1810" s="15" t="n"/>
      <c r="R1810" s="25" t="n"/>
      <c r="S1810" s="26">
        <f>IF($A1810="","",AND(OR('Assignment Builder'!$B$5="",$B1810='Assignment Builder'!$B$5),OR('Assignment Builder'!$B$6="",ISNUMBER(SEARCH('Assignment Builder'!$B$6,$C1810))),OR('Assignment Builder'!$B$7="",'Assignment Builder'!$B$7=IFERROR(INDEX('Category Dictionary'!$C$5:$C$135,MATCH($L1810,'Category Dictionary'!$D$5:$D$135,0)),"")),OR('Assignment Builder'!$B$8="",$D1810='Assignment Builder'!$B$8),OR('Assignment Builder'!$B$9="",$F1810='Assignment Builder'!$B$9),OR('Assignment Builder'!$B$10="",$O1810='Assignment Builder'!$B$10),OR('Assignment Builder'!$B$11="",$H1810&gt;='Assignment Builder'!$B$11),OR('Assignment Builder'!$B$12="",N($Q1810)&lt;='Assignment Builder'!$B$12)))</f>
        <v/>
      </c>
      <c r="T1810" s="23" t="n"/>
    </row>
    <row r="1811">
      <c r="A1811" s="23" t="n"/>
      <c r="B1811" s="23" t="n"/>
      <c r="C1811" s="24" t="n"/>
      <c r="D1811" s="15" t="n"/>
      <c r="E1811" s="23" t="n"/>
      <c r="F1811" s="15" t="n"/>
      <c r="G1811" s="23" t="n"/>
      <c r="H1811" s="25" t="n"/>
      <c r="I1811" s="15" t="n"/>
      <c r="J1811" s="26">
        <f>IF($A1811="","",LEN($C1811)-LEN(SUBSTITUTE($C1811,",",""))+1)</f>
        <v/>
      </c>
      <c r="K1811" s="26">
        <f>IF($A1811="","",SUMPRODUCT(--ISNUMBER(SEARCH('Category Dictionary'!$D$5:$D$135&amp;"",$C1811)),--('Category Dictionary'!$D$5:$D$135&lt;&gt;"")))</f>
        <v/>
      </c>
      <c r="L1811" s="27">
        <f>IF($A1811="","",TRIM(IF(ISERROR(FIND(",",$C1811)),$C1811,LEFT($C1811,FIND(",",$C1811)-1))))</f>
        <v/>
      </c>
      <c r="M1811" s="28">
        <f>IF($H1811="","",DATE(YEAR($H1811),MONTH($H1811),1))</f>
        <v/>
      </c>
      <c r="N1811" s="26">
        <f>IF($H1811="","",TODAY()-$H1811)</f>
        <v/>
      </c>
      <c r="O1811" s="15" t="n"/>
      <c r="P1811" s="15" t="n"/>
      <c r="Q1811" s="15" t="n"/>
      <c r="R1811" s="25" t="n"/>
      <c r="S1811" s="26">
        <f>IF($A1811="","",AND(OR('Assignment Builder'!$B$5="",$B1811='Assignment Builder'!$B$5),OR('Assignment Builder'!$B$6="",ISNUMBER(SEARCH('Assignment Builder'!$B$6,$C1811))),OR('Assignment Builder'!$B$7="",'Assignment Builder'!$B$7=IFERROR(INDEX('Category Dictionary'!$C$5:$C$135,MATCH($L1811,'Category Dictionary'!$D$5:$D$135,0)),"")),OR('Assignment Builder'!$B$8="",$D1811='Assignment Builder'!$B$8),OR('Assignment Builder'!$B$9="",$F1811='Assignment Builder'!$B$9),OR('Assignment Builder'!$B$10="",$O1811='Assignment Builder'!$B$10),OR('Assignment Builder'!$B$11="",$H1811&gt;='Assignment Builder'!$B$11),OR('Assignment Builder'!$B$12="",N($Q1811)&lt;='Assignment Builder'!$B$12)))</f>
        <v/>
      </c>
      <c r="T1811" s="23" t="n"/>
    </row>
    <row r="1812">
      <c r="A1812" s="23" t="n"/>
      <c r="B1812" s="23" t="n"/>
      <c r="C1812" s="24" t="n"/>
      <c r="D1812" s="15" t="n"/>
      <c r="E1812" s="23" t="n"/>
      <c r="F1812" s="15" t="n"/>
      <c r="G1812" s="23" t="n"/>
      <c r="H1812" s="25" t="n"/>
      <c r="I1812" s="15" t="n"/>
      <c r="J1812" s="26">
        <f>IF($A1812="","",LEN($C1812)-LEN(SUBSTITUTE($C1812,",",""))+1)</f>
        <v/>
      </c>
      <c r="K1812" s="26">
        <f>IF($A1812="","",SUMPRODUCT(--ISNUMBER(SEARCH('Category Dictionary'!$D$5:$D$135&amp;"",$C1812)),--('Category Dictionary'!$D$5:$D$135&lt;&gt;"")))</f>
        <v/>
      </c>
      <c r="L1812" s="27">
        <f>IF($A1812="","",TRIM(IF(ISERROR(FIND(",",$C1812)),$C1812,LEFT($C1812,FIND(",",$C1812)-1))))</f>
        <v/>
      </c>
      <c r="M1812" s="28">
        <f>IF($H1812="","",DATE(YEAR($H1812),MONTH($H1812),1))</f>
        <v/>
      </c>
      <c r="N1812" s="26">
        <f>IF($H1812="","",TODAY()-$H1812)</f>
        <v/>
      </c>
      <c r="O1812" s="15" t="n"/>
      <c r="P1812" s="15" t="n"/>
      <c r="Q1812" s="15" t="n"/>
      <c r="R1812" s="25" t="n"/>
      <c r="S1812" s="26">
        <f>IF($A1812="","",AND(OR('Assignment Builder'!$B$5="",$B1812='Assignment Builder'!$B$5),OR('Assignment Builder'!$B$6="",ISNUMBER(SEARCH('Assignment Builder'!$B$6,$C1812))),OR('Assignment Builder'!$B$7="",'Assignment Builder'!$B$7=IFERROR(INDEX('Category Dictionary'!$C$5:$C$135,MATCH($L1812,'Category Dictionary'!$D$5:$D$135,0)),"")),OR('Assignment Builder'!$B$8="",$D1812='Assignment Builder'!$B$8),OR('Assignment Builder'!$B$9="",$F1812='Assignment Builder'!$B$9),OR('Assignment Builder'!$B$10="",$O1812='Assignment Builder'!$B$10),OR('Assignment Builder'!$B$11="",$H1812&gt;='Assignment Builder'!$B$11),OR('Assignment Builder'!$B$12="",N($Q1812)&lt;='Assignment Builder'!$B$12)))</f>
        <v/>
      </c>
      <c r="T1812" s="23" t="n"/>
    </row>
    <row r="1813">
      <c r="A1813" s="23" t="n"/>
      <c r="B1813" s="23" t="n"/>
      <c r="C1813" s="24" t="n"/>
      <c r="D1813" s="15" t="n"/>
      <c r="E1813" s="23" t="n"/>
      <c r="F1813" s="15" t="n"/>
      <c r="G1813" s="23" t="n"/>
      <c r="H1813" s="25" t="n"/>
      <c r="I1813" s="15" t="n"/>
      <c r="J1813" s="26">
        <f>IF($A1813="","",LEN($C1813)-LEN(SUBSTITUTE($C1813,",",""))+1)</f>
        <v/>
      </c>
      <c r="K1813" s="26">
        <f>IF($A1813="","",SUMPRODUCT(--ISNUMBER(SEARCH('Category Dictionary'!$D$5:$D$135&amp;"",$C1813)),--('Category Dictionary'!$D$5:$D$135&lt;&gt;"")))</f>
        <v/>
      </c>
      <c r="L1813" s="27">
        <f>IF($A1813="","",TRIM(IF(ISERROR(FIND(",",$C1813)),$C1813,LEFT($C1813,FIND(",",$C1813)-1))))</f>
        <v/>
      </c>
      <c r="M1813" s="28">
        <f>IF($H1813="","",DATE(YEAR($H1813),MONTH($H1813),1))</f>
        <v/>
      </c>
      <c r="N1813" s="26">
        <f>IF($H1813="","",TODAY()-$H1813)</f>
        <v/>
      </c>
      <c r="O1813" s="15" t="n"/>
      <c r="P1813" s="15" t="n"/>
      <c r="Q1813" s="15" t="n"/>
      <c r="R1813" s="25" t="n"/>
      <c r="S1813" s="26">
        <f>IF($A1813="","",AND(OR('Assignment Builder'!$B$5="",$B1813='Assignment Builder'!$B$5),OR('Assignment Builder'!$B$6="",ISNUMBER(SEARCH('Assignment Builder'!$B$6,$C1813))),OR('Assignment Builder'!$B$7="",'Assignment Builder'!$B$7=IFERROR(INDEX('Category Dictionary'!$C$5:$C$135,MATCH($L1813,'Category Dictionary'!$D$5:$D$135,0)),"")),OR('Assignment Builder'!$B$8="",$D1813='Assignment Builder'!$B$8),OR('Assignment Builder'!$B$9="",$F1813='Assignment Builder'!$B$9),OR('Assignment Builder'!$B$10="",$O1813='Assignment Builder'!$B$10),OR('Assignment Builder'!$B$11="",$H1813&gt;='Assignment Builder'!$B$11),OR('Assignment Builder'!$B$12="",N($Q1813)&lt;='Assignment Builder'!$B$12)))</f>
        <v/>
      </c>
      <c r="T1813" s="23" t="n"/>
    </row>
    <row r="1814">
      <c r="A1814" s="23" t="n"/>
      <c r="B1814" s="23" t="n"/>
      <c r="C1814" s="24" t="n"/>
      <c r="D1814" s="15" t="n"/>
      <c r="E1814" s="23" t="n"/>
      <c r="F1814" s="15" t="n"/>
      <c r="G1814" s="23" t="n"/>
      <c r="H1814" s="25" t="n"/>
      <c r="I1814" s="15" t="n"/>
      <c r="J1814" s="26">
        <f>IF($A1814="","",LEN($C1814)-LEN(SUBSTITUTE($C1814,",",""))+1)</f>
        <v/>
      </c>
      <c r="K1814" s="26">
        <f>IF($A1814="","",SUMPRODUCT(--ISNUMBER(SEARCH('Category Dictionary'!$D$5:$D$135&amp;"",$C1814)),--('Category Dictionary'!$D$5:$D$135&lt;&gt;"")))</f>
        <v/>
      </c>
      <c r="L1814" s="27">
        <f>IF($A1814="","",TRIM(IF(ISERROR(FIND(",",$C1814)),$C1814,LEFT($C1814,FIND(",",$C1814)-1))))</f>
        <v/>
      </c>
      <c r="M1814" s="28">
        <f>IF($H1814="","",DATE(YEAR($H1814),MONTH($H1814),1))</f>
        <v/>
      </c>
      <c r="N1814" s="26">
        <f>IF($H1814="","",TODAY()-$H1814)</f>
        <v/>
      </c>
      <c r="O1814" s="15" t="n"/>
      <c r="P1814" s="15" t="n"/>
      <c r="Q1814" s="15" t="n"/>
      <c r="R1814" s="25" t="n"/>
      <c r="S1814" s="26">
        <f>IF($A1814="","",AND(OR('Assignment Builder'!$B$5="",$B1814='Assignment Builder'!$B$5),OR('Assignment Builder'!$B$6="",ISNUMBER(SEARCH('Assignment Builder'!$B$6,$C1814))),OR('Assignment Builder'!$B$7="",'Assignment Builder'!$B$7=IFERROR(INDEX('Category Dictionary'!$C$5:$C$135,MATCH($L1814,'Category Dictionary'!$D$5:$D$135,0)),"")),OR('Assignment Builder'!$B$8="",$D1814='Assignment Builder'!$B$8),OR('Assignment Builder'!$B$9="",$F1814='Assignment Builder'!$B$9),OR('Assignment Builder'!$B$10="",$O1814='Assignment Builder'!$B$10),OR('Assignment Builder'!$B$11="",$H1814&gt;='Assignment Builder'!$B$11),OR('Assignment Builder'!$B$12="",N($Q1814)&lt;='Assignment Builder'!$B$12)))</f>
        <v/>
      </c>
      <c r="T1814" s="23" t="n"/>
    </row>
    <row r="1815">
      <c r="A1815" s="23" t="n"/>
      <c r="B1815" s="23" t="n"/>
      <c r="C1815" s="24" t="n"/>
      <c r="D1815" s="15" t="n"/>
      <c r="E1815" s="23" t="n"/>
      <c r="F1815" s="15" t="n"/>
      <c r="G1815" s="23" t="n"/>
      <c r="H1815" s="25" t="n"/>
      <c r="I1815" s="15" t="n"/>
      <c r="J1815" s="26">
        <f>IF($A1815="","",LEN($C1815)-LEN(SUBSTITUTE($C1815,",",""))+1)</f>
        <v/>
      </c>
      <c r="K1815" s="26">
        <f>IF($A1815="","",SUMPRODUCT(--ISNUMBER(SEARCH('Category Dictionary'!$D$5:$D$135&amp;"",$C1815)),--('Category Dictionary'!$D$5:$D$135&lt;&gt;"")))</f>
        <v/>
      </c>
      <c r="L1815" s="27">
        <f>IF($A1815="","",TRIM(IF(ISERROR(FIND(",",$C1815)),$C1815,LEFT($C1815,FIND(",",$C1815)-1))))</f>
        <v/>
      </c>
      <c r="M1815" s="28">
        <f>IF($H1815="","",DATE(YEAR($H1815),MONTH($H1815),1))</f>
        <v/>
      </c>
      <c r="N1815" s="26">
        <f>IF($H1815="","",TODAY()-$H1815)</f>
        <v/>
      </c>
      <c r="O1815" s="15" t="n"/>
      <c r="P1815" s="15" t="n"/>
      <c r="Q1815" s="15" t="n"/>
      <c r="R1815" s="25" t="n"/>
      <c r="S1815" s="26">
        <f>IF($A1815="","",AND(OR('Assignment Builder'!$B$5="",$B1815='Assignment Builder'!$B$5),OR('Assignment Builder'!$B$6="",ISNUMBER(SEARCH('Assignment Builder'!$B$6,$C1815))),OR('Assignment Builder'!$B$7="",'Assignment Builder'!$B$7=IFERROR(INDEX('Category Dictionary'!$C$5:$C$135,MATCH($L1815,'Category Dictionary'!$D$5:$D$135,0)),"")),OR('Assignment Builder'!$B$8="",$D1815='Assignment Builder'!$B$8),OR('Assignment Builder'!$B$9="",$F1815='Assignment Builder'!$B$9),OR('Assignment Builder'!$B$10="",$O1815='Assignment Builder'!$B$10),OR('Assignment Builder'!$B$11="",$H1815&gt;='Assignment Builder'!$B$11),OR('Assignment Builder'!$B$12="",N($Q1815)&lt;='Assignment Builder'!$B$12)))</f>
        <v/>
      </c>
      <c r="T1815" s="23" t="n"/>
    </row>
    <row r="1816">
      <c r="A1816" s="23" t="n"/>
      <c r="B1816" s="23" t="n"/>
      <c r="C1816" s="24" t="n"/>
      <c r="D1816" s="15" t="n"/>
      <c r="E1816" s="23" t="n"/>
      <c r="F1816" s="15" t="n"/>
      <c r="G1816" s="23" t="n"/>
      <c r="H1816" s="25" t="n"/>
      <c r="I1816" s="15" t="n"/>
      <c r="J1816" s="26">
        <f>IF($A1816="","",LEN($C1816)-LEN(SUBSTITUTE($C1816,",",""))+1)</f>
        <v/>
      </c>
      <c r="K1816" s="26">
        <f>IF($A1816="","",SUMPRODUCT(--ISNUMBER(SEARCH('Category Dictionary'!$D$5:$D$135&amp;"",$C1816)),--('Category Dictionary'!$D$5:$D$135&lt;&gt;"")))</f>
        <v/>
      </c>
      <c r="L1816" s="27">
        <f>IF($A1816="","",TRIM(IF(ISERROR(FIND(",",$C1816)),$C1816,LEFT($C1816,FIND(",",$C1816)-1))))</f>
        <v/>
      </c>
      <c r="M1816" s="28">
        <f>IF($H1816="","",DATE(YEAR($H1816),MONTH($H1816),1))</f>
        <v/>
      </c>
      <c r="N1816" s="26">
        <f>IF($H1816="","",TODAY()-$H1816)</f>
        <v/>
      </c>
      <c r="O1816" s="15" t="n"/>
      <c r="P1816" s="15" t="n"/>
      <c r="Q1816" s="15" t="n"/>
      <c r="R1816" s="25" t="n"/>
      <c r="S1816" s="26">
        <f>IF($A1816="","",AND(OR('Assignment Builder'!$B$5="",$B1816='Assignment Builder'!$B$5),OR('Assignment Builder'!$B$6="",ISNUMBER(SEARCH('Assignment Builder'!$B$6,$C1816))),OR('Assignment Builder'!$B$7="",'Assignment Builder'!$B$7=IFERROR(INDEX('Category Dictionary'!$C$5:$C$135,MATCH($L1816,'Category Dictionary'!$D$5:$D$135,0)),"")),OR('Assignment Builder'!$B$8="",$D1816='Assignment Builder'!$B$8),OR('Assignment Builder'!$B$9="",$F1816='Assignment Builder'!$B$9),OR('Assignment Builder'!$B$10="",$O1816='Assignment Builder'!$B$10),OR('Assignment Builder'!$B$11="",$H1816&gt;='Assignment Builder'!$B$11),OR('Assignment Builder'!$B$12="",N($Q1816)&lt;='Assignment Builder'!$B$12)))</f>
        <v/>
      </c>
      <c r="T1816" s="23" t="n"/>
    </row>
    <row r="1817">
      <c r="A1817" s="23" t="n"/>
      <c r="B1817" s="23" t="n"/>
      <c r="C1817" s="24" t="n"/>
      <c r="D1817" s="15" t="n"/>
      <c r="E1817" s="23" t="n"/>
      <c r="F1817" s="15" t="n"/>
      <c r="G1817" s="23" t="n"/>
      <c r="H1817" s="25" t="n"/>
      <c r="I1817" s="15" t="n"/>
      <c r="J1817" s="26">
        <f>IF($A1817="","",LEN($C1817)-LEN(SUBSTITUTE($C1817,",",""))+1)</f>
        <v/>
      </c>
      <c r="K1817" s="26">
        <f>IF($A1817="","",SUMPRODUCT(--ISNUMBER(SEARCH('Category Dictionary'!$D$5:$D$135&amp;"",$C1817)),--('Category Dictionary'!$D$5:$D$135&lt;&gt;"")))</f>
        <v/>
      </c>
      <c r="L1817" s="27">
        <f>IF($A1817="","",TRIM(IF(ISERROR(FIND(",",$C1817)),$C1817,LEFT($C1817,FIND(",",$C1817)-1))))</f>
        <v/>
      </c>
      <c r="M1817" s="28">
        <f>IF($H1817="","",DATE(YEAR($H1817),MONTH($H1817),1))</f>
        <v/>
      </c>
      <c r="N1817" s="26">
        <f>IF($H1817="","",TODAY()-$H1817)</f>
        <v/>
      </c>
      <c r="O1817" s="15" t="n"/>
      <c r="P1817" s="15" t="n"/>
      <c r="Q1817" s="15" t="n"/>
      <c r="R1817" s="25" t="n"/>
      <c r="S1817" s="26">
        <f>IF($A1817="","",AND(OR('Assignment Builder'!$B$5="",$B1817='Assignment Builder'!$B$5),OR('Assignment Builder'!$B$6="",ISNUMBER(SEARCH('Assignment Builder'!$B$6,$C1817))),OR('Assignment Builder'!$B$7="",'Assignment Builder'!$B$7=IFERROR(INDEX('Category Dictionary'!$C$5:$C$135,MATCH($L1817,'Category Dictionary'!$D$5:$D$135,0)),"")),OR('Assignment Builder'!$B$8="",$D1817='Assignment Builder'!$B$8),OR('Assignment Builder'!$B$9="",$F1817='Assignment Builder'!$B$9),OR('Assignment Builder'!$B$10="",$O1817='Assignment Builder'!$B$10),OR('Assignment Builder'!$B$11="",$H1817&gt;='Assignment Builder'!$B$11),OR('Assignment Builder'!$B$12="",N($Q1817)&lt;='Assignment Builder'!$B$12)))</f>
        <v/>
      </c>
      <c r="T1817" s="23" t="n"/>
    </row>
    <row r="1818">
      <c r="A1818" s="23" t="n"/>
      <c r="B1818" s="23" t="n"/>
      <c r="C1818" s="24" t="n"/>
      <c r="D1818" s="15" t="n"/>
      <c r="E1818" s="23" t="n"/>
      <c r="F1818" s="15" t="n"/>
      <c r="G1818" s="23" t="n"/>
      <c r="H1818" s="25" t="n"/>
      <c r="I1818" s="15" t="n"/>
      <c r="J1818" s="26">
        <f>IF($A1818="","",LEN($C1818)-LEN(SUBSTITUTE($C1818,",",""))+1)</f>
        <v/>
      </c>
      <c r="K1818" s="26">
        <f>IF($A1818="","",SUMPRODUCT(--ISNUMBER(SEARCH('Category Dictionary'!$D$5:$D$135&amp;"",$C1818)),--('Category Dictionary'!$D$5:$D$135&lt;&gt;"")))</f>
        <v/>
      </c>
      <c r="L1818" s="27">
        <f>IF($A1818="","",TRIM(IF(ISERROR(FIND(",",$C1818)),$C1818,LEFT($C1818,FIND(",",$C1818)-1))))</f>
        <v/>
      </c>
      <c r="M1818" s="28">
        <f>IF($H1818="","",DATE(YEAR($H1818),MONTH($H1818),1))</f>
        <v/>
      </c>
      <c r="N1818" s="26">
        <f>IF($H1818="","",TODAY()-$H1818)</f>
        <v/>
      </c>
      <c r="O1818" s="15" t="n"/>
      <c r="P1818" s="15" t="n"/>
      <c r="Q1818" s="15" t="n"/>
      <c r="R1818" s="25" t="n"/>
      <c r="S1818" s="26">
        <f>IF($A1818="","",AND(OR('Assignment Builder'!$B$5="",$B1818='Assignment Builder'!$B$5),OR('Assignment Builder'!$B$6="",ISNUMBER(SEARCH('Assignment Builder'!$B$6,$C1818))),OR('Assignment Builder'!$B$7="",'Assignment Builder'!$B$7=IFERROR(INDEX('Category Dictionary'!$C$5:$C$135,MATCH($L1818,'Category Dictionary'!$D$5:$D$135,0)),"")),OR('Assignment Builder'!$B$8="",$D1818='Assignment Builder'!$B$8),OR('Assignment Builder'!$B$9="",$F1818='Assignment Builder'!$B$9),OR('Assignment Builder'!$B$10="",$O1818='Assignment Builder'!$B$10),OR('Assignment Builder'!$B$11="",$H1818&gt;='Assignment Builder'!$B$11),OR('Assignment Builder'!$B$12="",N($Q1818)&lt;='Assignment Builder'!$B$12)))</f>
        <v/>
      </c>
      <c r="T1818" s="23" t="n"/>
    </row>
    <row r="1819">
      <c r="A1819" s="23" t="n"/>
      <c r="B1819" s="23" t="n"/>
      <c r="C1819" s="24" t="n"/>
      <c r="D1819" s="15" t="n"/>
      <c r="E1819" s="23" t="n"/>
      <c r="F1819" s="15" t="n"/>
      <c r="G1819" s="23" t="n"/>
      <c r="H1819" s="25" t="n"/>
      <c r="I1819" s="15" t="n"/>
      <c r="J1819" s="26">
        <f>IF($A1819="","",LEN($C1819)-LEN(SUBSTITUTE($C1819,",",""))+1)</f>
        <v/>
      </c>
      <c r="K1819" s="26">
        <f>IF($A1819="","",SUMPRODUCT(--ISNUMBER(SEARCH('Category Dictionary'!$D$5:$D$135&amp;"",$C1819)),--('Category Dictionary'!$D$5:$D$135&lt;&gt;"")))</f>
        <v/>
      </c>
      <c r="L1819" s="27">
        <f>IF($A1819="","",TRIM(IF(ISERROR(FIND(",",$C1819)),$C1819,LEFT($C1819,FIND(",",$C1819)-1))))</f>
        <v/>
      </c>
      <c r="M1819" s="28">
        <f>IF($H1819="","",DATE(YEAR($H1819),MONTH($H1819),1))</f>
        <v/>
      </c>
      <c r="N1819" s="26">
        <f>IF($H1819="","",TODAY()-$H1819)</f>
        <v/>
      </c>
      <c r="O1819" s="15" t="n"/>
      <c r="P1819" s="15" t="n"/>
      <c r="Q1819" s="15" t="n"/>
      <c r="R1819" s="25" t="n"/>
      <c r="S1819" s="26">
        <f>IF($A1819="","",AND(OR('Assignment Builder'!$B$5="",$B1819='Assignment Builder'!$B$5),OR('Assignment Builder'!$B$6="",ISNUMBER(SEARCH('Assignment Builder'!$B$6,$C1819))),OR('Assignment Builder'!$B$7="",'Assignment Builder'!$B$7=IFERROR(INDEX('Category Dictionary'!$C$5:$C$135,MATCH($L1819,'Category Dictionary'!$D$5:$D$135,0)),"")),OR('Assignment Builder'!$B$8="",$D1819='Assignment Builder'!$B$8),OR('Assignment Builder'!$B$9="",$F1819='Assignment Builder'!$B$9),OR('Assignment Builder'!$B$10="",$O1819='Assignment Builder'!$B$10),OR('Assignment Builder'!$B$11="",$H1819&gt;='Assignment Builder'!$B$11),OR('Assignment Builder'!$B$12="",N($Q1819)&lt;='Assignment Builder'!$B$12)))</f>
        <v/>
      </c>
      <c r="T1819" s="23" t="n"/>
    </row>
    <row r="1820">
      <c r="A1820" s="23" t="n"/>
      <c r="B1820" s="23" t="n"/>
      <c r="C1820" s="24" t="n"/>
      <c r="D1820" s="15" t="n"/>
      <c r="E1820" s="23" t="n"/>
      <c r="F1820" s="15" t="n"/>
      <c r="G1820" s="23" t="n"/>
      <c r="H1820" s="25" t="n"/>
      <c r="I1820" s="15" t="n"/>
      <c r="J1820" s="26">
        <f>IF($A1820="","",LEN($C1820)-LEN(SUBSTITUTE($C1820,",",""))+1)</f>
        <v/>
      </c>
      <c r="K1820" s="26">
        <f>IF($A1820="","",SUMPRODUCT(--ISNUMBER(SEARCH('Category Dictionary'!$D$5:$D$135&amp;"",$C1820)),--('Category Dictionary'!$D$5:$D$135&lt;&gt;"")))</f>
        <v/>
      </c>
      <c r="L1820" s="27">
        <f>IF($A1820="","",TRIM(IF(ISERROR(FIND(",",$C1820)),$C1820,LEFT($C1820,FIND(",",$C1820)-1))))</f>
        <v/>
      </c>
      <c r="M1820" s="28">
        <f>IF($H1820="","",DATE(YEAR($H1820),MONTH($H1820),1))</f>
        <v/>
      </c>
      <c r="N1820" s="26">
        <f>IF($H1820="","",TODAY()-$H1820)</f>
        <v/>
      </c>
      <c r="O1820" s="15" t="n"/>
      <c r="P1820" s="15" t="n"/>
      <c r="Q1820" s="15" t="n"/>
      <c r="R1820" s="25" t="n"/>
      <c r="S1820" s="26">
        <f>IF($A1820="","",AND(OR('Assignment Builder'!$B$5="",$B1820='Assignment Builder'!$B$5),OR('Assignment Builder'!$B$6="",ISNUMBER(SEARCH('Assignment Builder'!$B$6,$C1820))),OR('Assignment Builder'!$B$7="",'Assignment Builder'!$B$7=IFERROR(INDEX('Category Dictionary'!$C$5:$C$135,MATCH($L1820,'Category Dictionary'!$D$5:$D$135,0)),"")),OR('Assignment Builder'!$B$8="",$D1820='Assignment Builder'!$B$8),OR('Assignment Builder'!$B$9="",$F1820='Assignment Builder'!$B$9),OR('Assignment Builder'!$B$10="",$O1820='Assignment Builder'!$B$10),OR('Assignment Builder'!$B$11="",$H1820&gt;='Assignment Builder'!$B$11),OR('Assignment Builder'!$B$12="",N($Q1820)&lt;='Assignment Builder'!$B$12)))</f>
        <v/>
      </c>
      <c r="T1820" s="23" t="n"/>
    </row>
    <row r="1821">
      <c r="A1821" s="23" t="n"/>
      <c r="B1821" s="23" t="n"/>
      <c r="C1821" s="24" t="n"/>
      <c r="D1821" s="15" t="n"/>
      <c r="E1821" s="23" t="n"/>
      <c r="F1821" s="15" t="n"/>
      <c r="G1821" s="23" t="n"/>
      <c r="H1821" s="25" t="n"/>
      <c r="I1821" s="15" t="n"/>
      <c r="J1821" s="26">
        <f>IF($A1821="","",LEN($C1821)-LEN(SUBSTITUTE($C1821,",",""))+1)</f>
        <v/>
      </c>
      <c r="K1821" s="26">
        <f>IF($A1821="","",SUMPRODUCT(--ISNUMBER(SEARCH('Category Dictionary'!$D$5:$D$135&amp;"",$C1821)),--('Category Dictionary'!$D$5:$D$135&lt;&gt;"")))</f>
        <v/>
      </c>
      <c r="L1821" s="27">
        <f>IF($A1821="","",TRIM(IF(ISERROR(FIND(",",$C1821)),$C1821,LEFT($C1821,FIND(",",$C1821)-1))))</f>
        <v/>
      </c>
      <c r="M1821" s="28">
        <f>IF($H1821="","",DATE(YEAR($H1821),MONTH($H1821),1))</f>
        <v/>
      </c>
      <c r="N1821" s="26">
        <f>IF($H1821="","",TODAY()-$H1821)</f>
        <v/>
      </c>
      <c r="O1821" s="15" t="n"/>
      <c r="P1821" s="15" t="n"/>
      <c r="Q1821" s="15" t="n"/>
      <c r="R1821" s="25" t="n"/>
      <c r="S1821" s="26">
        <f>IF($A1821="","",AND(OR('Assignment Builder'!$B$5="",$B1821='Assignment Builder'!$B$5),OR('Assignment Builder'!$B$6="",ISNUMBER(SEARCH('Assignment Builder'!$B$6,$C1821))),OR('Assignment Builder'!$B$7="",'Assignment Builder'!$B$7=IFERROR(INDEX('Category Dictionary'!$C$5:$C$135,MATCH($L1821,'Category Dictionary'!$D$5:$D$135,0)),"")),OR('Assignment Builder'!$B$8="",$D1821='Assignment Builder'!$B$8),OR('Assignment Builder'!$B$9="",$F1821='Assignment Builder'!$B$9),OR('Assignment Builder'!$B$10="",$O1821='Assignment Builder'!$B$10),OR('Assignment Builder'!$B$11="",$H1821&gt;='Assignment Builder'!$B$11),OR('Assignment Builder'!$B$12="",N($Q1821)&lt;='Assignment Builder'!$B$12)))</f>
        <v/>
      </c>
      <c r="T1821" s="23" t="n"/>
    </row>
    <row r="1822">
      <c r="A1822" s="23" t="n"/>
      <c r="B1822" s="23" t="n"/>
      <c r="C1822" s="24" t="n"/>
      <c r="D1822" s="15" t="n"/>
      <c r="E1822" s="23" t="n"/>
      <c r="F1822" s="15" t="n"/>
      <c r="G1822" s="23" t="n"/>
      <c r="H1822" s="25" t="n"/>
      <c r="I1822" s="15" t="n"/>
      <c r="J1822" s="26">
        <f>IF($A1822="","",LEN($C1822)-LEN(SUBSTITUTE($C1822,",",""))+1)</f>
        <v/>
      </c>
      <c r="K1822" s="26">
        <f>IF($A1822="","",SUMPRODUCT(--ISNUMBER(SEARCH('Category Dictionary'!$D$5:$D$135&amp;"",$C1822)),--('Category Dictionary'!$D$5:$D$135&lt;&gt;"")))</f>
        <v/>
      </c>
      <c r="L1822" s="27">
        <f>IF($A1822="","",TRIM(IF(ISERROR(FIND(",",$C1822)),$C1822,LEFT($C1822,FIND(",",$C1822)-1))))</f>
        <v/>
      </c>
      <c r="M1822" s="28">
        <f>IF($H1822="","",DATE(YEAR($H1822),MONTH($H1822),1))</f>
        <v/>
      </c>
      <c r="N1822" s="26">
        <f>IF($H1822="","",TODAY()-$H1822)</f>
        <v/>
      </c>
      <c r="O1822" s="15" t="n"/>
      <c r="P1822" s="15" t="n"/>
      <c r="Q1822" s="15" t="n"/>
      <c r="R1822" s="25" t="n"/>
      <c r="S1822" s="26">
        <f>IF($A1822="","",AND(OR('Assignment Builder'!$B$5="",$B1822='Assignment Builder'!$B$5),OR('Assignment Builder'!$B$6="",ISNUMBER(SEARCH('Assignment Builder'!$B$6,$C1822))),OR('Assignment Builder'!$B$7="",'Assignment Builder'!$B$7=IFERROR(INDEX('Category Dictionary'!$C$5:$C$135,MATCH($L1822,'Category Dictionary'!$D$5:$D$135,0)),"")),OR('Assignment Builder'!$B$8="",$D1822='Assignment Builder'!$B$8),OR('Assignment Builder'!$B$9="",$F1822='Assignment Builder'!$B$9),OR('Assignment Builder'!$B$10="",$O1822='Assignment Builder'!$B$10),OR('Assignment Builder'!$B$11="",$H1822&gt;='Assignment Builder'!$B$11),OR('Assignment Builder'!$B$12="",N($Q1822)&lt;='Assignment Builder'!$B$12)))</f>
        <v/>
      </c>
      <c r="T1822" s="23" t="n"/>
    </row>
    <row r="1823">
      <c r="A1823" s="23" t="n"/>
      <c r="B1823" s="23" t="n"/>
      <c r="C1823" s="24" t="n"/>
      <c r="D1823" s="15" t="n"/>
      <c r="E1823" s="23" t="n"/>
      <c r="F1823" s="15" t="n"/>
      <c r="G1823" s="23" t="n"/>
      <c r="H1823" s="25" t="n"/>
      <c r="I1823" s="15" t="n"/>
      <c r="J1823" s="26">
        <f>IF($A1823="","",LEN($C1823)-LEN(SUBSTITUTE($C1823,",",""))+1)</f>
        <v/>
      </c>
      <c r="K1823" s="26">
        <f>IF($A1823="","",SUMPRODUCT(--ISNUMBER(SEARCH('Category Dictionary'!$D$5:$D$135&amp;"",$C1823)),--('Category Dictionary'!$D$5:$D$135&lt;&gt;"")))</f>
        <v/>
      </c>
      <c r="L1823" s="27">
        <f>IF($A1823="","",TRIM(IF(ISERROR(FIND(",",$C1823)),$C1823,LEFT($C1823,FIND(",",$C1823)-1))))</f>
        <v/>
      </c>
      <c r="M1823" s="28">
        <f>IF($H1823="","",DATE(YEAR($H1823),MONTH($H1823),1))</f>
        <v/>
      </c>
      <c r="N1823" s="26">
        <f>IF($H1823="","",TODAY()-$H1823)</f>
        <v/>
      </c>
      <c r="O1823" s="15" t="n"/>
      <c r="P1823" s="15" t="n"/>
      <c r="Q1823" s="15" t="n"/>
      <c r="R1823" s="25" t="n"/>
      <c r="S1823" s="26">
        <f>IF($A1823="","",AND(OR('Assignment Builder'!$B$5="",$B1823='Assignment Builder'!$B$5),OR('Assignment Builder'!$B$6="",ISNUMBER(SEARCH('Assignment Builder'!$B$6,$C1823))),OR('Assignment Builder'!$B$7="",'Assignment Builder'!$B$7=IFERROR(INDEX('Category Dictionary'!$C$5:$C$135,MATCH($L1823,'Category Dictionary'!$D$5:$D$135,0)),"")),OR('Assignment Builder'!$B$8="",$D1823='Assignment Builder'!$B$8),OR('Assignment Builder'!$B$9="",$F1823='Assignment Builder'!$B$9),OR('Assignment Builder'!$B$10="",$O1823='Assignment Builder'!$B$10),OR('Assignment Builder'!$B$11="",$H1823&gt;='Assignment Builder'!$B$11),OR('Assignment Builder'!$B$12="",N($Q1823)&lt;='Assignment Builder'!$B$12)))</f>
        <v/>
      </c>
      <c r="T1823" s="23" t="n"/>
    </row>
    <row r="1824">
      <c r="A1824" s="23" t="n"/>
      <c r="B1824" s="23" t="n"/>
      <c r="C1824" s="24" t="n"/>
      <c r="D1824" s="15" t="n"/>
      <c r="E1824" s="23" t="n"/>
      <c r="F1824" s="15" t="n"/>
      <c r="G1824" s="23" t="n"/>
      <c r="H1824" s="25" t="n"/>
      <c r="I1824" s="15" t="n"/>
      <c r="J1824" s="26">
        <f>IF($A1824="","",LEN($C1824)-LEN(SUBSTITUTE($C1824,",",""))+1)</f>
        <v/>
      </c>
      <c r="K1824" s="26">
        <f>IF($A1824="","",SUMPRODUCT(--ISNUMBER(SEARCH('Category Dictionary'!$D$5:$D$135&amp;"",$C1824)),--('Category Dictionary'!$D$5:$D$135&lt;&gt;"")))</f>
        <v/>
      </c>
      <c r="L1824" s="27">
        <f>IF($A1824="","",TRIM(IF(ISERROR(FIND(",",$C1824)),$C1824,LEFT($C1824,FIND(",",$C1824)-1))))</f>
        <v/>
      </c>
      <c r="M1824" s="28">
        <f>IF($H1824="","",DATE(YEAR($H1824),MONTH($H1824),1))</f>
        <v/>
      </c>
      <c r="N1824" s="26">
        <f>IF($H1824="","",TODAY()-$H1824)</f>
        <v/>
      </c>
      <c r="O1824" s="15" t="n"/>
      <c r="P1824" s="15" t="n"/>
      <c r="Q1824" s="15" t="n"/>
      <c r="R1824" s="25" t="n"/>
      <c r="S1824" s="26">
        <f>IF($A1824="","",AND(OR('Assignment Builder'!$B$5="",$B1824='Assignment Builder'!$B$5),OR('Assignment Builder'!$B$6="",ISNUMBER(SEARCH('Assignment Builder'!$B$6,$C1824))),OR('Assignment Builder'!$B$7="",'Assignment Builder'!$B$7=IFERROR(INDEX('Category Dictionary'!$C$5:$C$135,MATCH($L1824,'Category Dictionary'!$D$5:$D$135,0)),"")),OR('Assignment Builder'!$B$8="",$D1824='Assignment Builder'!$B$8),OR('Assignment Builder'!$B$9="",$F1824='Assignment Builder'!$B$9),OR('Assignment Builder'!$B$10="",$O1824='Assignment Builder'!$B$10),OR('Assignment Builder'!$B$11="",$H1824&gt;='Assignment Builder'!$B$11),OR('Assignment Builder'!$B$12="",N($Q1824)&lt;='Assignment Builder'!$B$12)))</f>
        <v/>
      </c>
      <c r="T1824" s="23" t="n"/>
    </row>
    <row r="1825">
      <c r="A1825" s="23" t="n"/>
      <c r="B1825" s="23" t="n"/>
      <c r="C1825" s="24" t="n"/>
      <c r="D1825" s="15" t="n"/>
      <c r="E1825" s="23" t="n"/>
      <c r="F1825" s="15" t="n"/>
      <c r="G1825" s="23" t="n"/>
      <c r="H1825" s="25" t="n"/>
      <c r="I1825" s="15" t="n"/>
      <c r="J1825" s="26">
        <f>IF($A1825="","",LEN($C1825)-LEN(SUBSTITUTE($C1825,",",""))+1)</f>
        <v/>
      </c>
      <c r="K1825" s="26">
        <f>IF($A1825="","",SUMPRODUCT(--ISNUMBER(SEARCH('Category Dictionary'!$D$5:$D$135&amp;"",$C1825)),--('Category Dictionary'!$D$5:$D$135&lt;&gt;"")))</f>
        <v/>
      </c>
      <c r="L1825" s="27">
        <f>IF($A1825="","",TRIM(IF(ISERROR(FIND(",",$C1825)),$C1825,LEFT($C1825,FIND(",",$C1825)-1))))</f>
        <v/>
      </c>
      <c r="M1825" s="28">
        <f>IF($H1825="","",DATE(YEAR($H1825),MONTH($H1825),1))</f>
        <v/>
      </c>
      <c r="N1825" s="26">
        <f>IF($H1825="","",TODAY()-$H1825)</f>
        <v/>
      </c>
      <c r="O1825" s="15" t="n"/>
      <c r="P1825" s="15" t="n"/>
      <c r="Q1825" s="15" t="n"/>
      <c r="R1825" s="25" t="n"/>
      <c r="S1825" s="26">
        <f>IF($A1825="","",AND(OR('Assignment Builder'!$B$5="",$B1825='Assignment Builder'!$B$5),OR('Assignment Builder'!$B$6="",ISNUMBER(SEARCH('Assignment Builder'!$B$6,$C1825))),OR('Assignment Builder'!$B$7="",'Assignment Builder'!$B$7=IFERROR(INDEX('Category Dictionary'!$C$5:$C$135,MATCH($L1825,'Category Dictionary'!$D$5:$D$135,0)),"")),OR('Assignment Builder'!$B$8="",$D1825='Assignment Builder'!$B$8),OR('Assignment Builder'!$B$9="",$F1825='Assignment Builder'!$B$9),OR('Assignment Builder'!$B$10="",$O1825='Assignment Builder'!$B$10),OR('Assignment Builder'!$B$11="",$H1825&gt;='Assignment Builder'!$B$11),OR('Assignment Builder'!$B$12="",N($Q1825)&lt;='Assignment Builder'!$B$12)))</f>
        <v/>
      </c>
      <c r="T1825" s="23" t="n"/>
    </row>
    <row r="1826">
      <c r="A1826" s="23" t="n"/>
      <c r="B1826" s="23" t="n"/>
      <c r="C1826" s="24" t="n"/>
      <c r="D1826" s="15" t="n"/>
      <c r="E1826" s="23" t="n"/>
      <c r="F1826" s="15" t="n"/>
      <c r="G1826" s="23" t="n"/>
      <c r="H1826" s="25" t="n"/>
      <c r="I1826" s="15" t="n"/>
      <c r="J1826" s="26">
        <f>IF($A1826="","",LEN($C1826)-LEN(SUBSTITUTE($C1826,",",""))+1)</f>
        <v/>
      </c>
      <c r="K1826" s="26">
        <f>IF($A1826="","",SUMPRODUCT(--ISNUMBER(SEARCH('Category Dictionary'!$D$5:$D$135&amp;"",$C1826)),--('Category Dictionary'!$D$5:$D$135&lt;&gt;"")))</f>
        <v/>
      </c>
      <c r="L1826" s="27">
        <f>IF($A1826="","",TRIM(IF(ISERROR(FIND(",",$C1826)),$C1826,LEFT($C1826,FIND(",",$C1826)-1))))</f>
        <v/>
      </c>
      <c r="M1826" s="28">
        <f>IF($H1826="","",DATE(YEAR($H1826),MONTH($H1826),1))</f>
        <v/>
      </c>
      <c r="N1826" s="26">
        <f>IF($H1826="","",TODAY()-$H1826)</f>
        <v/>
      </c>
      <c r="O1826" s="15" t="n"/>
      <c r="P1826" s="15" t="n"/>
      <c r="Q1826" s="15" t="n"/>
      <c r="R1826" s="25" t="n"/>
      <c r="S1826" s="26">
        <f>IF($A1826="","",AND(OR('Assignment Builder'!$B$5="",$B1826='Assignment Builder'!$B$5),OR('Assignment Builder'!$B$6="",ISNUMBER(SEARCH('Assignment Builder'!$B$6,$C1826))),OR('Assignment Builder'!$B$7="",'Assignment Builder'!$B$7=IFERROR(INDEX('Category Dictionary'!$C$5:$C$135,MATCH($L1826,'Category Dictionary'!$D$5:$D$135,0)),"")),OR('Assignment Builder'!$B$8="",$D1826='Assignment Builder'!$B$8),OR('Assignment Builder'!$B$9="",$F1826='Assignment Builder'!$B$9),OR('Assignment Builder'!$B$10="",$O1826='Assignment Builder'!$B$10),OR('Assignment Builder'!$B$11="",$H1826&gt;='Assignment Builder'!$B$11),OR('Assignment Builder'!$B$12="",N($Q1826)&lt;='Assignment Builder'!$B$12)))</f>
        <v/>
      </c>
      <c r="T1826" s="23" t="n"/>
    </row>
    <row r="1827">
      <c r="A1827" s="23" t="n"/>
      <c r="B1827" s="23" t="n"/>
      <c r="C1827" s="24" t="n"/>
      <c r="D1827" s="15" t="n"/>
      <c r="E1827" s="23" t="n"/>
      <c r="F1827" s="15" t="n"/>
      <c r="G1827" s="23" t="n"/>
      <c r="H1827" s="25" t="n"/>
      <c r="I1827" s="15" t="n"/>
      <c r="J1827" s="26">
        <f>IF($A1827="","",LEN($C1827)-LEN(SUBSTITUTE($C1827,",",""))+1)</f>
        <v/>
      </c>
      <c r="K1827" s="26">
        <f>IF($A1827="","",SUMPRODUCT(--ISNUMBER(SEARCH('Category Dictionary'!$D$5:$D$135&amp;"",$C1827)),--('Category Dictionary'!$D$5:$D$135&lt;&gt;"")))</f>
        <v/>
      </c>
      <c r="L1827" s="27">
        <f>IF($A1827="","",TRIM(IF(ISERROR(FIND(",",$C1827)),$C1827,LEFT($C1827,FIND(",",$C1827)-1))))</f>
        <v/>
      </c>
      <c r="M1827" s="28">
        <f>IF($H1827="","",DATE(YEAR($H1827),MONTH($H1827),1))</f>
        <v/>
      </c>
      <c r="N1827" s="26">
        <f>IF($H1827="","",TODAY()-$H1827)</f>
        <v/>
      </c>
      <c r="O1827" s="15" t="n"/>
      <c r="P1827" s="15" t="n"/>
      <c r="Q1827" s="15" t="n"/>
      <c r="R1827" s="25" t="n"/>
      <c r="S1827" s="26">
        <f>IF($A1827="","",AND(OR('Assignment Builder'!$B$5="",$B1827='Assignment Builder'!$B$5),OR('Assignment Builder'!$B$6="",ISNUMBER(SEARCH('Assignment Builder'!$B$6,$C1827))),OR('Assignment Builder'!$B$7="",'Assignment Builder'!$B$7=IFERROR(INDEX('Category Dictionary'!$C$5:$C$135,MATCH($L1827,'Category Dictionary'!$D$5:$D$135,0)),"")),OR('Assignment Builder'!$B$8="",$D1827='Assignment Builder'!$B$8),OR('Assignment Builder'!$B$9="",$F1827='Assignment Builder'!$B$9),OR('Assignment Builder'!$B$10="",$O1827='Assignment Builder'!$B$10),OR('Assignment Builder'!$B$11="",$H1827&gt;='Assignment Builder'!$B$11),OR('Assignment Builder'!$B$12="",N($Q1827)&lt;='Assignment Builder'!$B$12)))</f>
        <v/>
      </c>
      <c r="T1827" s="23" t="n"/>
    </row>
    <row r="1828">
      <c r="A1828" s="23" t="n"/>
      <c r="B1828" s="23" t="n"/>
      <c r="C1828" s="24" t="n"/>
      <c r="D1828" s="15" t="n"/>
      <c r="E1828" s="23" t="n"/>
      <c r="F1828" s="15" t="n"/>
      <c r="G1828" s="23" t="n"/>
      <c r="H1828" s="25" t="n"/>
      <c r="I1828" s="15" t="n"/>
      <c r="J1828" s="26">
        <f>IF($A1828="","",LEN($C1828)-LEN(SUBSTITUTE($C1828,",",""))+1)</f>
        <v/>
      </c>
      <c r="K1828" s="26">
        <f>IF($A1828="","",SUMPRODUCT(--ISNUMBER(SEARCH('Category Dictionary'!$D$5:$D$135&amp;"",$C1828)),--('Category Dictionary'!$D$5:$D$135&lt;&gt;"")))</f>
        <v/>
      </c>
      <c r="L1828" s="27">
        <f>IF($A1828="","",TRIM(IF(ISERROR(FIND(",",$C1828)),$C1828,LEFT($C1828,FIND(",",$C1828)-1))))</f>
        <v/>
      </c>
      <c r="M1828" s="28">
        <f>IF($H1828="","",DATE(YEAR($H1828),MONTH($H1828),1))</f>
        <v/>
      </c>
      <c r="N1828" s="26">
        <f>IF($H1828="","",TODAY()-$H1828)</f>
        <v/>
      </c>
      <c r="O1828" s="15" t="n"/>
      <c r="P1828" s="15" t="n"/>
      <c r="Q1828" s="15" t="n"/>
      <c r="R1828" s="25" t="n"/>
      <c r="S1828" s="26">
        <f>IF($A1828="","",AND(OR('Assignment Builder'!$B$5="",$B1828='Assignment Builder'!$B$5),OR('Assignment Builder'!$B$6="",ISNUMBER(SEARCH('Assignment Builder'!$B$6,$C1828))),OR('Assignment Builder'!$B$7="",'Assignment Builder'!$B$7=IFERROR(INDEX('Category Dictionary'!$C$5:$C$135,MATCH($L1828,'Category Dictionary'!$D$5:$D$135,0)),"")),OR('Assignment Builder'!$B$8="",$D1828='Assignment Builder'!$B$8),OR('Assignment Builder'!$B$9="",$F1828='Assignment Builder'!$B$9),OR('Assignment Builder'!$B$10="",$O1828='Assignment Builder'!$B$10),OR('Assignment Builder'!$B$11="",$H1828&gt;='Assignment Builder'!$B$11),OR('Assignment Builder'!$B$12="",N($Q1828)&lt;='Assignment Builder'!$B$12)))</f>
        <v/>
      </c>
      <c r="T1828" s="23" t="n"/>
    </row>
    <row r="1829">
      <c r="A1829" s="23" t="n"/>
      <c r="B1829" s="23" t="n"/>
      <c r="C1829" s="24" t="n"/>
      <c r="D1829" s="15" t="n"/>
      <c r="E1829" s="23" t="n"/>
      <c r="F1829" s="15" t="n"/>
      <c r="G1829" s="23" t="n"/>
      <c r="H1829" s="25" t="n"/>
      <c r="I1829" s="15" t="n"/>
      <c r="J1829" s="26">
        <f>IF($A1829="","",LEN($C1829)-LEN(SUBSTITUTE($C1829,",",""))+1)</f>
        <v/>
      </c>
      <c r="K1829" s="26">
        <f>IF($A1829="","",SUMPRODUCT(--ISNUMBER(SEARCH('Category Dictionary'!$D$5:$D$135&amp;"",$C1829)),--('Category Dictionary'!$D$5:$D$135&lt;&gt;"")))</f>
        <v/>
      </c>
      <c r="L1829" s="27">
        <f>IF($A1829="","",TRIM(IF(ISERROR(FIND(",",$C1829)),$C1829,LEFT($C1829,FIND(",",$C1829)-1))))</f>
        <v/>
      </c>
      <c r="M1829" s="28">
        <f>IF($H1829="","",DATE(YEAR($H1829),MONTH($H1829),1))</f>
        <v/>
      </c>
      <c r="N1829" s="26">
        <f>IF($H1829="","",TODAY()-$H1829)</f>
        <v/>
      </c>
      <c r="O1829" s="15" t="n"/>
      <c r="P1829" s="15" t="n"/>
      <c r="Q1829" s="15" t="n"/>
      <c r="R1829" s="25" t="n"/>
      <c r="S1829" s="26">
        <f>IF($A1829="","",AND(OR('Assignment Builder'!$B$5="",$B1829='Assignment Builder'!$B$5),OR('Assignment Builder'!$B$6="",ISNUMBER(SEARCH('Assignment Builder'!$B$6,$C1829))),OR('Assignment Builder'!$B$7="",'Assignment Builder'!$B$7=IFERROR(INDEX('Category Dictionary'!$C$5:$C$135,MATCH($L1829,'Category Dictionary'!$D$5:$D$135,0)),"")),OR('Assignment Builder'!$B$8="",$D1829='Assignment Builder'!$B$8),OR('Assignment Builder'!$B$9="",$F1829='Assignment Builder'!$B$9),OR('Assignment Builder'!$B$10="",$O1829='Assignment Builder'!$B$10),OR('Assignment Builder'!$B$11="",$H1829&gt;='Assignment Builder'!$B$11),OR('Assignment Builder'!$B$12="",N($Q1829)&lt;='Assignment Builder'!$B$12)))</f>
        <v/>
      </c>
      <c r="T1829" s="23" t="n"/>
    </row>
    <row r="1830">
      <c r="A1830" s="23" t="n"/>
      <c r="B1830" s="23" t="n"/>
      <c r="C1830" s="24" t="n"/>
      <c r="D1830" s="15" t="n"/>
      <c r="E1830" s="23" t="n"/>
      <c r="F1830" s="15" t="n"/>
      <c r="G1830" s="23" t="n"/>
      <c r="H1830" s="25" t="n"/>
      <c r="I1830" s="15" t="n"/>
      <c r="J1830" s="26">
        <f>IF($A1830="","",LEN($C1830)-LEN(SUBSTITUTE($C1830,",",""))+1)</f>
        <v/>
      </c>
      <c r="K1830" s="26">
        <f>IF($A1830="","",SUMPRODUCT(--ISNUMBER(SEARCH('Category Dictionary'!$D$5:$D$135&amp;"",$C1830)),--('Category Dictionary'!$D$5:$D$135&lt;&gt;"")))</f>
        <v/>
      </c>
      <c r="L1830" s="27">
        <f>IF($A1830="","",TRIM(IF(ISERROR(FIND(",",$C1830)),$C1830,LEFT($C1830,FIND(",",$C1830)-1))))</f>
        <v/>
      </c>
      <c r="M1830" s="28">
        <f>IF($H1830="","",DATE(YEAR($H1830),MONTH($H1830),1))</f>
        <v/>
      </c>
      <c r="N1830" s="26">
        <f>IF($H1830="","",TODAY()-$H1830)</f>
        <v/>
      </c>
      <c r="O1830" s="15" t="n"/>
      <c r="P1830" s="15" t="n"/>
      <c r="Q1830" s="15" t="n"/>
      <c r="R1830" s="25" t="n"/>
      <c r="S1830" s="26">
        <f>IF($A1830="","",AND(OR('Assignment Builder'!$B$5="",$B1830='Assignment Builder'!$B$5),OR('Assignment Builder'!$B$6="",ISNUMBER(SEARCH('Assignment Builder'!$B$6,$C1830))),OR('Assignment Builder'!$B$7="",'Assignment Builder'!$B$7=IFERROR(INDEX('Category Dictionary'!$C$5:$C$135,MATCH($L1830,'Category Dictionary'!$D$5:$D$135,0)),"")),OR('Assignment Builder'!$B$8="",$D1830='Assignment Builder'!$B$8),OR('Assignment Builder'!$B$9="",$F1830='Assignment Builder'!$B$9),OR('Assignment Builder'!$B$10="",$O1830='Assignment Builder'!$B$10),OR('Assignment Builder'!$B$11="",$H1830&gt;='Assignment Builder'!$B$11),OR('Assignment Builder'!$B$12="",N($Q1830)&lt;='Assignment Builder'!$B$12)))</f>
        <v/>
      </c>
      <c r="T1830" s="23" t="n"/>
    </row>
    <row r="1831">
      <c r="A1831" s="23" t="n"/>
      <c r="B1831" s="23" t="n"/>
      <c r="C1831" s="24" t="n"/>
      <c r="D1831" s="15" t="n"/>
      <c r="E1831" s="23" t="n"/>
      <c r="F1831" s="15" t="n"/>
      <c r="G1831" s="23" t="n"/>
      <c r="H1831" s="25" t="n"/>
      <c r="I1831" s="15" t="n"/>
      <c r="J1831" s="26">
        <f>IF($A1831="","",LEN($C1831)-LEN(SUBSTITUTE($C1831,",",""))+1)</f>
        <v/>
      </c>
      <c r="K1831" s="26">
        <f>IF($A1831="","",SUMPRODUCT(--ISNUMBER(SEARCH('Category Dictionary'!$D$5:$D$135&amp;"",$C1831)),--('Category Dictionary'!$D$5:$D$135&lt;&gt;"")))</f>
        <v/>
      </c>
      <c r="L1831" s="27">
        <f>IF($A1831="","",TRIM(IF(ISERROR(FIND(",",$C1831)),$C1831,LEFT($C1831,FIND(",",$C1831)-1))))</f>
        <v/>
      </c>
      <c r="M1831" s="28">
        <f>IF($H1831="","",DATE(YEAR($H1831),MONTH($H1831),1))</f>
        <v/>
      </c>
      <c r="N1831" s="26">
        <f>IF($H1831="","",TODAY()-$H1831)</f>
        <v/>
      </c>
      <c r="O1831" s="15" t="n"/>
      <c r="P1831" s="15" t="n"/>
      <c r="Q1831" s="15" t="n"/>
      <c r="R1831" s="25" t="n"/>
      <c r="S1831" s="26">
        <f>IF($A1831="","",AND(OR('Assignment Builder'!$B$5="",$B1831='Assignment Builder'!$B$5),OR('Assignment Builder'!$B$6="",ISNUMBER(SEARCH('Assignment Builder'!$B$6,$C1831))),OR('Assignment Builder'!$B$7="",'Assignment Builder'!$B$7=IFERROR(INDEX('Category Dictionary'!$C$5:$C$135,MATCH($L1831,'Category Dictionary'!$D$5:$D$135,0)),"")),OR('Assignment Builder'!$B$8="",$D1831='Assignment Builder'!$B$8),OR('Assignment Builder'!$B$9="",$F1831='Assignment Builder'!$B$9),OR('Assignment Builder'!$B$10="",$O1831='Assignment Builder'!$B$10),OR('Assignment Builder'!$B$11="",$H1831&gt;='Assignment Builder'!$B$11),OR('Assignment Builder'!$B$12="",N($Q1831)&lt;='Assignment Builder'!$B$12)))</f>
        <v/>
      </c>
      <c r="T1831" s="23" t="n"/>
    </row>
    <row r="1832">
      <c r="A1832" s="23" t="n"/>
      <c r="B1832" s="23" t="n"/>
      <c r="C1832" s="24" t="n"/>
      <c r="D1832" s="15" t="n"/>
      <c r="E1832" s="23" t="n"/>
      <c r="F1832" s="15" t="n"/>
      <c r="G1832" s="23" t="n"/>
      <c r="H1832" s="25" t="n"/>
      <c r="I1832" s="15" t="n"/>
      <c r="J1832" s="26">
        <f>IF($A1832="","",LEN($C1832)-LEN(SUBSTITUTE($C1832,",",""))+1)</f>
        <v/>
      </c>
      <c r="K1832" s="26">
        <f>IF($A1832="","",SUMPRODUCT(--ISNUMBER(SEARCH('Category Dictionary'!$D$5:$D$135&amp;"",$C1832)),--('Category Dictionary'!$D$5:$D$135&lt;&gt;"")))</f>
        <v/>
      </c>
      <c r="L1832" s="27">
        <f>IF($A1832="","",TRIM(IF(ISERROR(FIND(",",$C1832)),$C1832,LEFT($C1832,FIND(",",$C1832)-1))))</f>
        <v/>
      </c>
      <c r="M1832" s="28">
        <f>IF($H1832="","",DATE(YEAR($H1832),MONTH($H1832),1))</f>
        <v/>
      </c>
      <c r="N1832" s="26">
        <f>IF($H1832="","",TODAY()-$H1832)</f>
        <v/>
      </c>
      <c r="O1832" s="15" t="n"/>
      <c r="P1832" s="15" t="n"/>
      <c r="Q1832" s="15" t="n"/>
      <c r="R1832" s="25" t="n"/>
      <c r="S1832" s="26">
        <f>IF($A1832="","",AND(OR('Assignment Builder'!$B$5="",$B1832='Assignment Builder'!$B$5),OR('Assignment Builder'!$B$6="",ISNUMBER(SEARCH('Assignment Builder'!$B$6,$C1832))),OR('Assignment Builder'!$B$7="",'Assignment Builder'!$B$7=IFERROR(INDEX('Category Dictionary'!$C$5:$C$135,MATCH($L1832,'Category Dictionary'!$D$5:$D$135,0)),"")),OR('Assignment Builder'!$B$8="",$D1832='Assignment Builder'!$B$8),OR('Assignment Builder'!$B$9="",$F1832='Assignment Builder'!$B$9),OR('Assignment Builder'!$B$10="",$O1832='Assignment Builder'!$B$10),OR('Assignment Builder'!$B$11="",$H1832&gt;='Assignment Builder'!$B$11),OR('Assignment Builder'!$B$12="",N($Q1832)&lt;='Assignment Builder'!$B$12)))</f>
        <v/>
      </c>
      <c r="T1832" s="23" t="n"/>
    </row>
    <row r="1833">
      <c r="A1833" s="23" t="n"/>
      <c r="B1833" s="23" t="n"/>
      <c r="C1833" s="24" t="n"/>
      <c r="D1833" s="15" t="n"/>
      <c r="E1833" s="23" t="n"/>
      <c r="F1833" s="15" t="n"/>
      <c r="G1833" s="23" t="n"/>
      <c r="H1833" s="25" t="n"/>
      <c r="I1833" s="15" t="n"/>
      <c r="J1833" s="26">
        <f>IF($A1833="","",LEN($C1833)-LEN(SUBSTITUTE($C1833,",",""))+1)</f>
        <v/>
      </c>
      <c r="K1833" s="26">
        <f>IF($A1833="","",SUMPRODUCT(--ISNUMBER(SEARCH('Category Dictionary'!$D$5:$D$135&amp;"",$C1833)),--('Category Dictionary'!$D$5:$D$135&lt;&gt;"")))</f>
        <v/>
      </c>
      <c r="L1833" s="27">
        <f>IF($A1833="","",TRIM(IF(ISERROR(FIND(",",$C1833)),$C1833,LEFT($C1833,FIND(",",$C1833)-1))))</f>
        <v/>
      </c>
      <c r="M1833" s="28">
        <f>IF($H1833="","",DATE(YEAR($H1833),MONTH($H1833),1))</f>
        <v/>
      </c>
      <c r="N1833" s="26">
        <f>IF($H1833="","",TODAY()-$H1833)</f>
        <v/>
      </c>
      <c r="O1833" s="15" t="n"/>
      <c r="P1833" s="15" t="n"/>
      <c r="Q1833" s="15" t="n"/>
      <c r="R1833" s="25" t="n"/>
      <c r="S1833" s="26">
        <f>IF($A1833="","",AND(OR('Assignment Builder'!$B$5="",$B1833='Assignment Builder'!$B$5),OR('Assignment Builder'!$B$6="",ISNUMBER(SEARCH('Assignment Builder'!$B$6,$C1833))),OR('Assignment Builder'!$B$7="",'Assignment Builder'!$B$7=IFERROR(INDEX('Category Dictionary'!$C$5:$C$135,MATCH($L1833,'Category Dictionary'!$D$5:$D$135,0)),"")),OR('Assignment Builder'!$B$8="",$D1833='Assignment Builder'!$B$8),OR('Assignment Builder'!$B$9="",$F1833='Assignment Builder'!$B$9),OR('Assignment Builder'!$B$10="",$O1833='Assignment Builder'!$B$10),OR('Assignment Builder'!$B$11="",$H1833&gt;='Assignment Builder'!$B$11),OR('Assignment Builder'!$B$12="",N($Q1833)&lt;='Assignment Builder'!$B$12)))</f>
        <v/>
      </c>
      <c r="T1833" s="23" t="n"/>
    </row>
    <row r="1834">
      <c r="A1834" s="23" t="n"/>
      <c r="B1834" s="23" t="n"/>
      <c r="C1834" s="24" t="n"/>
      <c r="D1834" s="15" t="n"/>
      <c r="E1834" s="23" t="n"/>
      <c r="F1834" s="15" t="n"/>
      <c r="G1834" s="23" t="n"/>
      <c r="H1834" s="25" t="n"/>
      <c r="I1834" s="15" t="n"/>
      <c r="J1834" s="26">
        <f>IF($A1834="","",LEN($C1834)-LEN(SUBSTITUTE($C1834,",",""))+1)</f>
        <v/>
      </c>
      <c r="K1834" s="26">
        <f>IF($A1834="","",SUMPRODUCT(--ISNUMBER(SEARCH('Category Dictionary'!$D$5:$D$135&amp;"",$C1834)),--('Category Dictionary'!$D$5:$D$135&lt;&gt;"")))</f>
        <v/>
      </c>
      <c r="L1834" s="27">
        <f>IF($A1834="","",TRIM(IF(ISERROR(FIND(",",$C1834)),$C1834,LEFT($C1834,FIND(",",$C1834)-1))))</f>
        <v/>
      </c>
      <c r="M1834" s="28">
        <f>IF($H1834="","",DATE(YEAR($H1834),MONTH($H1834),1))</f>
        <v/>
      </c>
      <c r="N1834" s="26">
        <f>IF($H1834="","",TODAY()-$H1834)</f>
        <v/>
      </c>
      <c r="O1834" s="15" t="n"/>
      <c r="P1834" s="15" t="n"/>
      <c r="Q1834" s="15" t="n"/>
      <c r="R1834" s="25" t="n"/>
      <c r="S1834" s="26">
        <f>IF($A1834="","",AND(OR('Assignment Builder'!$B$5="",$B1834='Assignment Builder'!$B$5),OR('Assignment Builder'!$B$6="",ISNUMBER(SEARCH('Assignment Builder'!$B$6,$C1834))),OR('Assignment Builder'!$B$7="",'Assignment Builder'!$B$7=IFERROR(INDEX('Category Dictionary'!$C$5:$C$135,MATCH($L1834,'Category Dictionary'!$D$5:$D$135,0)),"")),OR('Assignment Builder'!$B$8="",$D1834='Assignment Builder'!$B$8),OR('Assignment Builder'!$B$9="",$F1834='Assignment Builder'!$B$9),OR('Assignment Builder'!$B$10="",$O1834='Assignment Builder'!$B$10),OR('Assignment Builder'!$B$11="",$H1834&gt;='Assignment Builder'!$B$11),OR('Assignment Builder'!$B$12="",N($Q1834)&lt;='Assignment Builder'!$B$12)))</f>
        <v/>
      </c>
      <c r="T1834" s="23" t="n"/>
    </row>
    <row r="1835">
      <c r="A1835" s="23" t="n"/>
      <c r="B1835" s="23" t="n"/>
      <c r="C1835" s="24" t="n"/>
      <c r="D1835" s="15" t="n"/>
      <c r="E1835" s="23" t="n"/>
      <c r="F1835" s="15" t="n"/>
      <c r="G1835" s="23" t="n"/>
      <c r="H1835" s="25" t="n"/>
      <c r="I1835" s="15" t="n"/>
      <c r="J1835" s="26">
        <f>IF($A1835="","",LEN($C1835)-LEN(SUBSTITUTE($C1835,",",""))+1)</f>
        <v/>
      </c>
      <c r="K1835" s="26">
        <f>IF($A1835="","",SUMPRODUCT(--ISNUMBER(SEARCH('Category Dictionary'!$D$5:$D$135&amp;"",$C1835)),--('Category Dictionary'!$D$5:$D$135&lt;&gt;"")))</f>
        <v/>
      </c>
      <c r="L1835" s="27">
        <f>IF($A1835="","",TRIM(IF(ISERROR(FIND(",",$C1835)),$C1835,LEFT($C1835,FIND(",",$C1835)-1))))</f>
        <v/>
      </c>
      <c r="M1835" s="28">
        <f>IF($H1835="","",DATE(YEAR($H1835),MONTH($H1835),1))</f>
        <v/>
      </c>
      <c r="N1835" s="26">
        <f>IF($H1835="","",TODAY()-$H1835)</f>
        <v/>
      </c>
      <c r="O1835" s="15" t="n"/>
      <c r="P1835" s="15" t="n"/>
      <c r="Q1835" s="15" t="n"/>
      <c r="R1835" s="25" t="n"/>
      <c r="S1835" s="26">
        <f>IF($A1835="","",AND(OR('Assignment Builder'!$B$5="",$B1835='Assignment Builder'!$B$5),OR('Assignment Builder'!$B$6="",ISNUMBER(SEARCH('Assignment Builder'!$B$6,$C1835))),OR('Assignment Builder'!$B$7="",'Assignment Builder'!$B$7=IFERROR(INDEX('Category Dictionary'!$C$5:$C$135,MATCH($L1835,'Category Dictionary'!$D$5:$D$135,0)),"")),OR('Assignment Builder'!$B$8="",$D1835='Assignment Builder'!$B$8),OR('Assignment Builder'!$B$9="",$F1835='Assignment Builder'!$B$9),OR('Assignment Builder'!$B$10="",$O1835='Assignment Builder'!$B$10),OR('Assignment Builder'!$B$11="",$H1835&gt;='Assignment Builder'!$B$11),OR('Assignment Builder'!$B$12="",N($Q1835)&lt;='Assignment Builder'!$B$12)))</f>
        <v/>
      </c>
      <c r="T1835" s="23" t="n"/>
    </row>
    <row r="1836">
      <c r="A1836" s="23" t="n"/>
      <c r="B1836" s="23" t="n"/>
      <c r="C1836" s="24" t="n"/>
      <c r="D1836" s="15" t="n"/>
      <c r="E1836" s="23" t="n"/>
      <c r="F1836" s="15" t="n"/>
      <c r="G1836" s="23" t="n"/>
      <c r="H1836" s="25" t="n"/>
      <c r="I1836" s="15" t="n"/>
      <c r="J1836" s="26">
        <f>IF($A1836="","",LEN($C1836)-LEN(SUBSTITUTE($C1836,",",""))+1)</f>
        <v/>
      </c>
      <c r="K1836" s="26">
        <f>IF($A1836="","",SUMPRODUCT(--ISNUMBER(SEARCH('Category Dictionary'!$D$5:$D$135&amp;"",$C1836)),--('Category Dictionary'!$D$5:$D$135&lt;&gt;"")))</f>
        <v/>
      </c>
      <c r="L1836" s="27">
        <f>IF($A1836="","",TRIM(IF(ISERROR(FIND(",",$C1836)),$C1836,LEFT($C1836,FIND(",",$C1836)-1))))</f>
        <v/>
      </c>
      <c r="M1836" s="28">
        <f>IF($H1836="","",DATE(YEAR($H1836),MONTH($H1836),1))</f>
        <v/>
      </c>
      <c r="N1836" s="26">
        <f>IF($H1836="","",TODAY()-$H1836)</f>
        <v/>
      </c>
      <c r="O1836" s="15" t="n"/>
      <c r="P1836" s="15" t="n"/>
      <c r="Q1836" s="15" t="n"/>
      <c r="R1836" s="25" t="n"/>
      <c r="S1836" s="26">
        <f>IF($A1836="","",AND(OR('Assignment Builder'!$B$5="",$B1836='Assignment Builder'!$B$5),OR('Assignment Builder'!$B$6="",ISNUMBER(SEARCH('Assignment Builder'!$B$6,$C1836))),OR('Assignment Builder'!$B$7="",'Assignment Builder'!$B$7=IFERROR(INDEX('Category Dictionary'!$C$5:$C$135,MATCH($L1836,'Category Dictionary'!$D$5:$D$135,0)),"")),OR('Assignment Builder'!$B$8="",$D1836='Assignment Builder'!$B$8),OR('Assignment Builder'!$B$9="",$F1836='Assignment Builder'!$B$9),OR('Assignment Builder'!$B$10="",$O1836='Assignment Builder'!$B$10),OR('Assignment Builder'!$B$11="",$H1836&gt;='Assignment Builder'!$B$11),OR('Assignment Builder'!$B$12="",N($Q1836)&lt;='Assignment Builder'!$B$12)))</f>
        <v/>
      </c>
      <c r="T1836" s="23" t="n"/>
    </row>
    <row r="1837">
      <c r="A1837" s="23" t="n"/>
      <c r="B1837" s="23" t="n"/>
      <c r="C1837" s="24" t="n"/>
      <c r="D1837" s="15" t="n"/>
      <c r="E1837" s="23" t="n"/>
      <c r="F1837" s="15" t="n"/>
      <c r="G1837" s="23" t="n"/>
      <c r="H1837" s="25" t="n"/>
      <c r="I1837" s="15" t="n"/>
      <c r="J1837" s="26">
        <f>IF($A1837="","",LEN($C1837)-LEN(SUBSTITUTE($C1837,",",""))+1)</f>
        <v/>
      </c>
      <c r="K1837" s="26">
        <f>IF($A1837="","",SUMPRODUCT(--ISNUMBER(SEARCH('Category Dictionary'!$D$5:$D$135&amp;"",$C1837)),--('Category Dictionary'!$D$5:$D$135&lt;&gt;"")))</f>
        <v/>
      </c>
      <c r="L1837" s="27">
        <f>IF($A1837="","",TRIM(IF(ISERROR(FIND(",",$C1837)),$C1837,LEFT($C1837,FIND(",",$C1837)-1))))</f>
        <v/>
      </c>
      <c r="M1837" s="28">
        <f>IF($H1837="","",DATE(YEAR($H1837),MONTH($H1837),1))</f>
        <v/>
      </c>
      <c r="N1837" s="26">
        <f>IF($H1837="","",TODAY()-$H1837)</f>
        <v/>
      </c>
      <c r="O1837" s="15" t="n"/>
      <c r="P1837" s="15" t="n"/>
      <c r="Q1837" s="15" t="n"/>
      <c r="R1837" s="25" t="n"/>
      <c r="S1837" s="26">
        <f>IF($A1837="","",AND(OR('Assignment Builder'!$B$5="",$B1837='Assignment Builder'!$B$5),OR('Assignment Builder'!$B$6="",ISNUMBER(SEARCH('Assignment Builder'!$B$6,$C1837))),OR('Assignment Builder'!$B$7="",'Assignment Builder'!$B$7=IFERROR(INDEX('Category Dictionary'!$C$5:$C$135,MATCH($L1837,'Category Dictionary'!$D$5:$D$135,0)),"")),OR('Assignment Builder'!$B$8="",$D1837='Assignment Builder'!$B$8),OR('Assignment Builder'!$B$9="",$F1837='Assignment Builder'!$B$9),OR('Assignment Builder'!$B$10="",$O1837='Assignment Builder'!$B$10),OR('Assignment Builder'!$B$11="",$H1837&gt;='Assignment Builder'!$B$11),OR('Assignment Builder'!$B$12="",N($Q1837)&lt;='Assignment Builder'!$B$12)))</f>
        <v/>
      </c>
      <c r="T1837" s="23" t="n"/>
    </row>
    <row r="1838">
      <c r="A1838" s="23" t="n"/>
      <c r="B1838" s="23" t="n"/>
      <c r="C1838" s="24" t="n"/>
      <c r="D1838" s="15" t="n"/>
      <c r="E1838" s="23" t="n"/>
      <c r="F1838" s="15" t="n"/>
      <c r="G1838" s="23" t="n"/>
      <c r="H1838" s="25" t="n"/>
      <c r="I1838" s="15" t="n"/>
      <c r="J1838" s="26">
        <f>IF($A1838="","",LEN($C1838)-LEN(SUBSTITUTE($C1838,",",""))+1)</f>
        <v/>
      </c>
      <c r="K1838" s="26">
        <f>IF($A1838="","",SUMPRODUCT(--ISNUMBER(SEARCH('Category Dictionary'!$D$5:$D$135&amp;"",$C1838)),--('Category Dictionary'!$D$5:$D$135&lt;&gt;"")))</f>
        <v/>
      </c>
      <c r="L1838" s="27">
        <f>IF($A1838="","",TRIM(IF(ISERROR(FIND(",",$C1838)),$C1838,LEFT($C1838,FIND(",",$C1838)-1))))</f>
        <v/>
      </c>
      <c r="M1838" s="28">
        <f>IF($H1838="","",DATE(YEAR($H1838),MONTH($H1838),1))</f>
        <v/>
      </c>
      <c r="N1838" s="26">
        <f>IF($H1838="","",TODAY()-$H1838)</f>
        <v/>
      </c>
      <c r="O1838" s="15" t="n"/>
      <c r="P1838" s="15" t="n"/>
      <c r="Q1838" s="15" t="n"/>
      <c r="R1838" s="25" t="n"/>
      <c r="S1838" s="26">
        <f>IF($A1838="","",AND(OR('Assignment Builder'!$B$5="",$B1838='Assignment Builder'!$B$5),OR('Assignment Builder'!$B$6="",ISNUMBER(SEARCH('Assignment Builder'!$B$6,$C1838))),OR('Assignment Builder'!$B$7="",'Assignment Builder'!$B$7=IFERROR(INDEX('Category Dictionary'!$C$5:$C$135,MATCH($L1838,'Category Dictionary'!$D$5:$D$135,0)),"")),OR('Assignment Builder'!$B$8="",$D1838='Assignment Builder'!$B$8),OR('Assignment Builder'!$B$9="",$F1838='Assignment Builder'!$B$9),OR('Assignment Builder'!$B$10="",$O1838='Assignment Builder'!$B$10),OR('Assignment Builder'!$B$11="",$H1838&gt;='Assignment Builder'!$B$11),OR('Assignment Builder'!$B$12="",N($Q1838)&lt;='Assignment Builder'!$B$12)))</f>
        <v/>
      </c>
      <c r="T1838" s="23" t="n"/>
    </row>
    <row r="1839">
      <c r="A1839" s="23" t="n"/>
      <c r="B1839" s="23" t="n"/>
      <c r="C1839" s="24" t="n"/>
      <c r="D1839" s="15" t="n"/>
      <c r="E1839" s="23" t="n"/>
      <c r="F1839" s="15" t="n"/>
      <c r="G1839" s="23" t="n"/>
      <c r="H1839" s="25" t="n"/>
      <c r="I1839" s="15" t="n"/>
      <c r="J1839" s="26">
        <f>IF($A1839="","",LEN($C1839)-LEN(SUBSTITUTE($C1839,",",""))+1)</f>
        <v/>
      </c>
      <c r="K1839" s="26">
        <f>IF($A1839="","",SUMPRODUCT(--ISNUMBER(SEARCH('Category Dictionary'!$D$5:$D$135&amp;"",$C1839)),--('Category Dictionary'!$D$5:$D$135&lt;&gt;"")))</f>
        <v/>
      </c>
      <c r="L1839" s="27">
        <f>IF($A1839="","",TRIM(IF(ISERROR(FIND(",",$C1839)),$C1839,LEFT($C1839,FIND(",",$C1839)-1))))</f>
        <v/>
      </c>
      <c r="M1839" s="28">
        <f>IF($H1839="","",DATE(YEAR($H1839),MONTH($H1839),1))</f>
        <v/>
      </c>
      <c r="N1839" s="26">
        <f>IF($H1839="","",TODAY()-$H1839)</f>
        <v/>
      </c>
      <c r="O1839" s="15" t="n"/>
      <c r="P1839" s="15" t="n"/>
      <c r="Q1839" s="15" t="n"/>
      <c r="R1839" s="25" t="n"/>
      <c r="S1839" s="26">
        <f>IF($A1839="","",AND(OR('Assignment Builder'!$B$5="",$B1839='Assignment Builder'!$B$5),OR('Assignment Builder'!$B$6="",ISNUMBER(SEARCH('Assignment Builder'!$B$6,$C1839))),OR('Assignment Builder'!$B$7="",'Assignment Builder'!$B$7=IFERROR(INDEX('Category Dictionary'!$C$5:$C$135,MATCH($L1839,'Category Dictionary'!$D$5:$D$135,0)),"")),OR('Assignment Builder'!$B$8="",$D1839='Assignment Builder'!$B$8),OR('Assignment Builder'!$B$9="",$F1839='Assignment Builder'!$B$9),OR('Assignment Builder'!$B$10="",$O1839='Assignment Builder'!$B$10),OR('Assignment Builder'!$B$11="",$H1839&gt;='Assignment Builder'!$B$11),OR('Assignment Builder'!$B$12="",N($Q1839)&lt;='Assignment Builder'!$B$12)))</f>
        <v/>
      </c>
      <c r="T1839" s="23" t="n"/>
    </row>
    <row r="1840">
      <c r="A1840" s="23" t="n"/>
      <c r="B1840" s="23" t="n"/>
      <c r="C1840" s="24" t="n"/>
      <c r="D1840" s="15" t="n"/>
      <c r="E1840" s="23" t="n"/>
      <c r="F1840" s="15" t="n"/>
      <c r="G1840" s="23" t="n"/>
      <c r="H1840" s="25" t="n"/>
      <c r="I1840" s="15" t="n"/>
      <c r="J1840" s="26">
        <f>IF($A1840="","",LEN($C1840)-LEN(SUBSTITUTE($C1840,",",""))+1)</f>
        <v/>
      </c>
      <c r="K1840" s="26">
        <f>IF($A1840="","",SUMPRODUCT(--ISNUMBER(SEARCH('Category Dictionary'!$D$5:$D$135&amp;"",$C1840)),--('Category Dictionary'!$D$5:$D$135&lt;&gt;"")))</f>
        <v/>
      </c>
      <c r="L1840" s="27">
        <f>IF($A1840="","",TRIM(IF(ISERROR(FIND(",",$C1840)),$C1840,LEFT($C1840,FIND(",",$C1840)-1))))</f>
        <v/>
      </c>
      <c r="M1840" s="28">
        <f>IF($H1840="","",DATE(YEAR($H1840),MONTH($H1840),1))</f>
        <v/>
      </c>
      <c r="N1840" s="26">
        <f>IF($H1840="","",TODAY()-$H1840)</f>
        <v/>
      </c>
      <c r="O1840" s="15" t="n"/>
      <c r="P1840" s="15" t="n"/>
      <c r="Q1840" s="15" t="n"/>
      <c r="R1840" s="25" t="n"/>
      <c r="S1840" s="26">
        <f>IF($A1840="","",AND(OR('Assignment Builder'!$B$5="",$B1840='Assignment Builder'!$B$5),OR('Assignment Builder'!$B$6="",ISNUMBER(SEARCH('Assignment Builder'!$B$6,$C1840))),OR('Assignment Builder'!$B$7="",'Assignment Builder'!$B$7=IFERROR(INDEX('Category Dictionary'!$C$5:$C$135,MATCH($L1840,'Category Dictionary'!$D$5:$D$135,0)),"")),OR('Assignment Builder'!$B$8="",$D1840='Assignment Builder'!$B$8),OR('Assignment Builder'!$B$9="",$F1840='Assignment Builder'!$B$9),OR('Assignment Builder'!$B$10="",$O1840='Assignment Builder'!$B$10),OR('Assignment Builder'!$B$11="",$H1840&gt;='Assignment Builder'!$B$11),OR('Assignment Builder'!$B$12="",N($Q1840)&lt;='Assignment Builder'!$B$12)))</f>
        <v/>
      </c>
      <c r="T1840" s="23" t="n"/>
    </row>
    <row r="1841">
      <c r="A1841" s="23" t="n"/>
      <c r="B1841" s="23" t="n"/>
      <c r="C1841" s="24" t="n"/>
      <c r="D1841" s="15" t="n"/>
      <c r="E1841" s="23" t="n"/>
      <c r="F1841" s="15" t="n"/>
      <c r="G1841" s="23" t="n"/>
      <c r="H1841" s="25" t="n"/>
      <c r="I1841" s="15" t="n"/>
      <c r="J1841" s="26">
        <f>IF($A1841="","",LEN($C1841)-LEN(SUBSTITUTE($C1841,",",""))+1)</f>
        <v/>
      </c>
      <c r="K1841" s="26">
        <f>IF($A1841="","",SUMPRODUCT(--ISNUMBER(SEARCH('Category Dictionary'!$D$5:$D$135&amp;"",$C1841)),--('Category Dictionary'!$D$5:$D$135&lt;&gt;"")))</f>
        <v/>
      </c>
      <c r="L1841" s="27">
        <f>IF($A1841="","",TRIM(IF(ISERROR(FIND(",",$C1841)),$C1841,LEFT($C1841,FIND(",",$C1841)-1))))</f>
        <v/>
      </c>
      <c r="M1841" s="28">
        <f>IF($H1841="","",DATE(YEAR($H1841),MONTH($H1841),1))</f>
        <v/>
      </c>
      <c r="N1841" s="26">
        <f>IF($H1841="","",TODAY()-$H1841)</f>
        <v/>
      </c>
      <c r="O1841" s="15" t="n"/>
      <c r="P1841" s="15" t="n"/>
      <c r="Q1841" s="15" t="n"/>
      <c r="R1841" s="25" t="n"/>
      <c r="S1841" s="26">
        <f>IF($A1841="","",AND(OR('Assignment Builder'!$B$5="",$B1841='Assignment Builder'!$B$5),OR('Assignment Builder'!$B$6="",ISNUMBER(SEARCH('Assignment Builder'!$B$6,$C1841))),OR('Assignment Builder'!$B$7="",'Assignment Builder'!$B$7=IFERROR(INDEX('Category Dictionary'!$C$5:$C$135,MATCH($L1841,'Category Dictionary'!$D$5:$D$135,0)),"")),OR('Assignment Builder'!$B$8="",$D1841='Assignment Builder'!$B$8),OR('Assignment Builder'!$B$9="",$F1841='Assignment Builder'!$B$9),OR('Assignment Builder'!$B$10="",$O1841='Assignment Builder'!$B$10),OR('Assignment Builder'!$B$11="",$H1841&gt;='Assignment Builder'!$B$11),OR('Assignment Builder'!$B$12="",N($Q1841)&lt;='Assignment Builder'!$B$12)))</f>
        <v/>
      </c>
      <c r="T1841" s="23" t="n"/>
    </row>
    <row r="1842">
      <c r="A1842" s="23" t="n"/>
      <c r="B1842" s="23" t="n"/>
      <c r="C1842" s="24" t="n"/>
      <c r="D1842" s="15" t="n"/>
      <c r="E1842" s="23" t="n"/>
      <c r="F1842" s="15" t="n"/>
      <c r="G1842" s="23" t="n"/>
      <c r="H1842" s="25" t="n"/>
      <c r="I1842" s="15" t="n"/>
      <c r="J1842" s="26">
        <f>IF($A1842="","",LEN($C1842)-LEN(SUBSTITUTE($C1842,",",""))+1)</f>
        <v/>
      </c>
      <c r="K1842" s="26">
        <f>IF($A1842="","",SUMPRODUCT(--ISNUMBER(SEARCH('Category Dictionary'!$D$5:$D$135&amp;"",$C1842)),--('Category Dictionary'!$D$5:$D$135&lt;&gt;"")))</f>
        <v/>
      </c>
      <c r="L1842" s="27">
        <f>IF($A1842="","",TRIM(IF(ISERROR(FIND(",",$C1842)),$C1842,LEFT($C1842,FIND(",",$C1842)-1))))</f>
        <v/>
      </c>
      <c r="M1842" s="28">
        <f>IF($H1842="","",DATE(YEAR($H1842),MONTH($H1842),1))</f>
        <v/>
      </c>
      <c r="N1842" s="26">
        <f>IF($H1842="","",TODAY()-$H1842)</f>
        <v/>
      </c>
      <c r="O1842" s="15" t="n"/>
      <c r="P1842" s="15" t="n"/>
      <c r="Q1842" s="15" t="n"/>
      <c r="R1842" s="25" t="n"/>
      <c r="S1842" s="26">
        <f>IF($A1842="","",AND(OR('Assignment Builder'!$B$5="",$B1842='Assignment Builder'!$B$5),OR('Assignment Builder'!$B$6="",ISNUMBER(SEARCH('Assignment Builder'!$B$6,$C1842))),OR('Assignment Builder'!$B$7="",'Assignment Builder'!$B$7=IFERROR(INDEX('Category Dictionary'!$C$5:$C$135,MATCH($L1842,'Category Dictionary'!$D$5:$D$135,0)),"")),OR('Assignment Builder'!$B$8="",$D1842='Assignment Builder'!$B$8),OR('Assignment Builder'!$B$9="",$F1842='Assignment Builder'!$B$9),OR('Assignment Builder'!$B$10="",$O1842='Assignment Builder'!$B$10),OR('Assignment Builder'!$B$11="",$H1842&gt;='Assignment Builder'!$B$11),OR('Assignment Builder'!$B$12="",N($Q1842)&lt;='Assignment Builder'!$B$12)))</f>
        <v/>
      </c>
      <c r="T1842" s="23" t="n"/>
    </row>
    <row r="1843">
      <c r="A1843" s="23" t="n"/>
      <c r="B1843" s="23" t="n"/>
      <c r="C1843" s="24" t="n"/>
      <c r="D1843" s="15" t="n"/>
      <c r="E1843" s="23" t="n"/>
      <c r="F1843" s="15" t="n"/>
      <c r="G1843" s="23" t="n"/>
      <c r="H1843" s="25" t="n"/>
      <c r="I1843" s="15" t="n"/>
      <c r="J1843" s="26">
        <f>IF($A1843="","",LEN($C1843)-LEN(SUBSTITUTE($C1843,",",""))+1)</f>
        <v/>
      </c>
      <c r="K1843" s="26">
        <f>IF($A1843="","",SUMPRODUCT(--ISNUMBER(SEARCH('Category Dictionary'!$D$5:$D$135&amp;"",$C1843)),--('Category Dictionary'!$D$5:$D$135&lt;&gt;"")))</f>
        <v/>
      </c>
      <c r="L1843" s="27">
        <f>IF($A1843="","",TRIM(IF(ISERROR(FIND(",",$C1843)),$C1843,LEFT($C1843,FIND(",",$C1843)-1))))</f>
        <v/>
      </c>
      <c r="M1843" s="28">
        <f>IF($H1843="","",DATE(YEAR($H1843),MONTH($H1843),1))</f>
        <v/>
      </c>
      <c r="N1843" s="26">
        <f>IF($H1843="","",TODAY()-$H1843)</f>
        <v/>
      </c>
      <c r="O1843" s="15" t="n"/>
      <c r="P1843" s="15" t="n"/>
      <c r="Q1843" s="15" t="n"/>
      <c r="R1843" s="25" t="n"/>
      <c r="S1843" s="26">
        <f>IF($A1843="","",AND(OR('Assignment Builder'!$B$5="",$B1843='Assignment Builder'!$B$5),OR('Assignment Builder'!$B$6="",ISNUMBER(SEARCH('Assignment Builder'!$B$6,$C1843))),OR('Assignment Builder'!$B$7="",'Assignment Builder'!$B$7=IFERROR(INDEX('Category Dictionary'!$C$5:$C$135,MATCH($L1843,'Category Dictionary'!$D$5:$D$135,0)),"")),OR('Assignment Builder'!$B$8="",$D1843='Assignment Builder'!$B$8),OR('Assignment Builder'!$B$9="",$F1843='Assignment Builder'!$B$9),OR('Assignment Builder'!$B$10="",$O1843='Assignment Builder'!$B$10),OR('Assignment Builder'!$B$11="",$H1843&gt;='Assignment Builder'!$B$11),OR('Assignment Builder'!$B$12="",N($Q1843)&lt;='Assignment Builder'!$B$12)))</f>
        <v/>
      </c>
      <c r="T1843" s="23" t="n"/>
    </row>
    <row r="1844">
      <c r="A1844" s="23" t="n"/>
      <c r="B1844" s="23" t="n"/>
      <c r="C1844" s="24" t="n"/>
      <c r="D1844" s="15" t="n"/>
      <c r="E1844" s="23" t="n"/>
      <c r="F1844" s="15" t="n"/>
      <c r="G1844" s="23" t="n"/>
      <c r="H1844" s="25" t="n"/>
      <c r="I1844" s="15" t="n"/>
      <c r="J1844" s="26">
        <f>IF($A1844="","",LEN($C1844)-LEN(SUBSTITUTE($C1844,",",""))+1)</f>
        <v/>
      </c>
      <c r="K1844" s="26">
        <f>IF($A1844="","",SUMPRODUCT(--ISNUMBER(SEARCH('Category Dictionary'!$D$5:$D$135&amp;"",$C1844)),--('Category Dictionary'!$D$5:$D$135&lt;&gt;"")))</f>
        <v/>
      </c>
      <c r="L1844" s="27">
        <f>IF($A1844="","",TRIM(IF(ISERROR(FIND(",",$C1844)),$C1844,LEFT($C1844,FIND(",",$C1844)-1))))</f>
        <v/>
      </c>
      <c r="M1844" s="28">
        <f>IF($H1844="","",DATE(YEAR($H1844),MONTH($H1844),1))</f>
        <v/>
      </c>
      <c r="N1844" s="26">
        <f>IF($H1844="","",TODAY()-$H1844)</f>
        <v/>
      </c>
      <c r="O1844" s="15" t="n"/>
      <c r="P1844" s="15" t="n"/>
      <c r="Q1844" s="15" t="n"/>
      <c r="R1844" s="25" t="n"/>
      <c r="S1844" s="26">
        <f>IF($A1844="","",AND(OR('Assignment Builder'!$B$5="",$B1844='Assignment Builder'!$B$5),OR('Assignment Builder'!$B$6="",ISNUMBER(SEARCH('Assignment Builder'!$B$6,$C1844))),OR('Assignment Builder'!$B$7="",'Assignment Builder'!$B$7=IFERROR(INDEX('Category Dictionary'!$C$5:$C$135,MATCH($L1844,'Category Dictionary'!$D$5:$D$135,0)),"")),OR('Assignment Builder'!$B$8="",$D1844='Assignment Builder'!$B$8),OR('Assignment Builder'!$B$9="",$F1844='Assignment Builder'!$B$9),OR('Assignment Builder'!$B$10="",$O1844='Assignment Builder'!$B$10),OR('Assignment Builder'!$B$11="",$H1844&gt;='Assignment Builder'!$B$11),OR('Assignment Builder'!$B$12="",N($Q1844)&lt;='Assignment Builder'!$B$12)))</f>
        <v/>
      </c>
      <c r="T1844" s="23" t="n"/>
    </row>
    <row r="1845">
      <c r="A1845" s="23" t="n"/>
      <c r="B1845" s="23" t="n"/>
      <c r="C1845" s="24" t="n"/>
      <c r="D1845" s="15" t="n"/>
      <c r="E1845" s="23" t="n"/>
      <c r="F1845" s="15" t="n"/>
      <c r="G1845" s="23" t="n"/>
      <c r="H1845" s="25" t="n"/>
      <c r="I1845" s="15" t="n"/>
      <c r="J1845" s="26">
        <f>IF($A1845="","",LEN($C1845)-LEN(SUBSTITUTE($C1845,",",""))+1)</f>
        <v/>
      </c>
      <c r="K1845" s="26">
        <f>IF($A1845="","",SUMPRODUCT(--ISNUMBER(SEARCH('Category Dictionary'!$D$5:$D$135&amp;"",$C1845)),--('Category Dictionary'!$D$5:$D$135&lt;&gt;"")))</f>
        <v/>
      </c>
      <c r="L1845" s="27">
        <f>IF($A1845="","",TRIM(IF(ISERROR(FIND(",",$C1845)),$C1845,LEFT($C1845,FIND(",",$C1845)-1))))</f>
        <v/>
      </c>
      <c r="M1845" s="28">
        <f>IF($H1845="","",DATE(YEAR($H1845),MONTH($H1845),1))</f>
        <v/>
      </c>
      <c r="N1845" s="26">
        <f>IF($H1845="","",TODAY()-$H1845)</f>
        <v/>
      </c>
      <c r="O1845" s="15" t="n"/>
      <c r="P1845" s="15" t="n"/>
      <c r="Q1845" s="15" t="n"/>
      <c r="R1845" s="25" t="n"/>
      <c r="S1845" s="26">
        <f>IF($A1845="","",AND(OR('Assignment Builder'!$B$5="",$B1845='Assignment Builder'!$B$5),OR('Assignment Builder'!$B$6="",ISNUMBER(SEARCH('Assignment Builder'!$B$6,$C1845))),OR('Assignment Builder'!$B$7="",'Assignment Builder'!$B$7=IFERROR(INDEX('Category Dictionary'!$C$5:$C$135,MATCH($L1845,'Category Dictionary'!$D$5:$D$135,0)),"")),OR('Assignment Builder'!$B$8="",$D1845='Assignment Builder'!$B$8),OR('Assignment Builder'!$B$9="",$F1845='Assignment Builder'!$B$9),OR('Assignment Builder'!$B$10="",$O1845='Assignment Builder'!$B$10),OR('Assignment Builder'!$B$11="",$H1845&gt;='Assignment Builder'!$B$11),OR('Assignment Builder'!$B$12="",N($Q1845)&lt;='Assignment Builder'!$B$12)))</f>
        <v/>
      </c>
      <c r="T1845" s="23" t="n"/>
    </row>
    <row r="1846">
      <c r="A1846" s="23" t="n"/>
      <c r="B1846" s="23" t="n"/>
      <c r="C1846" s="24" t="n"/>
      <c r="D1846" s="15" t="n"/>
      <c r="E1846" s="23" t="n"/>
      <c r="F1846" s="15" t="n"/>
      <c r="G1846" s="23" t="n"/>
      <c r="H1846" s="25" t="n"/>
      <c r="I1846" s="15" t="n"/>
      <c r="J1846" s="26">
        <f>IF($A1846="","",LEN($C1846)-LEN(SUBSTITUTE($C1846,",",""))+1)</f>
        <v/>
      </c>
      <c r="K1846" s="26">
        <f>IF($A1846="","",SUMPRODUCT(--ISNUMBER(SEARCH('Category Dictionary'!$D$5:$D$135&amp;"",$C1846)),--('Category Dictionary'!$D$5:$D$135&lt;&gt;"")))</f>
        <v/>
      </c>
      <c r="L1846" s="27">
        <f>IF($A1846="","",TRIM(IF(ISERROR(FIND(",",$C1846)),$C1846,LEFT($C1846,FIND(",",$C1846)-1))))</f>
        <v/>
      </c>
      <c r="M1846" s="28">
        <f>IF($H1846="","",DATE(YEAR($H1846),MONTH($H1846),1))</f>
        <v/>
      </c>
      <c r="N1846" s="26">
        <f>IF($H1846="","",TODAY()-$H1846)</f>
        <v/>
      </c>
      <c r="O1846" s="15" t="n"/>
      <c r="P1846" s="15" t="n"/>
      <c r="Q1846" s="15" t="n"/>
      <c r="R1846" s="25" t="n"/>
      <c r="S1846" s="26">
        <f>IF($A1846="","",AND(OR('Assignment Builder'!$B$5="",$B1846='Assignment Builder'!$B$5),OR('Assignment Builder'!$B$6="",ISNUMBER(SEARCH('Assignment Builder'!$B$6,$C1846))),OR('Assignment Builder'!$B$7="",'Assignment Builder'!$B$7=IFERROR(INDEX('Category Dictionary'!$C$5:$C$135,MATCH($L1846,'Category Dictionary'!$D$5:$D$135,0)),"")),OR('Assignment Builder'!$B$8="",$D1846='Assignment Builder'!$B$8),OR('Assignment Builder'!$B$9="",$F1846='Assignment Builder'!$B$9),OR('Assignment Builder'!$B$10="",$O1846='Assignment Builder'!$B$10),OR('Assignment Builder'!$B$11="",$H1846&gt;='Assignment Builder'!$B$11),OR('Assignment Builder'!$B$12="",N($Q1846)&lt;='Assignment Builder'!$B$12)))</f>
        <v/>
      </c>
      <c r="T1846" s="23" t="n"/>
    </row>
    <row r="1847">
      <c r="A1847" s="23" t="n"/>
      <c r="B1847" s="23" t="n"/>
      <c r="C1847" s="24" t="n"/>
      <c r="D1847" s="15" t="n"/>
      <c r="E1847" s="23" t="n"/>
      <c r="F1847" s="15" t="n"/>
      <c r="G1847" s="23" t="n"/>
      <c r="H1847" s="25" t="n"/>
      <c r="I1847" s="15" t="n"/>
      <c r="J1847" s="26">
        <f>IF($A1847="","",LEN($C1847)-LEN(SUBSTITUTE($C1847,",",""))+1)</f>
        <v/>
      </c>
      <c r="K1847" s="26">
        <f>IF($A1847="","",SUMPRODUCT(--ISNUMBER(SEARCH('Category Dictionary'!$D$5:$D$135&amp;"",$C1847)),--('Category Dictionary'!$D$5:$D$135&lt;&gt;"")))</f>
        <v/>
      </c>
      <c r="L1847" s="27">
        <f>IF($A1847="","",TRIM(IF(ISERROR(FIND(",",$C1847)),$C1847,LEFT($C1847,FIND(",",$C1847)-1))))</f>
        <v/>
      </c>
      <c r="M1847" s="28">
        <f>IF($H1847="","",DATE(YEAR($H1847),MONTH($H1847),1))</f>
        <v/>
      </c>
      <c r="N1847" s="26">
        <f>IF($H1847="","",TODAY()-$H1847)</f>
        <v/>
      </c>
      <c r="O1847" s="15" t="n"/>
      <c r="P1847" s="15" t="n"/>
      <c r="Q1847" s="15" t="n"/>
      <c r="R1847" s="25" t="n"/>
      <c r="S1847" s="26">
        <f>IF($A1847="","",AND(OR('Assignment Builder'!$B$5="",$B1847='Assignment Builder'!$B$5),OR('Assignment Builder'!$B$6="",ISNUMBER(SEARCH('Assignment Builder'!$B$6,$C1847))),OR('Assignment Builder'!$B$7="",'Assignment Builder'!$B$7=IFERROR(INDEX('Category Dictionary'!$C$5:$C$135,MATCH($L1847,'Category Dictionary'!$D$5:$D$135,0)),"")),OR('Assignment Builder'!$B$8="",$D1847='Assignment Builder'!$B$8),OR('Assignment Builder'!$B$9="",$F1847='Assignment Builder'!$B$9),OR('Assignment Builder'!$B$10="",$O1847='Assignment Builder'!$B$10),OR('Assignment Builder'!$B$11="",$H1847&gt;='Assignment Builder'!$B$11),OR('Assignment Builder'!$B$12="",N($Q1847)&lt;='Assignment Builder'!$B$12)))</f>
        <v/>
      </c>
      <c r="T1847" s="23" t="n"/>
    </row>
    <row r="1848">
      <c r="A1848" s="23" t="n"/>
      <c r="B1848" s="23" t="n"/>
      <c r="C1848" s="24" t="n"/>
      <c r="D1848" s="15" t="n"/>
      <c r="E1848" s="23" t="n"/>
      <c r="F1848" s="15" t="n"/>
      <c r="G1848" s="23" t="n"/>
      <c r="H1848" s="25" t="n"/>
      <c r="I1848" s="15" t="n"/>
      <c r="J1848" s="26">
        <f>IF($A1848="","",LEN($C1848)-LEN(SUBSTITUTE($C1848,",",""))+1)</f>
        <v/>
      </c>
      <c r="K1848" s="26">
        <f>IF($A1848="","",SUMPRODUCT(--ISNUMBER(SEARCH('Category Dictionary'!$D$5:$D$135&amp;"",$C1848)),--('Category Dictionary'!$D$5:$D$135&lt;&gt;"")))</f>
        <v/>
      </c>
      <c r="L1848" s="27">
        <f>IF($A1848="","",TRIM(IF(ISERROR(FIND(",",$C1848)),$C1848,LEFT($C1848,FIND(",",$C1848)-1))))</f>
        <v/>
      </c>
      <c r="M1848" s="28">
        <f>IF($H1848="","",DATE(YEAR($H1848),MONTH($H1848),1))</f>
        <v/>
      </c>
      <c r="N1848" s="26">
        <f>IF($H1848="","",TODAY()-$H1848)</f>
        <v/>
      </c>
      <c r="O1848" s="15" t="n"/>
      <c r="P1848" s="15" t="n"/>
      <c r="Q1848" s="15" t="n"/>
      <c r="R1848" s="25" t="n"/>
      <c r="S1848" s="26">
        <f>IF($A1848="","",AND(OR('Assignment Builder'!$B$5="",$B1848='Assignment Builder'!$B$5),OR('Assignment Builder'!$B$6="",ISNUMBER(SEARCH('Assignment Builder'!$B$6,$C1848))),OR('Assignment Builder'!$B$7="",'Assignment Builder'!$B$7=IFERROR(INDEX('Category Dictionary'!$C$5:$C$135,MATCH($L1848,'Category Dictionary'!$D$5:$D$135,0)),"")),OR('Assignment Builder'!$B$8="",$D1848='Assignment Builder'!$B$8),OR('Assignment Builder'!$B$9="",$F1848='Assignment Builder'!$B$9),OR('Assignment Builder'!$B$10="",$O1848='Assignment Builder'!$B$10),OR('Assignment Builder'!$B$11="",$H1848&gt;='Assignment Builder'!$B$11),OR('Assignment Builder'!$B$12="",N($Q1848)&lt;='Assignment Builder'!$B$12)))</f>
        <v/>
      </c>
      <c r="T1848" s="23" t="n"/>
    </row>
    <row r="1849">
      <c r="A1849" s="23" t="n"/>
      <c r="B1849" s="23" t="n"/>
      <c r="C1849" s="24" t="n"/>
      <c r="D1849" s="15" t="n"/>
      <c r="E1849" s="23" t="n"/>
      <c r="F1849" s="15" t="n"/>
      <c r="G1849" s="23" t="n"/>
      <c r="H1849" s="25" t="n"/>
      <c r="I1849" s="15" t="n"/>
      <c r="J1849" s="26">
        <f>IF($A1849="","",LEN($C1849)-LEN(SUBSTITUTE($C1849,",",""))+1)</f>
        <v/>
      </c>
      <c r="K1849" s="26">
        <f>IF($A1849="","",SUMPRODUCT(--ISNUMBER(SEARCH('Category Dictionary'!$D$5:$D$135&amp;"",$C1849)),--('Category Dictionary'!$D$5:$D$135&lt;&gt;"")))</f>
        <v/>
      </c>
      <c r="L1849" s="27">
        <f>IF($A1849="","",TRIM(IF(ISERROR(FIND(",",$C1849)),$C1849,LEFT($C1849,FIND(",",$C1849)-1))))</f>
        <v/>
      </c>
      <c r="M1849" s="28">
        <f>IF($H1849="","",DATE(YEAR($H1849),MONTH($H1849),1))</f>
        <v/>
      </c>
      <c r="N1849" s="26">
        <f>IF($H1849="","",TODAY()-$H1849)</f>
        <v/>
      </c>
      <c r="O1849" s="15" t="n"/>
      <c r="P1849" s="15" t="n"/>
      <c r="Q1849" s="15" t="n"/>
      <c r="R1849" s="25" t="n"/>
      <c r="S1849" s="26">
        <f>IF($A1849="","",AND(OR('Assignment Builder'!$B$5="",$B1849='Assignment Builder'!$B$5),OR('Assignment Builder'!$B$6="",ISNUMBER(SEARCH('Assignment Builder'!$B$6,$C1849))),OR('Assignment Builder'!$B$7="",'Assignment Builder'!$B$7=IFERROR(INDEX('Category Dictionary'!$C$5:$C$135,MATCH($L1849,'Category Dictionary'!$D$5:$D$135,0)),"")),OR('Assignment Builder'!$B$8="",$D1849='Assignment Builder'!$B$8),OR('Assignment Builder'!$B$9="",$F1849='Assignment Builder'!$B$9),OR('Assignment Builder'!$B$10="",$O1849='Assignment Builder'!$B$10),OR('Assignment Builder'!$B$11="",$H1849&gt;='Assignment Builder'!$B$11),OR('Assignment Builder'!$B$12="",N($Q1849)&lt;='Assignment Builder'!$B$12)))</f>
        <v/>
      </c>
      <c r="T1849" s="23" t="n"/>
    </row>
    <row r="1850">
      <c r="A1850" s="23" t="n"/>
      <c r="B1850" s="23" t="n"/>
      <c r="C1850" s="24" t="n"/>
      <c r="D1850" s="15" t="n"/>
      <c r="E1850" s="23" t="n"/>
      <c r="F1850" s="15" t="n"/>
      <c r="G1850" s="23" t="n"/>
      <c r="H1850" s="25" t="n"/>
      <c r="I1850" s="15" t="n"/>
      <c r="J1850" s="26">
        <f>IF($A1850="","",LEN($C1850)-LEN(SUBSTITUTE($C1850,",",""))+1)</f>
        <v/>
      </c>
      <c r="K1850" s="26">
        <f>IF($A1850="","",SUMPRODUCT(--ISNUMBER(SEARCH('Category Dictionary'!$D$5:$D$135&amp;"",$C1850)),--('Category Dictionary'!$D$5:$D$135&lt;&gt;"")))</f>
        <v/>
      </c>
      <c r="L1850" s="27">
        <f>IF($A1850="","",TRIM(IF(ISERROR(FIND(",",$C1850)),$C1850,LEFT($C1850,FIND(",",$C1850)-1))))</f>
        <v/>
      </c>
      <c r="M1850" s="28">
        <f>IF($H1850="","",DATE(YEAR($H1850),MONTH($H1850),1))</f>
        <v/>
      </c>
      <c r="N1850" s="26">
        <f>IF($H1850="","",TODAY()-$H1850)</f>
        <v/>
      </c>
      <c r="O1850" s="15" t="n"/>
      <c r="P1850" s="15" t="n"/>
      <c r="Q1850" s="15" t="n"/>
      <c r="R1850" s="25" t="n"/>
      <c r="S1850" s="26">
        <f>IF($A1850="","",AND(OR('Assignment Builder'!$B$5="",$B1850='Assignment Builder'!$B$5),OR('Assignment Builder'!$B$6="",ISNUMBER(SEARCH('Assignment Builder'!$B$6,$C1850))),OR('Assignment Builder'!$B$7="",'Assignment Builder'!$B$7=IFERROR(INDEX('Category Dictionary'!$C$5:$C$135,MATCH($L1850,'Category Dictionary'!$D$5:$D$135,0)),"")),OR('Assignment Builder'!$B$8="",$D1850='Assignment Builder'!$B$8),OR('Assignment Builder'!$B$9="",$F1850='Assignment Builder'!$B$9),OR('Assignment Builder'!$B$10="",$O1850='Assignment Builder'!$B$10),OR('Assignment Builder'!$B$11="",$H1850&gt;='Assignment Builder'!$B$11),OR('Assignment Builder'!$B$12="",N($Q1850)&lt;='Assignment Builder'!$B$12)))</f>
        <v/>
      </c>
      <c r="T1850" s="23" t="n"/>
    </row>
    <row r="1851">
      <c r="A1851" s="23" t="n"/>
      <c r="B1851" s="23" t="n"/>
      <c r="C1851" s="24" t="n"/>
      <c r="D1851" s="15" t="n"/>
      <c r="E1851" s="23" t="n"/>
      <c r="F1851" s="15" t="n"/>
      <c r="G1851" s="23" t="n"/>
      <c r="H1851" s="25" t="n"/>
      <c r="I1851" s="15" t="n"/>
      <c r="J1851" s="26">
        <f>IF($A1851="","",LEN($C1851)-LEN(SUBSTITUTE($C1851,",",""))+1)</f>
        <v/>
      </c>
      <c r="K1851" s="26">
        <f>IF($A1851="","",SUMPRODUCT(--ISNUMBER(SEARCH('Category Dictionary'!$D$5:$D$135&amp;"",$C1851)),--('Category Dictionary'!$D$5:$D$135&lt;&gt;"")))</f>
        <v/>
      </c>
      <c r="L1851" s="27">
        <f>IF($A1851="","",TRIM(IF(ISERROR(FIND(",",$C1851)),$C1851,LEFT($C1851,FIND(",",$C1851)-1))))</f>
        <v/>
      </c>
      <c r="M1851" s="28">
        <f>IF($H1851="","",DATE(YEAR($H1851),MONTH($H1851),1))</f>
        <v/>
      </c>
      <c r="N1851" s="26">
        <f>IF($H1851="","",TODAY()-$H1851)</f>
        <v/>
      </c>
      <c r="O1851" s="15" t="n"/>
      <c r="P1851" s="15" t="n"/>
      <c r="Q1851" s="15" t="n"/>
      <c r="R1851" s="25" t="n"/>
      <c r="S1851" s="26">
        <f>IF($A1851="","",AND(OR('Assignment Builder'!$B$5="",$B1851='Assignment Builder'!$B$5),OR('Assignment Builder'!$B$6="",ISNUMBER(SEARCH('Assignment Builder'!$B$6,$C1851))),OR('Assignment Builder'!$B$7="",'Assignment Builder'!$B$7=IFERROR(INDEX('Category Dictionary'!$C$5:$C$135,MATCH($L1851,'Category Dictionary'!$D$5:$D$135,0)),"")),OR('Assignment Builder'!$B$8="",$D1851='Assignment Builder'!$B$8),OR('Assignment Builder'!$B$9="",$F1851='Assignment Builder'!$B$9),OR('Assignment Builder'!$B$10="",$O1851='Assignment Builder'!$B$10),OR('Assignment Builder'!$B$11="",$H1851&gt;='Assignment Builder'!$B$11),OR('Assignment Builder'!$B$12="",N($Q1851)&lt;='Assignment Builder'!$B$12)))</f>
        <v/>
      </c>
      <c r="T1851" s="23" t="n"/>
    </row>
    <row r="1852">
      <c r="A1852" s="23" t="n"/>
      <c r="B1852" s="23" t="n"/>
      <c r="C1852" s="24" t="n"/>
      <c r="D1852" s="15" t="n"/>
      <c r="E1852" s="23" t="n"/>
      <c r="F1852" s="15" t="n"/>
      <c r="G1852" s="23" t="n"/>
      <c r="H1852" s="25" t="n"/>
      <c r="I1852" s="15" t="n"/>
      <c r="J1852" s="26">
        <f>IF($A1852="","",LEN($C1852)-LEN(SUBSTITUTE($C1852,",",""))+1)</f>
        <v/>
      </c>
      <c r="K1852" s="26">
        <f>IF($A1852="","",SUMPRODUCT(--ISNUMBER(SEARCH('Category Dictionary'!$D$5:$D$135&amp;"",$C1852)),--('Category Dictionary'!$D$5:$D$135&lt;&gt;"")))</f>
        <v/>
      </c>
      <c r="L1852" s="27">
        <f>IF($A1852="","",TRIM(IF(ISERROR(FIND(",",$C1852)),$C1852,LEFT($C1852,FIND(",",$C1852)-1))))</f>
        <v/>
      </c>
      <c r="M1852" s="28">
        <f>IF($H1852="","",DATE(YEAR($H1852),MONTH($H1852),1))</f>
        <v/>
      </c>
      <c r="N1852" s="26">
        <f>IF($H1852="","",TODAY()-$H1852)</f>
        <v/>
      </c>
      <c r="O1852" s="15" t="n"/>
      <c r="P1852" s="15" t="n"/>
      <c r="Q1852" s="15" t="n"/>
      <c r="R1852" s="25" t="n"/>
      <c r="S1852" s="26">
        <f>IF($A1852="","",AND(OR('Assignment Builder'!$B$5="",$B1852='Assignment Builder'!$B$5),OR('Assignment Builder'!$B$6="",ISNUMBER(SEARCH('Assignment Builder'!$B$6,$C1852))),OR('Assignment Builder'!$B$7="",'Assignment Builder'!$B$7=IFERROR(INDEX('Category Dictionary'!$C$5:$C$135,MATCH($L1852,'Category Dictionary'!$D$5:$D$135,0)),"")),OR('Assignment Builder'!$B$8="",$D1852='Assignment Builder'!$B$8),OR('Assignment Builder'!$B$9="",$F1852='Assignment Builder'!$B$9),OR('Assignment Builder'!$B$10="",$O1852='Assignment Builder'!$B$10),OR('Assignment Builder'!$B$11="",$H1852&gt;='Assignment Builder'!$B$11),OR('Assignment Builder'!$B$12="",N($Q1852)&lt;='Assignment Builder'!$B$12)))</f>
        <v/>
      </c>
      <c r="T1852" s="23" t="n"/>
    </row>
    <row r="1853">
      <c r="A1853" s="23" t="n"/>
      <c r="B1853" s="23" t="n"/>
      <c r="C1853" s="24" t="n"/>
      <c r="D1853" s="15" t="n"/>
      <c r="E1853" s="23" t="n"/>
      <c r="F1853" s="15" t="n"/>
      <c r="G1853" s="23" t="n"/>
      <c r="H1853" s="25" t="n"/>
      <c r="I1853" s="15" t="n"/>
      <c r="J1853" s="26">
        <f>IF($A1853="","",LEN($C1853)-LEN(SUBSTITUTE($C1853,",",""))+1)</f>
        <v/>
      </c>
      <c r="K1853" s="26">
        <f>IF($A1853="","",SUMPRODUCT(--ISNUMBER(SEARCH('Category Dictionary'!$D$5:$D$135&amp;"",$C1853)),--('Category Dictionary'!$D$5:$D$135&lt;&gt;"")))</f>
        <v/>
      </c>
      <c r="L1853" s="27">
        <f>IF($A1853="","",TRIM(IF(ISERROR(FIND(",",$C1853)),$C1853,LEFT($C1853,FIND(",",$C1853)-1))))</f>
        <v/>
      </c>
      <c r="M1853" s="28">
        <f>IF($H1853="","",DATE(YEAR($H1853),MONTH($H1853),1))</f>
        <v/>
      </c>
      <c r="N1853" s="26">
        <f>IF($H1853="","",TODAY()-$H1853)</f>
        <v/>
      </c>
      <c r="O1853" s="15" t="n"/>
      <c r="P1853" s="15" t="n"/>
      <c r="Q1853" s="15" t="n"/>
      <c r="R1853" s="25" t="n"/>
      <c r="S1853" s="26">
        <f>IF($A1853="","",AND(OR('Assignment Builder'!$B$5="",$B1853='Assignment Builder'!$B$5),OR('Assignment Builder'!$B$6="",ISNUMBER(SEARCH('Assignment Builder'!$B$6,$C1853))),OR('Assignment Builder'!$B$7="",'Assignment Builder'!$B$7=IFERROR(INDEX('Category Dictionary'!$C$5:$C$135,MATCH($L1853,'Category Dictionary'!$D$5:$D$135,0)),"")),OR('Assignment Builder'!$B$8="",$D1853='Assignment Builder'!$B$8),OR('Assignment Builder'!$B$9="",$F1853='Assignment Builder'!$B$9),OR('Assignment Builder'!$B$10="",$O1853='Assignment Builder'!$B$10),OR('Assignment Builder'!$B$11="",$H1853&gt;='Assignment Builder'!$B$11),OR('Assignment Builder'!$B$12="",N($Q1853)&lt;='Assignment Builder'!$B$12)))</f>
        <v/>
      </c>
      <c r="T1853" s="23" t="n"/>
    </row>
    <row r="1854">
      <c r="A1854" s="23" t="n"/>
      <c r="B1854" s="23" t="n"/>
      <c r="C1854" s="24" t="n"/>
      <c r="D1854" s="15" t="n"/>
      <c r="E1854" s="23" t="n"/>
      <c r="F1854" s="15" t="n"/>
      <c r="G1854" s="23" t="n"/>
      <c r="H1854" s="25" t="n"/>
      <c r="I1854" s="15" t="n"/>
      <c r="J1854" s="26">
        <f>IF($A1854="","",LEN($C1854)-LEN(SUBSTITUTE($C1854,",",""))+1)</f>
        <v/>
      </c>
      <c r="K1854" s="26">
        <f>IF($A1854="","",SUMPRODUCT(--ISNUMBER(SEARCH('Category Dictionary'!$D$5:$D$135&amp;"",$C1854)),--('Category Dictionary'!$D$5:$D$135&lt;&gt;"")))</f>
        <v/>
      </c>
      <c r="L1854" s="27">
        <f>IF($A1854="","",TRIM(IF(ISERROR(FIND(",",$C1854)),$C1854,LEFT($C1854,FIND(",",$C1854)-1))))</f>
        <v/>
      </c>
      <c r="M1854" s="28">
        <f>IF($H1854="","",DATE(YEAR($H1854),MONTH($H1854),1))</f>
        <v/>
      </c>
      <c r="N1854" s="26">
        <f>IF($H1854="","",TODAY()-$H1854)</f>
        <v/>
      </c>
      <c r="O1854" s="15" t="n"/>
      <c r="P1854" s="15" t="n"/>
      <c r="Q1854" s="15" t="n"/>
      <c r="R1854" s="25" t="n"/>
      <c r="S1854" s="26">
        <f>IF($A1854="","",AND(OR('Assignment Builder'!$B$5="",$B1854='Assignment Builder'!$B$5),OR('Assignment Builder'!$B$6="",ISNUMBER(SEARCH('Assignment Builder'!$B$6,$C1854))),OR('Assignment Builder'!$B$7="",'Assignment Builder'!$B$7=IFERROR(INDEX('Category Dictionary'!$C$5:$C$135,MATCH($L1854,'Category Dictionary'!$D$5:$D$135,0)),"")),OR('Assignment Builder'!$B$8="",$D1854='Assignment Builder'!$B$8),OR('Assignment Builder'!$B$9="",$F1854='Assignment Builder'!$B$9),OR('Assignment Builder'!$B$10="",$O1854='Assignment Builder'!$B$10),OR('Assignment Builder'!$B$11="",$H1854&gt;='Assignment Builder'!$B$11),OR('Assignment Builder'!$B$12="",N($Q1854)&lt;='Assignment Builder'!$B$12)))</f>
        <v/>
      </c>
      <c r="T1854" s="23" t="n"/>
    </row>
    <row r="1855">
      <c r="A1855" s="23" t="n"/>
      <c r="B1855" s="23" t="n"/>
      <c r="C1855" s="24" t="n"/>
      <c r="D1855" s="15" t="n"/>
      <c r="E1855" s="23" t="n"/>
      <c r="F1855" s="15" t="n"/>
      <c r="G1855" s="23" t="n"/>
      <c r="H1855" s="25" t="n"/>
      <c r="I1855" s="15" t="n"/>
      <c r="J1855" s="26">
        <f>IF($A1855="","",LEN($C1855)-LEN(SUBSTITUTE($C1855,",",""))+1)</f>
        <v/>
      </c>
      <c r="K1855" s="26">
        <f>IF($A1855="","",SUMPRODUCT(--ISNUMBER(SEARCH('Category Dictionary'!$D$5:$D$135&amp;"",$C1855)),--('Category Dictionary'!$D$5:$D$135&lt;&gt;"")))</f>
        <v/>
      </c>
      <c r="L1855" s="27">
        <f>IF($A1855="","",TRIM(IF(ISERROR(FIND(",",$C1855)),$C1855,LEFT($C1855,FIND(",",$C1855)-1))))</f>
        <v/>
      </c>
      <c r="M1855" s="28">
        <f>IF($H1855="","",DATE(YEAR($H1855),MONTH($H1855),1))</f>
        <v/>
      </c>
      <c r="N1855" s="26">
        <f>IF($H1855="","",TODAY()-$H1855)</f>
        <v/>
      </c>
      <c r="O1855" s="15" t="n"/>
      <c r="P1855" s="15" t="n"/>
      <c r="Q1855" s="15" t="n"/>
      <c r="R1855" s="25" t="n"/>
      <c r="S1855" s="26">
        <f>IF($A1855="","",AND(OR('Assignment Builder'!$B$5="",$B1855='Assignment Builder'!$B$5),OR('Assignment Builder'!$B$6="",ISNUMBER(SEARCH('Assignment Builder'!$B$6,$C1855))),OR('Assignment Builder'!$B$7="",'Assignment Builder'!$B$7=IFERROR(INDEX('Category Dictionary'!$C$5:$C$135,MATCH($L1855,'Category Dictionary'!$D$5:$D$135,0)),"")),OR('Assignment Builder'!$B$8="",$D1855='Assignment Builder'!$B$8),OR('Assignment Builder'!$B$9="",$F1855='Assignment Builder'!$B$9),OR('Assignment Builder'!$B$10="",$O1855='Assignment Builder'!$B$10),OR('Assignment Builder'!$B$11="",$H1855&gt;='Assignment Builder'!$B$11),OR('Assignment Builder'!$B$12="",N($Q1855)&lt;='Assignment Builder'!$B$12)))</f>
        <v/>
      </c>
      <c r="T1855" s="23" t="n"/>
    </row>
    <row r="1856">
      <c r="A1856" s="23" t="n"/>
      <c r="B1856" s="23" t="n"/>
      <c r="C1856" s="24" t="n"/>
      <c r="D1856" s="15" t="n"/>
      <c r="E1856" s="23" t="n"/>
      <c r="F1856" s="15" t="n"/>
      <c r="G1856" s="23" t="n"/>
      <c r="H1856" s="25" t="n"/>
      <c r="I1856" s="15" t="n"/>
      <c r="J1856" s="26">
        <f>IF($A1856="","",LEN($C1856)-LEN(SUBSTITUTE($C1856,",",""))+1)</f>
        <v/>
      </c>
      <c r="K1856" s="26">
        <f>IF($A1856="","",SUMPRODUCT(--ISNUMBER(SEARCH('Category Dictionary'!$D$5:$D$135&amp;"",$C1856)),--('Category Dictionary'!$D$5:$D$135&lt;&gt;"")))</f>
        <v/>
      </c>
      <c r="L1856" s="27">
        <f>IF($A1856="","",TRIM(IF(ISERROR(FIND(",",$C1856)),$C1856,LEFT($C1856,FIND(",",$C1856)-1))))</f>
        <v/>
      </c>
      <c r="M1856" s="28">
        <f>IF($H1856="","",DATE(YEAR($H1856),MONTH($H1856),1))</f>
        <v/>
      </c>
      <c r="N1856" s="26">
        <f>IF($H1856="","",TODAY()-$H1856)</f>
        <v/>
      </c>
      <c r="O1856" s="15" t="n"/>
      <c r="P1856" s="15" t="n"/>
      <c r="Q1856" s="15" t="n"/>
      <c r="R1856" s="25" t="n"/>
      <c r="S1856" s="26">
        <f>IF($A1856="","",AND(OR('Assignment Builder'!$B$5="",$B1856='Assignment Builder'!$B$5),OR('Assignment Builder'!$B$6="",ISNUMBER(SEARCH('Assignment Builder'!$B$6,$C1856))),OR('Assignment Builder'!$B$7="",'Assignment Builder'!$B$7=IFERROR(INDEX('Category Dictionary'!$C$5:$C$135,MATCH($L1856,'Category Dictionary'!$D$5:$D$135,0)),"")),OR('Assignment Builder'!$B$8="",$D1856='Assignment Builder'!$B$8),OR('Assignment Builder'!$B$9="",$F1856='Assignment Builder'!$B$9),OR('Assignment Builder'!$B$10="",$O1856='Assignment Builder'!$B$10),OR('Assignment Builder'!$B$11="",$H1856&gt;='Assignment Builder'!$B$11),OR('Assignment Builder'!$B$12="",N($Q1856)&lt;='Assignment Builder'!$B$12)))</f>
        <v/>
      </c>
      <c r="T1856" s="23" t="n"/>
    </row>
    <row r="1857">
      <c r="A1857" s="23" t="n"/>
      <c r="B1857" s="23" t="n"/>
      <c r="C1857" s="24" t="n"/>
      <c r="D1857" s="15" t="n"/>
      <c r="E1857" s="23" t="n"/>
      <c r="F1857" s="15" t="n"/>
      <c r="G1857" s="23" t="n"/>
      <c r="H1857" s="25" t="n"/>
      <c r="I1857" s="15" t="n"/>
      <c r="J1857" s="26">
        <f>IF($A1857="","",LEN($C1857)-LEN(SUBSTITUTE($C1857,",",""))+1)</f>
        <v/>
      </c>
      <c r="K1857" s="26">
        <f>IF($A1857="","",SUMPRODUCT(--ISNUMBER(SEARCH('Category Dictionary'!$D$5:$D$135&amp;"",$C1857)),--('Category Dictionary'!$D$5:$D$135&lt;&gt;"")))</f>
        <v/>
      </c>
      <c r="L1857" s="27">
        <f>IF($A1857="","",TRIM(IF(ISERROR(FIND(",",$C1857)),$C1857,LEFT($C1857,FIND(",",$C1857)-1))))</f>
        <v/>
      </c>
      <c r="M1857" s="28">
        <f>IF($H1857="","",DATE(YEAR($H1857),MONTH($H1857),1))</f>
        <v/>
      </c>
      <c r="N1857" s="26">
        <f>IF($H1857="","",TODAY()-$H1857)</f>
        <v/>
      </c>
      <c r="O1857" s="15" t="n"/>
      <c r="P1857" s="15" t="n"/>
      <c r="Q1857" s="15" t="n"/>
      <c r="R1857" s="25" t="n"/>
      <c r="S1857" s="26">
        <f>IF($A1857="","",AND(OR('Assignment Builder'!$B$5="",$B1857='Assignment Builder'!$B$5),OR('Assignment Builder'!$B$6="",ISNUMBER(SEARCH('Assignment Builder'!$B$6,$C1857))),OR('Assignment Builder'!$B$7="",'Assignment Builder'!$B$7=IFERROR(INDEX('Category Dictionary'!$C$5:$C$135,MATCH($L1857,'Category Dictionary'!$D$5:$D$135,0)),"")),OR('Assignment Builder'!$B$8="",$D1857='Assignment Builder'!$B$8),OR('Assignment Builder'!$B$9="",$F1857='Assignment Builder'!$B$9),OR('Assignment Builder'!$B$10="",$O1857='Assignment Builder'!$B$10),OR('Assignment Builder'!$B$11="",$H1857&gt;='Assignment Builder'!$B$11),OR('Assignment Builder'!$B$12="",N($Q1857)&lt;='Assignment Builder'!$B$12)))</f>
        <v/>
      </c>
      <c r="T1857" s="23" t="n"/>
    </row>
    <row r="1858">
      <c r="A1858" s="23" t="n"/>
      <c r="B1858" s="23" t="n"/>
      <c r="C1858" s="24" t="n"/>
      <c r="D1858" s="15" t="n"/>
      <c r="E1858" s="23" t="n"/>
      <c r="F1858" s="15" t="n"/>
      <c r="G1858" s="23" t="n"/>
      <c r="H1858" s="25" t="n"/>
      <c r="I1858" s="15" t="n"/>
      <c r="J1858" s="26">
        <f>IF($A1858="","",LEN($C1858)-LEN(SUBSTITUTE($C1858,",",""))+1)</f>
        <v/>
      </c>
      <c r="K1858" s="26">
        <f>IF($A1858="","",SUMPRODUCT(--ISNUMBER(SEARCH('Category Dictionary'!$D$5:$D$135&amp;"",$C1858)),--('Category Dictionary'!$D$5:$D$135&lt;&gt;"")))</f>
        <v/>
      </c>
      <c r="L1858" s="27">
        <f>IF($A1858="","",TRIM(IF(ISERROR(FIND(",",$C1858)),$C1858,LEFT($C1858,FIND(",",$C1858)-1))))</f>
        <v/>
      </c>
      <c r="M1858" s="28">
        <f>IF($H1858="","",DATE(YEAR($H1858),MONTH($H1858),1))</f>
        <v/>
      </c>
      <c r="N1858" s="26">
        <f>IF($H1858="","",TODAY()-$H1858)</f>
        <v/>
      </c>
      <c r="O1858" s="15" t="n"/>
      <c r="P1858" s="15" t="n"/>
      <c r="Q1858" s="15" t="n"/>
      <c r="R1858" s="25" t="n"/>
      <c r="S1858" s="26">
        <f>IF($A1858="","",AND(OR('Assignment Builder'!$B$5="",$B1858='Assignment Builder'!$B$5),OR('Assignment Builder'!$B$6="",ISNUMBER(SEARCH('Assignment Builder'!$B$6,$C1858))),OR('Assignment Builder'!$B$7="",'Assignment Builder'!$B$7=IFERROR(INDEX('Category Dictionary'!$C$5:$C$135,MATCH($L1858,'Category Dictionary'!$D$5:$D$135,0)),"")),OR('Assignment Builder'!$B$8="",$D1858='Assignment Builder'!$B$8),OR('Assignment Builder'!$B$9="",$F1858='Assignment Builder'!$B$9),OR('Assignment Builder'!$B$10="",$O1858='Assignment Builder'!$B$10),OR('Assignment Builder'!$B$11="",$H1858&gt;='Assignment Builder'!$B$11),OR('Assignment Builder'!$B$12="",N($Q1858)&lt;='Assignment Builder'!$B$12)))</f>
        <v/>
      </c>
      <c r="T1858" s="23" t="n"/>
    </row>
    <row r="1859">
      <c r="A1859" s="23" t="n"/>
      <c r="B1859" s="23" t="n"/>
      <c r="C1859" s="24" t="n"/>
      <c r="D1859" s="15" t="n"/>
      <c r="E1859" s="23" t="n"/>
      <c r="F1859" s="15" t="n"/>
      <c r="G1859" s="23" t="n"/>
      <c r="H1859" s="25" t="n"/>
      <c r="I1859" s="15" t="n"/>
      <c r="J1859" s="26">
        <f>IF($A1859="","",LEN($C1859)-LEN(SUBSTITUTE($C1859,",",""))+1)</f>
        <v/>
      </c>
      <c r="K1859" s="26">
        <f>IF($A1859="","",SUMPRODUCT(--ISNUMBER(SEARCH('Category Dictionary'!$D$5:$D$135&amp;"",$C1859)),--('Category Dictionary'!$D$5:$D$135&lt;&gt;"")))</f>
        <v/>
      </c>
      <c r="L1859" s="27">
        <f>IF($A1859="","",TRIM(IF(ISERROR(FIND(",",$C1859)),$C1859,LEFT($C1859,FIND(",",$C1859)-1))))</f>
        <v/>
      </c>
      <c r="M1859" s="28">
        <f>IF($H1859="","",DATE(YEAR($H1859),MONTH($H1859),1))</f>
        <v/>
      </c>
      <c r="N1859" s="26">
        <f>IF($H1859="","",TODAY()-$H1859)</f>
        <v/>
      </c>
      <c r="O1859" s="15" t="n"/>
      <c r="P1859" s="15" t="n"/>
      <c r="Q1859" s="15" t="n"/>
      <c r="R1859" s="25" t="n"/>
      <c r="S1859" s="26">
        <f>IF($A1859="","",AND(OR('Assignment Builder'!$B$5="",$B1859='Assignment Builder'!$B$5),OR('Assignment Builder'!$B$6="",ISNUMBER(SEARCH('Assignment Builder'!$B$6,$C1859))),OR('Assignment Builder'!$B$7="",'Assignment Builder'!$B$7=IFERROR(INDEX('Category Dictionary'!$C$5:$C$135,MATCH($L1859,'Category Dictionary'!$D$5:$D$135,0)),"")),OR('Assignment Builder'!$B$8="",$D1859='Assignment Builder'!$B$8),OR('Assignment Builder'!$B$9="",$F1859='Assignment Builder'!$B$9),OR('Assignment Builder'!$B$10="",$O1859='Assignment Builder'!$B$10),OR('Assignment Builder'!$B$11="",$H1859&gt;='Assignment Builder'!$B$11),OR('Assignment Builder'!$B$12="",N($Q1859)&lt;='Assignment Builder'!$B$12)))</f>
        <v/>
      </c>
      <c r="T1859" s="23" t="n"/>
    </row>
    <row r="1860">
      <c r="A1860" s="23" t="n"/>
      <c r="B1860" s="23" t="n"/>
      <c r="C1860" s="24" t="n"/>
      <c r="D1860" s="15" t="n"/>
      <c r="E1860" s="23" t="n"/>
      <c r="F1860" s="15" t="n"/>
      <c r="G1860" s="23" t="n"/>
      <c r="H1860" s="25" t="n"/>
      <c r="I1860" s="15" t="n"/>
      <c r="J1860" s="26">
        <f>IF($A1860="","",LEN($C1860)-LEN(SUBSTITUTE($C1860,",",""))+1)</f>
        <v/>
      </c>
      <c r="K1860" s="26">
        <f>IF($A1860="","",SUMPRODUCT(--ISNUMBER(SEARCH('Category Dictionary'!$D$5:$D$135&amp;"",$C1860)),--('Category Dictionary'!$D$5:$D$135&lt;&gt;"")))</f>
        <v/>
      </c>
      <c r="L1860" s="27">
        <f>IF($A1860="","",TRIM(IF(ISERROR(FIND(",",$C1860)),$C1860,LEFT($C1860,FIND(",",$C1860)-1))))</f>
        <v/>
      </c>
      <c r="M1860" s="28">
        <f>IF($H1860="","",DATE(YEAR($H1860),MONTH($H1860),1))</f>
        <v/>
      </c>
      <c r="N1860" s="26">
        <f>IF($H1860="","",TODAY()-$H1860)</f>
        <v/>
      </c>
      <c r="O1860" s="15" t="n"/>
      <c r="P1860" s="15" t="n"/>
      <c r="Q1860" s="15" t="n"/>
      <c r="R1860" s="25" t="n"/>
      <c r="S1860" s="26">
        <f>IF($A1860="","",AND(OR('Assignment Builder'!$B$5="",$B1860='Assignment Builder'!$B$5),OR('Assignment Builder'!$B$6="",ISNUMBER(SEARCH('Assignment Builder'!$B$6,$C1860))),OR('Assignment Builder'!$B$7="",'Assignment Builder'!$B$7=IFERROR(INDEX('Category Dictionary'!$C$5:$C$135,MATCH($L1860,'Category Dictionary'!$D$5:$D$135,0)),"")),OR('Assignment Builder'!$B$8="",$D1860='Assignment Builder'!$B$8),OR('Assignment Builder'!$B$9="",$F1860='Assignment Builder'!$B$9),OR('Assignment Builder'!$B$10="",$O1860='Assignment Builder'!$B$10),OR('Assignment Builder'!$B$11="",$H1860&gt;='Assignment Builder'!$B$11),OR('Assignment Builder'!$B$12="",N($Q1860)&lt;='Assignment Builder'!$B$12)))</f>
        <v/>
      </c>
      <c r="T1860" s="23" t="n"/>
    </row>
    <row r="1861">
      <c r="A1861" s="23" t="n"/>
      <c r="B1861" s="23" t="n"/>
      <c r="C1861" s="24" t="n"/>
      <c r="D1861" s="15" t="n"/>
      <c r="E1861" s="23" t="n"/>
      <c r="F1861" s="15" t="n"/>
      <c r="G1861" s="23" t="n"/>
      <c r="H1861" s="25" t="n"/>
      <c r="I1861" s="15" t="n"/>
      <c r="J1861" s="26">
        <f>IF($A1861="","",LEN($C1861)-LEN(SUBSTITUTE($C1861,",",""))+1)</f>
        <v/>
      </c>
      <c r="K1861" s="26">
        <f>IF($A1861="","",SUMPRODUCT(--ISNUMBER(SEARCH('Category Dictionary'!$D$5:$D$135&amp;"",$C1861)),--('Category Dictionary'!$D$5:$D$135&lt;&gt;"")))</f>
        <v/>
      </c>
      <c r="L1861" s="27">
        <f>IF($A1861="","",TRIM(IF(ISERROR(FIND(",",$C1861)),$C1861,LEFT($C1861,FIND(",",$C1861)-1))))</f>
        <v/>
      </c>
      <c r="M1861" s="28">
        <f>IF($H1861="","",DATE(YEAR($H1861),MONTH($H1861),1))</f>
        <v/>
      </c>
      <c r="N1861" s="26">
        <f>IF($H1861="","",TODAY()-$H1861)</f>
        <v/>
      </c>
      <c r="O1861" s="15" t="n"/>
      <c r="P1861" s="15" t="n"/>
      <c r="Q1861" s="15" t="n"/>
      <c r="R1861" s="25" t="n"/>
      <c r="S1861" s="26">
        <f>IF($A1861="","",AND(OR('Assignment Builder'!$B$5="",$B1861='Assignment Builder'!$B$5),OR('Assignment Builder'!$B$6="",ISNUMBER(SEARCH('Assignment Builder'!$B$6,$C1861))),OR('Assignment Builder'!$B$7="",'Assignment Builder'!$B$7=IFERROR(INDEX('Category Dictionary'!$C$5:$C$135,MATCH($L1861,'Category Dictionary'!$D$5:$D$135,0)),"")),OR('Assignment Builder'!$B$8="",$D1861='Assignment Builder'!$B$8),OR('Assignment Builder'!$B$9="",$F1861='Assignment Builder'!$B$9),OR('Assignment Builder'!$B$10="",$O1861='Assignment Builder'!$B$10),OR('Assignment Builder'!$B$11="",$H1861&gt;='Assignment Builder'!$B$11),OR('Assignment Builder'!$B$12="",N($Q1861)&lt;='Assignment Builder'!$B$12)))</f>
        <v/>
      </c>
      <c r="T1861" s="23" t="n"/>
    </row>
    <row r="1862">
      <c r="A1862" s="23" t="n"/>
      <c r="B1862" s="23" t="n"/>
      <c r="C1862" s="24" t="n"/>
      <c r="D1862" s="15" t="n"/>
      <c r="E1862" s="23" t="n"/>
      <c r="F1862" s="15" t="n"/>
      <c r="G1862" s="23" t="n"/>
      <c r="H1862" s="25" t="n"/>
      <c r="I1862" s="15" t="n"/>
      <c r="J1862" s="26">
        <f>IF($A1862="","",LEN($C1862)-LEN(SUBSTITUTE($C1862,",",""))+1)</f>
        <v/>
      </c>
      <c r="K1862" s="26">
        <f>IF($A1862="","",SUMPRODUCT(--ISNUMBER(SEARCH('Category Dictionary'!$D$5:$D$135&amp;"",$C1862)),--('Category Dictionary'!$D$5:$D$135&lt;&gt;"")))</f>
        <v/>
      </c>
      <c r="L1862" s="27">
        <f>IF($A1862="","",TRIM(IF(ISERROR(FIND(",",$C1862)),$C1862,LEFT($C1862,FIND(",",$C1862)-1))))</f>
        <v/>
      </c>
      <c r="M1862" s="28">
        <f>IF($H1862="","",DATE(YEAR($H1862),MONTH($H1862),1))</f>
        <v/>
      </c>
      <c r="N1862" s="26">
        <f>IF($H1862="","",TODAY()-$H1862)</f>
        <v/>
      </c>
      <c r="O1862" s="15" t="n"/>
      <c r="P1862" s="15" t="n"/>
      <c r="Q1862" s="15" t="n"/>
      <c r="R1862" s="25" t="n"/>
      <c r="S1862" s="26">
        <f>IF($A1862="","",AND(OR('Assignment Builder'!$B$5="",$B1862='Assignment Builder'!$B$5),OR('Assignment Builder'!$B$6="",ISNUMBER(SEARCH('Assignment Builder'!$B$6,$C1862))),OR('Assignment Builder'!$B$7="",'Assignment Builder'!$B$7=IFERROR(INDEX('Category Dictionary'!$C$5:$C$135,MATCH($L1862,'Category Dictionary'!$D$5:$D$135,0)),"")),OR('Assignment Builder'!$B$8="",$D1862='Assignment Builder'!$B$8),OR('Assignment Builder'!$B$9="",$F1862='Assignment Builder'!$B$9),OR('Assignment Builder'!$B$10="",$O1862='Assignment Builder'!$B$10),OR('Assignment Builder'!$B$11="",$H1862&gt;='Assignment Builder'!$B$11),OR('Assignment Builder'!$B$12="",N($Q1862)&lt;='Assignment Builder'!$B$12)))</f>
        <v/>
      </c>
      <c r="T1862" s="23" t="n"/>
    </row>
    <row r="1863">
      <c r="A1863" s="23" t="n"/>
      <c r="B1863" s="23" t="n"/>
      <c r="C1863" s="24" t="n"/>
      <c r="D1863" s="15" t="n"/>
      <c r="E1863" s="23" t="n"/>
      <c r="F1863" s="15" t="n"/>
      <c r="G1863" s="23" t="n"/>
      <c r="H1863" s="25" t="n"/>
      <c r="I1863" s="15" t="n"/>
      <c r="J1863" s="26">
        <f>IF($A1863="","",LEN($C1863)-LEN(SUBSTITUTE($C1863,",",""))+1)</f>
        <v/>
      </c>
      <c r="K1863" s="26">
        <f>IF($A1863="","",SUMPRODUCT(--ISNUMBER(SEARCH('Category Dictionary'!$D$5:$D$135&amp;"",$C1863)),--('Category Dictionary'!$D$5:$D$135&lt;&gt;"")))</f>
        <v/>
      </c>
      <c r="L1863" s="27">
        <f>IF($A1863="","",TRIM(IF(ISERROR(FIND(",",$C1863)),$C1863,LEFT($C1863,FIND(",",$C1863)-1))))</f>
        <v/>
      </c>
      <c r="M1863" s="28">
        <f>IF($H1863="","",DATE(YEAR($H1863),MONTH($H1863),1))</f>
        <v/>
      </c>
      <c r="N1863" s="26">
        <f>IF($H1863="","",TODAY()-$H1863)</f>
        <v/>
      </c>
      <c r="O1863" s="15" t="n"/>
      <c r="P1863" s="15" t="n"/>
      <c r="Q1863" s="15" t="n"/>
      <c r="R1863" s="25" t="n"/>
      <c r="S1863" s="26">
        <f>IF($A1863="","",AND(OR('Assignment Builder'!$B$5="",$B1863='Assignment Builder'!$B$5),OR('Assignment Builder'!$B$6="",ISNUMBER(SEARCH('Assignment Builder'!$B$6,$C1863))),OR('Assignment Builder'!$B$7="",'Assignment Builder'!$B$7=IFERROR(INDEX('Category Dictionary'!$C$5:$C$135,MATCH($L1863,'Category Dictionary'!$D$5:$D$135,0)),"")),OR('Assignment Builder'!$B$8="",$D1863='Assignment Builder'!$B$8),OR('Assignment Builder'!$B$9="",$F1863='Assignment Builder'!$B$9),OR('Assignment Builder'!$B$10="",$O1863='Assignment Builder'!$B$10),OR('Assignment Builder'!$B$11="",$H1863&gt;='Assignment Builder'!$B$11),OR('Assignment Builder'!$B$12="",N($Q1863)&lt;='Assignment Builder'!$B$12)))</f>
        <v/>
      </c>
      <c r="T1863" s="23" t="n"/>
    </row>
    <row r="1864">
      <c r="A1864" s="23" t="n"/>
      <c r="B1864" s="23" t="n"/>
      <c r="C1864" s="24" t="n"/>
      <c r="D1864" s="15" t="n"/>
      <c r="E1864" s="23" t="n"/>
      <c r="F1864" s="15" t="n"/>
      <c r="G1864" s="23" t="n"/>
      <c r="H1864" s="25" t="n"/>
      <c r="I1864" s="15" t="n"/>
      <c r="J1864" s="26">
        <f>IF($A1864="","",LEN($C1864)-LEN(SUBSTITUTE($C1864,",",""))+1)</f>
        <v/>
      </c>
      <c r="K1864" s="26">
        <f>IF($A1864="","",SUMPRODUCT(--ISNUMBER(SEARCH('Category Dictionary'!$D$5:$D$135&amp;"",$C1864)),--('Category Dictionary'!$D$5:$D$135&lt;&gt;"")))</f>
        <v/>
      </c>
      <c r="L1864" s="27">
        <f>IF($A1864="","",TRIM(IF(ISERROR(FIND(",",$C1864)),$C1864,LEFT($C1864,FIND(",",$C1864)-1))))</f>
        <v/>
      </c>
      <c r="M1864" s="28">
        <f>IF($H1864="","",DATE(YEAR($H1864),MONTH($H1864),1))</f>
        <v/>
      </c>
      <c r="N1864" s="26">
        <f>IF($H1864="","",TODAY()-$H1864)</f>
        <v/>
      </c>
      <c r="O1864" s="15" t="n"/>
      <c r="P1864" s="15" t="n"/>
      <c r="Q1864" s="15" t="n"/>
      <c r="R1864" s="25" t="n"/>
      <c r="S1864" s="26">
        <f>IF($A1864="","",AND(OR('Assignment Builder'!$B$5="",$B1864='Assignment Builder'!$B$5),OR('Assignment Builder'!$B$6="",ISNUMBER(SEARCH('Assignment Builder'!$B$6,$C1864))),OR('Assignment Builder'!$B$7="",'Assignment Builder'!$B$7=IFERROR(INDEX('Category Dictionary'!$C$5:$C$135,MATCH($L1864,'Category Dictionary'!$D$5:$D$135,0)),"")),OR('Assignment Builder'!$B$8="",$D1864='Assignment Builder'!$B$8),OR('Assignment Builder'!$B$9="",$F1864='Assignment Builder'!$B$9),OR('Assignment Builder'!$B$10="",$O1864='Assignment Builder'!$B$10),OR('Assignment Builder'!$B$11="",$H1864&gt;='Assignment Builder'!$B$11),OR('Assignment Builder'!$B$12="",N($Q1864)&lt;='Assignment Builder'!$B$12)))</f>
        <v/>
      </c>
      <c r="T1864" s="23" t="n"/>
    </row>
    <row r="1865">
      <c r="A1865" s="23" t="n"/>
      <c r="B1865" s="23" t="n"/>
      <c r="C1865" s="24" t="n"/>
      <c r="D1865" s="15" t="n"/>
      <c r="E1865" s="23" t="n"/>
      <c r="F1865" s="15" t="n"/>
      <c r="G1865" s="23" t="n"/>
      <c r="H1865" s="25" t="n"/>
      <c r="I1865" s="15" t="n"/>
      <c r="J1865" s="26">
        <f>IF($A1865="","",LEN($C1865)-LEN(SUBSTITUTE($C1865,",",""))+1)</f>
        <v/>
      </c>
      <c r="K1865" s="26">
        <f>IF($A1865="","",SUMPRODUCT(--ISNUMBER(SEARCH('Category Dictionary'!$D$5:$D$135&amp;"",$C1865)),--('Category Dictionary'!$D$5:$D$135&lt;&gt;"")))</f>
        <v/>
      </c>
      <c r="L1865" s="27">
        <f>IF($A1865="","",TRIM(IF(ISERROR(FIND(",",$C1865)),$C1865,LEFT($C1865,FIND(",",$C1865)-1))))</f>
        <v/>
      </c>
      <c r="M1865" s="28">
        <f>IF($H1865="","",DATE(YEAR($H1865),MONTH($H1865),1))</f>
        <v/>
      </c>
      <c r="N1865" s="26">
        <f>IF($H1865="","",TODAY()-$H1865)</f>
        <v/>
      </c>
      <c r="O1865" s="15" t="n"/>
      <c r="P1865" s="15" t="n"/>
      <c r="Q1865" s="15" t="n"/>
      <c r="R1865" s="25" t="n"/>
      <c r="S1865" s="26">
        <f>IF($A1865="","",AND(OR('Assignment Builder'!$B$5="",$B1865='Assignment Builder'!$B$5),OR('Assignment Builder'!$B$6="",ISNUMBER(SEARCH('Assignment Builder'!$B$6,$C1865))),OR('Assignment Builder'!$B$7="",'Assignment Builder'!$B$7=IFERROR(INDEX('Category Dictionary'!$C$5:$C$135,MATCH($L1865,'Category Dictionary'!$D$5:$D$135,0)),"")),OR('Assignment Builder'!$B$8="",$D1865='Assignment Builder'!$B$8),OR('Assignment Builder'!$B$9="",$F1865='Assignment Builder'!$B$9),OR('Assignment Builder'!$B$10="",$O1865='Assignment Builder'!$B$10),OR('Assignment Builder'!$B$11="",$H1865&gt;='Assignment Builder'!$B$11),OR('Assignment Builder'!$B$12="",N($Q1865)&lt;='Assignment Builder'!$B$12)))</f>
        <v/>
      </c>
      <c r="T1865" s="23" t="n"/>
    </row>
    <row r="1866">
      <c r="A1866" s="23" t="n"/>
      <c r="B1866" s="23" t="n"/>
      <c r="C1866" s="24" t="n"/>
      <c r="D1866" s="15" t="n"/>
      <c r="E1866" s="23" t="n"/>
      <c r="F1866" s="15" t="n"/>
      <c r="G1866" s="23" t="n"/>
      <c r="H1866" s="25" t="n"/>
      <c r="I1866" s="15" t="n"/>
      <c r="J1866" s="26">
        <f>IF($A1866="","",LEN($C1866)-LEN(SUBSTITUTE($C1866,",",""))+1)</f>
        <v/>
      </c>
      <c r="K1866" s="26">
        <f>IF($A1866="","",SUMPRODUCT(--ISNUMBER(SEARCH('Category Dictionary'!$D$5:$D$135&amp;"",$C1866)),--('Category Dictionary'!$D$5:$D$135&lt;&gt;"")))</f>
        <v/>
      </c>
      <c r="L1866" s="27">
        <f>IF($A1866="","",TRIM(IF(ISERROR(FIND(",",$C1866)),$C1866,LEFT($C1866,FIND(",",$C1866)-1))))</f>
        <v/>
      </c>
      <c r="M1866" s="28">
        <f>IF($H1866="","",DATE(YEAR($H1866),MONTH($H1866),1))</f>
        <v/>
      </c>
      <c r="N1866" s="26">
        <f>IF($H1866="","",TODAY()-$H1866)</f>
        <v/>
      </c>
      <c r="O1866" s="15" t="n"/>
      <c r="P1866" s="15" t="n"/>
      <c r="Q1866" s="15" t="n"/>
      <c r="R1866" s="25" t="n"/>
      <c r="S1866" s="26">
        <f>IF($A1866="","",AND(OR('Assignment Builder'!$B$5="",$B1866='Assignment Builder'!$B$5),OR('Assignment Builder'!$B$6="",ISNUMBER(SEARCH('Assignment Builder'!$B$6,$C1866))),OR('Assignment Builder'!$B$7="",'Assignment Builder'!$B$7=IFERROR(INDEX('Category Dictionary'!$C$5:$C$135,MATCH($L1866,'Category Dictionary'!$D$5:$D$135,0)),"")),OR('Assignment Builder'!$B$8="",$D1866='Assignment Builder'!$B$8),OR('Assignment Builder'!$B$9="",$F1866='Assignment Builder'!$B$9),OR('Assignment Builder'!$B$10="",$O1866='Assignment Builder'!$B$10),OR('Assignment Builder'!$B$11="",$H1866&gt;='Assignment Builder'!$B$11),OR('Assignment Builder'!$B$12="",N($Q1866)&lt;='Assignment Builder'!$B$12)))</f>
        <v/>
      </c>
      <c r="T1866" s="23" t="n"/>
    </row>
    <row r="1867">
      <c r="A1867" s="23" t="n"/>
      <c r="B1867" s="23" t="n"/>
      <c r="C1867" s="24" t="n"/>
      <c r="D1867" s="15" t="n"/>
      <c r="E1867" s="23" t="n"/>
      <c r="F1867" s="15" t="n"/>
      <c r="G1867" s="23" t="n"/>
      <c r="H1867" s="25" t="n"/>
      <c r="I1867" s="15" t="n"/>
      <c r="J1867" s="26">
        <f>IF($A1867="","",LEN($C1867)-LEN(SUBSTITUTE($C1867,",",""))+1)</f>
        <v/>
      </c>
      <c r="K1867" s="26">
        <f>IF($A1867="","",SUMPRODUCT(--ISNUMBER(SEARCH('Category Dictionary'!$D$5:$D$135&amp;"",$C1867)),--('Category Dictionary'!$D$5:$D$135&lt;&gt;"")))</f>
        <v/>
      </c>
      <c r="L1867" s="27">
        <f>IF($A1867="","",TRIM(IF(ISERROR(FIND(",",$C1867)),$C1867,LEFT($C1867,FIND(",",$C1867)-1))))</f>
        <v/>
      </c>
      <c r="M1867" s="28">
        <f>IF($H1867="","",DATE(YEAR($H1867),MONTH($H1867),1))</f>
        <v/>
      </c>
      <c r="N1867" s="26">
        <f>IF($H1867="","",TODAY()-$H1867)</f>
        <v/>
      </c>
      <c r="O1867" s="15" t="n"/>
      <c r="P1867" s="15" t="n"/>
      <c r="Q1867" s="15" t="n"/>
      <c r="R1867" s="25" t="n"/>
      <c r="S1867" s="26">
        <f>IF($A1867="","",AND(OR('Assignment Builder'!$B$5="",$B1867='Assignment Builder'!$B$5),OR('Assignment Builder'!$B$6="",ISNUMBER(SEARCH('Assignment Builder'!$B$6,$C1867))),OR('Assignment Builder'!$B$7="",'Assignment Builder'!$B$7=IFERROR(INDEX('Category Dictionary'!$C$5:$C$135,MATCH($L1867,'Category Dictionary'!$D$5:$D$135,0)),"")),OR('Assignment Builder'!$B$8="",$D1867='Assignment Builder'!$B$8),OR('Assignment Builder'!$B$9="",$F1867='Assignment Builder'!$B$9),OR('Assignment Builder'!$B$10="",$O1867='Assignment Builder'!$B$10),OR('Assignment Builder'!$B$11="",$H1867&gt;='Assignment Builder'!$B$11),OR('Assignment Builder'!$B$12="",N($Q1867)&lt;='Assignment Builder'!$B$12)))</f>
        <v/>
      </c>
      <c r="T1867" s="23" t="n"/>
    </row>
    <row r="1868">
      <c r="A1868" s="23" t="n"/>
      <c r="B1868" s="23" t="n"/>
      <c r="C1868" s="24" t="n"/>
      <c r="D1868" s="15" t="n"/>
      <c r="E1868" s="23" t="n"/>
      <c r="F1868" s="15" t="n"/>
      <c r="G1868" s="23" t="n"/>
      <c r="H1868" s="25" t="n"/>
      <c r="I1868" s="15" t="n"/>
      <c r="J1868" s="26">
        <f>IF($A1868="","",LEN($C1868)-LEN(SUBSTITUTE($C1868,",",""))+1)</f>
        <v/>
      </c>
      <c r="K1868" s="26">
        <f>IF($A1868="","",SUMPRODUCT(--ISNUMBER(SEARCH('Category Dictionary'!$D$5:$D$135&amp;"",$C1868)),--('Category Dictionary'!$D$5:$D$135&lt;&gt;"")))</f>
        <v/>
      </c>
      <c r="L1868" s="27">
        <f>IF($A1868="","",TRIM(IF(ISERROR(FIND(",",$C1868)),$C1868,LEFT($C1868,FIND(",",$C1868)-1))))</f>
        <v/>
      </c>
      <c r="M1868" s="28">
        <f>IF($H1868="","",DATE(YEAR($H1868),MONTH($H1868),1))</f>
        <v/>
      </c>
      <c r="N1868" s="26">
        <f>IF($H1868="","",TODAY()-$H1868)</f>
        <v/>
      </c>
      <c r="O1868" s="15" t="n"/>
      <c r="P1868" s="15" t="n"/>
      <c r="Q1868" s="15" t="n"/>
      <c r="R1868" s="25" t="n"/>
      <c r="S1868" s="26">
        <f>IF($A1868="","",AND(OR('Assignment Builder'!$B$5="",$B1868='Assignment Builder'!$B$5),OR('Assignment Builder'!$B$6="",ISNUMBER(SEARCH('Assignment Builder'!$B$6,$C1868))),OR('Assignment Builder'!$B$7="",'Assignment Builder'!$B$7=IFERROR(INDEX('Category Dictionary'!$C$5:$C$135,MATCH($L1868,'Category Dictionary'!$D$5:$D$135,0)),"")),OR('Assignment Builder'!$B$8="",$D1868='Assignment Builder'!$B$8),OR('Assignment Builder'!$B$9="",$F1868='Assignment Builder'!$B$9),OR('Assignment Builder'!$B$10="",$O1868='Assignment Builder'!$B$10),OR('Assignment Builder'!$B$11="",$H1868&gt;='Assignment Builder'!$B$11),OR('Assignment Builder'!$B$12="",N($Q1868)&lt;='Assignment Builder'!$B$12)))</f>
        <v/>
      </c>
      <c r="T1868" s="23" t="n"/>
    </row>
    <row r="1869">
      <c r="A1869" s="23" t="n"/>
      <c r="B1869" s="23" t="n"/>
      <c r="C1869" s="24" t="n"/>
      <c r="D1869" s="15" t="n"/>
      <c r="E1869" s="23" t="n"/>
      <c r="F1869" s="15" t="n"/>
      <c r="G1869" s="23" t="n"/>
      <c r="H1869" s="25" t="n"/>
      <c r="I1869" s="15" t="n"/>
      <c r="J1869" s="26">
        <f>IF($A1869="","",LEN($C1869)-LEN(SUBSTITUTE($C1869,",",""))+1)</f>
        <v/>
      </c>
      <c r="K1869" s="26">
        <f>IF($A1869="","",SUMPRODUCT(--ISNUMBER(SEARCH('Category Dictionary'!$D$5:$D$135&amp;"",$C1869)),--('Category Dictionary'!$D$5:$D$135&lt;&gt;"")))</f>
        <v/>
      </c>
      <c r="L1869" s="27">
        <f>IF($A1869="","",TRIM(IF(ISERROR(FIND(",",$C1869)),$C1869,LEFT($C1869,FIND(",",$C1869)-1))))</f>
        <v/>
      </c>
      <c r="M1869" s="28">
        <f>IF($H1869="","",DATE(YEAR($H1869),MONTH($H1869),1))</f>
        <v/>
      </c>
      <c r="N1869" s="26">
        <f>IF($H1869="","",TODAY()-$H1869)</f>
        <v/>
      </c>
      <c r="O1869" s="15" t="n"/>
      <c r="P1869" s="15" t="n"/>
      <c r="Q1869" s="15" t="n"/>
      <c r="R1869" s="25" t="n"/>
      <c r="S1869" s="26">
        <f>IF($A1869="","",AND(OR('Assignment Builder'!$B$5="",$B1869='Assignment Builder'!$B$5),OR('Assignment Builder'!$B$6="",ISNUMBER(SEARCH('Assignment Builder'!$B$6,$C1869))),OR('Assignment Builder'!$B$7="",'Assignment Builder'!$B$7=IFERROR(INDEX('Category Dictionary'!$C$5:$C$135,MATCH($L1869,'Category Dictionary'!$D$5:$D$135,0)),"")),OR('Assignment Builder'!$B$8="",$D1869='Assignment Builder'!$B$8),OR('Assignment Builder'!$B$9="",$F1869='Assignment Builder'!$B$9),OR('Assignment Builder'!$B$10="",$O1869='Assignment Builder'!$B$10),OR('Assignment Builder'!$B$11="",$H1869&gt;='Assignment Builder'!$B$11),OR('Assignment Builder'!$B$12="",N($Q1869)&lt;='Assignment Builder'!$B$12)))</f>
        <v/>
      </c>
      <c r="T1869" s="23" t="n"/>
    </row>
    <row r="1870">
      <c r="A1870" s="23" t="n"/>
      <c r="B1870" s="23" t="n"/>
      <c r="C1870" s="24" t="n"/>
      <c r="D1870" s="15" t="n"/>
      <c r="E1870" s="23" t="n"/>
      <c r="F1870" s="15" t="n"/>
      <c r="G1870" s="23" t="n"/>
      <c r="H1870" s="25" t="n"/>
      <c r="I1870" s="15" t="n"/>
      <c r="J1870" s="26">
        <f>IF($A1870="","",LEN($C1870)-LEN(SUBSTITUTE($C1870,",",""))+1)</f>
        <v/>
      </c>
      <c r="K1870" s="26">
        <f>IF($A1870="","",SUMPRODUCT(--ISNUMBER(SEARCH('Category Dictionary'!$D$5:$D$135&amp;"",$C1870)),--('Category Dictionary'!$D$5:$D$135&lt;&gt;"")))</f>
        <v/>
      </c>
      <c r="L1870" s="27">
        <f>IF($A1870="","",TRIM(IF(ISERROR(FIND(",",$C1870)),$C1870,LEFT($C1870,FIND(",",$C1870)-1))))</f>
        <v/>
      </c>
      <c r="M1870" s="28">
        <f>IF($H1870="","",DATE(YEAR($H1870),MONTH($H1870),1))</f>
        <v/>
      </c>
      <c r="N1870" s="26">
        <f>IF($H1870="","",TODAY()-$H1870)</f>
        <v/>
      </c>
      <c r="O1870" s="15" t="n"/>
      <c r="P1870" s="15" t="n"/>
      <c r="Q1870" s="15" t="n"/>
      <c r="R1870" s="25" t="n"/>
      <c r="S1870" s="26">
        <f>IF($A1870="","",AND(OR('Assignment Builder'!$B$5="",$B1870='Assignment Builder'!$B$5),OR('Assignment Builder'!$B$6="",ISNUMBER(SEARCH('Assignment Builder'!$B$6,$C1870))),OR('Assignment Builder'!$B$7="",'Assignment Builder'!$B$7=IFERROR(INDEX('Category Dictionary'!$C$5:$C$135,MATCH($L1870,'Category Dictionary'!$D$5:$D$135,0)),"")),OR('Assignment Builder'!$B$8="",$D1870='Assignment Builder'!$B$8),OR('Assignment Builder'!$B$9="",$F1870='Assignment Builder'!$B$9),OR('Assignment Builder'!$B$10="",$O1870='Assignment Builder'!$B$10),OR('Assignment Builder'!$B$11="",$H1870&gt;='Assignment Builder'!$B$11),OR('Assignment Builder'!$B$12="",N($Q1870)&lt;='Assignment Builder'!$B$12)))</f>
        <v/>
      </c>
      <c r="T1870" s="23" t="n"/>
    </row>
    <row r="1871">
      <c r="A1871" s="23" t="n"/>
      <c r="B1871" s="23" t="n"/>
      <c r="C1871" s="24" t="n"/>
      <c r="D1871" s="15" t="n"/>
      <c r="E1871" s="23" t="n"/>
      <c r="F1871" s="15" t="n"/>
      <c r="G1871" s="23" t="n"/>
      <c r="H1871" s="25" t="n"/>
      <c r="I1871" s="15" t="n"/>
      <c r="J1871" s="26">
        <f>IF($A1871="","",LEN($C1871)-LEN(SUBSTITUTE($C1871,",",""))+1)</f>
        <v/>
      </c>
      <c r="K1871" s="26">
        <f>IF($A1871="","",SUMPRODUCT(--ISNUMBER(SEARCH('Category Dictionary'!$D$5:$D$135&amp;"",$C1871)),--('Category Dictionary'!$D$5:$D$135&lt;&gt;"")))</f>
        <v/>
      </c>
      <c r="L1871" s="27">
        <f>IF($A1871="","",TRIM(IF(ISERROR(FIND(",",$C1871)),$C1871,LEFT($C1871,FIND(",",$C1871)-1))))</f>
        <v/>
      </c>
      <c r="M1871" s="28">
        <f>IF($H1871="","",DATE(YEAR($H1871),MONTH($H1871),1))</f>
        <v/>
      </c>
      <c r="N1871" s="26">
        <f>IF($H1871="","",TODAY()-$H1871)</f>
        <v/>
      </c>
      <c r="O1871" s="15" t="n"/>
      <c r="P1871" s="15" t="n"/>
      <c r="Q1871" s="15" t="n"/>
      <c r="R1871" s="25" t="n"/>
      <c r="S1871" s="26">
        <f>IF($A1871="","",AND(OR('Assignment Builder'!$B$5="",$B1871='Assignment Builder'!$B$5),OR('Assignment Builder'!$B$6="",ISNUMBER(SEARCH('Assignment Builder'!$B$6,$C1871))),OR('Assignment Builder'!$B$7="",'Assignment Builder'!$B$7=IFERROR(INDEX('Category Dictionary'!$C$5:$C$135,MATCH($L1871,'Category Dictionary'!$D$5:$D$135,0)),"")),OR('Assignment Builder'!$B$8="",$D1871='Assignment Builder'!$B$8),OR('Assignment Builder'!$B$9="",$F1871='Assignment Builder'!$B$9),OR('Assignment Builder'!$B$10="",$O1871='Assignment Builder'!$B$10),OR('Assignment Builder'!$B$11="",$H1871&gt;='Assignment Builder'!$B$11),OR('Assignment Builder'!$B$12="",N($Q1871)&lt;='Assignment Builder'!$B$12)))</f>
        <v/>
      </c>
      <c r="T1871" s="23" t="n"/>
    </row>
    <row r="1872">
      <c r="A1872" s="23" t="n"/>
      <c r="B1872" s="23" t="n"/>
      <c r="C1872" s="24" t="n"/>
      <c r="D1872" s="15" t="n"/>
      <c r="E1872" s="23" t="n"/>
      <c r="F1872" s="15" t="n"/>
      <c r="G1872" s="23" t="n"/>
      <c r="H1872" s="25" t="n"/>
      <c r="I1872" s="15" t="n"/>
      <c r="J1872" s="26">
        <f>IF($A1872="","",LEN($C1872)-LEN(SUBSTITUTE($C1872,",",""))+1)</f>
        <v/>
      </c>
      <c r="K1872" s="26">
        <f>IF($A1872="","",SUMPRODUCT(--ISNUMBER(SEARCH('Category Dictionary'!$D$5:$D$135&amp;"",$C1872)),--('Category Dictionary'!$D$5:$D$135&lt;&gt;"")))</f>
        <v/>
      </c>
      <c r="L1872" s="27">
        <f>IF($A1872="","",TRIM(IF(ISERROR(FIND(",",$C1872)),$C1872,LEFT($C1872,FIND(",",$C1872)-1))))</f>
        <v/>
      </c>
      <c r="M1872" s="28">
        <f>IF($H1872="","",DATE(YEAR($H1872),MONTH($H1872),1))</f>
        <v/>
      </c>
      <c r="N1872" s="26">
        <f>IF($H1872="","",TODAY()-$H1872)</f>
        <v/>
      </c>
      <c r="O1872" s="15" t="n"/>
      <c r="P1872" s="15" t="n"/>
      <c r="Q1872" s="15" t="n"/>
      <c r="R1872" s="25" t="n"/>
      <c r="S1872" s="26">
        <f>IF($A1872="","",AND(OR('Assignment Builder'!$B$5="",$B1872='Assignment Builder'!$B$5),OR('Assignment Builder'!$B$6="",ISNUMBER(SEARCH('Assignment Builder'!$B$6,$C1872))),OR('Assignment Builder'!$B$7="",'Assignment Builder'!$B$7=IFERROR(INDEX('Category Dictionary'!$C$5:$C$135,MATCH($L1872,'Category Dictionary'!$D$5:$D$135,0)),"")),OR('Assignment Builder'!$B$8="",$D1872='Assignment Builder'!$B$8),OR('Assignment Builder'!$B$9="",$F1872='Assignment Builder'!$B$9),OR('Assignment Builder'!$B$10="",$O1872='Assignment Builder'!$B$10),OR('Assignment Builder'!$B$11="",$H1872&gt;='Assignment Builder'!$B$11),OR('Assignment Builder'!$B$12="",N($Q1872)&lt;='Assignment Builder'!$B$12)))</f>
        <v/>
      </c>
      <c r="T1872" s="23" t="n"/>
    </row>
    <row r="1873">
      <c r="A1873" s="23" t="n"/>
      <c r="B1873" s="23" t="n"/>
      <c r="C1873" s="24" t="n"/>
      <c r="D1873" s="15" t="n"/>
      <c r="E1873" s="23" t="n"/>
      <c r="F1873" s="15" t="n"/>
      <c r="G1873" s="23" t="n"/>
      <c r="H1873" s="25" t="n"/>
      <c r="I1873" s="15" t="n"/>
      <c r="J1873" s="26">
        <f>IF($A1873="","",LEN($C1873)-LEN(SUBSTITUTE($C1873,",",""))+1)</f>
        <v/>
      </c>
      <c r="K1873" s="26">
        <f>IF($A1873="","",SUMPRODUCT(--ISNUMBER(SEARCH('Category Dictionary'!$D$5:$D$135&amp;"",$C1873)),--('Category Dictionary'!$D$5:$D$135&lt;&gt;"")))</f>
        <v/>
      </c>
      <c r="L1873" s="27">
        <f>IF($A1873="","",TRIM(IF(ISERROR(FIND(",",$C1873)),$C1873,LEFT($C1873,FIND(",",$C1873)-1))))</f>
        <v/>
      </c>
      <c r="M1873" s="28">
        <f>IF($H1873="","",DATE(YEAR($H1873),MONTH($H1873),1))</f>
        <v/>
      </c>
      <c r="N1873" s="26">
        <f>IF($H1873="","",TODAY()-$H1873)</f>
        <v/>
      </c>
      <c r="O1873" s="15" t="n"/>
      <c r="P1873" s="15" t="n"/>
      <c r="Q1873" s="15" t="n"/>
      <c r="R1873" s="25" t="n"/>
      <c r="S1873" s="26">
        <f>IF($A1873="","",AND(OR('Assignment Builder'!$B$5="",$B1873='Assignment Builder'!$B$5),OR('Assignment Builder'!$B$6="",ISNUMBER(SEARCH('Assignment Builder'!$B$6,$C1873))),OR('Assignment Builder'!$B$7="",'Assignment Builder'!$B$7=IFERROR(INDEX('Category Dictionary'!$C$5:$C$135,MATCH($L1873,'Category Dictionary'!$D$5:$D$135,0)),"")),OR('Assignment Builder'!$B$8="",$D1873='Assignment Builder'!$B$8),OR('Assignment Builder'!$B$9="",$F1873='Assignment Builder'!$B$9),OR('Assignment Builder'!$B$10="",$O1873='Assignment Builder'!$B$10),OR('Assignment Builder'!$B$11="",$H1873&gt;='Assignment Builder'!$B$11),OR('Assignment Builder'!$B$12="",N($Q1873)&lt;='Assignment Builder'!$B$12)))</f>
        <v/>
      </c>
      <c r="T1873" s="23" t="n"/>
    </row>
    <row r="1874">
      <c r="A1874" s="23" t="n"/>
      <c r="B1874" s="23" t="n"/>
      <c r="C1874" s="24" t="n"/>
      <c r="D1874" s="15" t="n"/>
      <c r="E1874" s="23" t="n"/>
      <c r="F1874" s="15" t="n"/>
      <c r="G1874" s="23" t="n"/>
      <c r="H1874" s="25" t="n"/>
      <c r="I1874" s="15" t="n"/>
      <c r="J1874" s="26">
        <f>IF($A1874="","",LEN($C1874)-LEN(SUBSTITUTE($C1874,",",""))+1)</f>
        <v/>
      </c>
      <c r="K1874" s="26">
        <f>IF($A1874="","",SUMPRODUCT(--ISNUMBER(SEARCH('Category Dictionary'!$D$5:$D$135&amp;"",$C1874)),--('Category Dictionary'!$D$5:$D$135&lt;&gt;"")))</f>
        <v/>
      </c>
      <c r="L1874" s="27">
        <f>IF($A1874="","",TRIM(IF(ISERROR(FIND(",",$C1874)),$C1874,LEFT($C1874,FIND(",",$C1874)-1))))</f>
        <v/>
      </c>
      <c r="M1874" s="28">
        <f>IF($H1874="","",DATE(YEAR($H1874),MONTH($H1874),1))</f>
        <v/>
      </c>
      <c r="N1874" s="26">
        <f>IF($H1874="","",TODAY()-$H1874)</f>
        <v/>
      </c>
      <c r="O1874" s="15" t="n"/>
      <c r="P1874" s="15" t="n"/>
      <c r="Q1874" s="15" t="n"/>
      <c r="R1874" s="25" t="n"/>
      <c r="S1874" s="26">
        <f>IF($A1874="","",AND(OR('Assignment Builder'!$B$5="",$B1874='Assignment Builder'!$B$5),OR('Assignment Builder'!$B$6="",ISNUMBER(SEARCH('Assignment Builder'!$B$6,$C1874))),OR('Assignment Builder'!$B$7="",'Assignment Builder'!$B$7=IFERROR(INDEX('Category Dictionary'!$C$5:$C$135,MATCH($L1874,'Category Dictionary'!$D$5:$D$135,0)),"")),OR('Assignment Builder'!$B$8="",$D1874='Assignment Builder'!$B$8),OR('Assignment Builder'!$B$9="",$F1874='Assignment Builder'!$B$9),OR('Assignment Builder'!$B$10="",$O1874='Assignment Builder'!$B$10),OR('Assignment Builder'!$B$11="",$H1874&gt;='Assignment Builder'!$B$11),OR('Assignment Builder'!$B$12="",N($Q1874)&lt;='Assignment Builder'!$B$12)))</f>
        <v/>
      </c>
      <c r="T1874" s="23" t="n"/>
    </row>
    <row r="1875">
      <c r="A1875" s="23" t="n"/>
      <c r="B1875" s="23" t="n"/>
      <c r="C1875" s="24" t="n"/>
      <c r="D1875" s="15" t="n"/>
      <c r="E1875" s="23" t="n"/>
      <c r="F1875" s="15" t="n"/>
      <c r="G1875" s="23" t="n"/>
      <c r="H1875" s="25" t="n"/>
      <c r="I1875" s="15" t="n"/>
      <c r="J1875" s="26">
        <f>IF($A1875="","",LEN($C1875)-LEN(SUBSTITUTE($C1875,",",""))+1)</f>
        <v/>
      </c>
      <c r="K1875" s="26">
        <f>IF($A1875="","",SUMPRODUCT(--ISNUMBER(SEARCH('Category Dictionary'!$D$5:$D$135&amp;"",$C1875)),--('Category Dictionary'!$D$5:$D$135&lt;&gt;"")))</f>
        <v/>
      </c>
      <c r="L1875" s="27">
        <f>IF($A1875="","",TRIM(IF(ISERROR(FIND(",",$C1875)),$C1875,LEFT($C1875,FIND(",",$C1875)-1))))</f>
        <v/>
      </c>
      <c r="M1875" s="28">
        <f>IF($H1875="","",DATE(YEAR($H1875),MONTH($H1875),1))</f>
        <v/>
      </c>
      <c r="N1875" s="26">
        <f>IF($H1875="","",TODAY()-$H1875)</f>
        <v/>
      </c>
      <c r="O1875" s="15" t="n"/>
      <c r="P1875" s="15" t="n"/>
      <c r="Q1875" s="15" t="n"/>
      <c r="R1875" s="25" t="n"/>
      <c r="S1875" s="26">
        <f>IF($A1875="","",AND(OR('Assignment Builder'!$B$5="",$B1875='Assignment Builder'!$B$5),OR('Assignment Builder'!$B$6="",ISNUMBER(SEARCH('Assignment Builder'!$B$6,$C1875))),OR('Assignment Builder'!$B$7="",'Assignment Builder'!$B$7=IFERROR(INDEX('Category Dictionary'!$C$5:$C$135,MATCH($L1875,'Category Dictionary'!$D$5:$D$135,0)),"")),OR('Assignment Builder'!$B$8="",$D1875='Assignment Builder'!$B$8),OR('Assignment Builder'!$B$9="",$F1875='Assignment Builder'!$B$9),OR('Assignment Builder'!$B$10="",$O1875='Assignment Builder'!$B$10),OR('Assignment Builder'!$B$11="",$H1875&gt;='Assignment Builder'!$B$11),OR('Assignment Builder'!$B$12="",N($Q1875)&lt;='Assignment Builder'!$B$12)))</f>
        <v/>
      </c>
      <c r="T1875" s="23" t="n"/>
    </row>
    <row r="1876">
      <c r="A1876" s="23" t="n"/>
      <c r="B1876" s="23" t="n"/>
      <c r="C1876" s="24" t="n"/>
      <c r="D1876" s="15" t="n"/>
      <c r="E1876" s="23" t="n"/>
      <c r="F1876" s="15" t="n"/>
      <c r="G1876" s="23" t="n"/>
      <c r="H1876" s="25" t="n"/>
      <c r="I1876" s="15" t="n"/>
      <c r="J1876" s="26">
        <f>IF($A1876="","",LEN($C1876)-LEN(SUBSTITUTE($C1876,",",""))+1)</f>
        <v/>
      </c>
      <c r="K1876" s="26">
        <f>IF($A1876="","",SUMPRODUCT(--ISNUMBER(SEARCH('Category Dictionary'!$D$5:$D$135&amp;"",$C1876)),--('Category Dictionary'!$D$5:$D$135&lt;&gt;"")))</f>
        <v/>
      </c>
      <c r="L1876" s="27">
        <f>IF($A1876="","",TRIM(IF(ISERROR(FIND(",",$C1876)),$C1876,LEFT($C1876,FIND(",",$C1876)-1))))</f>
        <v/>
      </c>
      <c r="M1876" s="28">
        <f>IF($H1876="","",DATE(YEAR($H1876),MONTH($H1876),1))</f>
        <v/>
      </c>
      <c r="N1876" s="26">
        <f>IF($H1876="","",TODAY()-$H1876)</f>
        <v/>
      </c>
      <c r="O1876" s="15" t="n"/>
      <c r="P1876" s="15" t="n"/>
      <c r="Q1876" s="15" t="n"/>
      <c r="R1876" s="25" t="n"/>
      <c r="S1876" s="26">
        <f>IF($A1876="","",AND(OR('Assignment Builder'!$B$5="",$B1876='Assignment Builder'!$B$5),OR('Assignment Builder'!$B$6="",ISNUMBER(SEARCH('Assignment Builder'!$B$6,$C1876))),OR('Assignment Builder'!$B$7="",'Assignment Builder'!$B$7=IFERROR(INDEX('Category Dictionary'!$C$5:$C$135,MATCH($L1876,'Category Dictionary'!$D$5:$D$135,0)),"")),OR('Assignment Builder'!$B$8="",$D1876='Assignment Builder'!$B$8),OR('Assignment Builder'!$B$9="",$F1876='Assignment Builder'!$B$9),OR('Assignment Builder'!$B$10="",$O1876='Assignment Builder'!$B$10),OR('Assignment Builder'!$B$11="",$H1876&gt;='Assignment Builder'!$B$11),OR('Assignment Builder'!$B$12="",N($Q1876)&lt;='Assignment Builder'!$B$12)))</f>
        <v/>
      </c>
      <c r="T1876" s="23" t="n"/>
    </row>
    <row r="1877">
      <c r="A1877" s="23" t="n"/>
      <c r="B1877" s="23" t="n"/>
      <c r="C1877" s="24" t="n"/>
      <c r="D1877" s="15" t="n"/>
      <c r="E1877" s="23" t="n"/>
      <c r="F1877" s="15" t="n"/>
      <c r="G1877" s="23" t="n"/>
      <c r="H1877" s="25" t="n"/>
      <c r="I1877" s="15" t="n"/>
      <c r="J1877" s="26">
        <f>IF($A1877="","",LEN($C1877)-LEN(SUBSTITUTE($C1877,",",""))+1)</f>
        <v/>
      </c>
      <c r="K1877" s="26">
        <f>IF($A1877="","",SUMPRODUCT(--ISNUMBER(SEARCH('Category Dictionary'!$D$5:$D$135&amp;"",$C1877)),--('Category Dictionary'!$D$5:$D$135&lt;&gt;"")))</f>
        <v/>
      </c>
      <c r="L1877" s="27">
        <f>IF($A1877="","",TRIM(IF(ISERROR(FIND(",",$C1877)),$C1877,LEFT($C1877,FIND(",",$C1877)-1))))</f>
        <v/>
      </c>
      <c r="M1877" s="28">
        <f>IF($H1877="","",DATE(YEAR($H1877),MONTH($H1877),1))</f>
        <v/>
      </c>
      <c r="N1877" s="26">
        <f>IF($H1877="","",TODAY()-$H1877)</f>
        <v/>
      </c>
      <c r="O1877" s="15" t="n"/>
      <c r="P1877" s="15" t="n"/>
      <c r="Q1877" s="15" t="n"/>
      <c r="R1877" s="25" t="n"/>
      <c r="S1877" s="26">
        <f>IF($A1877="","",AND(OR('Assignment Builder'!$B$5="",$B1877='Assignment Builder'!$B$5),OR('Assignment Builder'!$B$6="",ISNUMBER(SEARCH('Assignment Builder'!$B$6,$C1877))),OR('Assignment Builder'!$B$7="",'Assignment Builder'!$B$7=IFERROR(INDEX('Category Dictionary'!$C$5:$C$135,MATCH($L1877,'Category Dictionary'!$D$5:$D$135,0)),"")),OR('Assignment Builder'!$B$8="",$D1877='Assignment Builder'!$B$8),OR('Assignment Builder'!$B$9="",$F1877='Assignment Builder'!$B$9),OR('Assignment Builder'!$B$10="",$O1877='Assignment Builder'!$B$10),OR('Assignment Builder'!$B$11="",$H1877&gt;='Assignment Builder'!$B$11),OR('Assignment Builder'!$B$12="",N($Q1877)&lt;='Assignment Builder'!$B$12)))</f>
        <v/>
      </c>
      <c r="T1877" s="23" t="n"/>
    </row>
    <row r="1878">
      <c r="A1878" s="23" t="n"/>
      <c r="B1878" s="23" t="n"/>
      <c r="C1878" s="24" t="n"/>
      <c r="D1878" s="15" t="n"/>
      <c r="E1878" s="23" t="n"/>
      <c r="F1878" s="15" t="n"/>
      <c r="G1878" s="23" t="n"/>
      <c r="H1878" s="25" t="n"/>
      <c r="I1878" s="15" t="n"/>
      <c r="J1878" s="26">
        <f>IF($A1878="","",LEN($C1878)-LEN(SUBSTITUTE($C1878,",",""))+1)</f>
        <v/>
      </c>
      <c r="K1878" s="26">
        <f>IF($A1878="","",SUMPRODUCT(--ISNUMBER(SEARCH('Category Dictionary'!$D$5:$D$135&amp;"",$C1878)),--('Category Dictionary'!$D$5:$D$135&lt;&gt;"")))</f>
        <v/>
      </c>
      <c r="L1878" s="27">
        <f>IF($A1878="","",TRIM(IF(ISERROR(FIND(",",$C1878)),$C1878,LEFT($C1878,FIND(",",$C1878)-1))))</f>
        <v/>
      </c>
      <c r="M1878" s="28">
        <f>IF($H1878="","",DATE(YEAR($H1878),MONTH($H1878),1))</f>
        <v/>
      </c>
      <c r="N1878" s="26">
        <f>IF($H1878="","",TODAY()-$H1878)</f>
        <v/>
      </c>
      <c r="O1878" s="15" t="n"/>
      <c r="P1878" s="15" t="n"/>
      <c r="Q1878" s="15" t="n"/>
      <c r="R1878" s="25" t="n"/>
      <c r="S1878" s="26">
        <f>IF($A1878="","",AND(OR('Assignment Builder'!$B$5="",$B1878='Assignment Builder'!$B$5),OR('Assignment Builder'!$B$6="",ISNUMBER(SEARCH('Assignment Builder'!$B$6,$C1878))),OR('Assignment Builder'!$B$7="",'Assignment Builder'!$B$7=IFERROR(INDEX('Category Dictionary'!$C$5:$C$135,MATCH($L1878,'Category Dictionary'!$D$5:$D$135,0)),"")),OR('Assignment Builder'!$B$8="",$D1878='Assignment Builder'!$B$8),OR('Assignment Builder'!$B$9="",$F1878='Assignment Builder'!$B$9),OR('Assignment Builder'!$B$10="",$O1878='Assignment Builder'!$B$10),OR('Assignment Builder'!$B$11="",$H1878&gt;='Assignment Builder'!$B$11),OR('Assignment Builder'!$B$12="",N($Q1878)&lt;='Assignment Builder'!$B$12)))</f>
        <v/>
      </c>
      <c r="T1878" s="23" t="n"/>
    </row>
    <row r="1879">
      <c r="A1879" s="23" t="n"/>
      <c r="B1879" s="23" t="n"/>
      <c r="C1879" s="24" t="n"/>
      <c r="D1879" s="15" t="n"/>
      <c r="E1879" s="23" t="n"/>
      <c r="F1879" s="15" t="n"/>
      <c r="G1879" s="23" t="n"/>
      <c r="H1879" s="25" t="n"/>
      <c r="I1879" s="15" t="n"/>
      <c r="J1879" s="26">
        <f>IF($A1879="","",LEN($C1879)-LEN(SUBSTITUTE($C1879,",",""))+1)</f>
        <v/>
      </c>
      <c r="K1879" s="26">
        <f>IF($A1879="","",SUMPRODUCT(--ISNUMBER(SEARCH('Category Dictionary'!$D$5:$D$135&amp;"",$C1879)),--('Category Dictionary'!$D$5:$D$135&lt;&gt;"")))</f>
        <v/>
      </c>
      <c r="L1879" s="27">
        <f>IF($A1879="","",TRIM(IF(ISERROR(FIND(",",$C1879)),$C1879,LEFT($C1879,FIND(",",$C1879)-1))))</f>
        <v/>
      </c>
      <c r="M1879" s="28">
        <f>IF($H1879="","",DATE(YEAR($H1879),MONTH($H1879),1))</f>
        <v/>
      </c>
      <c r="N1879" s="26">
        <f>IF($H1879="","",TODAY()-$H1879)</f>
        <v/>
      </c>
      <c r="O1879" s="15" t="n"/>
      <c r="P1879" s="15" t="n"/>
      <c r="Q1879" s="15" t="n"/>
      <c r="R1879" s="25" t="n"/>
      <c r="S1879" s="26">
        <f>IF($A1879="","",AND(OR('Assignment Builder'!$B$5="",$B1879='Assignment Builder'!$B$5),OR('Assignment Builder'!$B$6="",ISNUMBER(SEARCH('Assignment Builder'!$B$6,$C1879))),OR('Assignment Builder'!$B$7="",'Assignment Builder'!$B$7=IFERROR(INDEX('Category Dictionary'!$C$5:$C$135,MATCH($L1879,'Category Dictionary'!$D$5:$D$135,0)),"")),OR('Assignment Builder'!$B$8="",$D1879='Assignment Builder'!$B$8),OR('Assignment Builder'!$B$9="",$F1879='Assignment Builder'!$B$9),OR('Assignment Builder'!$B$10="",$O1879='Assignment Builder'!$B$10),OR('Assignment Builder'!$B$11="",$H1879&gt;='Assignment Builder'!$B$11),OR('Assignment Builder'!$B$12="",N($Q1879)&lt;='Assignment Builder'!$B$12)))</f>
        <v/>
      </c>
      <c r="T1879" s="23" t="n"/>
    </row>
    <row r="1880">
      <c r="A1880" s="23" t="n"/>
      <c r="B1880" s="23" t="n"/>
      <c r="C1880" s="24" t="n"/>
      <c r="D1880" s="15" t="n"/>
      <c r="E1880" s="23" t="n"/>
      <c r="F1880" s="15" t="n"/>
      <c r="G1880" s="23" t="n"/>
      <c r="H1880" s="25" t="n"/>
      <c r="I1880" s="15" t="n"/>
      <c r="J1880" s="26">
        <f>IF($A1880="","",LEN($C1880)-LEN(SUBSTITUTE($C1880,",",""))+1)</f>
        <v/>
      </c>
      <c r="K1880" s="26">
        <f>IF($A1880="","",SUMPRODUCT(--ISNUMBER(SEARCH('Category Dictionary'!$D$5:$D$135&amp;"",$C1880)),--('Category Dictionary'!$D$5:$D$135&lt;&gt;"")))</f>
        <v/>
      </c>
      <c r="L1880" s="27">
        <f>IF($A1880="","",TRIM(IF(ISERROR(FIND(",",$C1880)),$C1880,LEFT($C1880,FIND(",",$C1880)-1))))</f>
        <v/>
      </c>
      <c r="M1880" s="28">
        <f>IF($H1880="","",DATE(YEAR($H1880),MONTH($H1880),1))</f>
        <v/>
      </c>
      <c r="N1880" s="26">
        <f>IF($H1880="","",TODAY()-$H1880)</f>
        <v/>
      </c>
      <c r="O1880" s="15" t="n"/>
      <c r="P1880" s="15" t="n"/>
      <c r="Q1880" s="15" t="n"/>
      <c r="R1880" s="25" t="n"/>
      <c r="S1880" s="26">
        <f>IF($A1880="","",AND(OR('Assignment Builder'!$B$5="",$B1880='Assignment Builder'!$B$5),OR('Assignment Builder'!$B$6="",ISNUMBER(SEARCH('Assignment Builder'!$B$6,$C1880))),OR('Assignment Builder'!$B$7="",'Assignment Builder'!$B$7=IFERROR(INDEX('Category Dictionary'!$C$5:$C$135,MATCH($L1880,'Category Dictionary'!$D$5:$D$135,0)),"")),OR('Assignment Builder'!$B$8="",$D1880='Assignment Builder'!$B$8),OR('Assignment Builder'!$B$9="",$F1880='Assignment Builder'!$B$9),OR('Assignment Builder'!$B$10="",$O1880='Assignment Builder'!$B$10),OR('Assignment Builder'!$B$11="",$H1880&gt;='Assignment Builder'!$B$11),OR('Assignment Builder'!$B$12="",N($Q1880)&lt;='Assignment Builder'!$B$12)))</f>
        <v/>
      </c>
      <c r="T1880" s="23" t="n"/>
    </row>
    <row r="1881">
      <c r="A1881" s="23" t="n"/>
      <c r="B1881" s="23" t="n"/>
      <c r="C1881" s="24" t="n"/>
      <c r="D1881" s="15" t="n"/>
      <c r="E1881" s="23" t="n"/>
      <c r="F1881" s="15" t="n"/>
      <c r="G1881" s="23" t="n"/>
      <c r="H1881" s="25" t="n"/>
      <c r="I1881" s="15" t="n"/>
      <c r="J1881" s="26">
        <f>IF($A1881="","",LEN($C1881)-LEN(SUBSTITUTE($C1881,",",""))+1)</f>
        <v/>
      </c>
      <c r="K1881" s="26">
        <f>IF($A1881="","",SUMPRODUCT(--ISNUMBER(SEARCH('Category Dictionary'!$D$5:$D$135&amp;"",$C1881)),--('Category Dictionary'!$D$5:$D$135&lt;&gt;"")))</f>
        <v/>
      </c>
      <c r="L1881" s="27">
        <f>IF($A1881="","",TRIM(IF(ISERROR(FIND(",",$C1881)),$C1881,LEFT($C1881,FIND(",",$C1881)-1))))</f>
        <v/>
      </c>
      <c r="M1881" s="28">
        <f>IF($H1881="","",DATE(YEAR($H1881),MONTH($H1881),1))</f>
        <v/>
      </c>
      <c r="N1881" s="26">
        <f>IF($H1881="","",TODAY()-$H1881)</f>
        <v/>
      </c>
      <c r="O1881" s="15" t="n"/>
      <c r="P1881" s="15" t="n"/>
      <c r="Q1881" s="15" t="n"/>
      <c r="R1881" s="25" t="n"/>
      <c r="S1881" s="26">
        <f>IF($A1881="","",AND(OR('Assignment Builder'!$B$5="",$B1881='Assignment Builder'!$B$5),OR('Assignment Builder'!$B$6="",ISNUMBER(SEARCH('Assignment Builder'!$B$6,$C1881))),OR('Assignment Builder'!$B$7="",'Assignment Builder'!$B$7=IFERROR(INDEX('Category Dictionary'!$C$5:$C$135,MATCH($L1881,'Category Dictionary'!$D$5:$D$135,0)),"")),OR('Assignment Builder'!$B$8="",$D1881='Assignment Builder'!$B$8),OR('Assignment Builder'!$B$9="",$F1881='Assignment Builder'!$B$9),OR('Assignment Builder'!$B$10="",$O1881='Assignment Builder'!$B$10),OR('Assignment Builder'!$B$11="",$H1881&gt;='Assignment Builder'!$B$11),OR('Assignment Builder'!$B$12="",N($Q1881)&lt;='Assignment Builder'!$B$12)))</f>
        <v/>
      </c>
      <c r="T1881" s="23" t="n"/>
    </row>
    <row r="1882">
      <c r="A1882" s="23" t="n"/>
      <c r="B1882" s="23" t="n"/>
      <c r="C1882" s="24" t="n"/>
      <c r="D1882" s="15" t="n"/>
      <c r="E1882" s="23" t="n"/>
      <c r="F1882" s="15" t="n"/>
      <c r="G1882" s="23" t="n"/>
      <c r="H1882" s="25" t="n"/>
      <c r="I1882" s="15" t="n"/>
      <c r="J1882" s="26">
        <f>IF($A1882="","",LEN($C1882)-LEN(SUBSTITUTE($C1882,",",""))+1)</f>
        <v/>
      </c>
      <c r="K1882" s="26">
        <f>IF($A1882="","",SUMPRODUCT(--ISNUMBER(SEARCH('Category Dictionary'!$D$5:$D$135&amp;"",$C1882)),--('Category Dictionary'!$D$5:$D$135&lt;&gt;"")))</f>
        <v/>
      </c>
      <c r="L1882" s="27">
        <f>IF($A1882="","",TRIM(IF(ISERROR(FIND(",",$C1882)),$C1882,LEFT($C1882,FIND(",",$C1882)-1))))</f>
        <v/>
      </c>
      <c r="M1882" s="28">
        <f>IF($H1882="","",DATE(YEAR($H1882),MONTH($H1882),1))</f>
        <v/>
      </c>
      <c r="N1882" s="26">
        <f>IF($H1882="","",TODAY()-$H1882)</f>
        <v/>
      </c>
      <c r="O1882" s="15" t="n"/>
      <c r="P1882" s="15" t="n"/>
      <c r="Q1882" s="15" t="n"/>
      <c r="R1882" s="25" t="n"/>
      <c r="S1882" s="26">
        <f>IF($A1882="","",AND(OR('Assignment Builder'!$B$5="",$B1882='Assignment Builder'!$B$5),OR('Assignment Builder'!$B$6="",ISNUMBER(SEARCH('Assignment Builder'!$B$6,$C1882))),OR('Assignment Builder'!$B$7="",'Assignment Builder'!$B$7=IFERROR(INDEX('Category Dictionary'!$C$5:$C$135,MATCH($L1882,'Category Dictionary'!$D$5:$D$135,0)),"")),OR('Assignment Builder'!$B$8="",$D1882='Assignment Builder'!$B$8),OR('Assignment Builder'!$B$9="",$F1882='Assignment Builder'!$B$9),OR('Assignment Builder'!$B$10="",$O1882='Assignment Builder'!$B$10),OR('Assignment Builder'!$B$11="",$H1882&gt;='Assignment Builder'!$B$11),OR('Assignment Builder'!$B$12="",N($Q1882)&lt;='Assignment Builder'!$B$12)))</f>
        <v/>
      </c>
      <c r="T1882" s="23" t="n"/>
    </row>
    <row r="1883">
      <c r="A1883" s="23" t="n"/>
      <c r="B1883" s="23" t="n"/>
      <c r="C1883" s="24" t="n"/>
      <c r="D1883" s="15" t="n"/>
      <c r="E1883" s="23" t="n"/>
      <c r="F1883" s="15" t="n"/>
      <c r="G1883" s="23" t="n"/>
      <c r="H1883" s="25" t="n"/>
      <c r="I1883" s="15" t="n"/>
      <c r="J1883" s="26">
        <f>IF($A1883="","",LEN($C1883)-LEN(SUBSTITUTE($C1883,",",""))+1)</f>
        <v/>
      </c>
      <c r="K1883" s="26">
        <f>IF($A1883="","",SUMPRODUCT(--ISNUMBER(SEARCH('Category Dictionary'!$D$5:$D$135&amp;"",$C1883)),--('Category Dictionary'!$D$5:$D$135&lt;&gt;"")))</f>
        <v/>
      </c>
      <c r="L1883" s="27">
        <f>IF($A1883="","",TRIM(IF(ISERROR(FIND(",",$C1883)),$C1883,LEFT($C1883,FIND(",",$C1883)-1))))</f>
        <v/>
      </c>
      <c r="M1883" s="28">
        <f>IF($H1883="","",DATE(YEAR($H1883),MONTH($H1883),1))</f>
        <v/>
      </c>
      <c r="N1883" s="26">
        <f>IF($H1883="","",TODAY()-$H1883)</f>
        <v/>
      </c>
      <c r="O1883" s="15" t="n"/>
      <c r="P1883" s="15" t="n"/>
      <c r="Q1883" s="15" t="n"/>
      <c r="R1883" s="25" t="n"/>
      <c r="S1883" s="26">
        <f>IF($A1883="","",AND(OR('Assignment Builder'!$B$5="",$B1883='Assignment Builder'!$B$5),OR('Assignment Builder'!$B$6="",ISNUMBER(SEARCH('Assignment Builder'!$B$6,$C1883))),OR('Assignment Builder'!$B$7="",'Assignment Builder'!$B$7=IFERROR(INDEX('Category Dictionary'!$C$5:$C$135,MATCH($L1883,'Category Dictionary'!$D$5:$D$135,0)),"")),OR('Assignment Builder'!$B$8="",$D1883='Assignment Builder'!$B$8),OR('Assignment Builder'!$B$9="",$F1883='Assignment Builder'!$B$9),OR('Assignment Builder'!$B$10="",$O1883='Assignment Builder'!$B$10),OR('Assignment Builder'!$B$11="",$H1883&gt;='Assignment Builder'!$B$11),OR('Assignment Builder'!$B$12="",N($Q1883)&lt;='Assignment Builder'!$B$12)))</f>
        <v/>
      </c>
      <c r="T1883" s="23" t="n"/>
    </row>
    <row r="1884">
      <c r="A1884" s="23" t="n"/>
      <c r="B1884" s="23" t="n"/>
      <c r="C1884" s="24" t="n"/>
      <c r="D1884" s="15" t="n"/>
      <c r="E1884" s="23" t="n"/>
      <c r="F1884" s="15" t="n"/>
      <c r="G1884" s="23" t="n"/>
      <c r="H1884" s="25" t="n"/>
      <c r="I1884" s="15" t="n"/>
      <c r="J1884" s="26">
        <f>IF($A1884="","",LEN($C1884)-LEN(SUBSTITUTE($C1884,",",""))+1)</f>
        <v/>
      </c>
      <c r="K1884" s="26">
        <f>IF($A1884="","",SUMPRODUCT(--ISNUMBER(SEARCH('Category Dictionary'!$D$5:$D$135&amp;"",$C1884)),--('Category Dictionary'!$D$5:$D$135&lt;&gt;"")))</f>
        <v/>
      </c>
      <c r="L1884" s="27">
        <f>IF($A1884="","",TRIM(IF(ISERROR(FIND(",",$C1884)),$C1884,LEFT($C1884,FIND(",",$C1884)-1))))</f>
        <v/>
      </c>
      <c r="M1884" s="28">
        <f>IF($H1884="","",DATE(YEAR($H1884),MONTH($H1884),1))</f>
        <v/>
      </c>
      <c r="N1884" s="26">
        <f>IF($H1884="","",TODAY()-$H1884)</f>
        <v/>
      </c>
      <c r="O1884" s="15" t="n"/>
      <c r="P1884" s="15" t="n"/>
      <c r="Q1884" s="15" t="n"/>
      <c r="R1884" s="25" t="n"/>
      <c r="S1884" s="26">
        <f>IF($A1884="","",AND(OR('Assignment Builder'!$B$5="",$B1884='Assignment Builder'!$B$5),OR('Assignment Builder'!$B$6="",ISNUMBER(SEARCH('Assignment Builder'!$B$6,$C1884))),OR('Assignment Builder'!$B$7="",'Assignment Builder'!$B$7=IFERROR(INDEX('Category Dictionary'!$C$5:$C$135,MATCH($L1884,'Category Dictionary'!$D$5:$D$135,0)),"")),OR('Assignment Builder'!$B$8="",$D1884='Assignment Builder'!$B$8),OR('Assignment Builder'!$B$9="",$F1884='Assignment Builder'!$B$9),OR('Assignment Builder'!$B$10="",$O1884='Assignment Builder'!$B$10),OR('Assignment Builder'!$B$11="",$H1884&gt;='Assignment Builder'!$B$11),OR('Assignment Builder'!$B$12="",N($Q1884)&lt;='Assignment Builder'!$B$12)))</f>
        <v/>
      </c>
      <c r="T1884" s="23" t="n"/>
    </row>
    <row r="1885">
      <c r="A1885" s="23" t="n"/>
      <c r="B1885" s="23" t="n"/>
      <c r="C1885" s="24" t="n"/>
      <c r="D1885" s="15" t="n"/>
      <c r="E1885" s="23" t="n"/>
      <c r="F1885" s="15" t="n"/>
      <c r="G1885" s="23" t="n"/>
      <c r="H1885" s="25" t="n"/>
      <c r="I1885" s="15" t="n"/>
      <c r="J1885" s="26">
        <f>IF($A1885="","",LEN($C1885)-LEN(SUBSTITUTE($C1885,",",""))+1)</f>
        <v/>
      </c>
      <c r="K1885" s="26">
        <f>IF($A1885="","",SUMPRODUCT(--ISNUMBER(SEARCH('Category Dictionary'!$D$5:$D$135&amp;"",$C1885)),--('Category Dictionary'!$D$5:$D$135&lt;&gt;"")))</f>
        <v/>
      </c>
      <c r="L1885" s="27">
        <f>IF($A1885="","",TRIM(IF(ISERROR(FIND(",",$C1885)),$C1885,LEFT($C1885,FIND(",",$C1885)-1))))</f>
        <v/>
      </c>
      <c r="M1885" s="28">
        <f>IF($H1885="","",DATE(YEAR($H1885),MONTH($H1885),1))</f>
        <v/>
      </c>
      <c r="N1885" s="26">
        <f>IF($H1885="","",TODAY()-$H1885)</f>
        <v/>
      </c>
      <c r="O1885" s="15" t="n"/>
      <c r="P1885" s="15" t="n"/>
      <c r="Q1885" s="15" t="n"/>
      <c r="R1885" s="25" t="n"/>
      <c r="S1885" s="26">
        <f>IF($A1885="","",AND(OR('Assignment Builder'!$B$5="",$B1885='Assignment Builder'!$B$5),OR('Assignment Builder'!$B$6="",ISNUMBER(SEARCH('Assignment Builder'!$B$6,$C1885))),OR('Assignment Builder'!$B$7="",'Assignment Builder'!$B$7=IFERROR(INDEX('Category Dictionary'!$C$5:$C$135,MATCH($L1885,'Category Dictionary'!$D$5:$D$135,0)),"")),OR('Assignment Builder'!$B$8="",$D1885='Assignment Builder'!$B$8),OR('Assignment Builder'!$B$9="",$F1885='Assignment Builder'!$B$9),OR('Assignment Builder'!$B$10="",$O1885='Assignment Builder'!$B$10),OR('Assignment Builder'!$B$11="",$H1885&gt;='Assignment Builder'!$B$11),OR('Assignment Builder'!$B$12="",N($Q1885)&lt;='Assignment Builder'!$B$12)))</f>
        <v/>
      </c>
      <c r="T1885" s="23" t="n"/>
    </row>
    <row r="1886">
      <c r="A1886" s="23" t="n"/>
      <c r="B1886" s="23" t="n"/>
      <c r="C1886" s="24" t="n"/>
      <c r="D1886" s="15" t="n"/>
      <c r="E1886" s="23" t="n"/>
      <c r="F1886" s="15" t="n"/>
      <c r="G1886" s="23" t="n"/>
      <c r="H1886" s="25" t="n"/>
      <c r="I1886" s="15" t="n"/>
      <c r="J1886" s="26">
        <f>IF($A1886="","",LEN($C1886)-LEN(SUBSTITUTE($C1886,",",""))+1)</f>
        <v/>
      </c>
      <c r="K1886" s="26">
        <f>IF($A1886="","",SUMPRODUCT(--ISNUMBER(SEARCH('Category Dictionary'!$D$5:$D$135&amp;"",$C1886)),--('Category Dictionary'!$D$5:$D$135&lt;&gt;"")))</f>
        <v/>
      </c>
      <c r="L1886" s="27">
        <f>IF($A1886="","",TRIM(IF(ISERROR(FIND(",",$C1886)),$C1886,LEFT($C1886,FIND(",",$C1886)-1))))</f>
        <v/>
      </c>
      <c r="M1886" s="28">
        <f>IF($H1886="","",DATE(YEAR($H1886),MONTH($H1886),1))</f>
        <v/>
      </c>
      <c r="N1886" s="26">
        <f>IF($H1886="","",TODAY()-$H1886)</f>
        <v/>
      </c>
      <c r="O1886" s="15" t="n"/>
      <c r="P1886" s="15" t="n"/>
      <c r="Q1886" s="15" t="n"/>
      <c r="R1886" s="25" t="n"/>
      <c r="S1886" s="26">
        <f>IF($A1886="","",AND(OR('Assignment Builder'!$B$5="",$B1886='Assignment Builder'!$B$5),OR('Assignment Builder'!$B$6="",ISNUMBER(SEARCH('Assignment Builder'!$B$6,$C1886))),OR('Assignment Builder'!$B$7="",'Assignment Builder'!$B$7=IFERROR(INDEX('Category Dictionary'!$C$5:$C$135,MATCH($L1886,'Category Dictionary'!$D$5:$D$135,0)),"")),OR('Assignment Builder'!$B$8="",$D1886='Assignment Builder'!$B$8),OR('Assignment Builder'!$B$9="",$F1886='Assignment Builder'!$B$9),OR('Assignment Builder'!$B$10="",$O1886='Assignment Builder'!$B$10),OR('Assignment Builder'!$B$11="",$H1886&gt;='Assignment Builder'!$B$11),OR('Assignment Builder'!$B$12="",N($Q1886)&lt;='Assignment Builder'!$B$12)))</f>
        <v/>
      </c>
      <c r="T1886" s="23" t="n"/>
    </row>
    <row r="1887">
      <c r="A1887" s="23" t="n"/>
      <c r="B1887" s="23" t="n"/>
      <c r="C1887" s="24" t="n"/>
      <c r="D1887" s="15" t="n"/>
      <c r="E1887" s="23" t="n"/>
      <c r="F1887" s="15" t="n"/>
      <c r="G1887" s="23" t="n"/>
      <c r="H1887" s="25" t="n"/>
      <c r="I1887" s="15" t="n"/>
      <c r="J1887" s="26">
        <f>IF($A1887="","",LEN($C1887)-LEN(SUBSTITUTE($C1887,",",""))+1)</f>
        <v/>
      </c>
      <c r="K1887" s="26">
        <f>IF($A1887="","",SUMPRODUCT(--ISNUMBER(SEARCH('Category Dictionary'!$D$5:$D$135&amp;"",$C1887)),--('Category Dictionary'!$D$5:$D$135&lt;&gt;"")))</f>
        <v/>
      </c>
      <c r="L1887" s="27">
        <f>IF($A1887="","",TRIM(IF(ISERROR(FIND(",",$C1887)),$C1887,LEFT($C1887,FIND(",",$C1887)-1))))</f>
        <v/>
      </c>
      <c r="M1887" s="28">
        <f>IF($H1887="","",DATE(YEAR($H1887),MONTH($H1887),1))</f>
        <v/>
      </c>
      <c r="N1887" s="26">
        <f>IF($H1887="","",TODAY()-$H1887)</f>
        <v/>
      </c>
      <c r="O1887" s="15" t="n"/>
      <c r="P1887" s="15" t="n"/>
      <c r="Q1887" s="15" t="n"/>
      <c r="R1887" s="25" t="n"/>
      <c r="S1887" s="26">
        <f>IF($A1887="","",AND(OR('Assignment Builder'!$B$5="",$B1887='Assignment Builder'!$B$5),OR('Assignment Builder'!$B$6="",ISNUMBER(SEARCH('Assignment Builder'!$B$6,$C1887))),OR('Assignment Builder'!$B$7="",'Assignment Builder'!$B$7=IFERROR(INDEX('Category Dictionary'!$C$5:$C$135,MATCH($L1887,'Category Dictionary'!$D$5:$D$135,0)),"")),OR('Assignment Builder'!$B$8="",$D1887='Assignment Builder'!$B$8),OR('Assignment Builder'!$B$9="",$F1887='Assignment Builder'!$B$9),OR('Assignment Builder'!$B$10="",$O1887='Assignment Builder'!$B$10),OR('Assignment Builder'!$B$11="",$H1887&gt;='Assignment Builder'!$B$11),OR('Assignment Builder'!$B$12="",N($Q1887)&lt;='Assignment Builder'!$B$12)))</f>
        <v/>
      </c>
      <c r="T1887" s="23" t="n"/>
    </row>
    <row r="1888">
      <c r="A1888" s="23" t="n"/>
      <c r="B1888" s="23" t="n"/>
      <c r="C1888" s="24" t="n"/>
      <c r="D1888" s="15" t="n"/>
      <c r="E1888" s="23" t="n"/>
      <c r="F1888" s="15" t="n"/>
      <c r="G1888" s="23" t="n"/>
      <c r="H1888" s="25" t="n"/>
      <c r="I1888" s="15" t="n"/>
      <c r="J1888" s="26">
        <f>IF($A1888="","",LEN($C1888)-LEN(SUBSTITUTE($C1888,",",""))+1)</f>
        <v/>
      </c>
      <c r="K1888" s="26">
        <f>IF($A1888="","",SUMPRODUCT(--ISNUMBER(SEARCH('Category Dictionary'!$D$5:$D$135&amp;"",$C1888)),--('Category Dictionary'!$D$5:$D$135&lt;&gt;"")))</f>
        <v/>
      </c>
      <c r="L1888" s="27">
        <f>IF($A1888="","",TRIM(IF(ISERROR(FIND(",",$C1888)),$C1888,LEFT($C1888,FIND(",",$C1888)-1))))</f>
        <v/>
      </c>
      <c r="M1888" s="28">
        <f>IF($H1888="","",DATE(YEAR($H1888),MONTH($H1888),1))</f>
        <v/>
      </c>
      <c r="N1888" s="26">
        <f>IF($H1888="","",TODAY()-$H1888)</f>
        <v/>
      </c>
      <c r="O1888" s="15" t="n"/>
      <c r="P1888" s="15" t="n"/>
      <c r="Q1888" s="15" t="n"/>
      <c r="R1888" s="25" t="n"/>
      <c r="S1888" s="26">
        <f>IF($A1888="","",AND(OR('Assignment Builder'!$B$5="",$B1888='Assignment Builder'!$B$5),OR('Assignment Builder'!$B$6="",ISNUMBER(SEARCH('Assignment Builder'!$B$6,$C1888))),OR('Assignment Builder'!$B$7="",'Assignment Builder'!$B$7=IFERROR(INDEX('Category Dictionary'!$C$5:$C$135,MATCH($L1888,'Category Dictionary'!$D$5:$D$135,0)),"")),OR('Assignment Builder'!$B$8="",$D1888='Assignment Builder'!$B$8),OR('Assignment Builder'!$B$9="",$F1888='Assignment Builder'!$B$9),OR('Assignment Builder'!$B$10="",$O1888='Assignment Builder'!$B$10),OR('Assignment Builder'!$B$11="",$H1888&gt;='Assignment Builder'!$B$11),OR('Assignment Builder'!$B$12="",N($Q1888)&lt;='Assignment Builder'!$B$12)))</f>
        <v/>
      </c>
      <c r="T1888" s="23" t="n"/>
    </row>
    <row r="1889">
      <c r="A1889" s="23" t="n"/>
      <c r="B1889" s="23" t="n"/>
      <c r="C1889" s="24" t="n"/>
      <c r="D1889" s="15" t="n"/>
      <c r="E1889" s="23" t="n"/>
      <c r="F1889" s="15" t="n"/>
      <c r="G1889" s="23" t="n"/>
      <c r="H1889" s="25" t="n"/>
      <c r="I1889" s="15" t="n"/>
      <c r="J1889" s="26">
        <f>IF($A1889="","",LEN($C1889)-LEN(SUBSTITUTE($C1889,",",""))+1)</f>
        <v/>
      </c>
      <c r="K1889" s="26">
        <f>IF($A1889="","",SUMPRODUCT(--ISNUMBER(SEARCH('Category Dictionary'!$D$5:$D$135&amp;"",$C1889)),--('Category Dictionary'!$D$5:$D$135&lt;&gt;"")))</f>
        <v/>
      </c>
      <c r="L1889" s="27">
        <f>IF($A1889="","",TRIM(IF(ISERROR(FIND(",",$C1889)),$C1889,LEFT($C1889,FIND(",",$C1889)-1))))</f>
        <v/>
      </c>
      <c r="M1889" s="28">
        <f>IF($H1889="","",DATE(YEAR($H1889),MONTH($H1889),1))</f>
        <v/>
      </c>
      <c r="N1889" s="26">
        <f>IF($H1889="","",TODAY()-$H1889)</f>
        <v/>
      </c>
      <c r="O1889" s="15" t="n"/>
      <c r="P1889" s="15" t="n"/>
      <c r="Q1889" s="15" t="n"/>
      <c r="R1889" s="25" t="n"/>
      <c r="S1889" s="26">
        <f>IF($A1889="","",AND(OR('Assignment Builder'!$B$5="",$B1889='Assignment Builder'!$B$5),OR('Assignment Builder'!$B$6="",ISNUMBER(SEARCH('Assignment Builder'!$B$6,$C1889))),OR('Assignment Builder'!$B$7="",'Assignment Builder'!$B$7=IFERROR(INDEX('Category Dictionary'!$C$5:$C$135,MATCH($L1889,'Category Dictionary'!$D$5:$D$135,0)),"")),OR('Assignment Builder'!$B$8="",$D1889='Assignment Builder'!$B$8),OR('Assignment Builder'!$B$9="",$F1889='Assignment Builder'!$B$9),OR('Assignment Builder'!$B$10="",$O1889='Assignment Builder'!$B$10),OR('Assignment Builder'!$B$11="",$H1889&gt;='Assignment Builder'!$B$11),OR('Assignment Builder'!$B$12="",N($Q1889)&lt;='Assignment Builder'!$B$12)))</f>
        <v/>
      </c>
      <c r="T1889" s="23" t="n"/>
    </row>
    <row r="1890">
      <c r="A1890" s="23" t="n"/>
      <c r="B1890" s="23" t="n"/>
      <c r="C1890" s="24" t="n"/>
      <c r="D1890" s="15" t="n"/>
      <c r="E1890" s="23" t="n"/>
      <c r="F1890" s="15" t="n"/>
      <c r="G1890" s="23" t="n"/>
      <c r="H1890" s="25" t="n"/>
      <c r="I1890" s="15" t="n"/>
      <c r="J1890" s="26">
        <f>IF($A1890="","",LEN($C1890)-LEN(SUBSTITUTE($C1890,",",""))+1)</f>
        <v/>
      </c>
      <c r="K1890" s="26">
        <f>IF($A1890="","",SUMPRODUCT(--ISNUMBER(SEARCH('Category Dictionary'!$D$5:$D$135&amp;"",$C1890)),--('Category Dictionary'!$D$5:$D$135&lt;&gt;"")))</f>
        <v/>
      </c>
      <c r="L1890" s="27">
        <f>IF($A1890="","",TRIM(IF(ISERROR(FIND(",",$C1890)),$C1890,LEFT($C1890,FIND(",",$C1890)-1))))</f>
        <v/>
      </c>
      <c r="M1890" s="28">
        <f>IF($H1890="","",DATE(YEAR($H1890),MONTH($H1890),1))</f>
        <v/>
      </c>
      <c r="N1890" s="26">
        <f>IF($H1890="","",TODAY()-$H1890)</f>
        <v/>
      </c>
      <c r="O1890" s="15" t="n"/>
      <c r="P1890" s="15" t="n"/>
      <c r="Q1890" s="15" t="n"/>
      <c r="R1890" s="25" t="n"/>
      <c r="S1890" s="26">
        <f>IF($A1890="","",AND(OR('Assignment Builder'!$B$5="",$B1890='Assignment Builder'!$B$5),OR('Assignment Builder'!$B$6="",ISNUMBER(SEARCH('Assignment Builder'!$B$6,$C1890))),OR('Assignment Builder'!$B$7="",'Assignment Builder'!$B$7=IFERROR(INDEX('Category Dictionary'!$C$5:$C$135,MATCH($L1890,'Category Dictionary'!$D$5:$D$135,0)),"")),OR('Assignment Builder'!$B$8="",$D1890='Assignment Builder'!$B$8),OR('Assignment Builder'!$B$9="",$F1890='Assignment Builder'!$B$9),OR('Assignment Builder'!$B$10="",$O1890='Assignment Builder'!$B$10),OR('Assignment Builder'!$B$11="",$H1890&gt;='Assignment Builder'!$B$11),OR('Assignment Builder'!$B$12="",N($Q1890)&lt;='Assignment Builder'!$B$12)))</f>
        <v/>
      </c>
      <c r="T1890" s="23" t="n"/>
    </row>
    <row r="1891">
      <c r="A1891" s="23" t="n"/>
      <c r="B1891" s="23" t="n"/>
      <c r="C1891" s="24" t="n"/>
      <c r="D1891" s="15" t="n"/>
      <c r="E1891" s="23" t="n"/>
      <c r="F1891" s="15" t="n"/>
      <c r="G1891" s="23" t="n"/>
      <c r="H1891" s="25" t="n"/>
      <c r="I1891" s="15" t="n"/>
      <c r="J1891" s="26">
        <f>IF($A1891="","",LEN($C1891)-LEN(SUBSTITUTE($C1891,",",""))+1)</f>
        <v/>
      </c>
      <c r="K1891" s="26">
        <f>IF($A1891="","",SUMPRODUCT(--ISNUMBER(SEARCH('Category Dictionary'!$D$5:$D$135&amp;"",$C1891)),--('Category Dictionary'!$D$5:$D$135&lt;&gt;"")))</f>
        <v/>
      </c>
      <c r="L1891" s="27">
        <f>IF($A1891="","",TRIM(IF(ISERROR(FIND(",",$C1891)),$C1891,LEFT($C1891,FIND(",",$C1891)-1))))</f>
        <v/>
      </c>
      <c r="M1891" s="28">
        <f>IF($H1891="","",DATE(YEAR($H1891),MONTH($H1891),1))</f>
        <v/>
      </c>
      <c r="N1891" s="26">
        <f>IF($H1891="","",TODAY()-$H1891)</f>
        <v/>
      </c>
      <c r="O1891" s="15" t="n"/>
      <c r="P1891" s="15" t="n"/>
      <c r="Q1891" s="15" t="n"/>
      <c r="R1891" s="25" t="n"/>
      <c r="S1891" s="26">
        <f>IF($A1891="","",AND(OR('Assignment Builder'!$B$5="",$B1891='Assignment Builder'!$B$5),OR('Assignment Builder'!$B$6="",ISNUMBER(SEARCH('Assignment Builder'!$B$6,$C1891))),OR('Assignment Builder'!$B$7="",'Assignment Builder'!$B$7=IFERROR(INDEX('Category Dictionary'!$C$5:$C$135,MATCH($L1891,'Category Dictionary'!$D$5:$D$135,0)),"")),OR('Assignment Builder'!$B$8="",$D1891='Assignment Builder'!$B$8),OR('Assignment Builder'!$B$9="",$F1891='Assignment Builder'!$B$9),OR('Assignment Builder'!$B$10="",$O1891='Assignment Builder'!$B$10),OR('Assignment Builder'!$B$11="",$H1891&gt;='Assignment Builder'!$B$11),OR('Assignment Builder'!$B$12="",N($Q1891)&lt;='Assignment Builder'!$B$12)))</f>
        <v/>
      </c>
      <c r="T1891" s="23" t="n"/>
    </row>
    <row r="1892">
      <c r="A1892" s="23" t="n"/>
      <c r="B1892" s="23" t="n"/>
      <c r="C1892" s="24" t="n"/>
      <c r="D1892" s="15" t="n"/>
      <c r="E1892" s="23" t="n"/>
      <c r="F1892" s="15" t="n"/>
      <c r="G1892" s="23" t="n"/>
      <c r="H1892" s="25" t="n"/>
      <c r="I1892" s="15" t="n"/>
      <c r="J1892" s="26">
        <f>IF($A1892="","",LEN($C1892)-LEN(SUBSTITUTE($C1892,",",""))+1)</f>
        <v/>
      </c>
      <c r="K1892" s="26">
        <f>IF($A1892="","",SUMPRODUCT(--ISNUMBER(SEARCH('Category Dictionary'!$D$5:$D$135&amp;"",$C1892)),--('Category Dictionary'!$D$5:$D$135&lt;&gt;"")))</f>
        <v/>
      </c>
      <c r="L1892" s="27">
        <f>IF($A1892="","",TRIM(IF(ISERROR(FIND(",",$C1892)),$C1892,LEFT($C1892,FIND(",",$C1892)-1))))</f>
        <v/>
      </c>
      <c r="M1892" s="28">
        <f>IF($H1892="","",DATE(YEAR($H1892),MONTH($H1892),1))</f>
        <v/>
      </c>
      <c r="N1892" s="26">
        <f>IF($H1892="","",TODAY()-$H1892)</f>
        <v/>
      </c>
      <c r="O1892" s="15" t="n"/>
      <c r="P1892" s="15" t="n"/>
      <c r="Q1892" s="15" t="n"/>
      <c r="R1892" s="25" t="n"/>
      <c r="S1892" s="26">
        <f>IF($A1892="","",AND(OR('Assignment Builder'!$B$5="",$B1892='Assignment Builder'!$B$5),OR('Assignment Builder'!$B$6="",ISNUMBER(SEARCH('Assignment Builder'!$B$6,$C1892))),OR('Assignment Builder'!$B$7="",'Assignment Builder'!$B$7=IFERROR(INDEX('Category Dictionary'!$C$5:$C$135,MATCH($L1892,'Category Dictionary'!$D$5:$D$135,0)),"")),OR('Assignment Builder'!$B$8="",$D1892='Assignment Builder'!$B$8),OR('Assignment Builder'!$B$9="",$F1892='Assignment Builder'!$B$9),OR('Assignment Builder'!$B$10="",$O1892='Assignment Builder'!$B$10),OR('Assignment Builder'!$B$11="",$H1892&gt;='Assignment Builder'!$B$11),OR('Assignment Builder'!$B$12="",N($Q1892)&lt;='Assignment Builder'!$B$12)))</f>
        <v/>
      </c>
      <c r="T1892" s="23" t="n"/>
    </row>
    <row r="1893">
      <c r="A1893" s="23" t="n"/>
      <c r="B1893" s="23" t="n"/>
      <c r="C1893" s="24" t="n"/>
      <c r="D1893" s="15" t="n"/>
      <c r="E1893" s="23" t="n"/>
      <c r="F1893" s="15" t="n"/>
      <c r="G1893" s="23" t="n"/>
      <c r="H1893" s="25" t="n"/>
      <c r="I1893" s="15" t="n"/>
      <c r="J1893" s="26">
        <f>IF($A1893="","",LEN($C1893)-LEN(SUBSTITUTE($C1893,",",""))+1)</f>
        <v/>
      </c>
      <c r="K1893" s="26">
        <f>IF($A1893="","",SUMPRODUCT(--ISNUMBER(SEARCH('Category Dictionary'!$D$5:$D$135&amp;"",$C1893)),--('Category Dictionary'!$D$5:$D$135&lt;&gt;"")))</f>
        <v/>
      </c>
      <c r="L1893" s="27">
        <f>IF($A1893="","",TRIM(IF(ISERROR(FIND(",",$C1893)),$C1893,LEFT($C1893,FIND(",",$C1893)-1))))</f>
        <v/>
      </c>
      <c r="M1893" s="28">
        <f>IF($H1893="","",DATE(YEAR($H1893),MONTH($H1893),1))</f>
        <v/>
      </c>
      <c r="N1893" s="26">
        <f>IF($H1893="","",TODAY()-$H1893)</f>
        <v/>
      </c>
      <c r="O1893" s="15" t="n"/>
      <c r="P1893" s="15" t="n"/>
      <c r="Q1893" s="15" t="n"/>
      <c r="R1893" s="25" t="n"/>
      <c r="S1893" s="26">
        <f>IF($A1893="","",AND(OR('Assignment Builder'!$B$5="",$B1893='Assignment Builder'!$B$5),OR('Assignment Builder'!$B$6="",ISNUMBER(SEARCH('Assignment Builder'!$B$6,$C1893))),OR('Assignment Builder'!$B$7="",'Assignment Builder'!$B$7=IFERROR(INDEX('Category Dictionary'!$C$5:$C$135,MATCH($L1893,'Category Dictionary'!$D$5:$D$135,0)),"")),OR('Assignment Builder'!$B$8="",$D1893='Assignment Builder'!$B$8),OR('Assignment Builder'!$B$9="",$F1893='Assignment Builder'!$B$9),OR('Assignment Builder'!$B$10="",$O1893='Assignment Builder'!$B$10),OR('Assignment Builder'!$B$11="",$H1893&gt;='Assignment Builder'!$B$11),OR('Assignment Builder'!$B$12="",N($Q1893)&lt;='Assignment Builder'!$B$12)))</f>
        <v/>
      </c>
      <c r="T1893" s="23" t="n"/>
    </row>
    <row r="1894">
      <c r="A1894" s="23" t="n"/>
      <c r="B1894" s="23" t="n"/>
      <c r="C1894" s="24" t="n"/>
      <c r="D1894" s="15" t="n"/>
      <c r="E1894" s="23" t="n"/>
      <c r="F1894" s="15" t="n"/>
      <c r="G1894" s="23" t="n"/>
      <c r="H1894" s="25" t="n"/>
      <c r="I1894" s="15" t="n"/>
      <c r="J1894" s="26">
        <f>IF($A1894="","",LEN($C1894)-LEN(SUBSTITUTE($C1894,",",""))+1)</f>
        <v/>
      </c>
      <c r="K1894" s="26">
        <f>IF($A1894="","",SUMPRODUCT(--ISNUMBER(SEARCH('Category Dictionary'!$D$5:$D$135&amp;"",$C1894)),--('Category Dictionary'!$D$5:$D$135&lt;&gt;"")))</f>
        <v/>
      </c>
      <c r="L1894" s="27">
        <f>IF($A1894="","",TRIM(IF(ISERROR(FIND(",",$C1894)),$C1894,LEFT($C1894,FIND(",",$C1894)-1))))</f>
        <v/>
      </c>
      <c r="M1894" s="28">
        <f>IF($H1894="","",DATE(YEAR($H1894),MONTH($H1894),1))</f>
        <v/>
      </c>
      <c r="N1894" s="26">
        <f>IF($H1894="","",TODAY()-$H1894)</f>
        <v/>
      </c>
      <c r="O1894" s="15" t="n"/>
      <c r="P1894" s="15" t="n"/>
      <c r="Q1894" s="15" t="n"/>
      <c r="R1894" s="25" t="n"/>
      <c r="S1894" s="26">
        <f>IF($A1894="","",AND(OR('Assignment Builder'!$B$5="",$B1894='Assignment Builder'!$B$5),OR('Assignment Builder'!$B$6="",ISNUMBER(SEARCH('Assignment Builder'!$B$6,$C1894))),OR('Assignment Builder'!$B$7="",'Assignment Builder'!$B$7=IFERROR(INDEX('Category Dictionary'!$C$5:$C$135,MATCH($L1894,'Category Dictionary'!$D$5:$D$135,0)),"")),OR('Assignment Builder'!$B$8="",$D1894='Assignment Builder'!$B$8),OR('Assignment Builder'!$B$9="",$F1894='Assignment Builder'!$B$9),OR('Assignment Builder'!$B$10="",$O1894='Assignment Builder'!$B$10),OR('Assignment Builder'!$B$11="",$H1894&gt;='Assignment Builder'!$B$11),OR('Assignment Builder'!$B$12="",N($Q1894)&lt;='Assignment Builder'!$B$12)))</f>
        <v/>
      </c>
      <c r="T1894" s="23" t="n"/>
    </row>
    <row r="1895">
      <c r="A1895" s="23" t="n"/>
      <c r="B1895" s="23" t="n"/>
      <c r="C1895" s="24" t="n"/>
      <c r="D1895" s="15" t="n"/>
      <c r="E1895" s="23" t="n"/>
      <c r="F1895" s="15" t="n"/>
      <c r="G1895" s="23" t="n"/>
      <c r="H1895" s="25" t="n"/>
      <c r="I1895" s="15" t="n"/>
      <c r="J1895" s="26">
        <f>IF($A1895="","",LEN($C1895)-LEN(SUBSTITUTE($C1895,",",""))+1)</f>
        <v/>
      </c>
      <c r="K1895" s="26">
        <f>IF($A1895="","",SUMPRODUCT(--ISNUMBER(SEARCH('Category Dictionary'!$D$5:$D$135&amp;"",$C1895)),--('Category Dictionary'!$D$5:$D$135&lt;&gt;"")))</f>
        <v/>
      </c>
      <c r="L1895" s="27">
        <f>IF($A1895="","",TRIM(IF(ISERROR(FIND(",",$C1895)),$C1895,LEFT($C1895,FIND(",",$C1895)-1))))</f>
        <v/>
      </c>
      <c r="M1895" s="28">
        <f>IF($H1895="","",DATE(YEAR($H1895),MONTH($H1895),1))</f>
        <v/>
      </c>
      <c r="N1895" s="26">
        <f>IF($H1895="","",TODAY()-$H1895)</f>
        <v/>
      </c>
      <c r="O1895" s="15" t="n"/>
      <c r="P1895" s="15" t="n"/>
      <c r="Q1895" s="15" t="n"/>
      <c r="R1895" s="25" t="n"/>
      <c r="S1895" s="26">
        <f>IF($A1895="","",AND(OR('Assignment Builder'!$B$5="",$B1895='Assignment Builder'!$B$5),OR('Assignment Builder'!$B$6="",ISNUMBER(SEARCH('Assignment Builder'!$B$6,$C1895))),OR('Assignment Builder'!$B$7="",'Assignment Builder'!$B$7=IFERROR(INDEX('Category Dictionary'!$C$5:$C$135,MATCH($L1895,'Category Dictionary'!$D$5:$D$135,0)),"")),OR('Assignment Builder'!$B$8="",$D1895='Assignment Builder'!$B$8),OR('Assignment Builder'!$B$9="",$F1895='Assignment Builder'!$B$9),OR('Assignment Builder'!$B$10="",$O1895='Assignment Builder'!$B$10),OR('Assignment Builder'!$B$11="",$H1895&gt;='Assignment Builder'!$B$11),OR('Assignment Builder'!$B$12="",N($Q1895)&lt;='Assignment Builder'!$B$12)))</f>
        <v/>
      </c>
      <c r="T1895" s="23" t="n"/>
    </row>
    <row r="1896">
      <c r="A1896" s="23" t="n"/>
      <c r="B1896" s="23" t="n"/>
      <c r="C1896" s="24" t="n"/>
      <c r="D1896" s="15" t="n"/>
      <c r="E1896" s="23" t="n"/>
      <c r="F1896" s="15" t="n"/>
      <c r="G1896" s="23" t="n"/>
      <c r="H1896" s="25" t="n"/>
      <c r="I1896" s="15" t="n"/>
      <c r="J1896" s="26">
        <f>IF($A1896="","",LEN($C1896)-LEN(SUBSTITUTE($C1896,",",""))+1)</f>
        <v/>
      </c>
      <c r="K1896" s="26">
        <f>IF($A1896="","",SUMPRODUCT(--ISNUMBER(SEARCH('Category Dictionary'!$D$5:$D$135&amp;"",$C1896)),--('Category Dictionary'!$D$5:$D$135&lt;&gt;"")))</f>
        <v/>
      </c>
      <c r="L1896" s="27">
        <f>IF($A1896="","",TRIM(IF(ISERROR(FIND(",",$C1896)),$C1896,LEFT($C1896,FIND(",",$C1896)-1))))</f>
        <v/>
      </c>
      <c r="M1896" s="28">
        <f>IF($H1896="","",DATE(YEAR($H1896),MONTH($H1896),1))</f>
        <v/>
      </c>
      <c r="N1896" s="26">
        <f>IF($H1896="","",TODAY()-$H1896)</f>
        <v/>
      </c>
      <c r="O1896" s="15" t="n"/>
      <c r="P1896" s="15" t="n"/>
      <c r="Q1896" s="15" t="n"/>
      <c r="R1896" s="25" t="n"/>
      <c r="S1896" s="26">
        <f>IF($A1896="","",AND(OR('Assignment Builder'!$B$5="",$B1896='Assignment Builder'!$B$5),OR('Assignment Builder'!$B$6="",ISNUMBER(SEARCH('Assignment Builder'!$B$6,$C1896))),OR('Assignment Builder'!$B$7="",'Assignment Builder'!$B$7=IFERROR(INDEX('Category Dictionary'!$C$5:$C$135,MATCH($L1896,'Category Dictionary'!$D$5:$D$135,0)),"")),OR('Assignment Builder'!$B$8="",$D1896='Assignment Builder'!$B$8),OR('Assignment Builder'!$B$9="",$F1896='Assignment Builder'!$B$9),OR('Assignment Builder'!$B$10="",$O1896='Assignment Builder'!$B$10),OR('Assignment Builder'!$B$11="",$H1896&gt;='Assignment Builder'!$B$11),OR('Assignment Builder'!$B$12="",N($Q1896)&lt;='Assignment Builder'!$B$12)))</f>
        <v/>
      </c>
      <c r="T1896" s="23" t="n"/>
    </row>
    <row r="1897">
      <c r="A1897" s="23" t="n"/>
      <c r="B1897" s="23" t="n"/>
      <c r="C1897" s="24" t="n"/>
      <c r="D1897" s="15" t="n"/>
      <c r="E1897" s="23" t="n"/>
      <c r="F1897" s="15" t="n"/>
      <c r="G1897" s="23" t="n"/>
      <c r="H1897" s="25" t="n"/>
      <c r="I1897" s="15" t="n"/>
      <c r="J1897" s="26">
        <f>IF($A1897="","",LEN($C1897)-LEN(SUBSTITUTE($C1897,",",""))+1)</f>
        <v/>
      </c>
      <c r="K1897" s="26">
        <f>IF($A1897="","",SUMPRODUCT(--ISNUMBER(SEARCH('Category Dictionary'!$D$5:$D$135&amp;"",$C1897)),--('Category Dictionary'!$D$5:$D$135&lt;&gt;"")))</f>
        <v/>
      </c>
      <c r="L1897" s="27">
        <f>IF($A1897="","",TRIM(IF(ISERROR(FIND(",",$C1897)),$C1897,LEFT($C1897,FIND(",",$C1897)-1))))</f>
        <v/>
      </c>
      <c r="M1897" s="28">
        <f>IF($H1897="","",DATE(YEAR($H1897),MONTH($H1897),1))</f>
        <v/>
      </c>
      <c r="N1897" s="26">
        <f>IF($H1897="","",TODAY()-$H1897)</f>
        <v/>
      </c>
      <c r="O1897" s="15" t="n"/>
      <c r="P1897" s="15" t="n"/>
      <c r="Q1897" s="15" t="n"/>
      <c r="R1897" s="25" t="n"/>
      <c r="S1897" s="26">
        <f>IF($A1897="","",AND(OR('Assignment Builder'!$B$5="",$B1897='Assignment Builder'!$B$5),OR('Assignment Builder'!$B$6="",ISNUMBER(SEARCH('Assignment Builder'!$B$6,$C1897))),OR('Assignment Builder'!$B$7="",'Assignment Builder'!$B$7=IFERROR(INDEX('Category Dictionary'!$C$5:$C$135,MATCH($L1897,'Category Dictionary'!$D$5:$D$135,0)),"")),OR('Assignment Builder'!$B$8="",$D1897='Assignment Builder'!$B$8),OR('Assignment Builder'!$B$9="",$F1897='Assignment Builder'!$B$9),OR('Assignment Builder'!$B$10="",$O1897='Assignment Builder'!$B$10),OR('Assignment Builder'!$B$11="",$H1897&gt;='Assignment Builder'!$B$11),OR('Assignment Builder'!$B$12="",N($Q1897)&lt;='Assignment Builder'!$B$12)))</f>
        <v/>
      </c>
      <c r="T1897" s="23" t="n"/>
    </row>
    <row r="1898">
      <c r="A1898" s="23" t="n"/>
      <c r="B1898" s="23" t="n"/>
      <c r="C1898" s="24" t="n"/>
      <c r="D1898" s="15" t="n"/>
      <c r="E1898" s="23" t="n"/>
      <c r="F1898" s="15" t="n"/>
      <c r="G1898" s="23" t="n"/>
      <c r="H1898" s="25" t="n"/>
      <c r="I1898" s="15" t="n"/>
      <c r="J1898" s="26">
        <f>IF($A1898="","",LEN($C1898)-LEN(SUBSTITUTE($C1898,",",""))+1)</f>
        <v/>
      </c>
      <c r="K1898" s="26">
        <f>IF($A1898="","",SUMPRODUCT(--ISNUMBER(SEARCH('Category Dictionary'!$D$5:$D$135&amp;"",$C1898)),--('Category Dictionary'!$D$5:$D$135&lt;&gt;"")))</f>
        <v/>
      </c>
      <c r="L1898" s="27">
        <f>IF($A1898="","",TRIM(IF(ISERROR(FIND(",",$C1898)),$C1898,LEFT($C1898,FIND(",",$C1898)-1))))</f>
        <v/>
      </c>
      <c r="M1898" s="28">
        <f>IF($H1898="","",DATE(YEAR($H1898),MONTH($H1898),1))</f>
        <v/>
      </c>
      <c r="N1898" s="26">
        <f>IF($H1898="","",TODAY()-$H1898)</f>
        <v/>
      </c>
      <c r="O1898" s="15" t="n"/>
      <c r="P1898" s="15" t="n"/>
      <c r="Q1898" s="15" t="n"/>
      <c r="R1898" s="25" t="n"/>
      <c r="S1898" s="26">
        <f>IF($A1898="","",AND(OR('Assignment Builder'!$B$5="",$B1898='Assignment Builder'!$B$5),OR('Assignment Builder'!$B$6="",ISNUMBER(SEARCH('Assignment Builder'!$B$6,$C1898))),OR('Assignment Builder'!$B$7="",'Assignment Builder'!$B$7=IFERROR(INDEX('Category Dictionary'!$C$5:$C$135,MATCH($L1898,'Category Dictionary'!$D$5:$D$135,0)),"")),OR('Assignment Builder'!$B$8="",$D1898='Assignment Builder'!$B$8),OR('Assignment Builder'!$B$9="",$F1898='Assignment Builder'!$B$9),OR('Assignment Builder'!$B$10="",$O1898='Assignment Builder'!$B$10),OR('Assignment Builder'!$B$11="",$H1898&gt;='Assignment Builder'!$B$11),OR('Assignment Builder'!$B$12="",N($Q1898)&lt;='Assignment Builder'!$B$12)))</f>
        <v/>
      </c>
      <c r="T1898" s="23" t="n"/>
    </row>
    <row r="1899">
      <c r="A1899" s="23" t="n"/>
      <c r="B1899" s="23" t="n"/>
      <c r="C1899" s="24" t="n"/>
      <c r="D1899" s="15" t="n"/>
      <c r="E1899" s="23" t="n"/>
      <c r="F1899" s="15" t="n"/>
      <c r="G1899" s="23" t="n"/>
      <c r="H1899" s="25" t="n"/>
      <c r="I1899" s="15" t="n"/>
      <c r="J1899" s="26">
        <f>IF($A1899="","",LEN($C1899)-LEN(SUBSTITUTE($C1899,",",""))+1)</f>
        <v/>
      </c>
      <c r="K1899" s="26">
        <f>IF($A1899="","",SUMPRODUCT(--ISNUMBER(SEARCH('Category Dictionary'!$D$5:$D$135&amp;"",$C1899)),--('Category Dictionary'!$D$5:$D$135&lt;&gt;"")))</f>
        <v/>
      </c>
      <c r="L1899" s="27">
        <f>IF($A1899="","",TRIM(IF(ISERROR(FIND(",",$C1899)),$C1899,LEFT($C1899,FIND(",",$C1899)-1))))</f>
        <v/>
      </c>
      <c r="M1899" s="28">
        <f>IF($H1899="","",DATE(YEAR($H1899),MONTH($H1899),1))</f>
        <v/>
      </c>
      <c r="N1899" s="26">
        <f>IF($H1899="","",TODAY()-$H1899)</f>
        <v/>
      </c>
      <c r="O1899" s="15" t="n"/>
      <c r="P1899" s="15" t="n"/>
      <c r="Q1899" s="15" t="n"/>
      <c r="R1899" s="25" t="n"/>
      <c r="S1899" s="26">
        <f>IF($A1899="","",AND(OR('Assignment Builder'!$B$5="",$B1899='Assignment Builder'!$B$5),OR('Assignment Builder'!$B$6="",ISNUMBER(SEARCH('Assignment Builder'!$B$6,$C1899))),OR('Assignment Builder'!$B$7="",'Assignment Builder'!$B$7=IFERROR(INDEX('Category Dictionary'!$C$5:$C$135,MATCH($L1899,'Category Dictionary'!$D$5:$D$135,0)),"")),OR('Assignment Builder'!$B$8="",$D1899='Assignment Builder'!$B$8),OR('Assignment Builder'!$B$9="",$F1899='Assignment Builder'!$B$9),OR('Assignment Builder'!$B$10="",$O1899='Assignment Builder'!$B$10),OR('Assignment Builder'!$B$11="",$H1899&gt;='Assignment Builder'!$B$11),OR('Assignment Builder'!$B$12="",N($Q1899)&lt;='Assignment Builder'!$B$12)))</f>
        <v/>
      </c>
      <c r="T1899" s="23" t="n"/>
    </row>
    <row r="1900">
      <c r="A1900" s="23" t="n"/>
      <c r="B1900" s="23" t="n"/>
      <c r="C1900" s="24" t="n"/>
      <c r="D1900" s="15" t="n"/>
      <c r="E1900" s="23" t="n"/>
      <c r="F1900" s="15" t="n"/>
      <c r="G1900" s="23" t="n"/>
      <c r="H1900" s="25" t="n"/>
      <c r="I1900" s="15" t="n"/>
      <c r="J1900" s="26">
        <f>IF($A1900="","",LEN($C1900)-LEN(SUBSTITUTE($C1900,",",""))+1)</f>
        <v/>
      </c>
      <c r="K1900" s="26">
        <f>IF($A1900="","",SUMPRODUCT(--ISNUMBER(SEARCH('Category Dictionary'!$D$5:$D$135&amp;"",$C1900)),--('Category Dictionary'!$D$5:$D$135&lt;&gt;"")))</f>
        <v/>
      </c>
      <c r="L1900" s="27">
        <f>IF($A1900="","",TRIM(IF(ISERROR(FIND(",",$C1900)),$C1900,LEFT($C1900,FIND(",",$C1900)-1))))</f>
        <v/>
      </c>
      <c r="M1900" s="28">
        <f>IF($H1900="","",DATE(YEAR($H1900),MONTH($H1900),1))</f>
        <v/>
      </c>
      <c r="N1900" s="26">
        <f>IF($H1900="","",TODAY()-$H1900)</f>
        <v/>
      </c>
      <c r="O1900" s="15" t="n"/>
      <c r="P1900" s="15" t="n"/>
      <c r="Q1900" s="15" t="n"/>
      <c r="R1900" s="25" t="n"/>
      <c r="S1900" s="26">
        <f>IF($A1900="","",AND(OR('Assignment Builder'!$B$5="",$B1900='Assignment Builder'!$B$5),OR('Assignment Builder'!$B$6="",ISNUMBER(SEARCH('Assignment Builder'!$B$6,$C1900))),OR('Assignment Builder'!$B$7="",'Assignment Builder'!$B$7=IFERROR(INDEX('Category Dictionary'!$C$5:$C$135,MATCH($L1900,'Category Dictionary'!$D$5:$D$135,0)),"")),OR('Assignment Builder'!$B$8="",$D1900='Assignment Builder'!$B$8),OR('Assignment Builder'!$B$9="",$F1900='Assignment Builder'!$B$9),OR('Assignment Builder'!$B$10="",$O1900='Assignment Builder'!$B$10),OR('Assignment Builder'!$B$11="",$H1900&gt;='Assignment Builder'!$B$11),OR('Assignment Builder'!$B$12="",N($Q1900)&lt;='Assignment Builder'!$B$12)))</f>
        <v/>
      </c>
      <c r="T1900" s="23" t="n"/>
    </row>
    <row r="1901">
      <c r="A1901" s="23" t="n"/>
      <c r="B1901" s="23" t="n"/>
      <c r="C1901" s="24" t="n"/>
      <c r="D1901" s="15" t="n"/>
      <c r="E1901" s="23" t="n"/>
      <c r="F1901" s="15" t="n"/>
      <c r="G1901" s="23" t="n"/>
      <c r="H1901" s="25" t="n"/>
      <c r="I1901" s="15" t="n"/>
      <c r="J1901" s="26">
        <f>IF($A1901="","",LEN($C1901)-LEN(SUBSTITUTE($C1901,",",""))+1)</f>
        <v/>
      </c>
      <c r="K1901" s="26">
        <f>IF($A1901="","",SUMPRODUCT(--ISNUMBER(SEARCH('Category Dictionary'!$D$5:$D$135&amp;"",$C1901)),--('Category Dictionary'!$D$5:$D$135&lt;&gt;"")))</f>
        <v/>
      </c>
      <c r="L1901" s="27">
        <f>IF($A1901="","",TRIM(IF(ISERROR(FIND(",",$C1901)),$C1901,LEFT($C1901,FIND(",",$C1901)-1))))</f>
        <v/>
      </c>
      <c r="M1901" s="28">
        <f>IF($H1901="","",DATE(YEAR($H1901),MONTH($H1901),1))</f>
        <v/>
      </c>
      <c r="N1901" s="26">
        <f>IF($H1901="","",TODAY()-$H1901)</f>
        <v/>
      </c>
      <c r="O1901" s="15" t="n"/>
      <c r="P1901" s="15" t="n"/>
      <c r="Q1901" s="15" t="n"/>
      <c r="R1901" s="25" t="n"/>
      <c r="S1901" s="26">
        <f>IF($A1901="","",AND(OR('Assignment Builder'!$B$5="",$B1901='Assignment Builder'!$B$5),OR('Assignment Builder'!$B$6="",ISNUMBER(SEARCH('Assignment Builder'!$B$6,$C1901))),OR('Assignment Builder'!$B$7="",'Assignment Builder'!$B$7=IFERROR(INDEX('Category Dictionary'!$C$5:$C$135,MATCH($L1901,'Category Dictionary'!$D$5:$D$135,0)),"")),OR('Assignment Builder'!$B$8="",$D1901='Assignment Builder'!$B$8),OR('Assignment Builder'!$B$9="",$F1901='Assignment Builder'!$B$9),OR('Assignment Builder'!$B$10="",$O1901='Assignment Builder'!$B$10),OR('Assignment Builder'!$B$11="",$H1901&gt;='Assignment Builder'!$B$11),OR('Assignment Builder'!$B$12="",N($Q1901)&lt;='Assignment Builder'!$B$12)))</f>
        <v/>
      </c>
      <c r="T1901" s="23" t="n"/>
    </row>
    <row r="1902">
      <c r="A1902" s="23" t="n"/>
      <c r="B1902" s="23" t="n"/>
      <c r="C1902" s="24" t="n"/>
      <c r="D1902" s="15" t="n"/>
      <c r="E1902" s="23" t="n"/>
      <c r="F1902" s="15" t="n"/>
      <c r="G1902" s="23" t="n"/>
      <c r="H1902" s="25" t="n"/>
      <c r="I1902" s="15" t="n"/>
      <c r="J1902" s="26">
        <f>IF($A1902="","",LEN($C1902)-LEN(SUBSTITUTE($C1902,",",""))+1)</f>
        <v/>
      </c>
      <c r="K1902" s="26">
        <f>IF($A1902="","",SUMPRODUCT(--ISNUMBER(SEARCH('Category Dictionary'!$D$5:$D$135&amp;"",$C1902)),--('Category Dictionary'!$D$5:$D$135&lt;&gt;"")))</f>
        <v/>
      </c>
      <c r="L1902" s="27">
        <f>IF($A1902="","",TRIM(IF(ISERROR(FIND(",",$C1902)),$C1902,LEFT($C1902,FIND(",",$C1902)-1))))</f>
        <v/>
      </c>
      <c r="M1902" s="28">
        <f>IF($H1902="","",DATE(YEAR($H1902),MONTH($H1902),1))</f>
        <v/>
      </c>
      <c r="N1902" s="26">
        <f>IF($H1902="","",TODAY()-$H1902)</f>
        <v/>
      </c>
      <c r="O1902" s="15" t="n"/>
      <c r="P1902" s="15" t="n"/>
      <c r="Q1902" s="15" t="n"/>
      <c r="R1902" s="25" t="n"/>
      <c r="S1902" s="26">
        <f>IF($A1902="","",AND(OR('Assignment Builder'!$B$5="",$B1902='Assignment Builder'!$B$5),OR('Assignment Builder'!$B$6="",ISNUMBER(SEARCH('Assignment Builder'!$B$6,$C1902))),OR('Assignment Builder'!$B$7="",'Assignment Builder'!$B$7=IFERROR(INDEX('Category Dictionary'!$C$5:$C$135,MATCH($L1902,'Category Dictionary'!$D$5:$D$135,0)),"")),OR('Assignment Builder'!$B$8="",$D1902='Assignment Builder'!$B$8),OR('Assignment Builder'!$B$9="",$F1902='Assignment Builder'!$B$9),OR('Assignment Builder'!$B$10="",$O1902='Assignment Builder'!$B$10),OR('Assignment Builder'!$B$11="",$H1902&gt;='Assignment Builder'!$B$11),OR('Assignment Builder'!$B$12="",N($Q1902)&lt;='Assignment Builder'!$B$12)))</f>
        <v/>
      </c>
      <c r="T1902" s="23" t="n"/>
    </row>
    <row r="1903">
      <c r="A1903" s="23" t="n"/>
      <c r="B1903" s="23" t="n"/>
      <c r="C1903" s="24" t="n"/>
      <c r="D1903" s="15" t="n"/>
      <c r="E1903" s="23" t="n"/>
      <c r="F1903" s="15" t="n"/>
      <c r="G1903" s="23" t="n"/>
      <c r="H1903" s="25" t="n"/>
      <c r="I1903" s="15" t="n"/>
      <c r="J1903" s="26">
        <f>IF($A1903="","",LEN($C1903)-LEN(SUBSTITUTE($C1903,",",""))+1)</f>
        <v/>
      </c>
      <c r="K1903" s="26">
        <f>IF($A1903="","",SUMPRODUCT(--ISNUMBER(SEARCH('Category Dictionary'!$D$5:$D$135&amp;"",$C1903)),--('Category Dictionary'!$D$5:$D$135&lt;&gt;"")))</f>
        <v/>
      </c>
      <c r="L1903" s="27">
        <f>IF($A1903="","",TRIM(IF(ISERROR(FIND(",",$C1903)),$C1903,LEFT($C1903,FIND(",",$C1903)-1))))</f>
        <v/>
      </c>
      <c r="M1903" s="28">
        <f>IF($H1903="","",DATE(YEAR($H1903),MONTH($H1903),1))</f>
        <v/>
      </c>
      <c r="N1903" s="26">
        <f>IF($H1903="","",TODAY()-$H1903)</f>
        <v/>
      </c>
      <c r="O1903" s="15" t="n"/>
      <c r="P1903" s="15" t="n"/>
      <c r="Q1903" s="15" t="n"/>
      <c r="R1903" s="25" t="n"/>
      <c r="S1903" s="26">
        <f>IF($A1903="","",AND(OR('Assignment Builder'!$B$5="",$B1903='Assignment Builder'!$B$5),OR('Assignment Builder'!$B$6="",ISNUMBER(SEARCH('Assignment Builder'!$B$6,$C1903))),OR('Assignment Builder'!$B$7="",'Assignment Builder'!$B$7=IFERROR(INDEX('Category Dictionary'!$C$5:$C$135,MATCH($L1903,'Category Dictionary'!$D$5:$D$135,0)),"")),OR('Assignment Builder'!$B$8="",$D1903='Assignment Builder'!$B$8),OR('Assignment Builder'!$B$9="",$F1903='Assignment Builder'!$B$9),OR('Assignment Builder'!$B$10="",$O1903='Assignment Builder'!$B$10),OR('Assignment Builder'!$B$11="",$H1903&gt;='Assignment Builder'!$B$11),OR('Assignment Builder'!$B$12="",N($Q1903)&lt;='Assignment Builder'!$B$12)))</f>
        <v/>
      </c>
      <c r="T1903" s="23" t="n"/>
    </row>
    <row r="1904">
      <c r="A1904" s="23" t="n"/>
      <c r="B1904" s="23" t="n"/>
      <c r="C1904" s="24" t="n"/>
      <c r="D1904" s="15" t="n"/>
      <c r="E1904" s="23" t="n"/>
      <c r="F1904" s="15" t="n"/>
      <c r="G1904" s="23" t="n"/>
      <c r="H1904" s="25" t="n"/>
      <c r="I1904" s="15" t="n"/>
      <c r="J1904" s="26">
        <f>IF($A1904="","",LEN($C1904)-LEN(SUBSTITUTE($C1904,",",""))+1)</f>
        <v/>
      </c>
      <c r="K1904" s="26">
        <f>IF($A1904="","",SUMPRODUCT(--ISNUMBER(SEARCH('Category Dictionary'!$D$5:$D$135&amp;"",$C1904)),--('Category Dictionary'!$D$5:$D$135&lt;&gt;"")))</f>
        <v/>
      </c>
      <c r="L1904" s="27">
        <f>IF($A1904="","",TRIM(IF(ISERROR(FIND(",",$C1904)),$C1904,LEFT($C1904,FIND(",",$C1904)-1))))</f>
        <v/>
      </c>
      <c r="M1904" s="28">
        <f>IF($H1904="","",DATE(YEAR($H1904),MONTH($H1904),1))</f>
        <v/>
      </c>
      <c r="N1904" s="26">
        <f>IF($H1904="","",TODAY()-$H1904)</f>
        <v/>
      </c>
      <c r="O1904" s="15" t="n"/>
      <c r="P1904" s="15" t="n"/>
      <c r="Q1904" s="15" t="n"/>
      <c r="R1904" s="25" t="n"/>
      <c r="S1904" s="26">
        <f>IF($A1904="","",AND(OR('Assignment Builder'!$B$5="",$B1904='Assignment Builder'!$B$5),OR('Assignment Builder'!$B$6="",ISNUMBER(SEARCH('Assignment Builder'!$B$6,$C1904))),OR('Assignment Builder'!$B$7="",'Assignment Builder'!$B$7=IFERROR(INDEX('Category Dictionary'!$C$5:$C$135,MATCH($L1904,'Category Dictionary'!$D$5:$D$135,0)),"")),OR('Assignment Builder'!$B$8="",$D1904='Assignment Builder'!$B$8),OR('Assignment Builder'!$B$9="",$F1904='Assignment Builder'!$B$9),OR('Assignment Builder'!$B$10="",$O1904='Assignment Builder'!$B$10),OR('Assignment Builder'!$B$11="",$H1904&gt;='Assignment Builder'!$B$11),OR('Assignment Builder'!$B$12="",N($Q1904)&lt;='Assignment Builder'!$B$12)))</f>
        <v/>
      </c>
      <c r="T1904" s="23" t="n"/>
    </row>
    <row r="1905">
      <c r="A1905" s="23" t="n"/>
      <c r="B1905" s="23" t="n"/>
      <c r="C1905" s="24" t="n"/>
      <c r="D1905" s="15" t="n"/>
      <c r="E1905" s="23" t="n"/>
      <c r="F1905" s="15" t="n"/>
      <c r="G1905" s="23" t="n"/>
      <c r="H1905" s="25" t="n"/>
      <c r="I1905" s="15" t="n"/>
      <c r="J1905" s="26">
        <f>IF($A1905="","",LEN($C1905)-LEN(SUBSTITUTE($C1905,",",""))+1)</f>
        <v/>
      </c>
      <c r="K1905" s="26">
        <f>IF($A1905="","",SUMPRODUCT(--ISNUMBER(SEARCH('Category Dictionary'!$D$5:$D$135&amp;"",$C1905)),--('Category Dictionary'!$D$5:$D$135&lt;&gt;"")))</f>
        <v/>
      </c>
      <c r="L1905" s="27">
        <f>IF($A1905="","",TRIM(IF(ISERROR(FIND(",",$C1905)),$C1905,LEFT($C1905,FIND(",",$C1905)-1))))</f>
        <v/>
      </c>
      <c r="M1905" s="28">
        <f>IF($H1905="","",DATE(YEAR($H1905),MONTH($H1905),1))</f>
        <v/>
      </c>
      <c r="N1905" s="26">
        <f>IF($H1905="","",TODAY()-$H1905)</f>
        <v/>
      </c>
      <c r="O1905" s="15" t="n"/>
      <c r="P1905" s="15" t="n"/>
      <c r="Q1905" s="15" t="n"/>
      <c r="R1905" s="25" t="n"/>
      <c r="S1905" s="26">
        <f>IF($A1905="","",AND(OR('Assignment Builder'!$B$5="",$B1905='Assignment Builder'!$B$5),OR('Assignment Builder'!$B$6="",ISNUMBER(SEARCH('Assignment Builder'!$B$6,$C1905))),OR('Assignment Builder'!$B$7="",'Assignment Builder'!$B$7=IFERROR(INDEX('Category Dictionary'!$C$5:$C$135,MATCH($L1905,'Category Dictionary'!$D$5:$D$135,0)),"")),OR('Assignment Builder'!$B$8="",$D1905='Assignment Builder'!$B$8),OR('Assignment Builder'!$B$9="",$F1905='Assignment Builder'!$B$9),OR('Assignment Builder'!$B$10="",$O1905='Assignment Builder'!$B$10),OR('Assignment Builder'!$B$11="",$H1905&gt;='Assignment Builder'!$B$11),OR('Assignment Builder'!$B$12="",N($Q1905)&lt;='Assignment Builder'!$B$12)))</f>
        <v/>
      </c>
      <c r="T1905" s="23" t="n"/>
    </row>
    <row r="1906">
      <c r="A1906" s="23" t="n"/>
      <c r="B1906" s="23" t="n"/>
      <c r="C1906" s="24" t="n"/>
      <c r="D1906" s="15" t="n"/>
      <c r="E1906" s="23" t="n"/>
      <c r="F1906" s="15" t="n"/>
      <c r="G1906" s="23" t="n"/>
      <c r="H1906" s="25" t="n"/>
      <c r="I1906" s="15" t="n"/>
      <c r="J1906" s="26">
        <f>IF($A1906="","",LEN($C1906)-LEN(SUBSTITUTE($C1906,",",""))+1)</f>
        <v/>
      </c>
      <c r="K1906" s="26">
        <f>IF($A1906="","",SUMPRODUCT(--ISNUMBER(SEARCH('Category Dictionary'!$D$5:$D$135&amp;"",$C1906)),--('Category Dictionary'!$D$5:$D$135&lt;&gt;"")))</f>
        <v/>
      </c>
      <c r="L1906" s="27">
        <f>IF($A1906="","",TRIM(IF(ISERROR(FIND(",",$C1906)),$C1906,LEFT($C1906,FIND(",",$C1906)-1))))</f>
        <v/>
      </c>
      <c r="M1906" s="28">
        <f>IF($H1906="","",DATE(YEAR($H1906),MONTH($H1906),1))</f>
        <v/>
      </c>
      <c r="N1906" s="26">
        <f>IF($H1906="","",TODAY()-$H1906)</f>
        <v/>
      </c>
      <c r="O1906" s="15" t="n"/>
      <c r="P1906" s="15" t="n"/>
      <c r="Q1906" s="15" t="n"/>
      <c r="R1906" s="25" t="n"/>
      <c r="S1906" s="26">
        <f>IF($A1906="","",AND(OR('Assignment Builder'!$B$5="",$B1906='Assignment Builder'!$B$5),OR('Assignment Builder'!$B$6="",ISNUMBER(SEARCH('Assignment Builder'!$B$6,$C1906))),OR('Assignment Builder'!$B$7="",'Assignment Builder'!$B$7=IFERROR(INDEX('Category Dictionary'!$C$5:$C$135,MATCH($L1906,'Category Dictionary'!$D$5:$D$135,0)),"")),OR('Assignment Builder'!$B$8="",$D1906='Assignment Builder'!$B$8),OR('Assignment Builder'!$B$9="",$F1906='Assignment Builder'!$B$9),OR('Assignment Builder'!$B$10="",$O1906='Assignment Builder'!$B$10),OR('Assignment Builder'!$B$11="",$H1906&gt;='Assignment Builder'!$B$11),OR('Assignment Builder'!$B$12="",N($Q1906)&lt;='Assignment Builder'!$B$12)))</f>
        <v/>
      </c>
      <c r="T1906" s="23" t="n"/>
    </row>
    <row r="1907">
      <c r="A1907" s="23" t="n"/>
      <c r="B1907" s="23" t="n"/>
      <c r="C1907" s="24" t="n"/>
      <c r="D1907" s="15" t="n"/>
      <c r="E1907" s="23" t="n"/>
      <c r="F1907" s="15" t="n"/>
      <c r="G1907" s="23" t="n"/>
      <c r="H1907" s="25" t="n"/>
      <c r="I1907" s="15" t="n"/>
      <c r="J1907" s="26">
        <f>IF($A1907="","",LEN($C1907)-LEN(SUBSTITUTE($C1907,",",""))+1)</f>
        <v/>
      </c>
      <c r="K1907" s="26">
        <f>IF($A1907="","",SUMPRODUCT(--ISNUMBER(SEARCH('Category Dictionary'!$D$5:$D$135&amp;"",$C1907)),--('Category Dictionary'!$D$5:$D$135&lt;&gt;"")))</f>
        <v/>
      </c>
      <c r="L1907" s="27">
        <f>IF($A1907="","",TRIM(IF(ISERROR(FIND(",",$C1907)),$C1907,LEFT($C1907,FIND(",",$C1907)-1))))</f>
        <v/>
      </c>
      <c r="M1907" s="28">
        <f>IF($H1907="","",DATE(YEAR($H1907),MONTH($H1907),1))</f>
        <v/>
      </c>
      <c r="N1907" s="26">
        <f>IF($H1907="","",TODAY()-$H1907)</f>
        <v/>
      </c>
      <c r="O1907" s="15" t="n"/>
      <c r="P1907" s="15" t="n"/>
      <c r="Q1907" s="15" t="n"/>
      <c r="R1907" s="25" t="n"/>
      <c r="S1907" s="26">
        <f>IF($A1907="","",AND(OR('Assignment Builder'!$B$5="",$B1907='Assignment Builder'!$B$5),OR('Assignment Builder'!$B$6="",ISNUMBER(SEARCH('Assignment Builder'!$B$6,$C1907))),OR('Assignment Builder'!$B$7="",'Assignment Builder'!$B$7=IFERROR(INDEX('Category Dictionary'!$C$5:$C$135,MATCH($L1907,'Category Dictionary'!$D$5:$D$135,0)),"")),OR('Assignment Builder'!$B$8="",$D1907='Assignment Builder'!$B$8),OR('Assignment Builder'!$B$9="",$F1907='Assignment Builder'!$B$9),OR('Assignment Builder'!$B$10="",$O1907='Assignment Builder'!$B$10),OR('Assignment Builder'!$B$11="",$H1907&gt;='Assignment Builder'!$B$11),OR('Assignment Builder'!$B$12="",N($Q1907)&lt;='Assignment Builder'!$B$12)))</f>
        <v/>
      </c>
      <c r="T1907" s="23" t="n"/>
    </row>
    <row r="1908">
      <c r="A1908" s="23" t="n"/>
      <c r="B1908" s="23" t="n"/>
      <c r="C1908" s="24" t="n"/>
      <c r="D1908" s="15" t="n"/>
      <c r="E1908" s="23" t="n"/>
      <c r="F1908" s="15" t="n"/>
      <c r="G1908" s="23" t="n"/>
      <c r="H1908" s="25" t="n"/>
      <c r="I1908" s="15" t="n"/>
      <c r="J1908" s="26">
        <f>IF($A1908="","",LEN($C1908)-LEN(SUBSTITUTE($C1908,",",""))+1)</f>
        <v/>
      </c>
      <c r="K1908" s="26">
        <f>IF($A1908="","",SUMPRODUCT(--ISNUMBER(SEARCH('Category Dictionary'!$D$5:$D$135&amp;"",$C1908)),--('Category Dictionary'!$D$5:$D$135&lt;&gt;"")))</f>
        <v/>
      </c>
      <c r="L1908" s="27">
        <f>IF($A1908="","",TRIM(IF(ISERROR(FIND(",",$C1908)),$C1908,LEFT($C1908,FIND(",",$C1908)-1))))</f>
        <v/>
      </c>
      <c r="M1908" s="28">
        <f>IF($H1908="","",DATE(YEAR($H1908),MONTH($H1908),1))</f>
        <v/>
      </c>
      <c r="N1908" s="26">
        <f>IF($H1908="","",TODAY()-$H1908)</f>
        <v/>
      </c>
      <c r="O1908" s="15" t="n"/>
      <c r="P1908" s="15" t="n"/>
      <c r="Q1908" s="15" t="n"/>
      <c r="R1908" s="25" t="n"/>
      <c r="S1908" s="26">
        <f>IF($A1908="","",AND(OR('Assignment Builder'!$B$5="",$B1908='Assignment Builder'!$B$5),OR('Assignment Builder'!$B$6="",ISNUMBER(SEARCH('Assignment Builder'!$B$6,$C1908))),OR('Assignment Builder'!$B$7="",'Assignment Builder'!$B$7=IFERROR(INDEX('Category Dictionary'!$C$5:$C$135,MATCH($L1908,'Category Dictionary'!$D$5:$D$135,0)),"")),OR('Assignment Builder'!$B$8="",$D1908='Assignment Builder'!$B$8),OR('Assignment Builder'!$B$9="",$F1908='Assignment Builder'!$B$9),OR('Assignment Builder'!$B$10="",$O1908='Assignment Builder'!$B$10),OR('Assignment Builder'!$B$11="",$H1908&gt;='Assignment Builder'!$B$11),OR('Assignment Builder'!$B$12="",N($Q1908)&lt;='Assignment Builder'!$B$12)))</f>
        <v/>
      </c>
      <c r="T1908" s="23" t="n"/>
    </row>
    <row r="1909">
      <c r="A1909" s="23" t="n"/>
      <c r="B1909" s="23" t="n"/>
      <c r="C1909" s="24" t="n"/>
      <c r="D1909" s="15" t="n"/>
      <c r="E1909" s="23" t="n"/>
      <c r="F1909" s="15" t="n"/>
      <c r="G1909" s="23" t="n"/>
      <c r="H1909" s="25" t="n"/>
      <c r="I1909" s="15" t="n"/>
      <c r="J1909" s="26">
        <f>IF($A1909="","",LEN($C1909)-LEN(SUBSTITUTE($C1909,",",""))+1)</f>
        <v/>
      </c>
      <c r="K1909" s="26">
        <f>IF($A1909="","",SUMPRODUCT(--ISNUMBER(SEARCH('Category Dictionary'!$D$5:$D$135&amp;"",$C1909)),--('Category Dictionary'!$D$5:$D$135&lt;&gt;"")))</f>
        <v/>
      </c>
      <c r="L1909" s="27">
        <f>IF($A1909="","",TRIM(IF(ISERROR(FIND(",",$C1909)),$C1909,LEFT($C1909,FIND(",",$C1909)-1))))</f>
        <v/>
      </c>
      <c r="M1909" s="28">
        <f>IF($H1909="","",DATE(YEAR($H1909),MONTH($H1909),1))</f>
        <v/>
      </c>
      <c r="N1909" s="26">
        <f>IF($H1909="","",TODAY()-$H1909)</f>
        <v/>
      </c>
      <c r="O1909" s="15" t="n"/>
      <c r="P1909" s="15" t="n"/>
      <c r="Q1909" s="15" t="n"/>
      <c r="R1909" s="25" t="n"/>
      <c r="S1909" s="26">
        <f>IF($A1909="","",AND(OR('Assignment Builder'!$B$5="",$B1909='Assignment Builder'!$B$5),OR('Assignment Builder'!$B$6="",ISNUMBER(SEARCH('Assignment Builder'!$B$6,$C1909))),OR('Assignment Builder'!$B$7="",'Assignment Builder'!$B$7=IFERROR(INDEX('Category Dictionary'!$C$5:$C$135,MATCH($L1909,'Category Dictionary'!$D$5:$D$135,0)),"")),OR('Assignment Builder'!$B$8="",$D1909='Assignment Builder'!$B$8),OR('Assignment Builder'!$B$9="",$F1909='Assignment Builder'!$B$9),OR('Assignment Builder'!$B$10="",$O1909='Assignment Builder'!$B$10),OR('Assignment Builder'!$B$11="",$H1909&gt;='Assignment Builder'!$B$11),OR('Assignment Builder'!$B$12="",N($Q1909)&lt;='Assignment Builder'!$B$12)))</f>
        <v/>
      </c>
      <c r="T1909" s="23" t="n"/>
    </row>
    <row r="1910">
      <c r="A1910" s="23" t="n"/>
      <c r="B1910" s="23" t="n"/>
      <c r="C1910" s="24" t="n"/>
      <c r="D1910" s="15" t="n"/>
      <c r="E1910" s="23" t="n"/>
      <c r="F1910" s="15" t="n"/>
      <c r="G1910" s="23" t="n"/>
      <c r="H1910" s="25" t="n"/>
      <c r="I1910" s="15" t="n"/>
      <c r="J1910" s="26">
        <f>IF($A1910="","",LEN($C1910)-LEN(SUBSTITUTE($C1910,",",""))+1)</f>
        <v/>
      </c>
      <c r="K1910" s="26">
        <f>IF($A1910="","",SUMPRODUCT(--ISNUMBER(SEARCH('Category Dictionary'!$D$5:$D$135&amp;"",$C1910)),--('Category Dictionary'!$D$5:$D$135&lt;&gt;"")))</f>
        <v/>
      </c>
      <c r="L1910" s="27">
        <f>IF($A1910="","",TRIM(IF(ISERROR(FIND(",",$C1910)),$C1910,LEFT($C1910,FIND(",",$C1910)-1))))</f>
        <v/>
      </c>
      <c r="M1910" s="28">
        <f>IF($H1910="","",DATE(YEAR($H1910),MONTH($H1910),1))</f>
        <v/>
      </c>
      <c r="N1910" s="26">
        <f>IF($H1910="","",TODAY()-$H1910)</f>
        <v/>
      </c>
      <c r="O1910" s="15" t="n"/>
      <c r="P1910" s="15" t="n"/>
      <c r="Q1910" s="15" t="n"/>
      <c r="R1910" s="25" t="n"/>
      <c r="S1910" s="26">
        <f>IF($A1910="","",AND(OR('Assignment Builder'!$B$5="",$B1910='Assignment Builder'!$B$5),OR('Assignment Builder'!$B$6="",ISNUMBER(SEARCH('Assignment Builder'!$B$6,$C1910))),OR('Assignment Builder'!$B$7="",'Assignment Builder'!$B$7=IFERROR(INDEX('Category Dictionary'!$C$5:$C$135,MATCH($L1910,'Category Dictionary'!$D$5:$D$135,0)),"")),OR('Assignment Builder'!$B$8="",$D1910='Assignment Builder'!$B$8),OR('Assignment Builder'!$B$9="",$F1910='Assignment Builder'!$B$9),OR('Assignment Builder'!$B$10="",$O1910='Assignment Builder'!$B$10),OR('Assignment Builder'!$B$11="",$H1910&gt;='Assignment Builder'!$B$11),OR('Assignment Builder'!$B$12="",N($Q1910)&lt;='Assignment Builder'!$B$12)))</f>
        <v/>
      </c>
      <c r="T1910" s="23" t="n"/>
    </row>
    <row r="1911">
      <c r="A1911" s="23" t="n"/>
      <c r="B1911" s="23" t="n"/>
      <c r="C1911" s="24" t="n"/>
      <c r="D1911" s="15" t="n"/>
      <c r="E1911" s="23" t="n"/>
      <c r="F1911" s="15" t="n"/>
      <c r="G1911" s="23" t="n"/>
      <c r="H1911" s="25" t="n"/>
      <c r="I1911" s="15" t="n"/>
      <c r="J1911" s="26">
        <f>IF($A1911="","",LEN($C1911)-LEN(SUBSTITUTE($C1911,",",""))+1)</f>
        <v/>
      </c>
      <c r="K1911" s="26">
        <f>IF($A1911="","",SUMPRODUCT(--ISNUMBER(SEARCH('Category Dictionary'!$D$5:$D$135&amp;"",$C1911)),--('Category Dictionary'!$D$5:$D$135&lt;&gt;"")))</f>
        <v/>
      </c>
      <c r="L1911" s="27">
        <f>IF($A1911="","",TRIM(IF(ISERROR(FIND(",",$C1911)),$C1911,LEFT($C1911,FIND(",",$C1911)-1))))</f>
        <v/>
      </c>
      <c r="M1911" s="28">
        <f>IF($H1911="","",DATE(YEAR($H1911),MONTH($H1911),1))</f>
        <v/>
      </c>
      <c r="N1911" s="26">
        <f>IF($H1911="","",TODAY()-$H1911)</f>
        <v/>
      </c>
      <c r="O1911" s="15" t="n"/>
      <c r="P1911" s="15" t="n"/>
      <c r="Q1911" s="15" t="n"/>
      <c r="R1911" s="25" t="n"/>
      <c r="S1911" s="26">
        <f>IF($A1911="","",AND(OR('Assignment Builder'!$B$5="",$B1911='Assignment Builder'!$B$5),OR('Assignment Builder'!$B$6="",ISNUMBER(SEARCH('Assignment Builder'!$B$6,$C1911))),OR('Assignment Builder'!$B$7="",'Assignment Builder'!$B$7=IFERROR(INDEX('Category Dictionary'!$C$5:$C$135,MATCH($L1911,'Category Dictionary'!$D$5:$D$135,0)),"")),OR('Assignment Builder'!$B$8="",$D1911='Assignment Builder'!$B$8),OR('Assignment Builder'!$B$9="",$F1911='Assignment Builder'!$B$9),OR('Assignment Builder'!$B$10="",$O1911='Assignment Builder'!$B$10),OR('Assignment Builder'!$B$11="",$H1911&gt;='Assignment Builder'!$B$11),OR('Assignment Builder'!$B$12="",N($Q1911)&lt;='Assignment Builder'!$B$12)))</f>
        <v/>
      </c>
      <c r="T1911" s="23" t="n"/>
    </row>
    <row r="1912">
      <c r="A1912" s="23" t="n"/>
      <c r="B1912" s="23" t="n"/>
      <c r="C1912" s="24" t="n"/>
      <c r="D1912" s="15" t="n"/>
      <c r="E1912" s="23" t="n"/>
      <c r="F1912" s="15" t="n"/>
      <c r="G1912" s="23" t="n"/>
      <c r="H1912" s="25" t="n"/>
      <c r="I1912" s="15" t="n"/>
      <c r="J1912" s="26">
        <f>IF($A1912="","",LEN($C1912)-LEN(SUBSTITUTE($C1912,",",""))+1)</f>
        <v/>
      </c>
      <c r="K1912" s="26">
        <f>IF($A1912="","",SUMPRODUCT(--ISNUMBER(SEARCH('Category Dictionary'!$D$5:$D$135&amp;"",$C1912)),--('Category Dictionary'!$D$5:$D$135&lt;&gt;"")))</f>
        <v/>
      </c>
      <c r="L1912" s="27">
        <f>IF($A1912="","",TRIM(IF(ISERROR(FIND(",",$C1912)),$C1912,LEFT($C1912,FIND(",",$C1912)-1))))</f>
        <v/>
      </c>
      <c r="M1912" s="28">
        <f>IF($H1912="","",DATE(YEAR($H1912),MONTH($H1912),1))</f>
        <v/>
      </c>
      <c r="N1912" s="26">
        <f>IF($H1912="","",TODAY()-$H1912)</f>
        <v/>
      </c>
      <c r="O1912" s="15" t="n"/>
      <c r="P1912" s="15" t="n"/>
      <c r="Q1912" s="15" t="n"/>
      <c r="R1912" s="25" t="n"/>
      <c r="S1912" s="26">
        <f>IF($A1912="","",AND(OR('Assignment Builder'!$B$5="",$B1912='Assignment Builder'!$B$5),OR('Assignment Builder'!$B$6="",ISNUMBER(SEARCH('Assignment Builder'!$B$6,$C1912))),OR('Assignment Builder'!$B$7="",'Assignment Builder'!$B$7=IFERROR(INDEX('Category Dictionary'!$C$5:$C$135,MATCH($L1912,'Category Dictionary'!$D$5:$D$135,0)),"")),OR('Assignment Builder'!$B$8="",$D1912='Assignment Builder'!$B$8),OR('Assignment Builder'!$B$9="",$F1912='Assignment Builder'!$B$9),OR('Assignment Builder'!$B$10="",$O1912='Assignment Builder'!$B$10),OR('Assignment Builder'!$B$11="",$H1912&gt;='Assignment Builder'!$B$11),OR('Assignment Builder'!$B$12="",N($Q1912)&lt;='Assignment Builder'!$B$12)))</f>
        <v/>
      </c>
      <c r="T1912" s="23" t="n"/>
    </row>
    <row r="1913">
      <c r="A1913" s="23" t="n"/>
      <c r="B1913" s="23" t="n"/>
      <c r="C1913" s="24" t="n"/>
      <c r="D1913" s="15" t="n"/>
      <c r="E1913" s="23" t="n"/>
      <c r="F1913" s="15" t="n"/>
      <c r="G1913" s="23" t="n"/>
      <c r="H1913" s="25" t="n"/>
      <c r="I1913" s="15" t="n"/>
      <c r="J1913" s="26">
        <f>IF($A1913="","",LEN($C1913)-LEN(SUBSTITUTE($C1913,",",""))+1)</f>
        <v/>
      </c>
      <c r="K1913" s="26">
        <f>IF($A1913="","",SUMPRODUCT(--ISNUMBER(SEARCH('Category Dictionary'!$D$5:$D$135&amp;"",$C1913)),--('Category Dictionary'!$D$5:$D$135&lt;&gt;"")))</f>
        <v/>
      </c>
      <c r="L1913" s="27">
        <f>IF($A1913="","",TRIM(IF(ISERROR(FIND(",",$C1913)),$C1913,LEFT($C1913,FIND(",",$C1913)-1))))</f>
        <v/>
      </c>
      <c r="M1913" s="28">
        <f>IF($H1913="","",DATE(YEAR($H1913),MONTH($H1913),1))</f>
        <v/>
      </c>
      <c r="N1913" s="26">
        <f>IF($H1913="","",TODAY()-$H1913)</f>
        <v/>
      </c>
      <c r="O1913" s="15" t="n"/>
      <c r="P1913" s="15" t="n"/>
      <c r="Q1913" s="15" t="n"/>
      <c r="R1913" s="25" t="n"/>
      <c r="S1913" s="26">
        <f>IF($A1913="","",AND(OR('Assignment Builder'!$B$5="",$B1913='Assignment Builder'!$B$5),OR('Assignment Builder'!$B$6="",ISNUMBER(SEARCH('Assignment Builder'!$B$6,$C1913))),OR('Assignment Builder'!$B$7="",'Assignment Builder'!$B$7=IFERROR(INDEX('Category Dictionary'!$C$5:$C$135,MATCH($L1913,'Category Dictionary'!$D$5:$D$135,0)),"")),OR('Assignment Builder'!$B$8="",$D1913='Assignment Builder'!$B$8),OR('Assignment Builder'!$B$9="",$F1913='Assignment Builder'!$B$9),OR('Assignment Builder'!$B$10="",$O1913='Assignment Builder'!$B$10),OR('Assignment Builder'!$B$11="",$H1913&gt;='Assignment Builder'!$B$11),OR('Assignment Builder'!$B$12="",N($Q1913)&lt;='Assignment Builder'!$B$12)))</f>
        <v/>
      </c>
      <c r="T1913" s="23" t="n"/>
    </row>
    <row r="1914">
      <c r="A1914" s="23" t="n"/>
      <c r="B1914" s="23" t="n"/>
      <c r="C1914" s="24" t="n"/>
      <c r="D1914" s="15" t="n"/>
      <c r="E1914" s="23" t="n"/>
      <c r="F1914" s="15" t="n"/>
      <c r="G1914" s="23" t="n"/>
      <c r="H1914" s="25" t="n"/>
      <c r="I1914" s="15" t="n"/>
      <c r="J1914" s="26">
        <f>IF($A1914="","",LEN($C1914)-LEN(SUBSTITUTE($C1914,",",""))+1)</f>
        <v/>
      </c>
      <c r="K1914" s="26">
        <f>IF($A1914="","",SUMPRODUCT(--ISNUMBER(SEARCH('Category Dictionary'!$D$5:$D$135&amp;"",$C1914)),--('Category Dictionary'!$D$5:$D$135&lt;&gt;"")))</f>
        <v/>
      </c>
      <c r="L1914" s="27">
        <f>IF($A1914="","",TRIM(IF(ISERROR(FIND(",",$C1914)),$C1914,LEFT($C1914,FIND(",",$C1914)-1))))</f>
        <v/>
      </c>
      <c r="M1914" s="28">
        <f>IF($H1914="","",DATE(YEAR($H1914),MONTH($H1914),1))</f>
        <v/>
      </c>
      <c r="N1914" s="26">
        <f>IF($H1914="","",TODAY()-$H1914)</f>
        <v/>
      </c>
      <c r="O1914" s="15" t="n"/>
      <c r="P1914" s="15" t="n"/>
      <c r="Q1914" s="15" t="n"/>
      <c r="R1914" s="25" t="n"/>
      <c r="S1914" s="26">
        <f>IF($A1914="","",AND(OR('Assignment Builder'!$B$5="",$B1914='Assignment Builder'!$B$5),OR('Assignment Builder'!$B$6="",ISNUMBER(SEARCH('Assignment Builder'!$B$6,$C1914))),OR('Assignment Builder'!$B$7="",'Assignment Builder'!$B$7=IFERROR(INDEX('Category Dictionary'!$C$5:$C$135,MATCH($L1914,'Category Dictionary'!$D$5:$D$135,0)),"")),OR('Assignment Builder'!$B$8="",$D1914='Assignment Builder'!$B$8),OR('Assignment Builder'!$B$9="",$F1914='Assignment Builder'!$B$9),OR('Assignment Builder'!$B$10="",$O1914='Assignment Builder'!$B$10),OR('Assignment Builder'!$B$11="",$H1914&gt;='Assignment Builder'!$B$11),OR('Assignment Builder'!$B$12="",N($Q1914)&lt;='Assignment Builder'!$B$12)))</f>
        <v/>
      </c>
      <c r="T1914" s="23" t="n"/>
    </row>
    <row r="1915">
      <c r="A1915" s="23" t="n"/>
      <c r="B1915" s="23" t="n"/>
      <c r="C1915" s="24" t="n"/>
      <c r="D1915" s="15" t="n"/>
      <c r="E1915" s="23" t="n"/>
      <c r="F1915" s="15" t="n"/>
      <c r="G1915" s="23" t="n"/>
      <c r="H1915" s="25" t="n"/>
      <c r="I1915" s="15" t="n"/>
      <c r="J1915" s="26">
        <f>IF($A1915="","",LEN($C1915)-LEN(SUBSTITUTE($C1915,",",""))+1)</f>
        <v/>
      </c>
      <c r="K1915" s="26">
        <f>IF($A1915="","",SUMPRODUCT(--ISNUMBER(SEARCH('Category Dictionary'!$D$5:$D$135&amp;"",$C1915)),--('Category Dictionary'!$D$5:$D$135&lt;&gt;"")))</f>
        <v/>
      </c>
      <c r="L1915" s="27">
        <f>IF($A1915="","",TRIM(IF(ISERROR(FIND(",",$C1915)),$C1915,LEFT($C1915,FIND(",",$C1915)-1))))</f>
        <v/>
      </c>
      <c r="M1915" s="28">
        <f>IF($H1915="","",DATE(YEAR($H1915),MONTH($H1915),1))</f>
        <v/>
      </c>
      <c r="N1915" s="26">
        <f>IF($H1915="","",TODAY()-$H1915)</f>
        <v/>
      </c>
      <c r="O1915" s="15" t="n"/>
      <c r="P1915" s="15" t="n"/>
      <c r="Q1915" s="15" t="n"/>
      <c r="R1915" s="25" t="n"/>
      <c r="S1915" s="26">
        <f>IF($A1915="","",AND(OR('Assignment Builder'!$B$5="",$B1915='Assignment Builder'!$B$5),OR('Assignment Builder'!$B$6="",ISNUMBER(SEARCH('Assignment Builder'!$B$6,$C1915))),OR('Assignment Builder'!$B$7="",'Assignment Builder'!$B$7=IFERROR(INDEX('Category Dictionary'!$C$5:$C$135,MATCH($L1915,'Category Dictionary'!$D$5:$D$135,0)),"")),OR('Assignment Builder'!$B$8="",$D1915='Assignment Builder'!$B$8),OR('Assignment Builder'!$B$9="",$F1915='Assignment Builder'!$B$9),OR('Assignment Builder'!$B$10="",$O1915='Assignment Builder'!$B$10),OR('Assignment Builder'!$B$11="",$H1915&gt;='Assignment Builder'!$B$11),OR('Assignment Builder'!$B$12="",N($Q1915)&lt;='Assignment Builder'!$B$12)))</f>
        <v/>
      </c>
      <c r="T1915" s="23" t="n"/>
    </row>
    <row r="1916">
      <c r="A1916" s="23" t="n"/>
      <c r="B1916" s="23" t="n"/>
      <c r="C1916" s="24" t="n"/>
      <c r="D1916" s="15" t="n"/>
      <c r="E1916" s="23" t="n"/>
      <c r="F1916" s="15" t="n"/>
      <c r="G1916" s="23" t="n"/>
      <c r="H1916" s="25" t="n"/>
      <c r="I1916" s="15" t="n"/>
      <c r="J1916" s="26">
        <f>IF($A1916="","",LEN($C1916)-LEN(SUBSTITUTE($C1916,",",""))+1)</f>
        <v/>
      </c>
      <c r="K1916" s="26">
        <f>IF($A1916="","",SUMPRODUCT(--ISNUMBER(SEARCH('Category Dictionary'!$D$5:$D$135&amp;"",$C1916)),--('Category Dictionary'!$D$5:$D$135&lt;&gt;"")))</f>
        <v/>
      </c>
      <c r="L1916" s="27">
        <f>IF($A1916="","",TRIM(IF(ISERROR(FIND(",",$C1916)),$C1916,LEFT($C1916,FIND(",",$C1916)-1))))</f>
        <v/>
      </c>
      <c r="M1916" s="28">
        <f>IF($H1916="","",DATE(YEAR($H1916),MONTH($H1916),1))</f>
        <v/>
      </c>
      <c r="N1916" s="26">
        <f>IF($H1916="","",TODAY()-$H1916)</f>
        <v/>
      </c>
      <c r="O1916" s="15" t="n"/>
      <c r="P1916" s="15" t="n"/>
      <c r="Q1916" s="15" t="n"/>
      <c r="R1916" s="25" t="n"/>
      <c r="S1916" s="26">
        <f>IF($A1916="","",AND(OR('Assignment Builder'!$B$5="",$B1916='Assignment Builder'!$B$5),OR('Assignment Builder'!$B$6="",ISNUMBER(SEARCH('Assignment Builder'!$B$6,$C1916))),OR('Assignment Builder'!$B$7="",'Assignment Builder'!$B$7=IFERROR(INDEX('Category Dictionary'!$C$5:$C$135,MATCH($L1916,'Category Dictionary'!$D$5:$D$135,0)),"")),OR('Assignment Builder'!$B$8="",$D1916='Assignment Builder'!$B$8),OR('Assignment Builder'!$B$9="",$F1916='Assignment Builder'!$B$9),OR('Assignment Builder'!$B$10="",$O1916='Assignment Builder'!$B$10),OR('Assignment Builder'!$B$11="",$H1916&gt;='Assignment Builder'!$B$11),OR('Assignment Builder'!$B$12="",N($Q1916)&lt;='Assignment Builder'!$B$12)))</f>
        <v/>
      </c>
      <c r="T1916" s="23" t="n"/>
    </row>
    <row r="1917">
      <c r="A1917" s="23" t="n"/>
      <c r="B1917" s="23" t="n"/>
      <c r="C1917" s="24" t="n"/>
      <c r="D1917" s="15" t="n"/>
      <c r="E1917" s="23" t="n"/>
      <c r="F1917" s="15" t="n"/>
      <c r="G1917" s="23" t="n"/>
      <c r="H1917" s="25" t="n"/>
      <c r="I1917" s="15" t="n"/>
      <c r="J1917" s="26">
        <f>IF($A1917="","",LEN($C1917)-LEN(SUBSTITUTE($C1917,",",""))+1)</f>
        <v/>
      </c>
      <c r="K1917" s="26">
        <f>IF($A1917="","",SUMPRODUCT(--ISNUMBER(SEARCH('Category Dictionary'!$D$5:$D$135&amp;"",$C1917)),--('Category Dictionary'!$D$5:$D$135&lt;&gt;"")))</f>
        <v/>
      </c>
      <c r="L1917" s="27">
        <f>IF($A1917="","",TRIM(IF(ISERROR(FIND(",",$C1917)),$C1917,LEFT($C1917,FIND(",",$C1917)-1))))</f>
        <v/>
      </c>
      <c r="M1917" s="28">
        <f>IF($H1917="","",DATE(YEAR($H1917),MONTH($H1917),1))</f>
        <v/>
      </c>
      <c r="N1917" s="26">
        <f>IF($H1917="","",TODAY()-$H1917)</f>
        <v/>
      </c>
      <c r="O1917" s="15" t="n"/>
      <c r="P1917" s="15" t="n"/>
      <c r="Q1917" s="15" t="n"/>
      <c r="R1917" s="25" t="n"/>
      <c r="S1917" s="26">
        <f>IF($A1917="","",AND(OR('Assignment Builder'!$B$5="",$B1917='Assignment Builder'!$B$5),OR('Assignment Builder'!$B$6="",ISNUMBER(SEARCH('Assignment Builder'!$B$6,$C1917))),OR('Assignment Builder'!$B$7="",'Assignment Builder'!$B$7=IFERROR(INDEX('Category Dictionary'!$C$5:$C$135,MATCH($L1917,'Category Dictionary'!$D$5:$D$135,0)),"")),OR('Assignment Builder'!$B$8="",$D1917='Assignment Builder'!$B$8),OR('Assignment Builder'!$B$9="",$F1917='Assignment Builder'!$B$9),OR('Assignment Builder'!$B$10="",$O1917='Assignment Builder'!$B$10),OR('Assignment Builder'!$B$11="",$H1917&gt;='Assignment Builder'!$B$11),OR('Assignment Builder'!$B$12="",N($Q1917)&lt;='Assignment Builder'!$B$12)))</f>
        <v/>
      </c>
      <c r="T1917" s="23" t="n"/>
    </row>
    <row r="1918">
      <c r="A1918" s="23" t="n"/>
      <c r="B1918" s="23" t="n"/>
      <c r="C1918" s="24" t="n"/>
      <c r="D1918" s="15" t="n"/>
      <c r="E1918" s="23" t="n"/>
      <c r="F1918" s="15" t="n"/>
      <c r="G1918" s="23" t="n"/>
      <c r="H1918" s="25" t="n"/>
      <c r="I1918" s="15" t="n"/>
      <c r="J1918" s="26">
        <f>IF($A1918="","",LEN($C1918)-LEN(SUBSTITUTE($C1918,",",""))+1)</f>
        <v/>
      </c>
      <c r="K1918" s="26">
        <f>IF($A1918="","",SUMPRODUCT(--ISNUMBER(SEARCH('Category Dictionary'!$D$5:$D$135&amp;"",$C1918)),--('Category Dictionary'!$D$5:$D$135&lt;&gt;"")))</f>
        <v/>
      </c>
      <c r="L1918" s="27">
        <f>IF($A1918="","",TRIM(IF(ISERROR(FIND(",",$C1918)),$C1918,LEFT($C1918,FIND(",",$C1918)-1))))</f>
        <v/>
      </c>
      <c r="M1918" s="28">
        <f>IF($H1918="","",DATE(YEAR($H1918),MONTH($H1918),1))</f>
        <v/>
      </c>
      <c r="N1918" s="26">
        <f>IF($H1918="","",TODAY()-$H1918)</f>
        <v/>
      </c>
      <c r="O1918" s="15" t="n"/>
      <c r="P1918" s="15" t="n"/>
      <c r="Q1918" s="15" t="n"/>
      <c r="R1918" s="25" t="n"/>
      <c r="S1918" s="26">
        <f>IF($A1918="","",AND(OR('Assignment Builder'!$B$5="",$B1918='Assignment Builder'!$B$5),OR('Assignment Builder'!$B$6="",ISNUMBER(SEARCH('Assignment Builder'!$B$6,$C1918))),OR('Assignment Builder'!$B$7="",'Assignment Builder'!$B$7=IFERROR(INDEX('Category Dictionary'!$C$5:$C$135,MATCH($L1918,'Category Dictionary'!$D$5:$D$135,0)),"")),OR('Assignment Builder'!$B$8="",$D1918='Assignment Builder'!$B$8),OR('Assignment Builder'!$B$9="",$F1918='Assignment Builder'!$B$9),OR('Assignment Builder'!$B$10="",$O1918='Assignment Builder'!$B$10),OR('Assignment Builder'!$B$11="",$H1918&gt;='Assignment Builder'!$B$11),OR('Assignment Builder'!$B$12="",N($Q1918)&lt;='Assignment Builder'!$B$12)))</f>
        <v/>
      </c>
      <c r="T1918" s="23" t="n"/>
    </row>
    <row r="1919">
      <c r="A1919" s="23" t="n"/>
      <c r="B1919" s="23" t="n"/>
      <c r="C1919" s="24" t="n"/>
      <c r="D1919" s="15" t="n"/>
      <c r="E1919" s="23" t="n"/>
      <c r="F1919" s="15" t="n"/>
      <c r="G1919" s="23" t="n"/>
      <c r="H1919" s="25" t="n"/>
      <c r="I1919" s="15" t="n"/>
      <c r="J1919" s="26">
        <f>IF($A1919="","",LEN($C1919)-LEN(SUBSTITUTE($C1919,",",""))+1)</f>
        <v/>
      </c>
      <c r="K1919" s="26">
        <f>IF($A1919="","",SUMPRODUCT(--ISNUMBER(SEARCH('Category Dictionary'!$D$5:$D$135&amp;"",$C1919)),--('Category Dictionary'!$D$5:$D$135&lt;&gt;"")))</f>
        <v/>
      </c>
      <c r="L1919" s="27">
        <f>IF($A1919="","",TRIM(IF(ISERROR(FIND(",",$C1919)),$C1919,LEFT($C1919,FIND(",",$C1919)-1))))</f>
        <v/>
      </c>
      <c r="M1919" s="28">
        <f>IF($H1919="","",DATE(YEAR($H1919),MONTH($H1919),1))</f>
        <v/>
      </c>
      <c r="N1919" s="26">
        <f>IF($H1919="","",TODAY()-$H1919)</f>
        <v/>
      </c>
      <c r="O1919" s="15" t="n"/>
      <c r="P1919" s="15" t="n"/>
      <c r="Q1919" s="15" t="n"/>
      <c r="R1919" s="25" t="n"/>
      <c r="S1919" s="26">
        <f>IF($A1919="","",AND(OR('Assignment Builder'!$B$5="",$B1919='Assignment Builder'!$B$5),OR('Assignment Builder'!$B$6="",ISNUMBER(SEARCH('Assignment Builder'!$B$6,$C1919))),OR('Assignment Builder'!$B$7="",'Assignment Builder'!$B$7=IFERROR(INDEX('Category Dictionary'!$C$5:$C$135,MATCH($L1919,'Category Dictionary'!$D$5:$D$135,0)),"")),OR('Assignment Builder'!$B$8="",$D1919='Assignment Builder'!$B$8),OR('Assignment Builder'!$B$9="",$F1919='Assignment Builder'!$B$9),OR('Assignment Builder'!$B$10="",$O1919='Assignment Builder'!$B$10),OR('Assignment Builder'!$B$11="",$H1919&gt;='Assignment Builder'!$B$11),OR('Assignment Builder'!$B$12="",N($Q1919)&lt;='Assignment Builder'!$B$12)))</f>
        <v/>
      </c>
      <c r="T1919" s="23" t="n"/>
    </row>
    <row r="1920">
      <c r="A1920" s="23" t="n"/>
      <c r="B1920" s="23" t="n"/>
      <c r="C1920" s="24" t="n"/>
      <c r="D1920" s="15" t="n"/>
      <c r="E1920" s="23" t="n"/>
      <c r="F1920" s="15" t="n"/>
      <c r="G1920" s="23" t="n"/>
      <c r="H1920" s="25" t="n"/>
      <c r="I1920" s="15" t="n"/>
      <c r="J1920" s="26">
        <f>IF($A1920="","",LEN($C1920)-LEN(SUBSTITUTE($C1920,",",""))+1)</f>
        <v/>
      </c>
      <c r="K1920" s="26">
        <f>IF($A1920="","",SUMPRODUCT(--ISNUMBER(SEARCH('Category Dictionary'!$D$5:$D$135&amp;"",$C1920)),--('Category Dictionary'!$D$5:$D$135&lt;&gt;"")))</f>
        <v/>
      </c>
      <c r="L1920" s="27">
        <f>IF($A1920="","",TRIM(IF(ISERROR(FIND(",",$C1920)),$C1920,LEFT($C1920,FIND(",",$C1920)-1))))</f>
        <v/>
      </c>
      <c r="M1920" s="28">
        <f>IF($H1920="","",DATE(YEAR($H1920),MONTH($H1920),1))</f>
        <v/>
      </c>
      <c r="N1920" s="26">
        <f>IF($H1920="","",TODAY()-$H1920)</f>
        <v/>
      </c>
      <c r="O1920" s="15" t="n"/>
      <c r="P1920" s="15" t="n"/>
      <c r="Q1920" s="15" t="n"/>
      <c r="R1920" s="25" t="n"/>
      <c r="S1920" s="26">
        <f>IF($A1920="","",AND(OR('Assignment Builder'!$B$5="",$B1920='Assignment Builder'!$B$5),OR('Assignment Builder'!$B$6="",ISNUMBER(SEARCH('Assignment Builder'!$B$6,$C1920))),OR('Assignment Builder'!$B$7="",'Assignment Builder'!$B$7=IFERROR(INDEX('Category Dictionary'!$C$5:$C$135,MATCH($L1920,'Category Dictionary'!$D$5:$D$135,0)),"")),OR('Assignment Builder'!$B$8="",$D1920='Assignment Builder'!$B$8),OR('Assignment Builder'!$B$9="",$F1920='Assignment Builder'!$B$9),OR('Assignment Builder'!$B$10="",$O1920='Assignment Builder'!$B$10),OR('Assignment Builder'!$B$11="",$H1920&gt;='Assignment Builder'!$B$11),OR('Assignment Builder'!$B$12="",N($Q1920)&lt;='Assignment Builder'!$B$12)))</f>
        <v/>
      </c>
      <c r="T1920" s="23" t="n"/>
    </row>
    <row r="1921">
      <c r="A1921" s="23" t="n"/>
      <c r="B1921" s="23" t="n"/>
      <c r="C1921" s="24" t="n"/>
      <c r="D1921" s="15" t="n"/>
      <c r="E1921" s="23" t="n"/>
      <c r="F1921" s="15" t="n"/>
      <c r="G1921" s="23" t="n"/>
      <c r="H1921" s="25" t="n"/>
      <c r="I1921" s="15" t="n"/>
      <c r="J1921" s="26">
        <f>IF($A1921="","",LEN($C1921)-LEN(SUBSTITUTE($C1921,",",""))+1)</f>
        <v/>
      </c>
      <c r="K1921" s="26">
        <f>IF($A1921="","",SUMPRODUCT(--ISNUMBER(SEARCH('Category Dictionary'!$D$5:$D$135&amp;"",$C1921)),--('Category Dictionary'!$D$5:$D$135&lt;&gt;"")))</f>
        <v/>
      </c>
      <c r="L1921" s="27">
        <f>IF($A1921="","",TRIM(IF(ISERROR(FIND(",",$C1921)),$C1921,LEFT($C1921,FIND(",",$C1921)-1))))</f>
        <v/>
      </c>
      <c r="M1921" s="28">
        <f>IF($H1921="","",DATE(YEAR($H1921),MONTH($H1921),1))</f>
        <v/>
      </c>
      <c r="N1921" s="26">
        <f>IF($H1921="","",TODAY()-$H1921)</f>
        <v/>
      </c>
      <c r="O1921" s="15" t="n"/>
      <c r="P1921" s="15" t="n"/>
      <c r="Q1921" s="15" t="n"/>
      <c r="R1921" s="25" t="n"/>
      <c r="S1921" s="26">
        <f>IF($A1921="","",AND(OR('Assignment Builder'!$B$5="",$B1921='Assignment Builder'!$B$5),OR('Assignment Builder'!$B$6="",ISNUMBER(SEARCH('Assignment Builder'!$B$6,$C1921))),OR('Assignment Builder'!$B$7="",'Assignment Builder'!$B$7=IFERROR(INDEX('Category Dictionary'!$C$5:$C$135,MATCH($L1921,'Category Dictionary'!$D$5:$D$135,0)),"")),OR('Assignment Builder'!$B$8="",$D1921='Assignment Builder'!$B$8),OR('Assignment Builder'!$B$9="",$F1921='Assignment Builder'!$B$9),OR('Assignment Builder'!$B$10="",$O1921='Assignment Builder'!$B$10),OR('Assignment Builder'!$B$11="",$H1921&gt;='Assignment Builder'!$B$11),OR('Assignment Builder'!$B$12="",N($Q1921)&lt;='Assignment Builder'!$B$12)))</f>
        <v/>
      </c>
      <c r="T1921" s="23" t="n"/>
    </row>
    <row r="1922">
      <c r="A1922" s="23" t="n"/>
      <c r="B1922" s="23" t="n"/>
      <c r="C1922" s="24" t="n"/>
      <c r="D1922" s="15" t="n"/>
      <c r="E1922" s="23" t="n"/>
      <c r="F1922" s="15" t="n"/>
      <c r="G1922" s="23" t="n"/>
      <c r="H1922" s="25" t="n"/>
      <c r="I1922" s="15" t="n"/>
      <c r="J1922" s="26">
        <f>IF($A1922="","",LEN($C1922)-LEN(SUBSTITUTE($C1922,",",""))+1)</f>
        <v/>
      </c>
      <c r="K1922" s="26">
        <f>IF($A1922="","",SUMPRODUCT(--ISNUMBER(SEARCH('Category Dictionary'!$D$5:$D$135&amp;"",$C1922)),--('Category Dictionary'!$D$5:$D$135&lt;&gt;"")))</f>
        <v/>
      </c>
      <c r="L1922" s="27">
        <f>IF($A1922="","",TRIM(IF(ISERROR(FIND(",",$C1922)),$C1922,LEFT($C1922,FIND(",",$C1922)-1))))</f>
        <v/>
      </c>
      <c r="M1922" s="28">
        <f>IF($H1922="","",DATE(YEAR($H1922),MONTH($H1922),1))</f>
        <v/>
      </c>
      <c r="N1922" s="26">
        <f>IF($H1922="","",TODAY()-$H1922)</f>
        <v/>
      </c>
      <c r="O1922" s="15" t="n"/>
      <c r="P1922" s="15" t="n"/>
      <c r="Q1922" s="15" t="n"/>
      <c r="R1922" s="25" t="n"/>
      <c r="S1922" s="26">
        <f>IF($A1922="","",AND(OR('Assignment Builder'!$B$5="",$B1922='Assignment Builder'!$B$5),OR('Assignment Builder'!$B$6="",ISNUMBER(SEARCH('Assignment Builder'!$B$6,$C1922))),OR('Assignment Builder'!$B$7="",'Assignment Builder'!$B$7=IFERROR(INDEX('Category Dictionary'!$C$5:$C$135,MATCH($L1922,'Category Dictionary'!$D$5:$D$135,0)),"")),OR('Assignment Builder'!$B$8="",$D1922='Assignment Builder'!$B$8),OR('Assignment Builder'!$B$9="",$F1922='Assignment Builder'!$B$9),OR('Assignment Builder'!$B$10="",$O1922='Assignment Builder'!$B$10),OR('Assignment Builder'!$B$11="",$H1922&gt;='Assignment Builder'!$B$11),OR('Assignment Builder'!$B$12="",N($Q1922)&lt;='Assignment Builder'!$B$12)))</f>
        <v/>
      </c>
      <c r="T1922" s="23" t="n"/>
    </row>
    <row r="1923">
      <c r="A1923" s="23" t="n"/>
      <c r="B1923" s="23" t="n"/>
      <c r="C1923" s="24" t="n"/>
      <c r="D1923" s="15" t="n"/>
      <c r="E1923" s="23" t="n"/>
      <c r="F1923" s="15" t="n"/>
      <c r="G1923" s="23" t="n"/>
      <c r="H1923" s="25" t="n"/>
      <c r="I1923" s="15" t="n"/>
      <c r="J1923" s="26">
        <f>IF($A1923="","",LEN($C1923)-LEN(SUBSTITUTE($C1923,",",""))+1)</f>
        <v/>
      </c>
      <c r="K1923" s="26">
        <f>IF($A1923="","",SUMPRODUCT(--ISNUMBER(SEARCH('Category Dictionary'!$D$5:$D$135&amp;"",$C1923)),--('Category Dictionary'!$D$5:$D$135&lt;&gt;"")))</f>
        <v/>
      </c>
      <c r="L1923" s="27">
        <f>IF($A1923="","",TRIM(IF(ISERROR(FIND(",",$C1923)),$C1923,LEFT($C1923,FIND(",",$C1923)-1))))</f>
        <v/>
      </c>
      <c r="M1923" s="28">
        <f>IF($H1923="","",DATE(YEAR($H1923),MONTH($H1923),1))</f>
        <v/>
      </c>
      <c r="N1923" s="26">
        <f>IF($H1923="","",TODAY()-$H1923)</f>
        <v/>
      </c>
      <c r="O1923" s="15" t="n"/>
      <c r="P1923" s="15" t="n"/>
      <c r="Q1923" s="15" t="n"/>
      <c r="R1923" s="25" t="n"/>
      <c r="S1923" s="26">
        <f>IF($A1923="","",AND(OR('Assignment Builder'!$B$5="",$B1923='Assignment Builder'!$B$5),OR('Assignment Builder'!$B$6="",ISNUMBER(SEARCH('Assignment Builder'!$B$6,$C1923))),OR('Assignment Builder'!$B$7="",'Assignment Builder'!$B$7=IFERROR(INDEX('Category Dictionary'!$C$5:$C$135,MATCH($L1923,'Category Dictionary'!$D$5:$D$135,0)),"")),OR('Assignment Builder'!$B$8="",$D1923='Assignment Builder'!$B$8),OR('Assignment Builder'!$B$9="",$F1923='Assignment Builder'!$B$9),OR('Assignment Builder'!$B$10="",$O1923='Assignment Builder'!$B$10),OR('Assignment Builder'!$B$11="",$H1923&gt;='Assignment Builder'!$B$11),OR('Assignment Builder'!$B$12="",N($Q1923)&lt;='Assignment Builder'!$B$12)))</f>
        <v/>
      </c>
      <c r="T1923" s="23" t="n"/>
    </row>
    <row r="1924">
      <c r="A1924" s="23" t="n"/>
      <c r="B1924" s="23" t="n"/>
      <c r="C1924" s="24" t="n"/>
      <c r="D1924" s="15" t="n"/>
      <c r="E1924" s="23" t="n"/>
      <c r="F1924" s="15" t="n"/>
      <c r="G1924" s="23" t="n"/>
      <c r="H1924" s="25" t="n"/>
      <c r="I1924" s="15" t="n"/>
      <c r="J1924" s="26">
        <f>IF($A1924="","",LEN($C1924)-LEN(SUBSTITUTE($C1924,",",""))+1)</f>
        <v/>
      </c>
      <c r="K1924" s="26">
        <f>IF($A1924="","",SUMPRODUCT(--ISNUMBER(SEARCH('Category Dictionary'!$D$5:$D$135&amp;"",$C1924)),--('Category Dictionary'!$D$5:$D$135&lt;&gt;"")))</f>
        <v/>
      </c>
      <c r="L1924" s="27">
        <f>IF($A1924="","",TRIM(IF(ISERROR(FIND(",",$C1924)),$C1924,LEFT($C1924,FIND(",",$C1924)-1))))</f>
        <v/>
      </c>
      <c r="M1924" s="28">
        <f>IF($H1924="","",DATE(YEAR($H1924),MONTH($H1924),1))</f>
        <v/>
      </c>
      <c r="N1924" s="26">
        <f>IF($H1924="","",TODAY()-$H1924)</f>
        <v/>
      </c>
      <c r="O1924" s="15" t="n"/>
      <c r="P1924" s="15" t="n"/>
      <c r="Q1924" s="15" t="n"/>
      <c r="R1924" s="25" t="n"/>
      <c r="S1924" s="26">
        <f>IF($A1924="","",AND(OR('Assignment Builder'!$B$5="",$B1924='Assignment Builder'!$B$5),OR('Assignment Builder'!$B$6="",ISNUMBER(SEARCH('Assignment Builder'!$B$6,$C1924))),OR('Assignment Builder'!$B$7="",'Assignment Builder'!$B$7=IFERROR(INDEX('Category Dictionary'!$C$5:$C$135,MATCH($L1924,'Category Dictionary'!$D$5:$D$135,0)),"")),OR('Assignment Builder'!$B$8="",$D1924='Assignment Builder'!$B$8),OR('Assignment Builder'!$B$9="",$F1924='Assignment Builder'!$B$9),OR('Assignment Builder'!$B$10="",$O1924='Assignment Builder'!$B$10),OR('Assignment Builder'!$B$11="",$H1924&gt;='Assignment Builder'!$B$11),OR('Assignment Builder'!$B$12="",N($Q1924)&lt;='Assignment Builder'!$B$12)))</f>
        <v/>
      </c>
      <c r="T1924" s="23" t="n"/>
    </row>
    <row r="1925">
      <c r="A1925" s="23" t="n"/>
      <c r="B1925" s="23" t="n"/>
      <c r="C1925" s="24" t="n"/>
      <c r="D1925" s="15" t="n"/>
      <c r="E1925" s="23" t="n"/>
      <c r="F1925" s="15" t="n"/>
      <c r="G1925" s="23" t="n"/>
      <c r="H1925" s="25" t="n"/>
      <c r="I1925" s="15" t="n"/>
      <c r="J1925" s="26">
        <f>IF($A1925="","",LEN($C1925)-LEN(SUBSTITUTE($C1925,",",""))+1)</f>
        <v/>
      </c>
      <c r="K1925" s="26">
        <f>IF($A1925="","",SUMPRODUCT(--ISNUMBER(SEARCH('Category Dictionary'!$D$5:$D$135&amp;"",$C1925)),--('Category Dictionary'!$D$5:$D$135&lt;&gt;"")))</f>
        <v/>
      </c>
      <c r="L1925" s="27">
        <f>IF($A1925="","",TRIM(IF(ISERROR(FIND(",",$C1925)),$C1925,LEFT($C1925,FIND(",",$C1925)-1))))</f>
        <v/>
      </c>
      <c r="M1925" s="28">
        <f>IF($H1925="","",DATE(YEAR($H1925),MONTH($H1925),1))</f>
        <v/>
      </c>
      <c r="N1925" s="26">
        <f>IF($H1925="","",TODAY()-$H1925)</f>
        <v/>
      </c>
      <c r="O1925" s="15" t="n"/>
      <c r="P1925" s="15" t="n"/>
      <c r="Q1925" s="15" t="n"/>
      <c r="R1925" s="25" t="n"/>
      <c r="S1925" s="26">
        <f>IF($A1925="","",AND(OR('Assignment Builder'!$B$5="",$B1925='Assignment Builder'!$B$5),OR('Assignment Builder'!$B$6="",ISNUMBER(SEARCH('Assignment Builder'!$B$6,$C1925))),OR('Assignment Builder'!$B$7="",'Assignment Builder'!$B$7=IFERROR(INDEX('Category Dictionary'!$C$5:$C$135,MATCH($L1925,'Category Dictionary'!$D$5:$D$135,0)),"")),OR('Assignment Builder'!$B$8="",$D1925='Assignment Builder'!$B$8),OR('Assignment Builder'!$B$9="",$F1925='Assignment Builder'!$B$9),OR('Assignment Builder'!$B$10="",$O1925='Assignment Builder'!$B$10),OR('Assignment Builder'!$B$11="",$H1925&gt;='Assignment Builder'!$B$11),OR('Assignment Builder'!$B$12="",N($Q1925)&lt;='Assignment Builder'!$B$12)))</f>
        <v/>
      </c>
      <c r="T1925" s="23" t="n"/>
    </row>
    <row r="1926">
      <c r="A1926" s="23" t="n"/>
      <c r="B1926" s="23" t="n"/>
      <c r="C1926" s="24" t="n"/>
      <c r="D1926" s="15" t="n"/>
      <c r="E1926" s="23" t="n"/>
      <c r="F1926" s="15" t="n"/>
      <c r="G1926" s="23" t="n"/>
      <c r="H1926" s="25" t="n"/>
      <c r="I1926" s="15" t="n"/>
      <c r="J1926" s="26">
        <f>IF($A1926="","",LEN($C1926)-LEN(SUBSTITUTE($C1926,",",""))+1)</f>
        <v/>
      </c>
      <c r="K1926" s="26">
        <f>IF($A1926="","",SUMPRODUCT(--ISNUMBER(SEARCH('Category Dictionary'!$D$5:$D$135&amp;"",$C1926)),--('Category Dictionary'!$D$5:$D$135&lt;&gt;"")))</f>
        <v/>
      </c>
      <c r="L1926" s="27">
        <f>IF($A1926="","",TRIM(IF(ISERROR(FIND(",",$C1926)),$C1926,LEFT($C1926,FIND(",",$C1926)-1))))</f>
        <v/>
      </c>
      <c r="M1926" s="28">
        <f>IF($H1926="","",DATE(YEAR($H1926),MONTH($H1926),1))</f>
        <v/>
      </c>
      <c r="N1926" s="26">
        <f>IF($H1926="","",TODAY()-$H1926)</f>
        <v/>
      </c>
      <c r="O1926" s="15" t="n"/>
      <c r="P1926" s="15" t="n"/>
      <c r="Q1926" s="15" t="n"/>
      <c r="R1926" s="25" t="n"/>
      <c r="S1926" s="26">
        <f>IF($A1926="","",AND(OR('Assignment Builder'!$B$5="",$B1926='Assignment Builder'!$B$5),OR('Assignment Builder'!$B$6="",ISNUMBER(SEARCH('Assignment Builder'!$B$6,$C1926))),OR('Assignment Builder'!$B$7="",'Assignment Builder'!$B$7=IFERROR(INDEX('Category Dictionary'!$C$5:$C$135,MATCH($L1926,'Category Dictionary'!$D$5:$D$135,0)),"")),OR('Assignment Builder'!$B$8="",$D1926='Assignment Builder'!$B$8),OR('Assignment Builder'!$B$9="",$F1926='Assignment Builder'!$B$9),OR('Assignment Builder'!$B$10="",$O1926='Assignment Builder'!$B$10),OR('Assignment Builder'!$B$11="",$H1926&gt;='Assignment Builder'!$B$11),OR('Assignment Builder'!$B$12="",N($Q1926)&lt;='Assignment Builder'!$B$12)))</f>
        <v/>
      </c>
      <c r="T1926" s="23" t="n"/>
    </row>
    <row r="1927">
      <c r="A1927" s="23" t="n"/>
      <c r="B1927" s="23" t="n"/>
      <c r="C1927" s="24" t="n"/>
      <c r="D1927" s="15" t="n"/>
      <c r="E1927" s="23" t="n"/>
      <c r="F1927" s="15" t="n"/>
      <c r="G1927" s="23" t="n"/>
      <c r="H1927" s="25" t="n"/>
      <c r="I1927" s="15" t="n"/>
      <c r="J1927" s="26">
        <f>IF($A1927="","",LEN($C1927)-LEN(SUBSTITUTE($C1927,",",""))+1)</f>
        <v/>
      </c>
      <c r="K1927" s="26">
        <f>IF($A1927="","",SUMPRODUCT(--ISNUMBER(SEARCH('Category Dictionary'!$D$5:$D$135&amp;"",$C1927)),--('Category Dictionary'!$D$5:$D$135&lt;&gt;"")))</f>
        <v/>
      </c>
      <c r="L1927" s="27">
        <f>IF($A1927="","",TRIM(IF(ISERROR(FIND(",",$C1927)),$C1927,LEFT($C1927,FIND(",",$C1927)-1))))</f>
        <v/>
      </c>
      <c r="M1927" s="28">
        <f>IF($H1927="","",DATE(YEAR($H1927),MONTH($H1927),1))</f>
        <v/>
      </c>
      <c r="N1927" s="26">
        <f>IF($H1927="","",TODAY()-$H1927)</f>
        <v/>
      </c>
      <c r="O1927" s="15" t="n"/>
      <c r="P1927" s="15" t="n"/>
      <c r="Q1927" s="15" t="n"/>
      <c r="R1927" s="25" t="n"/>
      <c r="S1927" s="26">
        <f>IF($A1927="","",AND(OR('Assignment Builder'!$B$5="",$B1927='Assignment Builder'!$B$5),OR('Assignment Builder'!$B$6="",ISNUMBER(SEARCH('Assignment Builder'!$B$6,$C1927))),OR('Assignment Builder'!$B$7="",'Assignment Builder'!$B$7=IFERROR(INDEX('Category Dictionary'!$C$5:$C$135,MATCH($L1927,'Category Dictionary'!$D$5:$D$135,0)),"")),OR('Assignment Builder'!$B$8="",$D1927='Assignment Builder'!$B$8),OR('Assignment Builder'!$B$9="",$F1927='Assignment Builder'!$B$9),OR('Assignment Builder'!$B$10="",$O1927='Assignment Builder'!$B$10),OR('Assignment Builder'!$B$11="",$H1927&gt;='Assignment Builder'!$B$11),OR('Assignment Builder'!$B$12="",N($Q1927)&lt;='Assignment Builder'!$B$12)))</f>
        <v/>
      </c>
      <c r="T1927" s="23" t="n"/>
    </row>
    <row r="1928">
      <c r="A1928" s="23" t="n"/>
      <c r="B1928" s="23" t="n"/>
      <c r="C1928" s="24" t="n"/>
      <c r="D1928" s="15" t="n"/>
      <c r="E1928" s="23" t="n"/>
      <c r="F1928" s="15" t="n"/>
      <c r="G1928" s="23" t="n"/>
      <c r="H1928" s="25" t="n"/>
      <c r="I1928" s="15" t="n"/>
      <c r="J1928" s="26">
        <f>IF($A1928="","",LEN($C1928)-LEN(SUBSTITUTE($C1928,",",""))+1)</f>
        <v/>
      </c>
      <c r="K1928" s="26">
        <f>IF($A1928="","",SUMPRODUCT(--ISNUMBER(SEARCH('Category Dictionary'!$D$5:$D$135&amp;"",$C1928)),--('Category Dictionary'!$D$5:$D$135&lt;&gt;"")))</f>
        <v/>
      </c>
      <c r="L1928" s="27">
        <f>IF($A1928="","",TRIM(IF(ISERROR(FIND(",",$C1928)),$C1928,LEFT($C1928,FIND(",",$C1928)-1))))</f>
        <v/>
      </c>
      <c r="M1928" s="28">
        <f>IF($H1928="","",DATE(YEAR($H1928),MONTH($H1928),1))</f>
        <v/>
      </c>
      <c r="N1928" s="26">
        <f>IF($H1928="","",TODAY()-$H1928)</f>
        <v/>
      </c>
      <c r="O1928" s="15" t="n"/>
      <c r="P1928" s="15" t="n"/>
      <c r="Q1928" s="15" t="n"/>
      <c r="R1928" s="25" t="n"/>
      <c r="S1928" s="26">
        <f>IF($A1928="","",AND(OR('Assignment Builder'!$B$5="",$B1928='Assignment Builder'!$B$5),OR('Assignment Builder'!$B$6="",ISNUMBER(SEARCH('Assignment Builder'!$B$6,$C1928))),OR('Assignment Builder'!$B$7="",'Assignment Builder'!$B$7=IFERROR(INDEX('Category Dictionary'!$C$5:$C$135,MATCH($L1928,'Category Dictionary'!$D$5:$D$135,0)),"")),OR('Assignment Builder'!$B$8="",$D1928='Assignment Builder'!$B$8),OR('Assignment Builder'!$B$9="",$F1928='Assignment Builder'!$B$9),OR('Assignment Builder'!$B$10="",$O1928='Assignment Builder'!$B$10),OR('Assignment Builder'!$B$11="",$H1928&gt;='Assignment Builder'!$B$11),OR('Assignment Builder'!$B$12="",N($Q1928)&lt;='Assignment Builder'!$B$12)))</f>
        <v/>
      </c>
      <c r="T1928" s="23" t="n"/>
    </row>
    <row r="1929">
      <c r="A1929" s="23" t="n"/>
      <c r="B1929" s="23" t="n"/>
      <c r="C1929" s="24" t="n"/>
      <c r="D1929" s="15" t="n"/>
      <c r="E1929" s="23" t="n"/>
      <c r="F1929" s="15" t="n"/>
      <c r="G1929" s="23" t="n"/>
      <c r="H1929" s="25" t="n"/>
      <c r="I1929" s="15" t="n"/>
      <c r="J1929" s="26">
        <f>IF($A1929="","",LEN($C1929)-LEN(SUBSTITUTE($C1929,",",""))+1)</f>
        <v/>
      </c>
      <c r="K1929" s="26">
        <f>IF($A1929="","",SUMPRODUCT(--ISNUMBER(SEARCH('Category Dictionary'!$D$5:$D$135&amp;"",$C1929)),--('Category Dictionary'!$D$5:$D$135&lt;&gt;"")))</f>
        <v/>
      </c>
      <c r="L1929" s="27">
        <f>IF($A1929="","",TRIM(IF(ISERROR(FIND(",",$C1929)),$C1929,LEFT($C1929,FIND(",",$C1929)-1))))</f>
        <v/>
      </c>
      <c r="M1929" s="28">
        <f>IF($H1929="","",DATE(YEAR($H1929),MONTH($H1929),1))</f>
        <v/>
      </c>
      <c r="N1929" s="26">
        <f>IF($H1929="","",TODAY()-$H1929)</f>
        <v/>
      </c>
      <c r="O1929" s="15" t="n"/>
      <c r="P1929" s="15" t="n"/>
      <c r="Q1929" s="15" t="n"/>
      <c r="R1929" s="25" t="n"/>
      <c r="S1929" s="26">
        <f>IF($A1929="","",AND(OR('Assignment Builder'!$B$5="",$B1929='Assignment Builder'!$B$5),OR('Assignment Builder'!$B$6="",ISNUMBER(SEARCH('Assignment Builder'!$B$6,$C1929))),OR('Assignment Builder'!$B$7="",'Assignment Builder'!$B$7=IFERROR(INDEX('Category Dictionary'!$C$5:$C$135,MATCH($L1929,'Category Dictionary'!$D$5:$D$135,0)),"")),OR('Assignment Builder'!$B$8="",$D1929='Assignment Builder'!$B$8),OR('Assignment Builder'!$B$9="",$F1929='Assignment Builder'!$B$9),OR('Assignment Builder'!$B$10="",$O1929='Assignment Builder'!$B$10),OR('Assignment Builder'!$B$11="",$H1929&gt;='Assignment Builder'!$B$11),OR('Assignment Builder'!$B$12="",N($Q1929)&lt;='Assignment Builder'!$B$12)))</f>
        <v/>
      </c>
      <c r="T1929" s="23" t="n"/>
    </row>
    <row r="1930">
      <c r="A1930" s="23" t="n"/>
      <c r="B1930" s="23" t="n"/>
      <c r="C1930" s="24" t="n"/>
      <c r="D1930" s="15" t="n"/>
      <c r="E1930" s="23" t="n"/>
      <c r="F1930" s="15" t="n"/>
      <c r="G1930" s="23" t="n"/>
      <c r="H1930" s="25" t="n"/>
      <c r="I1930" s="15" t="n"/>
      <c r="J1930" s="26">
        <f>IF($A1930="","",LEN($C1930)-LEN(SUBSTITUTE($C1930,",",""))+1)</f>
        <v/>
      </c>
      <c r="K1930" s="26">
        <f>IF($A1930="","",SUMPRODUCT(--ISNUMBER(SEARCH('Category Dictionary'!$D$5:$D$135&amp;"",$C1930)),--('Category Dictionary'!$D$5:$D$135&lt;&gt;"")))</f>
        <v/>
      </c>
      <c r="L1930" s="27">
        <f>IF($A1930="","",TRIM(IF(ISERROR(FIND(",",$C1930)),$C1930,LEFT($C1930,FIND(",",$C1930)-1))))</f>
        <v/>
      </c>
      <c r="M1930" s="28">
        <f>IF($H1930="","",DATE(YEAR($H1930),MONTH($H1930),1))</f>
        <v/>
      </c>
      <c r="N1930" s="26">
        <f>IF($H1930="","",TODAY()-$H1930)</f>
        <v/>
      </c>
      <c r="O1930" s="15" t="n"/>
      <c r="P1930" s="15" t="n"/>
      <c r="Q1930" s="15" t="n"/>
      <c r="R1930" s="25" t="n"/>
      <c r="S1930" s="26">
        <f>IF($A1930="","",AND(OR('Assignment Builder'!$B$5="",$B1930='Assignment Builder'!$B$5),OR('Assignment Builder'!$B$6="",ISNUMBER(SEARCH('Assignment Builder'!$B$6,$C1930))),OR('Assignment Builder'!$B$7="",'Assignment Builder'!$B$7=IFERROR(INDEX('Category Dictionary'!$C$5:$C$135,MATCH($L1930,'Category Dictionary'!$D$5:$D$135,0)),"")),OR('Assignment Builder'!$B$8="",$D1930='Assignment Builder'!$B$8),OR('Assignment Builder'!$B$9="",$F1930='Assignment Builder'!$B$9),OR('Assignment Builder'!$B$10="",$O1930='Assignment Builder'!$B$10),OR('Assignment Builder'!$B$11="",$H1930&gt;='Assignment Builder'!$B$11),OR('Assignment Builder'!$B$12="",N($Q1930)&lt;='Assignment Builder'!$B$12)))</f>
        <v/>
      </c>
      <c r="T1930" s="23" t="n"/>
    </row>
    <row r="1931">
      <c r="A1931" s="23" t="n"/>
      <c r="B1931" s="23" t="n"/>
      <c r="C1931" s="24" t="n"/>
      <c r="D1931" s="15" t="n"/>
      <c r="E1931" s="23" t="n"/>
      <c r="F1931" s="15" t="n"/>
      <c r="G1931" s="23" t="n"/>
      <c r="H1931" s="25" t="n"/>
      <c r="I1931" s="15" t="n"/>
      <c r="J1931" s="26">
        <f>IF($A1931="","",LEN($C1931)-LEN(SUBSTITUTE($C1931,",",""))+1)</f>
        <v/>
      </c>
      <c r="K1931" s="26">
        <f>IF($A1931="","",SUMPRODUCT(--ISNUMBER(SEARCH('Category Dictionary'!$D$5:$D$135&amp;"",$C1931)),--('Category Dictionary'!$D$5:$D$135&lt;&gt;"")))</f>
        <v/>
      </c>
      <c r="L1931" s="27">
        <f>IF($A1931="","",TRIM(IF(ISERROR(FIND(",",$C1931)),$C1931,LEFT($C1931,FIND(",",$C1931)-1))))</f>
        <v/>
      </c>
      <c r="M1931" s="28">
        <f>IF($H1931="","",DATE(YEAR($H1931),MONTH($H1931),1))</f>
        <v/>
      </c>
      <c r="N1931" s="26">
        <f>IF($H1931="","",TODAY()-$H1931)</f>
        <v/>
      </c>
      <c r="O1931" s="15" t="n"/>
      <c r="P1931" s="15" t="n"/>
      <c r="Q1931" s="15" t="n"/>
      <c r="R1931" s="25" t="n"/>
      <c r="S1931" s="26">
        <f>IF($A1931="","",AND(OR('Assignment Builder'!$B$5="",$B1931='Assignment Builder'!$B$5),OR('Assignment Builder'!$B$6="",ISNUMBER(SEARCH('Assignment Builder'!$B$6,$C1931))),OR('Assignment Builder'!$B$7="",'Assignment Builder'!$B$7=IFERROR(INDEX('Category Dictionary'!$C$5:$C$135,MATCH($L1931,'Category Dictionary'!$D$5:$D$135,0)),"")),OR('Assignment Builder'!$B$8="",$D1931='Assignment Builder'!$B$8),OR('Assignment Builder'!$B$9="",$F1931='Assignment Builder'!$B$9),OR('Assignment Builder'!$B$10="",$O1931='Assignment Builder'!$B$10),OR('Assignment Builder'!$B$11="",$H1931&gt;='Assignment Builder'!$B$11),OR('Assignment Builder'!$B$12="",N($Q1931)&lt;='Assignment Builder'!$B$12)))</f>
        <v/>
      </c>
      <c r="T1931" s="23" t="n"/>
    </row>
    <row r="1932">
      <c r="A1932" s="23" t="n"/>
      <c r="B1932" s="23" t="n"/>
      <c r="C1932" s="24" t="n"/>
      <c r="D1932" s="15" t="n"/>
      <c r="E1932" s="23" t="n"/>
      <c r="F1932" s="15" t="n"/>
      <c r="G1932" s="23" t="n"/>
      <c r="H1932" s="25" t="n"/>
      <c r="I1932" s="15" t="n"/>
      <c r="J1932" s="26">
        <f>IF($A1932="","",LEN($C1932)-LEN(SUBSTITUTE($C1932,",",""))+1)</f>
        <v/>
      </c>
      <c r="K1932" s="26">
        <f>IF($A1932="","",SUMPRODUCT(--ISNUMBER(SEARCH('Category Dictionary'!$D$5:$D$135&amp;"",$C1932)),--('Category Dictionary'!$D$5:$D$135&lt;&gt;"")))</f>
        <v/>
      </c>
      <c r="L1932" s="27">
        <f>IF($A1932="","",TRIM(IF(ISERROR(FIND(",",$C1932)),$C1932,LEFT($C1932,FIND(",",$C1932)-1))))</f>
        <v/>
      </c>
      <c r="M1932" s="28">
        <f>IF($H1932="","",DATE(YEAR($H1932),MONTH($H1932),1))</f>
        <v/>
      </c>
      <c r="N1932" s="26">
        <f>IF($H1932="","",TODAY()-$H1932)</f>
        <v/>
      </c>
      <c r="O1932" s="15" t="n"/>
      <c r="P1932" s="15" t="n"/>
      <c r="Q1932" s="15" t="n"/>
      <c r="R1932" s="25" t="n"/>
      <c r="S1932" s="26">
        <f>IF($A1932="","",AND(OR('Assignment Builder'!$B$5="",$B1932='Assignment Builder'!$B$5),OR('Assignment Builder'!$B$6="",ISNUMBER(SEARCH('Assignment Builder'!$B$6,$C1932))),OR('Assignment Builder'!$B$7="",'Assignment Builder'!$B$7=IFERROR(INDEX('Category Dictionary'!$C$5:$C$135,MATCH($L1932,'Category Dictionary'!$D$5:$D$135,0)),"")),OR('Assignment Builder'!$B$8="",$D1932='Assignment Builder'!$B$8),OR('Assignment Builder'!$B$9="",$F1932='Assignment Builder'!$B$9),OR('Assignment Builder'!$B$10="",$O1932='Assignment Builder'!$B$10),OR('Assignment Builder'!$B$11="",$H1932&gt;='Assignment Builder'!$B$11),OR('Assignment Builder'!$B$12="",N($Q1932)&lt;='Assignment Builder'!$B$12)))</f>
        <v/>
      </c>
      <c r="T1932" s="23" t="n"/>
    </row>
    <row r="1933">
      <c r="A1933" s="23" t="n"/>
      <c r="B1933" s="23" t="n"/>
      <c r="C1933" s="24" t="n"/>
      <c r="D1933" s="15" t="n"/>
      <c r="E1933" s="23" t="n"/>
      <c r="F1933" s="15" t="n"/>
      <c r="G1933" s="23" t="n"/>
      <c r="H1933" s="25" t="n"/>
      <c r="I1933" s="15" t="n"/>
      <c r="J1933" s="26">
        <f>IF($A1933="","",LEN($C1933)-LEN(SUBSTITUTE($C1933,",",""))+1)</f>
        <v/>
      </c>
      <c r="K1933" s="26">
        <f>IF($A1933="","",SUMPRODUCT(--ISNUMBER(SEARCH('Category Dictionary'!$D$5:$D$135&amp;"",$C1933)),--('Category Dictionary'!$D$5:$D$135&lt;&gt;"")))</f>
        <v/>
      </c>
      <c r="L1933" s="27">
        <f>IF($A1933="","",TRIM(IF(ISERROR(FIND(",",$C1933)),$C1933,LEFT($C1933,FIND(",",$C1933)-1))))</f>
        <v/>
      </c>
      <c r="M1933" s="28">
        <f>IF($H1933="","",DATE(YEAR($H1933),MONTH($H1933),1))</f>
        <v/>
      </c>
      <c r="N1933" s="26">
        <f>IF($H1933="","",TODAY()-$H1933)</f>
        <v/>
      </c>
      <c r="O1933" s="15" t="n"/>
      <c r="P1933" s="15" t="n"/>
      <c r="Q1933" s="15" t="n"/>
      <c r="R1933" s="25" t="n"/>
      <c r="S1933" s="26">
        <f>IF($A1933="","",AND(OR('Assignment Builder'!$B$5="",$B1933='Assignment Builder'!$B$5),OR('Assignment Builder'!$B$6="",ISNUMBER(SEARCH('Assignment Builder'!$B$6,$C1933))),OR('Assignment Builder'!$B$7="",'Assignment Builder'!$B$7=IFERROR(INDEX('Category Dictionary'!$C$5:$C$135,MATCH($L1933,'Category Dictionary'!$D$5:$D$135,0)),"")),OR('Assignment Builder'!$B$8="",$D1933='Assignment Builder'!$B$8),OR('Assignment Builder'!$B$9="",$F1933='Assignment Builder'!$B$9),OR('Assignment Builder'!$B$10="",$O1933='Assignment Builder'!$B$10),OR('Assignment Builder'!$B$11="",$H1933&gt;='Assignment Builder'!$B$11),OR('Assignment Builder'!$B$12="",N($Q1933)&lt;='Assignment Builder'!$B$12)))</f>
        <v/>
      </c>
      <c r="T1933" s="23" t="n"/>
    </row>
    <row r="1934">
      <c r="A1934" s="23" t="n"/>
      <c r="B1934" s="23" t="n"/>
      <c r="C1934" s="24" t="n"/>
      <c r="D1934" s="15" t="n"/>
      <c r="E1934" s="23" t="n"/>
      <c r="F1934" s="15" t="n"/>
      <c r="G1934" s="23" t="n"/>
      <c r="H1934" s="25" t="n"/>
      <c r="I1934" s="15" t="n"/>
      <c r="J1934" s="26">
        <f>IF($A1934="","",LEN($C1934)-LEN(SUBSTITUTE($C1934,",",""))+1)</f>
        <v/>
      </c>
      <c r="K1934" s="26">
        <f>IF($A1934="","",SUMPRODUCT(--ISNUMBER(SEARCH('Category Dictionary'!$D$5:$D$135&amp;"",$C1934)),--('Category Dictionary'!$D$5:$D$135&lt;&gt;"")))</f>
        <v/>
      </c>
      <c r="L1934" s="27">
        <f>IF($A1934="","",TRIM(IF(ISERROR(FIND(",",$C1934)),$C1934,LEFT($C1934,FIND(",",$C1934)-1))))</f>
        <v/>
      </c>
      <c r="M1934" s="28">
        <f>IF($H1934="","",DATE(YEAR($H1934),MONTH($H1934),1))</f>
        <v/>
      </c>
      <c r="N1934" s="26">
        <f>IF($H1934="","",TODAY()-$H1934)</f>
        <v/>
      </c>
      <c r="O1934" s="15" t="n"/>
      <c r="P1934" s="15" t="n"/>
      <c r="Q1934" s="15" t="n"/>
      <c r="R1934" s="25" t="n"/>
      <c r="S1934" s="26">
        <f>IF($A1934="","",AND(OR('Assignment Builder'!$B$5="",$B1934='Assignment Builder'!$B$5),OR('Assignment Builder'!$B$6="",ISNUMBER(SEARCH('Assignment Builder'!$B$6,$C1934))),OR('Assignment Builder'!$B$7="",'Assignment Builder'!$B$7=IFERROR(INDEX('Category Dictionary'!$C$5:$C$135,MATCH($L1934,'Category Dictionary'!$D$5:$D$135,0)),"")),OR('Assignment Builder'!$B$8="",$D1934='Assignment Builder'!$B$8),OR('Assignment Builder'!$B$9="",$F1934='Assignment Builder'!$B$9),OR('Assignment Builder'!$B$10="",$O1934='Assignment Builder'!$B$10),OR('Assignment Builder'!$B$11="",$H1934&gt;='Assignment Builder'!$B$11),OR('Assignment Builder'!$B$12="",N($Q1934)&lt;='Assignment Builder'!$B$12)))</f>
        <v/>
      </c>
      <c r="T1934" s="23" t="n"/>
    </row>
    <row r="1935">
      <c r="A1935" s="23" t="n"/>
      <c r="B1935" s="23" t="n"/>
      <c r="C1935" s="24" t="n"/>
      <c r="D1935" s="15" t="n"/>
      <c r="E1935" s="23" t="n"/>
      <c r="F1935" s="15" t="n"/>
      <c r="G1935" s="23" t="n"/>
      <c r="H1935" s="25" t="n"/>
      <c r="I1935" s="15" t="n"/>
      <c r="J1935" s="26">
        <f>IF($A1935="","",LEN($C1935)-LEN(SUBSTITUTE($C1935,",",""))+1)</f>
        <v/>
      </c>
      <c r="K1935" s="26">
        <f>IF($A1935="","",SUMPRODUCT(--ISNUMBER(SEARCH('Category Dictionary'!$D$5:$D$135&amp;"",$C1935)),--('Category Dictionary'!$D$5:$D$135&lt;&gt;"")))</f>
        <v/>
      </c>
      <c r="L1935" s="27">
        <f>IF($A1935="","",TRIM(IF(ISERROR(FIND(",",$C1935)),$C1935,LEFT($C1935,FIND(",",$C1935)-1))))</f>
        <v/>
      </c>
      <c r="M1935" s="28">
        <f>IF($H1935="","",DATE(YEAR($H1935),MONTH($H1935),1))</f>
        <v/>
      </c>
      <c r="N1935" s="26">
        <f>IF($H1935="","",TODAY()-$H1935)</f>
        <v/>
      </c>
      <c r="O1935" s="15" t="n"/>
      <c r="P1935" s="15" t="n"/>
      <c r="Q1935" s="15" t="n"/>
      <c r="R1935" s="25" t="n"/>
      <c r="S1935" s="26">
        <f>IF($A1935="","",AND(OR('Assignment Builder'!$B$5="",$B1935='Assignment Builder'!$B$5),OR('Assignment Builder'!$B$6="",ISNUMBER(SEARCH('Assignment Builder'!$B$6,$C1935))),OR('Assignment Builder'!$B$7="",'Assignment Builder'!$B$7=IFERROR(INDEX('Category Dictionary'!$C$5:$C$135,MATCH($L1935,'Category Dictionary'!$D$5:$D$135,0)),"")),OR('Assignment Builder'!$B$8="",$D1935='Assignment Builder'!$B$8),OR('Assignment Builder'!$B$9="",$F1935='Assignment Builder'!$B$9),OR('Assignment Builder'!$B$10="",$O1935='Assignment Builder'!$B$10),OR('Assignment Builder'!$B$11="",$H1935&gt;='Assignment Builder'!$B$11),OR('Assignment Builder'!$B$12="",N($Q1935)&lt;='Assignment Builder'!$B$12)))</f>
        <v/>
      </c>
      <c r="T1935" s="23" t="n"/>
    </row>
    <row r="1936">
      <c r="A1936" s="23" t="n"/>
      <c r="B1936" s="23" t="n"/>
      <c r="C1936" s="24" t="n"/>
      <c r="D1936" s="15" t="n"/>
      <c r="E1936" s="23" t="n"/>
      <c r="F1936" s="15" t="n"/>
      <c r="G1936" s="23" t="n"/>
      <c r="H1936" s="25" t="n"/>
      <c r="I1936" s="15" t="n"/>
      <c r="J1936" s="26">
        <f>IF($A1936="","",LEN($C1936)-LEN(SUBSTITUTE($C1936,",",""))+1)</f>
        <v/>
      </c>
      <c r="K1936" s="26">
        <f>IF($A1936="","",SUMPRODUCT(--ISNUMBER(SEARCH('Category Dictionary'!$D$5:$D$135&amp;"",$C1936)),--('Category Dictionary'!$D$5:$D$135&lt;&gt;"")))</f>
        <v/>
      </c>
      <c r="L1936" s="27">
        <f>IF($A1936="","",TRIM(IF(ISERROR(FIND(",",$C1936)),$C1936,LEFT($C1936,FIND(",",$C1936)-1))))</f>
        <v/>
      </c>
      <c r="M1936" s="28">
        <f>IF($H1936="","",DATE(YEAR($H1936),MONTH($H1936),1))</f>
        <v/>
      </c>
      <c r="N1936" s="26">
        <f>IF($H1936="","",TODAY()-$H1936)</f>
        <v/>
      </c>
      <c r="O1936" s="15" t="n"/>
      <c r="P1936" s="15" t="n"/>
      <c r="Q1936" s="15" t="n"/>
      <c r="R1936" s="25" t="n"/>
      <c r="S1936" s="26">
        <f>IF($A1936="","",AND(OR('Assignment Builder'!$B$5="",$B1936='Assignment Builder'!$B$5),OR('Assignment Builder'!$B$6="",ISNUMBER(SEARCH('Assignment Builder'!$B$6,$C1936))),OR('Assignment Builder'!$B$7="",'Assignment Builder'!$B$7=IFERROR(INDEX('Category Dictionary'!$C$5:$C$135,MATCH($L1936,'Category Dictionary'!$D$5:$D$135,0)),"")),OR('Assignment Builder'!$B$8="",$D1936='Assignment Builder'!$B$8),OR('Assignment Builder'!$B$9="",$F1936='Assignment Builder'!$B$9),OR('Assignment Builder'!$B$10="",$O1936='Assignment Builder'!$B$10),OR('Assignment Builder'!$B$11="",$H1936&gt;='Assignment Builder'!$B$11),OR('Assignment Builder'!$B$12="",N($Q1936)&lt;='Assignment Builder'!$B$12)))</f>
        <v/>
      </c>
      <c r="T1936" s="23" t="n"/>
    </row>
    <row r="1937">
      <c r="A1937" s="23" t="n"/>
      <c r="B1937" s="23" t="n"/>
      <c r="C1937" s="24" t="n"/>
      <c r="D1937" s="15" t="n"/>
      <c r="E1937" s="23" t="n"/>
      <c r="F1937" s="15" t="n"/>
      <c r="G1937" s="23" t="n"/>
      <c r="H1937" s="25" t="n"/>
      <c r="I1937" s="15" t="n"/>
      <c r="J1937" s="26">
        <f>IF($A1937="","",LEN($C1937)-LEN(SUBSTITUTE($C1937,",",""))+1)</f>
        <v/>
      </c>
      <c r="K1937" s="26">
        <f>IF($A1937="","",SUMPRODUCT(--ISNUMBER(SEARCH('Category Dictionary'!$D$5:$D$135&amp;"",$C1937)),--('Category Dictionary'!$D$5:$D$135&lt;&gt;"")))</f>
        <v/>
      </c>
      <c r="L1937" s="27">
        <f>IF($A1937="","",TRIM(IF(ISERROR(FIND(",",$C1937)),$C1937,LEFT($C1937,FIND(",",$C1937)-1))))</f>
        <v/>
      </c>
      <c r="M1937" s="28">
        <f>IF($H1937="","",DATE(YEAR($H1937),MONTH($H1937),1))</f>
        <v/>
      </c>
      <c r="N1937" s="26">
        <f>IF($H1937="","",TODAY()-$H1937)</f>
        <v/>
      </c>
      <c r="O1937" s="15" t="n"/>
      <c r="P1937" s="15" t="n"/>
      <c r="Q1937" s="15" t="n"/>
      <c r="R1937" s="25" t="n"/>
      <c r="S1937" s="26">
        <f>IF($A1937="","",AND(OR('Assignment Builder'!$B$5="",$B1937='Assignment Builder'!$B$5),OR('Assignment Builder'!$B$6="",ISNUMBER(SEARCH('Assignment Builder'!$B$6,$C1937))),OR('Assignment Builder'!$B$7="",'Assignment Builder'!$B$7=IFERROR(INDEX('Category Dictionary'!$C$5:$C$135,MATCH($L1937,'Category Dictionary'!$D$5:$D$135,0)),"")),OR('Assignment Builder'!$B$8="",$D1937='Assignment Builder'!$B$8),OR('Assignment Builder'!$B$9="",$F1937='Assignment Builder'!$B$9),OR('Assignment Builder'!$B$10="",$O1937='Assignment Builder'!$B$10),OR('Assignment Builder'!$B$11="",$H1937&gt;='Assignment Builder'!$B$11),OR('Assignment Builder'!$B$12="",N($Q1937)&lt;='Assignment Builder'!$B$12)))</f>
        <v/>
      </c>
      <c r="T1937" s="23" t="n"/>
    </row>
    <row r="1938">
      <c r="A1938" s="23" t="n"/>
      <c r="B1938" s="23" t="n"/>
      <c r="C1938" s="24" t="n"/>
      <c r="D1938" s="15" t="n"/>
      <c r="E1938" s="23" t="n"/>
      <c r="F1938" s="15" t="n"/>
      <c r="G1938" s="23" t="n"/>
      <c r="H1938" s="25" t="n"/>
      <c r="I1938" s="15" t="n"/>
      <c r="J1938" s="26">
        <f>IF($A1938="","",LEN($C1938)-LEN(SUBSTITUTE($C1938,",",""))+1)</f>
        <v/>
      </c>
      <c r="K1938" s="26">
        <f>IF($A1938="","",SUMPRODUCT(--ISNUMBER(SEARCH('Category Dictionary'!$D$5:$D$135&amp;"",$C1938)),--('Category Dictionary'!$D$5:$D$135&lt;&gt;"")))</f>
        <v/>
      </c>
      <c r="L1938" s="27">
        <f>IF($A1938="","",TRIM(IF(ISERROR(FIND(",",$C1938)),$C1938,LEFT($C1938,FIND(",",$C1938)-1))))</f>
        <v/>
      </c>
      <c r="M1938" s="28">
        <f>IF($H1938="","",DATE(YEAR($H1938),MONTH($H1938),1))</f>
        <v/>
      </c>
      <c r="N1938" s="26">
        <f>IF($H1938="","",TODAY()-$H1938)</f>
        <v/>
      </c>
      <c r="O1938" s="15" t="n"/>
      <c r="P1938" s="15" t="n"/>
      <c r="Q1938" s="15" t="n"/>
      <c r="R1938" s="25" t="n"/>
      <c r="S1938" s="26">
        <f>IF($A1938="","",AND(OR('Assignment Builder'!$B$5="",$B1938='Assignment Builder'!$B$5),OR('Assignment Builder'!$B$6="",ISNUMBER(SEARCH('Assignment Builder'!$B$6,$C1938))),OR('Assignment Builder'!$B$7="",'Assignment Builder'!$B$7=IFERROR(INDEX('Category Dictionary'!$C$5:$C$135,MATCH($L1938,'Category Dictionary'!$D$5:$D$135,0)),"")),OR('Assignment Builder'!$B$8="",$D1938='Assignment Builder'!$B$8),OR('Assignment Builder'!$B$9="",$F1938='Assignment Builder'!$B$9),OR('Assignment Builder'!$B$10="",$O1938='Assignment Builder'!$B$10),OR('Assignment Builder'!$B$11="",$H1938&gt;='Assignment Builder'!$B$11),OR('Assignment Builder'!$B$12="",N($Q1938)&lt;='Assignment Builder'!$B$12)))</f>
        <v/>
      </c>
      <c r="T1938" s="23" t="n"/>
    </row>
    <row r="1939">
      <c r="A1939" s="23" t="n"/>
      <c r="B1939" s="23" t="n"/>
      <c r="C1939" s="24" t="n"/>
      <c r="D1939" s="15" t="n"/>
      <c r="E1939" s="23" t="n"/>
      <c r="F1939" s="15" t="n"/>
      <c r="G1939" s="23" t="n"/>
      <c r="H1939" s="25" t="n"/>
      <c r="I1939" s="15" t="n"/>
      <c r="J1939" s="26">
        <f>IF($A1939="","",LEN($C1939)-LEN(SUBSTITUTE($C1939,",",""))+1)</f>
        <v/>
      </c>
      <c r="K1939" s="26">
        <f>IF($A1939="","",SUMPRODUCT(--ISNUMBER(SEARCH('Category Dictionary'!$D$5:$D$135&amp;"",$C1939)),--('Category Dictionary'!$D$5:$D$135&lt;&gt;"")))</f>
        <v/>
      </c>
      <c r="L1939" s="27">
        <f>IF($A1939="","",TRIM(IF(ISERROR(FIND(",",$C1939)),$C1939,LEFT($C1939,FIND(",",$C1939)-1))))</f>
        <v/>
      </c>
      <c r="M1939" s="28">
        <f>IF($H1939="","",DATE(YEAR($H1939),MONTH($H1939),1))</f>
        <v/>
      </c>
      <c r="N1939" s="26">
        <f>IF($H1939="","",TODAY()-$H1939)</f>
        <v/>
      </c>
      <c r="O1939" s="15" t="n"/>
      <c r="P1939" s="15" t="n"/>
      <c r="Q1939" s="15" t="n"/>
      <c r="R1939" s="25" t="n"/>
      <c r="S1939" s="26">
        <f>IF($A1939="","",AND(OR('Assignment Builder'!$B$5="",$B1939='Assignment Builder'!$B$5),OR('Assignment Builder'!$B$6="",ISNUMBER(SEARCH('Assignment Builder'!$B$6,$C1939))),OR('Assignment Builder'!$B$7="",'Assignment Builder'!$B$7=IFERROR(INDEX('Category Dictionary'!$C$5:$C$135,MATCH($L1939,'Category Dictionary'!$D$5:$D$135,0)),"")),OR('Assignment Builder'!$B$8="",$D1939='Assignment Builder'!$B$8),OR('Assignment Builder'!$B$9="",$F1939='Assignment Builder'!$B$9),OR('Assignment Builder'!$B$10="",$O1939='Assignment Builder'!$B$10),OR('Assignment Builder'!$B$11="",$H1939&gt;='Assignment Builder'!$B$11),OR('Assignment Builder'!$B$12="",N($Q1939)&lt;='Assignment Builder'!$B$12)))</f>
        <v/>
      </c>
      <c r="T1939" s="23" t="n"/>
    </row>
    <row r="1940">
      <c r="A1940" s="23" t="n"/>
      <c r="B1940" s="23" t="n"/>
      <c r="C1940" s="24" t="n"/>
      <c r="D1940" s="15" t="n"/>
      <c r="E1940" s="23" t="n"/>
      <c r="F1940" s="15" t="n"/>
      <c r="G1940" s="23" t="n"/>
      <c r="H1940" s="25" t="n"/>
      <c r="I1940" s="15" t="n"/>
      <c r="J1940" s="26">
        <f>IF($A1940="","",LEN($C1940)-LEN(SUBSTITUTE($C1940,",",""))+1)</f>
        <v/>
      </c>
      <c r="K1940" s="26">
        <f>IF($A1940="","",SUMPRODUCT(--ISNUMBER(SEARCH('Category Dictionary'!$D$5:$D$135&amp;"",$C1940)),--('Category Dictionary'!$D$5:$D$135&lt;&gt;"")))</f>
        <v/>
      </c>
      <c r="L1940" s="27">
        <f>IF($A1940="","",TRIM(IF(ISERROR(FIND(",",$C1940)),$C1940,LEFT($C1940,FIND(",",$C1940)-1))))</f>
        <v/>
      </c>
      <c r="M1940" s="28">
        <f>IF($H1940="","",DATE(YEAR($H1940),MONTH($H1940),1))</f>
        <v/>
      </c>
      <c r="N1940" s="26">
        <f>IF($H1940="","",TODAY()-$H1940)</f>
        <v/>
      </c>
      <c r="O1940" s="15" t="n"/>
      <c r="P1940" s="15" t="n"/>
      <c r="Q1940" s="15" t="n"/>
      <c r="R1940" s="25" t="n"/>
      <c r="S1940" s="26">
        <f>IF($A1940="","",AND(OR('Assignment Builder'!$B$5="",$B1940='Assignment Builder'!$B$5),OR('Assignment Builder'!$B$6="",ISNUMBER(SEARCH('Assignment Builder'!$B$6,$C1940))),OR('Assignment Builder'!$B$7="",'Assignment Builder'!$B$7=IFERROR(INDEX('Category Dictionary'!$C$5:$C$135,MATCH($L1940,'Category Dictionary'!$D$5:$D$135,0)),"")),OR('Assignment Builder'!$B$8="",$D1940='Assignment Builder'!$B$8),OR('Assignment Builder'!$B$9="",$F1940='Assignment Builder'!$B$9),OR('Assignment Builder'!$B$10="",$O1940='Assignment Builder'!$B$10),OR('Assignment Builder'!$B$11="",$H1940&gt;='Assignment Builder'!$B$11),OR('Assignment Builder'!$B$12="",N($Q1940)&lt;='Assignment Builder'!$B$12)))</f>
        <v/>
      </c>
      <c r="T1940" s="23" t="n"/>
    </row>
    <row r="1941">
      <c r="A1941" s="23" t="n"/>
      <c r="B1941" s="23" t="n"/>
      <c r="C1941" s="24" t="n"/>
      <c r="D1941" s="15" t="n"/>
      <c r="E1941" s="23" t="n"/>
      <c r="F1941" s="15" t="n"/>
      <c r="G1941" s="23" t="n"/>
      <c r="H1941" s="25" t="n"/>
      <c r="I1941" s="15" t="n"/>
      <c r="J1941" s="26">
        <f>IF($A1941="","",LEN($C1941)-LEN(SUBSTITUTE($C1941,",",""))+1)</f>
        <v/>
      </c>
      <c r="K1941" s="26">
        <f>IF($A1941="","",SUMPRODUCT(--ISNUMBER(SEARCH('Category Dictionary'!$D$5:$D$135&amp;"",$C1941)),--('Category Dictionary'!$D$5:$D$135&lt;&gt;"")))</f>
        <v/>
      </c>
      <c r="L1941" s="27">
        <f>IF($A1941="","",TRIM(IF(ISERROR(FIND(",",$C1941)),$C1941,LEFT($C1941,FIND(",",$C1941)-1))))</f>
        <v/>
      </c>
      <c r="M1941" s="28">
        <f>IF($H1941="","",DATE(YEAR($H1941),MONTH($H1941),1))</f>
        <v/>
      </c>
      <c r="N1941" s="26">
        <f>IF($H1941="","",TODAY()-$H1941)</f>
        <v/>
      </c>
      <c r="O1941" s="15" t="n"/>
      <c r="P1941" s="15" t="n"/>
      <c r="Q1941" s="15" t="n"/>
      <c r="R1941" s="25" t="n"/>
      <c r="S1941" s="26">
        <f>IF($A1941="","",AND(OR('Assignment Builder'!$B$5="",$B1941='Assignment Builder'!$B$5),OR('Assignment Builder'!$B$6="",ISNUMBER(SEARCH('Assignment Builder'!$B$6,$C1941))),OR('Assignment Builder'!$B$7="",'Assignment Builder'!$B$7=IFERROR(INDEX('Category Dictionary'!$C$5:$C$135,MATCH($L1941,'Category Dictionary'!$D$5:$D$135,0)),"")),OR('Assignment Builder'!$B$8="",$D1941='Assignment Builder'!$B$8),OR('Assignment Builder'!$B$9="",$F1941='Assignment Builder'!$B$9),OR('Assignment Builder'!$B$10="",$O1941='Assignment Builder'!$B$10),OR('Assignment Builder'!$B$11="",$H1941&gt;='Assignment Builder'!$B$11),OR('Assignment Builder'!$B$12="",N($Q1941)&lt;='Assignment Builder'!$B$12)))</f>
        <v/>
      </c>
      <c r="T1941" s="23" t="n"/>
    </row>
    <row r="1942">
      <c r="A1942" s="23" t="n"/>
      <c r="B1942" s="23" t="n"/>
      <c r="C1942" s="24" t="n"/>
      <c r="D1942" s="15" t="n"/>
      <c r="E1942" s="23" t="n"/>
      <c r="F1942" s="15" t="n"/>
      <c r="G1942" s="23" t="n"/>
      <c r="H1942" s="25" t="n"/>
      <c r="I1942" s="15" t="n"/>
      <c r="J1942" s="26">
        <f>IF($A1942="","",LEN($C1942)-LEN(SUBSTITUTE($C1942,",",""))+1)</f>
        <v/>
      </c>
      <c r="K1942" s="26">
        <f>IF($A1942="","",SUMPRODUCT(--ISNUMBER(SEARCH('Category Dictionary'!$D$5:$D$135&amp;"",$C1942)),--('Category Dictionary'!$D$5:$D$135&lt;&gt;"")))</f>
        <v/>
      </c>
      <c r="L1942" s="27">
        <f>IF($A1942="","",TRIM(IF(ISERROR(FIND(",",$C1942)),$C1942,LEFT($C1942,FIND(",",$C1942)-1))))</f>
        <v/>
      </c>
      <c r="M1942" s="28">
        <f>IF($H1942="","",DATE(YEAR($H1942),MONTH($H1942),1))</f>
        <v/>
      </c>
      <c r="N1942" s="26">
        <f>IF($H1942="","",TODAY()-$H1942)</f>
        <v/>
      </c>
      <c r="O1942" s="15" t="n"/>
      <c r="P1942" s="15" t="n"/>
      <c r="Q1942" s="15" t="n"/>
      <c r="R1942" s="25" t="n"/>
      <c r="S1942" s="26">
        <f>IF($A1942="","",AND(OR('Assignment Builder'!$B$5="",$B1942='Assignment Builder'!$B$5),OR('Assignment Builder'!$B$6="",ISNUMBER(SEARCH('Assignment Builder'!$B$6,$C1942))),OR('Assignment Builder'!$B$7="",'Assignment Builder'!$B$7=IFERROR(INDEX('Category Dictionary'!$C$5:$C$135,MATCH($L1942,'Category Dictionary'!$D$5:$D$135,0)),"")),OR('Assignment Builder'!$B$8="",$D1942='Assignment Builder'!$B$8),OR('Assignment Builder'!$B$9="",$F1942='Assignment Builder'!$B$9),OR('Assignment Builder'!$B$10="",$O1942='Assignment Builder'!$B$10),OR('Assignment Builder'!$B$11="",$H1942&gt;='Assignment Builder'!$B$11),OR('Assignment Builder'!$B$12="",N($Q1942)&lt;='Assignment Builder'!$B$12)))</f>
        <v/>
      </c>
      <c r="T1942" s="23" t="n"/>
    </row>
    <row r="1943">
      <c r="A1943" s="23" t="n"/>
      <c r="B1943" s="23" t="n"/>
      <c r="C1943" s="24" t="n"/>
      <c r="D1943" s="15" t="n"/>
      <c r="E1943" s="23" t="n"/>
      <c r="F1943" s="15" t="n"/>
      <c r="G1943" s="23" t="n"/>
      <c r="H1943" s="25" t="n"/>
      <c r="I1943" s="15" t="n"/>
      <c r="J1943" s="26">
        <f>IF($A1943="","",LEN($C1943)-LEN(SUBSTITUTE($C1943,",",""))+1)</f>
        <v/>
      </c>
      <c r="K1943" s="26">
        <f>IF($A1943="","",SUMPRODUCT(--ISNUMBER(SEARCH('Category Dictionary'!$D$5:$D$135&amp;"",$C1943)),--('Category Dictionary'!$D$5:$D$135&lt;&gt;"")))</f>
        <v/>
      </c>
      <c r="L1943" s="27">
        <f>IF($A1943="","",TRIM(IF(ISERROR(FIND(",",$C1943)),$C1943,LEFT($C1943,FIND(",",$C1943)-1))))</f>
        <v/>
      </c>
      <c r="M1943" s="28">
        <f>IF($H1943="","",DATE(YEAR($H1943),MONTH($H1943),1))</f>
        <v/>
      </c>
      <c r="N1943" s="26">
        <f>IF($H1943="","",TODAY()-$H1943)</f>
        <v/>
      </c>
      <c r="O1943" s="15" t="n"/>
      <c r="P1943" s="15" t="n"/>
      <c r="Q1943" s="15" t="n"/>
      <c r="R1943" s="25" t="n"/>
      <c r="S1943" s="26">
        <f>IF($A1943="","",AND(OR('Assignment Builder'!$B$5="",$B1943='Assignment Builder'!$B$5),OR('Assignment Builder'!$B$6="",ISNUMBER(SEARCH('Assignment Builder'!$B$6,$C1943))),OR('Assignment Builder'!$B$7="",'Assignment Builder'!$B$7=IFERROR(INDEX('Category Dictionary'!$C$5:$C$135,MATCH($L1943,'Category Dictionary'!$D$5:$D$135,0)),"")),OR('Assignment Builder'!$B$8="",$D1943='Assignment Builder'!$B$8),OR('Assignment Builder'!$B$9="",$F1943='Assignment Builder'!$B$9),OR('Assignment Builder'!$B$10="",$O1943='Assignment Builder'!$B$10),OR('Assignment Builder'!$B$11="",$H1943&gt;='Assignment Builder'!$B$11),OR('Assignment Builder'!$B$12="",N($Q1943)&lt;='Assignment Builder'!$B$12)))</f>
        <v/>
      </c>
      <c r="T1943" s="23" t="n"/>
    </row>
    <row r="1944">
      <c r="A1944" s="23" t="n"/>
      <c r="B1944" s="23" t="n"/>
      <c r="C1944" s="24" t="n"/>
      <c r="D1944" s="15" t="n"/>
      <c r="E1944" s="23" t="n"/>
      <c r="F1944" s="15" t="n"/>
      <c r="G1944" s="23" t="n"/>
      <c r="H1944" s="25" t="n"/>
      <c r="I1944" s="15" t="n"/>
      <c r="J1944" s="26">
        <f>IF($A1944="","",LEN($C1944)-LEN(SUBSTITUTE($C1944,",",""))+1)</f>
        <v/>
      </c>
      <c r="K1944" s="26">
        <f>IF($A1944="","",SUMPRODUCT(--ISNUMBER(SEARCH('Category Dictionary'!$D$5:$D$135&amp;"",$C1944)),--('Category Dictionary'!$D$5:$D$135&lt;&gt;"")))</f>
        <v/>
      </c>
      <c r="L1944" s="27">
        <f>IF($A1944="","",TRIM(IF(ISERROR(FIND(",",$C1944)),$C1944,LEFT($C1944,FIND(",",$C1944)-1))))</f>
        <v/>
      </c>
      <c r="M1944" s="28">
        <f>IF($H1944="","",DATE(YEAR($H1944),MONTH($H1944),1))</f>
        <v/>
      </c>
      <c r="N1944" s="26">
        <f>IF($H1944="","",TODAY()-$H1944)</f>
        <v/>
      </c>
      <c r="O1944" s="15" t="n"/>
      <c r="P1944" s="15" t="n"/>
      <c r="Q1944" s="15" t="n"/>
      <c r="R1944" s="25" t="n"/>
      <c r="S1944" s="26">
        <f>IF($A1944="","",AND(OR('Assignment Builder'!$B$5="",$B1944='Assignment Builder'!$B$5),OR('Assignment Builder'!$B$6="",ISNUMBER(SEARCH('Assignment Builder'!$B$6,$C1944))),OR('Assignment Builder'!$B$7="",'Assignment Builder'!$B$7=IFERROR(INDEX('Category Dictionary'!$C$5:$C$135,MATCH($L1944,'Category Dictionary'!$D$5:$D$135,0)),"")),OR('Assignment Builder'!$B$8="",$D1944='Assignment Builder'!$B$8),OR('Assignment Builder'!$B$9="",$F1944='Assignment Builder'!$B$9),OR('Assignment Builder'!$B$10="",$O1944='Assignment Builder'!$B$10),OR('Assignment Builder'!$B$11="",$H1944&gt;='Assignment Builder'!$B$11),OR('Assignment Builder'!$B$12="",N($Q1944)&lt;='Assignment Builder'!$B$12)))</f>
        <v/>
      </c>
      <c r="T1944" s="23" t="n"/>
    </row>
    <row r="1945">
      <c r="A1945" s="23" t="n"/>
      <c r="B1945" s="23" t="n"/>
      <c r="C1945" s="24" t="n"/>
      <c r="D1945" s="15" t="n"/>
      <c r="E1945" s="23" t="n"/>
      <c r="F1945" s="15" t="n"/>
      <c r="G1945" s="23" t="n"/>
      <c r="H1945" s="25" t="n"/>
      <c r="I1945" s="15" t="n"/>
      <c r="J1945" s="26">
        <f>IF($A1945="","",LEN($C1945)-LEN(SUBSTITUTE($C1945,",",""))+1)</f>
        <v/>
      </c>
      <c r="K1945" s="26">
        <f>IF($A1945="","",SUMPRODUCT(--ISNUMBER(SEARCH('Category Dictionary'!$D$5:$D$135&amp;"",$C1945)),--('Category Dictionary'!$D$5:$D$135&lt;&gt;"")))</f>
        <v/>
      </c>
      <c r="L1945" s="27">
        <f>IF($A1945="","",TRIM(IF(ISERROR(FIND(",",$C1945)),$C1945,LEFT($C1945,FIND(",",$C1945)-1))))</f>
        <v/>
      </c>
      <c r="M1945" s="28">
        <f>IF($H1945="","",DATE(YEAR($H1945),MONTH($H1945),1))</f>
        <v/>
      </c>
      <c r="N1945" s="26">
        <f>IF($H1945="","",TODAY()-$H1945)</f>
        <v/>
      </c>
      <c r="O1945" s="15" t="n"/>
      <c r="P1945" s="15" t="n"/>
      <c r="Q1945" s="15" t="n"/>
      <c r="R1945" s="25" t="n"/>
      <c r="S1945" s="26">
        <f>IF($A1945="","",AND(OR('Assignment Builder'!$B$5="",$B1945='Assignment Builder'!$B$5),OR('Assignment Builder'!$B$6="",ISNUMBER(SEARCH('Assignment Builder'!$B$6,$C1945))),OR('Assignment Builder'!$B$7="",'Assignment Builder'!$B$7=IFERROR(INDEX('Category Dictionary'!$C$5:$C$135,MATCH($L1945,'Category Dictionary'!$D$5:$D$135,0)),"")),OR('Assignment Builder'!$B$8="",$D1945='Assignment Builder'!$B$8),OR('Assignment Builder'!$B$9="",$F1945='Assignment Builder'!$B$9),OR('Assignment Builder'!$B$10="",$O1945='Assignment Builder'!$B$10),OR('Assignment Builder'!$B$11="",$H1945&gt;='Assignment Builder'!$B$11),OR('Assignment Builder'!$B$12="",N($Q1945)&lt;='Assignment Builder'!$B$12)))</f>
        <v/>
      </c>
      <c r="T1945" s="23" t="n"/>
    </row>
    <row r="1946">
      <c r="A1946" s="23" t="n"/>
      <c r="B1946" s="23" t="n"/>
      <c r="C1946" s="24" t="n"/>
      <c r="D1946" s="15" t="n"/>
      <c r="E1946" s="23" t="n"/>
      <c r="F1946" s="15" t="n"/>
      <c r="G1946" s="23" t="n"/>
      <c r="H1946" s="25" t="n"/>
      <c r="I1946" s="15" t="n"/>
      <c r="J1946" s="26">
        <f>IF($A1946="","",LEN($C1946)-LEN(SUBSTITUTE($C1946,",",""))+1)</f>
        <v/>
      </c>
      <c r="K1946" s="26">
        <f>IF($A1946="","",SUMPRODUCT(--ISNUMBER(SEARCH('Category Dictionary'!$D$5:$D$135&amp;"",$C1946)),--('Category Dictionary'!$D$5:$D$135&lt;&gt;"")))</f>
        <v/>
      </c>
      <c r="L1946" s="27">
        <f>IF($A1946="","",TRIM(IF(ISERROR(FIND(",",$C1946)),$C1946,LEFT($C1946,FIND(",",$C1946)-1))))</f>
        <v/>
      </c>
      <c r="M1946" s="28">
        <f>IF($H1946="","",DATE(YEAR($H1946),MONTH($H1946),1))</f>
        <v/>
      </c>
      <c r="N1946" s="26">
        <f>IF($H1946="","",TODAY()-$H1946)</f>
        <v/>
      </c>
      <c r="O1946" s="15" t="n"/>
      <c r="P1946" s="15" t="n"/>
      <c r="Q1946" s="15" t="n"/>
      <c r="R1946" s="25" t="n"/>
      <c r="S1946" s="26">
        <f>IF($A1946="","",AND(OR('Assignment Builder'!$B$5="",$B1946='Assignment Builder'!$B$5),OR('Assignment Builder'!$B$6="",ISNUMBER(SEARCH('Assignment Builder'!$B$6,$C1946))),OR('Assignment Builder'!$B$7="",'Assignment Builder'!$B$7=IFERROR(INDEX('Category Dictionary'!$C$5:$C$135,MATCH($L1946,'Category Dictionary'!$D$5:$D$135,0)),"")),OR('Assignment Builder'!$B$8="",$D1946='Assignment Builder'!$B$8),OR('Assignment Builder'!$B$9="",$F1946='Assignment Builder'!$B$9),OR('Assignment Builder'!$B$10="",$O1946='Assignment Builder'!$B$10),OR('Assignment Builder'!$B$11="",$H1946&gt;='Assignment Builder'!$B$11),OR('Assignment Builder'!$B$12="",N($Q1946)&lt;='Assignment Builder'!$B$12)))</f>
        <v/>
      </c>
      <c r="T1946" s="23" t="n"/>
    </row>
    <row r="1947">
      <c r="A1947" s="23" t="n"/>
      <c r="B1947" s="23" t="n"/>
      <c r="C1947" s="24" t="n"/>
      <c r="D1947" s="15" t="n"/>
      <c r="E1947" s="23" t="n"/>
      <c r="F1947" s="15" t="n"/>
      <c r="G1947" s="23" t="n"/>
      <c r="H1947" s="25" t="n"/>
      <c r="I1947" s="15" t="n"/>
      <c r="J1947" s="26">
        <f>IF($A1947="","",LEN($C1947)-LEN(SUBSTITUTE($C1947,",",""))+1)</f>
        <v/>
      </c>
      <c r="K1947" s="26">
        <f>IF($A1947="","",SUMPRODUCT(--ISNUMBER(SEARCH('Category Dictionary'!$D$5:$D$135&amp;"",$C1947)),--('Category Dictionary'!$D$5:$D$135&lt;&gt;"")))</f>
        <v/>
      </c>
      <c r="L1947" s="27">
        <f>IF($A1947="","",TRIM(IF(ISERROR(FIND(",",$C1947)),$C1947,LEFT($C1947,FIND(",",$C1947)-1))))</f>
        <v/>
      </c>
      <c r="M1947" s="28">
        <f>IF($H1947="","",DATE(YEAR($H1947),MONTH($H1947),1))</f>
        <v/>
      </c>
      <c r="N1947" s="26">
        <f>IF($H1947="","",TODAY()-$H1947)</f>
        <v/>
      </c>
      <c r="O1947" s="15" t="n"/>
      <c r="P1947" s="15" t="n"/>
      <c r="Q1947" s="15" t="n"/>
      <c r="R1947" s="25" t="n"/>
      <c r="S1947" s="26">
        <f>IF($A1947="","",AND(OR('Assignment Builder'!$B$5="",$B1947='Assignment Builder'!$B$5),OR('Assignment Builder'!$B$6="",ISNUMBER(SEARCH('Assignment Builder'!$B$6,$C1947))),OR('Assignment Builder'!$B$7="",'Assignment Builder'!$B$7=IFERROR(INDEX('Category Dictionary'!$C$5:$C$135,MATCH($L1947,'Category Dictionary'!$D$5:$D$135,0)),"")),OR('Assignment Builder'!$B$8="",$D1947='Assignment Builder'!$B$8),OR('Assignment Builder'!$B$9="",$F1947='Assignment Builder'!$B$9),OR('Assignment Builder'!$B$10="",$O1947='Assignment Builder'!$B$10),OR('Assignment Builder'!$B$11="",$H1947&gt;='Assignment Builder'!$B$11),OR('Assignment Builder'!$B$12="",N($Q1947)&lt;='Assignment Builder'!$B$12)))</f>
        <v/>
      </c>
      <c r="T1947" s="23" t="n"/>
    </row>
    <row r="1948">
      <c r="A1948" s="23" t="n"/>
      <c r="B1948" s="23" t="n"/>
      <c r="C1948" s="24" t="n"/>
      <c r="D1948" s="15" t="n"/>
      <c r="E1948" s="23" t="n"/>
      <c r="F1948" s="15" t="n"/>
      <c r="G1948" s="23" t="n"/>
      <c r="H1948" s="25" t="n"/>
      <c r="I1948" s="15" t="n"/>
      <c r="J1948" s="26">
        <f>IF($A1948="","",LEN($C1948)-LEN(SUBSTITUTE($C1948,",",""))+1)</f>
        <v/>
      </c>
      <c r="K1948" s="26">
        <f>IF($A1948="","",SUMPRODUCT(--ISNUMBER(SEARCH('Category Dictionary'!$D$5:$D$135&amp;"",$C1948)),--('Category Dictionary'!$D$5:$D$135&lt;&gt;"")))</f>
        <v/>
      </c>
      <c r="L1948" s="27">
        <f>IF($A1948="","",TRIM(IF(ISERROR(FIND(",",$C1948)),$C1948,LEFT($C1948,FIND(",",$C1948)-1))))</f>
        <v/>
      </c>
      <c r="M1948" s="28">
        <f>IF($H1948="","",DATE(YEAR($H1948),MONTH($H1948),1))</f>
        <v/>
      </c>
      <c r="N1948" s="26">
        <f>IF($H1948="","",TODAY()-$H1948)</f>
        <v/>
      </c>
      <c r="O1948" s="15" t="n"/>
      <c r="P1948" s="15" t="n"/>
      <c r="Q1948" s="15" t="n"/>
      <c r="R1948" s="25" t="n"/>
      <c r="S1948" s="26">
        <f>IF($A1948="","",AND(OR('Assignment Builder'!$B$5="",$B1948='Assignment Builder'!$B$5),OR('Assignment Builder'!$B$6="",ISNUMBER(SEARCH('Assignment Builder'!$B$6,$C1948))),OR('Assignment Builder'!$B$7="",'Assignment Builder'!$B$7=IFERROR(INDEX('Category Dictionary'!$C$5:$C$135,MATCH($L1948,'Category Dictionary'!$D$5:$D$135,0)),"")),OR('Assignment Builder'!$B$8="",$D1948='Assignment Builder'!$B$8),OR('Assignment Builder'!$B$9="",$F1948='Assignment Builder'!$B$9),OR('Assignment Builder'!$B$10="",$O1948='Assignment Builder'!$B$10),OR('Assignment Builder'!$B$11="",$H1948&gt;='Assignment Builder'!$B$11),OR('Assignment Builder'!$B$12="",N($Q1948)&lt;='Assignment Builder'!$B$12)))</f>
        <v/>
      </c>
      <c r="T1948" s="23" t="n"/>
    </row>
    <row r="1949">
      <c r="A1949" s="23" t="n"/>
      <c r="B1949" s="23" t="n"/>
      <c r="C1949" s="24" t="n"/>
      <c r="D1949" s="15" t="n"/>
      <c r="E1949" s="23" t="n"/>
      <c r="F1949" s="15" t="n"/>
      <c r="G1949" s="23" t="n"/>
      <c r="H1949" s="25" t="n"/>
      <c r="I1949" s="15" t="n"/>
      <c r="J1949" s="26">
        <f>IF($A1949="","",LEN($C1949)-LEN(SUBSTITUTE($C1949,",",""))+1)</f>
        <v/>
      </c>
      <c r="K1949" s="26">
        <f>IF($A1949="","",SUMPRODUCT(--ISNUMBER(SEARCH('Category Dictionary'!$D$5:$D$135&amp;"",$C1949)),--('Category Dictionary'!$D$5:$D$135&lt;&gt;"")))</f>
        <v/>
      </c>
      <c r="L1949" s="27">
        <f>IF($A1949="","",TRIM(IF(ISERROR(FIND(",",$C1949)),$C1949,LEFT($C1949,FIND(",",$C1949)-1))))</f>
        <v/>
      </c>
      <c r="M1949" s="28">
        <f>IF($H1949="","",DATE(YEAR($H1949),MONTH($H1949),1))</f>
        <v/>
      </c>
      <c r="N1949" s="26">
        <f>IF($H1949="","",TODAY()-$H1949)</f>
        <v/>
      </c>
      <c r="O1949" s="15" t="n"/>
      <c r="P1949" s="15" t="n"/>
      <c r="Q1949" s="15" t="n"/>
      <c r="R1949" s="25" t="n"/>
      <c r="S1949" s="26">
        <f>IF($A1949="","",AND(OR('Assignment Builder'!$B$5="",$B1949='Assignment Builder'!$B$5),OR('Assignment Builder'!$B$6="",ISNUMBER(SEARCH('Assignment Builder'!$B$6,$C1949))),OR('Assignment Builder'!$B$7="",'Assignment Builder'!$B$7=IFERROR(INDEX('Category Dictionary'!$C$5:$C$135,MATCH($L1949,'Category Dictionary'!$D$5:$D$135,0)),"")),OR('Assignment Builder'!$B$8="",$D1949='Assignment Builder'!$B$8),OR('Assignment Builder'!$B$9="",$F1949='Assignment Builder'!$B$9),OR('Assignment Builder'!$B$10="",$O1949='Assignment Builder'!$B$10),OR('Assignment Builder'!$B$11="",$H1949&gt;='Assignment Builder'!$B$11),OR('Assignment Builder'!$B$12="",N($Q1949)&lt;='Assignment Builder'!$B$12)))</f>
        <v/>
      </c>
      <c r="T1949" s="23" t="n"/>
    </row>
    <row r="1950">
      <c r="A1950" s="23" t="n"/>
      <c r="B1950" s="23" t="n"/>
      <c r="C1950" s="24" t="n"/>
      <c r="D1950" s="15" t="n"/>
      <c r="E1950" s="23" t="n"/>
      <c r="F1950" s="15" t="n"/>
      <c r="G1950" s="23" t="n"/>
      <c r="H1950" s="25" t="n"/>
      <c r="I1950" s="15" t="n"/>
      <c r="J1950" s="26">
        <f>IF($A1950="","",LEN($C1950)-LEN(SUBSTITUTE($C1950,",",""))+1)</f>
        <v/>
      </c>
      <c r="K1950" s="26">
        <f>IF($A1950="","",SUMPRODUCT(--ISNUMBER(SEARCH('Category Dictionary'!$D$5:$D$135&amp;"",$C1950)),--('Category Dictionary'!$D$5:$D$135&lt;&gt;"")))</f>
        <v/>
      </c>
      <c r="L1950" s="27">
        <f>IF($A1950="","",TRIM(IF(ISERROR(FIND(",",$C1950)),$C1950,LEFT($C1950,FIND(",",$C1950)-1))))</f>
        <v/>
      </c>
      <c r="M1950" s="28">
        <f>IF($H1950="","",DATE(YEAR($H1950),MONTH($H1950),1))</f>
        <v/>
      </c>
      <c r="N1950" s="26">
        <f>IF($H1950="","",TODAY()-$H1950)</f>
        <v/>
      </c>
      <c r="O1950" s="15" t="n"/>
      <c r="P1950" s="15" t="n"/>
      <c r="Q1950" s="15" t="n"/>
      <c r="R1950" s="25" t="n"/>
      <c r="S1950" s="26">
        <f>IF($A1950="","",AND(OR('Assignment Builder'!$B$5="",$B1950='Assignment Builder'!$B$5),OR('Assignment Builder'!$B$6="",ISNUMBER(SEARCH('Assignment Builder'!$B$6,$C1950))),OR('Assignment Builder'!$B$7="",'Assignment Builder'!$B$7=IFERROR(INDEX('Category Dictionary'!$C$5:$C$135,MATCH($L1950,'Category Dictionary'!$D$5:$D$135,0)),"")),OR('Assignment Builder'!$B$8="",$D1950='Assignment Builder'!$B$8),OR('Assignment Builder'!$B$9="",$F1950='Assignment Builder'!$B$9),OR('Assignment Builder'!$B$10="",$O1950='Assignment Builder'!$B$10),OR('Assignment Builder'!$B$11="",$H1950&gt;='Assignment Builder'!$B$11),OR('Assignment Builder'!$B$12="",N($Q1950)&lt;='Assignment Builder'!$B$12)))</f>
        <v/>
      </c>
      <c r="T1950" s="23" t="n"/>
    </row>
    <row r="1951">
      <c r="A1951" s="23" t="n"/>
      <c r="B1951" s="23" t="n"/>
      <c r="C1951" s="24" t="n"/>
      <c r="D1951" s="15" t="n"/>
      <c r="E1951" s="23" t="n"/>
      <c r="F1951" s="15" t="n"/>
      <c r="G1951" s="23" t="n"/>
      <c r="H1951" s="25" t="n"/>
      <c r="I1951" s="15" t="n"/>
      <c r="J1951" s="26">
        <f>IF($A1951="","",LEN($C1951)-LEN(SUBSTITUTE($C1951,",",""))+1)</f>
        <v/>
      </c>
      <c r="K1951" s="26">
        <f>IF($A1951="","",SUMPRODUCT(--ISNUMBER(SEARCH('Category Dictionary'!$D$5:$D$135&amp;"",$C1951)),--('Category Dictionary'!$D$5:$D$135&lt;&gt;"")))</f>
        <v/>
      </c>
      <c r="L1951" s="27">
        <f>IF($A1951="","",TRIM(IF(ISERROR(FIND(",",$C1951)),$C1951,LEFT($C1951,FIND(",",$C1951)-1))))</f>
        <v/>
      </c>
      <c r="M1951" s="28">
        <f>IF($H1951="","",DATE(YEAR($H1951),MONTH($H1951),1))</f>
        <v/>
      </c>
      <c r="N1951" s="26">
        <f>IF($H1951="","",TODAY()-$H1951)</f>
        <v/>
      </c>
      <c r="O1951" s="15" t="n"/>
      <c r="P1951" s="15" t="n"/>
      <c r="Q1951" s="15" t="n"/>
      <c r="R1951" s="25" t="n"/>
      <c r="S1951" s="26">
        <f>IF($A1951="","",AND(OR('Assignment Builder'!$B$5="",$B1951='Assignment Builder'!$B$5),OR('Assignment Builder'!$B$6="",ISNUMBER(SEARCH('Assignment Builder'!$B$6,$C1951))),OR('Assignment Builder'!$B$7="",'Assignment Builder'!$B$7=IFERROR(INDEX('Category Dictionary'!$C$5:$C$135,MATCH($L1951,'Category Dictionary'!$D$5:$D$135,0)),"")),OR('Assignment Builder'!$B$8="",$D1951='Assignment Builder'!$B$8),OR('Assignment Builder'!$B$9="",$F1951='Assignment Builder'!$B$9),OR('Assignment Builder'!$B$10="",$O1951='Assignment Builder'!$B$10),OR('Assignment Builder'!$B$11="",$H1951&gt;='Assignment Builder'!$B$11),OR('Assignment Builder'!$B$12="",N($Q1951)&lt;='Assignment Builder'!$B$12)))</f>
        <v/>
      </c>
      <c r="T1951" s="23" t="n"/>
    </row>
    <row r="1952">
      <c r="A1952" s="23" t="n"/>
      <c r="B1952" s="23" t="n"/>
      <c r="C1952" s="24" t="n"/>
      <c r="D1952" s="15" t="n"/>
      <c r="E1952" s="23" t="n"/>
      <c r="F1952" s="15" t="n"/>
      <c r="G1952" s="23" t="n"/>
      <c r="H1952" s="25" t="n"/>
      <c r="I1952" s="15" t="n"/>
      <c r="J1952" s="26">
        <f>IF($A1952="","",LEN($C1952)-LEN(SUBSTITUTE($C1952,",",""))+1)</f>
        <v/>
      </c>
      <c r="K1952" s="26">
        <f>IF($A1952="","",SUMPRODUCT(--ISNUMBER(SEARCH('Category Dictionary'!$D$5:$D$135&amp;"",$C1952)),--('Category Dictionary'!$D$5:$D$135&lt;&gt;"")))</f>
        <v/>
      </c>
      <c r="L1952" s="27">
        <f>IF($A1952="","",TRIM(IF(ISERROR(FIND(",",$C1952)),$C1952,LEFT($C1952,FIND(",",$C1952)-1))))</f>
        <v/>
      </c>
      <c r="M1952" s="28">
        <f>IF($H1952="","",DATE(YEAR($H1952),MONTH($H1952),1))</f>
        <v/>
      </c>
      <c r="N1952" s="26">
        <f>IF($H1952="","",TODAY()-$H1952)</f>
        <v/>
      </c>
      <c r="O1952" s="15" t="n"/>
      <c r="P1952" s="15" t="n"/>
      <c r="Q1952" s="15" t="n"/>
      <c r="R1952" s="25" t="n"/>
      <c r="S1952" s="26">
        <f>IF($A1952="","",AND(OR('Assignment Builder'!$B$5="",$B1952='Assignment Builder'!$B$5),OR('Assignment Builder'!$B$6="",ISNUMBER(SEARCH('Assignment Builder'!$B$6,$C1952))),OR('Assignment Builder'!$B$7="",'Assignment Builder'!$B$7=IFERROR(INDEX('Category Dictionary'!$C$5:$C$135,MATCH($L1952,'Category Dictionary'!$D$5:$D$135,0)),"")),OR('Assignment Builder'!$B$8="",$D1952='Assignment Builder'!$B$8),OR('Assignment Builder'!$B$9="",$F1952='Assignment Builder'!$B$9),OR('Assignment Builder'!$B$10="",$O1952='Assignment Builder'!$B$10),OR('Assignment Builder'!$B$11="",$H1952&gt;='Assignment Builder'!$B$11),OR('Assignment Builder'!$B$12="",N($Q1952)&lt;='Assignment Builder'!$B$12)))</f>
        <v/>
      </c>
      <c r="T1952" s="23" t="n"/>
    </row>
    <row r="1953">
      <c r="A1953" s="23" t="n"/>
      <c r="B1953" s="23" t="n"/>
      <c r="C1953" s="24" t="n"/>
      <c r="D1953" s="15" t="n"/>
      <c r="E1953" s="23" t="n"/>
      <c r="F1953" s="15" t="n"/>
      <c r="G1953" s="23" t="n"/>
      <c r="H1953" s="25" t="n"/>
      <c r="I1953" s="15" t="n"/>
      <c r="J1953" s="26">
        <f>IF($A1953="","",LEN($C1953)-LEN(SUBSTITUTE($C1953,",",""))+1)</f>
        <v/>
      </c>
      <c r="K1953" s="26">
        <f>IF($A1953="","",SUMPRODUCT(--ISNUMBER(SEARCH('Category Dictionary'!$D$5:$D$135&amp;"",$C1953)),--('Category Dictionary'!$D$5:$D$135&lt;&gt;"")))</f>
        <v/>
      </c>
      <c r="L1953" s="27">
        <f>IF($A1953="","",TRIM(IF(ISERROR(FIND(",",$C1953)),$C1953,LEFT($C1953,FIND(",",$C1953)-1))))</f>
        <v/>
      </c>
      <c r="M1953" s="28">
        <f>IF($H1953="","",DATE(YEAR($H1953),MONTH($H1953),1))</f>
        <v/>
      </c>
      <c r="N1953" s="26">
        <f>IF($H1953="","",TODAY()-$H1953)</f>
        <v/>
      </c>
      <c r="O1953" s="15" t="n"/>
      <c r="P1953" s="15" t="n"/>
      <c r="Q1953" s="15" t="n"/>
      <c r="R1953" s="25" t="n"/>
      <c r="S1953" s="26">
        <f>IF($A1953="","",AND(OR('Assignment Builder'!$B$5="",$B1953='Assignment Builder'!$B$5),OR('Assignment Builder'!$B$6="",ISNUMBER(SEARCH('Assignment Builder'!$B$6,$C1953))),OR('Assignment Builder'!$B$7="",'Assignment Builder'!$B$7=IFERROR(INDEX('Category Dictionary'!$C$5:$C$135,MATCH($L1953,'Category Dictionary'!$D$5:$D$135,0)),"")),OR('Assignment Builder'!$B$8="",$D1953='Assignment Builder'!$B$8),OR('Assignment Builder'!$B$9="",$F1953='Assignment Builder'!$B$9),OR('Assignment Builder'!$B$10="",$O1953='Assignment Builder'!$B$10),OR('Assignment Builder'!$B$11="",$H1953&gt;='Assignment Builder'!$B$11),OR('Assignment Builder'!$B$12="",N($Q1953)&lt;='Assignment Builder'!$B$12)))</f>
        <v/>
      </c>
      <c r="T1953" s="23" t="n"/>
    </row>
    <row r="1954">
      <c r="A1954" s="23" t="n"/>
      <c r="B1954" s="23" t="n"/>
      <c r="C1954" s="24" t="n"/>
      <c r="D1954" s="15" t="n"/>
      <c r="E1954" s="23" t="n"/>
      <c r="F1954" s="15" t="n"/>
      <c r="G1954" s="23" t="n"/>
      <c r="H1954" s="25" t="n"/>
      <c r="I1954" s="15" t="n"/>
      <c r="J1954" s="26">
        <f>IF($A1954="","",LEN($C1954)-LEN(SUBSTITUTE($C1954,",",""))+1)</f>
        <v/>
      </c>
      <c r="K1954" s="26">
        <f>IF($A1954="","",SUMPRODUCT(--ISNUMBER(SEARCH('Category Dictionary'!$D$5:$D$135&amp;"",$C1954)),--('Category Dictionary'!$D$5:$D$135&lt;&gt;"")))</f>
        <v/>
      </c>
      <c r="L1954" s="27">
        <f>IF($A1954="","",TRIM(IF(ISERROR(FIND(",",$C1954)),$C1954,LEFT($C1954,FIND(",",$C1954)-1))))</f>
        <v/>
      </c>
      <c r="M1954" s="28">
        <f>IF($H1954="","",DATE(YEAR($H1954),MONTH($H1954),1))</f>
        <v/>
      </c>
      <c r="N1954" s="26">
        <f>IF($H1954="","",TODAY()-$H1954)</f>
        <v/>
      </c>
      <c r="O1954" s="15" t="n"/>
      <c r="P1954" s="15" t="n"/>
      <c r="Q1954" s="15" t="n"/>
      <c r="R1954" s="25" t="n"/>
      <c r="S1954" s="26">
        <f>IF($A1954="","",AND(OR('Assignment Builder'!$B$5="",$B1954='Assignment Builder'!$B$5),OR('Assignment Builder'!$B$6="",ISNUMBER(SEARCH('Assignment Builder'!$B$6,$C1954))),OR('Assignment Builder'!$B$7="",'Assignment Builder'!$B$7=IFERROR(INDEX('Category Dictionary'!$C$5:$C$135,MATCH($L1954,'Category Dictionary'!$D$5:$D$135,0)),"")),OR('Assignment Builder'!$B$8="",$D1954='Assignment Builder'!$B$8),OR('Assignment Builder'!$B$9="",$F1954='Assignment Builder'!$B$9),OR('Assignment Builder'!$B$10="",$O1954='Assignment Builder'!$B$10),OR('Assignment Builder'!$B$11="",$H1954&gt;='Assignment Builder'!$B$11),OR('Assignment Builder'!$B$12="",N($Q1954)&lt;='Assignment Builder'!$B$12)))</f>
        <v/>
      </c>
      <c r="T1954" s="23" t="n"/>
    </row>
    <row r="1955">
      <c r="A1955" s="23" t="n"/>
      <c r="B1955" s="23" t="n"/>
      <c r="C1955" s="24" t="n"/>
      <c r="D1955" s="15" t="n"/>
      <c r="E1955" s="23" t="n"/>
      <c r="F1955" s="15" t="n"/>
      <c r="G1955" s="23" t="n"/>
      <c r="H1955" s="25" t="n"/>
      <c r="I1955" s="15" t="n"/>
      <c r="J1955" s="26">
        <f>IF($A1955="","",LEN($C1955)-LEN(SUBSTITUTE($C1955,",",""))+1)</f>
        <v/>
      </c>
      <c r="K1955" s="26">
        <f>IF($A1955="","",SUMPRODUCT(--ISNUMBER(SEARCH('Category Dictionary'!$D$5:$D$135&amp;"",$C1955)),--('Category Dictionary'!$D$5:$D$135&lt;&gt;"")))</f>
        <v/>
      </c>
      <c r="L1955" s="27">
        <f>IF($A1955="","",TRIM(IF(ISERROR(FIND(",",$C1955)),$C1955,LEFT($C1955,FIND(",",$C1955)-1))))</f>
        <v/>
      </c>
      <c r="M1955" s="28">
        <f>IF($H1955="","",DATE(YEAR($H1955),MONTH($H1955),1))</f>
        <v/>
      </c>
      <c r="N1955" s="26">
        <f>IF($H1955="","",TODAY()-$H1955)</f>
        <v/>
      </c>
      <c r="O1955" s="15" t="n"/>
      <c r="P1955" s="15" t="n"/>
      <c r="Q1955" s="15" t="n"/>
      <c r="R1955" s="25" t="n"/>
      <c r="S1955" s="26">
        <f>IF($A1955="","",AND(OR('Assignment Builder'!$B$5="",$B1955='Assignment Builder'!$B$5),OR('Assignment Builder'!$B$6="",ISNUMBER(SEARCH('Assignment Builder'!$B$6,$C1955))),OR('Assignment Builder'!$B$7="",'Assignment Builder'!$B$7=IFERROR(INDEX('Category Dictionary'!$C$5:$C$135,MATCH($L1955,'Category Dictionary'!$D$5:$D$135,0)),"")),OR('Assignment Builder'!$B$8="",$D1955='Assignment Builder'!$B$8),OR('Assignment Builder'!$B$9="",$F1955='Assignment Builder'!$B$9),OR('Assignment Builder'!$B$10="",$O1955='Assignment Builder'!$B$10),OR('Assignment Builder'!$B$11="",$H1955&gt;='Assignment Builder'!$B$11),OR('Assignment Builder'!$B$12="",N($Q1955)&lt;='Assignment Builder'!$B$12)))</f>
        <v/>
      </c>
      <c r="T1955" s="23" t="n"/>
    </row>
    <row r="1956">
      <c r="A1956" s="23" t="n"/>
      <c r="B1956" s="23" t="n"/>
      <c r="C1956" s="24" t="n"/>
      <c r="D1956" s="15" t="n"/>
      <c r="E1956" s="23" t="n"/>
      <c r="F1956" s="15" t="n"/>
      <c r="G1956" s="23" t="n"/>
      <c r="H1956" s="25" t="n"/>
      <c r="I1956" s="15" t="n"/>
      <c r="J1956" s="26">
        <f>IF($A1956="","",LEN($C1956)-LEN(SUBSTITUTE($C1956,",",""))+1)</f>
        <v/>
      </c>
      <c r="K1956" s="26">
        <f>IF($A1956="","",SUMPRODUCT(--ISNUMBER(SEARCH('Category Dictionary'!$D$5:$D$135&amp;"",$C1956)),--('Category Dictionary'!$D$5:$D$135&lt;&gt;"")))</f>
        <v/>
      </c>
      <c r="L1956" s="27">
        <f>IF($A1956="","",TRIM(IF(ISERROR(FIND(",",$C1956)),$C1956,LEFT($C1956,FIND(",",$C1956)-1))))</f>
        <v/>
      </c>
      <c r="M1956" s="28">
        <f>IF($H1956="","",DATE(YEAR($H1956),MONTH($H1956),1))</f>
        <v/>
      </c>
      <c r="N1956" s="26">
        <f>IF($H1956="","",TODAY()-$H1956)</f>
        <v/>
      </c>
      <c r="O1956" s="15" t="n"/>
      <c r="P1956" s="15" t="n"/>
      <c r="Q1956" s="15" t="n"/>
      <c r="R1956" s="25" t="n"/>
      <c r="S1956" s="26">
        <f>IF($A1956="","",AND(OR('Assignment Builder'!$B$5="",$B1956='Assignment Builder'!$B$5),OR('Assignment Builder'!$B$6="",ISNUMBER(SEARCH('Assignment Builder'!$B$6,$C1956))),OR('Assignment Builder'!$B$7="",'Assignment Builder'!$B$7=IFERROR(INDEX('Category Dictionary'!$C$5:$C$135,MATCH($L1956,'Category Dictionary'!$D$5:$D$135,0)),"")),OR('Assignment Builder'!$B$8="",$D1956='Assignment Builder'!$B$8),OR('Assignment Builder'!$B$9="",$F1956='Assignment Builder'!$B$9),OR('Assignment Builder'!$B$10="",$O1956='Assignment Builder'!$B$10),OR('Assignment Builder'!$B$11="",$H1956&gt;='Assignment Builder'!$B$11),OR('Assignment Builder'!$B$12="",N($Q1956)&lt;='Assignment Builder'!$B$12)))</f>
        <v/>
      </c>
      <c r="T1956" s="23" t="n"/>
    </row>
    <row r="1957">
      <c r="A1957" s="23" t="n"/>
      <c r="B1957" s="23" t="n"/>
      <c r="C1957" s="24" t="n"/>
      <c r="D1957" s="15" t="n"/>
      <c r="E1957" s="23" t="n"/>
      <c r="F1957" s="15" t="n"/>
      <c r="G1957" s="23" t="n"/>
      <c r="H1957" s="25" t="n"/>
      <c r="I1957" s="15" t="n"/>
      <c r="J1957" s="26">
        <f>IF($A1957="","",LEN($C1957)-LEN(SUBSTITUTE($C1957,",",""))+1)</f>
        <v/>
      </c>
      <c r="K1957" s="26">
        <f>IF($A1957="","",SUMPRODUCT(--ISNUMBER(SEARCH('Category Dictionary'!$D$5:$D$135&amp;"",$C1957)),--('Category Dictionary'!$D$5:$D$135&lt;&gt;"")))</f>
        <v/>
      </c>
      <c r="L1957" s="27">
        <f>IF($A1957="","",TRIM(IF(ISERROR(FIND(",",$C1957)),$C1957,LEFT($C1957,FIND(",",$C1957)-1))))</f>
        <v/>
      </c>
      <c r="M1957" s="28">
        <f>IF($H1957="","",DATE(YEAR($H1957),MONTH($H1957),1))</f>
        <v/>
      </c>
      <c r="N1957" s="26">
        <f>IF($H1957="","",TODAY()-$H1957)</f>
        <v/>
      </c>
      <c r="O1957" s="15" t="n"/>
      <c r="P1957" s="15" t="n"/>
      <c r="Q1957" s="15" t="n"/>
      <c r="R1957" s="25" t="n"/>
      <c r="S1957" s="26">
        <f>IF($A1957="","",AND(OR('Assignment Builder'!$B$5="",$B1957='Assignment Builder'!$B$5),OR('Assignment Builder'!$B$6="",ISNUMBER(SEARCH('Assignment Builder'!$B$6,$C1957))),OR('Assignment Builder'!$B$7="",'Assignment Builder'!$B$7=IFERROR(INDEX('Category Dictionary'!$C$5:$C$135,MATCH($L1957,'Category Dictionary'!$D$5:$D$135,0)),"")),OR('Assignment Builder'!$B$8="",$D1957='Assignment Builder'!$B$8),OR('Assignment Builder'!$B$9="",$F1957='Assignment Builder'!$B$9),OR('Assignment Builder'!$B$10="",$O1957='Assignment Builder'!$B$10),OR('Assignment Builder'!$B$11="",$H1957&gt;='Assignment Builder'!$B$11),OR('Assignment Builder'!$B$12="",N($Q1957)&lt;='Assignment Builder'!$B$12)))</f>
        <v/>
      </c>
      <c r="T1957" s="23" t="n"/>
    </row>
    <row r="1958">
      <c r="A1958" s="23" t="n"/>
      <c r="B1958" s="23" t="n"/>
      <c r="C1958" s="24" t="n"/>
      <c r="D1958" s="15" t="n"/>
      <c r="E1958" s="23" t="n"/>
      <c r="F1958" s="15" t="n"/>
      <c r="G1958" s="23" t="n"/>
      <c r="H1958" s="25" t="n"/>
      <c r="I1958" s="15" t="n"/>
      <c r="J1958" s="26">
        <f>IF($A1958="","",LEN($C1958)-LEN(SUBSTITUTE($C1958,",",""))+1)</f>
        <v/>
      </c>
      <c r="K1958" s="26">
        <f>IF($A1958="","",SUMPRODUCT(--ISNUMBER(SEARCH('Category Dictionary'!$D$5:$D$135&amp;"",$C1958)),--('Category Dictionary'!$D$5:$D$135&lt;&gt;"")))</f>
        <v/>
      </c>
      <c r="L1958" s="27">
        <f>IF($A1958="","",TRIM(IF(ISERROR(FIND(",",$C1958)),$C1958,LEFT($C1958,FIND(",",$C1958)-1))))</f>
        <v/>
      </c>
      <c r="M1958" s="28">
        <f>IF($H1958="","",DATE(YEAR($H1958),MONTH($H1958),1))</f>
        <v/>
      </c>
      <c r="N1958" s="26">
        <f>IF($H1958="","",TODAY()-$H1958)</f>
        <v/>
      </c>
      <c r="O1958" s="15" t="n"/>
      <c r="P1958" s="15" t="n"/>
      <c r="Q1958" s="15" t="n"/>
      <c r="R1958" s="25" t="n"/>
      <c r="S1958" s="26">
        <f>IF($A1958="","",AND(OR('Assignment Builder'!$B$5="",$B1958='Assignment Builder'!$B$5),OR('Assignment Builder'!$B$6="",ISNUMBER(SEARCH('Assignment Builder'!$B$6,$C1958))),OR('Assignment Builder'!$B$7="",'Assignment Builder'!$B$7=IFERROR(INDEX('Category Dictionary'!$C$5:$C$135,MATCH($L1958,'Category Dictionary'!$D$5:$D$135,0)),"")),OR('Assignment Builder'!$B$8="",$D1958='Assignment Builder'!$B$8),OR('Assignment Builder'!$B$9="",$F1958='Assignment Builder'!$B$9),OR('Assignment Builder'!$B$10="",$O1958='Assignment Builder'!$B$10),OR('Assignment Builder'!$B$11="",$H1958&gt;='Assignment Builder'!$B$11),OR('Assignment Builder'!$B$12="",N($Q1958)&lt;='Assignment Builder'!$B$12)))</f>
        <v/>
      </c>
      <c r="T1958" s="23" t="n"/>
    </row>
    <row r="1959">
      <c r="A1959" s="23" t="n"/>
      <c r="B1959" s="23" t="n"/>
      <c r="C1959" s="24" t="n"/>
      <c r="D1959" s="15" t="n"/>
      <c r="E1959" s="23" t="n"/>
      <c r="F1959" s="15" t="n"/>
      <c r="G1959" s="23" t="n"/>
      <c r="H1959" s="25" t="n"/>
      <c r="I1959" s="15" t="n"/>
      <c r="J1959" s="26">
        <f>IF($A1959="","",LEN($C1959)-LEN(SUBSTITUTE($C1959,",",""))+1)</f>
        <v/>
      </c>
      <c r="K1959" s="26">
        <f>IF($A1959="","",SUMPRODUCT(--ISNUMBER(SEARCH('Category Dictionary'!$D$5:$D$135&amp;"",$C1959)),--('Category Dictionary'!$D$5:$D$135&lt;&gt;"")))</f>
        <v/>
      </c>
      <c r="L1959" s="27">
        <f>IF($A1959="","",TRIM(IF(ISERROR(FIND(",",$C1959)),$C1959,LEFT($C1959,FIND(",",$C1959)-1))))</f>
        <v/>
      </c>
      <c r="M1959" s="28">
        <f>IF($H1959="","",DATE(YEAR($H1959),MONTH($H1959),1))</f>
        <v/>
      </c>
      <c r="N1959" s="26">
        <f>IF($H1959="","",TODAY()-$H1959)</f>
        <v/>
      </c>
      <c r="O1959" s="15" t="n"/>
      <c r="P1959" s="15" t="n"/>
      <c r="Q1959" s="15" t="n"/>
      <c r="R1959" s="25" t="n"/>
      <c r="S1959" s="26">
        <f>IF($A1959="","",AND(OR('Assignment Builder'!$B$5="",$B1959='Assignment Builder'!$B$5),OR('Assignment Builder'!$B$6="",ISNUMBER(SEARCH('Assignment Builder'!$B$6,$C1959))),OR('Assignment Builder'!$B$7="",'Assignment Builder'!$B$7=IFERROR(INDEX('Category Dictionary'!$C$5:$C$135,MATCH($L1959,'Category Dictionary'!$D$5:$D$135,0)),"")),OR('Assignment Builder'!$B$8="",$D1959='Assignment Builder'!$B$8),OR('Assignment Builder'!$B$9="",$F1959='Assignment Builder'!$B$9),OR('Assignment Builder'!$B$10="",$O1959='Assignment Builder'!$B$10),OR('Assignment Builder'!$B$11="",$H1959&gt;='Assignment Builder'!$B$11),OR('Assignment Builder'!$B$12="",N($Q1959)&lt;='Assignment Builder'!$B$12)))</f>
        <v/>
      </c>
      <c r="T1959" s="23" t="n"/>
    </row>
    <row r="1960">
      <c r="A1960" s="23" t="n"/>
      <c r="B1960" s="23" t="n"/>
      <c r="C1960" s="24" t="n"/>
      <c r="D1960" s="15" t="n"/>
      <c r="E1960" s="23" t="n"/>
      <c r="F1960" s="15" t="n"/>
      <c r="G1960" s="23" t="n"/>
      <c r="H1960" s="25" t="n"/>
      <c r="I1960" s="15" t="n"/>
      <c r="J1960" s="26">
        <f>IF($A1960="","",LEN($C1960)-LEN(SUBSTITUTE($C1960,",",""))+1)</f>
        <v/>
      </c>
      <c r="K1960" s="26">
        <f>IF($A1960="","",SUMPRODUCT(--ISNUMBER(SEARCH('Category Dictionary'!$D$5:$D$135&amp;"",$C1960)),--('Category Dictionary'!$D$5:$D$135&lt;&gt;"")))</f>
        <v/>
      </c>
      <c r="L1960" s="27">
        <f>IF($A1960="","",TRIM(IF(ISERROR(FIND(",",$C1960)),$C1960,LEFT($C1960,FIND(",",$C1960)-1))))</f>
        <v/>
      </c>
      <c r="M1960" s="28">
        <f>IF($H1960="","",DATE(YEAR($H1960),MONTH($H1960),1))</f>
        <v/>
      </c>
      <c r="N1960" s="26">
        <f>IF($H1960="","",TODAY()-$H1960)</f>
        <v/>
      </c>
      <c r="O1960" s="15" t="n"/>
      <c r="P1960" s="15" t="n"/>
      <c r="Q1960" s="15" t="n"/>
      <c r="R1960" s="25" t="n"/>
      <c r="S1960" s="26">
        <f>IF($A1960="","",AND(OR('Assignment Builder'!$B$5="",$B1960='Assignment Builder'!$B$5),OR('Assignment Builder'!$B$6="",ISNUMBER(SEARCH('Assignment Builder'!$B$6,$C1960))),OR('Assignment Builder'!$B$7="",'Assignment Builder'!$B$7=IFERROR(INDEX('Category Dictionary'!$C$5:$C$135,MATCH($L1960,'Category Dictionary'!$D$5:$D$135,0)),"")),OR('Assignment Builder'!$B$8="",$D1960='Assignment Builder'!$B$8),OR('Assignment Builder'!$B$9="",$F1960='Assignment Builder'!$B$9),OR('Assignment Builder'!$B$10="",$O1960='Assignment Builder'!$B$10),OR('Assignment Builder'!$B$11="",$H1960&gt;='Assignment Builder'!$B$11),OR('Assignment Builder'!$B$12="",N($Q1960)&lt;='Assignment Builder'!$B$12)))</f>
        <v/>
      </c>
      <c r="T1960" s="23" t="n"/>
    </row>
    <row r="1961">
      <c r="A1961" s="23" t="n"/>
      <c r="B1961" s="23" t="n"/>
      <c r="C1961" s="24" t="n"/>
      <c r="D1961" s="15" t="n"/>
      <c r="E1961" s="23" t="n"/>
      <c r="F1961" s="15" t="n"/>
      <c r="G1961" s="23" t="n"/>
      <c r="H1961" s="25" t="n"/>
      <c r="I1961" s="15" t="n"/>
      <c r="J1961" s="26">
        <f>IF($A1961="","",LEN($C1961)-LEN(SUBSTITUTE($C1961,",",""))+1)</f>
        <v/>
      </c>
      <c r="K1961" s="26">
        <f>IF($A1961="","",SUMPRODUCT(--ISNUMBER(SEARCH('Category Dictionary'!$D$5:$D$135&amp;"",$C1961)),--('Category Dictionary'!$D$5:$D$135&lt;&gt;"")))</f>
        <v/>
      </c>
      <c r="L1961" s="27">
        <f>IF($A1961="","",TRIM(IF(ISERROR(FIND(",",$C1961)),$C1961,LEFT($C1961,FIND(",",$C1961)-1))))</f>
        <v/>
      </c>
      <c r="M1961" s="28">
        <f>IF($H1961="","",DATE(YEAR($H1961),MONTH($H1961),1))</f>
        <v/>
      </c>
      <c r="N1961" s="26">
        <f>IF($H1961="","",TODAY()-$H1961)</f>
        <v/>
      </c>
      <c r="O1961" s="15" t="n"/>
      <c r="P1961" s="15" t="n"/>
      <c r="Q1961" s="15" t="n"/>
      <c r="R1961" s="25" t="n"/>
      <c r="S1961" s="26">
        <f>IF($A1961="","",AND(OR('Assignment Builder'!$B$5="",$B1961='Assignment Builder'!$B$5),OR('Assignment Builder'!$B$6="",ISNUMBER(SEARCH('Assignment Builder'!$B$6,$C1961))),OR('Assignment Builder'!$B$7="",'Assignment Builder'!$B$7=IFERROR(INDEX('Category Dictionary'!$C$5:$C$135,MATCH($L1961,'Category Dictionary'!$D$5:$D$135,0)),"")),OR('Assignment Builder'!$B$8="",$D1961='Assignment Builder'!$B$8),OR('Assignment Builder'!$B$9="",$F1961='Assignment Builder'!$B$9),OR('Assignment Builder'!$B$10="",$O1961='Assignment Builder'!$B$10),OR('Assignment Builder'!$B$11="",$H1961&gt;='Assignment Builder'!$B$11),OR('Assignment Builder'!$B$12="",N($Q1961)&lt;='Assignment Builder'!$B$12)))</f>
        <v/>
      </c>
      <c r="T1961" s="23" t="n"/>
    </row>
    <row r="1962">
      <c r="A1962" s="23" t="n"/>
      <c r="B1962" s="23" t="n"/>
      <c r="C1962" s="24" t="n"/>
      <c r="D1962" s="15" t="n"/>
      <c r="E1962" s="23" t="n"/>
      <c r="F1962" s="15" t="n"/>
      <c r="G1962" s="23" t="n"/>
      <c r="H1962" s="25" t="n"/>
      <c r="I1962" s="15" t="n"/>
      <c r="J1962" s="26">
        <f>IF($A1962="","",LEN($C1962)-LEN(SUBSTITUTE($C1962,",",""))+1)</f>
        <v/>
      </c>
      <c r="K1962" s="26">
        <f>IF($A1962="","",SUMPRODUCT(--ISNUMBER(SEARCH('Category Dictionary'!$D$5:$D$135&amp;"",$C1962)),--('Category Dictionary'!$D$5:$D$135&lt;&gt;"")))</f>
        <v/>
      </c>
      <c r="L1962" s="27">
        <f>IF($A1962="","",TRIM(IF(ISERROR(FIND(",",$C1962)),$C1962,LEFT($C1962,FIND(",",$C1962)-1))))</f>
        <v/>
      </c>
      <c r="M1962" s="28">
        <f>IF($H1962="","",DATE(YEAR($H1962),MONTH($H1962),1))</f>
        <v/>
      </c>
      <c r="N1962" s="26">
        <f>IF($H1962="","",TODAY()-$H1962)</f>
        <v/>
      </c>
      <c r="O1962" s="15" t="n"/>
      <c r="P1962" s="15" t="n"/>
      <c r="Q1962" s="15" t="n"/>
      <c r="R1962" s="25" t="n"/>
      <c r="S1962" s="26">
        <f>IF($A1962="","",AND(OR('Assignment Builder'!$B$5="",$B1962='Assignment Builder'!$B$5),OR('Assignment Builder'!$B$6="",ISNUMBER(SEARCH('Assignment Builder'!$B$6,$C1962))),OR('Assignment Builder'!$B$7="",'Assignment Builder'!$B$7=IFERROR(INDEX('Category Dictionary'!$C$5:$C$135,MATCH($L1962,'Category Dictionary'!$D$5:$D$135,0)),"")),OR('Assignment Builder'!$B$8="",$D1962='Assignment Builder'!$B$8),OR('Assignment Builder'!$B$9="",$F1962='Assignment Builder'!$B$9),OR('Assignment Builder'!$B$10="",$O1962='Assignment Builder'!$B$10),OR('Assignment Builder'!$B$11="",$H1962&gt;='Assignment Builder'!$B$11),OR('Assignment Builder'!$B$12="",N($Q1962)&lt;='Assignment Builder'!$B$12)))</f>
        <v/>
      </c>
      <c r="T1962" s="23" t="n"/>
    </row>
    <row r="1963">
      <c r="A1963" s="23" t="n"/>
      <c r="B1963" s="23" t="n"/>
      <c r="C1963" s="24" t="n"/>
      <c r="D1963" s="15" t="n"/>
      <c r="E1963" s="23" t="n"/>
      <c r="F1963" s="15" t="n"/>
      <c r="G1963" s="23" t="n"/>
      <c r="H1963" s="25" t="n"/>
      <c r="I1963" s="15" t="n"/>
      <c r="J1963" s="26">
        <f>IF($A1963="","",LEN($C1963)-LEN(SUBSTITUTE($C1963,",",""))+1)</f>
        <v/>
      </c>
      <c r="K1963" s="26">
        <f>IF($A1963="","",SUMPRODUCT(--ISNUMBER(SEARCH('Category Dictionary'!$D$5:$D$135&amp;"",$C1963)),--('Category Dictionary'!$D$5:$D$135&lt;&gt;"")))</f>
        <v/>
      </c>
      <c r="L1963" s="27">
        <f>IF($A1963="","",TRIM(IF(ISERROR(FIND(",",$C1963)),$C1963,LEFT($C1963,FIND(",",$C1963)-1))))</f>
        <v/>
      </c>
      <c r="M1963" s="28">
        <f>IF($H1963="","",DATE(YEAR($H1963),MONTH($H1963),1))</f>
        <v/>
      </c>
      <c r="N1963" s="26">
        <f>IF($H1963="","",TODAY()-$H1963)</f>
        <v/>
      </c>
      <c r="O1963" s="15" t="n"/>
      <c r="P1963" s="15" t="n"/>
      <c r="Q1963" s="15" t="n"/>
      <c r="R1963" s="25" t="n"/>
      <c r="S1963" s="26">
        <f>IF($A1963="","",AND(OR('Assignment Builder'!$B$5="",$B1963='Assignment Builder'!$B$5),OR('Assignment Builder'!$B$6="",ISNUMBER(SEARCH('Assignment Builder'!$B$6,$C1963))),OR('Assignment Builder'!$B$7="",'Assignment Builder'!$B$7=IFERROR(INDEX('Category Dictionary'!$C$5:$C$135,MATCH($L1963,'Category Dictionary'!$D$5:$D$135,0)),"")),OR('Assignment Builder'!$B$8="",$D1963='Assignment Builder'!$B$8),OR('Assignment Builder'!$B$9="",$F1963='Assignment Builder'!$B$9),OR('Assignment Builder'!$B$10="",$O1963='Assignment Builder'!$B$10),OR('Assignment Builder'!$B$11="",$H1963&gt;='Assignment Builder'!$B$11),OR('Assignment Builder'!$B$12="",N($Q1963)&lt;='Assignment Builder'!$B$12)))</f>
        <v/>
      </c>
      <c r="T1963" s="23" t="n"/>
    </row>
    <row r="1964">
      <c r="A1964" s="23" t="n"/>
      <c r="B1964" s="23" t="n"/>
      <c r="C1964" s="24" t="n"/>
      <c r="D1964" s="15" t="n"/>
      <c r="E1964" s="23" t="n"/>
      <c r="F1964" s="15" t="n"/>
      <c r="G1964" s="23" t="n"/>
      <c r="H1964" s="25" t="n"/>
      <c r="I1964" s="15" t="n"/>
      <c r="J1964" s="26">
        <f>IF($A1964="","",LEN($C1964)-LEN(SUBSTITUTE($C1964,",",""))+1)</f>
        <v/>
      </c>
      <c r="K1964" s="26">
        <f>IF($A1964="","",SUMPRODUCT(--ISNUMBER(SEARCH('Category Dictionary'!$D$5:$D$135&amp;"",$C1964)),--('Category Dictionary'!$D$5:$D$135&lt;&gt;"")))</f>
        <v/>
      </c>
      <c r="L1964" s="27">
        <f>IF($A1964="","",TRIM(IF(ISERROR(FIND(",",$C1964)),$C1964,LEFT($C1964,FIND(",",$C1964)-1))))</f>
        <v/>
      </c>
      <c r="M1964" s="28">
        <f>IF($H1964="","",DATE(YEAR($H1964),MONTH($H1964),1))</f>
        <v/>
      </c>
      <c r="N1964" s="26">
        <f>IF($H1964="","",TODAY()-$H1964)</f>
        <v/>
      </c>
      <c r="O1964" s="15" t="n"/>
      <c r="P1964" s="15" t="n"/>
      <c r="Q1964" s="15" t="n"/>
      <c r="R1964" s="25" t="n"/>
      <c r="S1964" s="26">
        <f>IF($A1964="","",AND(OR('Assignment Builder'!$B$5="",$B1964='Assignment Builder'!$B$5),OR('Assignment Builder'!$B$6="",ISNUMBER(SEARCH('Assignment Builder'!$B$6,$C1964))),OR('Assignment Builder'!$B$7="",'Assignment Builder'!$B$7=IFERROR(INDEX('Category Dictionary'!$C$5:$C$135,MATCH($L1964,'Category Dictionary'!$D$5:$D$135,0)),"")),OR('Assignment Builder'!$B$8="",$D1964='Assignment Builder'!$B$8),OR('Assignment Builder'!$B$9="",$F1964='Assignment Builder'!$B$9),OR('Assignment Builder'!$B$10="",$O1964='Assignment Builder'!$B$10),OR('Assignment Builder'!$B$11="",$H1964&gt;='Assignment Builder'!$B$11),OR('Assignment Builder'!$B$12="",N($Q1964)&lt;='Assignment Builder'!$B$12)))</f>
        <v/>
      </c>
      <c r="T1964" s="23" t="n"/>
    </row>
    <row r="1965">
      <c r="A1965" s="23" t="n"/>
      <c r="B1965" s="23" t="n"/>
      <c r="C1965" s="24" t="n"/>
      <c r="D1965" s="15" t="n"/>
      <c r="E1965" s="23" t="n"/>
      <c r="F1965" s="15" t="n"/>
      <c r="G1965" s="23" t="n"/>
      <c r="H1965" s="25" t="n"/>
      <c r="I1965" s="15" t="n"/>
      <c r="J1965" s="26">
        <f>IF($A1965="","",LEN($C1965)-LEN(SUBSTITUTE($C1965,",",""))+1)</f>
        <v/>
      </c>
      <c r="K1965" s="26">
        <f>IF($A1965="","",SUMPRODUCT(--ISNUMBER(SEARCH('Category Dictionary'!$D$5:$D$135&amp;"",$C1965)),--('Category Dictionary'!$D$5:$D$135&lt;&gt;"")))</f>
        <v/>
      </c>
      <c r="L1965" s="27">
        <f>IF($A1965="","",TRIM(IF(ISERROR(FIND(",",$C1965)),$C1965,LEFT($C1965,FIND(",",$C1965)-1))))</f>
        <v/>
      </c>
      <c r="M1965" s="28">
        <f>IF($H1965="","",DATE(YEAR($H1965),MONTH($H1965),1))</f>
        <v/>
      </c>
      <c r="N1965" s="26">
        <f>IF($H1965="","",TODAY()-$H1965)</f>
        <v/>
      </c>
      <c r="O1965" s="15" t="n"/>
      <c r="P1965" s="15" t="n"/>
      <c r="Q1965" s="15" t="n"/>
      <c r="R1965" s="25" t="n"/>
      <c r="S1965" s="26">
        <f>IF($A1965="","",AND(OR('Assignment Builder'!$B$5="",$B1965='Assignment Builder'!$B$5),OR('Assignment Builder'!$B$6="",ISNUMBER(SEARCH('Assignment Builder'!$B$6,$C1965))),OR('Assignment Builder'!$B$7="",'Assignment Builder'!$B$7=IFERROR(INDEX('Category Dictionary'!$C$5:$C$135,MATCH($L1965,'Category Dictionary'!$D$5:$D$135,0)),"")),OR('Assignment Builder'!$B$8="",$D1965='Assignment Builder'!$B$8),OR('Assignment Builder'!$B$9="",$F1965='Assignment Builder'!$B$9),OR('Assignment Builder'!$B$10="",$O1965='Assignment Builder'!$B$10),OR('Assignment Builder'!$B$11="",$H1965&gt;='Assignment Builder'!$B$11),OR('Assignment Builder'!$B$12="",N($Q1965)&lt;='Assignment Builder'!$B$12)))</f>
        <v/>
      </c>
      <c r="T1965" s="23" t="n"/>
    </row>
    <row r="1966">
      <c r="A1966" s="23" t="n"/>
      <c r="B1966" s="23" t="n"/>
      <c r="C1966" s="24" t="n"/>
      <c r="D1966" s="15" t="n"/>
      <c r="E1966" s="23" t="n"/>
      <c r="F1966" s="15" t="n"/>
      <c r="G1966" s="23" t="n"/>
      <c r="H1966" s="25" t="n"/>
      <c r="I1966" s="15" t="n"/>
      <c r="J1966" s="26">
        <f>IF($A1966="","",LEN($C1966)-LEN(SUBSTITUTE($C1966,",",""))+1)</f>
        <v/>
      </c>
      <c r="K1966" s="26">
        <f>IF($A1966="","",SUMPRODUCT(--ISNUMBER(SEARCH('Category Dictionary'!$D$5:$D$135&amp;"",$C1966)),--('Category Dictionary'!$D$5:$D$135&lt;&gt;"")))</f>
        <v/>
      </c>
      <c r="L1966" s="27">
        <f>IF($A1966="","",TRIM(IF(ISERROR(FIND(",",$C1966)),$C1966,LEFT($C1966,FIND(",",$C1966)-1))))</f>
        <v/>
      </c>
      <c r="M1966" s="28">
        <f>IF($H1966="","",DATE(YEAR($H1966),MONTH($H1966),1))</f>
        <v/>
      </c>
      <c r="N1966" s="26">
        <f>IF($H1966="","",TODAY()-$H1966)</f>
        <v/>
      </c>
      <c r="O1966" s="15" t="n"/>
      <c r="P1966" s="15" t="n"/>
      <c r="Q1966" s="15" t="n"/>
      <c r="R1966" s="25" t="n"/>
      <c r="S1966" s="26">
        <f>IF($A1966="","",AND(OR('Assignment Builder'!$B$5="",$B1966='Assignment Builder'!$B$5),OR('Assignment Builder'!$B$6="",ISNUMBER(SEARCH('Assignment Builder'!$B$6,$C1966))),OR('Assignment Builder'!$B$7="",'Assignment Builder'!$B$7=IFERROR(INDEX('Category Dictionary'!$C$5:$C$135,MATCH($L1966,'Category Dictionary'!$D$5:$D$135,0)),"")),OR('Assignment Builder'!$B$8="",$D1966='Assignment Builder'!$B$8),OR('Assignment Builder'!$B$9="",$F1966='Assignment Builder'!$B$9),OR('Assignment Builder'!$B$10="",$O1966='Assignment Builder'!$B$10),OR('Assignment Builder'!$B$11="",$H1966&gt;='Assignment Builder'!$B$11),OR('Assignment Builder'!$B$12="",N($Q1966)&lt;='Assignment Builder'!$B$12)))</f>
        <v/>
      </c>
      <c r="T1966" s="23" t="n"/>
    </row>
    <row r="1967">
      <c r="A1967" s="23" t="n"/>
      <c r="B1967" s="23" t="n"/>
      <c r="C1967" s="24" t="n"/>
      <c r="D1967" s="15" t="n"/>
      <c r="E1967" s="23" t="n"/>
      <c r="F1967" s="15" t="n"/>
      <c r="G1967" s="23" t="n"/>
      <c r="H1967" s="25" t="n"/>
      <c r="I1967" s="15" t="n"/>
      <c r="J1967" s="26">
        <f>IF($A1967="","",LEN($C1967)-LEN(SUBSTITUTE($C1967,",",""))+1)</f>
        <v/>
      </c>
      <c r="K1967" s="26">
        <f>IF($A1967="","",SUMPRODUCT(--ISNUMBER(SEARCH('Category Dictionary'!$D$5:$D$135&amp;"",$C1967)),--('Category Dictionary'!$D$5:$D$135&lt;&gt;"")))</f>
        <v/>
      </c>
      <c r="L1967" s="27">
        <f>IF($A1967="","",TRIM(IF(ISERROR(FIND(",",$C1967)),$C1967,LEFT($C1967,FIND(",",$C1967)-1))))</f>
        <v/>
      </c>
      <c r="M1967" s="28">
        <f>IF($H1967="","",DATE(YEAR($H1967),MONTH($H1967),1))</f>
        <v/>
      </c>
      <c r="N1967" s="26">
        <f>IF($H1967="","",TODAY()-$H1967)</f>
        <v/>
      </c>
      <c r="O1967" s="15" t="n"/>
      <c r="P1967" s="15" t="n"/>
      <c r="Q1967" s="15" t="n"/>
      <c r="R1967" s="25" t="n"/>
      <c r="S1967" s="26">
        <f>IF($A1967="","",AND(OR('Assignment Builder'!$B$5="",$B1967='Assignment Builder'!$B$5),OR('Assignment Builder'!$B$6="",ISNUMBER(SEARCH('Assignment Builder'!$B$6,$C1967))),OR('Assignment Builder'!$B$7="",'Assignment Builder'!$B$7=IFERROR(INDEX('Category Dictionary'!$C$5:$C$135,MATCH($L1967,'Category Dictionary'!$D$5:$D$135,0)),"")),OR('Assignment Builder'!$B$8="",$D1967='Assignment Builder'!$B$8),OR('Assignment Builder'!$B$9="",$F1967='Assignment Builder'!$B$9),OR('Assignment Builder'!$B$10="",$O1967='Assignment Builder'!$B$10),OR('Assignment Builder'!$B$11="",$H1967&gt;='Assignment Builder'!$B$11),OR('Assignment Builder'!$B$12="",N($Q1967)&lt;='Assignment Builder'!$B$12)))</f>
        <v/>
      </c>
      <c r="T1967" s="23" t="n"/>
    </row>
    <row r="1968">
      <c r="A1968" s="23" t="n"/>
      <c r="B1968" s="23" t="n"/>
      <c r="C1968" s="24" t="n"/>
      <c r="D1968" s="15" t="n"/>
      <c r="E1968" s="23" t="n"/>
      <c r="F1968" s="15" t="n"/>
      <c r="G1968" s="23" t="n"/>
      <c r="H1968" s="25" t="n"/>
      <c r="I1968" s="15" t="n"/>
      <c r="J1968" s="26">
        <f>IF($A1968="","",LEN($C1968)-LEN(SUBSTITUTE($C1968,",",""))+1)</f>
        <v/>
      </c>
      <c r="K1968" s="26">
        <f>IF($A1968="","",SUMPRODUCT(--ISNUMBER(SEARCH('Category Dictionary'!$D$5:$D$135&amp;"",$C1968)),--('Category Dictionary'!$D$5:$D$135&lt;&gt;"")))</f>
        <v/>
      </c>
      <c r="L1968" s="27">
        <f>IF($A1968="","",TRIM(IF(ISERROR(FIND(",",$C1968)),$C1968,LEFT($C1968,FIND(",",$C1968)-1))))</f>
        <v/>
      </c>
      <c r="M1968" s="28">
        <f>IF($H1968="","",DATE(YEAR($H1968),MONTH($H1968),1))</f>
        <v/>
      </c>
      <c r="N1968" s="26">
        <f>IF($H1968="","",TODAY()-$H1968)</f>
        <v/>
      </c>
      <c r="O1968" s="15" t="n"/>
      <c r="P1968" s="15" t="n"/>
      <c r="Q1968" s="15" t="n"/>
      <c r="R1968" s="25" t="n"/>
      <c r="S1968" s="26">
        <f>IF($A1968="","",AND(OR('Assignment Builder'!$B$5="",$B1968='Assignment Builder'!$B$5),OR('Assignment Builder'!$B$6="",ISNUMBER(SEARCH('Assignment Builder'!$B$6,$C1968))),OR('Assignment Builder'!$B$7="",'Assignment Builder'!$B$7=IFERROR(INDEX('Category Dictionary'!$C$5:$C$135,MATCH($L1968,'Category Dictionary'!$D$5:$D$135,0)),"")),OR('Assignment Builder'!$B$8="",$D1968='Assignment Builder'!$B$8),OR('Assignment Builder'!$B$9="",$F1968='Assignment Builder'!$B$9),OR('Assignment Builder'!$B$10="",$O1968='Assignment Builder'!$B$10),OR('Assignment Builder'!$B$11="",$H1968&gt;='Assignment Builder'!$B$11),OR('Assignment Builder'!$B$12="",N($Q1968)&lt;='Assignment Builder'!$B$12)))</f>
        <v/>
      </c>
      <c r="T1968" s="23" t="n"/>
    </row>
    <row r="1969">
      <c r="A1969" s="23" t="n"/>
      <c r="B1969" s="23" t="n"/>
      <c r="C1969" s="24" t="n"/>
      <c r="D1969" s="15" t="n"/>
      <c r="E1969" s="23" t="n"/>
      <c r="F1969" s="15" t="n"/>
      <c r="G1969" s="23" t="n"/>
      <c r="H1969" s="25" t="n"/>
      <c r="I1969" s="15" t="n"/>
      <c r="J1969" s="26">
        <f>IF($A1969="","",LEN($C1969)-LEN(SUBSTITUTE($C1969,",",""))+1)</f>
        <v/>
      </c>
      <c r="K1969" s="26">
        <f>IF($A1969="","",SUMPRODUCT(--ISNUMBER(SEARCH('Category Dictionary'!$D$5:$D$135&amp;"",$C1969)),--('Category Dictionary'!$D$5:$D$135&lt;&gt;"")))</f>
        <v/>
      </c>
      <c r="L1969" s="27">
        <f>IF($A1969="","",TRIM(IF(ISERROR(FIND(",",$C1969)),$C1969,LEFT($C1969,FIND(",",$C1969)-1))))</f>
        <v/>
      </c>
      <c r="M1969" s="28">
        <f>IF($H1969="","",DATE(YEAR($H1969),MONTH($H1969),1))</f>
        <v/>
      </c>
      <c r="N1969" s="26">
        <f>IF($H1969="","",TODAY()-$H1969)</f>
        <v/>
      </c>
      <c r="O1969" s="15" t="n"/>
      <c r="P1969" s="15" t="n"/>
      <c r="Q1969" s="15" t="n"/>
      <c r="R1969" s="25" t="n"/>
      <c r="S1969" s="26">
        <f>IF($A1969="","",AND(OR('Assignment Builder'!$B$5="",$B1969='Assignment Builder'!$B$5),OR('Assignment Builder'!$B$6="",ISNUMBER(SEARCH('Assignment Builder'!$B$6,$C1969))),OR('Assignment Builder'!$B$7="",'Assignment Builder'!$B$7=IFERROR(INDEX('Category Dictionary'!$C$5:$C$135,MATCH($L1969,'Category Dictionary'!$D$5:$D$135,0)),"")),OR('Assignment Builder'!$B$8="",$D1969='Assignment Builder'!$B$8),OR('Assignment Builder'!$B$9="",$F1969='Assignment Builder'!$B$9),OR('Assignment Builder'!$B$10="",$O1969='Assignment Builder'!$B$10),OR('Assignment Builder'!$B$11="",$H1969&gt;='Assignment Builder'!$B$11),OR('Assignment Builder'!$B$12="",N($Q1969)&lt;='Assignment Builder'!$B$12)))</f>
        <v/>
      </c>
      <c r="T1969" s="23" t="n"/>
    </row>
    <row r="1970">
      <c r="A1970" s="23" t="n"/>
      <c r="B1970" s="23" t="n"/>
      <c r="C1970" s="24" t="n"/>
      <c r="D1970" s="15" t="n"/>
      <c r="E1970" s="23" t="n"/>
      <c r="F1970" s="15" t="n"/>
      <c r="G1970" s="23" t="n"/>
      <c r="H1970" s="25" t="n"/>
      <c r="I1970" s="15" t="n"/>
      <c r="J1970" s="26">
        <f>IF($A1970="","",LEN($C1970)-LEN(SUBSTITUTE($C1970,",",""))+1)</f>
        <v/>
      </c>
      <c r="K1970" s="26">
        <f>IF($A1970="","",SUMPRODUCT(--ISNUMBER(SEARCH('Category Dictionary'!$D$5:$D$135&amp;"",$C1970)),--('Category Dictionary'!$D$5:$D$135&lt;&gt;"")))</f>
        <v/>
      </c>
      <c r="L1970" s="27">
        <f>IF($A1970="","",TRIM(IF(ISERROR(FIND(",",$C1970)),$C1970,LEFT($C1970,FIND(",",$C1970)-1))))</f>
        <v/>
      </c>
      <c r="M1970" s="28">
        <f>IF($H1970="","",DATE(YEAR($H1970),MONTH($H1970),1))</f>
        <v/>
      </c>
      <c r="N1970" s="26">
        <f>IF($H1970="","",TODAY()-$H1970)</f>
        <v/>
      </c>
      <c r="O1970" s="15" t="n"/>
      <c r="P1970" s="15" t="n"/>
      <c r="Q1970" s="15" t="n"/>
      <c r="R1970" s="25" t="n"/>
      <c r="S1970" s="26">
        <f>IF($A1970="","",AND(OR('Assignment Builder'!$B$5="",$B1970='Assignment Builder'!$B$5),OR('Assignment Builder'!$B$6="",ISNUMBER(SEARCH('Assignment Builder'!$B$6,$C1970))),OR('Assignment Builder'!$B$7="",'Assignment Builder'!$B$7=IFERROR(INDEX('Category Dictionary'!$C$5:$C$135,MATCH($L1970,'Category Dictionary'!$D$5:$D$135,0)),"")),OR('Assignment Builder'!$B$8="",$D1970='Assignment Builder'!$B$8),OR('Assignment Builder'!$B$9="",$F1970='Assignment Builder'!$B$9),OR('Assignment Builder'!$B$10="",$O1970='Assignment Builder'!$B$10),OR('Assignment Builder'!$B$11="",$H1970&gt;='Assignment Builder'!$B$11),OR('Assignment Builder'!$B$12="",N($Q1970)&lt;='Assignment Builder'!$B$12)))</f>
        <v/>
      </c>
      <c r="T1970" s="23" t="n"/>
    </row>
    <row r="1971">
      <c r="A1971" s="23" t="n"/>
      <c r="B1971" s="23" t="n"/>
      <c r="C1971" s="24" t="n"/>
      <c r="D1971" s="15" t="n"/>
      <c r="E1971" s="23" t="n"/>
      <c r="F1971" s="15" t="n"/>
      <c r="G1971" s="23" t="n"/>
      <c r="H1971" s="25" t="n"/>
      <c r="I1971" s="15" t="n"/>
      <c r="J1971" s="26">
        <f>IF($A1971="","",LEN($C1971)-LEN(SUBSTITUTE($C1971,",",""))+1)</f>
        <v/>
      </c>
      <c r="K1971" s="26">
        <f>IF($A1971="","",SUMPRODUCT(--ISNUMBER(SEARCH('Category Dictionary'!$D$5:$D$135&amp;"",$C1971)),--('Category Dictionary'!$D$5:$D$135&lt;&gt;"")))</f>
        <v/>
      </c>
      <c r="L1971" s="27">
        <f>IF($A1971="","",TRIM(IF(ISERROR(FIND(",",$C1971)),$C1971,LEFT($C1971,FIND(",",$C1971)-1))))</f>
        <v/>
      </c>
      <c r="M1971" s="28">
        <f>IF($H1971="","",DATE(YEAR($H1971),MONTH($H1971),1))</f>
        <v/>
      </c>
      <c r="N1971" s="26">
        <f>IF($H1971="","",TODAY()-$H1971)</f>
        <v/>
      </c>
      <c r="O1971" s="15" t="n"/>
      <c r="P1971" s="15" t="n"/>
      <c r="Q1971" s="15" t="n"/>
      <c r="R1971" s="25" t="n"/>
      <c r="S1971" s="26">
        <f>IF($A1971="","",AND(OR('Assignment Builder'!$B$5="",$B1971='Assignment Builder'!$B$5),OR('Assignment Builder'!$B$6="",ISNUMBER(SEARCH('Assignment Builder'!$B$6,$C1971))),OR('Assignment Builder'!$B$7="",'Assignment Builder'!$B$7=IFERROR(INDEX('Category Dictionary'!$C$5:$C$135,MATCH($L1971,'Category Dictionary'!$D$5:$D$135,0)),"")),OR('Assignment Builder'!$B$8="",$D1971='Assignment Builder'!$B$8),OR('Assignment Builder'!$B$9="",$F1971='Assignment Builder'!$B$9),OR('Assignment Builder'!$B$10="",$O1971='Assignment Builder'!$B$10),OR('Assignment Builder'!$B$11="",$H1971&gt;='Assignment Builder'!$B$11),OR('Assignment Builder'!$B$12="",N($Q1971)&lt;='Assignment Builder'!$B$12)))</f>
        <v/>
      </c>
      <c r="T1971" s="23" t="n"/>
    </row>
    <row r="1972">
      <c r="A1972" s="23" t="n"/>
      <c r="B1972" s="23" t="n"/>
      <c r="C1972" s="24" t="n"/>
      <c r="D1972" s="15" t="n"/>
      <c r="E1972" s="23" t="n"/>
      <c r="F1972" s="15" t="n"/>
      <c r="G1972" s="23" t="n"/>
      <c r="H1972" s="25" t="n"/>
      <c r="I1972" s="15" t="n"/>
      <c r="J1972" s="26">
        <f>IF($A1972="","",LEN($C1972)-LEN(SUBSTITUTE($C1972,",",""))+1)</f>
        <v/>
      </c>
      <c r="K1972" s="26">
        <f>IF($A1972="","",SUMPRODUCT(--ISNUMBER(SEARCH('Category Dictionary'!$D$5:$D$135&amp;"",$C1972)),--('Category Dictionary'!$D$5:$D$135&lt;&gt;"")))</f>
        <v/>
      </c>
      <c r="L1972" s="27">
        <f>IF($A1972="","",TRIM(IF(ISERROR(FIND(",",$C1972)),$C1972,LEFT($C1972,FIND(",",$C1972)-1))))</f>
        <v/>
      </c>
      <c r="M1972" s="28">
        <f>IF($H1972="","",DATE(YEAR($H1972),MONTH($H1972),1))</f>
        <v/>
      </c>
      <c r="N1972" s="26">
        <f>IF($H1972="","",TODAY()-$H1972)</f>
        <v/>
      </c>
      <c r="O1972" s="15" t="n"/>
      <c r="P1972" s="15" t="n"/>
      <c r="Q1972" s="15" t="n"/>
      <c r="R1972" s="25" t="n"/>
      <c r="S1972" s="26">
        <f>IF($A1972="","",AND(OR('Assignment Builder'!$B$5="",$B1972='Assignment Builder'!$B$5),OR('Assignment Builder'!$B$6="",ISNUMBER(SEARCH('Assignment Builder'!$B$6,$C1972))),OR('Assignment Builder'!$B$7="",'Assignment Builder'!$B$7=IFERROR(INDEX('Category Dictionary'!$C$5:$C$135,MATCH($L1972,'Category Dictionary'!$D$5:$D$135,0)),"")),OR('Assignment Builder'!$B$8="",$D1972='Assignment Builder'!$B$8),OR('Assignment Builder'!$B$9="",$F1972='Assignment Builder'!$B$9),OR('Assignment Builder'!$B$10="",$O1972='Assignment Builder'!$B$10),OR('Assignment Builder'!$B$11="",$H1972&gt;='Assignment Builder'!$B$11),OR('Assignment Builder'!$B$12="",N($Q1972)&lt;='Assignment Builder'!$B$12)))</f>
        <v/>
      </c>
      <c r="T1972" s="23" t="n"/>
    </row>
    <row r="1973">
      <c r="A1973" s="23" t="n"/>
      <c r="B1973" s="23" t="n"/>
      <c r="C1973" s="24" t="n"/>
      <c r="D1973" s="15" t="n"/>
      <c r="E1973" s="23" t="n"/>
      <c r="F1973" s="15" t="n"/>
      <c r="G1973" s="23" t="n"/>
      <c r="H1973" s="25" t="n"/>
      <c r="I1973" s="15" t="n"/>
      <c r="J1973" s="26">
        <f>IF($A1973="","",LEN($C1973)-LEN(SUBSTITUTE($C1973,",",""))+1)</f>
        <v/>
      </c>
      <c r="K1973" s="26">
        <f>IF($A1973="","",SUMPRODUCT(--ISNUMBER(SEARCH('Category Dictionary'!$D$5:$D$135&amp;"",$C1973)),--('Category Dictionary'!$D$5:$D$135&lt;&gt;"")))</f>
        <v/>
      </c>
      <c r="L1973" s="27">
        <f>IF($A1973="","",TRIM(IF(ISERROR(FIND(",",$C1973)),$C1973,LEFT($C1973,FIND(",",$C1973)-1))))</f>
        <v/>
      </c>
      <c r="M1973" s="28">
        <f>IF($H1973="","",DATE(YEAR($H1973),MONTH($H1973),1))</f>
        <v/>
      </c>
      <c r="N1973" s="26">
        <f>IF($H1973="","",TODAY()-$H1973)</f>
        <v/>
      </c>
      <c r="O1973" s="15" t="n"/>
      <c r="P1973" s="15" t="n"/>
      <c r="Q1973" s="15" t="n"/>
      <c r="R1973" s="25" t="n"/>
      <c r="S1973" s="26">
        <f>IF($A1973="","",AND(OR('Assignment Builder'!$B$5="",$B1973='Assignment Builder'!$B$5),OR('Assignment Builder'!$B$6="",ISNUMBER(SEARCH('Assignment Builder'!$B$6,$C1973))),OR('Assignment Builder'!$B$7="",'Assignment Builder'!$B$7=IFERROR(INDEX('Category Dictionary'!$C$5:$C$135,MATCH($L1973,'Category Dictionary'!$D$5:$D$135,0)),"")),OR('Assignment Builder'!$B$8="",$D1973='Assignment Builder'!$B$8),OR('Assignment Builder'!$B$9="",$F1973='Assignment Builder'!$B$9),OR('Assignment Builder'!$B$10="",$O1973='Assignment Builder'!$B$10),OR('Assignment Builder'!$B$11="",$H1973&gt;='Assignment Builder'!$B$11),OR('Assignment Builder'!$B$12="",N($Q1973)&lt;='Assignment Builder'!$B$12)))</f>
        <v/>
      </c>
      <c r="T1973" s="23" t="n"/>
    </row>
    <row r="1974">
      <c r="A1974" s="23" t="n"/>
      <c r="B1974" s="23" t="n"/>
      <c r="C1974" s="24" t="n"/>
      <c r="D1974" s="15" t="n"/>
      <c r="E1974" s="23" t="n"/>
      <c r="F1974" s="15" t="n"/>
      <c r="G1974" s="23" t="n"/>
      <c r="H1974" s="25" t="n"/>
      <c r="I1974" s="15" t="n"/>
      <c r="J1974" s="26">
        <f>IF($A1974="","",LEN($C1974)-LEN(SUBSTITUTE($C1974,",",""))+1)</f>
        <v/>
      </c>
      <c r="K1974" s="26">
        <f>IF($A1974="","",SUMPRODUCT(--ISNUMBER(SEARCH('Category Dictionary'!$D$5:$D$135&amp;"",$C1974)),--('Category Dictionary'!$D$5:$D$135&lt;&gt;"")))</f>
        <v/>
      </c>
      <c r="L1974" s="27">
        <f>IF($A1974="","",TRIM(IF(ISERROR(FIND(",",$C1974)),$C1974,LEFT($C1974,FIND(",",$C1974)-1))))</f>
        <v/>
      </c>
      <c r="M1974" s="28">
        <f>IF($H1974="","",DATE(YEAR($H1974),MONTH($H1974),1))</f>
        <v/>
      </c>
      <c r="N1974" s="26">
        <f>IF($H1974="","",TODAY()-$H1974)</f>
        <v/>
      </c>
      <c r="O1974" s="15" t="n"/>
      <c r="P1974" s="15" t="n"/>
      <c r="Q1974" s="15" t="n"/>
      <c r="R1974" s="25" t="n"/>
      <c r="S1974" s="26">
        <f>IF($A1974="","",AND(OR('Assignment Builder'!$B$5="",$B1974='Assignment Builder'!$B$5),OR('Assignment Builder'!$B$6="",ISNUMBER(SEARCH('Assignment Builder'!$B$6,$C1974))),OR('Assignment Builder'!$B$7="",'Assignment Builder'!$B$7=IFERROR(INDEX('Category Dictionary'!$C$5:$C$135,MATCH($L1974,'Category Dictionary'!$D$5:$D$135,0)),"")),OR('Assignment Builder'!$B$8="",$D1974='Assignment Builder'!$B$8),OR('Assignment Builder'!$B$9="",$F1974='Assignment Builder'!$B$9),OR('Assignment Builder'!$B$10="",$O1974='Assignment Builder'!$B$10),OR('Assignment Builder'!$B$11="",$H1974&gt;='Assignment Builder'!$B$11),OR('Assignment Builder'!$B$12="",N($Q1974)&lt;='Assignment Builder'!$B$12)))</f>
        <v/>
      </c>
      <c r="T1974" s="23" t="n"/>
    </row>
    <row r="1975">
      <c r="A1975" s="23" t="n"/>
      <c r="B1975" s="23" t="n"/>
      <c r="C1975" s="24" t="n"/>
      <c r="D1975" s="15" t="n"/>
      <c r="E1975" s="23" t="n"/>
      <c r="F1975" s="15" t="n"/>
      <c r="G1975" s="23" t="n"/>
      <c r="H1975" s="25" t="n"/>
      <c r="I1975" s="15" t="n"/>
      <c r="J1975" s="26">
        <f>IF($A1975="","",LEN($C1975)-LEN(SUBSTITUTE($C1975,",",""))+1)</f>
        <v/>
      </c>
      <c r="K1975" s="26">
        <f>IF($A1975="","",SUMPRODUCT(--ISNUMBER(SEARCH('Category Dictionary'!$D$5:$D$135&amp;"",$C1975)),--('Category Dictionary'!$D$5:$D$135&lt;&gt;"")))</f>
        <v/>
      </c>
      <c r="L1975" s="27">
        <f>IF($A1975="","",TRIM(IF(ISERROR(FIND(",",$C1975)),$C1975,LEFT($C1975,FIND(",",$C1975)-1))))</f>
        <v/>
      </c>
      <c r="M1975" s="28">
        <f>IF($H1975="","",DATE(YEAR($H1975),MONTH($H1975),1))</f>
        <v/>
      </c>
      <c r="N1975" s="26">
        <f>IF($H1975="","",TODAY()-$H1975)</f>
        <v/>
      </c>
      <c r="O1975" s="15" t="n"/>
      <c r="P1975" s="15" t="n"/>
      <c r="Q1975" s="15" t="n"/>
      <c r="R1975" s="25" t="n"/>
      <c r="S1975" s="26">
        <f>IF($A1975="","",AND(OR('Assignment Builder'!$B$5="",$B1975='Assignment Builder'!$B$5),OR('Assignment Builder'!$B$6="",ISNUMBER(SEARCH('Assignment Builder'!$B$6,$C1975))),OR('Assignment Builder'!$B$7="",'Assignment Builder'!$B$7=IFERROR(INDEX('Category Dictionary'!$C$5:$C$135,MATCH($L1975,'Category Dictionary'!$D$5:$D$135,0)),"")),OR('Assignment Builder'!$B$8="",$D1975='Assignment Builder'!$B$8),OR('Assignment Builder'!$B$9="",$F1975='Assignment Builder'!$B$9),OR('Assignment Builder'!$B$10="",$O1975='Assignment Builder'!$B$10),OR('Assignment Builder'!$B$11="",$H1975&gt;='Assignment Builder'!$B$11),OR('Assignment Builder'!$B$12="",N($Q1975)&lt;='Assignment Builder'!$B$12)))</f>
        <v/>
      </c>
      <c r="T1975" s="23" t="n"/>
    </row>
    <row r="1976">
      <c r="A1976" s="23" t="n"/>
      <c r="B1976" s="23" t="n"/>
      <c r="C1976" s="24" t="n"/>
      <c r="D1976" s="15" t="n"/>
      <c r="E1976" s="23" t="n"/>
      <c r="F1976" s="15" t="n"/>
      <c r="G1976" s="23" t="n"/>
      <c r="H1976" s="25" t="n"/>
      <c r="I1976" s="15" t="n"/>
      <c r="J1976" s="26">
        <f>IF($A1976="","",LEN($C1976)-LEN(SUBSTITUTE($C1976,",",""))+1)</f>
        <v/>
      </c>
      <c r="K1976" s="26">
        <f>IF($A1976="","",SUMPRODUCT(--ISNUMBER(SEARCH('Category Dictionary'!$D$5:$D$135&amp;"",$C1976)),--('Category Dictionary'!$D$5:$D$135&lt;&gt;"")))</f>
        <v/>
      </c>
      <c r="L1976" s="27">
        <f>IF($A1976="","",TRIM(IF(ISERROR(FIND(",",$C1976)),$C1976,LEFT($C1976,FIND(",",$C1976)-1))))</f>
        <v/>
      </c>
      <c r="M1976" s="28">
        <f>IF($H1976="","",DATE(YEAR($H1976),MONTH($H1976),1))</f>
        <v/>
      </c>
      <c r="N1976" s="26">
        <f>IF($H1976="","",TODAY()-$H1976)</f>
        <v/>
      </c>
      <c r="O1976" s="15" t="n"/>
      <c r="P1976" s="15" t="n"/>
      <c r="Q1976" s="15" t="n"/>
      <c r="R1976" s="25" t="n"/>
      <c r="S1976" s="26">
        <f>IF($A1976="","",AND(OR('Assignment Builder'!$B$5="",$B1976='Assignment Builder'!$B$5),OR('Assignment Builder'!$B$6="",ISNUMBER(SEARCH('Assignment Builder'!$B$6,$C1976))),OR('Assignment Builder'!$B$7="",'Assignment Builder'!$B$7=IFERROR(INDEX('Category Dictionary'!$C$5:$C$135,MATCH($L1976,'Category Dictionary'!$D$5:$D$135,0)),"")),OR('Assignment Builder'!$B$8="",$D1976='Assignment Builder'!$B$8),OR('Assignment Builder'!$B$9="",$F1976='Assignment Builder'!$B$9),OR('Assignment Builder'!$B$10="",$O1976='Assignment Builder'!$B$10),OR('Assignment Builder'!$B$11="",$H1976&gt;='Assignment Builder'!$B$11),OR('Assignment Builder'!$B$12="",N($Q1976)&lt;='Assignment Builder'!$B$12)))</f>
        <v/>
      </c>
      <c r="T1976" s="23" t="n"/>
    </row>
    <row r="1977">
      <c r="A1977" s="23" t="n"/>
      <c r="B1977" s="23" t="n"/>
      <c r="C1977" s="24" t="n"/>
      <c r="D1977" s="15" t="n"/>
      <c r="E1977" s="23" t="n"/>
      <c r="F1977" s="15" t="n"/>
      <c r="G1977" s="23" t="n"/>
      <c r="H1977" s="25" t="n"/>
      <c r="I1977" s="15" t="n"/>
      <c r="J1977" s="26">
        <f>IF($A1977="","",LEN($C1977)-LEN(SUBSTITUTE($C1977,",",""))+1)</f>
        <v/>
      </c>
      <c r="K1977" s="26">
        <f>IF($A1977="","",SUMPRODUCT(--ISNUMBER(SEARCH('Category Dictionary'!$D$5:$D$135&amp;"",$C1977)),--('Category Dictionary'!$D$5:$D$135&lt;&gt;"")))</f>
        <v/>
      </c>
      <c r="L1977" s="27">
        <f>IF($A1977="","",TRIM(IF(ISERROR(FIND(",",$C1977)),$C1977,LEFT($C1977,FIND(",",$C1977)-1))))</f>
        <v/>
      </c>
      <c r="M1977" s="28">
        <f>IF($H1977="","",DATE(YEAR($H1977),MONTH($H1977),1))</f>
        <v/>
      </c>
      <c r="N1977" s="26">
        <f>IF($H1977="","",TODAY()-$H1977)</f>
        <v/>
      </c>
      <c r="O1977" s="15" t="n"/>
      <c r="P1977" s="15" t="n"/>
      <c r="Q1977" s="15" t="n"/>
      <c r="R1977" s="25" t="n"/>
      <c r="S1977" s="26">
        <f>IF($A1977="","",AND(OR('Assignment Builder'!$B$5="",$B1977='Assignment Builder'!$B$5),OR('Assignment Builder'!$B$6="",ISNUMBER(SEARCH('Assignment Builder'!$B$6,$C1977))),OR('Assignment Builder'!$B$7="",'Assignment Builder'!$B$7=IFERROR(INDEX('Category Dictionary'!$C$5:$C$135,MATCH($L1977,'Category Dictionary'!$D$5:$D$135,0)),"")),OR('Assignment Builder'!$B$8="",$D1977='Assignment Builder'!$B$8),OR('Assignment Builder'!$B$9="",$F1977='Assignment Builder'!$B$9),OR('Assignment Builder'!$B$10="",$O1977='Assignment Builder'!$B$10),OR('Assignment Builder'!$B$11="",$H1977&gt;='Assignment Builder'!$B$11),OR('Assignment Builder'!$B$12="",N($Q1977)&lt;='Assignment Builder'!$B$12)))</f>
        <v/>
      </c>
      <c r="T1977" s="23" t="n"/>
    </row>
    <row r="1978">
      <c r="A1978" s="23" t="n"/>
      <c r="B1978" s="23" t="n"/>
      <c r="C1978" s="24" t="n"/>
      <c r="D1978" s="15" t="n"/>
      <c r="E1978" s="23" t="n"/>
      <c r="F1978" s="15" t="n"/>
      <c r="G1978" s="23" t="n"/>
      <c r="H1978" s="25" t="n"/>
      <c r="I1978" s="15" t="n"/>
      <c r="J1978" s="26">
        <f>IF($A1978="","",LEN($C1978)-LEN(SUBSTITUTE($C1978,",",""))+1)</f>
        <v/>
      </c>
      <c r="K1978" s="26">
        <f>IF($A1978="","",SUMPRODUCT(--ISNUMBER(SEARCH('Category Dictionary'!$D$5:$D$135&amp;"",$C1978)),--('Category Dictionary'!$D$5:$D$135&lt;&gt;"")))</f>
        <v/>
      </c>
      <c r="L1978" s="27">
        <f>IF($A1978="","",TRIM(IF(ISERROR(FIND(",",$C1978)),$C1978,LEFT($C1978,FIND(",",$C1978)-1))))</f>
        <v/>
      </c>
      <c r="M1978" s="28">
        <f>IF($H1978="","",DATE(YEAR($H1978),MONTH($H1978),1))</f>
        <v/>
      </c>
      <c r="N1978" s="26">
        <f>IF($H1978="","",TODAY()-$H1978)</f>
        <v/>
      </c>
      <c r="O1978" s="15" t="n"/>
      <c r="P1978" s="15" t="n"/>
      <c r="Q1978" s="15" t="n"/>
      <c r="R1978" s="25" t="n"/>
      <c r="S1978" s="26">
        <f>IF($A1978="","",AND(OR('Assignment Builder'!$B$5="",$B1978='Assignment Builder'!$B$5),OR('Assignment Builder'!$B$6="",ISNUMBER(SEARCH('Assignment Builder'!$B$6,$C1978))),OR('Assignment Builder'!$B$7="",'Assignment Builder'!$B$7=IFERROR(INDEX('Category Dictionary'!$C$5:$C$135,MATCH($L1978,'Category Dictionary'!$D$5:$D$135,0)),"")),OR('Assignment Builder'!$B$8="",$D1978='Assignment Builder'!$B$8),OR('Assignment Builder'!$B$9="",$F1978='Assignment Builder'!$B$9),OR('Assignment Builder'!$B$10="",$O1978='Assignment Builder'!$B$10),OR('Assignment Builder'!$B$11="",$H1978&gt;='Assignment Builder'!$B$11),OR('Assignment Builder'!$B$12="",N($Q1978)&lt;='Assignment Builder'!$B$12)))</f>
        <v/>
      </c>
      <c r="T1978" s="23" t="n"/>
    </row>
    <row r="1979">
      <c r="A1979" s="23" t="n"/>
      <c r="B1979" s="23" t="n"/>
      <c r="C1979" s="24" t="n"/>
      <c r="D1979" s="15" t="n"/>
      <c r="E1979" s="23" t="n"/>
      <c r="F1979" s="15" t="n"/>
      <c r="G1979" s="23" t="n"/>
      <c r="H1979" s="25" t="n"/>
      <c r="I1979" s="15" t="n"/>
      <c r="J1979" s="26">
        <f>IF($A1979="","",LEN($C1979)-LEN(SUBSTITUTE($C1979,",",""))+1)</f>
        <v/>
      </c>
      <c r="K1979" s="26">
        <f>IF($A1979="","",SUMPRODUCT(--ISNUMBER(SEARCH('Category Dictionary'!$D$5:$D$135&amp;"",$C1979)),--('Category Dictionary'!$D$5:$D$135&lt;&gt;"")))</f>
        <v/>
      </c>
      <c r="L1979" s="27">
        <f>IF($A1979="","",TRIM(IF(ISERROR(FIND(",",$C1979)),$C1979,LEFT($C1979,FIND(",",$C1979)-1))))</f>
        <v/>
      </c>
      <c r="M1979" s="28">
        <f>IF($H1979="","",DATE(YEAR($H1979),MONTH($H1979),1))</f>
        <v/>
      </c>
      <c r="N1979" s="26">
        <f>IF($H1979="","",TODAY()-$H1979)</f>
        <v/>
      </c>
      <c r="O1979" s="15" t="n"/>
      <c r="P1979" s="15" t="n"/>
      <c r="Q1979" s="15" t="n"/>
      <c r="R1979" s="25" t="n"/>
      <c r="S1979" s="26">
        <f>IF($A1979="","",AND(OR('Assignment Builder'!$B$5="",$B1979='Assignment Builder'!$B$5),OR('Assignment Builder'!$B$6="",ISNUMBER(SEARCH('Assignment Builder'!$B$6,$C1979))),OR('Assignment Builder'!$B$7="",'Assignment Builder'!$B$7=IFERROR(INDEX('Category Dictionary'!$C$5:$C$135,MATCH($L1979,'Category Dictionary'!$D$5:$D$135,0)),"")),OR('Assignment Builder'!$B$8="",$D1979='Assignment Builder'!$B$8),OR('Assignment Builder'!$B$9="",$F1979='Assignment Builder'!$B$9),OR('Assignment Builder'!$B$10="",$O1979='Assignment Builder'!$B$10),OR('Assignment Builder'!$B$11="",$H1979&gt;='Assignment Builder'!$B$11),OR('Assignment Builder'!$B$12="",N($Q1979)&lt;='Assignment Builder'!$B$12)))</f>
        <v/>
      </c>
      <c r="T1979" s="23" t="n"/>
    </row>
    <row r="1980">
      <c r="A1980" s="23" t="n"/>
      <c r="B1980" s="23" t="n"/>
      <c r="C1980" s="24" t="n"/>
      <c r="D1980" s="15" t="n"/>
      <c r="E1980" s="23" t="n"/>
      <c r="F1980" s="15" t="n"/>
      <c r="G1980" s="23" t="n"/>
      <c r="H1980" s="25" t="n"/>
      <c r="I1980" s="15" t="n"/>
      <c r="J1980" s="26">
        <f>IF($A1980="","",LEN($C1980)-LEN(SUBSTITUTE($C1980,",",""))+1)</f>
        <v/>
      </c>
      <c r="K1980" s="26">
        <f>IF($A1980="","",SUMPRODUCT(--ISNUMBER(SEARCH('Category Dictionary'!$D$5:$D$135&amp;"",$C1980)),--('Category Dictionary'!$D$5:$D$135&lt;&gt;"")))</f>
        <v/>
      </c>
      <c r="L1980" s="27">
        <f>IF($A1980="","",TRIM(IF(ISERROR(FIND(",",$C1980)),$C1980,LEFT($C1980,FIND(",",$C1980)-1))))</f>
        <v/>
      </c>
      <c r="M1980" s="28">
        <f>IF($H1980="","",DATE(YEAR($H1980),MONTH($H1980),1))</f>
        <v/>
      </c>
      <c r="N1980" s="26">
        <f>IF($H1980="","",TODAY()-$H1980)</f>
        <v/>
      </c>
      <c r="O1980" s="15" t="n"/>
      <c r="P1980" s="15" t="n"/>
      <c r="Q1980" s="15" t="n"/>
      <c r="R1980" s="25" t="n"/>
      <c r="S1980" s="26">
        <f>IF($A1980="","",AND(OR('Assignment Builder'!$B$5="",$B1980='Assignment Builder'!$B$5),OR('Assignment Builder'!$B$6="",ISNUMBER(SEARCH('Assignment Builder'!$B$6,$C1980))),OR('Assignment Builder'!$B$7="",'Assignment Builder'!$B$7=IFERROR(INDEX('Category Dictionary'!$C$5:$C$135,MATCH($L1980,'Category Dictionary'!$D$5:$D$135,0)),"")),OR('Assignment Builder'!$B$8="",$D1980='Assignment Builder'!$B$8),OR('Assignment Builder'!$B$9="",$F1980='Assignment Builder'!$B$9),OR('Assignment Builder'!$B$10="",$O1980='Assignment Builder'!$B$10),OR('Assignment Builder'!$B$11="",$H1980&gt;='Assignment Builder'!$B$11),OR('Assignment Builder'!$B$12="",N($Q1980)&lt;='Assignment Builder'!$B$12)))</f>
        <v/>
      </c>
      <c r="T1980" s="23" t="n"/>
    </row>
    <row r="1981">
      <c r="A1981" s="23" t="n"/>
      <c r="B1981" s="23" t="n"/>
      <c r="C1981" s="24" t="n"/>
      <c r="D1981" s="15" t="n"/>
      <c r="E1981" s="23" t="n"/>
      <c r="F1981" s="15" t="n"/>
      <c r="G1981" s="23" t="n"/>
      <c r="H1981" s="25" t="n"/>
      <c r="I1981" s="15" t="n"/>
      <c r="J1981" s="26">
        <f>IF($A1981="","",LEN($C1981)-LEN(SUBSTITUTE($C1981,",",""))+1)</f>
        <v/>
      </c>
      <c r="K1981" s="26">
        <f>IF($A1981="","",SUMPRODUCT(--ISNUMBER(SEARCH('Category Dictionary'!$D$5:$D$135&amp;"",$C1981)),--('Category Dictionary'!$D$5:$D$135&lt;&gt;"")))</f>
        <v/>
      </c>
      <c r="L1981" s="27">
        <f>IF($A1981="","",TRIM(IF(ISERROR(FIND(",",$C1981)),$C1981,LEFT($C1981,FIND(",",$C1981)-1))))</f>
        <v/>
      </c>
      <c r="M1981" s="28">
        <f>IF($H1981="","",DATE(YEAR($H1981),MONTH($H1981),1))</f>
        <v/>
      </c>
      <c r="N1981" s="26">
        <f>IF($H1981="","",TODAY()-$H1981)</f>
        <v/>
      </c>
      <c r="O1981" s="15" t="n"/>
      <c r="P1981" s="15" t="n"/>
      <c r="Q1981" s="15" t="n"/>
      <c r="R1981" s="25" t="n"/>
      <c r="S1981" s="26">
        <f>IF($A1981="","",AND(OR('Assignment Builder'!$B$5="",$B1981='Assignment Builder'!$B$5),OR('Assignment Builder'!$B$6="",ISNUMBER(SEARCH('Assignment Builder'!$B$6,$C1981))),OR('Assignment Builder'!$B$7="",'Assignment Builder'!$B$7=IFERROR(INDEX('Category Dictionary'!$C$5:$C$135,MATCH($L1981,'Category Dictionary'!$D$5:$D$135,0)),"")),OR('Assignment Builder'!$B$8="",$D1981='Assignment Builder'!$B$8),OR('Assignment Builder'!$B$9="",$F1981='Assignment Builder'!$B$9),OR('Assignment Builder'!$B$10="",$O1981='Assignment Builder'!$B$10),OR('Assignment Builder'!$B$11="",$H1981&gt;='Assignment Builder'!$B$11),OR('Assignment Builder'!$B$12="",N($Q1981)&lt;='Assignment Builder'!$B$12)))</f>
        <v/>
      </c>
      <c r="T1981" s="23" t="n"/>
    </row>
    <row r="1982">
      <c r="A1982" s="23" t="n"/>
      <c r="B1982" s="23" t="n"/>
      <c r="C1982" s="24" t="n"/>
      <c r="D1982" s="15" t="n"/>
      <c r="E1982" s="23" t="n"/>
      <c r="F1982" s="15" t="n"/>
      <c r="G1982" s="23" t="n"/>
      <c r="H1982" s="25" t="n"/>
      <c r="I1982" s="15" t="n"/>
      <c r="J1982" s="26">
        <f>IF($A1982="","",LEN($C1982)-LEN(SUBSTITUTE($C1982,",",""))+1)</f>
        <v/>
      </c>
      <c r="K1982" s="26">
        <f>IF($A1982="","",SUMPRODUCT(--ISNUMBER(SEARCH('Category Dictionary'!$D$5:$D$135&amp;"",$C1982)),--('Category Dictionary'!$D$5:$D$135&lt;&gt;"")))</f>
        <v/>
      </c>
      <c r="L1982" s="27">
        <f>IF($A1982="","",TRIM(IF(ISERROR(FIND(",",$C1982)),$C1982,LEFT($C1982,FIND(",",$C1982)-1))))</f>
        <v/>
      </c>
      <c r="M1982" s="28">
        <f>IF($H1982="","",DATE(YEAR($H1982),MONTH($H1982),1))</f>
        <v/>
      </c>
      <c r="N1982" s="26">
        <f>IF($H1982="","",TODAY()-$H1982)</f>
        <v/>
      </c>
      <c r="O1982" s="15" t="n"/>
      <c r="P1982" s="15" t="n"/>
      <c r="Q1982" s="15" t="n"/>
      <c r="R1982" s="25" t="n"/>
      <c r="S1982" s="26">
        <f>IF($A1982="","",AND(OR('Assignment Builder'!$B$5="",$B1982='Assignment Builder'!$B$5),OR('Assignment Builder'!$B$6="",ISNUMBER(SEARCH('Assignment Builder'!$B$6,$C1982))),OR('Assignment Builder'!$B$7="",'Assignment Builder'!$B$7=IFERROR(INDEX('Category Dictionary'!$C$5:$C$135,MATCH($L1982,'Category Dictionary'!$D$5:$D$135,0)),"")),OR('Assignment Builder'!$B$8="",$D1982='Assignment Builder'!$B$8),OR('Assignment Builder'!$B$9="",$F1982='Assignment Builder'!$B$9),OR('Assignment Builder'!$B$10="",$O1982='Assignment Builder'!$B$10),OR('Assignment Builder'!$B$11="",$H1982&gt;='Assignment Builder'!$B$11),OR('Assignment Builder'!$B$12="",N($Q1982)&lt;='Assignment Builder'!$B$12)))</f>
        <v/>
      </c>
      <c r="T1982" s="23" t="n"/>
    </row>
    <row r="1983">
      <c r="A1983" s="23" t="n"/>
      <c r="B1983" s="23" t="n"/>
      <c r="C1983" s="24" t="n"/>
      <c r="D1983" s="15" t="n"/>
      <c r="E1983" s="23" t="n"/>
      <c r="F1983" s="15" t="n"/>
      <c r="G1983" s="23" t="n"/>
      <c r="H1983" s="25" t="n"/>
      <c r="I1983" s="15" t="n"/>
      <c r="J1983" s="26">
        <f>IF($A1983="","",LEN($C1983)-LEN(SUBSTITUTE($C1983,",",""))+1)</f>
        <v/>
      </c>
      <c r="K1983" s="26">
        <f>IF($A1983="","",SUMPRODUCT(--ISNUMBER(SEARCH('Category Dictionary'!$D$5:$D$135&amp;"",$C1983)),--('Category Dictionary'!$D$5:$D$135&lt;&gt;"")))</f>
        <v/>
      </c>
      <c r="L1983" s="27">
        <f>IF($A1983="","",TRIM(IF(ISERROR(FIND(",",$C1983)),$C1983,LEFT($C1983,FIND(",",$C1983)-1))))</f>
        <v/>
      </c>
      <c r="M1983" s="28">
        <f>IF($H1983="","",DATE(YEAR($H1983),MONTH($H1983),1))</f>
        <v/>
      </c>
      <c r="N1983" s="26">
        <f>IF($H1983="","",TODAY()-$H1983)</f>
        <v/>
      </c>
      <c r="O1983" s="15" t="n"/>
      <c r="P1983" s="15" t="n"/>
      <c r="Q1983" s="15" t="n"/>
      <c r="R1983" s="25" t="n"/>
      <c r="S1983" s="26">
        <f>IF($A1983="","",AND(OR('Assignment Builder'!$B$5="",$B1983='Assignment Builder'!$B$5),OR('Assignment Builder'!$B$6="",ISNUMBER(SEARCH('Assignment Builder'!$B$6,$C1983))),OR('Assignment Builder'!$B$7="",'Assignment Builder'!$B$7=IFERROR(INDEX('Category Dictionary'!$C$5:$C$135,MATCH($L1983,'Category Dictionary'!$D$5:$D$135,0)),"")),OR('Assignment Builder'!$B$8="",$D1983='Assignment Builder'!$B$8),OR('Assignment Builder'!$B$9="",$F1983='Assignment Builder'!$B$9),OR('Assignment Builder'!$B$10="",$O1983='Assignment Builder'!$B$10),OR('Assignment Builder'!$B$11="",$H1983&gt;='Assignment Builder'!$B$11),OR('Assignment Builder'!$B$12="",N($Q1983)&lt;='Assignment Builder'!$B$12)))</f>
        <v/>
      </c>
      <c r="T1983" s="23" t="n"/>
    </row>
    <row r="1984">
      <c r="A1984" s="23" t="n"/>
      <c r="B1984" s="23" t="n"/>
      <c r="C1984" s="24" t="n"/>
      <c r="D1984" s="15" t="n"/>
      <c r="E1984" s="23" t="n"/>
      <c r="F1984" s="15" t="n"/>
      <c r="G1984" s="23" t="n"/>
      <c r="H1984" s="25" t="n"/>
      <c r="I1984" s="15" t="n"/>
      <c r="J1984" s="26">
        <f>IF($A1984="","",LEN($C1984)-LEN(SUBSTITUTE($C1984,",",""))+1)</f>
        <v/>
      </c>
      <c r="K1984" s="26">
        <f>IF($A1984="","",SUMPRODUCT(--ISNUMBER(SEARCH('Category Dictionary'!$D$5:$D$135&amp;"",$C1984)),--('Category Dictionary'!$D$5:$D$135&lt;&gt;"")))</f>
        <v/>
      </c>
      <c r="L1984" s="27">
        <f>IF($A1984="","",TRIM(IF(ISERROR(FIND(",",$C1984)),$C1984,LEFT($C1984,FIND(",",$C1984)-1))))</f>
        <v/>
      </c>
      <c r="M1984" s="28">
        <f>IF($H1984="","",DATE(YEAR($H1984),MONTH($H1984),1))</f>
        <v/>
      </c>
      <c r="N1984" s="26">
        <f>IF($H1984="","",TODAY()-$H1984)</f>
        <v/>
      </c>
      <c r="O1984" s="15" t="n"/>
      <c r="P1984" s="15" t="n"/>
      <c r="Q1984" s="15" t="n"/>
      <c r="R1984" s="25" t="n"/>
      <c r="S1984" s="26">
        <f>IF($A1984="","",AND(OR('Assignment Builder'!$B$5="",$B1984='Assignment Builder'!$B$5),OR('Assignment Builder'!$B$6="",ISNUMBER(SEARCH('Assignment Builder'!$B$6,$C1984))),OR('Assignment Builder'!$B$7="",'Assignment Builder'!$B$7=IFERROR(INDEX('Category Dictionary'!$C$5:$C$135,MATCH($L1984,'Category Dictionary'!$D$5:$D$135,0)),"")),OR('Assignment Builder'!$B$8="",$D1984='Assignment Builder'!$B$8),OR('Assignment Builder'!$B$9="",$F1984='Assignment Builder'!$B$9),OR('Assignment Builder'!$B$10="",$O1984='Assignment Builder'!$B$10),OR('Assignment Builder'!$B$11="",$H1984&gt;='Assignment Builder'!$B$11),OR('Assignment Builder'!$B$12="",N($Q1984)&lt;='Assignment Builder'!$B$12)))</f>
        <v/>
      </c>
      <c r="T1984" s="23" t="n"/>
    </row>
    <row r="1985">
      <c r="A1985" s="23" t="n"/>
      <c r="B1985" s="23" t="n"/>
      <c r="C1985" s="24" t="n"/>
      <c r="D1985" s="15" t="n"/>
      <c r="E1985" s="23" t="n"/>
      <c r="F1985" s="15" t="n"/>
      <c r="G1985" s="23" t="n"/>
      <c r="H1985" s="25" t="n"/>
      <c r="I1985" s="15" t="n"/>
      <c r="J1985" s="26">
        <f>IF($A1985="","",LEN($C1985)-LEN(SUBSTITUTE($C1985,",",""))+1)</f>
        <v/>
      </c>
      <c r="K1985" s="26">
        <f>IF($A1985="","",SUMPRODUCT(--ISNUMBER(SEARCH('Category Dictionary'!$D$5:$D$135&amp;"",$C1985)),--('Category Dictionary'!$D$5:$D$135&lt;&gt;"")))</f>
        <v/>
      </c>
      <c r="L1985" s="27">
        <f>IF($A1985="","",TRIM(IF(ISERROR(FIND(",",$C1985)),$C1985,LEFT($C1985,FIND(",",$C1985)-1))))</f>
        <v/>
      </c>
      <c r="M1985" s="28">
        <f>IF($H1985="","",DATE(YEAR($H1985),MONTH($H1985),1))</f>
        <v/>
      </c>
      <c r="N1985" s="26">
        <f>IF($H1985="","",TODAY()-$H1985)</f>
        <v/>
      </c>
      <c r="O1985" s="15" t="n"/>
      <c r="P1985" s="15" t="n"/>
      <c r="Q1985" s="15" t="n"/>
      <c r="R1985" s="25" t="n"/>
      <c r="S1985" s="26">
        <f>IF($A1985="","",AND(OR('Assignment Builder'!$B$5="",$B1985='Assignment Builder'!$B$5),OR('Assignment Builder'!$B$6="",ISNUMBER(SEARCH('Assignment Builder'!$B$6,$C1985))),OR('Assignment Builder'!$B$7="",'Assignment Builder'!$B$7=IFERROR(INDEX('Category Dictionary'!$C$5:$C$135,MATCH($L1985,'Category Dictionary'!$D$5:$D$135,0)),"")),OR('Assignment Builder'!$B$8="",$D1985='Assignment Builder'!$B$8),OR('Assignment Builder'!$B$9="",$F1985='Assignment Builder'!$B$9),OR('Assignment Builder'!$B$10="",$O1985='Assignment Builder'!$B$10),OR('Assignment Builder'!$B$11="",$H1985&gt;='Assignment Builder'!$B$11),OR('Assignment Builder'!$B$12="",N($Q1985)&lt;='Assignment Builder'!$B$12)))</f>
        <v/>
      </c>
      <c r="T1985" s="23" t="n"/>
    </row>
    <row r="1986">
      <c r="A1986" s="23" t="n"/>
      <c r="B1986" s="23" t="n"/>
      <c r="C1986" s="24" t="n"/>
      <c r="D1986" s="15" t="n"/>
      <c r="E1986" s="23" t="n"/>
      <c r="F1986" s="15" t="n"/>
      <c r="G1986" s="23" t="n"/>
      <c r="H1986" s="25" t="n"/>
      <c r="I1986" s="15" t="n"/>
      <c r="J1986" s="26">
        <f>IF($A1986="","",LEN($C1986)-LEN(SUBSTITUTE($C1986,",",""))+1)</f>
        <v/>
      </c>
      <c r="K1986" s="26">
        <f>IF($A1986="","",SUMPRODUCT(--ISNUMBER(SEARCH('Category Dictionary'!$D$5:$D$135&amp;"",$C1986)),--('Category Dictionary'!$D$5:$D$135&lt;&gt;"")))</f>
        <v/>
      </c>
      <c r="L1986" s="27">
        <f>IF($A1986="","",TRIM(IF(ISERROR(FIND(",",$C1986)),$C1986,LEFT($C1986,FIND(",",$C1986)-1))))</f>
        <v/>
      </c>
      <c r="M1986" s="28">
        <f>IF($H1986="","",DATE(YEAR($H1986),MONTH($H1986),1))</f>
        <v/>
      </c>
      <c r="N1986" s="26">
        <f>IF($H1986="","",TODAY()-$H1986)</f>
        <v/>
      </c>
      <c r="O1986" s="15" t="n"/>
      <c r="P1986" s="15" t="n"/>
      <c r="Q1986" s="15" t="n"/>
      <c r="R1986" s="25" t="n"/>
      <c r="S1986" s="26">
        <f>IF($A1986="","",AND(OR('Assignment Builder'!$B$5="",$B1986='Assignment Builder'!$B$5),OR('Assignment Builder'!$B$6="",ISNUMBER(SEARCH('Assignment Builder'!$B$6,$C1986))),OR('Assignment Builder'!$B$7="",'Assignment Builder'!$B$7=IFERROR(INDEX('Category Dictionary'!$C$5:$C$135,MATCH($L1986,'Category Dictionary'!$D$5:$D$135,0)),"")),OR('Assignment Builder'!$B$8="",$D1986='Assignment Builder'!$B$8),OR('Assignment Builder'!$B$9="",$F1986='Assignment Builder'!$B$9),OR('Assignment Builder'!$B$10="",$O1986='Assignment Builder'!$B$10),OR('Assignment Builder'!$B$11="",$H1986&gt;='Assignment Builder'!$B$11),OR('Assignment Builder'!$B$12="",N($Q1986)&lt;='Assignment Builder'!$B$12)))</f>
        <v/>
      </c>
      <c r="T1986" s="23" t="n"/>
    </row>
    <row r="1987">
      <c r="A1987" s="23" t="n"/>
      <c r="B1987" s="23" t="n"/>
      <c r="C1987" s="24" t="n"/>
      <c r="D1987" s="15" t="n"/>
      <c r="E1987" s="23" t="n"/>
      <c r="F1987" s="15" t="n"/>
      <c r="G1987" s="23" t="n"/>
      <c r="H1987" s="25" t="n"/>
      <c r="I1987" s="15" t="n"/>
      <c r="J1987" s="26">
        <f>IF($A1987="","",LEN($C1987)-LEN(SUBSTITUTE($C1987,",",""))+1)</f>
        <v/>
      </c>
      <c r="K1987" s="26">
        <f>IF($A1987="","",SUMPRODUCT(--ISNUMBER(SEARCH('Category Dictionary'!$D$5:$D$135&amp;"",$C1987)),--('Category Dictionary'!$D$5:$D$135&lt;&gt;"")))</f>
        <v/>
      </c>
      <c r="L1987" s="27">
        <f>IF($A1987="","",TRIM(IF(ISERROR(FIND(",",$C1987)),$C1987,LEFT($C1987,FIND(",",$C1987)-1))))</f>
        <v/>
      </c>
      <c r="M1987" s="28">
        <f>IF($H1987="","",DATE(YEAR($H1987),MONTH($H1987),1))</f>
        <v/>
      </c>
      <c r="N1987" s="26">
        <f>IF($H1987="","",TODAY()-$H1987)</f>
        <v/>
      </c>
      <c r="O1987" s="15" t="n"/>
      <c r="P1987" s="15" t="n"/>
      <c r="Q1987" s="15" t="n"/>
      <c r="R1987" s="25" t="n"/>
      <c r="S1987" s="26">
        <f>IF($A1987="","",AND(OR('Assignment Builder'!$B$5="",$B1987='Assignment Builder'!$B$5),OR('Assignment Builder'!$B$6="",ISNUMBER(SEARCH('Assignment Builder'!$B$6,$C1987))),OR('Assignment Builder'!$B$7="",'Assignment Builder'!$B$7=IFERROR(INDEX('Category Dictionary'!$C$5:$C$135,MATCH($L1987,'Category Dictionary'!$D$5:$D$135,0)),"")),OR('Assignment Builder'!$B$8="",$D1987='Assignment Builder'!$B$8),OR('Assignment Builder'!$B$9="",$F1987='Assignment Builder'!$B$9),OR('Assignment Builder'!$B$10="",$O1987='Assignment Builder'!$B$10),OR('Assignment Builder'!$B$11="",$H1987&gt;='Assignment Builder'!$B$11),OR('Assignment Builder'!$B$12="",N($Q1987)&lt;='Assignment Builder'!$B$12)))</f>
        <v/>
      </c>
      <c r="T1987" s="23" t="n"/>
    </row>
    <row r="1988">
      <c r="A1988" s="23" t="n"/>
      <c r="B1988" s="23" t="n"/>
      <c r="C1988" s="24" t="n"/>
      <c r="D1988" s="15" t="n"/>
      <c r="E1988" s="23" t="n"/>
      <c r="F1988" s="15" t="n"/>
      <c r="G1988" s="23" t="n"/>
      <c r="H1988" s="25" t="n"/>
      <c r="I1988" s="15" t="n"/>
      <c r="J1988" s="26">
        <f>IF($A1988="","",LEN($C1988)-LEN(SUBSTITUTE($C1988,",",""))+1)</f>
        <v/>
      </c>
      <c r="K1988" s="26">
        <f>IF($A1988="","",SUMPRODUCT(--ISNUMBER(SEARCH('Category Dictionary'!$D$5:$D$135&amp;"",$C1988)),--('Category Dictionary'!$D$5:$D$135&lt;&gt;"")))</f>
        <v/>
      </c>
      <c r="L1988" s="27">
        <f>IF($A1988="","",TRIM(IF(ISERROR(FIND(",",$C1988)),$C1988,LEFT($C1988,FIND(",",$C1988)-1))))</f>
        <v/>
      </c>
      <c r="M1988" s="28">
        <f>IF($H1988="","",DATE(YEAR($H1988),MONTH($H1988),1))</f>
        <v/>
      </c>
      <c r="N1988" s="26">
        <f>IF($H1988="","",TODAY()-$H1988)</f>
        <v/>
      </c>
      <c r="O1988" s="15" t="n"/>
      <c r="P1988" s="15" t="n"/>
      <c r="Q1988" s="15" t="n"/>
      <c r="R1988" s="25" t="n"/>
      <c r="S1988" s="26">
        <f>IF($A1988="","",AND(OR('Assignment Builder'!$B$5="",$B1988='Assignment Builder'!$B$5),OR('Assignment Builder'!$B$6="",ISNUMBER(SEARCH('Assignment Builder'!$B$6,$C1988))),OR('Assignment Builder'!$B$7="",'Assignment Builder'!$B$7=IFERROR(INDEX('Category Dictionary'!$C$5:$C$135,MATCH($L1988,'Category Dictionary'!$D$5:$D$135,0)),"")),OR('Assignment Builder'!$B$8="",$D1988='Assignment Builder'!$B$8),OR('Assignment Builder'!$B$9="",$F1988='Assignment Builder'!$B$9),OR('Assignment Builder'!$B$10="",$O1988='Assignment Builder'!$B$10),OR('Assignment Builder'!$B$11="",$H1988&gt;='Assignment Builder'!$B$11),OR('Assignment Builder'!$B$12="",N($Q1988)&lt;='Assignment Builder'!$B$12)))</f>
        <v/>
      </c>
      <c r="T1988" s="23" t="n"/>
    </row>
    <row r="1989">
      <c r="A1989" s="23" t="n"/>
      <c r="B1989" s="23" t="n"/>
      <c r="C1989" s="24" t="n"/>
      <c r="D1989" s="15" t="n"/>
      <c r="E1989" s="23" t="n"/>
      <c r="F1989" s="15" t="n"/>
      <c r="G1989" s="23" t="n"/>
      <c r="H1989" s="25" t="n"/>
      <c r="I1989" s="15" t="n"/>
      <c r="J1989" s="26">
        <f>IF($A1989="","",LEN($C1989)-LEN(SUBSTITUTE($C1989,",",""))+1)</f>
        <v/>
      </c>
      <c r="K1989" s="26">
        <f>IF($A1989="","",SUMPRODUCT(--ISNUMBER(SEARCH('Category Dictionary'!$D$5:$D$135&amp;"",$C1989)),--('Category Dictionary'!$D$5:$D$135&lt;&gt;"")))</f>
        <v/>
      </c>
      <c r="L1989" s="27">
        <f>IF($A1989="","",TRIM(IF(ISERROR(FIND(",",$C1989)),$C1989,LEFT($C1989,FIND(",",$C1989)-1))))</f>
        <v/>
      </c>
      <c r="M1989" s="28">
        <f>IF($H1989="","",DATE(YEAR($H1989),MONTH($H1989),1))</f>
        <v/>
      </c>
      <c r="N1989" s="26">
        <f>IF($H1989="","",TODAY()-$H1989)</f>
        <v/>
      </c>
      <c r="O1989" s="15" t="n"/>
      <c r="P1989" s="15" t="n"/>
      <c r="Q1989" s="15" t="n"/>
      <c r="R1989" s="25" t="n"/>
      <c r="S1989" s="26">
        <f>IF($A1989="","",AND(OR('Assignment Builder'!$B$5="",$B1989='Assignment Builder'!$B$5),OR('Assignment Builder'!$B$6="",ISNUMBER(SEARCH('Assignment Builder'!$B$6,$C1989))),OR('Assignment Builder'!$B$7="",'Assignment Builder'!$B$7=IFERROR(INDEX('Category Dictionary'!$C$5:$C$135,MATCH($L1989,'Category Dictionary'!$D$5:$D$135,0)),"")),OR('Assignment Builder'!$B$8="",$D1989='Assignment Builder'!$B$8),OR('Assignment Builder'!$B$9="",$F1989='Assignment Builder'!$B$9),OR('Assignment Builder'!$B$10="",$O1989='Assignment Builder'!$B$10),OR('Assignment Builder'!$B$11="",$H1989&gt;='Assignment Builder'!$B$11),OR('Assignment Builder'!$B$12="",N($Q1989)&lt;='Assignment Builder'!$B$12)))</f>
        <v/>
      </c>
      <c r="T1989" s="23" t="n"/>
    </row>
    <row r="1990">
      <c r="A1990" s="23" t="n"/>
      <c r="B1990" s="23" t="n"/>
      <c r="C1990" s="24" t="n"/>
      <c r="D1990" s="15" t="n"/>
      <c r="E1990" s="23" t="n"/>
      <c r="F1990" s="15" t="n"/>
      <c r="G1990" s="23" t="n"/>
      <c r="H1990" s="25" t="n"/>
      <c r="I1990" s="15" t="n"/>
      <c r="J1990" s="26">
        <f>IF($A1990="","",LEN($C1990)-LEN(SUBSTITUTE($C1990,",",""))+1)</f>
        <v/>
      </c>
      <c r="K1990" s="26">
        <f>IF($A1990="","",SUMPRODUCT(--ISNUMBER(SEARCH('Category Dictionary'!$D$5:$D$135&amp;"",$C1990)),--('Category Dictionary'!$D$5:$D$135&lt;&gt;"")))</f>
        <v/>
      </c>
      <c r="L1990" s="27">
        <f>IF($A1990="","",TRIM(IF(ISERROR(FIND(",",$C1990)),$C1990,LEFT($C1990,FIND(",",$C1990)-1))))</f>
        <v/>
      </c>
      <c r="M1990" s="28">
        <f>IF($H1990="","",DATE(YEAR($H1990),MONTH($H1990),1))</f>
        <v/>
      </c>
      <c r="N1990" s="26">
        <f>IF($H1990="","",TODAY()-$H1990)</f>
        <v/>
      </c>
      <c r="O1990" s="15" t="n"/>
      <c r="P1990" s="15" t="n"/>
      <c r="Q1990" s="15" t="n"/>
      <c r="R1990" s="25" t="n"/>
      <c r="S1990" s="26">
        <f>IF($A1990="","",AND(OR('Assignment Builder'!$B$5="",$B1990='Assignment Builder'!$B$5),OR('Assignment Builder'!$B$6="",ISNUMBER(SEARCH('Assignment Builder'!$B$6,$C1990))),OR('Assignment Builder'!$B$7="",'Assignment Builder'!$B$7=IFERROR(INDEX('Category Dictionary'!$C$5:$C$135,MATCH($L1990,'Category Dictionary'!$D$5:$D$135,0)),"")),OR('Assignment Builder'!$B$8="",$D1990='Assignment Builder'!$B$8),OR('Assignment Builder'!$B$9="",$F1990='Assignment Builder'!$B$9),OR('Assignment Builder'!$B$10="",$O1990='Assignment Builder'!$B$10),OR('Assignment Builder'!$B$11="",$H1990&gt;='Assignment Builder'!$B$11),OR('Assignment Builder'!$B$12="",N($Q1990)&lt;='Assignment Builder'!$B$12)))</f>
        <v/>
      </c>
      <c r="T1990" s="23" t="n"/>
    </row>
    <row r="1991">
      <c r="A1991" s="23" t="n"/>
      <c r="B1991" s="23" t="n"/>
      <c r="C1991" s="24" t="n"/>
      <c r="D1991" s="15" t="n"/>
      <c r="E1991" s="23" t="n"/>
      <c r="F1991" s="15" t="n"/>
      <c r="G1991" s="23" t="n"/>
      <c r="H1991" s="25" t="n"/>
      <c r="I1991" s="15" t="n"/>
      <c r="J1991" s="26">
        <f>IF($A1991="","",LEN($C1991)-LEN(SUBSTITUTE($C1991,",",""))+1)</f>
        <v/>
      </c>
      <c r="K1991" s="26">
        <f>IF($A1991="","",SUMPRODUCT(--ISNUMBER(SEARCH('Category Dictionary'!$D$5:$D$135&amp;"",$C1991)),--('Category Dictionary'!$D$5:$D$135&lt;&gt;"")))</f>
        <v/>
      </c>
      <c r="L1991" s="27">
        <f>IF($A1991="","",TRIM(IF(ISERROR(FIND(",",$C1991)),$C1991,LEFT($C1991,FIND(",",$C1991)-1))))</f>
        <v/>
      </c>
      <c r="M1991" s="28">
        <f>IF($H1991="","",DATE(YEAR($H1991),MONTH($H1991),1))</f>
        <v/>
      </c>
      <c r="N1991" s="26">
        <f>IF($H1991="","",TODAY()-$H1991)</f>
        <v/>
      </c>
      <c r="O1991" s="15" t="n"/>
      <c r="P1991" s="15" t="n"/>
      <c r="Q1991" s="15" t="n"/>
      <c r="R1991" s="25" t="n"/>
      <c r="S1991" s="26">
        <f>IF($A1991="","",AND(OR('Assignment Builder'!$B$5="",$B1991='Assignment Builder'!$B$5),OR('Assignment Builder'!$B$6="",ISNUMBER(SEARCH('Assignment Builder'!$B$6,$C1991))),OR('Assignment Builder'!$B$7="",'Assignment Builder'!$B$7=IFERROR(INDEX('Category Dictionary'!$C$5:$C$135,MATCH($L1991,'Category Dictionary'!$D$5:$D$135,0)),"")),OR('Assignment Builder'!$B$8="",$D1991='Assignment Builder'!$B$8),OR('Assignment Builder'!$B$9="",$F1991='Assignment Builder'!$B$9),OR('Assignment Builder'!$B$10="",$O1991='Assignment Builder'!$B$10),OR('Assignment Builder'!$B$11="",$H1991&gt;='Assignment Builder'!$B$11),OR('Assignment Builder'!$B$12="",N($Q1991)&lt;='Assignment Builder'!$B$12)))</f>
        <v/>
      </c>
      <c r="T1991" s="23" t="n"/>
    </row>
    <row r="1992">
      <c r="A1992" s="23" t="n"/>
      <c r="B1992" s="23" t="n"/>
      <c r="C1992" s="24" t="n"/>
      <c r="D1992" s="15" t="n"/>
      <c r="E1992" s="23" t="n"/>
      <c r="F1992" s="15" t="n"/>
      <c r="G1992" s="23" t="n"/>
      <c r="H1992" s="25" t="n"/>
      <c r="I1992" s="15" t="n"/>
      <c r="J1992" s="26">
        <f>IF($A1992="","",LEN($C1992)-LEN(SUBSTITUTE($C1992,",",""))+1)</f>
        <v/>
      </c>
      <c r="K1992" s="26">
        <f>IF($A1992="","",SUMPRODUCT(--ISNUMBER(SEARCH('Category Dictionary'!$D$5:$D$135&amp;"",$C1992)),--('Category Dictionary'!$D$5:$D$135&lt;&gt;"")))</f>
        <v/>
      </c>
      <c r="L1992" s="27">
        <f>IF($A1992="","",TRIM(IF(ISERROR(FIND(",",$C1992)),$C1992,LEFT($C1992,FIND(",",$C1992)-1))))</f>
        <v/>
      </c>
      <c r="M1992" s="28">
        <f>IF($H1992="","",DATE(YEAR($H1992),MONTH($H1992),1))</f>
        <v/>
      </c>
      <c r="N1992" s="26">
        <f>IF($H1992="","",TODAY()-$H1992)</f>
        <v/>
      </c>
      <c r="O1992" s="15" t="n"/>
      <c r="P1992" s="15" t="n"/>
      <c r="Q1992" s="15" t="n"/>
      <c r="R1992" s="25" t="n"/>
      <c r="S1992" s="26">
        <f>IF($A1992="","",AND(OR('Assignment Builder'!$B$5="",$B1992='Assignment Builder'!$B$5),OR('Assignment Builder'!$B$6="",ISNUMBER(SEARCH('Assignment Builder'!$B$6,$C1992))),OR('Assignment Builder'!$B$7="",'Assignment Builder'!$B$7=IFERROR(INDEX('Category Dictionary'!$C$5:$C$135,MATCH($L1992,'Category Dictionary'!$D$5:$D$135,0)),"")),OR('Assignment Builder'!$B$8="",$D1992='Assignment Builder'!$B$8),OR('Assignment Builder'!$B$9="",$F1992='Assignment Builder'!$B$9),OR('Assignment Builder'!$B$10="",$O1992='Assignment Builder'!$B$10),OR('Assignment Builder'!$B$11="",$H1992&gt;='Assignment Builder'!$B$11),OR('Assignment Builder'!$B$12="",N($Q1992)&lt;='Assignment Builder'!$B$12)))</f>
        <v/>
      </c>
      <c r="T1992" s="23" t="n"/>
    </row>
    <row r="1993">
      <c r="A1993" s="23" t="n"/>
      <c r="B1993" s="23" t="n"/>
      <c r="C1993" s="24" t="n"/>
      <c r="D1993" s="15" t="n"/>
      <c r="E1993" s="23" t="n"/>
      <c r="F1993" s="15" t="n"/>
      <c r="G1993" s="23" t="n"/>
      <c r="H1993" s="25" t="n"/>
      <c r="I1993" s="15" t="n"/>
      <c r="J1993" s="26">
        <f>IF($A1993="","",LEN($C1993)-LEN(SUBSTITUTE($C1993,",",""))+1)</f>
        <v/>
      </c>
      <c r="K1993" s="26">
        <f>IF($A1993="","",SUMPRODUCT(--ISNUMBER(SEARCH('Category Dictionary'!$D$5:$D$135&amp;"",$C1993)),--('Category Dictionary'!$D$5:$D$135&lt;&gt;"")))</f>
        <v/>
      </c>
      <c r="L1993" s="27">
        <f>IF($A1993="","",TRIM(IF(ISERROR(FIND(",",$C1993)),$C1993,LEFT($C1993,FIND(",",$C1993)-1))))</f>
        <v/>
      </c>
      <c r="M1993" s="28">
        <f>IF($H1993="","",DATE(YEAR($H1993),MONTH($H1993),1))</f>
        <v/>
      </c>
      <c r="N1993" s="26">
        <f>IF($H1993="","",TODAY()-$H1993)</f>
        <v/>
      </c>
      <c r="O1993" s="15" t="n"/>
      <c r="P1993" s="15" t="n"/>
      <c r="Q1993" s="15" t="n"/>
      <c r="R1993" s="25" t="n"/>
      <c r="S1993" s="26">
        <f>IF($A1993="","",AND(OR('Assignment Builder'!$B$5="",$B1993='Assignment Builder'!$B$5),OR('Assignment Builder'!$B$6="",ISNUMBER(SEARCH('Assignment Builder'!$B$6,$C1993))),OR('Assignment Builder'!$B$7="",'Assignment Builder'!$B$7=IFERROR(INDEX('Category Dictionary'!$C$5:$C$135,MATCH($L1993,'Category Dictionary'!$D$5:$D$135,0)),"")),OR('Assignment Builder'!$B$8="",$D1993='Assignment Builder'!$B$8),OR('Assignment Builder'!$B$9="",$F1993='Assignment Builder'!$B$9),OR('Assignment Builder'!$B$10="",$O1993='Assignment Builder'!$B$10),OR('Assignment Builder'!$B$11="",$H1993&gt;='Assignment Builder'!$B$11),OR('Assignment Builder'!$B$12="",N($Q1993)&lt;='Assignment Builder'!$B$12)))</f>
        <v/>
      </c>
      <c r="T1993" s="23" t="n"/>
    </row>
    <row r="1994">
      <c r="A1994" s="23" t="n"/>
      <c r="B1994" s="23" t="n"/>
      <c r="C1994" s="24" t="n"/>
      <c r="D1994" s="15" t="n"/>
      <c r="E1994" s="23" t="n"/>
      <c r="F1994" s="15" t="n"/>
      <c r="G1994" s="23" t="n"/>
      <c r="H1994" s="25" t="n"/>
      <c r="I1994" s="15" t="n"/>
      <c r="J1994" s="26">
        <f>IF($A1994="","",LEN($C1994)-LEN(SUBSTITUTE($C1994,",",""))+1)</f>
        <v/>
      </c>
      <c r="K1994" s="26">
        <f>IF($A1994="","",SUMPRODUCT(--ISNUMBER(SEARCH('Category Dictionary'!$D$5:$D$135&amp;"",$C1994)),--('Category Dictionary'!$D$5:$D$135&lt;&gt;"")))</f>
        <v/>
      </c>
      <c r="L1994" s="27">
        <f>IF($A1994="","",TRIM(IF(ISERROR(FIND(",",$C1994)),$C1994,LEFT($C1994,FIND(",",$C1994)-1))))</f>
        <v/>
      </c>
      <c r="M1994" s="28">
        <f>IF($H1994="","",DATE(YEAR($H1994),MONTH($H1994),1))</f>
        <v/>
      </c>
      <c r="N1994" s="26">
        <f>IF($H1994="","",TODAY()-$H1994)</f>
        <v/>
      </c>
      <c r="O1994" s="15" t="n"/>
      <c r="P1994" s="15" t="n"/>
      <c r="Q1994" s="15" t="n"/>
      <c r="R1994" s="25" t="n"/>
      <c r="S1994" s="26">
        <f>IF($A1994="","",AND(OR('Assignment Builder'!$B$5="",$B1994='Assignment Builder'!$B$5),OR('Assignment Builder'!$B$6="",ISNUMBER(SEARCH('Assignment Builder'!$B$6,$C1994))),OR('Assignment Builder'!$B$7="",'Assignment Builder'!$B$7=IFERROR(INDEX('Category Dictionary'!$C$5:$C$135,MATCH($L1994,'Category Dictionary'!$D$5:$D$135,0)),"")),OR('Assignment Builder'!$B$8="",$D1994='Assignment Builder'!$B$8),OR('Assignment Builder'!$B$9="",$F1994='Assignment Builder'!$B$9),OR('Assignment Builder'!$B$10="",$O1994='Assignment Builder'!$B$10),OR('Assignment Builder'!$B$11="",$H1994&gt;='Assignment Builder'!$B$11),OR('Assignment Builder'!$B$12="",N($Q1994)&lt;='Assignment Builder'!$B$12)))</f>
        <v/>
      </c>
      <c r="T1994" s="23" t="n"/>
    </row>
    <row r="1995">
      <c r="A1995" s="23" t="n"/>
      <c r="B1995" s="23" t="n"/>
      <c r="C1995" s="24" t="n"/>
      <c r="D1995" s="15" t="n"/>
      <c r="E1995" s="23" t="n"/>
      <c r="F1995" s="15" t="n"/>
      <c r="G1995" s="23" t="n"/>
      <c r="H1995" s="25" t="n"/>
      <c r="I1995" s="15" t="n"/>
      <c r="J1995" s="26">
        <f>IF($A1995="","",LEN($C1995)-LEN(SUBSTITUTE($C1995,",",""))+1)</f>
        <v/>
      </c>
      <c r="K1995" s="26">
        <f>IF($A1995="","",SUMPRODUCT(--ISNUMBER(SEARCH('Category Dictionary'!$D$5:$D$135&amp;"",$C1995)),--('Category Dictionary'!$D$5:$D$135&lt;&gt;"")))</f>
        <v/>
      </c>
      <c r="L1995" s="27">
        <f>IF($A1995="","",TRIM(IF(ISERROR(FIND(",",$C1995)),$C1995,LEFT($C1995,FIND(",",$C1995)-1))))</f>
        <v/>
      </c>
      <c r="M1995" s="28">
        <f>IF($H1995="","",DATE(YEAR($H1995),MONTH($H1995),1))</f>
        <v/>
      </c>
      <c r="N1995" s="26">
        <f>IF($H1995="","",TODAY()-$H1995)</f>
        <v/>
      </c>
      <c r="O1995" s="15" t="n"/>
      <c r="P1995" s="15" t="n"/>
      <c r="Q1995" s="15" t="n"/>
      <c r="R1995" s="25" t="n"/>
      <c r="S1995" s="26">
        <f>IF($A1995="","",AND(OR('Assignment Builder'!$B$5="",$B1995='Assignment Builder'!$B$5),OR('Assignment Builder'!$B$6="",ISNUMBER(SEARCH('Assignment Builder'!$B$6,$C1995))),OR('Assignment Builder'!$B$7="",'Assignment Builder'!$B$7=IFERROR(INDEX('Category Dictionary'!$C$5:$C$135,MATCH($L1995,'Category Dictionary'!$D$5:$D$135,0)),"")),OR('Assignment Builder'!$B$8="",$D1995='Assignment Builder'!$B$8),OR('Assignment Builder'!$B$9="",$F1995='Assignment Builder'!$B$9),OR('Assignment Builder'!$B$10="",$O1995='Assignment Builder'!$B$10),OR('Assignment Builder'!$B$11="",$H1995&gt;='Assignment Builder'!$B$11),OR('Assignment Builder'!$B$12="",N($Q1995)&lt;='Assignment Builder'!$B$12)))</f>
        <v/>
      </c>
      <c r="T1995" s="23" t="n"/>
    </row>
    <row r="1996">
      <c r="A1996" s="23" t="n"/>
      <c r="B1996" s="23" t="n"/>
      <c r="C1996" s="24" t="n"/>
      <c r="D1996" s="15" t="n"/>
      <c r="E1996" s="23" t="n"/>
      <c r="F1996" s="15" t="n"/>
      <c r="G1996" s="23" t="n"/>
      <c r="H1996" s="25" t="n"/>
      <c r="I1996" s="15" t="n"/>
      <c r="J1996" s="26">
        <f>IF($A1996="","",LEN($C1996)-LEN(SUBSTITUTE($C1996,",",""))+1)</f>
        <v/>
      </c>
      <c r="K1996" s="26">
        <f>IF($A1996="","",SUMPRODUCT(--ISNUMBER(SEARCH('Category Dictionary'!$D$5:$D$135&amp;"",$C1996)),--('Category Dictionary'!$D$5:$D$135&lt;&gt;"")))</f>
        <v/>
      </c>
      <c r="L1996" s="27">
        <f>IF($A1996="","",TRIM(IF(ISERROR(FIND(",",$C1996)),$C1996,LEFT($C1996,FIND(",",$C1996)-1))))</f>
        <v/>
      </c>
      <c r="M1996" s="28">
        <f>IF($H1996="","",DATE(YEAR($H1996),MONTH($H1996),1))</f>
        <v/>
      </c>
      <c r="N1996" s="26">
        <f>IF($H1996="","",TODAY()-$H1996)</f>
        <v/>
      </c>
      <c r="O1996" s="15" t="n"/>
      <c r="P1996" s="15" t="n"/>
      <c r="Q1996" s="15" t="n"/>
      <c r="R1996" s="25" t="n"/>
      <c r="S1996" s="26">
        <f>IF($A1996="","",AND(OR('Assignment Builder'!$B$5="",$B1996='Assignment Builder'!$B$5),OR('Assignment Builder'!$B$6="",ISNUMBER(SEARCH('Assignment Builder'!$B$6,$C1996))),OR('Assignment Builder'!$B$7="",'Assignment Builder'!$B$7=IFERROR(INDEX('Category Dictionary'!$C$5:$C$135,MATCH($L1996,'Category Dictionary'!$D$5:$D$135,0)),"")),OR('Assignment Builder'!$B$8="",$D1996='Assignment Builder'!$B$8),OR('Assignment Builder'!$B$9="",$F1996='Assignment Builder'!$B$9),OR('Assignment Builder'!$B$10="",$O1996='Assignment Builder'!$B$10),OR('Assignment Builder'!$B$11="",$H1996&gt;='Assignment Builder'!$B$11),OR('Assignment Builder'!$B$12="",N($Q1996)&lt;='Assignment Builder'!$B$12)))</f>
        <v/>
      </c>
      <c r="T1996" s="23" t="n"/>
    </row>
    <row r="1997">
      <c r="A1997" s="23" t="n"/>
      <c r="B1997" s="23" t="n"/>
      <c r="C1997" s="24" t="n"/>
      <c r="D1997" s="15" t="n"/>
      <c r="E1997" s="23" t="n"/>
      <c r="F1997" s="15" t="n"/>
      <c r="G1997" s="23" t="n"/>
      <c r="H1997" s="25" t="n"/>
      <c r="I1997" s="15" t="n"/>
      <c r="J1997" s="26">
        <f>IF($A1997="","",LEN($C1997)-LEN(SUBSTITUTE($C1997,",",""))+1)</f>
        <v/>
      </c>
      <c r="K1997" s="26">
        <f>IF($A1997="","",SUMPRODUCT(--ISNUMBER(SEARCH('Category Dictionary'!$D$5:$D$135&amp;"",$C1997)),--('Category Dictionary'!$D$5:$D$135&lt;&gt;"")))</f>
        <v/>
      </c>
      <c r="L1997" s="27">
        <f>IF($A1997="","",TRIM(IF(ISERROR(FIND(",",$C1997)),$C1997,LEFT($C1997,FIND(",",$C1997)-1))))</f>
        <v/>
      </c>
      <c r="M1997" s="28">
        <f>IF($H1997="","",DATE(YEAR($H1997),MONTH($H1997),1))</f>
        <v/>
      </c>
      <c r="N1997" s="26">
        <f>IF($H1997="","",TODAY()-$H1997)</f>
        <v/>
      </c>
      <c r="O1997" s="15" t="n"/>
      <c r="P1997" s="15" t="n"/>
      <c r="Q1997" s="15" t="n"/>
      <c r="R1997" s="25" t="n"/>
      <c r="S1997" s="26">
        <f>IF($A1997="","",AND(OR('Assignment Builder'!$B$5="",$B1997='Assignment Builder'!$B$5),OR('Assignment Builder'!$B$6="",ISNUMBER(SEARCH('Assignment Builder'!$B$6,$C1997))),OR('Assignment Builder'!$B$7="",'Assignment Builder'!$B$7=IFERROR(INDEX('Category Dictionary'!$C$5:$C$135,MATCH($L1997,'Category Dictionary'!$D$5:$D$135,0)),"")),OR('Assignment Builder'!$B$8="",$D1997='Assignment Builder'!$B$8),OR('Assignment Builder'!$B$9="",$F1997='Assignment Builder'!$B$9),OR('Assignment Builder'!$B$10="",$O1997='Assignment Builder'!$B$10),OR('Assignment Builder'!$B$11="",$H1997&gt;='Assignment Builder'!$B$11),OR('Assignment Builder'!$B$12="",N($Q1997)&lt;='Assignment Builder'!$B$12)))</f>
        <v/>
      </c>
      <c r="T1997" s="23" t="n"/>
    </row>
    <row r="1998">
      <c r="A1998" s="23" t="n"/>
      <c r="B1998" s="23" t="n"/>
      <c r="C1998" s="24" t="n"/>
      <c r="D1998" s="15" t="n"/>
      <c r="E1998" s="23" t="n"/>
      <c r="F1998" s="15" t="n"/>
      <c r="G1998" s="23" t="n"/>
      <c r="H1998" s="25" t="n"/>
      <c r="I1998" s="15" t="n"/>
      <c r="J1998" s="26">
        <f>IF($A1998="","",LEN($C1998)-LEN(SUBSTITUTE($C1998,",",""))+1)</f>
        <v/>
      </c>
      <c r="K1998" s="26">
        <f>IF($A1998="","",SUMPRODUCT(--ISNUMBER(SEARCH('Category Dictionary'!$D$5:$D$135&amp;"",$C1998)),--('Category Dictionary'!$D$5:$D$135&lt;&gt;"")))</f>
        <v/>
      </c>
      <c r="L1998" s="27">
        <f>IF($A1998="","",TRIM(IF(ISERROR(FIND(",",$C1998)),$C1998,LEFT($C1998,FIND(",",$C1998)-1))))</f>
        <v/>
      </c>
      <c r="M1998" s="28">
        <f>IF($H1998="","",DATE(YEAR($H1998),MONTH($H1998),1))</f>
        <v/>
      </c>
      <c r="N1998" s="26">
        <f>IF($H1998="","",TODAY()-$H1998)</f>
        <v/>
      </c>
      <c r="O1998" s="15" t="n"/>
      <c r="P1998" s="15" t="n"/>
      <c r="Q1998" s="15" t="n"/>
      <c r="R1998" s="25" t="n"/>
      <c r="S1998" s="26">
        <f>IF($A1998="","",AND(OR('Assignment Builder'!$B$5="",$B1998='Assignment Builder'!$B$5),OR('Assignment Builder'!$B$6="",ISNUMBER(SEARCH('Assignment Builder'!$B$6,$C1998))),OR('Assignment Builder'!$B$7="",'Assignment Builder'!$B$7=IFERROR(INDEX('Category Dictionary'!$C$5:$C$135,MATCH($L1998,'Category Dictionary'!$D$5:$D$135,0)),"")),OR('Assignment Builder'!$B$8="",$D1998='Assignment Builder'!$B$8),OR('Assignment Builder'!$B$9="",$F1998='Assignment Builder'!$B$9),OR('Assignment Builder'!$B$10="",$O1998='Assignment Builder'!$B$10),OR('Assignment Builder'!$B$11="",$H1998&gt;='Assignment Builder'!$B$11),OR('Assignment Builder'!$B$12="",N($Q1998)&lt;='Assignment Builder'!$B$12)))</f>
        <v/>
      </c>
      <c r="T1998" s="23" t="n"/>
    </row>
    <row r="1999">
      <c r="A1999" s="23" t="n"/>
      <c r="B1999" s="23" t="n"/>
      <c r="C1999" s="24" t="n"/>
      <c r="D1999" s="15" t="n"/>
      <c r="E1999" s="23" t="n"/>
      <c r="F1999" s="15" t="n"/>
      <c r="G1999" s="23" t="n"/>
      <c r="H1999" s="25" t="n"/>
      <c r="I1999" s="15" t="n"/>
      <c r="J1999" s="26">
        <f>IF($A1999="","",LEN($C1999)-LEN(SUBSTITUTE($C1999,",",""))+1)</f>
        <v/>
      </c>
      <c r="K1999" s="26">
        <f>IF($A1999="","",SUMPRODUCT(--ISNUMBER(SEARCH('Category Dictionary'!$D$5:$D$135&amp;"",$C1999)),--('Category Dictionary'!$D$5:$D$135&lt;&gt;"")))</f>
        <v/>
      </c>
      <c r="L1999" s="27">
        <f>IF($A1999="","",TRIM(IF(ISERROR(FIND(",",$C1999)),$C1999,LEFT($C1999,FIND(",",$C1999)-1))))</f>
        <v/>
      </c>
      <c r="M1999" s="28">
        <f>IF($H1999="","",DATE(YEAR($H1999),MONTH($H1999),1))</f>
        <v/>
      </c>
      <c r="N1999" s="26">
        <f>IF($H1999="","",TODAY()-$H1999)</f>
        <v/>
      </c>
      <c r="O1999" s="15" t="n"/>
      <c r="P1999" s="15" t="n"/>
      <c r="Q1999" s="15" t="n"/>
      <c r="R1999" s="25" t="n"/>
      <c r="S1999" s="26">
        <f>IF($A1999="","",AND(OR('Assignment Builder'!$B$5="",$B1999='Assignment Builder'!$B$5),OR('Assignment Builder'!$B$6="",ISNUMBER(SEARCH('Assignment Builder'!$B$6,$C1999))),OR('Assignment Builder'!$B$7="",'Assignment Builder'!$B$7=IFERROR(INDEX('Category Dictionary'!$C$5:$C$135,MATCH($L1999,'Category Dictionary'!$D$5:$D$135,0)),"")),OR('Assignment Builder'!$B$8="",$D1999='Assignment Builder'!$B$8),OR('Assignment Builder'!$B$9="",$F1999='Assignment Builder'!$B$9),OR('Assignment Builder'!$B$10="",$O1999='Assignment Builder'!$B$10),OR('Assignment Builder'!$B$11="",$H1999&gt;='Assignment Builder'!$B$11),OR('Assignment Builder'!$B$12="",N($Q1999)&lt;='Assignment Builder'!$B$12)))</f>
        <v/>
      </c>
      <c r="T1999" s="23" t="n"/>
    </row>
    <row r="2000">
      <c r="A2000" s="23" t="n"/>
      <c r="B2000" s="23" t="n"/>
      <c r="C2000" s="24" t="n"/>
      <c r="D2000" s="15" t="n"/>
      <c r="E2000" s="23" t="n"/>
      <c r="F2000" s="15" t="n"/>
      <c r="G2000" s="23" t="n"/>
      <c r="H2000" s="25" t="n"/>
      <c r="I2000" s="15" t="n"/>
      <c r="J2000" s="26">
        <f>IF($A2000="","",LEN($C2000)-LEN(SUBSTITUTE($C2000,",",""))+1)</f>
        <v/>
      </c>
      <c r="K2000" s="26">
        <f>IF($A2000="","",SUMPRODUCT(--ISNUMBER(SEARCH('Category Dictionary'!$D$5:$D$135&amp;"",$C2000)),--('Category Dictionary'!$D$5:$D$135&lt;&gt;"")))</f>
        <v/>
      </c>
      <c r="L2000" s="27">
        <f>IF($A2000="","",TRIM(IF(ISERROR(FIND(",",$C2000)),$C2000,LEFT($C2000,FIND(",",$C2000)-1))))</f>
        <v/>
      </c>
      <c r="M2000" s="28">
        <f>IF($H2000="","",DATE(YEAR($H2000),MONTH($H2000),1))</f>
        <v/>
      </c>
      <c r="N2000" s="26">
        <f>IF($H2000="","",TODAY()-$H2000)</f>
        <v/>
      </c>
      <c r="O2000" s="15" t="n"/>
      <c r="P2000" s="15" t="n"/>
      <c r="Q2000" s="15" t="n"/>
      <c r="R2000" s="25" t="n"/>
      <c r="S2000" s="26">
        <f>IF($A2000="","",AND(OR('Assignment Builder'!$B$5="",$B2000='Assignment Builder'!$B$5),OR('Assignment Builder'!$B$6="",ISNUMBER(SEARCH('Assignment Builder'!$B$6,$C2000))),OR('Assignment Builder'!$B$7="",'Assignment Builder'!$B$7=IFERROR(INDEX('Category Dictionary'!$C$5:$C$135,MATCH($L2000,'Category Dictionary'!$D$5:$D$135,0)),"")),OR('Assignment Builder'!$B$8="",$D2000='Assignment Builder'!$B$8),OR('Assignment Builder'!$B$9="",$F2000='Assignment Builder'!$B$9),OR('Assignment Builder'!$B$10="",$O2000='Assignment Builder'!$B$10),OR('Assignment Builder'!$B$11="",$H2000&gt;='Assignment Builder'!$B$11),OR('Assignment Builder'!$B$12="",N($Q2000)&lt;='Assignment Builder'!$B$12)))</f>
        <v/>
      </c>
      <c r="T2000" s="23" t="n"/>
    </row>
    <row r="2001">
      <c r="A2001" s="23" t="n"/>
      <c r="B2001" s="23" t="n"/>
      <c r="C2001" s="24" t="n"/>
      <c r="D2001" s="15" t="n"/>
      <c r="E2001" s="23" t="n"/>
      <c r="F2001" s="15" t="n"/>
      <c r="G2001" s="23" t="n"/>
      <c r="H2001" s="25" t="n"/>
      <c r="I2001" s="15" t="n"/>
      <c r="J2001" s="26">
        <f>IF($A2001="","",LEN($C2001)-LEN(SUBSTITUTE($C2001,",",""))+1)</f>
        <v/>
      </c>
      <c r="K2001" s="26">
        <f>IF($A2001="","",SUMPRODUCT(--ISNUMBER(SEARCH('Category Dictionary'!$D$5:$D$135&amp;"",$C2001)),--('Category Dictionary'!$D$5:$D$135&lt;&gt;"")))</f>
        <v/>
      </c>
      <c r="L2001" s="27">
        <f>IF($A2001="","",TRIM(IF(ISERROR(FIND(",",$C2001)),$C2001,LEFT($C2001,FIND(",",$C2001)-1))))</f>
        <v/>
      </c>
      <c r="M2001" s="28">
        <f>IF($H2001="","",DATE(YEAR($H2001),MONTH($H2001),1))</f>
        <v/>
      </c>
      <c r="N2001" s="26">
        <f>IF($H2001="","",TODAY()-$H2001)</f>
        <v/>
      </c>
      <c r="O2001" s="15" t="n"/>
      <c r="P2001" s="15" t="n"/>
      <c r="Q2001" s="15" t="n"/>
      <c r="R2001" s="25" t="n"/>
      <c r="S2001" s="26">
        <f>IF($A2001="","",AND(OR('Assignment Builder'!$B$5="",$B2001='Assignment Builder'!$B$5),OR('Assignment Builder'!$B$6="",ISNUMBER(SEARCH('Assignment Builder'!$B$6,$C2001))),OR('Assignment Builder'!$B$7="",'Assignment Builder'!$B$7=IFERROR(INDEX('Category Dictionary'!$C$5:$C$135,MATCH($L2001,'Category Dictionary'!$D$5:$D$135,0)),"")),OR('Assignment Builder'!$B$8="",$D2001='Assignment Builder'!$B$8),OR('Assignment Builder'!$B$9="",$F2001='Assignment Builder'!$B$9),OR('Assignment Builder'!$B$10="",$O2001='Assignment Builder'!$B$10),OR('Assignment Builder'!$B$11="",$H2001&gt;='Assignment Builder'!$B$11),OR('Assignment Builder'!$B$12="",N($Q2001)&lt;='Assignment Builder'!$B$12)))</f>
        <v/>
      </c>
      <c r="T2001" s="23" t="n"/>
    </row>
    <row r="2002">
      <c r="A2002" s="23" t="n"/>
      <c r="B2002" s="23" t="n"/>
      <c r="C2002" s="24" t="n"/>
      <c r="D2002" s="15" t="n"/>
      <c r="E2002" s="23" t="n"/>
      <c r="F2002" s="15" t="n"/>
      <c r="G2002" s="23" t="n"/>
      <c r="H2002" s="25" t="n"/>
      <c r="I2002" s="15" t="n"/>
      <c r="J2002" s="26">
        <f>IF($A2002="","",LEN($C2002)-LEN(SUBSTITUTE($C2002,",",""))+1)</f>
        <v/>
      </c>
      <c r="K2002" s="26">
        <f>IF($A2002="","",SUMPRODUCT(--ISNUMBER(SEARCH('Category Dictionary'!$D$5:$D$135&amp;"",$C2002)),--('Category Dictionary'!$D$5:$D$135&lt;&gt;"")))</f>
        <v/>
      </c>
      <c r="L2002" s="27">
        <f>IF($A2002="","",TRIM(IF(ISERROR(FIND(",",$C2002)),$C2002,LEFT($C2002,FIND(",",$C2002)-1))))</f>
        <v/>
      </c>
      <c r="M2002" s="28">
        <f>IF($H2002="","",DATE(YEAR($H2002),MONTH($H2002),1))</f>
        <v/>
      </c>
      <c r="N2002" s="26">
        <f>IF($H2002="","",TODAY()-$H2002)</f>
        <v/>
      </c>
      <c r="O2002" s="15" t="n"/>
      <c r="P2002" s="15" t="n"/>
      <c r="Q2002" s="15" t="n"/>
      <c r="R2002" s="25" t="n"/>
      <c r="S2002" s="26">
        <f>IF($A2002="","",AND(OR('Assignment Builder'!$B$5="",$B2002='Assignment Builder'!$B$5),OR('Assignment Builder'!$B$6="",ISNUMBER(SEARCH('Assignment Builder'!$B$6,$C2002))),OR('Assignment Builder'!$B$7="",'Assignment Builder'!$B$7=IFERROR(INDEX('Category Dictionary'!$C$5:$C$135,MATCH($L2002,'Category Dictionary'!$D$5:$D$135,0)),"")),OR('Assignment Builder'!$B$8="",$D2002='Assignment Builder'!$B$8),OR('Assignment Builder'!$B$9="",$F2002='Assignment Builder'!$B$9),OR('Assignment Builder'!$B$10="",$O2002='Assignment Builder'!$B$10),OR('Assignment Builder'!$B$11="",$H2002&gt;='Assignment Builder'!$B$11),OR('Assignment Builder'!$B$12="",N($Q2002)&lt;='Assignment Builder'!$B$12)))</f>
        <v/>
      </c>
      <c r="T2002" s="23" t="n"/>
    </row>
    <row r="2003">
      <c r="A2003" s="23" t="n"/>
      <c r="B2003" s="23" t="n"/>
      <c r="C2003" s="24" t="n"/>
      <c r="D2003" s="15" t="n"/>
      <c r="E2003" s="23" t="n"/>
      <c r="F2003" s="15" t="n"/>
      <c r="G2003" s="23" t="n"/>
      <c r="H2003" s="25" t="n"/>
      <c r="I2003" s="15" t="n"/>
      <c r="J2003" s="26">
        <f>IF($A2003="","",LEN($C2003)-LEN(SUBSTITUTE($C2003,",",""))+1)</f>
        <v/>
      </c>
      <c r="K2003" s="26">
        <f>IF($A2003="","",SUMPRODUCT(--ISNUMBER(SEARCH('Category Dictionary'!$D$5:$D$135&amp;"",$C2003)),--('Category Dictionary'!$D$5:$D$135&lt;&gt;"")))</f>
        <v/>
      </c>
      <c r="L2003" s="27">
        <f>IF($A2003="","",TRIM(IF(ISERROR(FIND(",",$C2003)),$C2003,LEFT($C2003,FIND(",",$C2003)-1))))</f>
        <v/>
      </c>
      <c r="M2003" s="28">
        <f>IF($H2003="","",DATE(YEAR($H2003),MONTH($H2003),1))</f>
        <v/>
      </c>
      <c r="N2003" s="26">
        <f>IF($H2003="","",TODAY()-$H2003)</f>
        <v/>
      </c>
      <c r="O2003" s="15" t="n"/>
      <c r="P2003" s="15" t="n"/>
      <c r="Q2003" s="15" t="n"/>
      <c r="R2003" s="25" t="n"/>
      <c r="S2003" s="26">
        <f>IF($A2003="","",AND(OR('Assignment Builder'!$B$5="",$B2003='Assignment Builder'!$B$5),OR('Assignment Builder'!$B$6="",ISNUMBER(SEARCH('Assignment Builder'!$B$6,$C2003))),OR('Assignment Builder'!$B$7="",'Assignment Builder'!$B$7=IFERROR(INDEX('Category Dictionary'!$C$5:$C$135,MATCH($L2003,'Category Dictionary'!$D$5:$D$135,0)),"")),OR('Assignment Builder'!$B$8="",$D2003='Assignment Builder'!$B$8),OR('Assignment Builder'!$B$9="",$F2003='Assignment Builder'!$B$9),OR('Assignment Builder'!$B$10="",$O2003='Assignment Builder'!$B$10),OR('Assignment Builder'!$B$11="",$H2003&gt;='Assignment Builder'!$B$11),OR('Assignment Builder'!$B$12="",N($Q2003)&lt;='Assignment Builder'!$B$12)))</f>
        <v/>
      </c>
      <c r="T2003" s="23" t="n"/>
    </row>
    <row r="2004">
      <c r="A2004" s="23" t="n"/>
      <c r="B2004" s="23" t="n"/>
      <c r="C2004" s="24" t="n"/>
      <c r="D2004" s="15" t="n"/>
      <c r="E2004" s="23" t="n"/>
      <c r="F2004" s="15" t="n"/>
      <c r="G2004" s="23" t="n"/>
      <c r="H2004" s="25" t="n"/>
      <c r="I2004" s="15" t="n"/>
      <c r="J2004" s="26">
        <f>IF($A2004="","",LEN($C2004)-LEN(SUBSTITUTE($C2004,",",""))+1)</f>
        <v/>
      </c>
      <c r="K2004" s="26">
        <f>IF($A2004="","",SUMPRODUCT(--ISNUMBER(SEARCH('Category Dictionary'!$D$5:$D$135&amp;"",$C2004)),--('Category Dictionary'!$D$5:$D$135&lt;&gt;"")))</f>
        <v/>
      </c>
      <c r="L2004" s="27">
        <f>IF($A2004="","",TRIM(IF(ISERROR(FIND(",",$C2004)),$C2004,LEFT($C2004,FIND(",",$C2004)-1))))</f>
        <v/>
      </c>
      <c r="M2004" s="28">
        <f>IF($H2004="","",DATE(YEAR($H2004),MONTH($H2004),1))</f>
        <v/>
      </c>
      <c r="N2004" s="26">
        <f>IF($H2004="","",TODAY()-$H2004)</f>
        <v/>
      </c>
      <c r="O2004" s="15" t="n"/>
      <c r="P2004" s="15" t="n"/>
      <c r="Q2004" s="15" t="n"/>
      <c r="R2004" s="25" t="n"/>
      <c r="S2004" s="26">
        <f>IF($A2004="","",AND(OR('Assignment Builder'!$B$5="",$B2004='Assignment Builder'!$B$5),OR('Assignment Builder'!$B$6="",ISNUMBER(SEARCH('Assignment Builder'!$B$6,$C2004))),OR('Assignment Builder'!$B$7="",'Assignment Builder'!$B$7=IFERROR(INDEX('Category Dictionary'!$C$5:$C$135,MATCH($L2004,'Category Dictionary'!$D$5:$D$135,0)),"")),OR('Assignment Builder'!$B$8="",$D2004='Assignment Builder'!$B$8),OR('Assignment Builder'!$B$9="",$F2004='Assignment Builder'!$B$9),OR('Assignment Builder'!$B$10="",$O2004='Assignment Builder'!$B$10),OR('Assignment Builder'!$B$11="",$H2004&gt;='Assignment Builder'!$B$11),OR('Assignment Builder'!$B$12="",N($Q2004)&lt;='Assignment Builder'!$B$12)))</f>
        <v/>
      </c>
      <c r="T2004" s="23" t="n"/>
    </row>
    <row r="2005">
      <c r="A2005" s="23" t="n"/>
      <c r="B2005" s="23" t="n"/>
      <c r="C2005" s="24" t="n"/>
      <c r="D2005" s="15" t="n"/>
      <c r="E2005" s="23" t="n"/>
      <c r="F2005" s="15" t="n"/>
      <c r="G2005" s="23" t="n"/>
      <c r="H2005" s="25" t="n"/>
      <c r="I2005" s="15" t="n"/>
      <c r="J2005" s="26">
        <f>IF($A2005="","",LEN($C2005)-LEN(SUBSTITUTE($C2005,",",""))+1)</f>
        <v/>
      </c>
      <c r="K2005" s="26">
        <f>IF($A2005="","",SUMPRODUCT(--ISNUMBER(SEARCH('Category Dictionary'!$D$5:$D$135&amp;"",$C2005)),--('Category Dictionary'!$D$5:$D$135&lt;&gt;"")))</f>
        <v/>
      </c>
      <c r="L2005" s="27">
        <f>IF($A2005="","",TRIM(IF(ISERROR(FIND(",",$C2005)),$C2005,LEFT($C2005,FIND(",",$C2005)-1))))</f>
        <v/>
      </c>
      <c r="M2005" s="28">
        <f>IF($H2005="","",DATE(YEAR($H2005),MONTH($H2005),1))</f>
        <v/>
      </c>
      <c r="N2005" s="26">
        <f>IF($H2005="","",TODAY()-$H2005)</f>
        <v/>
      </c>
      <c r="O2005" s="15" t="n"/>
      <c r="P2005" s="15" t="n"/>
      <c r="Q2005" s="15" t="n"/>
      <c r="R2005" s="25" t="n"/>
      <c r="S2005" s="26">
        <f>IF($A2005="","",AND(OR('Assignment Builder'!$B$5="",$B2005='Assignment Builder'!$B$5),OR('Assignment Builder'!$B$6="",ISNUMBER(SEARCH('Assignment Builder'!$B$6,$C2005))),OR('Assignment Builder'!$B$7="",'Assignment Builder'!$B$7=IFERROR(INDEX('Category Dictionary'!$C$5:$C$135,MATCH($L2005,'Category Dictionary'!$D$5:$D$135,0)),"")),OR('Assignment Builder'!$B$8="",$D2005='Assignment Builder'!$B$8),OR('Assignment Builder'!$B$9="",$F2005='Assignment Builder'!$B$9),OR('Assignment Builder'!$B$10="",$O2005='Assignment Builder'!$B$10),OR('Assignment Builder'!$B$11="",$H2005&gt;='Assignment Builder'!$B$11),OR('Assignment Builder'!$B$12="",N($Q2005)&lt;='Assignment Builder'!$B$12)))</f>
        <v/>
      </c>
      <c r="T2005" s="23" t="n"/>
    </row>
    <row r="2006">
      <c r="A2006" s="23" t="n"/>
      <c r="B2006" s="23" t="n"/>
      <c r="C2006" s="24" t="n"/>
      <c r="D2006" s="15" t="n"/>
      <c r="E2006" s="23" t="n"/>
      <c r="F2006" s="15" t="n"/>
      <c r="G2006" s="23" t="n"/>
      <c r="H2006" s="25" t="n"/>
      <c r="I2006" s="15" t="n"/>
      <c r="J2006" s="26">
        <f>IF($A2006="","",LEN($C2006)-LEN(SUBSTITUTE($C2006,",",""))+1)</f>
        <v/>
      </c>
      <c r="K2006" s="26">
        <f>IF($A2006="","",SUMPRODUCT(--ISNUMBER(SEARCH('Category Dictionary'!$D$5:$D$135&amp;"",$C2006)),--('Category Dictionary'!$D$5:$D$135&lt;&gt;"")))</f>
        <v/>
      </c>
      <c r="L2006" s="27">
        <f>IF($A2006="","",TRIM(IF(ISERROR(FIND(",",$C2006)),$C2006,LEFT($C2006,FIND(",",$C2006)-1))))</f>
        <v/>
      </c>
      <c r="M2006" s="28">
        <f>IF($H2006="","",DATE(YEAR($H2006),MONTH($H2006),1))</f>
        <v/>
      </c>
      <c r="N2006" s="26">
        <f>IF($H2006="","",TODAY()-$H2006)</f>
        <v/>
      </c>
      <c r="O2006" s="15" t="n"/>
      <c r="P2006" s="15" t="n"/>
      <c r="Q2006" s="15" t="n"/>
      <c r="R2006" s="25" t="n"/>
      <c r="S2006" s="26">
        <f>IF($A2006="","",AND(OR('Assignment Builder'!$B$5="",$B2006='Assignment Builder'!$B$5),OR('Assignment Builder'!$B$6="",ISNUMBER(SEARCH('Assignment Builder'!$B$6,$C2006))),OR('Assignment Builder'!$B$7="",'Assignment Builder'!$B$7=IFERROR(INDEX('Category Dictionary'!$C$5:$C$135,MATCH($L2006,'Category Dictionary'!$D$5:$D$135,0)),"")),OR('Assignment Builder'!$B$8="",$D2006='Assignment Builder'!$B$8),OR('Assignment Builder'!$B$9="",$F2006='Assignment Builder'!$B$9),OR('Assignment Builder'!$B$10="",$O2006='Assignment Builder'!$B$10),OR('Assignment Builder'!$B$11="",$H2006&gt;='Assignment Builder'!$B$11),OR('Assignment Builder'!$B$12="",N($Q2006)&lt;='Assignment Builder'!$B$12)))</f>
        <v/>
      </c>
      <c r="T2006" s="23" t="n"/>
    </row>
    <row r="2007">
      <c r="A2007" s="23" t="n"/>
      <c r="B2007" s="23" t="n"/>
      <c r="C2007" s="24" t="n"/>
      <c r="D2007" s="15" t="n"/>
      <c r="E2007" s="23" t="n"/>
      <c r="F2007" s="15" t="n"/>
      <c r="G2007" s="23" t="n"/>
      <c r="H2007" s="25" t="n"/>
      <c r="I2007" s="15" t="n"/>
      <c r="J2007" s="26">
        <f>IF($A2007="","",LEN($C2007)-LEN(SUBSTITUTE($C2007,",",""))+1)</f>
        <v/>
      </c>
      <c r="K2007" s="26">
        <f>IF($A2007="","",SUMPRODUCT(--ISNUMBER(SEARCH('Category Dictionary'!$D$5:$D$135&amp;"",$C2007)),--('Category Dictionary'!$D$5:$D$135&lt;&gt;"")))</f>
        <v/>
      </c>
      <c r="L2007" s="27">
        <f>IF($A2007="","",TRIM(IF(ISERROR(FIND(",",$C2007)),$C2007,LEFT($C2007,FIND(",",$C2007)-1))))</f>
        <v/>
      </c>
      <c r="M2007" s="28">
        <f>IF($H2007="","",DATE(YEAR($H2007),MONTH($H2007),1))</f>
        <v/>
      </c>
      <c r="N2007" s="26">
        <f>IF($H2007="","",TODAY()-$H2007)</f>
        <v/>
      </c>
      <c r="O2007" s="15" t="n"/>
      <c r="P2007" s="15" t="n"/>
      <c r="Q2007" s="15" t="n"/>
      <c r="R2007" s="25" t="n"/>
      <c r="S2007" s="26">
        <f>IF($A2007="","",AND(OR('Assignment Builder'!$B$5="",$B2007='Assignment Builder'!$B$5),OR('Assignment Builder'!$B$6="",ISNUMBER(SEARCH('Assignment Builder'!$B$6,$C2007))),OR('Assignment Builder'!$B$7="",'Assignment Builder'!$B$7=IFERROR(INDEX('Category Dictionary'!$C$5:$C$135,MATCH($L2007,'Category Dictionary'!$D$5:$D$135,0)),"")),OR('Assignment Builder'!$B$8="",$D2007='Assignment Builder'!$B$8),OR('Assignment Builder'!$B$9="",$F2007='Assignment Builder'!$B$9),OR('Assignment Builder'!$B$10="",$O2007='Assignment Builder'!$B$10),OR('Assignment Builder'!$B$11="",$H2007&gt;='Assignment Builder'!$B$11),OR('Assignment Builder'!$B$12="",N($Q2007)&lt;='Assignment Builder'!$B$12)))</f>
        <v/>
      </c>
      <c r="T2007" s="23" t="n"/>
    </row>
    <row r="2008">
      <c r="A2008" s="23" t="n"/>
      <c r="B2008" s="23" t="n"/>
      <c r="C2008" s="24" t="n"/>
      <c r="D2008" s="15" t="n"/>
      <c r="E2008" s="23" t="n"/>
      <c r="F2008" s="15" t="n"/>
      <c r="G2008" s="23" t="n"/>
      <c r="H2008" s="25" t="n"/>
      <c r="I2008" s="15" t="n"/>
      <c r="J2008" s="26">
        <f>IF($A2008="","",LEN($C2008)-LEN(SUBSTITUTE($C2008,",",""))+1)</f>
        <v/>
      </c>
      <c r="K2008" s="26">
        <f>IF($A2008="","",SUMPRODUCT(--ISNUMBER(SEARCH('Category Dictionary'!$D$5:$D$135&amp;"",$C2008)),--('Category Dictionary'!$D$5:$D$135&lt;&gt;"")))</f>
        <v/>
      </c>
      <c r="L2008" s="27">
        <f>IF($A2008="","",TRIM(IF(ISERROR(FIND(",",$C2008)),$C2008,LEFT($C2008,FIND(",",$C2008)-1))))</f>
        <v/>
      </c>
      <c r="M2008" s="28">
        <f>IF($H2008="","",DATE(YEAR($H2008),MONTH($H2008),1))</f>
        <v/>
      </c>
      <c r="N2008" s="26">
        <f>IF($H2008="","",TODAY()-$H2008)</f>
        <v/>
      </c>
      <c r="O2008" s="15" t="n"/>
      <c r="P2008" s="15" t="n"/>
      <c r="Q2008" s="15" t="n"/>
      <c r="R2008" s="25" t="n"/>
      <c r="S2008" s="26">
        <f>IF($A2008="","",AND(OR('Assignment Builder'!$B$5="",$B2008='Assignment Builder'!$B$5),OR('Assignment Builder'!$B$6="",ISNUMBER(SEARCH('Assignment Builder'!$B$6,$C2008))),OR('Assignment Builder'!$B$7="",'Assignment Builder'!$B$7=IFERROR(INDEX('Category Dictionary'!$C$5:$C$135,MATCH($L2008,'Category Dictionary'!$D$5:$D$135,0)),"")),OR('Assignment Builder'!$B$8="",$D2008='Assignment Builder'!$B$8),OR('Assignment Builder'!$B$9="",$F2008='Assignment Builder'!$B$9),OR('Assignment Builder'!$B$10="",$O2008='Assignment Builder'!$B$10),OR('Assignment Builder'!$B$11="",$H2008&gt;='Assignment Builder'!$B$11),OR('Assignment Builder'!$B$12="",N($Q2008)&lt;='Assignment Builder'!$B$12)))</f>
        <v/>
      </c>
      <c r="T2008" s="23" t="n"/>
    </row>
    <row r="2009">
      <c r="A2009" s="23" t="n"/>
      <c r="B2009" s="23" t="n"/>
      <c r="C2009" s="24" t="n"/>
      <c r="D2009" s="15" t="n"/>
      <c r="E2009" s="23" t="n"/>
      <c r="F2009" s="15" t="n"/>
      <c r="G2009" s="23" t="n"/>
      <c r="H2009" s="25" t="n"/>
      <c r="I2009" s="15" t="n"/>
      <c r="J2009" s="26">
        <f>IF($A2009="","",LEN($C2009)-LEN(SUBSTITUTE($C2009,",",""))+1)</f>
        <v/>
      </c>
      <c r="K2009" s="26">
        <f>IF($A2009="","",SUMPRODUCT(--ISNUMBER(SEARCH('Category Dictionary'!$D$5:$D$135&amp;"",$C2009)),--('Category Dictionary'!$D$5:$D$135&lt;&gt;"")))</f>
        <v/>
      </c>
      <c r="L2009" s="27">
        <f>IF($A2009="","",TRIM(IF(ISERROR(FIND(",",$C2009)),$C2009,LEFT($C2009,FIND(",",$C2009)-1))))</f>
        <v/>
      </c>
      <c r="M2009" s="28">
        <f>IF($H2009="","",DATE(YEAR($H2009),MONTH($H2009),1))</f>
        <v/>
      </c>
      <c r="N2009" s="26">
        <f>IF($H2009="","",TODAY()-$H2009)</f>
        <v/>
      </c>
      <c r="O2009" s="15" t="n"/>
      <c r="P2009" s="15" t="n"/>
      <c r="Q2009" s="15" t="n"/>
      <c r="R2009" s="25" t="n"/>
      <c r="S2009" s="26">
        <f>IF($A2009="","",AND(OR('Assignment Builder'!$B$5="",$B2009='Assignment Builder'!$B$5),OR('Assignment Builder'!$B$6="",ISNUMBER(SEARCH('Assignment Builder'!$B$6,$C2009))),OR('Assignment Builder'!$B$7="",'Assignment Builder'!$B$7=IFERROR(INDEX('Category Dictionary'!$C$5:$C$135,MATCH($L2009,'Category Dictionary'!$D$5:$D$135,0)),"")),OR('Assignment Builder'!$B$8="",$D2009='Assignment Builder'!$B$8),OR('Assignment Builder'!$B$9="",$F2009='Assignment Builder'!$B$9),OR('Assignment Builder'!$B$10="",$O2009='Assignment Builder'!$B$10),OR('Assignment Builder'!$B$11="",$H2009&gt;='Assignment Builder'!$B$11),OR('Assignment Builder'!$B$12="",N($Q2009)&lt;='Assignment Builder'!$B$12)))</f>
        <v/>
      </c>
      <c r="T2009" s="23" t="n"/>
    </row>
    <row r="2010">
      <c r="A2010" s="23" t="n"/>
      <c r="B2010" s="23" t="n"/>
      <c r="C2010" s="24" t="n"/>
      <c r="D2010" s="15" t="n"/>
      <c r="E2010" s="23" t="n"/>
      <c r="F2010" s="15" t="n"/>
      <c r="G2010" s="23" t="n"/>
      <c r="H2010" s="25" t="n"/>
      <c r="I2010" s="15" t="n"/>
      <c r="J2010" s="26">
        <f>IF($A2010="","",LEN($C2010)-LEN(SUBSTITUTE($C2010,",",""))+1)</f>
        <v/>
      </c>
      <c r="K2010" s="26">
        <f>IF($A2010="","",SUMPRODUCT(--ISNUMBER(SEARCH('Category Dictionary'!$D$5:$D$135&amp;"",$C2010)),--('Category Dictionary'!$D$5:$D$135&lt;&gt;"")))</f>
        <v/>
      </c>
      <c r="L2010" s="27">
        <f>IF($A2010="","",TRIM(IF(ISERROR(FIND(",",$C2010)),$C2010,LEFT($C2010,FIND(",",$C2010)-1))))</f>
        <v/>
      </c>
      <c r="M2010" s="28">
        <f>IF($H2010="","",DATE(YEAR($H2010),MONTH($H2010),1))</f>
        <v/>
      </c>
      <c r="N2010" s="26">
        <f>IF($H2010="","",TODAY()-$H2010)</f>
        <v/>
      </c>
      <c r="O2010" s="15" t="n"/>
      <c r="P2010" s="15" t="n"/>
      <c r="Q2010" s="15" t="n"/>
      <c r="R2010" s="25" t="n"/>
      <c r="S2010" s="26">
        <f>IF($A2010="","",AND(OR('Assignment Builder'!$B$5="",$B2010='Assignment Builder'!$B$5),OR('Assignment Builder'!$B$6="",ISNUMBER(SEARCH('Assignment Builder'!$B$6,$C2010))),OR('Assignment Builder'!$B$7="",'Assignment Builder'!$B$7=IFERROR(INDEX('Category Dictionary'!$C$5:$C$135,MATCH($L2010,'Category Dictionary'!$D$5:$D$135,0)),"")),OR('Assignment Builder'!$B$8="",$D2010='Assignment Builder'!$B$8),OR('Assignment Builder'!$B$9="",$F2010='Assignment Builder'!$B$9),OR('Assignment Builder'!$B$10="",$O2010='Assignment Builder'!$B$10),OR('Assignment Builder'!$B$11="",$H2010&gt;='Assignment Builder'!$B$11),OR('Assignment Builder'!$B$12="",N($Q2010)&lt;='Assignment Builder'!$B$12)))</f>
        <v/>
      </c>
      <c r="T2010" s="23" t="n"/>
    </row>
    <row r="2011">
      <c r="A2011" s="23" t="n"/>
      <c r="B2011" s="23" t="n"/>
      <c r="C2011" s="24" t="n"/>
      <c r="D2011" s="15" t="n"/>
      <c r="E2011" s="23" t="n"/>
      <c r="F2011" s="15" t="n"/>
      <c r="G2011" s="23" t="n"/>
      <c r="H2011" s="25" t="n"/>
      <c r="I2011" s="15" t="n"/>
      <c r="J2011" s="26">
        <f>IF($A2011="","",LEN($C2011)-LEN(SUBSTITUTE($C2011,",",""))+1)</f>
        <v/>
      </c>
      <c r="K2011" s="26">
        <f>IF($A2011="","",SUMPRODUCT(--ISNUMBER(SEARCH('Category Dictionary'!$D$5:$D$135&amp;"",$C2011)),--('Category Dictionary'!$D$5:$D$135&lt;&gt;"")))</f>
        <v/>
      </c>
      <c r="L2011" s="27">
        <f>IF($A2011="","",TRIM(IF(ISERROR(FIND(",",$C2011)),$C2011,LEFT($C2011,FIND(",",$C2011)-1))))</f>
        <v/>
      </c>
      <c r="M2011" s="28">
        <f>IF($H2011="","",DATE(YEAR($H2011),MONTH($H2011),1))</f>
        <v/>
      </c>
      <c r="N2011" s="26">
        <f>IF($H2011="","",TODAY()-$H2011)</f>
        <v/>
      </c>
      <c r="O2011" s="15" t="n"/>
      <c r="P2011" s="15" t="n"/>
      <c r="Q2011" s="15" t="n"/>
      <c r="R2011" s="25" t="n"/>
      <c r="S2011" s="26">
        <f>IF($A2011="","",AND(OR('Assignment Builder'!$B$5="",$B2011='Assignment Builder'!$B$5),OR('Assignment Builder'!$B$6="",ISNUMBER(SEARCH('Assignment Builder'!$B$6,$C2011))),OR('Assignment Builder'!$B$7="",'Assignment Builder'!$B$7=IFERROR(INDEX('Category Dictionary'!$C$5:$C$135,MATCH($L2011,'Category Dictionary'!$D$5:$D$135,0)),"")),OR('Assignment Builder'!$B$8="",$D2011='Assignment Builder'!$B$8),OR('Assignment Builder'!$B$9="",$F2011='Assignment Builder'!$B$9),OR('Assignment Builder'!$B$10="",$O2011='Assignment Builder'!$B$10),OR('Assignment Builder'!$B$11="",$H2011&gt;='Assignment Builder'!$B$11),OR('Assignment Builder'!$B$12="",N($Q2011)&lt;='Assignment Builder'!$B$12)))</f>
        <v/>
      </c>
      <c r="T2011" s="23" t="n"/>
    </row>
    <row r="2012">
      <c r="A2012" s="23" t="n"/>
      <c r="B2012" s="23" t="n"/>
      <c r="C2012" s="24" t="n"/>
      <c r="D2012" s="15" t="n"/>
      <c r="E2012" s="23" t="n"/>
      <c r="F2012" s="15" t="n"/>
      <c r="G2012" s="23" t="n"/>
      <c r="H2012" s="25" t="n"/>
      <c r="I2012" s="15" t="n"/>
      <c r="J2012" s="26">
        <f>IF($A2012="","",LEN($C2012)-LEN(SUBSTITUTE($C2012,",",""))+1)</f>
        <v/>
      </c>
      <c r="K2012" s="26">
        <f>IF($A2012="","",SUMPRODUCT(--ISNUMBER(SEARCH('Category Dictionary'!$D$5:$D$135&amp;"",$C2012)),--('Category Dictionary'!$D$5:$D$135&lt;&gt;"")))</f>
        <v/>
      </c>
      <c r="L2012" s="27">
        <f>IF($A2012="","",TRIM(IF(ISERROR(FIND(",",$C2012)),$C2012,LEFT($C2012,FIND(",",$C2012)-1))))</f>
        <v/>
      </c>
      <c r="M2012" s="28">
        <f>IF($H2012="","",DATE(YEAR($H2012),MONTH($H2012),1))</f>
        <v/>
      </c>
      <c r="N2012" s="26">
        <f>IF($H2012="","",TODAY()-$H2012)</f>
        <v/>
      </c>
      <c r="O2012" s="15" t="n"/>
      <c r="P2012" s="15" t="n"/>
      <c r="Q2012" s="15" t="n"/>
      <c r="R2012" s="25" t="n"/>
      <c r="S2012" s="26">
        <f>IF($A2012="","",AND(OR('Assignment Builder'!$B$5="",$B2012='Assignment Builder'!$B$5),OR('Assignment Builder'!$B$6="",ISNUMBER(SEARCH('Assignment Builder'!$B$6,$C2012))),OR('Assignment Builder'!$B$7="",'Assignment Builder'!$B$7=IFERROR(INDEX('Category Dictionary'!$C$5:$C$135,MATCH($L2012,'Category Dictionary'!$D$5:$D$135,0)),"")),OR('Assignment Builder'!$B$8="",$D2012='Assignment Builder'!$B$8),OR('Assignment Builder'!$B$9="",$F2012='Assignment Builder'!$B$9),OR('Assignment Builder'!$B$10="",$O2012='Assignment Builder'!$B$10),OR('Assignment Builder'!$B$11="",$H2012&gt;='Assignment Builder'!$B$11),OR('Assignment Builder'!$B$12="",N($Q2012)&lt;='Assignment Builder'!$B$12)))</f>
        <v/>
      </c>
      <c r="T2012" s="23" t="n"/>
    </row>
    <row r="2013">
      <c r="A2013" s="23" t="n"/>
      <c r="B2013" s="23" t="n"/>
      <c r="C2013" s="24" t="n"/>
      <c r="D2013" s="15" t="n"/>
      <c r="E2013" s="23" t="n"/>
      <c r="F2013" s="15" t="n"/>
      <c r="G2013" s="23" t="n"/>
      <c r="H2013" s="25" t="n"/>
      <c r="I2013" s="15" t="n"/>
      <c r="J2013" s="26">
        <f>IF($A2013="","",LEN($C2013)-LEN(SUBSTITUTE($C2013,",",""))+1)</f>
        <v/>
      </c>
      <c r="K2013" s="26">
        <f>IF($A2013="","",SUMPRODUCT(--ISNUMBER(SEARCH('Category Dictionary'!$D$5:$D$135&amp;"",$C2013)),--('Category Dictionary'!$D$5:$D$135&lt;&gt;"")))</f>
        <v/>
      </c>
      <c r="L2013" s="27">
        <f>IF($A2013="","",TRIM(IF(ISERROR(FIND(",",$C2013)),$C2013,LEFT($C2013,FIND(",",$C2013)-1))))</f>
        <v/>
      </c>
      <c r="M2013" s="28">
        <f>IF($H2013="","",DATE(YEAR($H2013),MONTH($H2013),1))</f>
        <v/>
      </c>
      <c r="N2013" s="26">
        <f>IF($H2013="","",TODAY()-$H2013)</f>
        <v/>
      </c>
      <c r="O2013" s="15" t="n"/>
      <c r="P2013" s="15" t="n"/>
      <c r="Q2013" s="15" t="n"/>
      <c r="R2013" s="25" t="n"/>
      <c r="S2013" s="26">
        <f>IF($A2013="","",AND(OR('Assignment Builder'!$B$5="",$B2013='Assignment Builder'!$B$5),OR('Assignment Builder'!$B$6="",ISNUMBER(SEARCH('Assignment Builder'!$B$6,$C2013))),OR('Assignment Builder'!$B$7="",'Assignment Builder'!$B$7=IFERROR(INDEX('Category Dictionary'!$C$5:$C$135,MATCH($L2013,'Category Dictionary'!$D$5:$D$135,0)),"")),OR('Assignment Builder'!$B$8="",$D2013='Assignment Builder'!$B$8),OR('Assignment Builder'!$B$9="",$F2013='Assignment Builder'!$B$9),OR('Assignment Builder'!$B$10="",$O2013='Assignment Builder'!$B$10),OR('Assignment Builder'!$B$11="",$H2013&gt;='Assignment Builder'!$B$11),OR('Assignment Builder'!$B$12="",N($Q2013)&lt;='Assignment Builder'!$B$12)))</f>
        <v/>
      </c>
      <c r="T2013" s="23" t="n"/>
    </row>
    <row r="2014">
      <c r="A2014" s="23" t="n"/>
      <c r="B2014" s="23" t="n"/>
      <c r="C2014" s="24" t="n"/>
      <c r="D2014" s="15" t="n"/>
      <c r="E2014" s="23" t="n"/>
      <c r="F2014" s="15" t="n"/>
      <c r="G2014" s="23" t="n"/>
      <c r="H2014" s="25" t="n"/>
      <c r="I2014" s="15" t="n"/>
      <c r="J2014" s="26">
        <f>IF($A2014="","",LEN($C2014)-LEN(SUBSTITUTE($C2014,",",""))+1)</f>
        <v/>
      </c>
      <c r="K2014" s="26">
        <f>IF($A2014="","",SUMPRODUCT(--ISNUMBER(SEARCH('Category Dictionary'!$D$5:$D$135&amp;"",$C2014)),--('Category Dictionary'!$D$5:$D$135&lt;&gt;"")))</f>
        <v/>
      </c>
      <c r="L2014" s="27">
        <f>IF($A2014="","",TRIM(IF(ISERROR(FIND(",",$C2014)),$C2014,LEFT($C2014,FIND(",",$C2014)-1))))</f>
        <v/>
      </c>
      <c r="M2014" s="28">
        <f>IF($H2014="","",DATE(YEAR($H2014),MONTH($H2014),1))</f>
        <v/>
      </c>
      <c r="N2014" s="26">
        <f>IF($H2014="","",TODAY()-$H2014)</f>
        <v/>
      </c>
      <c r="O2014" s="15" t="n"/>
      <c r="P2014" s="15" t="n"/>
      <c r="Q2014" s="15" t="n"/>
      <c r="R2014" s="25" t="n"/>
      <c r="S2014" s="26">
        <f>IF($A2014="","",AND(OR('Assignment Builder'!$B$5="",$B2014='Assignment Builder'!$B$5),OR('Assignment Builder'!$B$6="",ISNUMBER(SEARCH('Assignment Builder'!$B$6,$C2014))),OR('Assignment Builder'!$B$7="",'Assignment Builder'!$B$7=IFERROR(INDEX('Category Dictionary'!$C$5:$C$135,MATCH($L2014,'Category Dictionary'!$D$5:$D$135,0)),"")),OR('Assignment Builder'!$B$8="",$D2014='Assignment Builder'!$B$8),OR('Assignment Builder'!$B$9="",$F2014='Assignment Builder'!$B$9),OR('Assignment Builder'!$B$10="",$O2014='Assignment Builder'!$B$10),OR('Assignment Builder'!$B$11="",$H2014&gt;='Assignment Builder'!$B$11),OR('Assignment Builder'!$B$12="",N($Q2014)&lt;='Assignment Builder'!$B$12)))</f>
        <v/>
      </c>
      <c r="T2014" s="23" t="n"/>
    </row>
    <row r="2015">
      <c r="A2015" s="23" t="n"/>
      <c r="B2015" s="23" t="n"/>
      <c r="C2015" s="24" t="n"/>
      <c r="D2015" s="15" t="n"/>
      <c r="E2015" s="23" t="n"/>
      <c r="F2015" s="15" t="n"/>
      <c r="G2015" s="23" t="n"/>
      <c r="H2015" s="25" t="n"/>
      <c r="I2015" s="15" t="n"/>
      <c r="J2015" s="26">
        <f>IF($A2015="","",LEN($C2015)-LEN(SUBSTITUTE($C2015,",",""))+1)</f>
        <v/>
      </c>
      <c r="K2015" s="26">
        <f>IF($A2015="","",SUMPRODUCT(--ISNUMBER(SEARCH('Category Dictionary'!$D$5:$D$135&amp;"",$C2015)),--('Category Dictionary'!$D$5:$D$135&lt;&gt;"")))</f>
        <v/>
      </c>
      <c r="L2015" s="27">
        <f>IF($A2015="","",TRIM(IF(ISERROR(FIND(",",$C2015)),$C2015,LEFT($C2015,FIND(",",$C2015)-1))))</f>
        <v/>
      </c>
      <c r="M2015" s="28">
        <f>IF($H2015="","",DATE(YEAR($H2015),MONTH($H2015),1))</f>
        <v/>
      </c>
      <c r="N2015" s="26">
        <f>IF($H2015="","",TODAY()-$H2015)</f>
        <v/>
      </c>
      <c r="O2015" s="15" t="n"/>
      <c r="P2015" s="15" t="n"/>
      <c r="Q2015" s="15" t="n"/>
      <c r="R2015" s="25" t="n"/>
      <c r="S2015" s="26">
        <f>IF($A2015="","",AND(OR('Assignment Builder'!$B$5="",$B2015='Assignment Builder'!$B$5),OR('Assignment Builder'!$B$6="",ISNUMBER(SEARCH('Assignment Builder'!$B$6,$C2015))),OR('Assignment Builder'!$B$7="",'Assignment Builder'!$B$7=IFERROR(INDEX('Category Dictionary'!$C$5:$C$135,MATCH($L2015,'Category Dictionary'!$D$5:$D$135,0)),"")),OR('Assignment Builder'!$B$8="",$D2015='Assignment Builder'!$B$8),OR('Assignment Builder'!$B$9="",$F2015='Assignment Builder'!$B$9),OR('Assignment Builder'!$B$10="",$O2015='Assignment Builder'!$B$10),OR('Assignment Builder'!$B$11="",$H2015&gt;='Assignment Builder'!$B$11),OR('Assignment Builder'!$B$12="",N($Q2015)&lt;='Assignment Builder'!$B$12)))</f>
        <v/>
      </c>
      <c r="T2015" s="23" t="n"/>
    </row>
    <row r="2016">
      <c r="A2016" s="23" t="n"/>
      <c r="B2016" s="23" t="n"/>
      <c r="C2016" s="24" t="n"/>
      <c r="D2016" s="15" t="n"/>
      <c r="E2016" s="23" t="n"/>
      <c r="F2016" s="15" t="n"/>
      <c r="G2016" s="23" t="n"/>
      <c r="H2016" s="25" t="n"/>
      <c r="I2016" s="15" t="n"/>
      <c r="J2016" s="26">
        <f>IF($A2016="","",LEN($C2016)-LEN(SUBSTITUTE($C2016,",",""))+1)</f>
        <v/>
      </c>
      <c r="K2016" s="26">
        <f>IF($A2016="","",SUMPRODUCT(--ISNUMBER(SEARCH('Category Dictionary'!$D$5:$D$135&amp;"",$C2016)),--('Category Dictionary'!$D$5:$D$135&lt;&gt;"")))</f>
        <v/>
      </c>
      <c r="L2016" s="27">
        <f>IF($A2016="","",TRIM(IF(ISERROR(FIND(",",$C2016)),$C2016,LEFT($C2016,FIND(",",$C2016)-1))))</f>
        <v/>
      </c>
      <c r="M2016" s="28">
        <f>IF($H2016="","",DATE(YEAR($H2016),MONTH($H2016),1))</f>
        <v/>
      </c>
      <c r="N2016" s="26">
        <f>IF($H2016="","",TODAY()-$H2016)</f>
        <v/>
      </c>
      <c r="O2016" s="15" t="n"/>
      <c r="P2016" s="15" t="n"/>
      <c r="Q2016" s="15" t="n"/>
      <c r="R2016" s="25" t="n"/>
      <c r="S2016" s="26">
        <f>IF($A2016="","",AND(OR('Assignment Builder'!$B$5="",$B2016='Assignment Builder'!$B$5),OR('Assignment Builder'!$B$6="",ISNUMBER(SEARCH('Assignment Builder'!$B$6,$C2016))),OR('Assignment Builder'!$B$7="",'Assignment Builder'!$B$7=IFERROR(INDEX('Category Dictionary'!$C$5:$C$135,MATCH($L2016,'Category Dictionary'!$D$5:$D$135,0)),"")),OR('Assignment Builder'!$B$8="",$D2016='Assignment Builder'!$B$8),OR('Assignment Builder'!$B$9="",$F2016='Assignment Builder'!$B$9),OR('Assignment Builder'!$B$10="",$O2016='Assignment Builder'!$B$10),OR('Assignment Builder'!$B$11="",$H2016&gt;='Assignment Builder'!$B$11),OR('Assignment Builder'!$B$12="",N($Q2016)&lt;='Assignment Builder'!$B$12)))</f>
        <v/>
      </c>
      <c r="T2016" s="23" t="n"/>
    </row>
    <row r="2017">
      <c r="A2017" s="23" t="n"/>
      <c r="B2017" s="23" t="n"/>
      <c r="C2017" s="24" t="n"/>
      <c r="D2017" s="15" t="n"/>
      <c r="E2017" s="23" t="n"/>
      <c r="F2017" s="15" t="n"/>
      <c r="G2017" s="23" t="n"/>
      <c r="H2017" s="25" t="n"/>
      <c r="I2017" s="15" t="n"/>
      <c r="J2017" s="26">
        <f>IF($A2017="","",LEN($C2017)-LEN(SUBSTITUTE($C2017,",",""))+1)</f>
        <v/>
      </c>
      <c r="K2017" s="26">
        <f>IF($A2017="","",SUMPRODUCT(--ISNUMBER(SEARCH('Category Dictionary'!$D$5:$D$135&amp;"",$C2017)),--('Category Dictionary'!$D$5:$D$135&lt;&gt;"")))</f>
        <v/>
      </c>
      <c r="L2017" s="27">
        <f>IF($A2017="","",TRIM(IF(ISERROR(FIND(",",$C2017)),$C2017,LEFT($C2017,FIND(",",$C2017)-1))))</f>
        <v/>
      </c>
      <c r="M2017" s="28">
        <f>IF($H2017="","",DATE(YEAR($H2017),MONTH($H2017),1))</f>
        <v/>
      </c>
      <c r="N2017" s="26">
        <f>IF($H2017="","",TODAY()-$H2017)</f>
        <v/>
      </c>
      <c r="O2017" s="15" t="n"/>
      <c r="P2017" s="15" t="n"/>
      <c r="Q2017" s="15" t="n"/>
      <c r="R2017" s="25" t="n"/>
      <c r="S2017" s="26">
        <f>IF($A2017="","",AND(OR('Assignment Builder'!$B$5="",$B2017='Assignment Builder'!$B$5),OR('Assignment Builder'!$B$6="",ISNUMBER(SEARCH('Assignment Builder'!$B$6,$C2017))),OR('Assignment Builder'!$B$7="",'Assignment Builder'!$B$7=IFERROR(INDEX('Category Dictionary'!$C$5:$C$135,MATCH($L2017,'Category Dictionary'!$D$5:$D$135,0)),"")),OR('Assignment Builder'!$B$8="",$D2017='Assignment Builder'!$B$8),OR('Assignment Builder'!$B$9="",$F2017='Assignment Builder'!$B$9),OR('Assignment Builder'!$B$10="",$O2017='Assignment Builder'!$B$10),OR('Assignment Builder'!$B$11="",$H2017&gt;='Assignment Builder'!$B$11),OR('Assignment Builder'!$B$12="",N($Q2017)&lt;='Assignment Builder'!$B$12)))</f>
        <v/>
      </c>
      <c r="T2017" s="23" t="n"/>
    </row>
    <row r="2018">
      <c r="A2018" s="23" t="n"/>
      <c r="B2018" s="23" t="n"/>
      <c r="C2018" s="24" t="n"/>
      <c r="D2018" s="15" t="n"/>
      <c r="E2018" s="23" t="n"/>
      <c r="F2018" s="15" t="n"/>
      <c r="G2018" s="23" t="n"/>
      <c r="H2018" s="25" t="n"/>
      <c r="I2018" s="15" t="n"/>
      <c r="J2018" s="26">
        <f>IF($A2018="","",LEN($C2018)-LEN(SUBSTITUTE($C2018,",",""))+1)</f>
        <v/>
      </c>
      <c r="K2018" s="26">
        <f>IF($A2018="","",SUMPRODUCT(--ISNUMBER(SEARCH('Category Dictionary'!$D$5:$D$135&amp;"",$C2018)),--('Category Dictionary'!$D$5:$D$135&lt;&gt;"")))</f>
        <v/>
      </c>
      <c r="L2018" s="27">
        <f>IF($A2018="","",TRIM(IF(ISERROR(FIND(",",$C2018)),$C2018,LEFT($C2018,FIND(",",$C2018)-1))))</f>
        <v/>
      </c>
      <c r="M2018" s="28">
        <f>IF($H2018="","",DATE(YEAR($H2018),MONTH($H2018),1))</f>
        <v/>
      </c>
      <c r="N2018" s="26">
        <f>IF($H2018="","",TODAY()-$H2018)</f>
        <v/>
      </c>
      <c r="O2018" s="15" t="n"/>
      <c r="P2018" s="15" t="n"/>
      <c r="Q2018" s="15" t="n"/>
      <c r="R2018" s="25" t="n"/>
      <c r="S2018" s="26">
        <f>IF($A2018="","",AND(OR('Assignment Builder'!$B$5="",$B2018='Assignment Builder'!$B$5),OR('Assignment Builder'!$B$6="",ISNUMBER(SEARCH('Assignment Builder'!$B$6,$C2018))),OR('Assignment Builder'!$B$7="",'Assignment Builder'!$B$7=IFERROR(INDEX('Category Dictionary'!$C$5:$C$135,MATCH($L2018,'Category Dictionary'!$D$5:$D$135,0)),"")),OR('Assignment Builder'!$B$8="",$D2018='Assignment Builder'!$B$8),OR('Assignment Builder'!$B$9="",$F2018='Assignment Builder'!$B$9),OR('Assignment Builder'!$B$10="",$O2018='Assignment Builder'!$B$10),OR('Assignment Builder'!$B$11="",$H2018&gt;='Assignment Builder'!$B$11),OR('Assignment Builder'!$B$12="",N($Q2018)&lt;='Assignment Builder'!$B$12)))</f>
        <v/>
      </c>
      <c r="T2018" s="23" t="n"/>
    </row>
    <row r="2019">
      <c r="A2019" s="23" t="n"/>
      <c r="B2019" s="23" t="n"/>
      <c r="C2019" s="24" t="n"/>
      <c r="D2019" s="15" t="n"/>
      <c r="E2019" s="23" t="n"/>
      <c r="F2019" s="15" t="n"/>
      <c r="G2019" s="23" t="n"/>
      <c r="H2019" s="25" t="n"/>
      <c r="I2019" s="15" t="n"/>
      <c r="J2019" s="26">
        <f>IF($A2019="","",LEN($C2019)-LEN(SUBSTITUTE($C2019,",",""))+1)</f>
        <v/>
      </c>
      <c r="K2019" s="26">
        <f>IF($A2019="","",SUMPRODUCT(--ISNUMBER(SEARCH('Category Dictionary'!$D$5:$D$135&amp;"",$C2019)),--('Category Dictionary'!$D$5:$D$135&lt;&gt;"")))</f>
        <v/>
      </c>
      <c r="L2019" s="27">
        <f>IF($A2019="","",TRIM(IF(ISERROR(FIND(",",$C2019)),$C2019,LEFT($C2019,FIND(",",$C2019)-1))))</f>
        <v/>
      </c>
      <c r="M2019" s="28">
        <f>IF($H2019="","",DATE(YEAR($H2019),MONTH($H2019),1))</f>
        <v/>
      </c>
      <c r="N2019" s="26">
        <f>IF($H2019="","",TODAY()-$H2019)</f>
        <v/>
      </c>
      <c r="O2019" s="15" t="n"/>
      <c r="P2019" s="15" t="n"/>
      <c r="Q2019" s="15" t="n"/>
      <c r="R2019" s="25" t="n"/>
      <c r="S2019" s="26">
        <f>IF($A2019="","",AND(OR('Assignment Builder'!$B$5="",$B2019='Assignment Builder'!$B$5),OR('Assignment Builder'!$B$6="",ISNUMBER(SEARCH('Assignment Builder'!$B$6,$C2019))),OR('Assignment Builder'!$B$7="",'Assignment Builder'!$B$7=IFERROR(INDEX('Category Dictionary'!$C$5:$C$135,MATCH($L2019,'Category Dictionary'!$D$5:$D$135,0)),"")),OR('Assignment Builder'!$B$8="",$D2019='Assignment Builder'!$B$8),OR('Assignment Builder'!$B$9="",$F2019='Assignment Builder'!$B$9),OR('Assignment Builder'!$B$10="",$O2019='Assignment Builder'!$B$10),OR('Assignment Builder'!$B$11="",$H2019&gt;='Assignment Builder'!$B$11),OR('Assignment Builder'!$B$12="",N($Q2019)&lt;='Assignment Builder'!$B$12)))</f>
        <v/>
      </c>
      <c r="T2019" s="23" t="n"/>
    </row>
    <row r="2020">
      <c r="A2020" s="23" t="n"/>
      <c r="B2020" s="23" t="n"/>
      <c r="C2020" s="24" t="n"/>
      <c r="D2020" s="15" t="n"/>
      <c r="E2020" s="23" t="n"/>
      <c r="F2020" s="15" t="n"/>
      <c r="G2020" s="23" t="n"/>
      <c r="H2020" s="25" t="n"/>
      <c r="I2020" s="15" t="n"/>
      <c r="J2020" s="26">
        <f>IF($A2020="","",LEN($C2020)-LEN(SUBSTITUTE($C2020,",",""))+1)</f>
        <v/>
      </c>
      <c r="K2020" s="26">
        <f>IF($A2020="","",SUMPRODUCT(--ISNUMBER(SEARCH('Category Dictionary'!$D$5:$D$135&amp;"",$C2020)),--('Category Dictionary'!$D$5:$D$135&lt;&gt;"")))</f>
        <v/>
      </c>
      <c r="L2020" s="27">
        <f>IF($A2020="","",TRIM(IF(ISERROR(FIND(",",$C2020)),$C2020,LEFT($C2020,FIND(",",$C2020)-1))))</f>
        <v/>
      </c>
      <c r="M2020" s="28">
        <f>IF($H2020="","",DATE(YEAR($H2020),MONTH($H2020),1))</f>
        <v/>
      </c>
      <c r="N2020" s="26">
        <f>IF($H2020="","",TODAY()-$H2020)</f>
        <v/>
      </c>
      <c r="O2020" s="15" t="n"/>
      <c r="P2020" s="15" t="n"/>
      <c r="Q2020" s="15" t="n"/>
      <c r="R2020" s="25" t="n"/>
      <c r="S2020" s="26">
        <f>IF($A2020="","",AND(OR('Assignment Builder'!$B$5="",$B2020='Assignment Builder'!$B$5),OR('Assignment Builder'!$B$6="",ISNUMBER(SEARCH('Assignment Builder'!$B$6,$C2020))),OR('Assignment Builder'!$B$7="",'Assignment Builder'!$B$7=IFERROR(INDEX('Category Dictionary'!$C$5:$C$135,MATCH($L2020,'Category Dictionary'!$D$5:$D$135,0)),"")),OR('Assignment Builder'!$B$8="",$D2020='Assignment Builder'!$B$8),OR('Assignment Builder'!$B$9="",$F2020='Assignment Builder'!$B$9),OR('Assignment Builder'!$B$10="",$O2020='Assignment Builder'!$B$10),OR('Assignment Builder'!$B$11="",$H2020&gt;='Assignment Builder'!$B$11),OR('Assignment Builder'!$B$12="",N($Q2020)&lt;='Assignment Builder'!$B$12)))</f>
        <v/>
      </c>
      <c r="T2020" s="23" t="n"/>
    </row>
    <row r="2021">
      <c r="A2021" s="23" t="n"/>
      <c r="B2021" s="23" t="n"/>
      <c r="C2021" s="24" t="n"/>
      <c r="D2021" s="15" t="n"/>
      <c r="E2021" s="23" t="n"/>
      <c r="F2021" s="15" t="n"/>
      <c r="G2021" s="23" t="n"/>
      <c r="H2021" s="25" t="n"/>
      <c r="I2021" s="15" t="n"/>
      <c r="J2021" s="26">
        <f>IF($A2021="","",LEN($C2021)-LEN(SUBSTITUTE($C2021,",",""))+1)</f>
        <v/>
      </c>
      <c r="K2021" s="26">
        <f>IF($A2021="","",SUMPRODUCT(--ISNUMBER(SEARCH('Category Dictionary'!$D$5:$D$135&amp;"",$C2021)),--('Category Dictionary'!$D$5:$D$135&lt;&gt;"")))</f>
        <v/>
      </c>
      <c r="L2021" s="27">
        <f>IF($A2021="","",TRIM(IF(ISERROR(FIND(",",$C2021)),$C2021,LEFT($C2021,FIND(",",$C2021)-1))))</f>
        <v/>
      </c>
      <c r="M2021" s="28">
        <f>IF($H2021="","",DATE(YEAR($H2021),MONTH($H2021),1))</f>
        <v/>
      </c>
      <c r="N2021" s="26">
        <f>IF($H2021="","",TODAY()-$H2021)</f>
        <v/>
      </c>
      <c r="O2021" s="15" t="n"/>
      <c r="P2021" s="15" t="n"/>
      <c r="Q2021" s="15" t="n"/>
      <c r="R2021" s="25" t="n"/>
      <c r="S2021" s="26">
        <f>IF($A2021="","",AND(OR('Assignment Builder'!$B$5="",$B2021='Assignment Builder'!$B$5),OR('Assignment Builder'!$B$6="",ISNUMBER(SEARCH('Assignment Builder'!$B$6,$C2021))),OR('Assignment Builder'!$B$7="",'Assignment Builder'!$B$7=IFERROR(INDEX('Category Dictionary'!$C$5:$C$135,MATCH($L2021,'Category Dictionary'!$D$5:$D$135,0)),"")),OR('Assignment Builder'!$B$8="",$D2021='Assignment Builder'!$B$8),OR('Assignment Builder'!$B$9="",$F2021='Assignment Builder'!$B$9),OR('Assignment Builder'!$B$10="",$O2021='Assignment Builder'!$B$10),OR('Assignment Builder'!$B$11="",$H2021&gt;='Assignment Builder'!$B$11),OR('Assignment Builder'!$B$12="",N($Q2021)&lt;='Assignment Builder'!$B$12)))</f>
        <v/>
      </c>
      <c r="T2021" s="23" t="n"/>
    </row>
    <row r="2022">
      <c r="A2022" s="23" t="n"/>
      <c r="B2022" s="23" t="n"/>
      <c r="C2022" s="24" t="n"/>
      <c r="D2022" s="15" t="n"/>
      <c r="E2022" s="23" t="n"/>
      <c r="F2022" s="15" t="n"/>
      <c r="G2022" s="23" t="n"/>
      <c r="H2022" s="25" t="n"/>
      <c r="I2022" s="15" t="n"/>
      <c r="J2022" s="26">
        <f>IF($A2022="","",LEN($C2022)-LEN(SUBSTITUTE($C2022,",",""))+1)</f>
        <v/>
      </c>
      <c r="K2022" s="26">
        <f>IF($A2022="","",SUMPRODUCT(--ISNUMBER(SEARCH('Category Dictionary'!$D$5:$D$135&amp;"",$C2022)),--('Category Dictionary'!$D$5:$D$135&lt;&gt;"")))</f>
        <v/>
      </c>
      <c r="L2022" s="27">
        <f>IF($A2022="","",TRIM(IF(ISERROR(FIND(",",$C2022)),$C2022,LEFT($C2022,FIND(",",$C2022)-1))))</f>
        <v/>
      </c>
      <c r="M2022" s="28">
        <f>IF($H2022="","",DATE(YEAR($H2022),MONTH($H2022),1))</f>
        <v/>
      </c>
      <c r="N2022" s="26">
        <f>IF($H2022="","",TODAY()-$H2022)</f>
        <v/>
      </c>
      <c r="O2022" s="15" t="n"/>
      <c r="P2022" s="15" t="n"/>
      <c r="Q2022" s="15" t="n"/>
      <c r="R2022" s="25" t="n"/>
      <c r="S2022" s="26">
        <f>IF($A2022="","",AND(OR('Assignment Builder'!$B$5="",$B2022='Assignment Builder'!$B$5),OR('Assignment Builder'!$B$6="",ISNUMBER(SEARCH('Assignment Builder'!$B$6,$C2022))),OR('Assignment Builder'!$B$7="",'Assignment Builder'!$B$7=IFERROR(INDEX('Category Dictionary'!$C$5:$C$135,MATCH($L2022,'Category Dictionary'!$D$5:$D$135,0)),"")),OR('Assignment Builder'!$B$8="",$D2022='Assignment Builder'!$B$8),OR('Assignment Builder'!$B$9="",$F2022='Assignment Builder'!$B$9),OR('Assignment Builder'!$B$10="",$O2022='Assignment Builder'!$B$10),OR('Assignment Builder'!$B$11="",$H2022&gt;='Assignment Builder'!$B$11),OR('Assignment Builder'!$B$12="",N($Q2022)&lt;='Assignment Builder'!$B$12)))</f>
        <v/>
      </c>
      <c r="T2022" s="23" t="n"/>
    </row>
    <row r="2023">
      <c r="A2023" s="23" t="n"/>
      <c r="B2023" s="23" t="n"/>
      <c r="C2023" s="24" t="n"/>
      <c r="D2023" s="15" t="n"/>
      <c r="E2023" s="23" t="n"/>
      <c r="F2023" s="15" t="n"/>
      <c r="G2023" s="23" t="n"/>
      <c r="H2023" s="25" t="n"/>
      <c r="I2023" s="15" t="n"/>
      <c r="J2023" s="26">
        <f>IF($A2023="","",LEN($C2023)-LEN(SUBSTITUTE($C2023,",",""))+1)</f>
        <v/>
      </c>
      <c r="K2023" s="26">
        <f>IF($A2023="","",SUMPRODUCT(--ISNUMBER(SEARCH('Category Dictionary'!$D$5:$D$135&amp;"",$C2023)),--('Category Dictionary'!$D$5:$D$135&lt;&gt;"")))</f>
        <v/>
      </c>
      <c r="L2023" s="27">
        <f>IF($A2023="","",TRIM(IF(ISERROR(FIND(",",$C2023)),$C2023,LEFT($C2023,FIND(",",$C2023)-1))))</f>
        <v/>
      </c>
      <c r="M2023" s="28">
        <f>IF($H2023="","",DATE(YEAR($H2023),MONTH($H2023),1))</f>
        <v/>
      </c>
      <c r="N2023" s="26">
        <f>IF($H2023="","",TODAY()-$H2023)</f>
        <v/>
      </c>
      <c r="O2023" s="15" t="n"/>
      <c r="P2023" s="15" t="n"/>
      <c r="Q2023" s="15" t="n"/>
      <c r="R2023" s="25" t="n"/>
      <c r="S2023" s="26">
        <f>IF($A2023="","",AND(OR('Assignment Builder'!$B$5="",$B2023='Assignment Builder'!$B$5),OR('Assignment Builder'!$B$6="",ISNUMBER(SEARCH('Assignment Builder'!$B$6,$C2023))),OR('Assignment Builder'!$B$7="",'Assignment Builder'!$B$7=IFERROR(INDEX('Category Dictionary'!$C$5:$C$135,MATCH($L2023,'Category Dictionary'!$D$5:$D$135,0)),"")),OR('Assignment Builder'!$B$8="",$D2023='Assignment Builder'!$B$8),OR('Assignment Builder'!$B$9="",$F2023='Assignment Builder'!$B$9),OR('Assignment Builder'!$B$10="",$O2023='Assignment Builder'!$B$10),OR('Assignment Builder'!$B$11="",$H2023&gt;='Assignment Builder'!$B$11),OR('Assignment Builder'!$B$12="",N($Q2023)&lt;='Assignment Builder'!$B$12)))</f>
        <v/>
      </c>
      <c r="T2023" s="23" t="n"/>
    </row>
    <row r="2024">
      <c r="A2024" s="23" t="n"/>
      <c r="B2024" s="23" t="n"/>
      <c r="C2024" s="24" t="n"/>
      <c r="D2024" s="15" t="n"/>
      <c r="E2024" s="23" t="n"/>
      <c r="F2024" s="15" t="n"/>
      <c r="G2024" s="23" t="n"/>
      <c r="H2024" s="25" t="n"/>
      <c r="I2024" s="15" t="n"/>
      <c r="J2024" s="26">
        <f>IF($A2024="","",LEN($C2024)-LEN(SUBSTITUTE($C2024,",",""))+1)</f>
        <v/>
      </c>
      <c r="K2024" s="26">
        <f>IF($A2024="","",SUMPRODUCT(--ISNUMBER(SEARCH('Category Dictionary'!$D$5:$D$135&amp;"",$C2024)),--('Category Dictionary'!$D$5:$D$135&lt;&gt;"")))</f>
        <v/>
      </c>
      <c r="L2024" s="27">
        <f>IF($A2024="","",TRIM(IF(ISERROR(FIND(",",$C2024)),$C2024,LEFT($C2024,FIND(",",$C2024)-1))))</f>
        <v/>
      </c>
      <c r="M2024" s="28">
        <f>IF($H2024="","",DATE(YEAR($H2024),MONTH($H2024),1))</f>
        <v/>
      </c>
      <c r="N2024" s="26">
        <f>IF($H2024="","",TODAY()-$H2024)</f>
        <v/>
      </c>
      <c r="O2024" s="15" t="n"/>
      <c r="P2024" s="15" t="n"/>
      <c r="Q2024" s="15" t="n"/>
      <c r="R2024" s="25" t="n"/>
      <c r="S2024" s="26">
        <f>IF($A2024="","",AND(OR('Assignment Builder'!$B$5="",$B2024='Assignment Builder'!$B$5),OR('Assignment Builder'!$B$6="",ISNUMBER(SEARCH('Assignment Builder'!$B$6,$C2024))),OR('Assignment Builder'!$B$7="",'Assignment Builder'!$B$7=IFERROR(INDEX('Category Dictionary'!$C$5:$C$135,MATCH($L2024,'Category Dictionary'!$D$5:$D$135,0)),"")),OR('Assignment Builder'!$B$8="",$D2024='Assignment Builder'!$B$8),OR('Assignment Builder'!$B$9="",$F2024='Assignment Builder'!$B$9),OR('Assignment Builder'!$B$10="",$O2024='Assignment Builder'!$B$10),OR('Assignment Builder'!$B$11="",$H2024&gt;='Assignment Builder'!$B$11),OR('Assignment Builder'!$B$12="",N($Q2024)&lt;='Assignment Builder'!$B$12)))</f>
        <v/>
      </c>
      <c r="T2024" s="23" t="n"/>
    </row>
    <row r="2025">
      <c r="A2025" s="23" t="n"/>
      <c r="B2025" s="23" t="n"/>
      <c r="C2025" s="24" t="n"/>
      <c r="D2025" s="15" t="n"/>
      <c r="E2025" s="23" t="n"/>
      <c r="F2025" s="15" t="n"/>
      <c r="G2025" s="23" t="n"/>
      <c r="H2025" s="25" t="n"/>
      <c r="I2025" s="15" t="n"/>
      <c r="J2025" s="26">
        <f>IF($A2025="","",LEN($C2025)-LEN(SUBSTITUTE($C2025,",",""))+1)</f>
        <v/>
      </c>
      <c r="K2025" s="26">
        <f>IF($A2025="","",SUMPRODUCT(--ISNUMBER(SEARCH('Category Dictionary'!$D$5:$D$135&amp;"",$C2025)),--('Category Dictionary'!$D$5:$D$135&lt;&gt;"")))</f>
        <v/>
      </c>
      <c r="L2025" s="27">
        <f>IF($A2025="","",TRIM(IF(ISERROR(FIND(",",$C2025)),$C2025,LEFT($C2025,FIND(",",$C2025)-1))))</f>
        <v/>
      </c>
      <c r="M2025" s="28">
        <f>IF($H2025="","",DATE(YEAR($H2025),MONTH($H2025),1))</f>
        <v/>
      </c>
      <c r="N2025" s="26">
        <f>IF($H2025="","",TODAY()-$H2025)</f>
        <v/>
      </c>
      <c r="O2025" s="15" t="n"/>
      <c r="P2025" s="15" t="n"/>
      <c r="Q2025" s="15" t="n"/>
      <c r="R2025" s="25" t="n"/>
      <c r="S2025" s="26">
        <f>IF($A2025="","",AND(OR('Assignment Builder'!$B$5="",$B2025='Assignment Builder'!$B$5),OR('Assignment Builder'!$B$6="",ISNUMBER(SEARCH('Assignment Builder'!$B$6,$C2025))),OR('Assignment Builder'!$B$7="",'Assignment Builder'!$B$7=IFERROR(INDEX('Category Dictionary'!$C$5:$C$135,MATCH($L2025,'Category Dictionary'!$D$5:$D$135,0)),"")),OR('Assignment Builder'!$B$8="",$D2025='Assignment Builder'!$B$8),OR('Assignment Builder'!$B$9="",$F2025='Assignment Builder'!$B$9),OR('Assignment Builder'!$B$10="",$O2025='Assignment Builder'!$B$10),OR('Assignment Builder'!$B$11="",$H2025&gt;='Assignment Builder'!$B$11),OR('Assignment Builder'!$B$12="",N($Q2025)&lt;='Assignment Builder'!$B$12)))</f>
        <v/>
      </c>
      <c r="T2025" s="23" t="n"/>
    </row>
    <row r="2026">
      <c r="A2026" s="23" t="n"/>
      <c r="B2026" s="23" t="n"/>
      <c r="C2026" s="24" t="n"/>
      <c r="D2026" s="15" t="n"/>
      <c r="E2026" s="23" t="n"/>
      <c r="F2026" s="15" t="n"/>
      <c r="G2026" s="23" t="n"/>
      <c r="H2026" s="25" t="n"/>
      <c r="I2026" s="15" t="n"/>
      <c r="J2026" s="26">
        <f>IF($A2026="","",LEN($C2026)-LEN(SUBSTITUTE($C2026,",",""))+1)</f>
        <v/>
      </c>
      <c r="K2026" s="26">
        <f>IF($A2026="","",SUMPRODUCT(--ISNUMBER(SEARCH('Category Dictionary'!$D$5:$D$135&amp;"",$C2026)),--('Category Dictionary'!$D$5:$D$135&lt;&gt;"")))</f>
        <v/>
      </c>
      <c r="L2026" s="27">
        <f>IF($A2026="","",TRIM(IF(ISERROR(FIND(",",$C2026)),$C2026,LEFT($C2026,FIND(",",$C2026)-1))))</f>
        <v/>
      </c>
      <c r="M2026" s="28">
        <f>IF($H2026="","",DATE(YEAR($H2026),MONTH($H2026),1))</f>
        <v/>
      </c>
      <c r="N2026" s="26">
        <f>IF($H2026="","",TODAY()-$H2026)</f>
        <v/>
      </c>
      <c r="O2026" s="15" t="n"/>
      <c r="P2026" s="15" t="n"/>
      <c r="Q2026" s="15" t="n"/>
      <c r="R2026" s="25" t="n"/>
      <c r="S2026" s="26">
        <f>IF($A2026="","",AND(OR('Assignment Builder'!$B$5="",$B2026='Assignment Builder'!$B$5),OR('Assignment Builder'!$B$6="",ISNUMBER(SEARCH('Assignment Builder'!$B$6,$C2026))),OR('Assignment Builder'!$B$7="",'Assignment Builder'!$B$7=IFERROR(INDEX('Category Dictionary'!$C$5:$C$135,MATCH($L2026,'Category Dictionary'!$D$5:$D$135,0)),"")),OR('Assignment Builder'!$B$8="",$D2026='Assignment Builder'!$B$8),OR('Assignment Builder'!$B$9="",$F2026='Assignment Builder'!$B$9),OR('Assignment Builder'!$B$10="",$O2026='Assignment Builder'!$B$10),OR('Assignment Builder'!$B$11="",$H2026&gt;='Assignment Builder'!$B$11),OR('Assignment Builder'!$B$12="",N($Q2026)&lt;='Assignment Builder'!$B$12)))</f>
        <v/>
      </c>
      <c r="T2026" s="23" t="n"/>
    </row>
    <row r="2027">
      <c r="A2027" s="23" t="n"/>
      <c r="B2027" s="23" t="n"/>
      <c r="C2027" s="24" t="n"/>
      <c r="D2027" s="15" t="n"/>
      <c r="E2027" s="23" t="n"/>
      <c r="F2027" s="15" t="n"/>
      <c r="G2027" s="23" t="n"/>
      <c r="H2027" s="25" t="n"/>
      <c r="I2027" s="15" t="n"/>
      <c r="J2027" s="26">
        <f>IF($A2027="","",LEN($C2027)-LEN(SUBSTITUTE($C2027,",",""))+1)</f>
        <v/>
      </c>
      <c r="K2027" s="26">
        <f>IF($A2027="","",SUMPRODUCT(--ISNUMBER(SEARCH('Category Dictionary'!$D$5:$D$135&amp;"",$C2027)),--('Category Dictionary'!$D$5:$D$135&lt;&gt;"")))</f>
        <v/>
      </c>
      <c r="L2027" s="27">
        <f>IF($A2027="","",TRIM(IF(ISERROR(FIND(",",$C2027)),$C2027,LEFT($C2027,FIND(",",$C2027)-1))))</f>
        <v/>
      </c>
      <c r="M2027" s="28">
        <f>IF($H2027="","",DATE(YEAR($H2027),MONTH($H2027),1))</f>
        <v/>
      </c>
      <c r="N2027" s="26">
        <f>IF($H2027="","",TODAY()-$H2027)</f>
        <v/>
      </c>
      <c r="O2027" s="15" t="n"/>
      <c r="P2027" s="15" t="n"/>
      <c r="Q2027" s="15" t="n"/>
      <c r="R2027" s="25" t="n"/>
      <c r="S2027" s="26">
        <f>IF($A2027="","",AND(OR('Assignment Builder'!$B$5="",$B2027='Assignment Builder'!$B$5),OR('Assignment Builder'!$B$6="",ISNUMBER(SEARCH('Assignment Builder'!$B$6,$C2027))),OR('Assignment Builder'!$B$7="",'Assignment Builder'!$B$7=IFERROR(INDEX('Category Dictionary'!$C$5:$C$135,MATCH($L2027,'Category Dictionary'!$D$5:$D$135,0)),"")),OR('Assignment Builder'!$B$8="",$D2027='Assignment Builder'!$B$8),OR('Assignment Builder'!$B$9="",$F2027='Assignment Builder'!$B$9),OR('Assignment Builder'!$B$10="",$O2027='Assignment Builder'!$B$10),OR('Assignment Builder'!$B$11="",$H2027&gt;='Assignment Builder'!$B$11),OR('Assignment Builder'!$B$12="",N($Q2027)&lt;='Assignment Builder'!$B$12)))</f>
        <v/>
      </c>
      <c r="T2027" s="23" t="n"/>
    </row>
    <row r="2028">
      <c r="A2028" s="23" t="n"/>
      <c r="B2028" s="23" t="n"/>
      <c r="C2028" s="24" t="n"/>
      <c r="D2028" s="15" t="n"/>
      <c r="E2028" s="23" t="n"/>
      <c r="F2028" s="15" t="n"/>
      <c r="G2028" s="23" t="n"/>
      <c r="H2028" s="25" t="n"/>
      <c r="I2028" s="15" t="n"/>
      <c r="J2028" s="26">
        <f>IF($A2028="","",LEN($C2028)-LEN(SUBSTITUTE($C2028,",",""))+1)</f>
        <v/>
      </c>
      <c r="K2028" s="26">
        <f>IF($A2028="","",SUMPRODUCT(--ISNUMBER(SEARCH('Category Dictionary'!$D$5:$D$135&amp;"",$C2028)),--('Category Dictionary'!$D$5:$D$135&lt;&gt;"")))</f>
        <v/>
      </c>
      <c r="L2028" s="27">
        <f>IF($A2028="","",TRIM(IF(ISERROR(FIND(",",$C2028)),$C2028,LEFT($C2028,FIND(",",$C2028)-1))))</f>
        <v/>
      </c>
      <c r="M2028" s="28">
        <f>IF($H2028="","",DATE(YEAR($H2028),MONTH($H2028),1))</f>
        <v/>
      </c>
      <c r="N2028" s="26">
        <f>IF($H2028="","",TODAY()-$H2028)</f>
        <v/>
      </c>
      <c r="O2028" s="15" t="n"/>
      <c r="P2028" s="15" t="n"/>
      <c r="Q2028" s="15" t="n"/>
      <c r="R2028" s="25" t="n"/>
      <c r="S2028" s="26">
        <f>IF($A2028="","",AND(OR('Assignment Builder'!$B$5="",$B2028='Assignment Builder'!$B$5),OR('Assignment Builder'!$B$6="",ISNUMBER(SEARCH('Assignment Builder'!$B$6,$C2028))),OR('Assignment Builder'!$B$7="",'Assignment Builder'!$B$7=IFERROR(INDEX('Category Dictionary'!$C$5:$C$135,MATCH($L2028,'Category Dictionary'!$D$5:$D$135,0)),"")),OR('Assignment Builder'!$B$8="",$D2028='Assignment Builder'!$B$8),OR('Assignment Builder'!$B$9="",$F2028='Assignment Builder'!$B$9),OR('Assignment Builder'!$B$10="",$O2028='Assignment Builder'!$B$10),OR('Assignment Builder'!$B$11="",$H2028&gt;='Assignment Builder'!$B$11),OR('Assignment Builder'!$B$12="",N($Q2028)&lt;='Assignment Builder'!$B$12)))</f>
        <v/>
      </c>
      <c r="T2028" s="23" t="n"/>
    </row>
    <row r="2029">
      <c r="A2029" s="23" t="n"/>
      <c r="B2029" s="23" t="n"/>
      <c r="C2029" s="24" t="n"/>
      <c r="D2029" s="15" t="n"/>
      <c r="E2029" s="23" t="n"/>
      <c r="F2029" s="15" t="n"/>
      <c r="G2029" s="23" t="n"/>
      <c r="H2029" s="25" t="n"/>
      <c r="I2029" s="15" t="n"/>
      <c r="J2029" s="26">
        <f>IF($A2029="","",LEN($C2029)-LEN(SUBSTITUTE($C2029,",",""))+1)</f>
        <v/>
      </c>
      <c r="K2029" s="26">
        <f>IF($A2029="","",SUMPRODUCT(--ISNUMBER(SEARCH('Category Dictionary'!$D$5:$D$135&amp;"",$C2029)),--('Category Dictionary'!$D$5:$D$135&lt;&gt;"")))</f>
        <v/>
      </c>
      <c r="L2029" s="27">
        <f>IF($A2029="","",TRIM(IF(ISERROR(FIND(",",$C2029)),$C2029,LEFT($C2029,FIND(",",$C2029)-1))))</f>
        <v/>
      </c>
      <c r="M2029" s="28">
        <f>IF($H2029="","",DATE(YEAR($H2029),MONTH($H2029),1))</f>
        <v/>
      </c>
      <c r="N2029" s="26">
        <f>IF($H2029="","",TODAY()-$H2029)</f>
        <v/>
      </c>
      <c r="O2029" s="15" t="n"/>
      <c r="P2029" s="15" t="n"/>
      <c r="Q2029" s="15" t="n"/>
      <c r="R2029" s="25" t="n"/>
      <c r="S2029" s="26">
        <f>IF($A2029="","",AND(OR('Assignment Builder'!$B$5="",$B2029='Assignment Builder'!$B$5),OR('Assignment Builder'!$B$6="",ISNUMBER(SEARCH('Assignment Builder'!$B$6,$C2029))),OR('Assignment Builder'!$B$7="",'Assignment Builder'!$B$7=IFERROR(INDEX('Category Dictionary'!$C$5:$C$135,MATCH($L2029,'Category Dictionary'!$D$5:$D$135,0)),"")),OR('Assignment Builder'!$B$8="",$D2029='Assignment Builder'!$B$8),OR('Assignment Builder'!$B$9="",$F2029='Assignment Builder'!$B$9),OR('Assignment Builder'!$B$10="",$O2029='Assignment Builder'!$B$10),OR('Assignment Builder'!$B$11="",$H2029&gt;='Assignment Builder'!$B$11),OR('Assignment Builder'!$B$12="",N($Q2029)&lt;='Assignment Builder'!$B$12)))</f>
        <v/>
      </c>
      <c r="T2029" s="23" t="n"/>
    </row>
    <row r="2030">
      <c r="A2030" s="23" t="n"/>
      <c r="B2030" s="23" t="n"/>
      <c r="C2030" s="24" t="n"/>
      <c r="D2030" s="15" t="n"/>
      <c r="E2030" s="23" t="n"/>
      <c r="F2030" s="15" t="n"/>
      <c r="G2030" s="23" t="n"/>
      <c r="H2030" s="25" t="n"/>
      <c r="I2030" s="15" t="n"/>
      <c r="J2030" s="26">
        <f>IF($A2030="","",LEN($C2030)-LEN(SUBSTITUTE($C2030,",",""))+1)</f>
        <v/>
      </c>
      <c r="K2030" s="26">
        <f>IF($A2030="","",SUMPRODUCT(--ISNUMBER(SEARCH('Category Dictionary'!$D$5:$D$135&amp;"",$C2030)),--('Category Dictionary'!$D$5:$D$135&lt;&gt;"")))</f>
        <v/>
      </c>
      <c r="L2030" s="27">
        <f>IF($A2030="","",TRIM(IF(ISERROR(FIND(",",$C2030)),$C2030,LEFT($C2030,FIND(",",$C2030)-1))))</f>
        <v/>
      </c>
      <c r="M2030" s="28">
        <f>IF($H2030="","",DATE(YEAR($H2030),MONTH($H2030),1))</f>
        <v/>
      </c>
      <c r="N2030" s="26">
        <f>IF($H2030="","",TODAY()-$H2030)</f>
        <v/>
      </c>
      <c r="O2030" s="15" t="n"/>
      <c r="P2030" s="15" t="n"/>
      <c r="Q2030" s="15" t="n"/>
      <c r="R2030" s="25" t="n"/>
      <c r="S2030" s="26">
        <f>IF($A2030="","",AND(OR('Assignment Builder'!$B$5="",$B2030='Assignment Builder'!$B$5),OR('Assignment Builder'!$B$6="",ISNUMBER(SEARCH('Assignment Builder'!$B$6,$C2030))),OR('Assignment Builder'!$B$7="",'Assignment Builder'!$B$7=IFERROR(INDEX('Category Dictionary'!$C$5:$C$135,MATCH($L2030,'Category Dictionary'!$D$5:$D$135,0)),"")),OR('Assignment Builder'!$B$8="",$D2030='Assignment Builder'!$B$8),OR('Assignment Builder'!$B$9="",$F2030='Assignment Builder'!$B$9),OR('Assignment Builder'!$B$10="",$O2030='Assignment Builder'!$B$10),OR('Assignment Builder'!$B$11="",$H2030&gt;='Assignment Builder'!$B$11),OR('Assignment Builder'!$B$12="",N($Q2030)&lt;='Assignment Builder'!$B$12)))</f>
        <v/>
      </c>
      <c r="T2030" s="23" t="n"/>
    </row>
    <row r="2031">
      <c r="A2031" s="23" t="n"/>
      <c r="B2031" s="23" t="n"/>
      <c r="C2031" s="24" t="n"/>
      <c r="D2031" s="15" t="n"/>
      <c r="E2031" s="23" t="n"/>
      <c r="F2031" s="15" t="n"/>
      <c r="G2031" s="23" t="n"/>
      <c r="H2031" s="25" t="n"/>
      <c r="I2031" s="15" t="n"/>
      <c r="J2031" s="26">
        <f>IF($A2031="","",LEN($C2031)-LEN(SUBSTITUTE($C2031,",",""))+1)</f>
        <v/>
      </c>
      <c r="K2031" s="26">
        <f>IF($A2031="","",SUMPRODUCT(--ISNUMBER(SEARCH('Category Dictionary'!$D$5:$D$135&amp;"",$C2031)),--('Category Dictionary'!$D$5:$D$135&lt;&gt;"")))</f>
        <v/>
      </c>
      <c r="L2031" s="27">
        <f>IF($A2031="","",TRIM(IF(ISERROR(FIND(",",$C2031)),$C2031,LEFT($C2031,FIND(",",$C2031)-1))))</f>
        <v/>
      </c>
      <c r="M2031" s="28">
        <f>IF($H2031="","",DATE(YEAR($H2031),MONTH($H2031),1))</f>
        <v/>
      </c>
      <c r="N2031" s="26">
        <f>IF($H2031="","",TODAY()-$H2031)</f>
        <v/>
      </c>
      <c r="O2031" s="15" t="n"/>
      <c r="P2031" s="15" t="n"/>
      <c r="Q2031" s="15" t="n"/>
      <c r="R2031" s="25" t="n"/>
      <c r="S2031" s="26">
        <f>IF($A2031="","",AND(OR('Assignment Builder'!$B$5="",$B2031='Assignment Builder'!$B$5),OR('Assignment Builder'!$B$6="",ISNUMBER(SEARCH('Assignment Builder'!$B$6,$C2031))),OR('Assignment Builder'!$B$7="",'Assignment Builder'!$B$7=IFERROR(INDEX('Category Dictionary'!$C$5:$C$135,MATCH($L2031,'Category Dictionary'!$D$5:$D$135,0)),"")),OR('Assignment Builder'!$B$8="",$D2031='Assignment Builder'!$B$8),OR('Assignment Builder'!$B$9="",$F2031='Assignment Builder'!$B$9),OR('Assignment Builder'!$B$10="",$O2031='Assignment Builder'!$B$10),OR('Assignment Builder'!$B$11="",$H2031&gt;='Assignment Builder'!$B$11),OR('Assignment Builder'!$B$12="",N($Q2031)&lt;='Assignment Builder'!$B$12)))</f>
        <v/>
      </c>
      <c r="T2031" s="23" t="n"/>
    </row>
    <row r="2032">
      <c r="A2032" s="23" t="n"/>
      <c r="B2032" s="23" t="n"/>
      <c r="C2032" s="24" t="n"/>
      <c r="D2032" s="15" t="n"/>
      <c r="E2032" s="23" t="n"/>
      <c r="F2032" s="15" t="n"/>
      <c r="G2032" s="23" t="n"/>
      <c r="H2032" s="25" t="n"/>
      <c r="I2032" s="15" t="n"/>
      <c r="J2032" s="26">
        <f>IF($A2032="","",LEN($C2032)-LEN(SUBSTITUTE($C2032,",",""))+1)</f>
        <v/>
      </c>
      <c r="K2032" s="26">
        <f>IF($A2032="","",SUMPRODUCT(--ISNUMBER(SEARCH('Category Dictionary'!$D$5:$D$135&amp;"",$C2032)),--('Category Dictionary'!$D$5:$D$135&lt;&gt;"")))</f>
        <v/>
      </c>
      <c r="L2032" s="27">
        <f>IF($A2032="","",TRIM(IF(ISERROR(FIND(",",$C2032)),$C2032,LEFT($C2032,FIND(",",$C2032)-1))))</f>
        <v/>
      </c>
      <c r="M2032" s="28">
        <f>IF($H2032="","",DATE(YEAR($H2032),MONTH($H2032),1))</f>
        <v/>
      </c>
      <c r="N2032" s="26">
        <f>IF($H2032="","",TODAY()-$H2032)</f>
        <v/>
      </c>
      <c r="O2032" s="15" t="n"/>
      <c r="P2032" s="15" t="n"/>
      <c r="Q2032" s="15" t="n"/>
      <c r="R2032" s="25" t="n"/>
      <c r="S2032" s="26">
        <f>IF($A2032="","",AND(OR('Assignment Builder'!$B$5="",$B2032='Assignment Builder'!$B$5),OR('Assignment Builder'!$B$6="",ISNUMBER(SEARCH('Assignment Builder'!$B$6,$C2032))),OR('Assignment Builder'!$B$7="",'Assignment Builder'!$B$7=IFERROR(INDEX('Category Dictionary'!$C$5:$C$135,MATCH($L2032,'Category Dictionary'!$D$5:$D$135,0)),"")),OR('Assignment Builder'!$B$8="",$D2032='Assignment Builder'!$B$8),OR('Assignment Builder'!$B$9="",$F2032='Assignment Builder'!$B$9),OR('Assignment Builder'!$B$10="",$O2032='Assignment Builder'!$B$10),OR('Assignment Builder'!$B$11="",$H2032&gt;='Assignment Builder'!$B$11),OR('Assignment Builder'!$B$12="",N($Q2032)&lt;='Assignment Builder'!$B$12)))</f>
        <v/>
      </c>
      <c r="T2032" s="23" t="n"/>
    </row>
    <row r="2033">
      <c r="A2033" s="23" t="n"/>
      <c r="B2033" s="23" t="n"/>
      <c r="C2033" s="24" t="n"/>
      <c r="D2033" s="15" t="n"/>
      <c r="E2033" s="23" t="n"/>
      <c r="F2033" s="15" t="n"/>
      <c r="G2033" s="23" t="n"/>
      <c r="H2033" s="25" t="n"/>
      <c r="I2033" s="15" t="n"/>
      <c r="J2033" s="26">
        <f>IF($A2033="","",LEN($C2033)-LEN(SUBSTITUTE($C2033,",",""))+1)</f>
        <v/>
      </c>
      <c r="K2033" s="26">
        <f>IF($A2033="","",SUMPRODUCT(--ISNUMBER(SEARCH('Category Dictionary'!$D$5:$D$135&amp;"",$C2033)),--('Category Dictionary'!$D$5:$D$135&lt;&gt;"")))</f>
        <v/>
      </c>
      <c r="L2033" s="27">
        <f>IF($A2033="","",TRIM(IF(ISERROR(FIND(",",$C2033)),$C2033,LEFT($C2033,FIND(",",$C2033)-1))))</f>
        <v/>
      </c>
      <c r="M2033" s="28">
        <f>IF($H2033="","",DATE(YEAR($H2033),MONTH($H2033),1))</f>
        <v/>
      </c>
      <c r="N2033" s="26">
        <f>IF($H2033="","",TODAY()-$H2033)</f>
        <v/>
      </c>
      <c r="O2033" s="15" t="n"/>
      <c r="P2033" s="15" t="n"/>
      <c r="Q2033" s="15" t="n"/>
      <c r="R2033" s="25" t="n"/>
      <c r="S2033" s="26">
        <f>IF($A2033="","",AND(OR('Assignment Builder'!$B$5="",$B2033='Assignment Builder'!$B$5),OR('Assignment Builder'!$B$6="",ISNUMBER(SEARCH('Assignment Builder'!$B$6,$C2033))),OR('Assignment Builder'!$B$7="",'Assignment Builder'!$B$7=IFERROR(INDEX('Category Dictionary'!$C$5:$C$135,MATCH($L2033,'Category Dictionary'!$D$5:$D$135,0)),"")),OR('Assignment Builder'!$B$8="",$D2033='Assignment Builder'!$B$8),OR('Assignment Builder'!$B$9="",$F2033='Assignment Builder'!$B$9),OR('Assignment Builder'!$B$10="",$O2033='Assignment Builder'!$B$10),OR('Assignment Builder'!$B$11="",$H2033&gt;='Assignment Builder'!$B$11),OR('Assignment Builder'!$B$12="",N($Q2033)&lt;='Assignment Builder'!$B$12)))</f>
        <v/>
      </c>
      <c r="T2033" s="23" t="n"/>
    </row>
    <row r="2034">
      <c r="A2034" s="23" t="n"/>
      <c r="B2034" s="23" t="n"/>
      <c r="C2034" s="24" t="n"/>
      <c r="D2034" s="15" t="n"/>
      <c r="E2034" s="23" t="n"/>
      <c r="F2034" s="15" t="n"/>
      <c r="G2034" s="23" t="n"/>
      <c r="H2034" s="25" t="n"/>
      <c r="I2034" s="15" t="n"/>
      <c r="J2034" s="26">
        <f>IF($A2034="","",LEN($C2034)-LEN(SUBSTITUTE($C2034,",",""))+1)</f>
        <v/>
      </c>
      <c r="K2034" s="26">
        <f>IF($A2034="","",SUMPRODUCT(--ISNUMBER(SEARCH('Category Dictionary'!$D$5:$D$135&amp;"",$C2034)),--('Category Dictionary'!$D$5:$D$135&lt;&gt;"")))</f>
        <v/>
      </c>
      <c r="L2034" s="27">
        <f>IF($A2034="","",TRIM(IF(ISERROR(FIND(",",$C2034)),$C2034,LEFT($C2034,FIND(",",$C2034)-1))))</f>
        <v/>
      </c>
      <c r="M2034" s="28">
        <f>IF($H2034="","",DATE(YEAR($H2034),MONTH($H2034),1))</f>
        <v/>
      </c>
      <c r="N2034" s="26">
        <f>IF($H2034="","",TODAY()-$H2034)</f>
        <v/>
      </c>
      <c r="O2034" s="15" t="n"/>
      <c r="P2034" s="15" t="n"/>
      <c r="Q2034" s="15" t="n"/>
      <c r="R2034" s="25" t="n"/>
      <c r="S2034" s="26">
        <f>IF($A2034="","",AND(OR('Assignment Builder'!$B$5="",$B2034='Assignment Builder'!$B$5),OR('Assignment Builder'!$B$6="",ISNUMBER(SEARCH('Assignment Builder'!$B$6,$C2034))),OR('Assignment Builder'!$B$7="",'Assignment Builder'!$B$7=IFERROR(INDEX('Category Dictionary'!$C$5:$C$135,MATCH($L2034,'Category Dictionary'!$D$5:$D$135,0)),"")),OR('Assignment Builder'!$B$8="",$D2034='Assignment Builder'!$B$8),OR('Assignment Builder'!$B$9="",$F2034='Assignment Builder'!$B$9),OR('Assignment Builder'!$B$10="",$O2034='Assignment Builder'!$B$10),OR('Assignment Builder'!$B$11="",$H2034&gt;='Assignment Builder'!$B$11),OR('Assignment Builder'!$B$12="",N($Q2034)&lt;='Assignment Builder'!$B$12)))</f>
        <v/>
      </c>
      <c r="T2034" s="23" t="n"/>
    </row>
    <row r="2035">
      <c r="A2035" s="23" t="n"/>
      <c r="B2035" s="23" t="n"/>
      <c r="C2035" s="24" t="n"/>
      <c r="D2035" s="15" t="n"/>
      <c r="E2035" s="23" t="n"/>
      <c r="F2035" s="15" t="n"/>
      <c r="G2035" s="23" t="n"/>
      <c r="H2035" s="25" t="n"/>
      <c r="I2035" s="15" t="n"/>
      <c r="J2035" s="26">
        <f>IF($A2035="","",LEN($C2035)-LEN(SUBSTITUTE($C2035,",",""))+1)</f>
        <v/>
      </c>
      <c r="K2035" s="26">
        <f>IF($A2035="","",SUMPRODUCT(--ISNUMBER(SEARCH('Category Dictionary'!$D$5:$D$135&amp;"",$C2035)),--('Category Dictionary'!$D$5:$D$135&lt;&gt;"")))</f>
        <v/>
      </c>
      <c r="L2035" s="27">
        <f>IF($A2035="","",TRIM(IF(ISERROR(FIND(",",$C2035)),$C2035,LEFT($C2035,FIND(",",$C2035)-1))))</f>
        <v/>
      </c>
      <c r="M2035" s="28">
        <f>IF($H2035="","",DATE(YEAR($H2035),MONTH($H2035),1))</f>
        <v/>
      </c>
      <c r="N2035" s="26">
        <f>IF($H2035="","",TODAY()-$H2035)</f>
        <v/>
      </c>
      <c r="O2035" s="15" t="n"/>
      <c r="P2035" s="15" t="n"/>
      <c r="Q2035" s="15" t="n"/>
      <c r="R2035" s="25" t="n"/>
      <c r="S2035" s="26">
        <f>IF($A2035="","",AND(OR('Assignment Builder'!$B$5="",$B2035='Assignment Builder'!$B$5),OR('Assignment Builder'!$B$6="",ISNUMBER(SEARCH('Assignment Builder'!$B$6,$C2035))),OR('Assignment Builder'!$B$7="",'Assignment Builder'!$B$7=IFERROR(INDEX('Category Dictionary'!$C$5:$C$135,MATCH($L2035,'Category Dictionary'!$D$5:$D$135,0)),"")),OR('Assignment Builder'!$B$8="",$D2035='Assignment Builder'!$B$8),OR('Assignment Builder'!$B$9="",$F2035='Assignment Builder'!$B$9),OR('Assignment Builder'!$B$10="",$O2035='Assignment Builder'!$B$10),OR('Assignment Builder'!$B$11="",$H2035&gt;='Assignment Builder'!$B$11),OR('Assignment Builder'!$B$12="",N($Q2035)&lt;='Assignment Builder'!$B$12)))</f>
        <v/>
      </c>
      <c r="T2035" s="23" t="n"/>
    </row>
    <row r="2036">
      <c r="A2036" s="23" t="n"/>
      <c r="B2036" s="23" t="n"/>
      <c r="C2036" s="24" t="n"/>
      <c r="D2036" s="15" t="n"/>
      <c r="E2036" s="23" t="n"/>
      <c r="F2036" s="15" t="n"/>
      <c r="G2036" s="23" t="n"/>
      <c r="H2036" s="25" t="n"/>
      <c r="I2036" s="15" t="n"/>
      <c r="J2036" s="26">
        <f>IF($A2036="","",LEN($C2036)-LEN(SUBSTITUTE($C2036,",",""))+1)</f>
        <v/>
      </c>
      <c r="K2036" s="26">
        <f>IF($A2036="","",SUMPRODUCT(--ISNUMBER(SEARCH('Category Dictionary'!$D$5:$D$135&amp;"",$C2036)),--('Category Dictionary'!$D$5:$D$135&lt;&gt;"")))</f>
        <v/>
      </c>
      <c r="L2036" s="27">
        <f>IF($A2036="","",TRIM(IF(ISERROR(FIND(",",$C2036)),$C2036,LEFT($C2036,FIND(",",$C2036)-1))))</f>
        <v/>
      </c>
      <c r="M2036" s="28">
        <f>IF($H2036="","",DATE(YEAR($H2036),MONTH($H2036),1))</f>
        <v/>
      </c>
      <c r="N2036" s="26">
        <f>IF($H2036="","",TODAY()-$H2036)</f>
        <v/>
      </c>
      <c r="O2036" s="15" t="n"/>
      <c r="P2036" s="15" t="n"/>
      <c r="Q2036" s="15" t="n"/>
      <c r="R2036" s="25" t="n"/>
      <c r="S2036" s="26">
        <f>IF($A2036="","",AND(OR('Assignment Builder'!$B$5="",$B2036='Assignment Builder'!$B$5),OR('Assignment Builder'!$B$6="",ISNUMBER(SEARCH('Assignment Builder'!$B$6,$C2036))),OR('Assignment Builder'!$B$7="",'Assignment Builder'!$B$7=IFERROR(INDEX('Category Dictionary'!$C$5:$C$135,MATCH($L2036,'Category Dictionary'!$D$5:$D$135,0)),"")),OR('Assignment Builder'!$B$8="",$D2036='Assignment Builder'!$B$8),OR('Assignment Builder'!$B$9="",$F2036='Assignment Builder'!$B$9),OR('Assignment Builder'!$B$10="",$O2036='Assignment Builder'!$B$10),OR('Assignment Builder'!$B$11="",$H2036&gt;='Assignment Builder'!$B$11),OR('Assignment Builder'!$B$12="",N($Q2036)&lt;='Assignment Builder'!$B$12)))</f>
        <v/>
      </c>
      <c r="T2036" s="23" t="n"/>
    </row>
    <row r="2037">
      <c r="A2037" s="23" t="n"/>
      <c r="B2037" s="23" t="n"/>
      <c r="C2037" s="24" t="n"/>
      <c r="D2037" s="15" t="n"/>
      <c r="E2037" s="23" t="n"/>
      <c r="F2037" s="15" t="n"/>
      <c r="G2037" s="23" t="n"/>
      <c r="H2037" s="25" t="n"/>
      <c r="I2037" s="15" t="n"/>
      <c r="J2037" s="26">
        <f>IF($A2037="","",LEN($C2037)-LEN(SUBSTITUTE($C2037,",",""))+1)</f>
        <v/>
      </c>
      <c r="K2037" s="26">
        <f>IF($A2037="","",SUMPRODUCT(--ISNUMBER(SEARCH('Category Dictionary'!$D$5:$D$135&amp;"",$C2037)),--('Category Dictionary'!$D$5:$D$135&lt;&gt;"")))</f>
        <v/>
      </c>
      <c r="L2037" s="27">
        <f>IF($A2037="","",TRIM(IF(ISERROR(FIND(",",$C2037)),$C2037,LEFT($C2037,FIND(",",$C2037)-1))))</f>
        <v/>
      </c>
      <c r="M2037" s="28">
        <f>IF($H2037="","",DATE(YEAR($H2037),MONTH($H2037),1))</f>
        <v/>
      </c>
      <c r="N2037" s="26">
        <f>IF($H2037="","",TODAY()-$H2037)</f>
        <v/>
      </c>
      <c r="O2037" s="15" t="n"/>
      <c r="P2037" s="15" t="n"/>
      <c r="Q2037" s="15" t="n"/>
      <c r="R2037" s="25" t="n"/>
      <c r="S2037" s="26">
        <f>IF($A2037="","",AND(OR('Assignment Builder'!$B$5="",$B2037='Assignment Builder'!$B$5),OR('Assignment Builder'!$B$6="",ISNUMBER(SEARCH('Assignment Builder'!$B$6,$C2037))),OR('Assignment Builder'!$B$7="",'Assignment Builder'!$B$7=IFERROR(INDEX('Category Dictionary'!$C$5:$C$135,MATCH($L2037,'Category Dictionary'!$D$5:$D$135,0)),"")),OR('Assignment Builder'!$B$8="",$D2037='Assignment Builder'!$B$8),OR('Assignment Builder'!$B$9="",$F2037='Assignment Builder'!$B$9),OR('Assignment Builder'!$B$10="",$O2037='Assignment Builder'!$B$10),OR('Assignment Builder'!$B$11="",$H2037&gt;='Assignment Builder'!$B$11),OR('Assignment Builder'!$B$12="",N($Q2037)&lt;='Assignment Builder'!$B$12)))</f>
        <v/>
      </c>
      <c r="T2037" s="23" t="n"/>
    </row>
    <row r="2038">
      <c r="A2038" s="23" t="n"/>
      <c r="B2038" s="23" t="n"/>
      <c r="C2038" s="24" t="n"/>
      <c r="D2038" s="15" t="n"/>
      <c r="E2038" s="23" t="n"/>
      <c r="F2038" s="15" t="n"/>
      <c r="G2038" s="23" t="n"/>
      <c r="H2038" s="25" t="n"/>
      <c r="I2038" s="15" t="n"/>
      <c r="J2038" s="26">
        <f>IF($A2038="","",LEN($C2038)-LEN(SUBSTITUTE($C2038,",",""))+1)</f>
        <v/>
      </c>
      <c r="K2038" s="26">
        <f>IF($A2038="","",SUMPRODUCT(--ISNUMBER(SEARCH('Category Dictionary'!$D$5:$D$135&amp;"",$C2038)),--('Category Dictionary'!$D$5:$D$135&lt;&gt;"")))</f>
        <v/>
      </c>
      <c r="L2038" s="27">
        <f>IF($A2038="","",TRIM(IF(ISERROR(FIND(",",$C2038)),$C2038,LEFT($C2038,FIND(",",$C2038)-1))))</f>
        <v/>
      </c>
      <c r="M2038" s="28">
        <f>IF($H2038="","",DATE(YEAR($H2038),MONTH($H2038),1))</f>
        <v/>
      </c>
      <c r="N2038" s="26">
        <f>IF($H2038="","",TODAY()-$H2038)</f>
        <v/>
      </c>
      <c r="O2038" s="15" t="n"/>
      <c r="P2038" s="15" t="n"/>
      <c r="Q2038" s="15" t="n"/>
      <c r="R2038" s="25" t="n"/>
      <c r="S2038" s="26">
        <f>IF($A2038="","",AND(OR('Assignment Builder'!$B$5="",$B2038='Assignment Builder'!$B$5),OR('Assignment Builder'!$B$6="",ISNUMBER(SEARCH('Assignment Builder'!$B$6,$C2038))),OR('Assignment Builder'!$B$7="",'Assignment Builder'!$B$7=IFERROR(INDEX('Category Dictionary'!$C$5:$C$135,MATCH($L2038,'Category Dictionary'!$D$5:$D$135,0)),"")),OR('Assignment Builder'!$B$8="",$D2038='Assignment Builder'!$B$8),OR('Assignment Builder'!$B$9="",$F2038='Assignment Builder'!$B$9),OR('Assignment Builder'!$B$10="",$O2038='Assignment Builder'!$B$10),OR('Assignment Builder'!$B$11="",$H2038&gt;='Assignment Builder'!$B$11),OR('Assignment Builder'!$B$12="",N($Q2038)&lt;='Assignment Builder'!$B$12)))</f>
        <v/>
      </c>
      <c r="T2038" s="23" t="n"/>
    </row>
    <row r="2039">
      <c r="A2039" s="23" t="n"/>
      <c r="B2039" s="23" t="n"/>
      <c r="C2039" s="24" t="n"/>
      <c r="D2039" s="15" t="n"/>
      <c r="E2039" s="23" t="n"/>
      <c r="F2039" s="15" t="n"/>
      <c r="G2039" s="23" t="n"/>
      <c r="H2039" s="25" t="n"/>
      <c r="I2039" s="15" t="n"/>
      <c r="J2039" s="26">
        <f>IF($A2039="","",LEN($C2039)-LEN(SUBSTITUTE($C2039,",",""))+1)</f>
        <v/>
      </c>
      <c r="K2039" s="26">
        <f>IF($A2039="","",SUMPRODUCT(--ISNUMBER(SEARCH('Category Dictionary'!$D$5:$D$135&amp;"",$C2039)),--('Category Dictionary'!$D$5:$D$135&lt;&gt;"")))</f>
        <v/>
      </c>
      <c r="L2039" s="27">
        <f>IF($A2039="","",TRIM(IF(ISERROR(FIND(",",$C2039)),$C2039,LEFT($C2039,FIND(",",$C2039)-1))))</f>
        <v/>
      </c>
      <c r="M2039" s="28">
        <f>IF($H2039="","",DATE(YEAR($H2039),MONTH($H2039),1))</f>
        <v/>
      </c>
      <c r="N2039" s="26">
        <f>IF($H2039="","",TODAY()-$H2039)</f>
        <v/>
      </c>
      <c r="O2039" s="15" t="n"/>
      <c r="P2039" s="15" t="n"/>
      <c r="Q2039" s="15" t="n"/>
      <c r="R2039" s="25" t="n"/>
      <c r="S2039" s="26">
        <f>IF($A2039="","",AND(OR('Assignment Builder'!$B$5="",$B2039='Assignment Builder'!$B$5),OR('Assignment Builder'!$B$6="",ISNUMBER(SEARCH('Assignment Builder'!$B$6,$C2039))),OR('Assignment Builder'!$B$7="",'Assignment Builder'!$B$7=IFERROR(INDEX('Category Dictionary'!$C$5:$C$135,MATCH($L2039,'Category Dictionary'!$D$5:$D$135,0)),"")),OR('Assignment Builder'!$B$8="",$D2039='Assignment Builder'!$B$8),OR('Assignment Builder'!$B$9="",$F2039='Assignment Builder'!$B$9),OR('Assignment Builder'!$B$10="",$O2039='Assignment Builder'!$B$10),OR('Assignment Builder'!$B$11="",$H2039&gt;='Assignment Builder'!$B$11),OR('Assignment Builder'!$B$12="",N($Q2039)&lt;='Assignment Builder'!$B$12)))</f>
        <v/>
      </c>
      <c r="T2039" s="23" t="n"/>
    </row>
    <row r="2040">
      <c r="A2040" s="23" t="n"/>
      <c r="B2040" s="23" t="n"/>
      <c r="C2040" s="24" t="n"/>
      <c r="D2040" s="15" t="n"/>
      <c r="E2040" s="23" t="n"/>
      <c r="F2040" s="15" t="n"/>
      <c r="G2040" s="23" t="n"/>
      <c r="H2040" s="25" t="n"/>
      <c r="I2040" s="15" t="n"/>
      <c r="J2040" s="26">
        <f>IF($A2040="","",LEN($C2040)-LEN(SUBSTITUTE($C2040,",",""))+1)</f>
        <v/>
      </c>
      <c r="K2040" s="26">
        <f>IF($A2040="","",SUMPRODUCT(--ISNUMBER(SEARCH('Category Dictionary'!$D$5:$D$135&amp;"",$C2040)),--('Category Dictionary'!$D$5:$D$135&lt;&gt;"")))</f>
        <v/>
      </c>
      <c r="L2040" s="27">
        <f>IF($A2040="","",TRIM(IF(ISERROR(FIND(",",$C2040)),$C2040,LEFT($C2040,FIND(",",$C2040)-1))))</f>
        <v/>
      </c>
      <c r="M2040" s="28">
        <f>IF($H2040="","",DATE(YEAR($H2040),MONTH($H2040),1))</f>
        <v/>
      </c>
      <c r="N2040" s="26">
        <f>IF($H2040="","",TODAY()-$H2040)</f>
        <v/>
      </c>
      <c r="O2040" s="15" t="n"/>
      <c r="P2040" s="15" t="n"/>
      <c r="Q2040" s="15" t="n"/>
      <c r="R2040" s="25" t="n"/>
      <c r="S2040" s="26">
        <f>IF($A2040="","",AND(OR('Assignment Builder'!$B$5="",$B2040='Assignment Builder'!$B$5),OR('Assignment Builder'!$B$6="",ISNUMBER(SEARCH('Assignment Builder'!$B$6,$C2040))),OR('Assignment Builder'!$B$7="",'Assignment Builder'!$B$7=IFERROR(INDEX('Category Dictionary'!$C$5:$C$135,MATCH($L2040,'Category Dictionary'!$D$5:$D$135,0)),"")),OR('Assignment Builder'!$B$8="",$D2040='Assignment Builder'!$B$8),OR('Assignment Builder'!$B$9="",$F2040='Assignment Builder'!$B$9),OR('Assignment Builder'!$B$10="",$O2040='Assignment Builder'!$B$10),OR('Assignment Builder'!$B$11="",$H2040&gt;='Assignment Builder'!$B$11),OR('Assignment Builder'!$B$12="",N($Q2040)&lt;='Assignment Builder'!$B$12)))</f>
        <v/>
      </c>
      <c r="T2040" s="23" t="n"/>
    </row>
    <row r="2041">
      <c r="A2041" s="23" t="n"/>
      <c r="B2041" s="23" t="n"/>
      <c r="C2041" s="24" t="n"/>
      <c r="D2041" s="15" t="n"/>
      <c r="E2041" s="23" t="n"/>
      <c r="F2041" s="15" t="n"/>
      <c r="G2041" s="23" t="n"/>
      <c r="H2041" s="25" t="n"/>
      <c r="I2041" s="15" t="n"/>
      <c r="J2041" s="26">
        <f>IF($A2041="","",LEN($C2041)-LEN(SUBSTITUTE($C2041,",",""))+1)</f>
        <v/>
      </c>
      <c r="K2041" s="26">
        <f>IF($A2041="","",SUMPRODUCT(--ISNUMBER(SEARCH('Category Dictionary'!$D$5:$D$135&amp;"",$C2041)),--('Category Dictionary'!$D$5:$D$135&lt;&gt;"")))</f>
        <v/>
      </c>
      <c r="L2041" s="27">
        <f>IF($A2041="","",TRIM(IF(ISERROR(FIND(",",$C2041)),$C2041,LEFT($C2041,FIND(",",$C2041)-1))))</f>
        <v/>
      </c>
      <c r="M2041" s="28">
        <f>IF($H2041="","",DATE(YEAR($H2041),MONTH($H2041),1))</f>
        <v/>
      </c>
      <c r="N2041" s="26">
        <f>IF($H2041="","",TODAY()-$H2041)</f>
        <v/>
      </c>
      <c r="O2041" s="15" t="n"/>
      <c r="P2041" s="15" t="n"/>
      <c r="Q2041" s="15" t="n"/>
      <c r="R2041" s="25" t="n"/>
      <c r="S2041" s="26">
        <f>IF($A2041="","",AND(OR('Assignment Builder'!$B$5="",$B2041='Assignment Builder'!$B$5),OR('Assignment Builder'!$B$6="",ISNUMBER(SEARCH('Assignment Builder'!$B$6,$C2041))),OR('Assignment Builder'!$B$7="",'Assignment Builder'!$B$7=IFERROR(INDEX('Category Dictionary'!$C$5:$C$135,MATCH($L2041,'Category Dictionary'!$D$5:$D$135,0)),"")),OR('Assignment Builder'!$B$8="",$D2041='Assignment Builder'!$B$8),OR('Assignment Builder'!$B$9="",$F2041='Assignment Builder'!$B$9),OR('Assignment Builder'!$B$10="",$O2041='Assignment Builder'!$B$10),OR('Assignment Builder'!$B$11="",$H2041&gt;='Assignment Builder'!$B$11),OR('Assignment Builder'!$B$12="",N($Q2041)&lt;='Assignment Builder'!$B$12)))</f>
        <v/>
      </c>
      <c r="T2041" s="23" t="n"/>
    </row>
    <row r="2042">
      <c r="A2042" s="23" t="n"/>
      <c r="B2042" s="23" t="n"/>
      <c r="C2042" s="24" t="n"/>
      <c r="D2042" s="15" t="n"/>
      <c r="E2042" s="23" t="n"/>
      <c r="F2042" s="15" t="n"/>
      <c r="G2042" s="23" t="n"/>
      <c r="H2042" s="25" t="n"/>
      <c r="I2042" s="15" t="n"/>
      <c r="J2042" s="26">
        <f>IF($A2042="","",LEN($C2042)-LEN(SUBSTITUTE($C2042,",",""))+1)</f>
        <v/>
      </c>
      <c r="K2042" s="26">
        <f>IF($A2042="","",SUMPRODUCT(--ISNUMBER(SEARCH('Category Dictionary'!$D$5:$D$135&amp;"",$C2042)),--('Category Dictionary'!$D$5:$D$135&lt;&gt;"")))</f>
        <v/>
      </c>
      <c r="L2042" s="27">
        <f>IF($A2042="","",TRIM(IF(ISERROR(FIND(",",$C2042)),$C2042,LEFT($C2042,FIND(",",$C2042)-1))))</f>
        <v/>
      </c>
      <c r="M2042" s="28">
        <f>IF($H2042="","",DATE(YEAR($H2042),MONTH($H2042),1))</f>
        <v/>
      </c>
      <c r="N2042" s="26">
        <f>IF($H2042="","",TODAY()-$H2042)</f>
        <v/>
      </c>
      <c r="O2042" s="15" t="n"/>
      <c r="P2042" s="15" t="n"/>
      <c r="Q2042" s="15" t="n"/>
      <c r="R2042" s="25" t="n"/>
      <c r="S2042" s="26">
        <f>IF($A2042="","",AND(OR('Assignment Builder'!$B$5="",$B2042='Assignment Builder'!$B$5),OR('Assignment Builder'!$B$6="",ISNUMBER(SEARCH('Assignment Builder'!$B$6,$C2042))),OR('Assignment Builder'!$B$7="",'Assignment Builder'!$B$7=IFERROR(INDEX('Category Dictionary'!$C$5:$C$135,MATCH($L2042,'Category Dictionary'!$D$5:$D$135,0)),"")),OR('Assignment Builder'!$B$8="",$D2042='Assignment Builder'!$B$8),OR('Assignment Builder'!$B$9="",$F2042='Assignment Builder'!$B$9),OR('Assignment Builder'!$B$10="",$O2042='Assignment Builder'!$B$10),OR('Assignment Builder'!$B$11="",$H2042&gt;='Assignment Builder'!$B$11),OR('Assignment Builder'!$B$12="",N($Q2042)&lt;='Assignment Builder'!$B$12)))</f>
        <v/>
      </c>
      <c r="T2042" s="23" t="n"/>
    </row>
    <row r="2043">
      <c r="A2043" s="23" t="n"/>
      <c r="B2043" s="23" t="n"/>
      <c r="C2043" s="24" t="n"/>
      <c r="D2043" s="15" t="n"/>
      <c r="E2043" s="23" t="n"/>
      <c r="F2043" s="15" t="n"/>
      <c r="G2043" s="23" t="n"/>
      <c r="H2043" s="25" t="n"/>
      <c r="I2043" s="15" t="n"/>
      <c r="J2043" s="26">
        <f>IF($A2043="","",LEN($C2043)-LEN(SUBSTITUTE($C2043,",",""))+1)</f>
        <v/>
      </c>
      <c r="K2043" s="26">
        <f>IF($A2043="","",SUMPRODUCT(--ISNUMBER(SEARCH('Category Dictionary'!$D$5:$D$135&amp;"",$C2043)),--('Category Dictionary'!$D$5:$D$135&lt;&gt;"")))</f>
        <v/>
      </c>
      <c r="L2043" s="27">
        <f>IF($A2043="","",TRIM(IF(ISERROR(FIND(",",$C2043)),$C2043,LEFT($C2043,FIND(",",$C2043)-1))))</f>
        <v/>
      </c>
      <c r="M2043" s="28">
        <f>IF($H2043="","",DATE(YEAR($H2043),MONTH($H2043),1))</f>
        <v/>
      </c>
      <c r="N2043" s="26">
        <f>IF($H2043="","",TODAY()-$H2043)</f>
        <v/>
      </c>
      <c r="O2043" s="15" t="n"/>
      <c r="P2043" s="15" t="n"/>
      <c r="Q2043" s="15" t="n"/>
      <c r="R2043" s="25" t="n"/>
      <c r="S2043" s="26">
        <f>IF($A2043="","",AND(OR('Assignment Builder'!$B$5="",$B2043='Assignment Builder'!$B$5),OR('Assignment Builder'!$B$6="",ISNUMBER(SEARCH('Assignment Builder'!$B$6,$C2043))),OR('Assignment Builder'!$B$7="",'Assignment Builder'!$B$7=IFERROR(INDEX('Category Dictionary'!$C$5:$C$135,MATCH($L2043,'Category Dictionary'!$D$5:$D$135,0)),"")),OR('Assignment Builder'!$B$8="",$D2043='Assignment Builder'!$B$8),OR('Assignment Builder'!$B$9="",$F2043='Assignment Builder'!$B$9),OR('Assignment Builder'!$B$10="",$O2043='Assignment Builder'!$B$10),OR('Assignment Builder'!$B$11="",$H2043&gt;='Assignment Builder'!$B$11),OR('Assignment Builder'!$B$12="",N($Q2043)&lt;='Assignment Builder'!$B$12)))</f>
        <v/>
      </c>
      <c r="T2043" s="23" t="n"/>
    </row>
    <row r="2044">
      <c r="A2044" s="23" t="n"/>
      <c r="B2044" s="23" t="n"/>
      <c r="C2044" s="24" t="n"/>
      <c r="D2044" s="15" t="n"/>
      <c r="E2044" s="23" t="n"/>
      <c r="F2044" s="15" t="n"/>
      <c r="G2044" s="23" t="n"/>
      <c r="H2044" s="25" t="n"/>
      <c r="I2044" s="15" t="n"/>
      <c r="J2044" s="26">
        <f>IF($A2044="","",LEN($C2044)-LEN(SUBSTITUTE($C2044,",",""))+1)</f>
        <v/>
      </c>
      <c r="K2044" s="26">
        <f>IF($A2044="","",SUMPRODUCT(--ISNUMBER(SEARCH('Category Dictionary'!$D$5:$D$135&amp;"",$C2044)),--('Category Dictionary'!$D$5:$D$135&lt;&gt;"")))</f>
        <v/>
      </c>
      <c r="L2044" s="27">
        <f>IF($A2044="","",TRIM(IF(ISERROR(FIND(",",$C2044)),$C2044,LEFT($C2044,FIND(",",$C2044)-1))))</f>
        <v/>
      </c>
      <c r="M2044" s="28">
        <f>IF($H2044="","",DATE(YEAR($H2044),MONTH($H2044),1))</f>
        <v/>
      </c>
      <c r="N2044" s="26">
        <f>IF($H2044="","",TODAY()-$H2044)</f>
        <v/>
      </c>
      <c r="O2044" s="15" t="n"/>
      <c r="P2044" s="15" t="n"/>
      <c r="Q2044" s="15" t="n"/>
      <c r="R2044" s="25" t="n"/>
      <c r="S2044" s="26">
        <f>IF($A2044="","",AND(OR('Assignment Builder'!$B$5="",$B2044='Assignment Builder'!$B$5),OR('Assignment Builder'!$B$6="",ISNUMBER(SEARCH('Assignment Builder'!$B$6,$C2044))),OR('Assignment Builder'!$B$7="",'Assignment Builder'!$B$7=IFERROR(INDEX('Category Dictionary'!$C$5:$C$135,MATCH($L2044,'Category Dictionary'!$D$5:$D$135,0)),"")),OR('Assignment Builder'!$B$8="",$D2044='Assignment Builder'!$B$8),OR('Assignment Builder'!$B$9="",$F2044='Assignment Builder'!$B$9),OR('Assignment Builder'!$B$10="",$O2044='Assignment Builder'!$B$10),OR('Assignment Builder'!$B$11="",$H2044&gt;='Assignment Builder'!$B$11),OR('Assignment Builder'!$B$12="",N($Q2044)&lt;='Assignment Builder'!$B$12)))</f>
        <v/>
      </c>
      <c r="T2044" s="23" t="n"/>
    </row>
    <row r="2045">
      <c r="A2045" s="23" t="n"/>
      <c r="B2045" s="23" t="n"/>
      <c r="C2045" s="24" t="n"/>
      <c r="D2045" s="15" t="n"/>
      <c r="E2045" s="23" t="n"/>
      <c r="F2045" s="15" t="n"/>
      <c r="G2045" s="23" t="n"/>
      <c r="H2045" s="25" t="n"/>
      <c r="I2045" s="15" t="n"/>
      <c r="J2045" s="26">
        <f>IF($A2045="","",LEN($C2045)-LEN(SUBSTITUTE($C2045,",",""))+1)</f>
        <v/>
      </c>
      <c r="K2045" s="26">
        <f>IF($A2045="","",SUMPRODUCT(--ISNUMBER(SEARCH('Category Dictionary'!$D$5:$D$135&amp;"",$C2045)),--('Category Dictionary'!$D$5:$D$135&lt;&gt;"")))</f>
        <v/>
      </c>
      <c r="L2045" s="27">
        <f>IF($A2045="","",TRIM(IF(ISERROR(FIND(",",$C2045)),$C2045,LEFT($C2045,FIND(",",$C2045)-1))))</f>
        <v/>
      </c>
      <c r="M2045" s="28">
        <f>IF($H2045="","",DATE(YEAR($H2045),MONTH($H2045),1))</f>
        <v/>
      </c>
      <c r="N2045" s="26">
        <f>IF($H2045="","",TODAY()-$H2045)</f>
        <v/>
      </c>
      <c r="O2045" s="15" t="n"/>
      <c r="P2045" s="15" t="n"/>
      <c r="Q2045" s="15" t="n"/>
      <c r="R2045" s="25" t="n"/>
      <c r="S2045" s="26">
        <f>IF($A2045="","",AND(OR('Assignment Builder'!$B$5="",$B2045='Assignment Builder'!$B$5),OR('Assignment Builder'!$B$6="",ISNUMBER(SEARCH('Assignment Builder'!$B$6,$C2045))),OR('Assignment Builder'!$B$7="",'Assignment Builder'!$B$7=IFERROR(INDEX('Category Dictionary'!$C$5:$C$135,MATCH($L2045,'Category Dictionary'!$D$5:$D$135,0)),"")),OR('Assignment Builder'!$B$8="",$D2045='Assignment Builder'!$B$8),OR('Assignment Builder'!$B$9="",$F2045='Assignment Builder'!$B$9),OR('Assignment Builder'!$B$10="",$O2045='Assignment Builder'!$B$10),OR('Assignment Builder'!$B$11="",$H2045&gt;='Assignment Builder'!$B$11),OR('Assignment Builder'!$B$12="",N($Q2045)&lt;='Assignment Builder'!$B$12)))</f>
        <v/>
      </c>
      <c r="T2045" s="23" t="n"/>
    </row>
    <row r="2046">
      <c r="A2046" s="23" t="n"/>
      <c r="B2046" s="23" t="n"/>
      <c r="C2046" s="24" t="n"/>
      <c r="D2046" s="15" t="n"/>
      <c r="E2046" s="23" t="n"/>
      <c r="F2046" s="15" t="n"/>
      <c r="G2046" s="23" t="n"/>
      <c r="H2046" s="25" t="n"/>
      <c r="I2046" s="15" t="n"/>
      <c r="J2046" s="26">
        <f>IF($A2046="","",LEN($C2046)-LEN(SUBSTITUTE($C2046,",",""))+1)</f>
        <v/>
      </c>
      <c r="K2046" s="26">
        <f>IF($A2046="","",SUMPRODUCT(--ISNUMBER(SEARCH('Category Dictionary'!$D$5:$D$135&amp;"",$C2046)),--('Category Dictionary'!$D$5:$D$135&lt;&gt;"")))</f>
        <v/>
      </c>
      <c r="L2046" s="27">
        <f>IF($A2046="","",TRIM(IF(ISERROR(FIND(",",$C2046)),$C2046,LEFT($C2046,FIND(",",$C2046)-1))))</f>
        <v/>
      </c>
      <c r="M2046" s="28">
        <f>IF($H2046="","",DATE(YEAR($H2046),MONTH($H2046),1))</f>
        <v/>
      </c>
      <c r="N2046" s="26">
        <f>IF($H2046="","",TODAY()-$H2046)</f>
        <v/>
      </c>
      <c r="O2046" s="15" t="n"/>
      <c r="P2046" s="15" t="n"/>
      <c r="Q2046" s="15" t="n"/>
      <c r="R2046" s="25" t="n"/>
      <c r="S2046" s="26">
        <f>IF($A2046="","",AND(OR('Assignment Builder'!$B$5="",$B2046='Assignment Builder'!$B$5),OR('Assignment Builder'!$B$6="",ISNUMBER(SEARCH('Assignment Builder'!$B$6,$C2046))),OR('Assignment Builder'!$B$7="",'Assignment Builder'!$B$7=IFERROR(INDEX('Category Dictionary'!$C$5:$C$135,MATCH($L2046,'Category Dictionary'!$D$5:$D$135,0)),"")),OR('Assignment Builder'!$B$8="",$D2046='Assignment Builder'!$B$8),OR('Assignment Builder'!$B$9="",$F2046='Assignment Builder'!$B$9),OR('Assignment Builder'!$B$10="",$O2046='Assignment Builder'!$B$10),OR('Assignment Builder'!$B$11="",$H2046&gt;='Assignment Builder'!$B$11),OR('Assignment Builder'!$B$12="",N($Q2046)&lt;='Assignment Builder'!$B$12)))</f>
        <v/>
      </c>
      <c r="T2046" s="23" t="n"/>
    </row>
    <row r="2047">
      <c r="A2047" s="23" t="n"/>
      <c r="B2047" s="23" t="n"/>
      <c r="C2047" s="24" t="n"/>
      <c r="D2047" s="15" t="n"/>
      <c r="E2047" s="23" t="n"/>
      <c r="F2047" s="15" t="n"/>
      <c r="G2047" s="23" t="n"/>
      <c r="H2047" s="25" t="n"/>
      <c r="I2047" s="15" t="n"/>
      <c r="J2047" s="26">
        <f>IF($A2047="","",LEN($C2047)-LEN(SUBSTITUTE($C2047,",",""))+1)</f>
        <v/>
      </c>
      <c r="K2047" s="26">
        <f>IF($A2047="","",SUMPRODUCT(--ISNUMBER(SEARCH('Category Dictionary'!$D$5:$D$135&amp;"",$C2047)),--('Category Dictionary'!$D$5:$D$135&lt;&gt;"")))</f>
        <v/>
      </c>
      <c r="L2047" s="27">
        <f>IF($A2047="","",TRIM(IF(ISERROR(FIND(",",$C2047)),$C2047,LEFT($C2047,FIND(",",$C2047)-1))))</f>
        <v/>
      </c>
      <c r="M2047" s="28">
        <f>IF($H2047="","",DATE(YEAR($H2047),MONTH($H2047),1))</f>
        <v/>
      </c>
      <c r="N2047" s="26">
        <f>IF($H2047="","",TODAY()-$H2047)</f>
        <v/>
      </c>
      <c r="O2047" s="15" t="n"/>
      <c r="P2047" s="15" t="n"/>
      <c r="Q2047" s="15" t="n"/>
      <c r="R2047" s="25" t="n"/>
      <c r="S2047" s="26">
        <f>IF($A2047="","",AND(OR('Assignment Builder'!$B$5="",$B2047='Assignment Builder'!$B$5),OR('Assignment Builder'!$B$6="",ISNUMBER(SEARCH('Assignment Builder'!$B$6,$C2047))),OR('Assignment Builder'!$B$7="",'Assignment Builder'!$B$7=IFERROR(INDEX('Category Dictionary'!$C$5:$C$135,MATCH($L2047,'Category Dictionary'!$D$5:$D$135,0)),"")),OR('Assignment Builder'!$B$8="",$D2047='Assignment Builder'!$B$8),OR('Assignment Builder'!$B$9="",$F2047='Assignment Builder'!$B$9),OR('Assignment Builder'!$B$10="",$O2047='Assignment Builder'!$B$10),OR('Assignment Builder'!$B$11="",$H2047&gt;='Assignment Builder'!$B$11),OR('Assignment Builder'!$B$12="",N($Q2047)&lt;='Assignment Builder'!$B$12)))</f>
        <v/>
      </c>
      <c r="T2047" s="23" t="n"/>
    </row>
    <row r="2048">
      <c r="A2048" s="23" t="n"/>
      <c r="B2048" s="23" t="n"/>
      <c r="C2048" s="24" t="n"/>
      <c r="D2048" s="15" t="n"/>
      <c r="E2048" s="23" t="n"/>
      <c r="F2048" s="15" t="n"/>
      <c r="G2048" s="23" t="n"/>
      <c r="H2048" s="25" t="n"/>
      <c r="I2048" s="15" t="n"/>
      <c r="J2048" s="26">
        <f>IF($A2048="","",LEN($C2048)-LEN(SUBSTITUTE($C2048,",",""))+1)</f>
        <v/>
      </c>
      <c r="K2048" s="26">
        <f>IF($A2048="","",SUMPRODUCT(--ISNUMBER(SEARCH('Category Dictionary'!$D$5:$D$135&amp;"",$C2048)),--('Category Dictionary'!$D$5:$D$135&lt;&gt;"")))</f>
        <v/>
      </c>
      <c r="L2048" s="27">
        <f>IF($A2048="","",TRIM(IF(ISERROR(FIND(",",$C2048)),$C2048,LEFT($C2048,FIND(",",$C2048)-1))))</f>
        <v/>
      </c>
      <c r="M2048" s="28">
        <f>IF($H2048="","",DATE(YEAR($H2048),MONTH($H2048),1))</f>
        <v/>
      </c>
      <c r="N2048" s="26">
        <f>IF($H2048="","",TODAY()-$H2048)</f>
        <v/>
      </c>
      <c r="O2048" s="15" t="n"/>
      <c r="P2048" s="15" t="n"/>
      <c r="Q2048" s="15" t="n"/>
      <c r="R2048" s="25" t="n"/>
      <c r="S2048" s="26">
        <f>IF($A2048="","",AND(OR('Assignment Builder'!$B$5="",$B2048='Assignment Builder'!$B$5),OR('Assignment Builder'!$B$6="",ISNUMBER(SEARCH('Assignment Builder'!$B$6,$C2048))),OR('Assignment Builder'!$B$7="",'Assignment Builder'!$B$7=IFERROR(INDEX('Category Dictionary'!$C$5:$C$135,MATCH($L2048,'Category Dictionary'!$D$5:$D$135,0)),"")),OR('Assignment Builder'!$B$8="",$D2048='Assignment Builder'!$B$8),OR('Assignment Builder'!$B$9="",$F2048='Assignment Builder'!$B$9),OR('Assignment Builder'!$B$10="",$O2048='Assignment Builder'!$B$10),OR('Assignment Builder'!$B$11="",$H2048&gt;='Assignment Builder'!$B$11),OR('Assignment Builder'!$B$12="",N($Q2048)&lt;='Assignment Builder'!$B$12)))</f>
        <v/>
      </c>
      <c r="T2048" s="23" t="n"/>
    </row>
    <row r="2049">
      <c r="A2049" s="23" t="n"/>
      <c r="B2049" s="23" t="n"/>
      <c r="C2049" s="24" t="n"/>
      <c r="D2049" s="15" t="n"/>
      <c r="E2049" s="23" t="n"/>
      <c r="F2049" s="15" t="n"/>
      <c r="G2049" s="23" t="n"/>
      <c r="H2049" s="25" t="n"/>
      <c r="I2049" s="15" t="n"/>
      <c r="J2049" s="26">
        <f>IF($A2049="","",LEN($C2049)-LEN(SUBSTITUTE($C2049,",",""))+1)</f>
        <v/>
      </c>
      <c r="K2049" s="26">
        <f>IF($A2049="","",SUMPRODUCT(--ISNUMBER(SEARCH('Category Dictionary'!$D$5:$D$135&amp;"",$C2049)),--('Category Dictionary'!$D$5:$D$135&lt;&gt;"")))</f>
        <v/>
      </c>
      <c r="L2049" s="27">
        <f>IF($A2049="","",TRIM(IF(ISERROR(FIND(",",$C2049)),$C2049,LEFT($C2049,FIND(",",$C2049)-1))))</f>
        <v/>
      </c>
      <c r="M2049" s="28">
        <f>IF($H2049="","",DATE(YEAR($H2049),MONTH($H2049),1))</f>
        <v/>
      </c>
      <c r="N2049" s="26">
        <f>IF($H2049="","",TODAY()-$H2049)</f>
        <v/>
      </c>
      <c r="O2049" s="15" t="n"/>
      <c r="P2049" s="15" t="n"/>
      <c r="Q2049" s="15" t="n"/>
      <c r="R2049" s="25" t="n"/>
      <c r="S2049" s="26">
        <f>IF($A2049="","",AND(OR('Assignment Builder'!$B$5="",$B2049='Assignment Builder'!$B$5),OR('Assignment Builder'!$B$6="",ISNUMBER(SEARCH('Assignment Builder'!$B$6,$C2049))),OR('Assignment Builder'!$B$7="",'Assignment Builder'!$B$7=IFERROR(INDEX('Category Dictionary'!$C$5:$C$135,MATCH($L2049,'Category Dictionary'!$D$5:$D$135,0)),"")),OR('Assignment Builder'!$B$8="",$D2049='Assignment Builder'!$B$8),OR('Assignment Builder'!$B$9="",$F2049='Assignment Builder'!$B$9),OR('Assignment Builder'!$B$10="",$O2049='Assignment Builder'!$B$10),OR('Assignment Builder'!$B$11="",$H2049&gt;='Assignment Builder'!$B$11),OR('Assignment Builder'!$B$12="",N($Q2049)&lt;='Assignment Builder'!$B$12)))</f>
        <v/>
      </c>
      <c r="T2049" s="23" t="n"/>
    </row>
    <row r="2050">
      <c r="A2050" s="23" t="n"/>
      <c r="B2050" s="23" t="n"/>
      <c r="C2050" s="24" t="n"/>
      <c r="D2050" s="15" t="n"/>
      <c r="E2050" s="23" t="n"/>
      <c r="F2050" s="15" t="n"/>
      <c r="G2050" s="23" t="n"/>
      <c r="H2050" s="25" t="n"/>
      <c r="I2050" s="15" t="n"/>
      <c r="J2050" s="26">
        <f>IF($A2050="","",LEN($C2050)-LEN(SUBSTITUTE($C2050,",",""))+1)</f>
        <v/>
      </c>
      <c r="K2050" s="26">
        <f>IF($A2050="","",SUMPRODUCT(--ISNUMBER(SEARCH('Category Dictionary'!$D$5:$D$135&amp;"",$C2050)),--('Category Dictionary'!$D$5:$D$135&lt;&gt;"")))</f>
        <v/>
      </c>
      <c r="L2050" s="27">
        <f>IF($A2050="","",TRIM(IF(ISERROR(FIND(",",$C2050)),$C2050,LEFT($C2050,FIND(",",$C2050)-1))))</f>
        <v/>
      </c>
      <c r="M2050" s="28">
        <f>IF($H2050="","",DATE(YEAR($H2050),MONTH($H2050),1))</f>
        <v/>
      </c>
      <c r="N2050" s="26">
        <f>IF($H2050="","",TODAY()-$H2050)</f>
        <v/>
      </c>
      <c r="O2050" s="15" t="n"/>
      <c r="P2050" s="15" t="n"/>
      <c r="Q2050" s="15" t="n"/>
      <c r="R2050" s="25" t="n"/>
      <c r="S2050" s="26">
        <f>IF($A2050="","",AND(OR('Assignment Builder'!$B$5="",$B2050='Assignment Builder'!$B$5),OR('Assignment Builder'!$B$6="",ISNUMBER(SEARCH('Assignment Builder'!$B$6,$C2050))),OR('Assignment Builder'!$B$7="",'Assignment Builder'!$B$7=IFERROR(INDEX('Category Dictionary'!$C$5:$C$135,MATCH($L2050,'Category Dictionary'!$D$5:$D$135,0)),"")),OR('Assignment Builder'!$B$8="",$D2050='Assignment Builder'!$B$8),OR('Assignment Builder'!$B$9="",$F2050='Assignment Builder'!$B$9),OR('Assignment Builder'!$B$10="",$O2050='Assignment Builder'!$B$10),OR('Assignment Builder'!$B$11="",$H2050&gt;='Assignment Builder'!$B$11),OR('Assignment Builder'!$B$12="",N($Q2050)&lt;='Assignment Builder'!$B$12)))</f>
        <v/>
      </c>
      <c r="T2050" s="23" t="n"/>
    </row>
    <row r="2051">
      <c r="A2051" s="23" t="n"/>
      <c r="B2051" s="23" t="n"/>
      <c r="C2051" s="24" t="n"/>
      <c r="D2051" s="15" t="n"/>
      <c r="E2051" s="23" t="n"/>
      <c r="F2051" s="15" t="n"/>
      <c r="G2051" s="23" t="n"/>
      <c r="H2051" s="25" t="n"/>
      <c r="I2051" s="15" t="n"/>
      <c r="J2051" s="26">
        <f>IF($A2051="","",LEN($C2051)-LEN(SUBSTITUTE($C2051,",",""))+1)</f>
        <v/>
      </c>
      <c r="K2051" s="26">
        <f>IF($A2051="","",SUMPRODUCT(--ISNUMBER(SEARCH('Category Dictionary'!$D$5:$D$135&amp;"",$C2051)),--('Category Dictionary'!$D$5:$D$135&lt;&gt;"")))</f>
        <v/>
      </c>
      <c r="L2051" s="27">
        <f>IF($A2051="","",TRIM(IF(ISERROR(FIND(",",$C2051)),$C2051,LEFT($C2051,FIND(",",$C2051)-1))))</f>
        <v/>
      </c>
      <c r="M2051" s="28">
        <f>IF($H2051="","",DATE(YEAR($H2051),MONTH($H2051),1))</f>
        <v/>
      </c>
      <c r="N2051" s="26">
        <f>IF($H2051="","",TODAY()-$H2051)</f>
        <v/>
      </c>
      <c r="O2051" s="15" t="n"/>
      <c r="P2051" s="15" t="n"/>
      <c r="Q2051" s="15" t="n"/>
      <c r="R2051" s="25" t="n"/>
      <c r="S2051" s="26">
        <f>IF($A2051="","",AND(OR('Assignment Builder'!$B$5="",$B2051='Assignment Builder'!$B$5),OR('Assignment Builder'!$B$6="",ISNUMBER(SEARCH('Assignment Builder'!$B$6,$C2051))),OR('Assignment Builder'!$B$7="",'Assignment Builder'!$B$7=IFERROR(INDEX('Category Dictionary'!$C$5:$C$135,MATCH($L2051,'Category Dictionary'!$D$5:$D$135,0)),"")),OR('Assignment Builder'!$B$8="",$D2051='Assignment Builder'!$B$8),OR('Assignment Builder'!$B$9="",$F2051='Assignment Builder'!$B$9),OR('Assignment Builder'!$B$10="",$O2051='Assignment Builder'!$B$10),OR('Assignment Builder'!$B$11="",$H2051&gt;='Assignment Builder'!$B$11),OR('Assignment Builder'!$B$12="",N($Q2051)&lt;='Assignment Builder'!$B$12)))</f>
        <v/>
      </c>
      <c r="T2051" s="23" t="n"/>
    </row>
    <row r="2052">
      <c r="A2052" s="23" t="n"/>
      <c r="B2052" s="23" t="n"/>
      <c r="C2052" s="24" t="n"/>
      <c r="D2052" s="15" t="n"/>
      <c r="E2052" s="23" t="n"/>
      <c r="F2052" s="15" t="n"/>
      <c r="G2052" s="23" t="n"/>
      <c r="H2052" s="25" t="n"/>
      <c r="I2052" s="15" t="n"/>
      <c r="J2052" s="26">
        <f>IF($A2052="","",LEN($C2052)-LEN(SUBSTITUTE($C2052,",",""))+1)</f>
        <v/>
      </c>
      <c r="K2052" s="26">
        <f>IF($A2052="","",SUMPRODUCT(--ISNUMBER(SEARCH('Category Dictionary'!$D$5:$D$135&amp;"",$C2052)),--('Category Dictionary'!$D$5:$D$135&lt;&gt;"")))</f>
        <v/>
      </c>
      <c r="L2052" s="27">
        <f>IF($A2052="","",TRIM(IF(ISERROR(FIND(",",$C2052)),$C2052,LEFT($C2052,FIND(",",$C2052)-1))))</f>
        <v/>
      </c>
      <c r="M2052" s="28">
        <f>IF($H2052="","",DATE(YEAR($H2052),MONTH($H2052),1))</f>
        <v/>
      </c>
      <c r="N2052" s="26">
        <f>IF($H2052="","",TODAY()-$H2052)</f>
        <v/>
      </c>
      <c r="O2052" s="15" t="n"/>
      <c r="P2052" s="15" t="n"/>
      <c r="Q2052" s="15" t="n"/>
      <c r="R2052" s="25" t="n"/>
      <c r="S2052" s="26">
        <f>IF($A2052="","",AND(OR('Assignment Builder'!$B$5="",$B2052='Assignment Builder'!$B$5),OR('Assignment Builder'!$B$6="",ISNUMBER(SEARCH('Assignment Builder'!$B$6,$C2052))),OR('Assignment Builder'!$B$7="",'Assignment Builder'!$B$7=IFERROR(INDEX('Category Dictionary'!$C$5:$C$135,MATCH($L2052,'Category Dictionary'!$D$5:$D$135,0)),"")),OR('Assignment Builder'!$B$8="",$D2052='Assignment Builder'!$B$8),OR('Assignment Builder'!$B$9="",$F2052='Assignment Builder'!$B$9),OR('Assignment Builder'!$B$10="",$O2052='Assignment Builder'!$B$10),OR('Assignment Builder'!$B$11="",$H2052&gt;='Assignment Builder'!$B$11),OR('Assignment Builder'!$B$12="",N($Q2052)&lt;='Assignment Builder'!$B$12)))</f>
        <v/>
      </c>
      <c r="T2052" s="23" t="n"/>
    </row>
    <row r="2053">
      <c r="A2053" s="23" t="n"/>
      <c r="B2053" s="23" t="n"/>
      <c r="C2053" s="24" t="n"/>
      <c r="D2053" s="15" t="n"/>
      <c r="E2053" s="23" t="n"/>
      <c r="F2053" s="15" t="n"/>
      <c r="G2053" s="23" t="n"/>
      <c r="H2053" s="25" t="n"/>
      <c r="I2053" s="15" t="n"/>
      <c r="J2053" s="26">
        <f>IF($A2053="","",LEN($C2053)-LEN(SUBSTITUTE($C2053,",",""))+1)</f>
        <v/>
      </c>
      <c r="K2053" s="26">
        <f>IF($A2053="","",SUMPRODUCT(--ISNUMBER(SEARCH('Category Dictionary'!$D$5:$D$135&amp;"",$C2053)),--('Category Dictionary'!$D$5:$D$135&lt;&gt;"")))</f>
        <v/>
      </c>
      <c r="L2053" s="27">
        <f>IF($A2053="","",TRIM(IF(ISERROR(FIND(",",$C2053)),$C2053,LEFT($C2053,FIND(",",$C2053)-1))))</f>
        <v/>
      </c>
      <c r="M2053" s="28">
        <f>IF($H2053="","",DATE(YEAR($H2053),MONTH($H2053),1))</f>
        <v/>
      </c>
      <c r="N2053" s="26">
        <f>IF($H2053="","",TODAY()-$H2053)</f>
        <v/>
      </c>
      <c r="O2053" s="15" t="n"/>
      <c r="P2053" s="15" t="n"/>
      <c r="Q2053" s="15" t="n"/>
      <c r="R2053" s="25" t="n"/>
      <c r="S2053" s="26">
        <f>IF($A2053="","",AND(OR('Assignment Builder'!$B$5="",$B2053='Assignment Builder'!$B$5),OR('Assignment Builder'!$B$6="",ISNUMBER(SEARCH('Assignment Builder'!$B$6,$C2053))),OR('Assignment Builder'!$B$7="",'Assignment Builder'!$B$7=IFERROR(INDEX('Category Dictionary'!$C$5:$C$135,MATCH($L2053,'Category Dictionary'!$D$5:$D$135,0)),"")),OR('Assignment Builder'!$B$8="",$D2053='Assignment Builder'!$B$8),OR('Assignment Builder'!$B$9="",$F2053='Assignment Builder'!$B$9),OR('Assignment Builder'!$B$10="",$O2053='Assignment Builder'!$B$10),OR('Assignment Builder'!$B$11="",$H2053&gt;='Assignment Builder'!$B$11),OR('Assignment Builder'!$B$12="",N($Q2053)&lt;='Assignment Builder'!$B$12)))</f>
        <v/>
      </c>
      <c r="T2053" s="23" t="n"/>
    </row>
    <row r="2054">
      <c r="A2054" s="23" t="n"/>
      <c r="B2054" s="23" t="n"/>
      <c r="C2054" s="24" t="n"/>
      <c r="D2054" s="15" t="n"/>
      <c r="E2054" s="23" t="n"/>
      <c r="F2054" s="15" t="n"/>
      <c r="G2054" s="23" t="n"/>
      <c r="H2054" s="25" t="n"/>
      <c r="I2054" s="15" t="n"/>
      <c r="J2054" s="26">
        <f>IF($A2054="","",LEN($C2054)-LEN(SUBSTITUTE($C2054,",",""))+1)</f>
        <v/>
      </c>
      <c r="K2054" s="26">
        <f>IF($A2054="","",SUMPRODUCT(--ISNUMBER(SEARCH('Category Dictionary'!$D$5:$D$135&amp;"",$C2054)),--('Category Dictionary'!$D$5:$D$135&lt;&gt;"")))</f>
        <v/>
      </c>
      <c r="L2054" s="27">
        <f>IF($A2054="","",TRIM(IF(ISERROR(FIND(",",$C2054)),$C2054,LEFT($C2054,FIND(",",$C2054)-1))))</f>
        <v/>
      </c>
      <c r="M2054" s="28">
        <f>IF($H2054="","",DATE(YEAR($H2054),MONTH($H2054),1))</f>
        <v/>
      </c>
      <c r="N2054" s="26">
        <f>IF($H2054="","",TODAY()-$H2054)</f>
        <v/>
      </c>
      <c r="O2054" s="15" t="n"/>
      <c r="P2054" s="15" t="n"/>
      <c r="Q2054" s="15" t="n"/>
      <c r="R2054" s="25" t="n"/>
      <c r="S2054" s="26">
        <f>IF($A2054="","",AND(OR('Assignment Builder'!$B$5="",$B2054='Assignment Builder'!$B$5),OR('Assignment Builder'!$B$6="",ISNUMBER(SEARCH('Assignment Builder'!$B$6,$C2054))),OR('Assignment Builder'!$B$7="",'Assignment Builder'!$B$7=IFERROR(INDEX('Category Dictionary'!$C$5:$C$135,MATCH($L2054,'Category Dictionary'!$D$5:$D$135,0)),"")),OR('Assignment Builder'!$B$8="",$D2054='Assignment Builder'!$B$8),OR('Assignment Builder'!$B$9="",$F2054='Assignment Builder'!$B$9),OR('Assignment Builder'!$B$10="",$O2054='Assignment Builder'!$B$10),OR('Assignment Builder'!$B$11="",$H2054&gt;='Assignment Builder'!$B$11),OR('Assignment Builder'!$B$12="",N($Q2054)&lt;='Assignment Builder'!$B$12)))</f>
        <v/>
      </c>
      <c r="T2054" s="23" t="n"/>
    </row>
    <row r="2055">
      <c r="A2055" s="23" t="n"/>
      <c r="B2055" s="23" t="n"/>
      <c r="C2055" s="24" t="n"/>
      <c r="D2055" s="15" t="n"/>
      <c r="E2055" s="23" t="n"/>
      <c r="F2055" s="15" t="n"/>
      <c r="G2055" s="23" t="n"/>
      <c r="H2055" s="25" t="n"/>
      <c r="I2055" s="15" t="n"/>
      <c r="J2055" s="26">
        <f>IF($A2055="","",LEN($C2055)-LEN(SUBSTITUTE($C2055,",",""))+1)</f>
        <v/>
      </c>
      <c r="K2055" s="26">
        <f>IF($A2055="","",SUMPRODUCT(--ISNUMBER(SEARCH('Category Dictionary'!$D$5:$D$135&amp;"",$C2055)),--('Category Dictionary'!$D$5:$D$135&lt;&gt;"")))</f>
        <v/>
      </c>
      <c r="L2055" s="27">
        <f>IF($A2055="","",TRIM(IF(ISERROR(FIND(",",$C2055)),$C2055,LEFT($C2055,FIND(",",$C2055)-1))))</f>
        <v/>
      </c>
      <c r="M2055" s="28">
        <f>IF($H2055="","",DATE(YEAR($H2055),MONTH($H2055),1))</f>
        <v/>
      </c>
      <c r="N2055" s="26">
        <f>IF($H2055="","",TODAY()-$H2055)</f>
        <v/>
      </c>
      <c r="O2055" s="15" t="n"/>
      <c r="P2055" s="15" t="n"/>
      <c r="Q2055" s="15" t="n"/>
      <c r="R2055" s="25" t="n"/>
      <c r="S2055" s="26">
        <f>IF($A2055="","",AND(OR('Assignment Builder'!$B$5="",$B2055='Assignment Builder'!$B$5),OR('Assignment Builder'!$B$6="",ISNUMBER(SEARCH('Assignment Builder'!$B$6,$C2055))),OR('Assignment Builder'!$B$7="",'Assignment Builder'!$B$7=IFERROR(INDEX('Category Dictionary'!$C$5:$C$135,MATCH($L2055,'Category Dictionary'!$D$5:$D$135,0)),"")),OR('Assignment Builder'!$B$8="",$D2055='Assignment Builder'!$B$8),OR('Assignment Builder'!$B$9="",$F2055='Assignment Builder'!$B$9),OR('Assignment Builder'!$B$10="",$O2055='Assignment Builder'!$B$10),OR('Assignment Builder'!$B$11="",$H2055&gt;='Assignment Builder'!$B$11),OR('Assignment Builder'!$B$12="",N($Q2055)&lt;='Assignment Builder'!$B$12)))</f>
        <v/>
      </c>
      <c r="T2055" s="23" t="n"/>
    </row>
    <row r="2056">
      <c r="A2056" s="23" t="n"/>
      <c r="B2056" s="23" t="n"/>
      <c r="C2056" s="24" t="n"/>
      <c r="D2056" s="15" t="n"/>
      <c r="E2056" s="23" t="n"/>
      <c r="F2056" s="15" t="n"/>
      <c r="G2056" s="23" t="n"/>
      <c r="H2056" s="25" t="n"/>
      <c r="I2056" s="15" t="n"/>
      <c r="J2056" s="26">
        <f>IF($A2056="","",LEN($C2056)-LEN(SUBSTITUTE($C2056,",",""))+1)</f>
        <v/>
      </c>
      <c r="K2056" s="26">
        <f>IF($A2056="","",SUMPRODUCT(--ISNUMBER(SEARCH('Category Dictionary'!$D$5:$D$135&amp;"",$C2056)),--('Category Dictionary'!$D$5:$D$135&lt;&gt;"")))</f>
        <v/>
      </c>
      <c r="L2056" s="27">
        <f>IF($A2056="","",TRIM(IF(ISERROR(FIND(",",$C2056)),$C2056,LEFT($C2056,FIND(",",$C2056)-1))))</f>
        <v/>
      </c>
      <c r="M2056" s="28">
        <f>IF($H2056="","",DATE(YEAR($H2056),MONTH($H2056),1))</f>
        <v/>
      </c>
      <c r="N2056" s="26">
        <f>IF($H2056="","",TODAY()-$H2056)</f>
        <v/>
      </c>
      <c r="O2056" s="15" t="n"/>
      <c r="P2056" s="15" t="n"/>
      <c r="Q2056" s="15" t="n"/>
      <c r="R2056" s="25" t="n"/>
      <c r="S2056" s="26">
        <f>IF($A2056="","",AND(OR('Assignment Builder'!$B$5="",$B2056='Assignment Builder'!$B$5),OR('Assignment Builder'!$B$6="",ISNUMBER(SEARCH('Assignment Builder'!$B$6,$C2056))),OR('Assignment Builder'!$B$7="",'Assignment Builder'!$B$7=IFERROR(INDEX('Category Dictionary'!$C$5:$C$135,MATCH($L2056,'Category Dictionary'!$D$5:$D$135,0)),"")),OR('Assignment Builder'!$B$8="",$D2056='Assignment Builder'!$B$8),OR('Assignment Builder'!$B$9="",$F2056='Assignment Builder'!$B$9),OR('Assignment Builder'!$B$10="",$O2056='Assignment Builder'!$B$10),OR('Assignment Builder'!$B$11="",$H2056&gt;='Assignment Builder'!$B$11),OR('Assignment Builder'!$B$12="",N($Q2056)&lt;='Assignment Builder'!$B$12)))</f>
        <v/>
      </c>
      <c r="T2056" s="23" t="n"/>
    </row>
    <row r="2057">
      <c r="A2057" s="23" t="n"/>
      <c r="B2057" s="23" t="n"/>
      <c r="C2057" s="24" t="n"/>
      <c r="D2057" s="15" t="n"/>
      <c r="E2057" s="23" t="n"/>
      <c r="F2057" s="15" t="n"/>
      <c r="G2057" s="23" t="n"/>
      <c r="H2057" s="25" t="n"/>
      <c r="I2057" s="15" t="n"/>
      <c r="J2057" s="26">
        <f>IF($A2057="","",LEN($C2057)-LEN(SUBSTITUTE($C2057,",",""))+1)</f>
        <v/>
      </c>
      <c r="K2057" s="26">
        <f>IF($A2057="","",SUMPRODUCT(--ISNUMBER(SEARCH('Category Dictionary'!$D$5:$D$135&amp;"",$C2057)),--('Category Dictionary'!$D$5:$D$135&lt;&gt;"")))</f>
        <v/>
      </c>
      <c r="L2057" s="27">
        <f>IF($A2057="","",TRIM(IF(ISERROR(FIND(",",$C2057)),$C2057,LEFT($C2057,FIND(",",$C2057)-1))))</f>
        <v/>
      </c>
      <c r="M2057" s="28">
        <f>IF($H2057="","",DATE(YEAR($H2057),MONTH($H2057),1))</f>
        <v/>
      </c>
      <c r="N2057" s="26">
        <f>IF($H2057="","",TODAY()-$H2057)</f>
        <v/>
      </c>
      <c r="O2057" s="15" t="n"/>
      <c r="P2057" s="15" t="n"/>
      <c r="Q2057" s="15" t="n"/>
      <c r="R2057" s="25" t="n"/>
      <c r="S2057" s="26">
        <f>IF($A2057="","",AND(OR('Assignment Builder'!$B$5="",$B2057='Assignment Builder'!$B$5),OR('Assignment Builder'!$B$6="",ISNUMBER(SEARCH('Assignment Builder'!$B$6,$C2057))),OR('Assignment Builder'!$B$7="",'Assignment Builder'!$B$7=IFERROR(INDEX('Category Dictionary'!$C$5:$C$135,MATCH($L2057,'Category Dictionary'!$D$5:$D$135,0)),"")),OR('Assignment Builder'!$B$8="",$D2057='Assignment Builder'!$B$8),OR('Assignment Builder'!$B$9="",$F2057='Assignment Builder'!$B$9),OR('Assignment Builder'!$B$10="",$O2057='Assignment Builder'!$B$10),OR('Assignment Builder'!$B$11="",$H2057&gt;='Assignment Builder'!$B$11),OR('Assignment Builder'!$B$12="",N($Q2057)&lt;='Assignment Builder'!$B$12)))</f>
        <v/>
      </c>
      <c r="T2057" s="23" t="n"/>
    </row>
    <row r="2058">
      <c r="A2058" s="23" t="n"/>
      <c r="B2058" s="23" t="n"/>
      <c r="C2058" s="24" t="n"/>
      <c r="D2058" s="15" t="n"/>
      <c r="E2058" s="23" t="n"/>
      <c r="F2058" s="15" t="n"/>
      <c r="G2058" s="23" t="n"/>
      <c r="H2058" s="25" t="n"/>
      <c r="I2058" s="15" t="n"/>
      <c r="J2058" s="26">
        <f>IF($A2058="","",LEN($C2058)-LEN(SUBSTITUTE($C2058,",",""))+1)</f>
        <v/>
      </c>
      <c r="K2058" s="26">
        <f>IF($A2058="","",SUMPRODUCT(--ISNUMBER(SEARCH('Category Dictionary'!$D$5:$D$135&amp;"",$C2058)),--('Category Dictionary'!$D$5:$D$135&lt;&gt;"")))</f>
        <v/>
      </c>
      <c r="L2058" s="27">
        <f>IF($A2058="","",TRIM(IF(ISERROR(FIND(",",$C2058)),$C2058,LEFT($C2058,FIND(",",$C2058)-1))))</f>
        <v/>
      </c>
      <c r="M2058" s="28">
        <f>IF($H2058="","",DATE(YEAR($H2058),MONTH($H2058),1))</f>
        <v/>
      </c>
      <c r="N2058" s="26">
        <f>IF($H2058="","",TODAY()-$H2058)</f>
        <v/>
      </c>
      <c r="O2058" s="15" t="n"/>
      <c r="P2058" s="15" t="n"/>
      <c r="Q2058" s="15" t="n"/>
      <c r="R2058" s="25" t="n"/>
      <c r="S2058" s="26">
        <f>IF($A2058="","",AND(OR('Assignment Builder'!$B$5="",$B2058='Assignment Builder'!$B$5),OR('Assignment Builder'!$B$6="",ISNUMBER(SEARCH('Assignment Builder'!$B$6,$C2058))),OR('Assignment Builder'!$B$7="",'Assignment Builder'!$B$7=IFERROR(INDEX('Category Dictionary'!$C$5:$C$135,MATCH($L2058,'Category Dictionary'!$D$5:$D$135,0)),"")),OR('Assignment Builder'!$B$8="",$D2058='Assignment Builder'!$B$8),OR('Assignment Builder'!$B$9="",$F2058='Assignment Builder'!$B$9),OR('Assignment Builder'!$B$10="",$O2058='Assignment Builder'!$B$10),OR('Assignment Builder'!$B$11="",$H2058&gt;='Assignment Builder'!$B$11),OR('Assignment Builder'!$B$12="",N($Q2058)&lt;='Assignment Builder'!$B$12)))</f>
        <v/>
      </c>
      <c r="T2058" s="23" t="n"/>
    </row>
    <row r="2059">
      <c r="A2059" s="23" t="n"/>
      <c r="B2059" s="23" t="n"/>
      <c r="C2059" s="24" t="n"/>
      <c r="D2059" s="15" t="n"/>
      <c r="E2059" s="23" t="n"/>
      <c r="F2059" s="15" t="n"/>
      <c r="G2059" s="23" t="n"/>
      <c r="H2059" s="25" t="n"/>
      <c r="I2059" s="15" t="n"/>
      <c r="J2059" s="26">
        <f>IF($A2059="","",LEN($C2059)-LEN(SUBSTITUTE($C2059,",",""))+1)</f>
        <v/>
      </c>
      <c r="K2059" s="26">
        <f>IF($A2059="","",SUMPRODUCT(--ISNUMBER(SEARCH('Category Dictionary'!$D$5:$D$135&amp;"",$C2059)),--('Category Dictionary'!$D$5:$D$135&lt;&gt;"")))</f>
        <v/>
      </c>
      <c r="L2059" s="27">
        <f>IF($A2059="","",TRIM(IF(ISERROR(FIND(",",$C2059)),$C2059,LEFT($C2059,FIND(",",$C2059)-1))))</f>
        <v/>
      </c>
      <c r="M2059" s="28">
        <f>IF($H2059="","",DATE(YEAR($H2059),MONTH($H2059),1))</f>
        <v/>
      </c>
      <c r="N2059" s="26">
        <f>IF($H2059="","",TODAY()-$H2059)</f>
        <v/>
      </c>
      <c r="O2059" s="15" t="n"/>
      <c r="P2059" s="15" t="n"/>
      <c r="Q2059" s="15" t="n"/>
      <c r="R2059" s="25" t="n"/>
      <c r="S2059" s="26">
        <f>IF($A2059="","",AND(OR('Assignment Builder'!$B$5="",$B2059='Assignment Builder'!$B$5),OR('Assignment Builder'!$B$6="",ISNUMBER(SEARCH('Assignment Builder'!$B$6,$C2059))),OR('Assignment Builder'!$B$7="",'Assignment Builder'!$B$7=IFERROR(INDEX('Category Dictionary'!$C$5:$C$135,MATCH($L2059,'Category Dictionary'!$D$5:$D$135,0)),"")),OR('Assignment Builder'!$B$8="",$D2059='Assignment Builder'!$B$8),OR('Assignment Builder'!$B$9="",$F2059='Assignment Builder'!$B$9),OR('Assignment Builder'!$B$10="",$O2059='Assignment Builder'!$B$10),OR('Assignment Builder'!$B$11="",$H2059&gt;='Assignment Builder'!$B$11),OR('Assignment Builder'!$B$12="",N($Q2059)&lt;='Assignment Builder'!$B$12)))</f>
        <v/>
      </c>
      <c r="T2059" s="23" t="n"/>
    </row>
    <row r="2060">
      <c r="A2060" s="23" t="n"/>
      <c r="B2060" s="23" t="n"/>
      <c r="C2060" s="24" t="n"/>
      <c r="D2060" s="15" t="n"/>
      <c r="E2060" s="23" t="n"/>
      <c r="F2060" s="15" t="n"/>
      <c r="G2060" s="23" t="n"/>
      <c r="H2060" s="25" t="n"/>
      <c r="I2060" s="15" t="n"/>
      <c r="J2060" s="26">
        <f>IF($A2060="","",LEN($C2060)-LEN(SUBSTITUTE($C2060,",",""))+1)</f>
        <v/>
      </c>
      <c r="K2060" s="26">
        <f>IF($A2060="","",SUMPRODUCT(--ISNUMBER(SEARCH('Category Dictionary'!$D$5:$D$135&amp;"",$C2060)),--('Category Dictionary'!$D$5:$D$135&lt;&gt;"")))</f>
        <v/>
      </c>
      <c r="L2060" s="27">
        <f>IF($A2060="","",TRIM(IF(ISERROR(FIND(",",$C2060)),$C2060,LEFT($C2060,FIND(",",$C2060)-1))))</f>
        <v/>
      </c>
      <c r="M2060" s="28">
        <f>IF($H2060="","",DATE(YEAR($H2060),MONTH($H2060),1))</f>
        <v/>
      </c>
      <c r="N2060" s="26">
        <f>IF($H2060="","",TODAY()-$H2060)</f>
        <v/>
      </c>
      <c r="O2060" s="15" t="n"/>
      <c r="P2060" s="15" t="n"/>
      <c r="Q2060" s="15" t="n"/>
      <c r="R2060" s="25" t="n"/>
      <c r="S2060" s="26">
        <f>IF($A2060="","",AND(OR('Assignment Builder'!$B$5="",$B2060='Assignment Builder'!$B$5),OR('Assignment Builder'!$B$6="",ISNUMBER(SEARCH('Assignment Builder'!$B$6,$C2060))),OR('Assignment Builder'!$B$7="",'Assignment Builder'!$B$7=IFERROR(INDEX('Category Dictionary'!$C$5:$C$135,MATCH($L2060,'Category Dictionary'!$D$5:$D$135,0)),"")),OR('Assignment Builder'!$B$8="",$D2060='Assignment Builder'!$B$8),OR('Assignment Builder'!$B$9="",$F2060='Assignment Builder'!$B$9),OR('Assignment Builder'!$B$10="",$O2060='Assignment Builder'!$B$10),OR('Assignment Builder'!$B$11="",$H2060&gt;='Assignment Builder'!$B$11),OR('Assignment Builder'!$B$12="",N($Q2060)&lt;='Assignment Builder'!$B$12)))</f>
        <v/>
      </c>
      <c r="T2060" s="23" t="n"/>
    </row>
    <row r="2061">
      <c r="A2061" s="23" t="n"/>
      <c r="B2061" s="23" t="n"/>
      <c r="C2061" s="24" t="n"/>
      <c r="D2061" s="15" t="n"/>
      <c r="E2061" s="23" t="n"/>
      <c r="F2061" s="15" t="n"/>
      <c r="G2061" s="23" t="n"/>
      <c r="H2061" s="25" t="n"/>
      <c r="I2061" s="15" t="n"/>
      <c r="J2061" s="26">
        <f>IF($A2061="","",LEN($C2061)-LEN(SUBSTITUTE($C2061,",",""))+1)</f>
        <v/>
      </c>
      <c r="K2061" s="26">
        <f>IF($A2061="","",SUMPRODUCT(--ISNUMBER(SEARCH('Category Dictionary'!$D$5:$D$135&amp;"",$C2061)),--('Category Dictionary'!$D$5:$D$135&lt;&gt;"")))</f>
        <v/>
      </c>
      <c r="L2061" s="27">
        <f>IF($A2061="","",TRIM(IF(ISERROR(FIND(",",$C2061)),$C2061,LEFT($C2061,FIND(",",$C2061)-1))))</f>
        <v/>
      </c>
      <c r="M2061" s="28">
        <f>IF($H2061="","",DATE(YEAR($H2061),MONTH($H2061),1))</f>
        <v/>
      </c>
      <c r="N2061" s="26">
        <f>IF($H2061="","",TODAY()-$H2061)</f>
        <v/>
      </c>
      <c r="O2061" s="15" t="n"/>
      <c r="P2061" s="15" t="n"/>
      <c r="Q2061" s="15" t="n"/>
      <c r="R2061" s="25" t="n"/>
      <c r="S2061" s="26">
        <f>IF($A2061="","",AND(OR('Assignment Builder'!$B$5="",$B2061='Assignment Builder'!$B$5),OR('Assignment Builder'!$B$6="",ISNUMBER(SEARCH('Assignment Builder'!$B$6,$C2061))),OR('Assignment Builder'!$B$7="",'Assignment Builder'!$B$7=IFERROR(INDEX('Category Dictionary'!$C$5:$C$135,MATCH($L2061,'Category Dictionary'!$D$5:$D$135,0)),"")),OR('Assignment Builder'!$B$8="",$D2061='Assignment Builder'!$B$8),OR('Assignment Builder'!$B$9="",$F2061='Assignment Builder'!$B$9),OR('Assignment Builder'!$B$10="",$O2061='Assignment Builder'!$B$10),OR('Assignment Builder'!$B$11="",$H2061&gt;='Assignment Builder'!$B$11),OR('Assignment Builder'!$B$12="",N($Q2061)&lt;='Assignment Builder'!$B$12)))</f>
        <v/>
      </c>
      <c r="T2061" s="23" t="n"/>
    </row>
    <row r="2062">
      <c r="A2062" s="23" t="n"/>
      <c r="B2062" s="23" t="n"/>
      <c r="C2062" s="24" t="n"/>
      <c r="D2062" s="15" t="n"/>
      <c r="E2062" s="23" t="n"/>
      <c r="F2062" s="15" t="n"/>
      <c r="G2062" s="23" t="n"/>
      <c r="H2062" s="25" t="n"/>
      <c r="I2062" s="15" t="n"/>
      <c r="J2062" s="26">
        <f>IF($A2062="","",LEN($C2062)-LEN(SUBSTITUTE($C2062,",",""))+1)</f>
        <v/>
      </c>
      <c r="K2062" s="26">
        <f>IF($A2062="","",SUMPRODUCT(--ISNUMBER(SEARCH('Category Dictionary'!$D$5:$D$135&amp;"",$C2062)),--('Category Dictionary'!$D$5:$D$135&lt;&gt;"")))</f>
        <v/>
      </c>
      <c r="L2062" s="27">
        <f>IF($A2062="","",TRIM(IF(ISERROR(FIND(",",$C2062)),$C2062,LEFT($C2062,FIND(",",$C2062)-1))))</f>
        <v/>
      </c>
      <c r="M2062" s="28">
        <f>IF($H2062="","",DATE(YEAR($H2062),MONTH($H2062),1))</f>
        <v/>
      </c>
      <c r="N2062" s="26">
        <f>IF($H2062="","",TODAY()-$H2062)</f>
        <v/>
      </c>
      <c r="O2062" s="15" t="n"/>
      <c r="P2062" s="15" t="n"/>
      <c r="Q2062" s="15" t="n"/>
      <c r="R2062" s="25" t="n"/>
      <c r="S2062" s="26">
        <f>IF($A2062="","",AND(OR('Assignment Builder'!$B$5="",$B2062='Assignment Builder'!$B$5),OR('Assignment Builder'!$B$6="",ISNUMBER(SEARCH('Assignment Builder'!$B$6,$C2062))),OR('Assignment Builder'!$B$7="",'Assignment Builder'!$B$7=IFERROR(INDEX('Category Dictionary'!$C$5:$C$135,MATCH($L2062,'Category Dictionary'!$D$5:$D$135,0)),"")),OR('Assignment Builder'!$B$8="",$D2062='Assignment Builder'!$B$8),OR('Assignment Builder'!$B$9="",$F2062='Assignment Builder'!$B$9),OR('Assignment Builder'!$B$10="",$O2062='Assignment Builder'!$B$10),OR('Assignment Builder'!$B$11="",$H2062&gt;='Assignment Builder'!$B$11),OR('Assignment Builder'!$B$12="",N($Q2062)&lt;='Assignment Builder'!$B$12)))</f>
        <v/>
      </c>
      <c r="T2062" s="23" t="n"/>
    </row>
    <row r="2063">
      <c r="A2063" s="23" t="n"/>
      <c r="B2063" s="23" t="n"/>
      <c r="C2063" s="24" t="n"/>
      <c r="D2063" s="15" t="n"/>
      <c r="E2063" s="23" t="n"/>
      <c r="F2063" s="15" t="n"/>
      <c r="G2063" s="23" t="n"/>
      <c r="H2063" s="25" t="n"/>
      <c r="I2063" s="15" t="n"/>
      <c r="J2063" s="26">
        <f>IF($A2063="","",LEN($C2063)-LEN(SUBSTITUTE($C2063,",",""))+1)</f>
        <v/>
      </c>
      <c r="K2063" s="26">
        <f>IF($A2063="","",SUMPRODUCT(--ISNUMBER(SEARCH('Category Dictionary'!$D$5:$D$135&amp;"",$C2063)),--('Category Dictionary'!$D$5:$D$135&lt;&gt;"")))</f>
        <v/>
      </c>
      <c r="L2063" s="27">
        <f>IF($A2063="","",TRIM(IF(ISERROR(FIND(",",$C2063)),$C2063,LEFT($C2063,FIND(",",$C2063)-1))))</f>
        <v/>
      </c>
      <c r="M2063" s="28">
        <f>IF($H2063="","",DATE(YEAR($H2063),MONTH($H2063),1))</f>
        <v/>
      </c>
      <c r="N2063" s="26">
        <f>IF($H2063="","",TODAY()-$H2063)</f>
        <v/>
      </c>
      <c r="O2063" s="15" t="n"/>
      <c r="P2063" s="15" t="n"/>
      <c r="Q2063" s="15" t="n"/>
      <c r="R2063" s="25" t="n"/>
      <c r="S2063" s="26">
        <f>IF($A2063="","",AND(OR('Assignment Builder'!$B$5="",$B2063='Assignment Builder'!$B$5),OR('Assignment Builder'!$B$6="",ISNUMBER(SEARCH('Assignment Builder'!$B$6,$C2063))),OR('Assignment Builder'!$B$7="",'Assignment Builder'!$B$7=IFERROR(INDEX('Category Dictionary'!$C$5:$C$135,MATCH($L2063,'Category Dictionary'!$D$5:$D$135,0)),"")),OR('Assignment Builder'!$B$8="",$D2063='Assignment Builder'!$B$8),OR('Assignment Builder'!$B$9="",$F2063='Assignment Builder'!$B$9),OR('Assignment Builder'!$B$10="",$O2063='Assignment Builder'!$B$10),OR('Assignment Builder'!$B$11="",$H2063&gt;='Assignment Builder'!$B$11),OR('Assignment Builder'!$B$12="",N($Q2063)&lt;='Assignment Builder'!$B$12)))</f>
        <v/>
      </c>
      <c r="T2063" s="23" t="n"/>
    </row>
    <row r="2064">
      <c r="A2064" s="23" t="n"/>
      <c r="B2064" s="23" t="n"/>
      <c r="C2064" s="24" t="n"/>
      <c r="D2064" s="15" t="n"/>
      <c r="E2064" s="23" t="n"/>
      <c r="F2064" s="15" t="n"/>
      <c r="G2064" s="23" t="n"/>
      <c r="H2064" s="25" t="n"/>
      <c r="I2064" s="15" t="n"/>
      <c r="J2064" s="26">
        <f>IF($A2064="","",LEN($C2064)-LEN(SUBSTITUTE($C2064,",",""))+1)</f>
        <v/>
      </c>
      <c r="K2064" s="26">
        <f>IF($A2064="","",SUMPRODUCT(--ISNUMBER(SEARCH('Category Dictionary'!$D$5:$D$135&amp;"",$C2064)),--('Category Dictionary'!$D$5:$D$135&lt;&gt;"")))</f>
        <v/>
      </c>
      <c r="L2064" s="27">
        <f>IF($A2064="","",TRIM(IF(ISERROR(FIND(",",$C2064)),$C2064,LEFT($C2064,FIND(",",$C2064)-1))))</f>
        <v/>
      </c>
      <c r="M2064" s="28">
        <f>IF($H2064="","",DATE(YEAR($H2064),MONTH($H2064),1))</f>
        <v/>
      </c>
      <c r="N2064" s="26">
        <f>IF($H2064="","",TODAY()-$H2064)</f>
        <v/>
      </c>
      <c r="O2064" s="15" t="n"/>
      <c r="P2064" s="15" t="n"/>
      <c r="Q2064" s="15" t="n"/>
      <c r="R2064" s="25" t="n"/>
      <c r="S2064" s="26">
        <f>IF($A2064="","",AND(OR('Assignment Builder'!$B$5="",$B2064='Assignment Builder'!$B$5),OR('Assignment Builder'!$B$6="",ISNUMBER(SEARCH('Assignment Builder'!$B$6,$C2064))),OR('Assignment Builder'!$B$7="",'Assignment Builder'!$B$7=IFERROR(INDEX('Category Dictionary'!$C$5:$C$135,MATCH($L2064,'Category Dictionary'!$D$5:$D$135,0)),"")),OR('Assignment Builder'!$B$8="",$D2064='Assignment Builder'!$B$8),OR('Assignment Builder'!$B$9="",$F2064='Assignment Builder'!$B$9),OR('Assignment Builder'!$B$10="",$O2064='Assignment Builder'!$B$10),OR('Assignment Builder'!$B$11="",$H2064&gt;='Assignment Builder'!$B$11),OR('Assignment Builder'!$B$12="",N($Q2064)&lt;='Assignment Builder'!$B$12)))</f>
        <v/>
      </c>
      <c r="T2064" s="23" t="n"/>
    </row>
    <row r="2065">
      <c r="A2065" s="23" t="n"/>
      <c r="B2065" s="23" t="n"/>
      <c r="C2065" s="24" t="n"/>
      <c r="D2065" s="15" t="n"/>
      <c r="E2065" s="23" t="n"/>
      <c r="F2065" s="15" t="n"/>
      <c r="G2065" s="23" t="n"/>
      <c r="H2065" s="25" t="n"/>
      <c r="I2065" s="15" t="n"/>
      <c r="J2065" s="26">
        <f>IF($A2065="","",LEN($C2065)-LEN(SUBSTITUTE($C2065,",",""))+1)</f>
        <v/>
      </c>
      <c r="K2065" s="26">
        <f>IF($A2065="","",SUMPRODUCT(--ISNUMBER(SEARCH('Category Dictionary'!$D$5:$D$135&amp;"",$C2065)),--('Category Dictionary'!$D$5:$D$135&lt;&gt;"")))</f>
        <v/>
      </c>
      <c r="L2065" s="27">
        <f>IF($A2065="","",TRIM(IF(ISERROR(FIND(",",$C2065)),$C2065,LEFT($C2065,FIND(",",$C2065)-1))))</f>
        <v/>
      </c>
      <c r="M2065" s="28">
        <f>IF($H2065="","",DATE(YEAR($H2065),MONTH($H2065),1))</f>
        <v/>
      </c>
      <c r="N2065" s="26">
        <f>IF($H2065="","",TODAY()-$H2065)</f>
        <v/>
      </c>
      <c r="O2065" s="15" t="n"/>
      <c r="P2065" s="15" t="n"/>
      <c r="Q2065" s="15" t="n"/>
      <c r="R2065" s="25" t="n"/>
      <c r="S2065" s="26">
        <f>IF($A2065="","",AND(OR('Assignment Builder'!$B$5="",$B2065='Assignment Builder'!$B$5),OR('Assignment Builder'!$B$6="",ISNUMBER(SEARCH('Assignment Builder'!$B$6,$C2065))),OR('Assignment Builder'!$B$7="",'Assignment Builder'!$B$7=IFERROR(INDEX('Category Dictionary'!$C$5:$C$135,MATCH($L2065,'Category Dictionary'!$D$5:$D$135,0)),"")),OR('Assignment Builder'!$B$8="",$D2065='Assignment Builder'!$B$8),OR('Assignment Builder'!$B$9="",$F2065='Assignment Builder'!$B$9),OR('Assignment Builder'!$B$10="",$O2065='Assignment Builder'!$B$10),OR('Assignment Builder'!$B$11="",$H2065&gt;='Assignment Builder'!$B$11),OR('Assignment Builder'!$B$12="",N($Q2065)&lt;='Assignment Builder'!$B$12)))</f>
        <v/>
      </c>
      <c r="T2065" s="23" t="n"/>
    </row>
    <row r="2066">
      <c r="A2066" s="23" t="n"/>
      <c r="B2066" s="23" t="n"/>
      <c r="C2066" s="24" t="n"/>
      <c r="D2066" s="15" t="n"/>
      <c r="E2066" s="23" t="n"/>
      <c r="F2066" s="15" t="n"/>
      <c r="G2066" s="23" t="n"/>
      <c r="H2066" s="25" t="n"/>
      <c r="I2066" s="15" t="n"/>
      <c r="J2066" s="26">
        <f>IF($A2066="","",LEN($C2066)-LEN(SUBSTITUTE($C2066,",",""))+1)</f>
        <v/>
      </c>
      <c r="K2066" s="26">
        <f>IF($A2066="","",SUMPRODUCT(--ISNUMBER(SEARCH('Category Dictionary'!$D$5:$D$135&amp;"",$C2066)),--('Category Dictionary'!$D$5:$D$135&lt;&gt;"")))</f>
        <v/>
      </c>
      <c r="L2066" s="27">
        <f>IF($A2066="","",TRIM(IF(ISERROR(FIND(",",$C2066)),$C2066,LEFT($C2066,FIND(",",$C2066)-1))))</f>
        <v/>
      </c>
      <c r="M2066" s="28">
        <f>IF($H2066="","",DATE(YEAR($H2066),MONTH($H2066),1))</f>
        <v/>
      </c>
      <c r="N2066" s="26">
        <f>IF($H2066="","",TODAY()-$H2066)</f>
        <v/>
      </c>
      <c r="O2066" s="15" t="n"/>
      <c r="P2066" s="15" t="n"/>
      <c r="Q2066" s="15" t="n"/>
      <c r="R2066" s="25" t="n"/>
      <c r="S2066" s="26">
        <f>IF($A2066="","",AND(OR('Assignment Builder'!$B$5="",$B2066='Assignment Builder'!$B$5),OR('Assignment Builder'!$B$6="",ISNUMBER(SEARCH('Assignment Builder'!$B$6,$C2066))),OR('Assignment Builder'!$B$7="",'Assignment Builder'!$B$7=IFERROR(INDEX('Category Dictionary'!$C$5:$C$135,MATCH($L2066,'Category Dictionary'!$D$5:$D$135,0)),"")),OR('Assignment Builder'!$B$8="",$D2066='Assignment Builder'!$B$8),OR('Assignment Builder'!$B$9="",$F2066='Assignment Builder'!$B$9),OR('Assignment Builder'!$B$10="",$O2066='Assignment Builder'!$B$10),OR('Assignment Builder'!$B$11="",$H2066&gt;='Assignment Builder'!$B$11),OR('Assignment Builder'!$B$12="",N($Q2066)&lt;='Assignment Builder'!$B$12)))</f>
        <v/>
      </c>
      <c r="T2066" s="23" t="n"/>
    </row>
    <row r="2067">
      <c r="A2067" s="23" t="n"/>
      <c r="B2067" s="23" t="n"/>
      <c r="C2067" s="24" t="n"/>
      <c r="D2067" s="15" t="n"/>
      <c r="E2067" s="23" t="n"/>
      <c r="F2067" s="15" t="n"/>
      <c r="G2067" s="23" t="n"/>
      <c r="H2067" s="25" t="n"/>
      <c r="I2067" s="15" t="n"/>
      <c r="J2067" s="26">
        <f>IF($A2067="","",LEN($C2067)-LEN(SUBSTITUTE($C2067,",",""))+1)</f>
        <v/>
      </c>
      <c r="K2067" s="26">
        <f>IF($A2067="","",SUMPRODUCT(--ISNUMBER(SEARCH('Category Dictionary'!$D$5:$D$135&amp;"",$C2067)),--('Category Dictionary'!$D$5:$D$135&lt;&gt;"")))</f>
        <v/>
      </c>
      <c r="L2067" s="27">
        <f>IF($A2067="","",TRIM(IF(ISERROR(FIND(",",$C2067)),$C2067,LEFT($C2067,FIND(",",$C2067)-1))))</f>
        <v/>
      </c>
      <c r="M2067" s="28">
        <f>IF($H2067="","",DATE(YEAR($H2067),MONTH($H2067),1))</f>
        <v/>
      </c>
      <c r="N2067" s="26">
        <f>IF($H2067="","",TODAY()-$H2067)</f>
        <v/>
      </c>
      <c r="O2067" s="15" t="n"/>
      <c r="P2067" s="15" t="n"/>
      <c r="Q2067" s="15" t="n"/>
      <c r="R2067" s="25" t="n"/>
      <c r="S2067" s="26">
        <f>IF($A2067="","",AND(OR('Assignment Builder'!$B$5="",$B2067='Assignment Builder'!$B$5),OR('Assignment Builder'!$B$6="",ISNUMBER(SEARCH('Assignment Builder'!$B$6,$C2067))),OR('Assignment Builder'!$B$7="",'Assignment Builder'!$B$7=IFERROR(INDEX('Category Dictionary'!$C$5:$C$135,MATCH($L2067,'Category Dictionary'!$D$5:$D$135,0)),"")),OR('Assignment Builder'!$B$8="",$D2067='Assignment Builder'!$B$8),OR('Assignment Builder'!$B$9="",$F2067='Assignment Builder'!$B$9),OR('Assignment Builder'!$B$10="",$O2067='Assignment Builder'!$B$10),OR('Assignment Builder'!$B$11="",$H2067&gt;='Assignment Builder'!$B$11),OR('Assignment Builder'!$B$12="",N($Q2067)&lt;='Assignment Builder'!$B$12)))</f>
        <v/>
      </c>
      <c r="T2067" s="23" t="n"/>
    </row>
    <row r="2068">
      <c r="A2068" s="23" t="n"/>
      <c r="B2068" s="23" t="n"/>
      <c r="C2068" s="24" t="n"/>
      <c r="D2068" s="15" t="n"/>
      <c r="E2068" s="23" t="n"/>
      <c r="F2068" s="15" t="n"/>
      <c r="G2068" s="23" t="n"/>
      <c r="H2068" s="25" t="n"/>
      <c r="I2068" s="15" t="n"/>
      <c r="J2068" s="26">
        <f>IF($A2068="","",LEN($C2068)-LEN(SUBSTITUTE($C2068,",",""))+1)</f>
        <v/>
      </c>
      <c r="K2068" s="26">
        <f>IF($A2068="","",SUMPRODUCT(--ISNUMBER(SEARCH('Category Dictionary'!$D$5:$D$135&amp;"",$C2068)),--('Category Dictionary'!$D$5:$D$135&lt;&gt;"")))</f>
        <v/>
      </c>
      <c r="L2068" s="27">
        <f>IF($A2068="","",TRIM(IF(ISERROR(FIND(",",$C2068)),$C2068,LEFT($C2068,FIND(",",$C2068)-1))))</f>
        <v/>
      </c>
      <c r="M2068" s="28">
        <f>IF($H2068="","",DATE(YEAR($H2068),MONTH($H2068),1))</f>
        <v/>
      </c>
      <c r="N2068" s="26">
        <f>IF($H2068="","",TODAY()-$H2068)</f>
        <v/>
      </c>
      <c r="O2068" s="15" t="n"/>
      <c r="P2068" s="15" t="n"/>
      <c r="Q2068" s="15" t="n"/>
      <c r="R2068" s="25" t="n"/>
      <c r="S2068" s="26">
        <f>IF($A2068="","",AND(OR('Assignment Builder'!$B$5="",$B2068='Assignment Builder'!$B$5),OR('Assignment Builder'!$B$6="",ISNUMBER(SEARCH('Assignment Builder'!$B$6,$C2068))),OR('Assignment Builder'!$B$7="",'Assignment Builder'!$B$7=IFERROR(INDEX('Category Dictionary'!$C$5:$C$135,MATCH($L2068,'Category Dictionary'!$D$5:$D$135,0)),"")),OR('Assignment Builder'!$B$8="",$D2068='Assignment Builder'!$B$8),OR('Assignment Builder'!$B$9="",$F2068='Assignment Builder'!$B$9),OR('Assignment Builder'!$B$10="",$O2068='Assignment Builder'!$B$10),OR('Assignment Builder'!$B$11="",$H2068&gt;='Assignment Builder'!$B$11),OR('Assignment Builder'!$B$12="",N($Q2068)&lt;='Assignment Builder'!$B$12)))</f>
        <v/>
      </c>
      <c r="T2068" s="23" t="n"/>
    </row>
    <row r="2069">
      <c r="A2069" s="23" t="n"/>
      <c r="B2069" s="23" t="n"/>
      <c r="C2069" s="24" t="n"/>
      <c r="D2069" s="15" t="n"/>
      <c r="E2069" s="23" t="n"/>
      <c r="F2069" s="15" t="n"/>
      <c r="G2069" s="23" t="n"/>
      <c r="H2069" s="25" t="n"/>
      <c r="I2069" s="15" t="n"/>
      <c r="J2069" s="26">
        <f>IF($A2069="","",LEN($C2069)-LEN(SUBSTITUTE($C2069,",",""))+1)</f>
        <v/>
      </c>
      <c r="K2069" s="26">
        <f>IF($A2069="","",SUMPRODUCT(--ISNUMBER(SEARCH('Category Dictionary'!$D$5:$D$135&amp;"",$C2069)),--('Category Dictionary'!$D$5:$D$135&lt;&gt;"")))</f>
        <v/>
      </c>
      <c r="L2069" s="27">
        <f>IF($A2069="","",TRIM(IF(ISERROR(FIND(",",$C2069)),$C2069,LEFT($C2069,FIND(",",$C2069)-1))))</f>
        <v/>
      </c>
      <c r="M2069" s="28">
        <f>IF($H2069="","",DATE(YEAR($H2069),MONTH($H2069),1))</f>
        <v/>
      </c>
      <c r="N2069" s="26">
        <f>IF($H2069="","",TODAY()-$H2069)</f>
        <v/>
      </c>
      <c r="O2069" s="15" t="n"/>
      <c r="P2069" s="15" t="n"/>
      <c r="Q2069" s="15" t="n"/>
      <c r="R2069" s="25" t="n"/>
      <c r="S2069" s="26">
        <f>IF($A2069="","",AND(OR('Assignment Builder'!$B$5="",$B2069='Assignment Builder'!$B$5),OR('Assignment Builder'!$B$6="",ISNUMBER(SEARCH('Assignment Builder'!$B$6,$C2069))),OR('Assignment Builder'!$B$7="",'Assignment Builder'!$B$7=IFERROR(INDEX('Category Dictionary'!$C$5:$C$135,MATCH($L2069,'Category Dictionary'!$D$5:$D$135,0)),"")),OR('Assignment Builder'!$B$8="",$D2069='Assignment Builder'!$B$8),OR('Assignment Builder'!$B$9="",$F2069='Assignment Builder'!$B$9),OR('Assignment Builder'!$B$10="",$O2069='Assignment Builder'!$B$10),OR('Assignment Builder'!$B$11="",$H2069&gt;='Assignment Builder'!$B$11),OR('Assignment Builder'!$B$12="",N($Q2069)&lt;='Assignment Builder'!$B$12)))</f>
        <v/>
      </c>
      <c r="T2069" s="23" t="n"/>
    </row>
    <row r="2070">
      <c r="A2070" s="23" t="n"/>
      <c r="B2070" s="23" t="n"/>
      <c r="C2070" s="24" t="n"/>
      <c r="D2070" s="15" t="n"/>
      <c r="E2070" s="23" t="n"/>
      <c r="F2070" s="15" t="n"/>
      <c r="G2070" s="23" t="n"/>
      <c r="H2070" s="25" t="n"/>
      <c r="I2070" s="15" t="n"/>
      <c r="J2070" s="26">
        <f>IF($A2070="","",LEN($C2070)-LEN(SUBSTITUTE($C2070,",",""))+1)</f>
        <v/>
      </c>
      <c r="K2070" s="26">
        <f>IF($A2070="","",SUMPRODUCT(--ISNUMBER(SEARCH('Category Dictionary'!$D$5:$D$135&amp;"",$C2070)),--('Category Dictionary'!$D$5:$D$135&lt;&gt;"")))</f>
        <v/>
      </c>
      <c r="L2070" s="27">
        <f>IF($A2070="","",TRIM(IF(ISERROR(FIND(",",$C2070)),$C2070,LEFT($C2070,FIND(",",$C2070)-1))))</f>
        <v/>
      </c>
      <c r="M2070" s="28">
        <f>IF($H2070="","",DATE(YEAR($H2070),MONTH($H2070),1))</f>
        <v/>
      </c>
      <c r="N2070" s="26">
        <f>IF($H2070="","",TODAY()-$H2070)</f>
        <v/>
      </c>
      <c r="O2070" s="15" t="n"/>
      <c r="P2070" s="15" t="n"/>
      <c r="Q2070" s="15" t="n"/>
      <c r="R2070" s="25" t="n"/>
      <c r="S2070" s="26">
        <f>IF($A2070="","",AND(OR('Assignment Builder'!$B$5="",$B2070='Assignment Builder'!$B$5),OR('Assignment Builder'!$B$6="",ISNUMBER(SEARCH('Assignment Builder'!$B$6,$C2070))),OR('Assignment Builder'!$B$7="",'Assignment Builder'!$B$7=IFERROR(INDEX('Category Dictionary'!$C$5:$C$135,MATCH($L2070,'Category Dictionary'!$D$5:$D$135,0)),"")),OR('Assignment Builder'!$B$8="",$D2070='Assignment Builder'!$B$8),OR('Assignment Builder'!$B$9="",$F2070='Assignment Builder'!$B$9),OR('Assignment Builder'!$B$10="",$O2070='Assignment Builder'!$B$10),OR('Assignment Builder'!$B$11="",$H2070&gt;='Assignment Builder'!$B$11),OR('Assignment Builder'!$B$12="",N($Q2070)&lt;='Assignment Builder'!$B$12)))</f>
        <v/>
      </c>
      <c r="T2070" s="23" t="n"/>
    </row>
    <row r="2071">
      <c r="A2071" s="23" t="n"/>
      <c r="B2071" s="23" t="n"/>
      <c r="C2071" s="24" t="n"/>
      <c r="D2071" s="15" t="n"/>
      <c r="E2071" s="23" t="n"/>
      <c r="F2071" s="15" t="n"/>
      <c r="G2071" s="23" t="n"/>
      <c r="H2071" s="25" t="n"/>
      <c r="I2071" s="15" t="n"/>
      <c r="J2071" s="26">
        <f>IF($A2071="","",LEN($C2071)-LEN(SUBSTITUTE($C2071,",",""))+1)</f>
        <v/>
      </c>
      <c r="K2071" s="26">
        <f>IF($A2071="","",SUMPRODUCT(--ISNUMBER(SEARCH('Category Dictionary'!$D$5:$D$135&amp;"",$C2071)),--('Category Dictionary'!$D$5:$D$135&lt;&gt;"")))</f>
        <v/>
      </c>
      <c r="L2071" s="27">
        <f>IF($A2071="","",TRIM(IF(ISERROR(FIND(",",$C2071)),$C2071,LEFT($C2071,FIND(",",$C2071)-1))))</f>
        <v/>
      </c>
      <c r="M2071" s="28">
        <f>IF($H2071="","",DATE(YEAR($H2071),MONTH($H2071),1))</f>
        <v/>
      </c>
      <c r="N2071" s="26">
        <f>IF($H2071="","",TODAY()-$H2071)</f>
        <v/>
      </c>
      <c r="O2071" s="15" t="n"/>
      <c r="P2071" s="15" t="n"/>
      <c r="Q2071" s="15" t="n"/>
      <c r="R2071" s="25" t="n"/>
      <c r="S2071" s="26">
        <f>IF($A2071="","",AND(OR('Assignment Builder'!$B$5="",$B2071='Assignment Builder'!$B$5),OR('Assignment Builder'!$B$6="",ISNUMBER(SEARCH('Assignment Builder'!$B$6,$C2071))),OR('Assignment Builder'!$B$7="",'Assignment Builder'!$B$7=IFERROR(INDEX('Category Dictionary'!$C$5:$C$135,MATCH($L2071,'Category Dictionary'!$D$5:$D$135,0)),"")),OR('Assignment Builder'!$B$8="",$D2071='Assignment Builder'!$B$8),OR('Assignment Builder'!$B$9="",$F2071='Assignment Builder'!$B$9),OR('Assignment Builder'!$B$10="",$O2071='Assignment Builder'!$B$10),OR('Assignment Builder'!$B$11="",$H2071&gt;='Assignment Builder'!$B$11),OR('Assignment Builder'!$B$12="",N($Q2071)&lt;='Assignment Builder'!$B$12)))</f>
        <v/>
      </c>
      <c r="T2071" s="23" t="n"/>
    </row>
    <row r="2072">
      <c r="A2072" s="23" t="n"/>
      <c r="B2072" s="23" t="n"/>
      <c r="C2072" s="24" t="n"/>
      <c r="D2072" s="15" t="n"/>
      <c r="E2072" s="23" t="n"/>
      <c r="F2072" s="15" t="n"/>
      <c r="G2072" s="23" t="n"/>
      <c r="H2072" s="25" t="n"/>
      <c r="I2072" s="15" t="n"/>
      <c r="J2072" s="26">
        <f>IF($A2072="","",LEN($C2072)-LEN(SUBSTITUTE($C2072,",",""))+1)</f>
        <v/>
      </c>
      <c r="K2072" s="26">
        <f>IF($A2072="","",SUMPRODUCT(--ISNUMBER(SEARCH('Category Dictionary'!$D$5:$D$135&amp;"",$C2072)),--('Category Dictionary'!$D$5:$D$135&lt;&gt;"")))</f>
        <v/>
      </c>
      <c r="L2072" s="27">
        <f>IF($A2072="","",TRIM(IF(ISERROR(FIND(",",$C2072)),$C2072,LEFT($C2072,FIND(",",$C2072)-1))))</f>
        <v/>
      </c>
      <c r="M2072" s="28">
        <f>IF($H2072="","",DATE(YEAR($H2072),MONTH($H2072),1))</f>
        <v/>
      </c>
      <c r="N2072" s="26">
        <f>IF($H2072="","",TODAY()-$H2072)</f>
        <v/>
      </c>
      <c r="O2072" s="15" t="n"/>
      <c r="P2072" s="15" t="n"/>
      <c r="Q2072" s="15" t="n"/>
      <c r="R2072" s="25" t="n"/>
      <c r="S2072" s="26">
        <f>IF($A2072="","",AND(OR('Assignment Builder'!$B$5="",$B2072='Assignment Builder'!$B$5),OR('Assignment Builder'!$B$6="",ISNUMBER(SEARCH('Assignment Builder'!$B$6,$C2072))),OR('Assignment Builder'!$B$7="",'Assignment Builder'!$B$7=IFERROR(INDEX('Category Dictionary'!$C$5:$C$135,MATCH($L2072,'Category Dictionary'!$D$5:$D$135,0)),"")),OR('Assignment Builder'!$B$8="",$D2072='Assignment Builder'!$B$8),OR('Assignment Builder'!$B$9="",$F2072='Assignment Builder'!$B$9),OR('Assignment Builder'!$B$10="",$O2072='Assignment Builder'!$B$10),OR('Assignment Builder'!$B$11="",$H2072&gt;='Assignment Builder'!$B$11),OR('Assignment Builder'!$B$12="",N($Q2072)&lt;='Assignment Builder'!$B$12)))</f>
        <v/>
      </c>
      <c r="T2072" s="23" t="n"/>
    </row>
    <row r="2073">
      <c r="A2073" s="23" t="n"/>
      <c r="B2073" s="23" t="n"/>
      <c r="C2073" s="24" t="n"/>
      <c r="D2073" s="15" t="n"/>
      <c r="E2073" s="23" t="n"/>
      <c r="F2073" s="15" t="n"/>
      <c r="G2073" s="23" t="n"/>
      <c r="H2073" s="25" t="n"/>
      <c r="I2073" s="15" t="n"/>
      <c r="J2073" s="26">
        <f>IF($A2073="","",LEN($C2073)-LEN(SUBSTITUTE($C2073,",",""))+1)</f>
        <v/>
      </c>
      <c r="K2073" s="26">
        <f>IF($A2073="","",SUMPRODUCT(--ISNUMBER(SEARCH('Category Dictionary'!$D$5:$D$135&amp;"",$C2073)),--('Category Dictionary'!$D$5:$D$135&lt;&gt;"")))</f>
        <v/>
      </c>
      <c r="L2073" s="27">
        <f>IF($A2073="","",TRIM(IF(ISERROR(FIND(",",$C2073)),$C2073,LEFT($C2073,FIND(",",$C2073)-1))))</f>
        <v/>
      </c>
      <c r="M2073" s="28">
        <f>IF($H2073="","",DATE(YEAR($H2073),MONTH($H2073),1))</f>
        <v/>
      </c>
      <c r="N2073" s="26">
        <f>IF($H2073="","",TODAY()-$H2073)</f>
        <v/>
      </c>
      <c r="O2073" s="15" t="n"/>
      <c r="P2073" s="15" t="n"/>
      <c r="Q2073" s="15" t="n"/>
      <c r="R2073" s="25" t="n"/>
      <c r="S2073" s="26">
        <f>IF($A2073="","",AND(OR('Assignment Builder'!$B$5="",$B2073='Assignment Builder'!$B$5),OR('Assignment Builder'!$B$6="",ISNUMBER(SEARCH('Assignment Builder'!$B$6,$C2073))),OR('Assignment Builder'!$B$7="",'Assignment Builder'!$B$7=IFERROR(INDEX('Category Dictionary'!$C$5:$C$135,MATCH($L2073,'Category Dictionary'!$D$5:$D$135,0)),"")),OR('Assignment Builder'!$B$8="",$D2073='Assignment Builder'!$B$8),OR('Assignment Builder'!$B$9="",$F2073='Assignment Builder'!$B$9),OR('Assignment Builder'!$B$10="",$O2073='Assignment Builder'!$B$10),OR('Assignment Builder'!$B$11="",$H2073&gt;='Assignment Builder'!$B$11),OR('Assignment Builder'!$B$12="",N($Q2073)&lt;='Assignment Builder'!$B$12)))</f>
        <v/>
      </c>
      <c r="T2073" s="23" t="n"/>
    </row>
    <row r="2074">
      <c r="A2074" s="23" t="n"/>
      <c r="B2074" s="23" t="n"/>
      <c r="C2074" s="24" t="n"/>
      <c r="D2074" s="15" t="n"/>
      <c r="E2074" s="23" t="n"/>
      <c r="F2074" s="15" t="n"/>
      <c r="G2074" s="23" t="n"/>
      <c r="H2074" s="25" t="n"/>
      <c r="I2074" s="15" t="n"/>
      <c r="J2074" s="26">
        <f>IF($A2074="","",LEN($C2074)-LEN(SUBSTITUTE($C2074,",",""))+1)</f>
        <v/>
      </c>
      <c r="K2074" s="26">
        <f>IF($A2074="","",SUMPRODUCT(--ISNUMBER(SEARCH('Category Dictionary'!$D$5:$D$135&amp;"",$C2074)),--('Category Dictionary'!$D$5:$D$135&lt;&gt;"")))</f>
        <v/>
      </c>
      <c r="L2074" s="27">
        <f>IF($A2074="","",TRIM(IF(ISERROR(FIND(",",$C2074)),$C2074,LEFT($C2074,FIND(",",$C2074)-1))))</f>
        <v/>
      </c>
      <c r="M2074" s="28">
        <f>IF($H2074="","",DATE(YEAR($H2074),MONTH($H2074),1))</f>
        <v/>
      </c>
      <c r="N2074" s="26">
        <f>IF($H2074="","",TODAY()-$H2074)</f>
        <v/>
      </c>
      <c r="O2074" s="15" t="n"/>
      <c r="P2074" s="15" t="n"/>
      <c r="Q2074" s="15" t="n"/>
      <c r="R2074" s="25" t="n"/>
      <c r="S2074" s="26">
        <f>IF($A2074="","",AND(OR('Assignment Builder'!$B$5="",$B2074='Assignment Builder'!$B$5),OR('Assignment Builder'!$B$6="",ISNUMBER(SEARCH('Assignment Builder'!$B$6,$C2074))),OR('Assignment Builder'!$B$7="",'Assignment Builder'!$B$7=IFERROR(INDEX('Category Dictionary'!$C$5:$C$135,MATCH($L2074,'Category Dictionary'!$D$5:$D$135,0)),"")),OR('Assignment Builder'!$B$8="",$D2074='Assignment Builder'!$B$8),OR('Assignment Builder'!$B$9="",$F2074='Assignment Builder'!$B$9),OR('Assignment Builder'!$B$10="",$O2074='Assignment Builder'!$B$10),OR('Assignment Builder'!$B$11="",$H2074&gt;='Assignment Builder'!$B$11),OR('Assignment Builder'!$B$12="",N($Q2074)&lt;='Assignment Builder'!$B$12)))</f>
        <v/>
      </c>
      <c r="T2074" s="23" t="n"/>
    </row>
    <row r="2075">
      <c r="A2075" s="23" t="n"/>
      <c r="B2075" s="23" t="n"/>
      <c r="C2075" s="24" t="n"/>
      <c r="D2075" s="15" t="n"/>
      <c r="E2075" s="23" t="n"/>
      <c r="F2075" s="15" t="n"/>
      <c r="G2075" s="23" t="n"/>
      <c r="H2075" s="25" t="n"/>
      <c r="I2075" s="15" t="n"/>
      <c r="J2075" s="26">
        <f>IF($A2075="","",LEN($C2075)-LEN(SUBSTITUTE($C2075,",",""))+1)</f>
        <v/>
      </c>
      <c r="K2075" s="26">
        <f>IF($A2075="","",SUMPRODUCT(--ISNUMBER(SEARCH('Category Dictionary'!$D$5:$D$135&amp;"",$C2075)),--('Category Dictionary'!$D$5:$D$135&lt;&gt;"")))</f>
        <v/>
      </c>
      <c r="L2075" s="27">
        <f>IF($A2075="","",TRIM(IF(ISERROR(FIND(",",$C2075)),$C2075,LEFT($C2075,FIND(",",$C2075)-1))))</f>
        <v/>
      </c>
      <c r="M2075" s="28">
        <f>IF($H2075="","",DATE(YEAR($H2075),MONTH($H2075),1))</f>
        <v/>
      </c>
      <c r="N2075" s="26">
        <f>IF($H2075="","",TODAY()-$H2075)</f>
        <v/>
      </c>
      <c r="O2075" s="15" t="n"/>
      <c r="P2075" s="15" t="n"/>
      <c r="Q2075" s="15" t="n"/>
      <c r="R2075" s="25" t="n"/>
      <c r="S2075" s="26">
        <f>IF($A2075="","",AND(OR('Assignment Builder'!$B$5="",$B2075='Assignment Builder'!$B$5),OR('Assignment Builder'!$B$6="",ISNUMBER(SEARCH('Assignment Builder'!$B$6,$C2075))),OR('Assignment Builder'!$B$7="",'Assignment Builder'!$B$7=IFERROR(INDEX('Category Dictionary'!$C$5:$C$135,MATCH($L2075,'Category Dictionary'!$D$5:$D$135,0)),"")),OR('Assignment Builder'!$B$8="",$D2075='Assignment Builder'!$B$8),OR('Assignment Builder'!$B$9="",$F2075='Assignment Builder'!$B$9),OR('Assignment Builder'!$B$10="",$O2075='Assignment Builder'!$B$10),OR('Assignment Builder'!$B$11="",$H2075&gt;='Assignment Builder'!$B$11),OR('Assignment Builder'!$B$12="",N($Q2075)&lt;='Assignment Builder'!$B$12)))</f>
        <v/>
      </c>
      <c r="T2075" s="23" t="n"/>
    </row>
    <row r="2076">
      <c r="A2076" s="23" t="n"/>
      <c r="B2076" s="23" t="n"/>
      <c r="C2076" s="24" t="n"/>
      <c r="D2076" s="15" t="n"/>
      <c r="E2076" s="23" t="n"/>
      <c r="F2076" s="15" t="n"/>
      <c r="G2076" s="23" t="n"/>
      <c r="H2076" s="25" t="n"/>
      <c r="I2076" s="15" t="n"/>
      <c r="J2076" s="26">
        <f>IF($A2076="","",LEN($C2076)-LEN(SUBSTITUTE($C2076,",",""))+1)</f>
        <v/>
      </c>
      <c r="K2076" s="26">
        <f>IF($A2076="","",SUMPRODUCT(--ISNUMBER(SEARCH('Category Dictionary'!$D$5:$D$135&amp;"",$C2076)),--('Category Dictionary'!$D$5:$D$135&lt;&gt;"")))</f>
        <v/>
      </c>
      <c r="L2076" s="27">
        <f>IF($A2076="","",TRIM(IF(ISERROR(FIND(",",$C2076)),$C2076,LEFT($C2076,FIND(",",$C2076)-1))))</f>
        <v/>
      </c>
      <c r="M2076" s="28">
        <f>IF($H2076="","",DATE(YEAR($H2076),MONTH($H2076),1))</f>
        <v/>
      </c>
      <c r="N2076" s="26">
        <f>IF($H2076="","",TODAY()-$H2076)</f>
        <v/>
      </c>
      <c r="O2076" s="15" t="n"/>
      <c r="P2076" s="15" t="n"/>
      <c r="Q2076" s="15" t="n"/>
      <c r="R2076" s="25" t="n"/>
      <c r="S2076" s="26">
        <f>IF($A2076="","",AND(OR('Assignment Builder'!$B$5="",$B2076='Assignment Builder'!$B$5),OR('Assignment Builder'!$B$6="",ISNUMBER(SEARCH('Assignment Builder'!$B$6,$C2076))),OR('Assignment Builder'!$B$7="",'Assignment Builder'!$B$7=IFERROR(INDEX('Category Dictionary'!$C$5:$C$135,MATCH($L2076,'Category Dictionary'!$D$5:$D$135,0)),"")),OR('Assignment Builder'!$B$8="",$D2076='Assignment Builder'!$B$8),OR('Assignment Builder'!$B$9="",$F2076='Assignment Builder'!$B$9),OR('Assignment Builder'!$B$10="",$O2076='Assignment Builder'!$B$10),OR('Assignment Builder'!$B$11="",$H2076&gt;='Assignment Builder'!$B$11),OR('Assignment Builder'!$B$12="",N($Q2076)&lt;='Assignment Builder'!$B$12)))</f>
        <v/>
      </c>
      <c r="T2076" s="23" t="n"/>
    </row>
    <row r="2077">
      <c r="A2077" s="23" t="n"/>
      <c r="B2077" s="23" t="n"/>
      <c r="C2077" s="24" t="n"/>
      <c r="D2077" s="15" t="n"/>
      <c r="E2077" s="23" t="n"/>
      <c r="F2077" s="15" t="n"/>
      <c r="G2077" s="23" t="n"/>
      <c r="H2077" s="25" t="n"/>
      <c r="I2077" s="15" t="n"/>
      <c r="J2077" s="26">
        <f>IF($A2077="","",LEN($C2077)-LEN(SUBSTITUTE($C2077,",",""))+1)</f>
        <v/>
      </c>
      <c r="K2077" s="26">
        <f>IF($A2077="","",SUMPRODUCT(--ISNUMBER(SEARCH('Category Dictionary'!$D$5:$D$135&amp;"",$C2077)),--('Category Dictionary'!$D$5:$D$135&lt;&gt;"")))</f>
        <v/>
      </c>
      <c r="L2077" s="27">
        <f>IF($A2077="","",TRIM(IF(ISERROR(FIND(",",$C2077)),$C2077,LEFT($C2077,FIND(",",$C2077)-1))))</f>
        <v/>
      </c>
      <c r="M2077" s="28">
        <f>IF($H2077="","",DATE(YEAR($H2077),MONTH($H2077),1))</f>
        <v/>
      </c>
      <c r="N2077" s="26">
        <f>IF($H2077="","",TODAY()-$H2077)</f>
        <v/>
      </c>
      <c r="O2077" s="15" t="n"/>
      <c r="P2077" s="15" t="n"/>
      <c r="Q2077" s="15" t="n"/>
      <c r="R2077" s="25" t="n"/>
      <c r="S2077" s="26">
        <f>IF($A2077="","",AND(OR('Assignment Builder'!$B$5="",$B2077='Assignment Builder'!$B$5),OR('Assignment Builder'!$B$6="",ISNUMBER(SEARCH('Assignment Builder'!$B$6,$C2077))),OR('Assignment Builder'!$B$7="",'Assignment Builder'!$B$7=IFERROR(INDEX('Category Dictionary'!$C$5:$C$135,MATCH($L2077,'Category Dictionary'!$D$5:$D$135,0)),"")),OR('Assignment Builder'!$B$8="",$D2077='Assignment Builder'!$B$8),OR('Assignment Builder'!$B$9="",$F2077='Assignment Builder'!$B$9),OR('Assignment Builder'!$B$10="",$O2077='Assignment Builder'!$B$10),OR('Assignment Builder'!$B$11="",$H2077&gt;='Assignment Builder'!$B$11),OR('Assignment Builder'!$B$12="",N($Q2077)&lt;='Assignment Builder'!$B$12)))</f>
        <v/>
      </c>
      <c r="T2077" s="23" t="n"/>
    </row>
    <row r="2078">
      <c r="A2078" s="23" t="n"/>
      <c r="B2078" s="23" t="n"/>
      <c r="C2078" s="24" t="n"/>
      <c r="D2078" s="15" t="n"/>
      <c r="E2078" s="23" t="n"/>
      <c r="F2078" s="15" t="n"/>
      <c r="G2078" s="23" t="n"/>
      <c r="H2078" s="25" t="n"/>
      <c r="I2078" s="15" t="n"/>
      <c r="J2078" s="26">
        <f>IF($A2078="","",LEN($C2078)-LEN(SUBSTITUTE($C2078,",",""))+1)</f>
        <v/>
      </c>
      <c r="K2078" s="26">
        <f>IF($A2078="","",SUMPRODUCT(--ISNUMBER(SEARCH('Category Dictionary'!$D$5:$D$135&amp;"",$C2078)),--('Category Dictionary'!$D$5:$D$135&lt;&gt;"")))</f>
        <v/>
      </c>
      <c r="L2078" s="27">
        <f>IF($A2078="","",TRIM(IF(ISERROR(FIND(",",$C2078)),$C2078,LEFT($C2078,FIND(",",$C2078)-1))))</f>
        <v/>
      </c>
      <c r="M2078" s="28">
        <f>IF($H2078="","",DATE(YEAR($H2078),MONTH($H2078),1))</f>
        <v/>
      </c>
      <c r="N2078" s="26">
        <f>IF($H2078="","",TODAY()-$H2078)</f>
        <v/>
      </c>
      <c r="O2078" s="15" t="n"/>
      <c r="P2078" s="15" t="n"/>
      <c r="Q2078" s="15" t="n"/>
      <c r="R2078" s="25" t="n"/>
      <c r="S2078" s="26">
        <f>IF($A2078="","",AND(OR('Assignment Builder'!$B$5="",$B2078='Assignment Builder'!$B$5),OR('Assignment Builder'!$B$6="",ISNUMBER(SEARCH('Assignment Builder'!$B$6,$C2078))),OR('Assignment Builder'!$B$7="",'Assignment Builder'!$B$7=IFERROR(INDEX('Category Dictionary'!$C$5:$C$135,MATCH($L2078,'Category Dictionary'!$D$5:$D$135,0)),"")),OR('Assignment Builder'!$B$8="",$D2078='Assignment Builder'!$B$8),OR('Assignment Builder'!$B$9="",$F2078='Assignment Builder'!$B$9),OR('Assignment Builder'!$B$10="",$O2078='Assignment Builder'!$B$10),OR('Assignment Builder'!$B$11="",$H2078&gt;='Assignment Builder'!$B$11),OR('Assignment Builder'!$B$12="",N($Q2078)&lt;='Assignment Builder'!$B$12)))</f>
        <v/>
      </c>
      <c r="T2078" s="23" t="n"/>
    </row>
    <row r="2079">
      <c r="A2079" s="23" t="n"/>
      <c r="B2079" s="23" t="n"/>
      <c r="C2079" s="24" t="n"/>
      <c r="D2079" s="15" t="n"/>
      <c r="E2079" s="23" t="n"/>
      <c r="F2079" s="15" t="n"/>
      <c r="G2079" s="23" t="n"/>
      <c r="H2079" s="25" t="n"/>
      <c r="I2079" s="15" t="n"/>
      <c r="J2079" s="26">
        <f>IF($A2079="","",LEN($C2079)-LEN(SUBSTITUTE($C2079,",",""))+1)</f>
        <v/>
      </c>
      <c r="K2079" s="26">
        <f>IF($A2079="","",SUMPRODUCT(--ISNUMBER(SEARCH('Category Dictionary'!$D$5:$D$135&amp;"",$C2079)),--('Category Dictionary'!$D$5:$D$135&lt;&gt;"")))</f>
        <v/>
      </c>
      <c r="L2079" s="27">
        <f>IF($A2079="","",TRIM(IF(ISERROR(FIND(",",$C2079)),$C2079,LEFT($C2079,FIND(",",$C2079)-1))))</f>
        <v/>
      </c>
      <c r="M2079" s="28">
        <f>IF($H2079="","",DATE(YEAR($H2079),MONTH($H2079),1))</f>
        <v/>
      </c>
      <c r="N2079" s="26">
        <f>IF($H2079="","",TODAY()-$H2079)</f>
        <v/>
      </c>
      <c r="O2079" s="15" t="n"/>
      <c r="P2079" s="15" t="n"/>
      <c r="Q2079" s="15" t="n"/>
      <c r="R2079" s="25" t="n"/>
      <c r="S2079" s="26">
        <f>IF($A2079="","",AND(OR('Assignment Builder'!$B$5="",$B2079='Assignment Builder'!$B$5),OR('Assignment Builder'!$B$6="",ISNUMBER(SEARCH('Assignment Builder'!$B$6,$C2079))),OR('Assignment Builder'!$B$7="",'Assignment Builder'!$B$7=IFERROR(INDEX('Category Dictionary'!$C$5:$C$135,MATCH($L2079,'Category Dictionary'!$D$5:$D$135,0)),"")),OR('Assignment Builder'!$B$8="",$D2079='Assignment Builder'!$B$8),OR('Assignment Builder'!$B$9="",$F2079='Assignment Builder'!$B$9),OR('Assignment Builder'!$B$10="",$O2079='Assignment Builder'!$B$10),OR('Assignment Builder'!$B$11="",$H2079&gt;='Assignment Builder'!$B$11),OR('Assignment Builder'!$B$12="",N($Q2079)&lt;='Assignment Builder'!$B$12)))</f>
        <v/>
      </c>
      <c r="T2079" s="23" t="n"/>
    </row>
    <row r="2080">
      <c r="A2080" s="23" t="n"/>
      <c r="B2080" s="23" t="n"/>
      <c r="C2080" s="24" t="n"/>
      <c r="D2080" s="15" t="n"/>
      <c r="E2080" s="23" t="n"/>
      <c r="F2080" s="15" t="n"/>
      <c r="G2080" s="23" t="n"/>
      <c r="H2080" s="25" t="n"/>
      <c r="I2080" s="15" t="n"/>
      <c r="J2080" s="26">
        <f>IF($A2080="","",LEN($C2080)-LEN(SUBSTITUTE($C2080,",",""))+1)</f>
        <v/>
      </c>
      <c r="K2080" s="26">
        <f>IF($A2080="","",SUMPRODUCT(--ISNUMBER(SEARCH('Category Dictionary'!$D$5:$D$135&amp;"",$C2080)),--('Category Dictionary'!$D$5:$D$135&lt;&gt;"")))</f>
        <v/>
      </c>
      <c r="L2080" s="27">
        <f>IF($A2080="","",TRIM(IF(ISERROR(FIND(",",$C2080)),$C2080,LEFT($C2080,FIND(",",$C2080)-1))))</f>
        <v/>
      </c>
      <c r="M2080" s="28">
        <f>IF($H2080="","",DATE(YEAR($H2080),MONTH($H2080),1))</f>
        <v/>
      </c>
      <c r="N2080" s="26">
        <f>IF($H2080="","",TODAY()-$H2080)</f>
        <v/>
      </c>
      <c r="O2080" s="15" t="n"/>
      <c r="P2080" s="15" t="n"/>
      <c r="Q2080" s="15" t="n"/>
      <c r="R2080" s="25" t="n"/>
      <c r="S2080" s="26">
        <f>IF($A2080="","",AND(OR('Assignment Builder'!$B$5="",$B2080='Assignment Builder'!$B$5),OR('Assignment Builder'!$B$6="",ISNUMBER(SEARCH('Assignment Builder'!$B$6,$C2080))),OR('Assignment Builder'!$B$7="",'Assignment Builder'!$B$7=IFERROR(INDEX('Category Dictionary'!$C$5:$C$135,MATCH($L2080,'Category Dictionary'!$D$5:$D$135,0)),"")),OR('Assignment Builder'!$B$8="",$D2080='Assignment Builder'!$B$8),OR('Assignment Builder'!$B$9="",$F2080='Assignment Builder'!$B$9),OR('Assignment Builder'!$B$10="",$O2080='Assignment Builder'!$B$10),OR('Assignment Builder'!$B$11="",$H2080&gt;='Assignment Builder'!$B$11),OR('Assignment Builder'!$B$12="",N($Q2080)&lt;='Assignment Builder'!$B$12)))</f>
        <v/>
      </c>
      <c r="T2080" s="23" t="n"/>
    </row>
    <row r="2081">
      <c r="A2081" s="23" t="n"/>
      <c r="B2081" s="23" t="n"/>
      <c r="C2081" s="24" t="n"/>
      <c r="D2081" s="15" t="n"/>
      <c r="E2081" s="23" t="n"/>
      <c r="F2081" s="15" t="n"/>
      <c r="G2081" s="23" t="n"/>
      <c r="H2081" s="25" t="n"/>
      <c r="I2081" s="15" t="n"/>
      <c r="J2081" s="26">
        <f>IF($A2081="","",LEN($C2081)-LEN(SUBSTITUTE($C2081,",",""))+1)</f>
        <v/>
      </c>
      <c r="K2081" s="26">
        <f>IF($A2081="","",SUMPRODUCT(--ISNUMBER(SEARCH('Category Dictionary'!$D$5:$D$135&amp;"",$C2081)),--('Category Dictionary'!$D$5:$D$135&lt;&gt;"")))</f>
        <v/>
      </c>
      <c r="L2081" s="27">
        <f>IF($A2081="","",TRIM(IF(ISERROR(FIND(",",$C2081)),$C2081,LEFT($C2081,FIND(",",$C2081)-1))))</f>
        <v/>
      </c>
      <c r="M2081" s="28">
        <f>IF($H2081="","",DATE(YEAR($H2081),MONTH($H2081),1))</f>
        <v/>
      </c>
      <c r="N2081" s="26">
        <f>IF($H2081="","",TODAY()-$H2081)</f>
        <v/>
      </c>
      <c r="O2081" s="15" t="n"/>
      <c r="P2081" s="15" t="n"/>
      <c r="Q2081" s="15" t="n"/>
      <c r="R2081" s="25" t="n"/>
      <c r="S2081" s="26">
        <f>IF($A2081="","",AND(OR('Assignment Builder'!$B$5="",$B2081='Assignment Builder'!$B$5),OR('Assignment Builder'!$B$6="",ISNUMBER(SEARCH('Assignment Builder'!$B$6,$C2081))),OR('Assignment Builder'!$B$7="",'Assignment Builder'!$B$7=IFERROR(INDEX('Category Dictionary'!$C$5:$C$135,MATCH($L2081,'Category Dictionary'!$D$5:$D$135,0)),"")),OR('Assignment Builder'!$B$8="",$D2081='Assignment Builder'!$B$8),OR('Assignment Builder'!$B$9="",$F2081='Assignment Builder'!$B$9),OR('Assignment Builder'!$B$10="",$O2081='Assignment Builder'!$B$10),OR('Assignment Builder'!$B$11="",$H2081&gt;='Assignment Builder'!$B$11),OR('Assignment Builder'!$B$12="",N($Q2081)&lt;='Assignment Builder'!$B$12)))</f>
        <v/>
      </c>
      <c r="T2081" s="23" t="n"/>
    </row>
    <row r="2082">
      <c r="A2082" s="23" t="n"/>
      <c r="B2082" s="23" t="n"/>
      <c r="C2082" s="24" t="n"/>
      <c r="D2082" s="15" t="n"/>
      <c r="E2082" s="23" t="n"/>
      <c r="F2082" s="15" t="n"/>
      <c r="G2082" s="23" t="n"/>
      <c r="H2082" s="25" t="n"/>
      <c r="I2082" s="15" t="n"/>
      <c r="J2082" s="26">
        <f>IF($A2082="","",LEN($C2082)-LEN(SUBSTITUTE($C2082,",",""))+1)</f>
        <v/>
      </c>
      <c r="K2082" s="26">
        <f>IF($A2082="","",SUMPRODUCT(--ISNUMBER(SEARCH('Category Dictionary'!$D$5:$D$135&amp;"",$C2082)),--('Category Dictionary'!$D$5:$D$135&lt;&gt;"")))</f>
        <v/>
      </c>
      <c r="L2082" s="27">
        <f>IF($A2082="","",TRIM(IF(ISERROR(FIND(",",$C2082)),$C2082,LEFT($C2082,FIND(",",$C2082)-1))))</f>
        <v/>
      </c>
      <c r="M2082" s="28">
        <f>IF($H2082="","",DATE(YEAR($H2082),MONTH($H2082),1))</f>
        <v/>
      </c>
      <c r="N2082" s="26">
        <f>IF($H2082="","",TODAY()-$H2082)</f>
        <v/>
      </c>
      <c r="O2082" s="15" t="n"/>
      <c r="P2082" s="15" t="n"/>
      <c r="Q2082" s="15" t="n"/>
      <c r="R2082" s="25" t="n"/>
      <c r="S2082" s="26">
        <f>IF($A2082="","",AND(OR('Assignment Builder'!$B$5="",$B2082='Assignment Builder'!$B$5),OR('Assignment Builder'!$B$6="",ISNUMBER(SEARCH('Assignment Builder'!$B$6,$C2082))),OR('Assignment Builder'!$B$7="",'Assignment Builder'!$B$7=IFERROR(INDEX('Category Dictionary'!$C$5:$C$135,MATCH($L2082,'Category Dictionary'!$D$5:$D$135,0)),"")),OR('Assignment Builder'!$B$8="",$D2082='Assignment Builder'!$B$8),OR('Assignment Builder'!$B$9="",$F2082='Assignment Builder'!$B$9),OR('Assignment Builder'!$B$10="",$O2082='Assignment Builder'!$B$10),OR('Assignment Builder'!$B$11="",$H2082&gt;='Assignment Builder'!$B$11),OR('Assignment Builder'!$B$12="",N($Q2082)&lt;='Assignment Builder'!$B$12)))</f>
        <v/>
      </c>
      <c r="T2082" s="23" t="n"/>
    </row>
    <row r="2083">
      <c r="A2083" s="23" t="n"/>
      <c r="B2083" s="23" t="n"/>
      <c r="C2083" s="24" t="n"/>
      <c r="D2083" s="15" t="n"/>
      <c r="E2083" s="23" t="n"/>
      <c r="F2083" s="15" t="n"/>
      <c r="G2083" s="23" t="n"/>
      <c r="H2083" s="25" t="n"/>
      <c r="I2083" s="15" t="n"/>
      <c r="J2083" s="26">
        <f>IF($A2083="","",LEN($C2083)-LEN(SUBSTITUTE($C2083,",",""))+1)</f>
        <v/>
      </c>
      <c r="K2083" s="26">
        <f>IF($A2083="","",SUMPRODUCT(--ISNUMBER(SEARCH('Category Dictionary'!$D$5:$D$135&amp;"",$C2083)),--('Category Dictionary'!$D$5:$D$135&lt;&gt;"")))</f>
        <v/>
      </c>
      <c r="L2083" s="27">
        <f>IF($A2083="","",TRIM(IF(ISERROR(FIND(",",$C2083)),$C2083,LEFT($C2083,FIND(",",$C2083)-1))))</f>
        <v/>
      </c>
      <c r="M2083" s="28">
        <f>IF($H2083="","",DATE(YEAR($H2083),MONTH($H2083),1))</f>
        <v/>
      </c>
      <c r="N2083" s="26">
        <f>IF($H2083="","",TODAY()-$H2083)</f>
        <v/>
      </c>
      <c r="O2083" s="15" t="n"/>
      <c r="P2083" s="15" t="n"/>
      <c r="Q2083" s="15" t="n"/>
      <c r="R2083" s="25" t="n"/>
      <c r="S2083" s="26">
        <f>IF($A2083="","",AND(OR('Assignment Builder'!$B$5="",$B2083='Assignment Builder'!$B$5),OR('Assignment Builder'!$B$6="",ISNUMBER(SEARCH('Assignment Builder'!$B$6,$C2083))),OR('Assignment Builder'!$B$7="",'Assignment Builder'!$B$7=IFERROR(INDEX('Category Dictionary'!$C$5:$C$135,MATCH($L2083,'Category Dictionary'!$D$5:$D$135,0)),"")),OR('Assignment Builder'!$B$8="",$D2083='Assignment Builder'!$B$8),OR('Assignment Builder'!$B$9="",$F2083='Assignment Builder'!$B$9),OR('Assignment Builder'!$B$10="",$O2083='Assignment Builder'!$B$10),OR('Assignment Builder'!$B$11="",$H2083&gt;='Assignment Builder'!$B$11),OR('Assignment Builder'!$B$12="",N($Q2083)&lt;='Assignment Builder'!$B$12)))</f>
        <v/>
      </c>
      <c r="T2083" s="23" t="n"/>
    </row>
    <row r="2084">
      <c r="A2084" s="23" t="n"/>
      <c r="B2084" s="23" t="n"/>
      <c r="C2084" s="24" t="n"/>
      <c r="D2084" s="15" t="n"/>
      <c r="E2084" s="23" t="n"/>
      <c r="F2084" s="15" t="n"/>
      <c r="G2084" s="23" t="n"/>
      <c r="H2084" s="25" t="n"/>
      <c r="I2084" s="15" t="n"/>
      <c r="J2084" s="26">
        <f>IF($A2084="","",LEN($C2084)-LEN(SUBSTITUTE($C2084,",",""))+1)</f>
        <v/>
      </c>
      <c r="K2084" s="26">
        <f>IF($A2084="","",SUMPRODUCT(--ISNUMBER(SEARCH('Category Dictionary'!$D$5:$D$135&amp;"",$C2084)),--('Category Dictionary'!$D$5:$D$135&lt;&gt;"")))</f>
        <v/>
      </c>
      <c r="L2084" s="27">
        <f>IF($A2084="","",TRIM(IF(ISERROR(FIND(",",$C2084)),$C2084,LEFT($C2084,FIND(",",$C2084)-1))))</f>
        <v/>
      </c>
      <c r="M2084" s="28">
        <f>IF($H2084="","",DATE(YEAR($H2084),MONTH($H2084),1))</f>
        <v/>
      </c>
      <c r="N2084" s="26">
        <f>IF($H2084="","",TODAY()-$H2084)</f>
        <v/>
      </c>
      <c r="O2084" s="15" t="n"/>
      <c r="P2084" s="15" t="n"/>
      <c r="Q2084" s="15" t="n"/>
      <c r="R2084" s="25" t="n"/>
      <c r="S2084" s="26">
        <f>IF($A2084="","",AND(OR('Assignment Builder'!$B$5="",$B2084='Assignment Builder'!$B$5),OR('Assignment Builder'!$B$6="",ISNUMBER(SEARCH('Assignment Builder'!$B$6,$C2084))),OR('Assignment Builder'!$B$7="",'Assignment Builder'!$B$7=IFERROR(INDEX('Category Dictionary'!$C$5:$C$135,MATCH($L2084,'Category Dictionary'!$D$5:$D$135,0)),"")),OR('Assignment Builder'!$B$8="",$D2084='Assignment Builder'!$B$8),OR('Assignment Builder'!$B$9="",$F2084='Assignment Builder'!$B$9),OR('Assignment Builder'!$B$10="",$O2084='Assignment Builder'!$B$10),OR('Assignment Builder'!$B$11="",$H2084&gt;='Assignment Builder'!$B$11),OR('Assignment Builder'!$B$12="",N($Q2084)&lt;='Assignment Builder'!$B$12)))</f>
        <v/>
      </c>
      <c r="T2084" s="23" t="n"/>
    </row>
    <row r="2085">
      <c r="A2085" s="23" t="n"/>
      <c r="B2085" s="23" t="n"/>
      <c r="C2085" s="24" t="n"/>
      <c r="D2085" s="15" t="n"/>
      <c r="E2085" s="23" t="n"/>
      <c r="F2085" s="15" t="n"/>
      <c r="G2085" s="23" t="n"/>
      <c r="H2085" s="25" t="n"/>
      <c r="I2085" s="15" t="n"/>
      <c r="J2085" s="26">
        <f>IF($A2085="","",LEN($C2085)-LEN(SUBSTITUTE($C2085,",",""))+1)</f>
        <v/>
      </c>
      <c r="K2085" s="26">
        <f>IF($A2085="","",SUMPRODUCT(--ISNUMBER(SEARCH('Category Dictionary'!$D$5:$D$135&amp;"",$C2085)),--('Category Dictionary'!$D$5:$D$135&lt;&gt;"")))</f>
        <v/>
      </c>
      <c r="L2085" s="27">
        <f>IF($A2085="","",TRIM(IF(ISERROR(FIND(",",$C2085)),$C2085,LEFT($C2085,FIND(",",$C2085)-1))))</f>
        <v/>
      </c>
      <c r="M2085" s="28">
        <f>IF($H2085="","",DATE(YEAR($H2085),MONTH($H2085),1))</f>
        <v/>
      </c>
      <c r="N2085" s="26">
        <f>IF($H2085="","",TODAY()-$H2085)</f>
        <v/>
      </c>
      <c r="O2085" s="15" t="n"/>
      <c r="P2085" s="15" t="n"/>
      <c r="Q2085" s="15" t="n"/>
      <c r="R2085" s="25" t="n"/>
      <c r="S2085" s="26">
        <f>IF($A2085="","",AND(OR('Assignment Builder'!$B$5="",$B2085='Assignment Builder'!$B$5),OR('Assignment Builder'!$B$6="",ISNUMBER(SEARCH('Assignment Builder'!$B$6,$C2085))),OR('Assignment Builder'!$B$7="",'Assignment Builder'!$B$7=IFERROR(INDEX('Category Dictionary'!$C$5:$C$135,MATCH($L2085,'Category Dictionary'!$D$5:$D$135,0)),"")),OR('Assignment Builder'!$B$8="",$D2085='Assignment Builder'!$B$8),OR('Assignment Builder'!$B$9="",$F2085='Assignment Builder'!$B$9),OR('Assignment Builder'!$B$10="",$O2085='Assignment Builder'!$B$10),OR('Assignment Builder'!$B$11="",$H2085&gt;='Assignment Builder'!$B$11),OR('Assignment Builder'!$B$12="",N($Q2085)&lt;='Assignment Builder'!$B$12)))</f>
        <v/>
      </c>
      <c r="T2085" s="23" t="n"/>
    </row>
    <row r="2086">
      <c r="A2086" s="23" t="n"/>
      <c r="B2086" s="23" t="n"/>
      <c r="C2086" s="24" t="n"/>
      <c r="D2086" s="15" t="n"/>
      <c r="E2086" s="23" t="n"/>
      <c r="F2086" s="15" t="n"/>
      <c r="G2086" s="23" t="n"/>
      <c r="H2086" s="25" t="n"/>
      <c r="I2086" s="15" t="n"/>
      <c r="J2086" s="26">
        <f>IF($A2086="","",LEN($C2086)-LEN(SUBSTITUTE($C2086,",",""))+1)</f>
        <v/>
      </c>
      <c r="K2086" s="26">
        <f>IF($A2086="","",SUMPRODUCT(--ISNUMBER(SEARCH('Category Dictionary'!$D$5:$D$135&amp;"",$C2086)),--('Category Dictionary'!$D$5:$D$135&lt;&gt;"")))</f>
        <v/>
      </c>
      <c r="L2086" s="27">
        <f>IF($A2086="","",TRIM(IF(ISERROR(FIND(",",$C2086)),$C2086,LEFT($C2086,FIND(",",$C2086)-1))))</f>
        <v/>
      </c>
      <c r="M2086" s="28">
        <f>IF($H2086="","",DATE(YEAR($H2086),MONTH($H2086),1))</f>
        <v/>
      </c>
      <c r="N2086" s="26">
        <f>IF($H2086="","",TODAY()-$H2086)</f>
        <v/>
      </c>
      <c r="O2086" s="15" t="n"/>
      <c r="P2086" s="15" t="n"/>
      <c r="Q2086" s="15" t="n"/>
      <c r="R2086" s="25" t="n"/>
      <c r="S2086" s="26">
        <f>IF($A2086="","",AND(OR('Assignment Builder'!$B$5="",$B2086='Assignment Builder'!$B$5),OR('Assignment Builder'!$B$6="",ISNUMBER(SEARCH('Assignment Builder'!$B$6,$C2086))),OR('Assignment Builder'!$B$7="",'Assignment Builder'!$B$7=IFERROR(INDEX('Category Dictionary'!$C$5:$C$135,MATCH($L2086,'Category Dictionary'!$D$5:$D$135,0)),"")),OR('Assignment Builder'!$B$8="",$D2086='Assignment Builder'!$B$8),OR('Assignment Builder'!$B$9="",$F2086='Assignment Builder'!$B$9),OR('Assignment Builder'!$B$10="",$O2086='Assignment Builder'!$B$10),OR('Assignment Builder'!$B$11="",$H2086&gt;='Assignment Builder'!$B$11),OR('Assignment Builder'!$B$12="",N($Q2086)&lt;='Assignment Builder'!$B$12)))</f>
        <v/>
      </c>
      <c r="T2086" s="23" t="n"/>
    </row>
    <row r="2087">
      <c r="A2087" s="23" t="n"/>
      <c r="B2087" s="23" t="n"/>
      <c r="C2087" s="24" t="n"/>
      <c r="D2087" s="15" t="n"/>
      <c r="E2087" s="23" t="n"/>
      <c r="F2087" s="15" t="n"/>
      <c r="G2087" s="23" t="n"/>
      <c r="H2087" s="25" t="n"/>
      <c r="I2087" s="15" t="n"/>
      <c r="J2087" s="26">
        <f>IF($A2087="","",LEN($C2087)-LEN(SUBSTITUTE($C2087,",",""))+1)</f>
        <v/>
      </c>
      <c r="K2087" s="26">
        <f>IF($A2087="","",SUMPRODUCT(--ISNUMBER(SEARCH('Category Dictionary'!$D$5:$D$135&amp;"",$C2087)),--('Category Dictionary'!$D$5:$D$135&lt;&gt;"")))</f>
        <v/>
      </c>
      <c r="L2087" s="27">
        <f>IF($A2087="","",TRIM(IF(ISERROR(FIND(",",$C2087)),$C2087,LEFT($C2087,FIND(",",$C2087)-1))))</f>
        <v/>
      </c>
      <c r="M2087" s="28">
        <f>IF($H2087="","",DATE(YEAR($H2087),MONTH($H2087),1))</f>
        <v/>
      </c>
      <c r="N2087" s="26">
        <f>IF($H2087="","",TODAY()-$H2087)</f>
        <v/>
      </c>
      <c r="O2087" s="15" t="n"/>
      <c r="P2087" s="15" t="n"/>
      <c r="Q2087" s="15" t="n"/>
      <c r="R2087" s="25" t="n"/>
      <c r="S2087" s="26">
        <f>IF($A2087="","",AND(OR('Assignment Builder'!$B$5="",$B2087='Assignment Builder'!$B$5),OR('Assignment Builder'!$B$6="",ISNUMBER(SEARCH('Assignment Builder'!$B$6,$C2087))),OR('Assignment Builder'!$B$7="",'Assignment Builder'!$B$7=IFERROR(INDEX('Category Dictionary'!$C$5:$C$135,MATCH($L2087,'Category Dictionary'!$D$5:$D$135,0)),"")),OR('Assignment Builder'!$B$8="",$D2087='Assignment Builder'!$B$8),OR('Assignment Builder'!$B$9="",$F2087='Assignment Builder'!$B$9),OR('Assignment Builder'!$B$10="",$O2087='Assignment Builder'!$B$10),OR('Assignment Builder'!$B$11="",$H2087&gt;='Assignment Builder'!$B$11),OR('Assignment Builder'!$B$12="",N($Q2087)&lt;='Assignment Builder'!$B$12)))</f>
        <v/>
      </c>
      <c r="T2087" s="23" t="n"/>
    </row>
    <row r="2088">
      <c r="A2088" s="23" t="n"/>
      <c r="B2088" s="23" t="n"/>
      <c r="C2088" s="24" t="n"/>
      <c r="D2088" s="15" t="n"/>
      <c r="E2088" s="23" t="n"/>
      <c r="F2088" s="15" t="n"/>
      <c r="G2088" s="23" t="n"/>
      <c r="H2088" s="25" t="n"/>
      <c r="I2088" s="15" t="n"/>
      <c r="J2088" s="26">
        <f>IF($A2088="","",LEN($C2088)-LEN(SUBSTITUTE($C2088,",",""))+1)</f>
        <v/>
      </c>
      <c r="K2088" s="26">
        <f>IF($A2088="","",SUMPRODUCT(--ISNUMBER(SEARCH('Category Dictionary'!$D$5:$D$135&amp;"",$C2088)),--('Category Dictionary'!$D$5:$D$135&lt;&gt;"")))</f>
        <v/>
      </c>
      <c r="L2088" s="27">
        <f>IF($A2088="","",TRIM(IF(ISERROR(FIND(",",$C2088)),$C2088,LEFT($C2088,FIND(",",$C2088)-1))))</f>
        <v/>
      </c>
      <c r="M2088" s="28">
        <f>IF($H2088="","",DATE(YEAR($H2088),MONTH($H2088),1))</f>
        <v/>
      </c>
      <c r="N2088" s="26">
        <f>IF($H2088="","",TODAY()-$H2088)</f>
        <v/>
      </c>
      <c r="O2088" s="15" t="n"/>
      <c r="P2088" s="15" t="n"/>
      <c r="Q2088" s="15" t="n"/>
      <c r="R2088" s="25" t="n"/>
      <c r="S2088" s="26">
        <f>IF($A2088="","",AND(OR('Assignment Builder'!$B$5="",$B2088='Assignment Builder'!$B$5),OR('Assignment Builder'!$B$6="",ISNUMBER(SEARCH('Assignment Builder'!$B$6,$C2088))),OR('Assignment Builder'!$B$7="",'Assignment Builder'!$B$7=IFERROR(INDEX('Category Dictionary'!$C$5:$C$135,MATCH($L2088,'Category Dictionary'!$D$5:$D$135,0)),"")),OR('Assignment Builder'!$B$8="",$D2088='Assignment Builder'!$B$8),OR('Assignment Builder'!$B$9="",$F2088='Assignment Builder'!$B$9),OR('Assignment Builder'!$B$10="",$O2088='Assignment Builder'!$B$10),OR('Assignment Builder'!$B$11="",$H2088&gt;='Assignment Builder'!$B$11),OR('Assignment Builder'!$B$12="",N($Q2088)&lt;='Assignment Builder'!$B$12)))</f>
        <v/>
      </c>
      <c r="T2088" s="23" t="n"/>
    </row>
    <row r="2089">
      <c r="A2089" s="23" t="n"/>
      <c r="B2089" s="23" t="n"/>
      <c r="C2089" s="24" t="n"/>
      <c r="D2089" s="15" t="n"/>
      <c r="E2089" s="23" t="n"/>
      <c r="F2089" s="15" t="n"/>
      <c r="G2089" s="23" t="n"/>
      <c r="H2089" s="25" t="n"/>
      <c r="I2089" s="15" t="n"/>
      <c r="J2089" s="26">
        <f>IF($A2089="","",LEN($C2089)-LEN(SUBSTITUTE($C2089,",",""))+1)</f>
        <v/>
      </c>
      <c r="K2089" s="26">
        <f>IF($A2089="","",SUMPRODUCT(--ISNUMBER(SEARCH('Category Dictionary'!$D$5:$D$135&amp;"",$C2089)),--('Category Dictionary'!$D$5:$D$135&lt;&gt;"")))</f>
        <v/>
      </c>
      <c r="L2089" s="27">
        <f>IF($A2089="","",TRIM(IF(ISERROR(FIND(",",$C2089)),$C2089,LEFT($C2089,FIND(",",$C2089)-1))))</f>
        <v/>
      </c>
      <c r="M2089" s="28">
        <f>IF($H2089="","",DATE(YEAR($H2089),MONTH($H2089),1))</f>
        <v/>
      </c>
      <c r="N2089" s="26">
        <f>IF($H2089="","",TODAY()-$H2089)</f>
        <v/>
      </c>
      <c r="O2089" s="15" t="n"/>
      <c r="P2089" s="15" t="n"/>
      <c r="Q2089" s="15" t="n"/>
      <c r="R2089" s="25" t="n"/>
      <c r="S2089" s="26">
        <f>IF($A2089="","",AND(OR('Assignment Builder'!$B$5="",$B2089='Assignment Builder'!$B$5),OR('Assignment Builder'!$B$6="",ISNUMBER(SEARCH('Assignment Builder'!$B$6,$C2089))),OR('Assignment Builder'!$B$7="",'Assignment Builder'!$B$7=IFERROR(INDEX('Category Dictionary'!$C$5:$C$135,MATCH($L2089,'Category Dictionary'!$D$5:$D$135,0)),"")),OR('Assignment Builder'!$B$8="",$D2089='Assignment Builder'!$B$8),OR('Assignment Builder'!$B$9="",$F2089='Assignment Builder'!$B$9),OR('Assignment Builder'!$B$10="",$O2089='Assignment Builder'!$B$10),OR('Assignment Builder'!$B$11="",$H2089&gt;='Assignment Builder'!$B$11),OR('Assignment Builder'!$B$12="",N($Q2089)&lt;='Assignment Builder'!$B$12)))</f>
        <v/>
      </c>
      <c r="T2089" s="23" t="n"/>
    </row>
    <row r="2090">
      <c r="A2090" s="23" t="n"/>
      <c r="B2090" s="23" t="n"/>
      <c r="C2090" s="24" t="n"/>
      <c r="D2090" s="15" t="n"/>
      <c r="E2090" s="23" t="n"/>
      <c r="F2090" s="15" t="n"/>
      <c r="G2090" s="23" t="n"/>
      <c r="H2090" s="25" t="n"/>
      <c r="I2090" s="15" t="n"/>
      <c r="J2090" s="26">
        <f>IF($A2090="","",LEN($C2090)-LEN(SUBSTITUTE($C2090,",",""))+1)</f>
        <v/>
      </c>
      <c r="K2090" s="26">
        <f>IF($A2090="","",SUMPRODUCT(--ISNUMBER(SEARCH('Category Dictionary'!$D$5:$D$135&amp;"",$C2090)),--('Category Dictionary'!$D$5:$D$135&lt;&gt;"")))</f>
        <v/>
      </c>
      <c r="L2090" s="27">
        <f>IF($A2090="","",TRIM(IF(ISERROR(FIND(",",$C2090)),$C2090,LEFT($C2090,FIND(",",$C2090)-1))))</f>
        <v/>
      </c>
      <c r="M2090" s="28">
        <f>IF($H2090="","",DATE(YEAR($H2090),MONTH($H2090),1))</f>
        <v/>
      </c>
      <c r="N2090" s="26">
        <f>IF($H2090="","",TODAY()-$H2090)</f>
        <v/>
      </c>
      <c r="O2090" s="15" t="n"/>
      <c r="P2090" s="15" t="n"/>
      <c r="Q2090" s="15" t="n"/>
      <c r="R2090" s="25" t="n"/>
      <c r="S2090" s="26">
        <f>IF($A2090="","",AND(OR('Assignment Builder'!$B$5="",$B2090='Assignment Builder'!$B$5),OR('Assignment Builder'!$B$6="",ISNUMBER(SEARCH('Assignment Builder'!$B$6,$C2090))),OR('Assignment Builder'!$B$7="",'Assignment Builder'!$B$7=IFERROR(INDEX('Category Dictionary'!$C$5:$C$135,MATCH($L2090,'Category Dictionary'!$D$5:$D$135,0)),"")),OR('Assignment Builder'!$B$8="",$D2090='Assignment Builder'!$B$8),OR('Assignment Builder'!$B$9="",$F2090='Assignment Builder'!$B$9),OR('Assignment Builder'!$B$10="",$O2090='Assignment Builder'!$B$10),OR('Assignment Builder'!$B$11="",$H2090&gt;='Assignment Builder'!$B$11),OR('Assignment Builder'!$B$12="",N($Q2090)&lt;='Assignment Builder'!$B$12)))</f>
        <v/>
      </c>
      <c r="T2090" s="23" t="n"/>
    </row>
    <row r="2091">
      <c r="A2091" s="23" t="n"/>
      <c r="B2091" s="23" t="n"/>
      <c r="C2091" s="24" t="n"/>
      <c r="D2091" s="15" t="n"/>
      <c r="E2091" s="23" t="n"/>
      <c r="F2091" s="15" t="n"/>
      <c r="G2091" s="23" t="n"/>
      <c r="H2091" s="25" t="n"/>
      <c r="I2091" s="15" t="n"/>
      <c r="J2091" s="26">
        <f>IF($A2091="","",LEN($C2091)-LEN(SUBSTITUTE($C2091,",",""))+1)</f>
        <v/>
      </c>
      <c r="K2091" s="26">
        <f>IF($A2091="","",SUMPRODUCT(--ISNUMBER(SEARCH('Category Dictionary'!$D$5:$D$135&amp;"",$C2091)),--('Category Dictionary'!$D$5:$D$135&lt;&gt;"")))</f>
        <v/>
      </c>
      <c r="L2091" s="27">
        <f>IF($A2091="","",TRIM(IF(ISERROR(FIND(",",$C2091)),$C2091,LEFT($C2091,FIND(",",$C2091)-1))))</f>
        <v/>
      </c>
      <c r="M2091" s="28">
        <f>IF($H2091="","",DATE(YEAR($H2091),MONTH($H2091),1))</f>
        <v/>
      </c>
      <c r="N2091" s="26">
        <f>IF($H2091="","",TODAY()-$H2091)</f>
        <v/>
      </c>
      <c r="O2091" s="15" t="n"/>
      <c r="P2091" s="15" t="n"/>
      <c r="Q2091" s="15" t="n"/>
      <c r="R2091" s="25" t="n"/>
      <c r="S2091" s="26">
        <f>IF($A2091="","",AND(OR('Assignment Builder'!$B$5="",$B2091='Assignment Builder'!$B$5),OR('Assignment Builder'!$B$6="",ISNUMBER(SEARCH('Assignment Builder'!$B$6,$C2091))),OR('Assignment Builder'!$B$7="",'Assignment Builder'!$B$7=IFERROR(INDEX('Category Dictionary'!$C$5:$C$135,MATCH($L2091,'Category Dictionary'!$D$5:$D$135,0)),"")),OR('Assignment Builder'!$B$8="",$D2091='Assignment Builder'!$B$8),OR('Assignment Builder'!$B$9="",$F2091='Assignment Builder'!$B$9),OR('Assignment Builder'!$B$10="",$O2091='Assignment Builder'!$B$10),OR('Assignment Builder'!$B$11="",$H2091&gt;='Assignment Builder'!$B$11),OR('Assignment Builder'!$B$12="",N($Q2091)&lt;='Assignment Builder'!$B$12)))</f>
        <v/>
      </c>
      <c r="T2091" s="23" t="n"/>
    </row>
    <row r="2092">
      <c r="A2092" s="23" t="n"/>
      <c r="B2092" s="23" t="n"/>
      <c r="C2092" s="24" t="n"/>
      <c r="D2092" s="15" t="n"/>
      <c r="E2092" s="23" t="n"/>
      <c r="F2092" s="15" t="n"/>
      <c r="G2092" s="23" t="n"/>
      <c r="H2092" s="25" t="n"/>
      <c r="I2092" s="15" t="n"/>
      <c r="J2092" s="26">
        <f>IF($A2092="","",LEN($C2092)-LEN(SUBSTITUTE($C2092,",",""))+1)</f>
        <v/>
      </c>
      <c r="K2092" s="26">
        <f>IF($A2092="","",SUMPRODUCT(--ISNUMBER(SEARCH('Category Dictionary'!$D$5:$D$135&amp;"",$C2092)),--('Category Dictionary'!$D$5:$D$135&lt;&gt;"")))</f>
        <v/>
      </c>
      <c r="L2092" s="27">
        <f>IF($A2092="","",TRIM(IF(ISERROR(FIND(",",$C2092)),$C2092,LEFT($C2092,FIND(",",$C2092)-1))))</f>
        <v/>
      </c>
      <c r="M2092" s="28">
        <f>IF($H2092="","",DATE(YEAR($H2092),MONTH($H2092),1))</f>
        <v/>
      </c>
      <c r="N2092" s="26">
        <f>IF($H2092="","",TODAY()-$H2092)</f>
        <v/>
      </c>
      <c r="O2092" s="15" t="n"/>
      <c r="P2092" s="15" t="n"/>
      <c r="Q2092" s="15" t="n"/>
      <c r="R2092" s="25" t="n"/>
      <c r="S2092" s="26">
        <f>IF($A2092="","",AND(OR('Assignment Builder'!$B$5="",$B2092='Assignment Builder'!$B$5),OR('Assignment Builder'!$B$6="",ISNUMBER(SEARCH('Assignment Builder'!$B$6,$C2092))),OR('Assignment Builder'!$B$7="",'Assignment Builder'!$B$7=IFERROR(INDEX('Category Dictionary'!$C$5:$C$135,MATCH($L2092,'Category Dictionary'!$D$5:$D$135,0)),"")),OR('Assignment Builder'!$B$8="",$D2092='Assignment Builder'!$B$8),OR('Assignment Builder'!$B$9="",$F2092='Assignment Builder'!$B$9),OR('Assignment Builder'!$B$10="",$O2092='Assignment Builder'!$B$10),OR('Assignment Builder'!$B$11="",$H2092&gt;='Assignment Builder'!$B$11),OR('Assignment Builder'!$B$12="",N($Q2092)&lt;='Assignment Builder'!$B$12)))</f>
        <v/>
      </c>
      <c r="T2092" s="23" t="n"/>
    </row>
    <row r="2093">
      <c r="A2093" s="23" t="n"/>
      <c r="B2093" s="23" t="n"/>
      <c r="C2093" s="24" t="n"/>
      <c r="D2093" s="15" t="n"/>
      <c r="E2093" s="23" t="n"/>
      <c r="F2093" s="15" t="n"/>
      <c r="G2093" s="23" t="n"/>
      <c r="H2093" s="25" t="n"/>
      <c r="I2093" s="15" t="n"/>
      <c r="J2093" s="26">
        <f>IF($A2093="","",LEN($C2093)-LEN(SUBSTITUTE($C2093,",",""))+1)</f>
        <v/>
      </c>
      <c r="K2093" s="26">
        <f>IF($A2093="","",SUMPRODUCT(--ISNUMBER(SEARCH('Category Dictionary'!$D$5:$D$135&amp;"",$C2093)),--('Category Dictionary'!$D$5:$D$135&lt;&gt;"")))</f>
        <v/>
      </c>
      <c r="L2093" s="27">
        <f>IF($A2093="","",TRIM(IF(ISERROR(FIND(",",$C2093)),$C2093,LEFT($C2093,FIND(",",$C2093)-1))))</f>
        <v/>
      </c>
      <c r="M2093" s="28">
        <f>IF($H2093="","",DATE(YEAR($H2093),MONTH($H2093),1))</f>
        <v/>
      </c>
      <c r="N2093" s="26">
        <f>IF($H2093="","",TODAY()-$H2093)</f>
        <v/>
      </c>
      <c r="O2093" s="15" t="n"/>
      <c r="P2093" s="15" t="n"/>
      <c r="Q2093" s="15" t="n"/>
      <c r="R2093" s="25" t="n"/>
      <c r="S2093" s="26">
        <f>IF($A2093="","",AND(OR('Assignment Builder'!$B$5="",$B2093='Assignment Builder'!$B$5),OR('Assignment Builder'!$B$6="",ISNUMBER(SEARCH('Assignment Builder'!$B$6,$C2093))),OR('Assignment Builder'!$B$7="",'Assignment Builder'!$B$7=IFERROR(INDEX('Category Dictionary'!$C$5:$C$135,MATCH($L2093,'Category Dictionary'!$D$5:$D$135,0)),"")),OR('Assignment Builder'!$B$8="",$D2093='Assignment Builder'!$B$8),OR('Assignment Builder'!$B$9="",$F2093='Assignment Builder'!$B$9),OR('Assignment Builder'!$B$10="",$O2093='Assignment Builder'!$B$10),OR('Assignment Builder'!$B$11="",$H2093&gt;='Assignment Builder'!$B$11),OR('Assignment Builder'!$B$12="",N($Q2093)&lt;='Assignment Builder'!$B$12)))</f>
        <v/>
      </c>
      <c r="T2093" s="23" t="n"/>
    </row>
    <row r="2094">
      <c r="A2094" s="23" t="n"/>
      <c r="B2094" s="23" t="n"/>
      <c r="C2094" s="24" t="n"/>
      <c r="D2094" s="15" t="n"/>
      <c r="E2094" s="23" t="n"/>
      <c r="F2094" s="15" t="n"/>
      <c r="G2094" s="23" t="n"/>
      <c r="H2094" s="25" t="n"/>
      <c r="I2094" s="15" t="n"/>
      <c r="J2094" s="26">
        <f>IF($A2094="","",LEN($C2094)-LEN(SUBSTITUTE($C2094,",",""))+1)</f>
        <v/>
      </c>
      <c r="K2094" s="26">
        <f>IF($A2094="","",SUMPRODUCT(--ISNUMBER(SEARCH('Category Dictionary'!$D$5:$D$135&amp;"",$C2094)),--('Category Dictionary'!$D$5:$D$135&lt;&gt;"")))</f>
        <v/>
      </c>
      <c r="L2094" s="27">
        <f>IF($A2094="","",TRIM(IF(ISERROR(FIND(",",$C2094)),$C2094,LEFT($C2094,FIND(",",$C2094)-1))))</f>
        <v/>
      </c>
      <c r="M2094" s="28">
        <f>IF($H2094="","",DATE(YEAR($H2094),MONTH($H2094),1))</f>
        <v/>
      </c>
      <c r="N2094" s="26">
        <f>IF($H2094="","",TODAY()-$H2094)</f>
        <v/>
      </c>
      <c r="O2094" s="15" t="n"/>
      <c r="P2094" s="15" t="n"/>
      <c r="Q2094" s="15" t="n"/>
      <c r="R2094" s="25" t="n"/>
      <c r="S2094" s="26">
        <f>IF($A2094="","",AND(OR('Assignment Builder'!$B$5="",$B2094='Assignment Builder'!$B$5),OR('Assignment Builder'!$B$6="",ISNUMBER(SEARCH('Assignment Builder'!$B$6,$C2094))),OR('Assignment Builder'!$B$7="",'Assignment Builder'!$B$7=IFERROR(INDEX('Category Dictionary'!$C$5:$C$135,MATCH($L2094,'Category Dictionary'!$D$5:$D$135,0)),"")),OR('Assignment Builder'!$B$8="",$D2094='Assignment Builder'!$B$8),OR('Assignment Builder'!$B$9="",$F2094='Assignment Builder'!$B$9),OR('Assignment Builder'!$B$10="",$O2094='Assignment Builder'!$B$10),OR('Assignment Builder'!$B$11="",$H2094&gt;='Assignment Builder'!$B$11),OR('Assignment Builder'!$B$12="",N($Q2094)&lt;='Assignment Builder'!$B$12)))</f>
        <v/>
      </c>
      <c r="T2094" s="23" t="n"/>
    </row>
    <row r="2095">
      <c r="A2095" s="23" t="n"/>
      <c r="B2095" s="23" t="n"/>
      <c r="C2095" s="24" t="n"/>
      <c r="D2095" s="15" t="n"/>
      <c r="E2095" s="23" t="n"/>
      <c r="F2095" s="15" t="n"/>
      <c r="G2095" s="23" t="n"/>
      <c r="H2095" s="25" t="n"/>
      <c r="I2095" s="15" t="n"/>
      <c r="J2095" s="26">
        <f>IF($A2095="","",LEN($C2095)-LEN(SUBSTITUTE($C2095,",",""))+1)</f>
        <v/>
      </c>
      <c r="K2095" s="26">
        <f>IF($A2095="","",SUMPRODUCT(--ISNUMBER(SEARCH('Category Dictionary'!$D$5:$D$135&amp;"",$C2095)),--('Category Dictionary'!$D$5:$D$135&lt;&gt;"")))</f>
        <v/>
      </c>
      <c r="L2095" s="27">
        <f>IF($A2095="","",TRIM(IF(ISERROR(FIND(",",$C2095)),$C2095,LEFT($C2095,FIND(",",$C2095)-1))))</f>
        <v/>
      </c>
      <c r="M2095" s="28">
        <f>IF($H2095="","",DATE(YEAR($H2095),MONTH($H2095),1))</f>
        <v/>
      </c>
      <c r="N2095" s="26">
        <f>IF($H2095="","",TODAY()-$H2095)</f>
        <v/>
      </c>
      <c r="O2095" s="15" t="n"/>
      <c r="P2095" s="15" t="n"/>
      <c r="Q2095" s="15" t="n"/>
      <c r="R2095" s="25" t="n"/>
      <c r="S2095" s="26">
        <f>IF($A2095="","",AND(OR('Assignment Builder'!$B$5="",$B2095='Assignment Builder'!$B$5),OR('Assignment Builder'!$B$6="",ISNUMBER(SEARCH('Assignment Builder'!$B$6,$C2095))),OR('Assignment Builder'!$B$7="",'Assignment Builder'!$B$7=IFERROR(INDEX('Category Dictionary'!$C$5:$C$135,MATCH($L2095,'Category Dictionary'!$D$5:$D$135,0)),"")),OR('Assignment Builder'!$B$8="",$D2095='Assignment Builder'!$B$8),OR('Assignment Builder'!$B$9="",$F2095='Assignment Builder'!$B$9),OR('Assignment Builder'!$B$10="",$O2095='Assignment Builder'!$B$10),OR('Assignment Builder'!$B$11="",$H2095&gt;='Assignment Builder'!$B$11),OR('Assignment Builder'!$B$12="",N($Q2095)&lt;='Assignment Builder'!$B$12)))</f>
        <v/>
      </c>
      <c r="T2095" s="23" t="n"/>
    </row>
    <row r="2096">
      <c r="A2096" s="23" t="n"/>
      <c r="B2096" s="23" t="n"/>
      <c r="C2096" s="24" t="n"/>
      <c r="D2096" s="15" t="n"/>
      <c r="E2096" s="23" t="n"/>
      <c r="F2096" s="15" t="n"/>
      <c r="G2096" s="23" t="n"/>
      <c r="H2096" s="25" t="n"/>
      <c r="I2096" s="15" t="n"/>
      <c r="J2096" s="26">
        <f>IF($A2096="","",LEN($C2096)-LEN(SUBSTITUTE($C2096,",",""))+1)</f>
        <v/>
      </c>
      <c r="K2096" s="26">
        <f>IF($A2096="","",SUMPRODUCT(--ISNUMBER(SEARCH('Category Dictionary'!$D$5:$D$135&amp;"",$C2096)),--('Category Dictionary'!$D$5:$D$135&lt;&gt;"")))</f>
        <v/>
      </c>
      <c r="L2096" s="27">
        <f>IF($A2096="","",TRIM(IF(ISERROR(FIND(",",$C2096)),$C2096,LEFT($C2096,FIND(",",$C2096)-1))))</f>
        <v/>
      </c>
      <c r="M2096" s="28">
        <f>IF($H2096="","",DATE(YEAR($H2096),MONTH($H2096),1))</f>
        <v/>
      </c>
      <c r="N2096" s="26">
        <f>IF($H2096="","",TODAY()-$H2096)</f>
        <v/>
      </c>
      <c r="O2096" s="15" t="n"/>
      <c r="P2096" s="15" t="n"/>
      <c r="Q2096" s="15" t="n"/>
      <c r="R2096" s="25" t="n"/>
      <c r="S2096" s="26">
        <f>IF($A2096="","",AND(OR('Assignment Builder'!$B$5="",$B2096='Assignment Builder'!$B$5),OR('Assignment Builder'!$B$6="",ISNUMBER(SEARCH('Assignment Builder'!$B$6,$C2096))),OR('Assignment Builder'!$B$7="",'Assignment Builder'!$B$7=IFERROR(INDEX('Category Dictionary'!$C$5:$C$135,MATCH($L2096,'Category Dictionary'!$D$5:$D$135,0)),"")),OR('Assignment Builder'!$B$8="",$D2096='Assignment Builder'!$B$8),OR('Assignment Builder'!$B$9="",$F2096='Assignment Builder'!$B$9),OR('Assignment Builder'!$B$10="",$O2096='Assignment Builder'!$B$10),OR('Assignment Builder'!$B$11="",$H2096&gt;='Assignment Builder'!$B$11),OR('Assignment Builder'!$B$12="",N($Q2096)&lt;='Assignment Builder'!$B$12)))</f>
        <v/>
      </c>
      <c r="T2096" s="23" t="n"/>
    </row>
    <row r="2097">
      <c r="A2097" s="23" t="n"/>
      <c r="B2097" s="23" t="n"/>
      <c r="C2097" s="24" t="n"/>
      <c r="D2097" s="15" t="n"/>
      <c r="E2097" s="23" t="n"/>
      <c r="F2097" s="15" t="n"/>
      <c r="G2097" s="23" t="n"/>
      <c r="H2097" s="25" t="n"/>
      <c r="I2097" s="15" t="n"/>
      <c r="J2097" s="26">
        <f>IF($A2097="","",LEN($C2097)-LEN(SUBSTITUTE($C2097,",",""))+1)</f>
        <v/>
      </c>
      <c r="K2097" s="26">
        <f>IF($A2097="","",SUMPRODUCT(--ISNUMBER(SEARCH('Category Dictionary'!$D$5:$D$135&amp;"",$C2097)),--('Category Dictionary'!$D$5:$D$135&lt;&gt;"")))</f>
        <v/>
      </c>
      <c r="L2097" s="27">
        <f>IF($A2097="","",TRIM(IF(ISERROR(FIND(",",$C2097)),$C2097,LEFT($C2097,FIND(",",$C2097)-1))))</f>
        <v/>
      </c>
      <c r="M2097" s="28">
        <f>IF($H2097="","",DATE(YEAR($H2097),MONTH($H2097),1))</f>
        <v/>
      </c>
      <c r="N2097" s="26">
        <f>IF($H2097="","",TODAY()-$H2097)</f>
        <v/>
      </c>
      <c r="O2097" s="15" t="n"/>
      <c r="P2097" s="15" t="n"/>
      <c r="Q2097" s="15" t="n"/>
      <c r="R2097" s="25" t="n"/>
      <c r="S2097" s="26">
        <f>IF($A2097="","",AND(OR('Assignment Builder'!$B$5="",$B2097='Assignment Builder'!$B$5),OR('Assignment Builder'!$B$6="",ISNUMBER(SEARCH('Assignment Builder'!$B$6,$C2097))),OR('Assignment Builder'!$B$7="",'Assignment Builder'!$B$7=IFERROR(INDEX('Category Dictionary'!$C$5:$C$135,MATCH($L2097,'Category Dictionary'!$D$5:$D$135,0)),"")),OR('Assignment Builder'!$B$8="",$D2097='Assignment Builder'!$B$8),OR('Assignment Builder'!$B$9="",$F2097='Assignment Builder'!$B$9),OR('Assignment Builder'!$B$10="",$O2097='Assignment Builder'!$B$10),OR('Assignment Builder'!$B$11="",$H2097&gt;='Assignment Builder'!$B$11),OR('Assignment Builder'!$B$12="",N($Q2097)&lt;='Assignment Builder'!$B$12)))</f>
        <v/>
      </c>
      <c r="T2097" s="23" t="n"/>
    </row>
    <row r="2098">
      <c r="A2098" s="23" t="n"/>
      <c r="B2098" s="23" t="n"/>
      <c r="C2098" s="24" t="n"/>
      <c r="D2098" s="15" t="n"/>
      <c r="E2098" s="23" t="n"/>
      <c r="F2098" s="15" t="n"/>
      <c r="G2098" s="23" t="n"/>
      <c r="H2098" s="25" t="n"/>
      <c r="I2098" s="15" t="n"/>
      <c r="J2098" s="26">
        <f>IF($A2098="","",LEN($C2098)-LEN(SUBSTITUTE($C2098,",",""))+1)</f>
        <v/>
      </c>
      <c r="K2098" s="26">
        <f>IF($A2098="","",SUMPRODUCT(--ISNUMBER(SEARCH('Category Dictionary'!$D$5:$D$135&amp;"",$C2098)),--('Category Dictionary'!$D$5:$D$135&lt;&gt;"")))</f>
        <v/>
      </c>
      <c r="L2098" s="27">
        <f>IF($A2098="","",TRIM(IF(ISERROR(FIND(",",$C2098)),$C2098,LEFT($C2098,FIND(",",$C2098)-1))))</f>
        <v/>
      </c>
      <c r="M2098" s="28">
        <f>IF($H2098="","",DATE(YEAR($H2098),MONTH($H2098),1))</f>
        <v/>
      </c>
      <c r="N2098" s="26">
        <f>IF($H2098="","",TODAY()-$H2098)</f>
        <v/>
      </c>
      <c r="O2098" s="15" t="n"/>
      <c r="P2098" s="15" t="n"/>
      <c r="Q2098" s="15" t="n"/>
      <c r="R2098" s="25" t="n"/>
      <c r="S2098" s="26">
        <f>IF($A2098="","",AND(OR('Assignment Builder'!$B$5="",$B2098='Assignment Builder'!$B$5),OR('Assignment Builder'!$B$6="",ISNUMBER(SEARCH('Assignment Builder'!$B$6,$C2098))),OR('Assignment Builder'!$B$7="",'Assignment Builder'!$B$7=IFERROR(INDEX('Category Dictionary'!$C$5:$C$135,MATCH($L2098,'Category Dictionary'!$D$5:$D$135,0)),"")),OR('Assignment Builder'!$B$8="",$D2098='Assignment Builder'!$B$8),OR('Assignment Builder'!$B$9="",$F2098='Assignment Builder'!$B$9),OR('Assignment Builder'!$B$10="",$O2098='Assignment Builder'!$B$10),OR('Assignment Builder'!$B$11="",$H2098&gt;='Assignment Builder'!$B$11),OR('Assignment Builder'!$B$12="",N($Q2098)&lt;='Assignment Builder'!$B$12)))</f>
        <v/>
      </c>
      <c r="T2098" s="23" t="n"/>
    </row>
    <row r="2099">
      <c r="A2099" s="23" t="n"/>
      <c r="B2099" s="23" t="n"/>
      <c r="C2099" s="24" t="n"/>
      <c r="D2099" s="15" t="n"/>
      <c r="E2099" s="23" t="n"/>
      <c r="F2099" s="15" t="n"/>
      <c r="G2099" s="23" t="n"/>
      <c r="H2099" s="25" t="n"/>
      <c r="I2099" s="15" t="n"/>
      <c r="J2099" s="26">
        <f>IF($A2099="","",LEN($C2099)-LEN(SUBSTITUTE($C2099,",",""))+1)</f>
        <v/>
      </c>
      <c r="K2099" s="26">
        <f>IF($A2099="","",SUMPRODUCT(--ISNUMBER(SEARCH('Category Dictionary'!$D$5:$D$135&amp;"",$C2099)),--('Category Dictionary'!$D$5:$D$135&lt;&gt;"")))</f>
        <v/>
      </c>
      <c r="L2099" s="27">
        <f>IF($A2099="","",TRIM(IF(ISERROR(FIND(",",$C2099)),$C2099,LEFT($C2099,FIND(",",$C2099)-1))))</f>
        <v/>
      </c>
      <c r="M2099" s="28">
        <f>IF($H2099="","",DATE(YEAR($H2099),MONTH($H2099),1))</f>
        <v/>
      </c>
      <c r="N2099" s="26">
        <f>IF($H2099="","",TODAY()-$H2099)</f>
        <v/>
      </c>
      <c r="O2099" s="15" t="n"/>
      <c r="P2099" s="15" t="n"/>
      <c r="Q2099" s="15" t="n"/>
      <c r="R2099" s="25" t="n"/>
      <c r="S2099" s="26">
        <f>IF($A2099="","",AND(OR('Assignment Builder'!$B$5="",$B2099='Assignment Builder'!$B$5),OR('Assignment Builder'!$B$6="",ISNUMBER(SEARCH('Assignment Builder'!$B$6,$C2099))),OR('Assignment Builder'!$B$7="",'Assignment Builder'!$B$7=IFERROR(INDEX('Category Dictionary'!$C$5:$C$135,MATCH($L2099,'Category Dictionary'!$D$5:$D$135,0)),"")),OR('Assignment Builder'!$B$8="",$D2099='Assignment Builder'!$B$8),OR('Assignment Builder'!$B$9="",$F2099='Assignment Builder'!$B$9),OR('Assignment Builder'!$B$10="",$O2099='Assignment Builder'!$B$10),OR('Assignment Builder'!$B$11="",$H2099&gt;='Assignment Builder'!$B$11),OR('Assignment Builder'!$B$12="",N($Q2099)&lt;='Assignment Builder'!$B$12)))</f>
        <v/>
      </c>
      <c r="T2099" s="23" t="n"/>
    </row>
    <row r="2100">
      <c r="A2100" s="23" t="n"/>
      <c r="B2100" s="23" t="n"/>
      <c r="C2100" s="24" t="n"/>
      <c r="D2100" s="15" t="n"/>
      <c r="E2100" s="23" t="n"/>
      <c r="F2100" s="15" t="n"/>
      <c r="G2100" s="23" t="n"/>
      <c r="H2100" s="25" t="n"/>
      <c r="I2100" s="15" t="n"/>
      <c r="J2100" s="26">
        <f>IF($A2100="","",LEN($C2100)-LEN(SUBSTITUTE($C2100,",",""))+1)</f>
        <v/>
      </c>
      <c r="K2100" s="26">
        <f>IF($A2100="","",SUMPRODUCT(--ISNUMBER(SEARCH('Category Dictionary'!$D$5:$D$135&amp;"",$C2100)),--('Category Dictionary'!$D$5:$D$135&lt;&gt;"")))</f>
        <v/>
      </c>
      <c r="L2100" s="27">
        <f>IF($A2100="","",TRIM(IF(ISERROR(FIND(",",$C2100)),$C2100,LEFT($C2100,FIND(",",$C2100)-1))))</f>
        <v/>
      </c>
      <c r="M2100" s="28">
        <f>IF($H2100="","",DATE(YEAR($H2100),MONTH($H2100),1))</f>
        <v/>
      </c>
      <c r="N2100" s="26">
        <f>IF($H2100="","",TODAY()-$H2100)</f>
        <v/>
      </c>
      <c r="O2100" s="15" t="n"/>
      <c r="P2100" s="15" t="n"/>
      <c r="Q2100" s="15" t="n"/>
      <c r="R2100" s="25" t="n"/>
      <c r="S2100" s="26">
        <f>IF($A2100="","",AND(OR('Assignment Builder'!$B$5="",$B2100='Assignment Builder'!$B$5),OR('Assignment Builder'!$B$6="",ISNUMBER(SEARCH('Assignment Builder'!$B$6,$C2100))),OR('Assignment Builder'!$B$7="",'Assignment Builder'!$B$7=IFERROR(INDEX('Category Dictionary'!$C$5:$C$135,MATCH($L2100,'Category Dictionary'!$D$5:$D$135,0)),"")),OR('Assignment Builder'!$B$8="",$D2100='Assignment Builder'!$B$8),OR('Assignment Builder'!$B$9="",$F2100='Assignment Builder'!$B$9),OR('Assignment Builder'!$B$10="",$O2100='Assignment Builder'!$B$10),OR('Assignment Builder'!$B$11="",$H2100&gt;='Assignment Builder'!$B$11),OR('Assignment Builder'!$B$12="",N($Q2100)&lt;='Assignment Builder'!$B$12)))</f>
        <v/>
      </c>
      <c r="T2100" s="23" t="n"/>
    </row>
    <row r="2101">
      <c r="A2101" s="23" t="n"/>
      <c r="B2101" s="23" t="n"/>
      <c r="C2101" s="24" t="n"/>
      <c r="D2101" s="15" t="n"/>
      <c r="E2101" s="23" t="n"/>
      <c r="F2101" s="15" t="n"/>
      <c r="G2101" s="23" t="n"/>
      <c r="H2101" s="25" t="n"/>
      <c r="I2101" s="15" t="n"/>
      <c r="J2101" s="26">
        <f>IF($A2101="","",LEN($C2101)-LEN(SUBSTITUTE($C2101,",",""))+1)</f>
        <v/>
      </c>
      <c r="K2101" s="26">
        <f>IF($A2101="","",SUMPRODUCT(--ISNUMBER(SEARCH('Category Dictionary'!$D$5:$D$135&amp;"",$C2101)),--('Category Dictionary'!$D$5:$D$135&lt;&gt;"")))</f>
        <v/>
      </c>
      <c r="L2101" s="27">
        <f>IF($A2101="","",TRIM(IF(ISERROR(FIND(",",$C2101)),$C2101,LEFT($C2101,FIND(",",$C2101)-1))))</f>
        <v/>
      </c>
      <c r="M2101" s="28">
        <f>IF($H2101="","",DATE(YEAR($H2101),MONTH($H2101),1))</f>
        <v/>
      </c>
      <c r="N2101" s="26">
        <f>IF($H2101="","",TODAY()-$H2101)</f>
        <v/>
      </c>
      <c r="O2101" s="15" t="n"/>
      <c r="P2101" s="15" t="n"/>
      <c r="Q2101" s="15" t="n"/>
      <c r="R2101" s="25" t="n"/>
      <c r="S2101" s="26">
        <f>IF($A2101="","",AND(OR('Assignment Builder'!$B$5="",$B2101='Assignment Builder'!$B$5),OR('Assignment Builder'!$B$6="",ISNUMBER(SEARCH('Assignment Builder'!$B$6,$C2101))),OR('Assignment Builder'!$B$7="",'Assignment Builder'!$B$7=IFERROR(INDEX('Category Dictionary'!$C$5:$C$135,MATCH($L2101,'Category Dictionary'!$D$5:$D$135,0)),"")),OR('Assignment Builder'!$B$8="",$D2101='Assignment Builder'!$B$8),OR('Assignment Builder'!$B$9="",$F2101='Assignment Builder'!$B$9),OR('Assignment Builder'!$B$10="",$O2101='Assignment Builder'!$B$10),OR('Assignment Builder'!$B$11="",$H2101&gt;='Assignment Builder'!$B$11),OR('Assignment Builder'!$B$12="",N($Q2101)&lt;='Assignment Builder'!$B$12)))</f>
        <v/>
      </c>
      <c r="T2101" s="23" t="n"/>
    </row>
    <row r="2102">
      <c r="A2102" s="23" t="n"/>
      <c r="B2102" s="23" t="n"/>
      <c r="C2102" s="24" t="n"/>
      <c r="D2102" s="15" t="n"/>
      <c r="E2102" s="23" t="n"/>
      <c r="F2102" s="15" t="n"/>
      <c r="G2102" s="23" t="n"/>
      <c r="H2102" s="25" t="n"/>
      <c r="I2102" s="15" t="n"/>
      <c r="J2102" s="26">
        <f>IF($A2102="","",LEN($C2102)-LEN(SUBSTITUTE($C2102,",",""))+1)</f>
        <v/>
      </c>
      <c r="K2102" s="26">
        <f>IF($A2102="","",SUMPRODUCT(--ISNUMBER(SEARCH('Category Dictionary'!$D$5:$D$135&amp;"",$C2102)),--('Category Dictionary'!$D$5:$D$135&lt;&gt;"")))</f>
        <v/>
      </c>
      <c r="L2102" s="27">
        <f>IF($A2102="","",TRIM(IF(ISERROR(FIND(",",$C2102)),$C2102,LEFT($C2102,FIND(",",$C2102)-1))))</f>
        <v/>
      </c>
      <c r="M2102" s="28">
        <f>IF($H2102="","",DATE(YEAR($H2102),MONTH($H2102),1))</f>
        <v/>
      </c>
      <c r="N2102" s="26">
        <f>IF($H2102="","",TODAY()-$H2102)</f>
        <v/>
      </c>
      <c r="O2102" s="15" t="n"/>
      <c r="P2102" s="15" t="n"/>
      <c r="Q2102" s="15" t="n"/>
      <c r="R2102" s="25" t="n"/>
      <c r="S2102" s="26">
        <f>IF($A2102="","",AND(OR('Assignment Builder'!$B$5="",$B2102='Assignment Builder'!$B$5),OR('Assignment Builder'!$B$6="",ISNUMBER(SEARCH('Assignment Builder'!$B$6,$C2102))),OR('Assignment Builder'!$B$7="",'Assignment Builder'!$B$7=IFERROR(INDEX('Category Dictionary'!$C$5:$C$135,MATCH($L2102,'Category Dictionary'!$D$5:$D$135,0)),"")),OR('Assignment Builder'!$B$8="",$D2102='Assignment Builder'!$B$8),OR('Assignment Builder'!$B$9="",$F2102='Assignment Builder'!$B$9),OR('Assignment Builder'!$B$10="",$O2102='Assignment Builder'!$B$10),OR('Assignment Builder'!$B$11="",$H2102&gt;='Assignment Builder'!$B$11),OR('Assignment Builder'!$B$12="",N($Q2102)&lt;='Assignment Builder'!$B$12)))</f>
        <v/>
      </c>
      <c r="T2102" s="23" t="n"/>
    </row>
    <row r="2103">
      <c r="A2103" s="23" t="n"/>
      <c r="B2103" s="23" t="n"/>
      <c r="C2103" s="24" t="n"/>
      <c r="D2103" s="15" t="n"/>
      <c r="E2103" s="23" t="n"/>
      <c r="F2103" s="15" t="n"/>
      <c r="G2103" s="23" t="n"/>
      <c r="H2103" s="25" t="n"/>
      <c r="I2103" s="15" t="n"/>
      <c r="J2103" s="26">
        <f>IF($A2103="","",LEN($C2103)-LEN(SUBSTITUTE($C2103,",",""))+1)</f>
        <v/>
      </c>
      <c r="K2103" s="26">
        <f>IF($A2103="","",SUMPRODUCT(--ISNUMBER(SEARCH('Category Dictionary'!$D$5:$D$135&amp;"",$C2103)),--('Category Dictionary'!$D$5:$D$135&lt;&gt;"")))</f>
        <v/>
      </c>
      <c r="L2103" s="27">
        <f>IF($A2103="","",TRIM(IF(ISERROR(FIND(",",$C2103)),$C2103,LEFT($C2103,FIND(",",$C2103)-1))))</f>
        <v/>
      </c>
      <c r="M2103" s="28">
        <f>IF($H2103="","",DATE(YEAR($H2103),MONTH($H2103),1))</f>
        <v/>
      </c>
      <c r="N2103" s="26">
        <f>IF($H2103="","",TODAY()-$H2103)</f>
        <v/>
      </c>
      <c r="O2103" s="15" t="n"/>
      <c r="P2103" s="15" t="n"/>
      <c r="Q2103" s="15" t="n"/>
      <c r="R2103" s="25" t="n"/>
      <c r="S2103" s="26">
        <f>IF($A2103="","",AND(OR('Assignment Builder'!$B$5="",$B2103='Assignment Builder'!$B$5),OR('Assignment Builder'!$B$6="",ISNUMBER(SEARCH('Assignment Builder'!$B$6,$C2103))),OR('Assignment Builder'!$B$7="",'Assignment Builder'!$B$7=IFERROR(INDEX('Category Dictionary'!$C$5:$C$135,MATCH($L2103,'Category Dictionary'!$D$5:$D$135,0)),"")),OR('Assignment Builder'!$B$8="",$D2103='Assignment Builder'!$B$8),OR('Assignment Builder'!$B$9="",$F2103='Assignment Builder'!$B$9),OR('Assignment Builder'!$B$10="",$O2103='Assignment Builder'!$B$10),OR('Assignment Builder'!$B$11="",$H2103&gt;='Assignment Builder'!$B$11),OR('Assignment Builder'!$B$12="",N($Q2103)&lt;='Assignment Builder'!$B$12)))</f>
        <v/>
      </c>
      <c r="T2103" s="23" t="n"/>
    </row>
    <row r="2104">
      <c r="A2104" s="23" t="n"/>
      <c r="B2104" s="23" t="n"/>
      <c r="C2104" s="24" t="n"/>
      <c r="D2104" s="15" t="n"/>
      <c r="E2104" s="23" t="n"/>
      <c r="F2104" s="15" t="n"/>
      <c r="G2104" s="23" t="n"/>
      <c r="H2104" s="25" t="n"/>
      <c r="I2104" s="15" t="n"/>
      <c r="J2104" s="26">
        <f>IF($A2104="","",LEN($C2104)-LEN(SUBSTITUTE($C2104,",",""))+1)</f>
        <v/>
      </c>
      <c r="K2104" s="26">
        <f>IF($A2104="","",SUMPRODUCT(--ISNUMBER(SEARCH('Category Dictionary'!$D$5:$D$135&amp;"",$C2104)),--('Category Dictionary'!$D$5:$D$135&lt;&gt;"")))</f>
        <v/>
      </c>
      <c r="L2104" s="27">
        <f>IF($A2104="","",TRIM(IF(ISERROR(FIND(",",$C2104)),$C2104,LEFT($C2104,FIND(",",$C2104)-1))))</f>
        <v/>
      </c>
      <c r="M2104" s="28">
        <f>IF($H2104="","",DATE(YEAR($H2104),MONTH($H2104),1))</f>
        <v/>
      </c>
      <c r="N2104" s="26">
        <f>IF($H2104="","",TODAY()-$H2104)</f>
        <v/>
      </c>
      <c r="O2104" s="15" t="n"/>
      <c r="P2104" s="15" t="n"/>
      <c r="Q2104" s="15" t="n"/>
      <c r="R2104" s="25" t="n"/>
      <c r="S2104" s="26">
        <f>IF($A2104="","",AND(OR('Assignment Builder'!$B$5="",$B2104='Assignment Builder'!$B$5),OR('Assignment Builder'!$B$6="",ISNUMBER(SEARCH('Assignment Builder'!$B$6,$C2104))),OR('Assignment Builder'!$B$7="",'Assignment Builder'!$B$7=IFERROR(INDEX('Category Dictionary'!$C$5:$C$135,MATCH($L2104,'Category Dictionary'!$D$5:$D$135,0)),"")),OR('Assignment Builder'!$B$8="",$D2104='Assignment Builder'!$B$8),OR('Assignment Builder'!$B$9="",$F2104='Assignment Builder'!$B$9),OR('Assignment Builder'!$B$10="",$O2104='Assignment Builder'!$B$10),OR('Assignment Builder'!$B$11="",$H2104&gt;='Assignment Builder'!$B$11),OR('Assignment Builder'!$B$12="",N($Q2104)&lt;='Assignment Builder'!$B$12)))</f>
        <v/>
      </c>
      <c r="T2104" s="23" t="n"/>
    </row>
    <row r="2105">
      <c r="A2105" s="23" t="n"/>
      <c r="B2105" s="23" t="n"/>
      <c r="C2105" s="24" t="n"/>
      <c r="D2105" s="15" t="n"/>
      <c r="E2105" s="23" t="n"/>
      <c r="F2105" s="15" t="n"/>
      <c r="G2105" s="23" t="n"/>
      <c r="H2105" s="25" t="n"/>
      <c r="I2105" s="15" t="n"/>
      <c r="J2105" s="26">
        <f>IF($A2105="","",LEN($C2105)-LEN(SUBSTITUTE($C2105,",",""))+1)</f>
        <v/>
      </c>
      <c r="K2105" s="26">
        <f>IF($A2105="","",SUMPRODUCT(--ISNUMBER(SEARCH('Category Dictionary'!$D$5:$D$135&amp;"",$C2105)),--('Category Dictionary'!$D$5:$D$135&lt;&gt;"")))</f>
        <v/>
      </c>
      <c r="L2105" s="27">
        <f>IF($A2105="","",TRIM(IF(ISERROR(FIND(",",$C2105)),$C2105,LEFT($C2105,FIND(",",$C2105)-1))))</f>
        <v/>
      </c>
      <c r="M2105" s="28">
        <f>IF($H2105="","",DATE(YEAR($H2105),MONTH($H2105),1))</f>
        <v/>
      </c>
      <c r="N2105" s="26">
        <f>IF($H2105="","",TODAY()-$H2105)</f>
        <v/>
      </c>
      <c r="O2105" s="15" t="n"/>
      <c r="P2105" s="15" t="n"/>
      <c r="Q2105" s="15" t="n"/>
      <c r="R2105" s="25" t="n"/>
      <c r="S2105" s="26">
        <f>IF($A2105="","",AND(OR('Assignment Builder'!$B$5="",$B2105='Assignment Builder'!$B$5),OR('Assignment Builder'!$B$6="",ISNUMBER(SEARCH('Assignment Builder'!$B$6,$C2105))),OR('Assignment Builder'!$B$7="",'Assignment Builder'!$B$7=IFERROR(INDEX('Category Dictionary'!$C$5:$C$135,MATCH($L2105,'Category Dictionary'!$D$5:$D$135,0)),"")),OR('Assignment Builder'!$B$8="",$D2105='Assignment Builder'!$B$8),OR('Assignment Builder'!$B$9="",$F2105='Assignment Builder'!$B$9),OR('Assignment Builder'!$B$10="",$O2105='Assignment Builder'!$B$10),OR('Assignment Builder'!$B$11="",$H2105&gt;='Assignment Builder'!$B$11),OR('Assignment Builder'!$B$12="",N($Q2105)&lt;='Assignment Builder'!$B$12)))</f>
        <v/>
      </c>
      <c r="T2105" s="23" t="n"/>
    </row>
    <row r="2106">
      <c r="A2106" s="23" t="n"/>
      <c r="B2106" s="23" t="n"/>
      <c r="C2106" s="24" t="n"/>
      <c r="D2106" s="15" t="n"/>
      <c r="E2106" s="23" t="n"/>
      <c r="F2106" s="15" t="n"/>
      <c r="G2106" s="23" t="n"/>
      <c r="H2106" s="25" t="n"/>
      <c r="I2106" s="15" t="n"/>
      <c r="J2106" s="26">
        <f>IF($A2106="","",LEN($C2106)-LEN(SUBSTITUTE($C2106,",",""))+1)</f>
        <v/>
      </c>
      <c r="K2106" s="26">
        <f>IF($A2106="","",SUMPRODUCT(--ISNUMBER(SEARCH('Category Dictionary'!$D$5:$D$135&amp;"",$C2106)),--('Category Dictionary'!$D$5:$D$135&lt;&gt;"")))</f>
        <v/>
      </c>
      <c r="L2106" s="27">
        <f>IF($A2106="","",TRIM(IF(ISERROR(FIND(",",$C2106)),$C2106,LEFT($C2106,FIND(",",$C2106)-1))))</f>
        <v/>
      </c>
      <c r="M2106" s="28">
        <f>IF($H2106="","",DATE(YEAR($H2106),MONTH($H2106),1))</f>
        <v/>
      </c>
      <c r="N2106" s="26">
        <f>IF($H2106="","",TODAY()-$H2106)</f>
        <v/>
      </c>
      <c r="O2106" s="15" t="n"/>
      <c r="P2106" s="15" t="n"/>
      <c r="Q2106" s="15" t="n"/>
      <c r="R2106" s="25" t="n"/>
      <c r="S2106" s="26">
        <f>IF($A2106="","",AND(OR('Assignment Builder'!$B$5="",$B2106='Assignment Builder'!$B$5),OR('Assignment Builder'!$B$6="",ISNUMBER(SEARCH('Assignment Builder'!$B$6,$C2106))),OR('Assignment Builder'!$B$7="",'Assignment Builder'!$B$7=IFERROR(INDEX('Category Dictionary'!$C$5:$C$135,MATCH($L2106,'Category Dictionary'!$D$5:$D$135,0)),"")),OR('Assignment Builder'!$B$8="",$D2106='Assignment Builder'!$B$8),OR('Assignment Builder'!$B$9="",$F2106='Assignment Builder'!$B$9),OR('Assignment Builder'!$B$10="",$O2106='Assignment Builder'!$B$10),OR('Assignment Builder'!$B$11="",$H2106&gt;='Assignment Builder'!$B$11),OR('Assignment Builder'!$B$12="",N($Q2106)&lt;='Assignment Builder'!$B$12)))</f>
        <v/>
      </c>
      <c r="T2106" s="23" t="n"/>
    </row>
    <row r="2107">
      <c r="A2107" s="23" t="n"/>
      <c r="B2107" s="23" t="n"/>
      <c r="C2107" s="24" t="n"/>
      <c r="D2107" s="15" t="n"/>
      <c r="E2107" s="23" t="n"/>
      <c r="F2107" s="15" t="n"/>
      <c r="G2107" s="23" t="n"/>
      <c r="H2107" s="25" t="n"/>
      <c r="I2107" s="15" t="n"/>
      <c r="J2107" s="26">
        <f>IF($A2107="","",LEN($C2107)-LEN(SUBSTITUTE($C2107,",",""))+1)</f>
        <v/>
      </c>
      <c r="K2107" s="26">
        <f>IF($A2107="","",SUMPRODUCT(--ISNUMBER(SEARCH('Category Dictionary'!$D$5:$D$135&amp;"",$C2107)),--('Category Dictionary'!$D$5:$D$135&lt;&gt;"")))</f>
        <v/>
      </c>
      <c r="L2107" s="27">
        <f>IF($A2107="","",TRIM(IF(ISERROR(FIND(",",$C2107)),$C2107,LEFT($C2107,FIND(",",$C2107)-1))))</f>
        <v/>
      </c>
      <c r="M2107" s="28">
        <f>IF($H2107="","",DATE(YEAR($H2107),MONTH($H2107),1))</f>
        <v/>
      </c>
      <c r="N2107" s="26">
        <f>IF($H2107="","",TODAY()-$H2107)</f>
        <v/>
      </c>
      <c r="O2107" s="15" t="n"/>
      <c r="P2107" s="15" t="n"/>
      <c r="Q2107" s="15" t="n"/>
      <c r="R2107" s="25" t="n"/>
      <c r="S2107" s="26">
        <f>IF($A2107="","",AND(OR('Assignment Builder'!$B$5="",$B2107='Assignment Builder'!$B$5),OR('Assignment Builder'!$B$6="",ISNUMBER(SEARCH('Assignment Builder'!$B$6,$C2107))),OR('Assignment Builder'!$B$7="",'Assignment Builder'!$B$7=IFERROR(INDEX('Category Dictionary'!$C$5:$C$135,MATCH($L2107,'Category Dictionary'!$D$5:$D$135,0)),"")),OR('Assignment Builder'!$B$8="",$D2107='Assignment Builder'!$B$8),OR('Assignment Builder'!$B$9="",$F2107='Assignment Builder'!$B$9),OR('Assignment Builder'!$B$10="",$O2107='Assignment Builder'!$B$10),OR('Assignment Builder'!$B$11="",$H2107&gt;='Assignment Builder'!$B$11),OR('Assignment Builder'!$B$12="",N($Q2107)&lt;='Assignment Builder'!$B$12)))</f>
        <v/>
      </c>
      <c r="T2107" s="23" t="n"/>
    </row>
    <row r="2108">
      <c r="A2108" s="23" t="n"/>
      <c r="B2108" s="23" t="n"/>
      <c r="C2108" s="24" t="n"/>
      <c r="D2108" s="15" t="n"/>
      <c r="E2108" s="23" t="n"/>
      <c r="F2108" s="15" t="n"/>
      <c r="G2108" s="23" t="n"/>
      <c r="H2108" s="25" t="n"/>
      <c r="I2108" s="15" t="n"/>
      <c r="J2108" s="26">
        <f>IF($A2108="","",LEN($C2108)-LEN(SUBSTITUTE($C2108,",",""))+1)</f>
        <v/>
      </c>
      <c r="K2108" s="26">
        <f>IF($A2108="","",SUMPRODUCT(--ISNUMBER(SEARCH('Category Dictionary'!$D$5:$D$135&amp;"",$C2108)),--('Category Dictionary'!$D$5:$D$135&lt;&gt;"")))</f>
        <v/>
      </c>
      <c r="L2108" s="27">
        <f>IF($A2108="","",TRIM(IF(ISERROR(FIND(",",$C2108)),$C2108,LEFT($C2108,FIND(",",$C2108)-1))))</f>
        <v/>
      </c>
      <c r="M2108" s="28">
        <f>IF($H2108="","",DATE(YEAR($H2108),MONTH($H2108),1))</f>
        <v/>
      </c>
      <c r="N2108" s="26">
        <f>IF($H2108="","",TODAY()-$H2108)</f>
        <v/>
      </c>
      <c r="O2108" s="15" t="n"/>
      <c r="P2108" s="15" t="n"/>
      <c r="Q2108" s="15" t="n"/>
      <c r="R2108" s="25" t="n"/>
      <c r="S2108" s="26">
        <f>IF($A2108="","",AND(OR('Assignment Builder'!$B$5="",$B2108='Assignment Builder'!$B$5),OR('Assignment Builder'!$B$6="",ISNUMBER(SEARCH('Assignment Builder'!$B$6,$C2108))),OR('Assignment Builder'!$B$7="",'Assignment Builder'!$B$7=IFERROR(INDEX('Category Dictionary'!$C$5:$C$135,MATCH($L2108,'Category Dictionary'!$D$5:$D$135,0)),"")),OR('Assignment Builder'!$B$8="",$D2108='Assignment Builder'!$B$8),OR('Assignment Builder'!$B$9="",$F2108='Assignment Builder'!$B$9),OR('Assignment Builder'!$B$10="",$O2108='Assignment Builder'!$B$10),OR('Assignment Builder'!$B$11="",$H2108&gt;='Assignment Builder'!$B$11),OR('Assignment Builder'!$B$12="",N($Q2108)&lt;='Assignment Builder'!$B$12)))</f>
        <v/>
      </c>
      <c r="T2108" s="23" t="n"/>
    </row>
    <row r="2109">
      <c r="A2109" s="23" t="n"/>
      <c r="B2109" s="23" t="n"/>
      <c r="C2109" s="24" t="n"/>
      <c r="D2109" s="15" t="n"/>
      <c r="E2109" s="23" t="n"/>
      <c r="F2109" s="15" t="n"/>
      <c r="G2109" s="23" t="n"/>
      <c r="H2109" s="25" t="n"/>
      <c r="I2109" s="15" t="n"/>
      <c r="J2109" s="26">
        <f>IF($A2109="","",LEN($C2109)-LEN(SUBSTITUTE($C2109,",",""))+1)</f>
        <v/>
      </c>
      <c r="K2109" s="26">
        <f>IF($A2109="","",SUMPRODUCT(--ISNUMBER(SEARCH('Category Dictionary'!$D$5:$D$135&amp;"",$C2109)),--('Category Dictionary'!$D$5:$D$135&lt;&gt;"")))</f>
        <v/>
      </c>
      <c r="L2109" s="27">
        <f>IF($A2109="","",TRIM(IF(ISERROR(FIND(",",$C2109)),$C2109,LEFT($C2109,FIND(",",$C2109)-1))))</f>
        <v/>
      </c>
      <c r="M2109" s="28">
        <f>IF($H2109="","",DATE(YEAR($H2109),MONTH($H2109),1))</f>
        <v/>
      </c>
      <c r="N2109" s="26">
        <f>IF($H2109="","",TODAY()-$H2109)</f>
        <v/>
      </c>
      <c r="O2109" s="15" t="n"/>
      <c r="P2109" s="15" t="n"/>
      <c r="Q2109" s="15" t="n"/>
      <c r="R2109" s="25" t="n"/>
      <c r="S2109" s="26">
        <f>IF($A2109="","",AND(OR('Assignment Builder'!$B$5="",$B2109='Assignment Builder'!$B$5),OR('Assignment Builder'!$B$6="",ISNUMBER(SEARCH('Assignment Builder'!$B$6,$C2109))),OR('Assignment Builder'!$B$7="",'Assignment Builder'!$B$7=IFERROR(INDEX('Category Dictionary'!$C$5:$C$135,MATCH($L2109,'Category Dictionary'!$D$5:$D$135,0)),"")),OR('Assignment Builder'!$B$8="",$D2109='Assignment Builder'!$B$8),OR('Assignment Builder'!$B$9="",$F2109='Assignment Builder'!$B$9),OR('Assignment Builder'!$B$10="",$O2109='Assignment Builder'!$B$10),OR('Assignment Builder'!$B$11="",$H2109&gt;='Assignment Builder'!$B$11),OR('Assignment Builder'!$B$12="",N($Q2109)&lt;='Assignment Builder'!$B$12)))</f>
        <v/>
      </c>
      <c r="T2109" s="23" t="n"/>
    </row>
    <row r="2110">
      <c r="A2110" s="23" t="n"/>
      <c r="B2110" s="23" t="n"/>
      <c r="C2110" s="24" t="n"/>
      <c r="D2110" s="15" t="n"/>
      <c r="E2110" s="23" t="n"/>
      <c r="F2110" s="15" t="n"/>
      <c r="G2110" s="23" t="n"/>
      <c r="H2110" s="25" t="n"/>
      <c r="I2110" s="15" t="n"/>
      <c r="J2110" s="26">
        <f>IF($A2110="","",LEN($C2110)-LEN(SUBSTITUTE($C2110,",",""))+1)</f>
        <v/>
      </c>
      <c r="K2110" s="26">
        <f>IF($A2110="","",SUMPRODUCT(--ISNUMBER(SEARCH('Category Dictionary'!$D$5:$D$135&amp;"",$C2110)),--('Category Dictionary'!$D$5:$D$135&lt;&gt;"")))</f>
        <v/>
      </c>
      <c r="L2110" s="27">
        <f>IF($A2110="","",TRIM(IF(ISERROR(FIND(",",$C2110)),$C2110,LEFT($C2110,FIND(",",$C2110)-1))))</f>
        <v/>
      </c>
      <c r="M2110" s="28">
        <f>IF($H2110="","",DATE(YEAR($H2110),MONTH($H2110),1))</f>
        <v/>
      </c>
      <c r="N2110" s="26">
        <f>IF($H2110="","",TODAY()-$H2110)</f>
        <v/>
      </c>
      <c r="O2110" s="15" t="n"/>
      <c r="P2110" s="15" t="n"/>
      <c r="Q2110" s="15" t="n"/>
      <c r="R2110" s="25" t="n"/>
      <c r="S2110" s="26">
        <f>IF($A2110="","",AND(OR('Assignment Builder'!$B$5="",$B2110='Assignment Builder'!$B$5),OR('Assignment Builder'!$B$6="",ISNUMBER(SEARCH('Assignment Builder'!$B$6,$C2110))),OR('Assignment Builder'!$B$7="",'Assignment Builder'!$B$7=IFERROR(INDEX('Category Dictionary'!$C$5:$C$135,MATCH($L2110,'Category Dictionary'!$D$5:$D$135,0)),"")),OR('Assignment Builder'!$B$8="",$D2110='Assignment Builder'!$B$8),OR('Assignment Builder'!$B$9="",$F2110='Assignment Builder'!$B$9),OR('Assignment Builder'!$B$10="",$O2110='Assignment Builder'!$B$10),OR('Assignment Builder'!$B$11="",$H2110&gt;='Assignment Builder'!$B$11),OR('Assignment Builder'!$B$12="",N($Q2110)&lt;='Assignment Builder'!$B$12)))</f>
        <v/>
      </c>
      <c r="T2110" s="23" t="n"/>
    </row>
    <row r="2111">
      <c r="A2111" s="23" t="n"/>
      <c r="B2111" s="23" t="n"/>
      <c r="C2111" s="24" t="n"/>
      <c r="D2111" s="15" t="n"/>
      <c r="E2111" s="23" t="n"/>
      <c r="F2111" s="15" t="n"/>
      <c r="G2111" s="23" t="n"/>
      <c r="H2111" s="25" t="n"/>
      <c r="I2111" s="15" t="n"/>
      <c r="J2111" s="26">
        <f>IF($A2111="","",LEN($C2111)-LEN(SUBSTITUTE($C2111,",",""))+1)</f>
        <v/>
      </c>
      <c r="K2111" s="26">
        <f>IF($A2111="","",SUMPRODUCT(--ISNUMBER(SEARCH('Category Dictionary'!$D$5:$D$135&amp;"",$C2111)),--('Category Dictionary'!$D$5:$D$135&lt;&gt;"")))</f>
        <v/>
      </c>
      <c r="L2111" s="27">
        <f>IF($A2111="","",TRIM(IF(ISERROR(FIND(",",$C2111)),$C2111,LEFT($C2111,FIND(",",$C2111)-1))))</f>
        <v/>
      </c>
      <c r="M2111" s="28">
        <f>IF($H2111="","",DATE(YEAR($H2111),MONTH($H2111),1))</f>
        <v/>
      </c>
      <c r="N2111" s="26">
        <f>IF($H2111="","",TODAY()-$H2111)</f>
        <v/>
      </c>
      <c r="O2111" s="15" t="n"/>
      <c r="P2111" s="15" t="n"/>
      <c r="Q2111" s="15" t="n"/>
      <c r="R2111" s="25" t="n"/>
      <c r="S2111" s="26">
        <f>IF($A2111="","",AND(OR('Assignment Builder'!$B$5="",$B2111='Assignment Builder'!$B$5),OR('Assignment Builder'!$B$6="",ISNUMBER(SEARCH('Assignment Builder'!$B$6,$C2111))),OR('Assignment Builder'!$B$7="",'Assignment Builder'!$B$7=IFERROR(INDEX('Category Dictionary'!$C$5:$C$135,MATCH($L2111,'Category Dictionary'!$D$5:$D$135,0)),"")),OR('Assignment Builder'!$B$8="",$D2111='Assignment Builder'!$B$8),OR('Assignment Builder'!$B$9="",$F2111='Assignment Builder'!$B$9),OR('Assignment Builder'!$B$10="",$O2111='Assignment Builder'!$B$10),OR('Assignment Builder'!$B$11="",$H2111&gt;='Assignment Builder'!$B$11),OR('Assignment Builder'!$B$12="",N($Q2111)&lt;='Assignment Builder'!$B$12)))</f>
        <v/>
      </c>
      <c r="T2111" s="23" t="n"/>
    </row>
    <row r="2112">
      <c r="A2112" s="23" t="n"/>
      <c r="B2112" s="23" t="n"/>
      <c r="C2112" s="24" t="n"/>
      <c r="D2112" s="15" t="n"/>
      <c r="E2112" s="23" t="n"/>
      <c r="F2112" s="15" t="n"/>
      <c r="G2112" s="23" t="n"/>
      <c r="H2112" s="25" t="n"/>
      <c r="I2112" s="15" t="n"/>
      <c r="J2112" s="26">
        <f>IF($A2112="","",LEN($C2112)-LEN(SUBSTITUTE($C2112,",",""))+1)</f>
        <v/>
      </c>
      <c r="K2112" s="26">
        <f>IF($A2112="","",SUMPRODUCT(--ISNUMBER(SEARCH('Category Dictionary'!$D$5:$D$135&amp;"",$C2112)),--('Category Dictionary'!$D$5:$D$135&lt;&gt;"")))</f>
        <v/>
      </c>
      <c r="L2112" s="27">
        <f>IF($A2112="","",TRIM(IF(ISERROR(FIND(",",$C2112)),$C2112,LEFT($C2112,FIND(",",$C2112)-1))))</f>
        <v/>
      </c>
      <c r="M2112" s="28">
        <f>IF($H2112="","",DATE(YEAR($H2112),MONTH($H2112),1))</f>
        <v/>
      </c>
      <c r="N2112" s="26">
        <f>IF($H2112="","",TODAY()-$H2112)</f>
        <v/>
      </c>
      <c r="O2112" s="15" t="n"/>
      <c r="P2112" s="15" t="n"/>
      <c r="Q2112" s="15" t="n"/>
      <c r="R2112" s="25" t="n"/>
      <c r="S2112" s="26">
        <f>IF($A2112="","",AND(OR('Assignment Builder'!$B$5="",$B2112='Assignment Builder'!$B$5),OR('Assignment Builder'!$B$6="",ISNUMBER(SEARCH('Assignment Builder'!$B$6,$C2112))),OR('Assignment Builder'!$B$7="",'Assignment Builder'!$B$7=IFERROR(INDEX('Category Dictionary'!$C$5:$C$135,MATCH($L2112,'Category Dictionary'!$D$5:$D$135,0)),"")),OR('Assignment Builder'!$B$8="",$D2112='Assignment Builder'!$B$8),OR('Assignment Builder'!$B$9="",$F2112='Assignment Builder'!$B$9),OR('Assignment Builder'!$B$10="",$O2112='Assignment Builder'!$B$10),OR('Assignment Builder'!$B$11="",$H2112&gt;='Assignment Builder'!$B$11),OR('Assignment Builder'!$B$12="",N($Q2112)&lt;='Assignment Builder'!$B$12)))</f>
        <v/>
      </c>
      <c r="T2112" s="23" t="n"/>
    </row>
    <row r="2113">
      <c r="A2113" s="23" t="n"/>
      <c r="B2113" s="23" t="n"/>
      <c r="C2113" s="24" t="n"/>
      <c r="D2113" s="15" t="n"/>
      <c r="E2113" s="23" t="n"/>
      <c r="F2113" s="15" t="n"/>
      <c r="G2113" s="23" t="n"/>
      <c r="H2113" s="25" t="n"/>
      <c r="I2113" s="15" t="n"/>
      <c r="J2113" s="26">
        <f>IF($A2113="","",LEN($C2113)-LEN(SUBSTITUTE($C2113,",",""))+1)</f>
        <v/>
      </c>
      <c r="K2113" s="26">
        <f>IF($A2113="","",SUMPRODUCT(--ISNUMBER(SEARCH('Category Dictionary'!$D$5:$D$135&amp;"",$C2113)),--('Category Dictionary'!$D$5:$D$135&lt;&gt;"")))</f>
        <v/>
      </c>
      <c r="L2113" s="27">
        <f>IF($A2113="","",TRIM(IF(ISERROR(FIND(",",$C2113)),$C2113,LEFT($C2113,FIND(",",$C2113)-1))))</f>
        <v/>
      </c>
      <c r="M2113" s="28">
        <f>IF($H2113="","",DATE(YEAR($H2113),MONTH($H2113),1))</f>
        <v/>
      </c>
      <c r="N2113" s="26">
        <f>IF($H2113="","",TODAY()-$H2113)</f>
        <v/>
      </c>
      <c r="O2113" s="15" t="n"/>
      <c r="P2113" s="15" t="n"/>
      <c r="Q2113" s="15" t="n"/>
      <c r="R2113" s="25" t="n"/>
      <c r="S2113" s="26">
        <f>IF($A2113="","",AND(OR('Assignment Builder'!$B$5="",$B2113='Assignment Builder'!$B$5),OR('Assignment Builder'!$B$6="",ISNUMBER(SEARCH('Assignment Builder'!$B$6,$C2113))),OR('Assignment Builder'!$B$7="",'Assignment Builder'!$B$7=IFERROR(INDEX('Category Dictionary'!$C$5:$C$135,MATCH($L2113,'Category Dictionary'!$D$5:$D$135,0)),"")),OR('Assignment Builder'!$B$8="",$D2113='Assignment Builder'!$B$8),OR('Assignment Builder'!$B$9="",$F2113='Assignment Builder'!$B$9),OR('Assignment Builder'!$B$10="",$O2113='Assignment Builder'!$B$10),OR('Assignment Builder'!$B$11="",$H2113&gt;='Assignment Builder'!$B$11),OR('Assignment Builder'!$B$12="",N($Q2113)&lt;='Assignment Builder'!$B$12)))</f>
        <v/>
      </c>
      <c r="T2113" s="23" t="n"/>
    </row>
    <row r="2114">
      <c r="A2114" s="23" t="n"/>
      <c r="B2114" s="23" t="n"/>
      <c r="C2114" s="24" t="n"/>
      <c r="D2114" s="15" t="n"/>
      <c r="E2114" s="23" t="n"/>
      <c r="F2114" s="15" t="n"/>
      <c r="G2114" s="23" t="n"/>
      <c r="H2114" s="25" t="n"/>
      <c r="I2114" s="15" t="n"/>
      <c r="J2114" s="26">
        <f>IF($A2114="","",LEN($C2114)-LEN(SUBSTITUTE($C2114,",",""))+1)</f>
        <v/>
      </c>
      <c r="K2114" s="26">
        <f>IF($A2114="","",SUMPRODUCT(--ISNUMBER(SEARCH('Category Dictionary'!$D$5:$D$135&amp;"",$C2114)),--('Category Dictionary'!$D$5:$D$135&lt;&gt;"")))</f>
        <v/>
      </c>
      <c r="L2114" s="27">
        <f>IF($A2114="","",TRIM(IF(ISERROR(FIND(",",$C2114)),$C2114,LEFT($C2114,FIND(",",$C2114)-1))))</f>
        <v/>
      </c>
      <c r="M2114" s="28">
        <f>IF($H2114="","",DATE(YEAR($H2114),MONTH($H2114),1))</f>
        <v/>
      </c>
      <c r="N2114" s="26">
        <f>IF($H2114="","",TODAY()-$H2114)</f>
        <v/>
      </c>
      <c r="O2114" s="15" t="n"/>
      <c r="P2114" s="15" t="n"/>
      <c r="Q2114" s="15" t="n"/>
      <c r="R2114" s="25" t="n"/>
      <c r="S2114" s="26">
        <f>IF($A2114="","",AND(OR('Assignment Builder'!$B$5="",$B2114='Assignment Builder'!$B$5),OR('Assignment Builder'!$B$6="",ISNUMBER(SEARCH('Assignment Builder'!$B$6,$C2114))),OR('Assignment Builder'!$B$7="",'Assignment Builder'!$B$7=IFERROR(INDEX('Category Dictionary'!$C$5:$C$135,MATCH($L2114,'Category Dictionary'!$D$5:$D$135,0)),"")),OR('Assignment Builder'!$B$8="",$D2114='Assignment Builder'!$B$8),OR('Assignment Builder'!$B$9="",$F2114='Assignment Builder'!$B$9),OR('Assignment Builder'!$B$10="",$O2114='Assignment Builder'!$B$10),OR('Assignment Builder'!$B$11="",$H2114&gt;='Assignment Builder'!$B$11),OR('Assignment Builder'!$B$12="",N($Q2114)&lt;='Assignment Builder'!$B$12)))</f>
        <v/>
      </c>
      <c r="T2114" s="23" t="n"/>
    </row>
    <row r="2115">
      <c r="A2115" s="23" t="n"/>
      <c r="B2115" s="23" t="n"/>
      <c r="C2115" s="24" t="n"/>
      <c r="D2115" s="15" t="n"/>
      <c r="E2115" s="23" t="n"/>
      <c r="F2115" s="15" t="n"/>
      <c r="G2115" s="23" t="n"/>
      <c r="H2115" s="25" t="n"/>
      <c r="I2115" s="15" t="n"/>
      <c r="J2115" s="26">
        <f>IF($A2115="","",LEN($C2115)-LEN(SUBSTITUTE($C2115,",",""))+1)</f>
        <v/>
      </c>
      <c r="K2115" s="26">
        <f>IF($A2115="","",SUMPRODUCT(--ISNUMBER(SEARCH('Category Dictionary'!$D$5:$D$135&amp;"",$C2115)),--('Category Dictionary'!$D$5:$D$135&lt;&gt;"")))</f>
        <v/>
      </c>
      <c r="L2115" s="27">
        <f>IF($A2115="","",TRIM(IF(ISERROR(FIND(",",$C2115)),$C2115,LEFT($C2115,FIND(",",$C2115)-1))))</f>
        <v/>
      </c>
      <c r="M2115" s="28">
        <f>IF($H2115="","",DATE(YEAR($H2115),MONTH($H2115),1))</f>
        <v/>
      </c>
      <c r="N2115" s="26">
        <f>IF($H2115="","",TODAY()-$H2115)</f>
        <v/>
      </c>
      <c r="O2115" s="15" t="n"/>
      <c r="P2115" s="15" t="n"/>
      <c r="Q2115" s="15" t="n"/>
      <c r="R2115" s="25" t="n"/>
      <c r="S2115" s="26">
        <f>IF($A2115="","",AND(OR('Assignment Builder'!$B$5="",$B2115='Assignment Builder'!$B$5),OR('Assignment Builder'!$B$6="",ISNUMBER(SEARCH('Assignment Builder'!$B$6,$C2115))),OR('Assignment Builder'!$B$7="",'Assignment Builder'!$B$7=IFERROR(INDEX('Category Dictionary'!$C$5:$C$135,MATCH($L2115,'Category Dictionary'!$D$5:$D$135,0)),"")),OR('Assignment Builder'!$B$8="",$D2115='Assignment Builder'!$B$8),OR('Assignment Builder'!$B$9="",$F2115='Assignment Builder'!$B$9),OR('Assignment Builder'!$B$10="",$O2115='Assignment Builder'!$B$10),OR('Assignment Builder'!$B$11="",$H2115&gt;='Assignment Builder'!$B$11),OR('Assignment Builder'!$B$12="",N($Q2115)&lt;='Assignment Builder'!$B$12)))</f>
        <v/>
      </c>
      <c r="T2115" s="23" t="n"/>
    </row>
    <row r="2116">
      <c r="A2116" s="23" t="n"/>
      <c r="B2116" s="23" t="n"/>
      <c r="C2116" s="24" t="n"/>
      <c r="D2116" s="15" t="n"/>
      <c r="E2116" s="23" t="n"/>
      <c r="F2116" s="15" t="n"/>
      <c r="G2116" s="23" t="n"/>
      <c r="H2116" s="25" t="n"/>
      <c r="I2116" s="15" t="n"/>
      <c r="J2116" s="26">
        <f>IF($A2116="","",LEN($C2116)-LEN(SUBSTITUTE($C2116,",",""))+1)</f>
        <v/>
      </c>
      <c r="K2116" s="26">
        <f>IF($A2116="","",SUMPRODUCT(--ISNUMBER(SEARCH('Category Dictionary'!$D$5:$D$135&amp;"",$C2116)),--('Category Dictionary'!$D$5:$D$135&lt;&gt;"")))</f>
        <v/>
      </c>
      <c r="L2116" s="27">
        <f>IF($A2116="","",TRIM(IF(ISERROR(FIND(",",$C2116)),$C2116,LEFT($C2116,FIND(",",$C2116)-1))))</f>
        <v/>
      </c>
      <c r="M2116" s="28">
        <f>IF($H2116="","",DATE(YEAR($H2116),MONTH($H2116),1))</f>
        <v/>
      </c>
      <c r="N2116" s="26">
        <f>IF($H2116="","",TODAY()-$H2116)</f>
        <v/>
      </c>
      <c r="O2116" s="15" t="n"/>
      <c r="P2116" s="15" t="n"/>
      <c r="Q2116" s="15" t="n"/>
      <c r="R2116" s="25" t="n"/>
      <c r="S2116" s="26">
        <f>IF($A2116="","",AND(OR('Assignment Builder'!$B$5="",$B2116='Assignment Builder'!$B$5),OR('Assignment Builder'!$B$6="",ISNUMBER(SEARCH('Assignment Builder'!$B$6,$C2116))),OR('Assignment Builder'!$B$7="",'Assignment Builder'!$B$7=IFERROR(INDEX('Category Dictionary'!$C$5:$C$135,MATCH($L2116,'Category Dictionary'!$D$5:$D$135,0)),"")),OR('Assignment Builder'!$B$8="",$D2116='Assignment Builder'!$B$8),OR('Assignment Builder'!$B$9="",$F2116='Assignment Builder'!$B$9),OR('Assignment Builder'!$B$10="",$O2116='Assignment Builder'!$B$10),OR('Assignment Builder'!$B$11="",$H2116&gt;='Assignment Builder'!$B$11),OR('Assignment Builder'!$B$12="",N($Q2116)&lt;='Assignment Builder'!$B$12)))</f>
        <v/>
      </c>
      <c r="T2116" s="23" t="n"/>
    </row>
    <row r="2117">
      <c r="A2117" s="23" t="n"/>
      <c r="B2117" s="23" t="n"/>
      <c r="C2117" s="24" t="n"/>
      <c r="D2117" s="15" t="n"/>
      <c r="E2117" s="23" t="n"/>
      <c r="F2117" s="15" t="n"/>
      <c r="G2117" s="23" t="n"/>
      <c r="H2117" s="25" t="n"/>
      <c r="I2117" s="15" t="n"/>
      <c r="J2117" s="26">
        <f>IF($A2117="","",LEN($C2117)-LEN(SUBSTITUTE($C2117,",",""))+1)</f>
        <v/>
      </c>
      <c r="K2117" s="26">
        <f>IF($A2117="","",SUMPRODUCT(--ISNUMBER(SEARCH('Category Dictionary'!$D$5:$D$135&amp;"",$C2117)),--('Category Dictionary'!$D$5:$D$135&lt;&gt;"")))</f>
        <v/>
      </c>
      <c r="L2117" s="27">
        <f>IF($A2117="","",TRIM(IF(ISERROR(FIND(",",$C2117)),$C2117,LEFT($C2117,FIND(",",$C2117)-1))))</f>
        <v/>
      </c>
      <c r="M2117" s="28">
        <f>IF($H2117="","",DATE(YEAR($H2117),MONTH($H2117),1))</f>
        <v/>
      </c>
      <c r="N2117" s="26">
        <f>IF($H2117="","",TODAY()-$H2117)</f>
        <v/>
      </c>
      <c r="O2117" s="15" t="n"/>
      <c r="P2117" s="15" t="n"/>
      <c r="Q2117" s="15" t="n"/>
      <c r="R2117" s="25" t="n"/>
      <c r="S2117" s="26">
        <f>IF($A2117="","",AND(OR('Assignment Builder'!$B$5="",$B2117='Assignment Builder'!$B$5),OR('Assignment Builder'!$B$6="",ISNUMBER(SEARCH('Assignment Builder'!$B$6,$C2117))),OR('Assignment Builder'!$B$7="",'Assignment Builder'!$B$7=IFERROR(INDEX('Category Dictionary'!$C$5:$C$135,MATCH($L2117,'Category Dictionary'!$D$5:$D$135,0)),"")),OR('Assignment Builder'!$B$8="",$D2117='Assignment Builder'!$B$8),OR('Assignment Builder'!$B$9="",$F2117='Assignment Builder'!$B$9),OR('Assignment Builder'!$B$10="",$O2117='Assignment Builder'!$B$10),OR('Assignment Builder'!$B$11="",$H2117&gt;='Assignment Builder'!$B$11),OR('Assignment Builder'!$B$12="",N($Q2117)&lt;='Assignment Builder'!$B$12)))</f>
        <v/>
      </c>
      <c r="T2117" s="23" t="n"/>
    </row>
    <row r="2118">
      <c r="A2118" s="23" t="n"/>
      <c r="B2118" s="23" t="n"/>
      <c r="C2118" s="24" t="n"/>
      <c r="D2118" s="15" t="n"/>
      <c r="E2118" s="23" t="n"/>
      <c r="F2118" s="15" t="n"/>
      <c r="G2118" s="23" t="n"/>
      <c r="H2118" s="25" t="n"/>
      <c r="I2118" s="15" t="n"/>
      <c r="J2118" s="26">
        <f>IF($A2118="","",LEN($C2118)-LEN(SUBSTITUTE($C2118,",",""))+1)</f>
        <v/>
      </c>
      <c r="K2118" s="26">
        <f>IF($A2118="","",SUMPRODUCT(--ISNUMBER(SEARCH('Category Dictionary'!$D$5:$D$135&amp;"",$C2118)),--('Category Dictionary'!$D$5:$D$135&lt;&gt;"")))</f>
        <v/>
      </c>
      <c r="L2118" s="27">
        <f>IF($A2118="","",TRIM(IF(ISERROR(FIND(",",$C2118)),$C2118,LEFT($C2118,FIND(",",$C2118)-1))))</f>
        <v/>
      </c>
      <c r="M2118" s="28">
        <f>IF($H2118="","",DATE(YEAR($H2118),MONTH($H2118),1))</f>
        <v/>
      </c>
      <c r="N2118" s="26">
        <f>IF($H2118="","",TODAY()-$H2118)</f>
        <v/>
      </c>
      <c r="O2118" s="15" t="n"/>
      <c r="P2118" s="15" t="n"/>
      <c r="Q2118" s="15" t="n"/>
      <c r="R2118" s="25" t="n"/>
      <c r="S2118" s="26">
        <f>IF($A2118="","",AND(OR('Assignment Builder'!$B$5="",$B2118='Assignment Builder'!$B$5),OR('Assignment Builder'!$B$6="",ISNUMBER(SEARCH('Assignment Builder'!$B$6,$C2118))),OR('Assignment Builder'!$B$7="",'Assignment Builder'!$B$7=IFERROR(INDEX('Category Dictionary'!$C$5:$C$135,MATCH($L2118,'Category Dictionary'!$D$5:$D$135,0)),"")),OR('Assignment Builder'!$B$8="",$D2118='Assignment Builder'!$B$8),OR('Assignment Builder'!$B$9="",$F2118='Assignment Builder'!$B$9),OR('Assignment Builder'!$B$10="",$O2118='Assignment Builder'!$B$10),OR('Assignment Builder'!$B$11="",$H2118&gt;='Assignment Builder'!$B$11),OR('Assignment Builder'!$B$12="",N($Q2118)&lt;='Assignment Builder'!$B$12)))</f>
        <v/>
      </c>
      <c r="T2118" s="23" t="n"/>
    </row>
    <row r="2119">
      <c r="A2119" s="23" t="n"/>
      <c r="B2119" s="23" t="n"/>
      <c r="C2119" s="24" t="n"/>
      <c r="D2119" s="15" t="n"/>
      <c r="E2119" s="23" t="n"/>
      <c r="F2119" s="15" t="n"/>
      <c r="G2119" s="23" t="n"/>
      <c r="H2119" s="25" t="n"/>
      <c r="I2119" s="15" t="n"/>
      <c r="J2119" s="26">
        <f>IF($A2119="","",LEN($C2119)-LEN(SUBSTITUTE($C2119,",",""))+1)</f>
        <v/>
      </c>
      <c r="K2119" s="26">
        <f>IF($A2119="","",SUMPRODUCT(--ISNUMBER(SEARCH('Category Dictionary'!$D$5:$D$135&amp;"",$C2119)),--('Category Dictionary'!$D$5:$D$135&lt;&gt;"")))</f>
        <v/>
      </c>
      <c r="L2119" s="27">
        <f>IF($A2119="","",TRIM(IF(ISERROR(FIND(",",$C2119)),$C2119,LEFT($C2119,FIND(",",$C2119)-1))))</f>
        <v/>
      </c>
      <c r="M2119" s="28">
        <f>IF($H2119="","",DATE(YEAR($H2119),MONTH($H2119),1))</f>
        <v/>
      </c>
      <c r="N2119" s="26">
        <f>IF($H2119="","",TODAY()-$H2119)</f>
        <v/>
      </c>
      <c r="O2119" s="15" t="n"/>
      <c r="P2119" s="15" t="n"/>
      <c r="Q2119" s="15" t="n"/>
      <c r="R2119" s="25" t="n"/>
      <c r="S2119" s="26">
        <f>IF($A2119="","",AND(OR('Assignment Builder'!$B$5="",$B2119='Assignment Builder'!$B$5),OR('Assignment Builder'!$B$6="",ISNUMBER(SEARCH('Assignment Builder'!$B$6,$C2119))),OR('Assignment Builder'!$B$7="",'Assignment Builder'!$B$7=IFERROR(INDEX('Category Dictionary'!$C$5:$C$135,MATCH($L2119,'Category Dictionary'!$D$5:$D$135,0)),"")),OR('Assignment Builder'!$B$8="",$D2119='Assignment Builder'!$B$8),OR('Assignment Builder'!$B$9="",$F2119='Assignment Builder'!$B$9),OR('Assignment Builder'!$B$10="",$O2119='Assignment Builder'!$B$10),OR('Assignment Builder'!$B$11="",$H2119&gt;='Assignment Builder'!$B$11),OR('Assignment Builder'!$B$12="",N($Q2119)&lt;='Assignment Builder'!$B$12)))</f>
        <v/>
      </c>
      <c r="T2119" s="23" t="n"/>
    </row>
    <row r="2120">
      <c r="A2120" s="23" t="n"/>
      <c r="B2120" s="23" t="n"/>
      <c r="C2120" s="24" t="n"/>
      <c r="D2120" s="15" t="n"/>
      <c r="E2120" s="23" t="n"/>
      <c r="F2120" s="15" t="n"/>
      <c r="G2120" s="23" t="n"/>
      <c r="H2120" s="25" t="n"/>
      <c r="I2120" s="15" t="n"/>
      <c r="J2120" s="26">
        <f>IF($A2120="","",LEN($C2120)-LEN(SUBSTITUTE($C2120,",",""))+1)</f>
        <v/>
      </c>
      <c r="K2120" s="26">
        <f>IF($A2120="","",SUMPRODUCT(--ISNUMBER(SEARCH('Category Dictionary'!$D$5:$D$135&amp;"",$C2120)),--('Category Dictionary'!$D$5:$D$135&lt;&gt;"")))</f>
        <v/>
      </c>
      <c r="L2120" s="27">
        <f>IF($A2120="","",TRIM(IF(ISERROR(FIND(",",$C2120)),$C2120,LEFT($C2120,FIND(",",$C2120)-1))))</f>
        <v/>
      </c>
      <c r="M2120" s="28">
        <f>IF($H2120="","",DATE(YEAR($H2120),MONTH($H2120),1))</f>
        <v/>
      </c>
      <c r="N2120" s="26">
        <f>IF($H2120="","",TODAY()-$H2120)</f>
        <v/>
      </c>
      <c r="O2120" s="15" t="n"/>
      <c r="P2120" s="15" t="n"/>
      <c r="Q2120" s="15" t="n"/>
      <c r="R2120" s="25" t="n"/>
      <c r="S2120" s="26">
        <f>IF($A2120="","",AND(OR('Assignment Builder'!$B$5="",$B2120='Assignment Builder'!$B$5),OR('Assignment Builder'!$B$6="",ISNUMBER(SEARCH('Assignment Builder'!$B$6,$C2120))),OR('Assignment Builder'!$B$7="",'Assignment Builder'!$B$7=IFERROR(INDEX('Category Dictionary'!$C$5:$C$135,MATCH($L2120,'Category Dictionary'!$D$5:$D$135,0)),"")),OR('Assignment Builder'!$B$8="",$D2120='Assignment Builder'!$B$8),OR('Assignment Builder'!$B$9="",$F2120='Assignment Builder'!$B$9),OR('Assignment Builder'!$B$10="",$O2120='Assignment Builder'!$B$10),OR('Assignment Builder'!$B$11="",$H2120&gt;='Assignment Builder'!$B$11),OR('Assignment Builder'!$B$12="",N($Q2120)&lt;='Assignment Builder'!$B$12)))</f>
        <v/>
      </c>
      <c r="T2120" s="23" t="n"/>
    </row>
    <row r="2121">
      <c r="A2121" s="23" t="n"/>
      <c r="B2121" s="23" t="n"/>
      <c r="C2121" s="24" t="n"/>
      <c r="D2121" s="15" t="n"/>
      <c r="E2121" s="23" t="n"/>
      <c r="F2121" s="15" t="n"/>
      <c r="G2121" s="23" t="n"/>
      <c r="H2121" s="25" t="n"/>
      <c r="I2121" s="15" t="n"/>
      <c r="J2121" s="26">
        <f>IF($A2121="","",LEN($C2121)-LEN(SUBSTITUTE($C2121,",",""))+1)</f>
        <v/>
      </c>
      <c r="K2121" s="26">
        <f>IF($A2121="","",SUMPRODUCT(--ISNUMBER(SEARCH('Category Dictionary'!$D$5:$D$135&amp;"",$C2121)),--('Category Dictionary'!$D$5:$D$135&lt;&gt;"")))</f>
        <v/>
      </c>
      <c r="L2121" s="27">
        <f>IF($A2121="","",TRIM(IF(ISERROR(FIND(",",$C2121)),$C2121,LEFT($C2121,FIND(",",$C2121)-1))))</f>
        <v/>
      </c>
      <c r="M2121" s="28">
        <f>IF($H2121="","",DATE(YEAR($H2121),MONTH($H2121),1))</f>
        <v/>
      </c>
      <c r="N2121" s="26">
        <f>IF($H2121="","",TODAY()-$H2121)</f>
        <v/>
      </c>
      <c r="O2121" s="15" t="n"/>
      <c r="P2121" s="15" t="n"/>
      <c r="Q2121" s="15" t="n"/>
      <c r="R2121" s="25" t="n"/>
      <c r="S2121" s="26">
        <f>IF($A2121="","",AND(OR('Assignment Builder'!$B$5="",$B2121='Assignment Builder'!$B$5),OR('Assignment Builder'!$B$6="",ISNUMBER(SEARCH('Assignment Builder'!$B$6,$C2121))),OR('Assignment Builder'!$B$7="",'Assignment Builder'!$B$7=IFERROR(INDEX('Category Dictionary'!$C$5:$C$135,MATCH($L2121,'Category Dictionary'!$D$5:$D$135,0)),"")),OR('Assignment Builder'!$B$8="",$D2121='Assignment Builder'!$B$8),OR('Assignment Builder'!$B$9="",$F2121='Assignment Builder'!$B$9),OR('Assignment Builder'!$B$10="",$O2121='Assignment Builder'!$B$10),OR('Assignment Builder'!$B$11="",$H2121&gt;='Assignment Builder'!$B$11),OR('Assignment Builder'!$B$12="",N($Q2121)&lt;='Assignment Builder'!$B$12)))</f>
        <v/>
      </c>
      <c r="T2121" s="23" t="n"/>
    </row>
    <row r="2122">
      <c r="A2122" s="23" t="n"/>
      <c r="B2122" s="23" t="n"/>
      <c r="C2122" s="24" t="n"/>
      <c r="D2122" s="15" t="n"/>
      <c r="E2122" s="23" t="n"/>
      <c r="F2122" s="15" t="n"/>
      <c r="G2122" s="23" t="n"/>
      <c r="H2122" s="25" t="n"/>
      <c r="I2122" s="15" t="n"/>
      <c r="J2122" s="26">
        <f>IF($A2122="","",LEN($C2122)-LEN(SUBSTITUTE($C2122,",",""))+1)</f>
        <v/>
      </c>
      <c r="K2122" s="26">
        <f>IF($A2122="","",SUMPRODUCT(--ISNUMBER(SEARCH('Category Dictionary'!$D$5:$D$135&amp;"",$C2122)),--('Category Dictionary'!$D$5:$D$135&lt;&gt;"")))</f>
        <v/>
      </c>
      <c r="L2122" s="27">
        <f>IF($A2122="","",TRIM(IF(ISERROR(FIND(",",$C2122)),$C2122,LEFT($C2122,FIND(",",$C2122)-1))))</f>
        <v/>
      </c>
      <c r="M2122" s="28">
        <f>IF($H2122="","",DATE(YEAR($H2122),MONTH($H2122),1))</f>
        <v/>
      </c>
      <c r="N2122" s="26">
        <f>IF($H2122="","",TODAY()-$H2122)</f>
        <v/>
      </c>
      <c r="O2122" s="15" t="n"/>
      <c r="P2122" s="15" t="n"/>
      <c r="Q2122" s="15" t="n"/>
      <c r="R2122" s="25" t="n"/>
      <c r="S2122" s="26">
        <f>IF($A2122="","",AND(OR('Assignment Builder'!$B$5="",$B2122='Assignment Builder'!$B$5),OR('Assignment Builder'!$B$6="",ISNUMBER(SEARCH('Assignment Builder'!$B$6,$C2122))),OR('Assignment Builder'!$B$7="",'Assignment Builder'!$B$7=IFERROR(INDEX('Category Dictionary'!$C$5:$C$135,MATCH($L2122,'Category Dictionary'!$D$5:$D$135,0)),"")),OR('Assignment Builder'!$B$8="",$D2122='Assignment Builder'!$B$8),OR('Assignment Builder'!$B$9="",$F2122='Assignment Builder'!$B$9),OR('Assignment Builder'!$B$10="",$O2122='Assignment Builder'!$B$10),OR('Assignment Builder'!$B$11="",$H2122&gt;='Assignment Builder'!$B$11),OR('Assignment Builder'!$B$12="",N($Q2122)&lt;='Assignment Builder'!$B$12)))</f>
        <v/>
      </c>
      <c r="T2122" s="23" t="n"/>
    </row>
    <row r="2123">
      <c r="A2123" s="23" t="n"/>
      <c r="B2123" s="23" t="n"/>
      <c r="C2123" s="24" t="n"/>
      <c r="D2123" s="15" t="n"/>
      <c r="E2123" s="23" t="n"/>
      <c r="F2123" s="15" t="n"/>
      <c r="G2123" s="23" t="n"/>
      <c r="H2123" s="25" t="n"/>
      <c r="I2123" s="15" t="n"/>
      <c r="J2123" s="26">
        <f>IF($A2123="","",LEN($C2123)-LEN(SUBSTITUTE($C2123,",",""))+1)</f>
        <v/>
      </c>
      <c r="K2123" s="26">
        <f>IF($A2123="","",SUMPRODUCT(--ISNUMBER(SEARCH('Category Dictionary'!$D$5:$D$135&amp;"",$C2123)),--('Category Dictionary'!$D$5:$D$135&lt;&gt;"")))</f>
        <v/>
      </c>
      <c r="L2123" s="27">
        <f>IF($A2123="","",TRIM(IF(ISERROR(FIND(",",$C2123)),$C2123,LEFT($C2123,FIND(",",$C2123)-1))))</f>
        <v/>
      </c>
      <c r="M2123" s="28">
        <f>IF($H2123="","",DATE(YEAR($H2123),MONTH($H2123),1))</f>
        <v/>
      </c>
      <c r="N2123" s="26">
        <f>IF($H2123="","",TODAY()-$H2123)</f>
        <v/>
      </c>
      <c r="O2123" s="15" t="n"/>
      <c r="P2123" s="15" t="n"/>
      <c r="Q2123" s="15" t="n"/>
      <c r="R2123" s="25" t="n"/>
      <c r="S2123" s="26">
        <f>IF($A2123="","",AND(OR('Assignment Builder'!$B$5="",$B2123='Assignment Builder'!$B$5),OR('Assignment Builder'!$B$6="",ISNUMBER(SEARCH('Assignment Builder'!$B$6,$C2123))),OR('Assignment Builder'!$B$7="",'Assignment Builder'!$B$7=IFERROR(INDEX('Category Dictionary'!$C$5:$C$135,MATCH($L2123,'Category Dictionary'!$D$5:$D$135,0)),"")),OR('Assignment Builder'!$B$8="",$D2123='Assignment Builder'!$B$8),OR('Assignment Builder'!$B$9="",$F2123='Assignment Builder'!$B$9),OR('Assignment Builder'!$B$10="",$O2123='Assignment Builder'!$B$10),OR('Assignment Builder'!$B$11="",$H2123&gt;='Assignment Builder'!$B$11),OR('Assignment Builder'!$B$12="",N($Q2123)&lt;='Assignment Builder'!$B$12)))</f>
        <v/>
      </c>
      <c r="T2123" s="23" t="n"/>
    </row>
    <row r="2124">
      <c r="A2124" s="23" t="n"/>
      <c r="B2124" s="23" t="n"/>
      <c r="C2124" s="24" t="n"/>
      <c r="D2124" s="15" t="n"/>
      <c r="E2124" s="23" t="n"/>
      <c r="F2124" s="15" t="n"/>
      <c r="G2124" s="23" t="n"/>
      <c r="H2124" s="25" t="n"/>
      <c r="I2124" s="15" t="n"/>
      <c r="J2124" s="26">
        <f>IF($A2124="","",LEN($C2124)-LEN(SUBSTITUTE($C2124,",",""))+1)</f>
        <v/>
      </c>
      <c r="K2124" s="26">
        <f>IF($A2124="","",SUMPRODUCT(--ISNUMBER(SEARCH('Category Dictionary'!$D$5:$D$135&amp;"",$C2124)),--('Category Dictionary'!$D$5:$D$135&lt;&gt;"")))</f>
        <v/>
      </c>
      <c r="L2124" s="27">
        <f>IF($A2124="","",TRIM(IF(ISERROR(FIND(",",$C2124)),$C2124,LEFT($C2124,FIND(",",$C2124)-1))))</f>
        <v/>
      </c>
      <c r="M2124" s="28">
        <f>IF($H2124="","",DATE(YEAR($H2124),MONTH($H2124),1))</f>
        <v/>
      </c>
      <c r="N2124" s="26">
        <f>IF($H2124="","",TODAY()-$H2124)</f>
        <v/>
      </c>
      <c r="O2124" s="15" t="n"/>
      <c r="P2124" s="15" t="n"/>
      <c r="Q2124" s="15" t="n"/>
      <c r="R2124" s="25" t="n"/>
      <c r="S2124" s="26">
        <f>IF($A2124="","",AND(OR('Assignment Builder'!$B$5="",$B2124='Assignment Builder'!$B$5),OR('Assignment Builder'!$B$6="",ISNUMBER(SEARCH('Assignment Builder'!$B$6,$C2124))),OR('Assignment Builder'!$B$7="",'Assignment Builder'!$B$7=IFERROR(INDEX('Category Dictionary'!$C$5:$C$135,MATCH($L2124,'Category Dictionary'!$D$5:$D$135,0)),"")),OR('Assignment Builder'!$B$8="",$D2124='Assignment Builder'!$B$8),OR('Assignment Builder'!$B$9="",$F2124='Assignment Builder'!$B$9),OR('Assignment Builder'!$B$10="",$O2124='Assignment Builder'!$B$10),OR('Assignment Builder'!$B$11="",$H2124&gt;='Assignment Builder'!$B$11),OR('Assignment Builder'!$B$12="",N($Q2124)&lt;='Assignment Builder'!$B$12)))</f>
        <v/>
      </c>
      <c r="T2124" s="23" t="n"/>
    </row>
    <row r="2125">
      <c r="A2125" s="23" t="n"/>
      <c r="B2125" s="23" t="n"/>
      <c r="C2125" s="24" t="n"/>
      <c r="D2125" s="15" t="n"/>
      <c r="E2125" s="23" t="n"/>
      <c r="F2125" s="15" t="n"/>
      <c r="G2125" s="23" t="n"/>
      <c r="H2125" s="25" t="n"/>
      <c r="I2125" s="15" t="n"/>
      <c r="J2125" s="26">
        <f>IF($A2125="","",LEN($C2125)-LEN(SUBSTITUTE($C2125,",",""))+1)</f>
        <v/>
      </c>
      <c r="K2125" s="26">
        <f>IF($A2125="","",SUMPRODUCT(--ISNUMBER(SEARCH('Category Dictionary'!$D$5:$D$135&amp;"",$C2125)),--('Category Dictionary'!$D$5:$D$135&lt;&gt;"")))</f>
        <v/>
      </c>
      <c r="L2125" s="27">
        <f>IF($A2125="","",TRIM(IF(ISERROR(FIND(",",$C2125)),$C2125,LEFT($C2125,FIND(",",$C2125)-1))))</f>
        <v/>
      </c>
      <c r="M2125" s="28">
        <f>IF($H2125="","",DATE(YEAR($H2125),MONTH($H2125),1))</f>
        <v/>
      </c>
      <c r="N2125" s="26">
        <f>IF($H2125="","",TODAY()-$H2125)</f>
        <v/>
      </c>
      <c r="O2125" s="15" t="n"/>
      <c r="P2125" s="15" t="n"/>
      <c r="Q2125" s="15" t="n"/>
      <c r="R2125" s="25" t="n"/>
      <c r="S2125" s="26">
        <f>IF($A2125="","",AND(OR('Assignment Builder'!$B$5="",$B2125='Assignment Builder'!$B$5),OR('Assignment Builder'!$B$6="",ISNUMBER(SEARCH('Assignment Builder'!$B$6,$C2125))),OR('Assignment Builder'!$B$7="",'Assignment Builder'!$B$7=IFERROR(INDEX('Category Dictionary'!$C$5:$C$135,MATCH($L2125,'Category Dictionary'!$D$5:$D$135,0)),"")),OR('Assignment Builder'!$B$8="",$D2125='Assignment Builder'!$B$8),OR('Assignment Builder'!$B$9="",$F2125='Assignment Builder'!$B$9),OR('Assignment Builder'!$B$10="",$O2125='Assignment Builder'!$B$10),OR('Assignment Builder'!$B$11="",$H2125&gt;='Assignment Builder'!$B$11),OR('Assignment Builder'!$B$12="",N($Q2125)&lt;='Assignment Builder'!$B$12)))</f>
        <v/>
      </c>
      <c r="T2125" s="23" t="n"/>
    </row>
    <row r="2126">
      <c r="A2126" s="23" t="n"/>
      <c r="B2126" s="23" t="n"/>
      <c r="C2126" s="24" t="n"/>
      <c r="D2126" s="15" t="n"/>
      <c r="E2126" s="23" t="n"/>
      <c r="F2126" s="15" t="n"/>
      <c r="G2126" s="23" t="n"/>
      <c r="H2126" s="25" t="n"/>
      <c r="I2126" s="15" t="n"/>
      <c r="J2126" s="26">
        <f>IF($A2126="","",LEN($C2126)-LEN(SUBSTITUTE($C2126,",",""))+1)</f>
        <v/>
      </c>
      <c r="K2126" s="26">
        <f>IF($A2126="","",SUMPRODUCT(--ISNUMBER(SEARCH('Category Dictionary'!$D$5:$D$135&amp;"",$C2126)),--('Category Dictionary'!$D$5:$D$135&lt;&gt;"")))</f>
        <v/>
      </c>
      <c r="L2126" s="27">
        <f>IF($A2126="","",TRIM(IF(ISERROR(FIND(",",$C2126)),$C2126,LEFT($C2126,FIND(",",$C2126)-1))))</f>
        <v/>
      </c>
      <c r="M2126" s="28">
        <f>IF($H2126="","",DATE(YEAR($H2126),MONTH($H2126),1))</f>
        <v/>
      </c>
      <c r="N2126" s="26">
        <f>IF($H2126="","",TODAY()-$H2126)</f>
        <v/>
      </c>
      <c r="O2126" s="15" t="n"/>
      <c r="P2126" s="15" t="n"/>
      <c r="Q2126" s="15" t="n"/>
      <c r="R2126" s="25" t="n"/>
      <c r="S2126" s="26">
        <f>IF($A2126="","",AND(OR('Assignment Builder'!$B$5="",$B2126='Assignment Builder'!$B$5),OR('Assignment Builder'!$B$6="",ISNUMBER(SEARCH('Assignment Builder'!$B$6,$C2126))),OR('Assignment Builder'!$B$7="",'Assignment Builder'!$B$7=IFERROR(INDEX('Category Dictionary'!$C$5:$C$135,MATCH($L2126,'Category Dictionary'!$D$5:$D$135,0)),"")),OR('Assignment Builder'!$B$8="",$D2126='Assignment Builder'!$B$8),OR('Assignment Builder'!$B$9="",$F2126='Assignment Builder'!$B$9),OR('Assignment Builder'!$B$10="",$O2126='Assignment Builder'!$B$10),OR('Assignment Builder'!$B$11="",$H2126&gt;='Assignment Builder'!$B$11),OR('Assignment Builder'!$B$12="",N($Q2126)&lt;='Assignment Builder'!$B$12)))</f>
        <v/>
      </c>
      <c r="T2126" s="23" t="n"/>
    </row>
    <row r="2127">
      <c r="A2127" s="23" t="n"/>
      <c r="B2127" s="23" t="n"/>
      <c r="C2127" s="24" t="n"/>
      <c r="D2127" s="15" t="n"/>
      <c r="E2127" s="23" t="n"/>
      <c r="F2127" s="15" t="n"/>
      <c r="G2127" s="23" t="n"/>
      <c r="H2127" s="25" t="n"/>
      <c r="I2127" s="15" t="n"/>
      <c r="J2127" s="26">
        <f>IF($A2127="","",LEN($C2127)-LEN(SUBSTITUTE($C2127,",",""))+1)</f>
        <v/>
      </c>
      <c r="K2127" s="26">
        <f>IF($A2127="","",SUMPRODUCT(--ISNUMBER(SEARCH('Category Dictionary'!$D$5:$D$135&amp;"",$C2127)),--('Category Dictionary'!$D$5:$D$135&lt;&gt;"")))</f>
        <v/>
      </c>
      <c r="L2127" s="27">
        <f>IF($A2127="","",TRIM(IF(ISERROR(FIND(",",$C2127)),$C2127,LEFT($C2127,FIND(",",$C2127)-1))))</f>
        <v/>
      </c>
      <c r="M2127" s="28">
        <f>IF($H2127="","",DATE(YEAR($H2127),MONTH($H2127),1))</f>
        <v/>
      </c>
      <c r="N2127" s="26">
        <f>IF($H2127="","",TODAY()-$H2127)</f>
        <v/>
      </c>
      <c r="O2127" s="15" t="n"/>
      <c r="P2127" s="15" t="n"/>
      <c r="Q2127" s="15" t="n"/>
      <c r="R2127" s="25" t="n"/>
      <c r="S2127" s="26">
        <f>IF($A2127="","",AND(OR('Assignment Builder'!$B$5="",$B2127='Assignment Builder'!$B$5),OR('Assignment Builder'!$B$6="",ISNUMBER(SEARCH('Assignment Builder'!$B$6,$C2127))),OR('Assignment Builder'!$B$7="",'Assignment Builder'!$B$7=IFERROR(INDEX('Category Dictionary'!$C$5:$C$135,MATCH($L2127,'Category Dictionary'!$D$5:$D$135,0)),"")),OR('Assignment Builder'!$B$8="",$D2127='Assignment Builder'!$B$8),OR('Assignment Builder'!$B$9="",$F2127='Assignment Builder'!$B$9),OR('Assignment Builder'!$B$10="",$O2127='Assignment Builder'!$B$10),OR('Assignment Builder'!$B$11="",$H2127&gt;='Assignment Builder'!$B$11),OR('Assignment Builder'!$B$12="",N($Q2127)&lt;='Assignment Builder'!$B$12)))</f>
        <v/>
      </c>
      <c r="T2127" s="23" t="n"/>
    </row>
    <row r="2128">
      <c r="A2128" s="23" t="n"/>
      <c r="B2128" s="23" t="n"/>
      <c r="C2128" s="24" t="n"/>
      <c r="D2128" s="15" t="n"/>
      <c r="E2128" s="23" t="n"/>
      <c r="F2128" s="15" t="n"/>
      <c r="G2128" s="23" t="n"/>
      <c r="H2128" s="25" t="n"/>
      <c r="I2128" s="15" t="n"/>
      <c r="J2128" s="26">
        <f>IF($A2128="","",LEN($C2128)-LEN(SUBSTITUTE($C2128,",",""))+1)</f>
        <v/>
      </c>
      <c r="K2128" s="26">
        <f>IF($A2128="","",SUMPRODUCT(--ISNUMBER(SEARCH('Category Dictionary'!$D$5:$D$135&amp;"",$C2128)),--('Category Dictionary'!$D$5:$D$135&lt;&gt;"")))</f>
        <v/>
      </c>
      <c r="L2128" s="27">
        <f>IF($A2128="","",TRIM(IF(ISERROR(FIND(",",$C2128)),$C2128,LEFT($C2128,FIND(",",$C2128)-1))))</f>
        <v/>
      </c>
      <c r="M2128" s="28">
        <f>IF($H2128="","",DATE(YEAR($H2128),MONTH($H2128),1))</f>
        <v/>
      </c>
      <c r="N2128" s="26">
        <f>IF($H2128="","",TODAY()-$H2128)</f>
        <v/>
      </c>
      <c r="O2128" s="15" t="n"/>
      <c r="P2128" s="15" t="n"/>
      <c r="Q2128" s="15" t="n"/>
      <c r="R2128" s="25" t="n"/>
      <c r="S2128" s="26">
        <f>IF($A2128="","",AND(OR('Assignment Builder'!$B$5="",$B2128='Assignment Builder'!$B$5),OR('Assignment Builder'!$B$6="",ISNUMBER(SEARCH('Assignment Builder'!$B$6,$C2128))),OR('Assignment Builder'!$B$7="",'Assignment Builder'!$B$7=IFERROR(INDEX('Category Dictionary'!$C$5:$C$135,MATCH($L2128,'Category Dictionary'!$D$5:$D$135,0)),"")),OR('Assignment Builder'!$B$8="",$D2128='Assignment Builder'!$B$8),OR('Assignment Builder'!$B$9="",$F2128='Assignment Builder'!$B$9),OR('Assignment Builder'!$B$10="",$O2128='Assignment Builder'!$B$10),OR('Assignment Builder'!$B$11="",$H2128&gt;='Assignment Builder'!$B$11),OR('Assignment Builder'!$B$12="",N($Q2128)&lt;='Assignment Builder'!$B$12)))</f>
        <v/>
      </c>
      <c r="T2128" s="23" t="n"/>
    </row>
    <row r="2129">
      <c r="A2129" s="23" t="n"/>
      <c r="B2129" s="23" t="n"/>
      <c r="C2129" s="24" t="n"/>
      <c r="D2129" s="15" t="n"/>
      <c r="E2129" s="23" t="n"/>
      <c r="F2129" s="15" t="n"/>
      <c r="G2129" s="23" t="n"/>
      <c r="H2129" s="25" t="n"/>
      <c r="I2129" s="15" t="n"/>
      <c r="J2129" s="26">
        <f>IF($A2129="","",LEN($C2129)-LEN(SUBSTITUTE($C2129,",",""))+1)</f>
        <v/>
      </c>
      <c r="K2129" s="26">
        <f>IF($A2129="","",SUMPRODUCT(--ISNUMBER(SEARCH('Category Dictionary'!$D$5:$D$135&amp;"",$C2129)),--('Category Dictionary'!$D$5:$D$135&lt;&gt;"")))</f>
        <v/>
      </c>
      <c r="L2129" s="27">
        <f>IF($A2129="","",TRIM(IF(ISERROR(FIND(",",$C2129)),$C2129,LEFT($C2129,FIND(",",$C2129)-1))))</f>
        <v/>
      </c>
      <c r="M2129" s="28">
        <f>IF($H2129="","",DATE(YEAR($H2129),MONTH($H2129),1))</f>
        <v/>
      </c>
      <c r="N2129" s="26">
        <f>IF($H2129="","",TODAY()-$H2129)</f>
        <v/>
      </c>
      <c r="O2129" s="15" t="n"/>
      <c r="P2129" s="15" t="n"/>
      <c r="Q2129" s="15" t="n"/>
      <c r="R2129" s="25" t="n"/>
      <c r="S2129" s="26">
        <f>IF($A2129="","",AND(OR('Assignment Builder'!$B$5="",$B2129='Assignment Builder'!$B$5),OR('Assignment Builder'!$B$6="",ISNUMBER(SEARCH('Assignment Builder'!$B$6,$C2129))),OR('Assignment Builder'!$B$7="",'Assignment Builder'!$B$7=IFERROR(INDEX('Category Dictionary'!$C$5:$C$135,MATCH($L2129,'Category Dictionary'!$D$5:$D$135,0)),"")),OR('Assignment Builder'!$B$8="",$D2129='Assignment Builder'!$B$8),OR('Assignment Builder'!$B$9="",$F2129='Assignment Builder'!$B$9),OR('Assignment Builder'!$B$10="",$O2129='Assignment Builder'!$B$10),OR('Assignment Builder'!$B$11="",$H2129&gt;='Assignment Builder'!$B$11),OR('Assignment Builder'!$B$12="",N($Q2129)&lt;='Assignment Builder'!$B$12)))</f>
        <v/>
      </c>
      <c r="T2129" s="23" t="n"/>
    </row>
    <row r="2130">
      <c r="A2130" s="23" t="n"/>
      <c r="B2130" s="23" t="n"/>
      <c r="C2130" s="24" t="n"/>
      <c r="D2130" s="15" t="n"/>
      <c r="E2130" s="23" t="n"/>
      <c r="F2130" s="15" t="n"/>
      <c r="G2130" s="23" t="n"/>
      <c r="H2130" s="25" t="n"/>
      <c r="I2130" s="15" t="n"/>
      <c r="J2130" s="26">
        <f>IF($A2130="","",LEN($C2130)-LEN(SUBSTITUTE($C2130,",",""))+1)</f>
        <v/>
      </c>
      <c r="K2130" s="26">
        <f>IF($A2130="","",SUMPRODUCT(--ISNUMBER(SEARCH('Category Dictionary'!$D$5:$D$135&amp;"",$C2130)),--('Category Dictionary'!$D$5:$D$135&lt;&gt;"")))</f>
        <v/>
      </c>
      <c r="L2130" s="27">
        <f>IF($A2130="","",TRIM(IF(ISERROR(FIND(",",$C2130)),$C2130,LEFT($C2130,FIND(",",$C2130)-1))))</f>
        <v/>
      </c>
      <c r="M2130" s="28">
        <f>IF($H2130="","",DATE(YEAR($H2130),MONTH($H2130),1))</f>
        <v/>
      </c>
      <c r="N2130" s="26">
        <f>IF($H2130="","",TODAY()-$H2130)</f>
        <v/>
      </c>
      <c r="O2130" s="15" t="n"/>
      <c r="P2130" s="15" t="n"/>
      <c r="Q2130" s="15" t="n"/>
      <c r="R2130" s="25" t="n"/>
      <c r="S2130" s="26">
        <f>IF($A2130="","",AND(OR('Assignment Builder'!$B$5="",$B2130='Assignment Builder'!$B$5),OR('Assignment Builder'!$B$6="",ISNUMBER(SEARCH('Assignment Builder'!$B$6,$C2130))),OR('Assignment Builder'!$B$7="",'Assignment Builder'!$B$7=IFERROR(INDEX('Category Dictionary'!$C$5:$C$135,MATCH($L2130,'Category Dictionary'!$D$5:$D$135,0)),"")),OR('Assignment Builder'!$B$8="",$D2130='Assignment Builder'!$B$8),OR('Assignment Builder'!$B$9="",$F2130='Assignment Builder'!$B$9),OR('Assignment Builder'!$B$10="",$O2130='Assignment Builder'!$B$10),OR('Assignment Builder'!$B$11="",$H2130&gt;='Assignment Builder'!$B$11),OR('Assignment Builder'!$B$12="",N($Q2130)&lt;='Assignment Builder'!$B$12)))</f>
        <v/>
      </c>
      <c r="T2130" s="23" t="n"/>
    </row>
    <row r="2131">
      <c r="A2131" s="23" t="n"/>
      <c r="B2131" s="23" t="n"/>
      <c r="C2131" s="24" t="n"/>
      <c r="D2131" s="15" t="n"/>
      <c r="E2131" s="23" t="n"/>
      <c r="F2131" s="15" t="n"/>
      <c r="G2131" s="23" t="n"/>
      <c r="H2131" s="25" t="n"/>
      <c r="I2131" s="15" t="n"/>
      <c r="J2131" s="26">
        <f>IF($A2131="","",LEN($C2131)-LEN(SUBSTITUTE($C2131,",",""))+1)</f>
        <v/>
      </c>
      <c r="K2131" s="26">
        <f>IF($A2131="","",SUMPRODUCT(--ISNUMBER(SEARCH('Category Dictionary'!$D$5:$D$135&amp;"",$C2131)),--('Category Dictionary'!$D$5:$D$135&lt;&gt;"")))</f>
        <v/>
      </c>
      <c r="L2131" s="27">
        <f>IF($A2131="","",TRIM(IF(ISERROR(FIND(",",$C2131)),$C2131,LEFT($C2131,FIND(",",$C2131)-1))))</f>
        <v/>
      </c>
      <c r="M2131" s="28">
        <f>IF($H2131="","",DATE(YEAR($H2131),MONTH($H2131),1))</f>
        <v/>
      </c>
      <c r="N2131" s="26">
        <f>IF($H2131="","",TODAY()-$H2131)</f>
        <v/>
      </c>
      <c r="O2131" s="15" t="n"/>
      <c r="P2131" s="15" t="n"/>
      <c r="Q2131" s="15" t="n"/>
      <c r="R2131" s="25" t="n"/>
      <c r="S2131" s="26">
        <f>IF($A2131="","",AND(OR('Assignment Builder'!$B$5="",$B2131='Assignment Builder'!$B$5),OR('Assignment Builder'!$B$6="",ISNUMBER(SEARCH('Assignment Builder'!$B$6,$C2131))),OR('Assignment Builder'!$B$7="",'Assignment Builder'!$B$7=IFERROR(INDEX('Category Dictionary'!$C$5:$C$135,MATCH($L2131,'Category Dictionary'!$D$5:$D$135,0)),"")),OR('Assignment Builder'!$B$8="",$D2131='Assignment Builder'!$B$8),OR('Assignment Builder'!$B$9="",$F2131='Assignment Builder'!$B$9),OR('Assignment Builder'!$B$10="",$O2131='Assignment Builder'!$B$10),OR('Assignment Builder'!$B$11="",$H2131&gt;='Assignment Builder'!$B$11),OR('Assignment Builder'!$B$12="",N($Q2131)&lt;='Assignment Builder'!$B$12)))</f>
        <v/>
      </c>
      <c r="T2131" s="23" t="n"/>
    </row>
    <row r="2132">
      <c r="A2132" s="23" t="n"/>
      <c r="B2132" s="23" t="n"/>
      <c r="C2132" s="24" t="n"/>
      <c r="D2132" s="15" t="n"/>
      <c r="E2132" s="23" t="n"/>
      <c r="F2132" s="15" t="n"/>
      <c r="G2132" s="23" t="n"/>
      <c r="H2132" s="25" t="n"/>
      <c r="I2132" s="15" t="n"/>
      <c r="J2132" s="26">
        <f>IF($A2132="","",LEN($C2132)-LEN(SUBSTITUTE($C2132,",",""))+1)</f>
        <v/>
      </c>
      <c r="K2132" s="26">
        <f>IF($A2132="","",SUMPRODUCT(--ISNUMBER(SEARCH('Category Dictionary'!$D$5:$D$135&amp;"",$C2132)),--('Category Dictionary'!$D$5:$D$135&lt;&gt;"")))</f>
        <v/>
      </c>
      <c r="L2132" s="27">
        <f>IF($A2132="","",TRIM(IF(ISERROR(FIND(",",$C2132)),$C2132,LEFT($C2132,FIND(",",$C2132)-1))))</f>
        <v/>
      </c>
      <c r="M2132" s="28">
        <f>IF($H2132="","",DATE(YEAR($H2132),MONTH($H2132),1))</f>
        <v/>
      </c>
      <c r="N2132" s="26">
        <f>IF($H2132="","",TODAY()-$H2132)</f>
        <v/>
      </c>
      <c r="O2132" s="15" t="n"/>
      <c r="P2132" s="15" t="n"/>
      <c r="Q2132" s="15" t="n"/>
      <c r="R2132" s="25" t="n"/>
      <c r="S2132" s="26">
        <f>IF($A2132="","",AND(OR('Assignment Builder'!$B$5="",$B2132='Assignment Builder'!$B$5),OR('Assignment Builder'!$B$6="",ISNUMBER(SEARCH('Assignment Builder'!$B$6,$C2132))),OR('Assignment Builder'!$B$7="",'Assignment Builder'!$B$7=IFERROR(INDEX('Category Dictionary'!$C$5:$C$135,MATCH($L2132,'Category Dictionary'!$D$5:$D$135,0)),"")),OR('Assignment Builder'!$B$8="",$D2132='Assignment Builder'!$B$8),OR('Assignment Builder'!$B$9="",$F2132='Assignment Builder'!$B$9),OR('Assignment Builder'!$B$10="",$O2132='Assignment Builder'!$B$10),OR('Assignment Builder'!$B$11="",$H2132&gt;='Assignment Builder'!$B$11),OR('Assignment Builder'!$B$12="",N($Q2132)&lt;='Assignment Builder'!$B$12)))</f>
        <v/>
      </c>
      <c r="T2132" s="23" t="n"/>
    </row>
    <row r="2133">
      <c r="A2133" s="23" t="n"/>
      <c r="B2133" s="23" t="n"/>
      <c r="C2133" s="24" t="n"/>
      <c r="D2133" s="15" t="n"/>
      <c r="E2133" s="23" t="n"/>
      <c r="F2133" s="15" t="n"/>
      <c r="G2133" s="23" t="n"/>
      <c r="H2133" s="25" t="n"/>
      <c r="I2133" s="15" t="n"/>
      <c r="J2133" s="26">
        <f>IF($A2133="","",LEN($C2133)-LEN(SUBSTITUTE($C2133,",",""))+1)</f>
        <v/>
      </c>
      <c r="K2133" s="26">
        <f>IF($A2133="","",SUMPRODUCT(--ISNUMBER(SEARCH('Category Dictionary'!$D$5:$D$135&amp;"",$C2133)),--('Category Dictionary'!$D$5:$D$135&lt;&gt;"")))</f>
        <v/>
      </c>
      <c r="L2133" s="27">
        <f>IF($A2133="","",TRIM(IF(ISERROR(FIND(",",$C2133)),$C2133,LEFT($C2133,FIND(",",$C2133)-1))))</f>
        <v/>
      </c>
      <c r="M2133" s="28">
        <f>IF($H2133="","",DATE(YEAR($H2133),MONTH($H2133),1))</f>
        <v/>
      </c>
      <c r="N2133" s="26">
        <f>IF($H2133="","",TODAY()-$H2133)</f>
        <v/>
      </c>
      <c r="O2133" s="15" t="n"/>
      <c r="P2133" s="15" t="n"/>
      <c r="Q2133" s="15" t="n"/>
      <c r="R2133" s="25" t="n"/>
      <c r="S2133" s="26">
        <f>IF($A2133="","",AND(OR('Assignment Builder'!$B$5="",$B2133='Assignment Builder'!$B$5),OR('Assignment Builder'!$B$6="",ISNUMBER(SEARCH('Assignment Builder'!$B$6,$C2133))),OR('Assignment Builder'!$B$7="",'Assignment Builder'!$B$7=IFERROR(INDEX('Category Dictionary'!$C$5:$C$135,MATCH($L2133,'Category Dictionary'!$D$5:$D$135,0)),"")),OR('Assignment Builder'!$B$8="",$D2133='Assignment Builder'!$B$8),OR('Assignment Builder'!$B$9="",$F2133='Assignment Builder'!$B$9),OR('Assignment Builder'!$B$10="",$O2133='Assignment Builder'!$B$10),OR('Assignment Builder'!$B$11="",$H2133&gt;='Assignment Builder'!$B$11),OR('Assignment Builder'!$B$12="",N($Q2133)&lt;='Assignment Builder'!$B$12)))</f>
        <v/>
      </c>
      <c r="T2133" s="23" t="n"/>
    </row>
    <row r="2134">
      <c r="A2134" s="23" t="n"/>
      <c r="B2134" s="23" t="n"/>
      <c r="C2134" s="24" t="n"/>
      <c r="D2134" s="15" t="n"/>
      <c r="E2134" s="23" t="n"/>
      <c r="F2134" s="15" t="n"/>
      <c r="G2134" s="23" t="n"/>
      <c r="H2134" s="25" t="n"/>
      <c r="I2134" s="15" t="n"/>
      <c r="J2134" s="26">
        <f>IF($A2134="","",LEN($C2134)-LEN(SUBSTITUTE($C2134,",",""))+1)</f>
        <v/>
      </c>
      <c r="K2134" s="26">
        <f>IF($A2134="","",SUMPRODUCT(--ISNUMBER(SEARCH('Category Dictionary'!$D$5:$D$135&amp;"",$C2134)),--('Category Dictionary'!$D$5:$D$135&lt;&gt;"")))</f>
        <v/>
      </c>
      <c r="L2134" s="27">
        <f>IF($A2134="","",TRIM(IF(ISERROR(FIND(",",$C2134)),$C2134,LEFT($C2134,FIND(",",$C2134)-1))))</f>
        <v/>
      </c>
      <c r="M2134" s="28">
        <f>IF($H2134="","",DATE(YEAR($H2134),MONTH($H2134),1))</f>
        <v/>
      </c>
      <c r="N2134" s="26">
        <f>IF($H2134="","",TODAY()-$H2134)</f>
        <v/>
      </c>
      <c r="O2134" s="15" t="n"/>
      <c r="P2134" s="15" t="n"/>
      <c r="Q2134" s="15" t="n"/>
      <c r="R2134" s="25" t="n"/>
      <c r="S2134" s="26">
        <f>IF($A2134="","",AND(OR('Assignment Builder'!$B$5="",$B2134='Assignment Builder'!$B$5),OR('Assignment Builder'!$B$6="",ISNUMBER(SEARCH('Assignment Builder'!$B$6,$C2134))),OR('Assignment Builder'!$B$7="",'Assignment Builder'!$B$7=IFERROR(INDEX('Category Dictionary'!$C$5:$C$135,MATCH($L2134,'Category Dictionary'!$D$5:$D$135,0)),"")),OR('Assignment Builder'!$B$8="",$D2134='Assignment Builder'!$B$8),OR('Assignment Builder'!$B$9="",$F2134='Assignment Builder'!$B$9),OR('Assignment Builder'!$B$10="",$O2134='Assignment Builder'!$B$10),OR('Assignment Builder'!$B$11="",$H2134&gt;='Assignment Builder'!$B$11),OR('Assignment Builder'!$B$12="",N($Q2134)&lt;='Assignment Builder'!$B$12)))</f>
        <v/>
      </c>
      <c r="T2134" s="23" t="n"/>
    </row>
    <row r="2135">
      <c r="A2135" s="23" t="n"/>
      <c r="B2135" s="23" t="n"/>
      <c r="C2135" s="24" t="n"/>
      <c r="D2135" s="15" t="n"/>
      <c r="E2135" s="23" t="n"/>
      <c r="F2135" s="15" t="n"/>
      <c r="G2135" s="23" t="n"/>
      <c r="H2135" s="25" t="n"/>
      <c r="I2135" s="15" t="n"/>
      <c r="J2135" s="26">
        <f>IF($A2135="","",LEN($C2135)-LEN(SUBSTITUTE($C2135,",",""))+1)</f>
        <v/>
      </c>
      <c r="K2135" s="26">
        <f>IF($A2135="","",SUMPRODUCT(--ISNUMBER(SEARCH('Category Dictionary'!$D$5:$D$135&amp;"",$C2135)),--('Category Dictionary'!$D$5:$D$135&lt;&gt;"")))</f>
        <v/>
      </c>
      <c r="L2135" s="27">
        <f>IF($A2135="","",TRIM(IF(ISERROR(FIND(",",$C2135)),$C2135,LEFT($C2135,FIND(",",$C2135)-1))))</f>
        <v/>
      </c>
      <c r="M2135" s="28">
        <f>IF($H2135="","",DATE(YEAR($H2135),MONTH($H2135),1))</f>
        <v/>
      </c>
      <c r="N2135" s="26">
        <f>IF($H2135="","",TODAY()-$H2135)</f>
        <v/>
      </c>
      <c r="O2135" s="15" t="n"/>
      <c r="P2135" s="15" t="n"/>
      <c r="Q2135" s="15" t="n"/>
      <c r="R2135" s="25" t="n"/>
      <c r="S2135" s="26">
        <f>IF($A2135="","",AND(OR('Assignment Builder'!$B$5="",$B2135='Assignment Builder'!$B$5),OR('Assignment Builder'!$B$6="",ISNUMBER(SEARCH('Assignment Builder'!$B$6,$C2135))),OR('Assignment Builder'!$B$7="",'Assignment Builder'!$B$7=IFERROR(INDEX('Category Dictionary'!$C$5:$C$135,MATCH($L2135,'Category Dictionary'!$D$5:$D$135,0)),"")),OR('Assignment Builder'!$B$8="",$D2135='Assignment Builder'!$B$8),OR('Assignment Builder'!$B$9="",$F2135='Assignment Builder'!$B$9),OR('Assignment Builder'!$B$10="",$O2135='Assignment Builder'!$B$10),OR('Assignment Builder'!$B$11="",$H2135&gt;='Assignment Builder'!$B$11),OR('Assignment Builder'!$B$12="",N($Q2135)&lt;='Assignment Builder'!$B$12)))</f>
        <v/>
      </c>
      <c r="T2135" s="23" t="n"/>
    </row>
    <row r="2136">
      <c r="A2136" s="23" t="n"/>
      <c r="B2136" s="23" t="n"/>
      <c r="C2136" s="24" t="n"/>
      <c r="D2136" s="15" t="n"/>
      <c r="E2136" s="23" t="n"/>
      <c r="F2136" s="15" t="n"/>
      <c r="G2136" s="23" t="n"/>
      <c r="H2136" s="25" t="n"/>
      <c r="I2136" s="15" t="n"/>
      <c r="J2136" s="26">
        <f>IF($A2136="","",LEN($C2136)-LEN(SUBSTITUTE($C2136,",",""))+1)</f>
        <v/>
      </c>
      <c r="K2136" s="26">
        <f>IF($A2136="","",SUMPRODUCT(--ISNUMBER(SEARCH('Category Dictionary'!$D$5:$D$135&amp;"",$C2136)),--('Category Dictionary'!$D$5:$D$135&lt;&gt;"")))</f>
        <v/>
      </c>
      <c r="L2136" s="27">
        <f>IF($A2136="","",TRIM(IF(ISERROR(FIND(",",$C2136)),$C2136,LEFT($C2136,FIND(",",$C2136)-1))))</f>
        <v/>
      </c>
      <c r="M2136" s="28">
        <f>IF($H2136="","",DATE(YEAR($H2136),MONTH($H2136),1))</f>
        <v/>
      </c>
      <c r="N2136" s="26">
        <f>IF($H2136="","",TODAY()-$H2136)</f>
        <v/>
      </c>
      <c r="O2136" s="15" t="n"/>
      <c r="P2136" s="15" t="n"/>
      <c r="Q2136" s="15" t="n"/>
      <c r="R2136" s="25" t="n"/>
      <c r="S2136" s="26">
        <f>IF($A2136="","",AND(OR('Assignment Builder'!$B$5="",$B2136='Assignment Builder'!$B$5),OR('Assignment Builder'!$B$6="",ISNUMBER(SEARCH('Assignment Builder'!$B$6,$C2136))),OR('Assignment Builder'!$B$7="",'Assignment Builder'!$B$7=IFERROR(INDEX('Category Dictionary'!$C$5:$C$135,MATCH($L2136,'Category Dictionary'!$D$5:$D$135,0)),"")),OR('Assignment Builder'!$B$8="",$D2136='Assignment Builder'!$B$8),OR('Assignment Builder'!$B$9="",$F2136='Assignment Builder'!$B$9),OR('Assignment Builder'!$B$10="",$O2136='Assignment Builder'!$B$10),OR('Assignment Builder'!$B$11="",$H2136&gt;='Assignment Builder'!$B$11),OR('Assignment Builder'!$B$12="",N($Q2136)&lt;='Assignment Builder'!$B$12)))</f>
        <v/>
      </c>
      <c r="T2136" s="23" t="n"/>
    </row>
    <row r="2137">
      <c r="A2137" s="23" t="n"/>
      <c r="B2137" s="23" t="n"/>
      <c r="C2137" s="24" t="n"/>
      <c r="D2137" s="15" t="n"/>
      <c r="E2137" s="23" t="n"/>
      <c r="F2137" s="15" t="n"/>
      <c r="G2137" s="23" t="n"/>
      <c r="H2137" s="25" t="n"/>
      <c r="I2137" s="15" t="n"/>
      <c r="J2137" s="26">
        <f>IF($A2137="","",LEN($C2137)-LEN(SUBSTITUTE($C2137,",",""))+1)</f>
        <v/>
      </c>
      <c r="K2137" s="26">
        <f>IF($A2137="","",SUMPRODUCT(--ISNUMBER(SEARCH('Category Dictionary'!$D$5:$D$135&amp;"",$C2137)),--('Category Dictionary'!$D$5:$D$135&lt;&gt;"")))</f>
        <v/>
      </c>
      <c r="L2137" s="27">
        <f>IF($A2137="","",TRIM(IF(ISERROR(FIND(",",$C2137)),$C2137,LEFT($C2137,FIND(",",$C2137)-1))))</f>
        <v/>
      </c>
      <c r="M2137" s="28">
        <f>IF($H2137="","",DATE(YEAR($H2137),MONTH($H2137),1))</f>
        <v/>
      </c>
      <c r="N2137" s="26">
        <f>IF($H2137="","",TODAY()-$H2137)</f>
        <v/>
      </c>
      <c r="O2137" s="15" t="n"/>
      <c r="P2137" s="15" t="n"/>
      <c r="Q2137" s="15" t="n"/>
      <c r="R2137" s="25" t="n"/>
      <c r="S2137" s="26">
        <f>IF($A2137="","",AND(OR('Assignment Builder'!$B$5="",$B2137='Assignment Builder'!$B$5),OR('Assignment Builder'!$B$6="",ISNUMBER(SEARCH('Assignment Builder'!$B$6,$C2137))),OR('Assignment Builder'!$B$7="",'Assignment Builder'!$B$7=IFERROR(INDEX('Category Dictionary'!$C$5:$C$135,MATCH($L2137,'Category Dictionary'!$D$5:$D$135,0)),"")),OR('Assignment Builder'!$B$8="",$D2137='Assignment Builder'!$B$8),OR('Assignment Builder'!$B$9="",$F2137='Assignment Builder'!$B$9),OR('Assignment Builder'!$B$10="",$O2137='Assignment Builder'!$B$10),OR('Assignment Builder'!$B$11="",$H2137&gt;='Assignment Builder'!$B$11),OR('Assignment Builder'!$B$12="",N($Q2137)&lt;='Assignment Builder'!$B$12)))</f>
        <v/>
      </c>
      <c r="T2137" s="23" t="n"/>
    </row>
    <row r="2138">
      <c r="A2138" s="23" t="n"/>
      <c r="B2138" s="23" t="n"/>
      <c r="C2138" s="24" t="n"/>
      <c r="D2138" s="15" t="n"/>
      <c r="E2138" s="23" t="n"/>
      <c r="F2138" s="15" t="n"/>
      <c r="G2138" s="23" t="n"/>
      <c r="H2138" s="25" t="n"/>
      <c r="I2138" s="15" t="n"/>
      <c r="J2138" s="26">
        <f>IF($A2138="","",LEN($C2138)-LEN(SUBSTITUTE($C2138,",",""))+1)</f>
        <v/>
      </c>
      <c r="K2138" s="26">
        <f>IF($A2138="","",SUMPRODUCT(--ISNUMBER(SEARCH('Category Dictionary'!$D$5:$D$135&amp;"",$C2138)),--('Category Dictionary'!$D$5:$D$135&lt;&gt;"")))</f>
        <v/>
      </c>
      <c r="L2138" s="27">
        <f>IF($A2138="","",TRIM(IF(ISERROR(FIND(",",$C2138)),$C2138,LEFT($C2138,FIND(",",$C2138)-1))))</f>
        <v/>
      </c>
      <c r="M2138" s="28">
        <f>IF($H2138="","",DATE(YEAR($H2138),MONTH($H2138),1))</f>
        <v/>
      </c>
      <c r="N2138" s="26">
        <f>IF($H2138="","",TODAY()-$H2138)</f>
        <v/>
      </c>
      <c r="O2138" s="15" t="n"/>
      <c r="P2138" s="15" t="n"/>
      <c r="Q2138" s="15" t="n"/>
      <c r="R2138" s="25" t="n"/>
      <c r="S2138" s="26">
        <f>IF($A2138="","",AND(OR('Assignment Builder'!$B$5="",$B2138='Assignment Builder'!$B$5),OR('Assignment Builder'!$B$6="",ISNUMBER(SEARCH('Assignment Builder'!$B$6,$C2138))),OR('Assignment Builder'!$B$7="",'Assignment Builder'!$B$7=IFERROR(INDEX('Category Dictionary'!$C$5:$C$135,MATCH($L2138,'Category Dictionary'!$D$5:$D$135,0)),"")),OR('Assignment Builder'!$B$8="",$D2138='Assignment Builder'!$B$8),OR('Assignment Builder'!$B$9="",$F2138='Assignment Builder'!$B$9),OR('Assignment Builder'!$B$10="",$O2138='Assignment Builder'!$B$10),OR('Assignment Builder'!$B$11="",$H2138&gt;='Assignment Builder'!$B$11),OR('Assignment Builder'!$B$12="",N($Q2138)&lt;='Assignment Builder'!$B$12)))</f>
        <v/>
      </c>
      <c r="T2138" s="23" t="n"/>
    </row>
    <row r="2139">
      <c r="A2139" s="23" t="n"/>
      <c r="B2139" s="23" t="n"/>
      <c r="C2139" s="24" t="n"/>
      <c r="D2139" s="15" t="n"/>
      <c r="E2139" s="23" t="n"/>
      <c r="F2139" s="15" t="n"/>
      <c r="G2139" s="23" t="n"/>
      <c r="H2139" s="25" t="n"/>
      <c r="I2139" s="15" t="n"/>
      <c r="J2139" s="26">
        <f>IF($A2139="","",LEN($C2139)-LEN(SUBSTITUTE($C2139,",",""))+1)</f>
        <v/>
      </c>
      <c r="K2139" s="26">
        <f>IF($A2139="","",SUMPRODUCT(--ISNUMBER(SEARCH('Category Dictionary'!$D$5:$D$135&amp;"",$C2139)),--('Category Dictionary'!$D$5:$D$135&lt;&gt;"")))</f>
        <v/>
      </c>
      <c r="L2139" s="27">
        <f>IF($A2139="","",TRIM(IF(ISERROR(FIND(",",$C2139)),$C2139,LEFT($C2139,FIND(",",$C2139)-1))))</f>
        <v/>
      </c>
      <c r="M2139" s="28">
        <f>IF($H2139="","",DATE(YEAR($H2139),MONTH($H2139),1))</f>
        <v/>
      </c>
      <c r="N2139" s="26">
        <f>IF($H2139="","",TODAY()-$H2139)</f>
        <v/>
      </c>
      <c r="O2139" s="15" t="n"/>
      <c r="P2139" s="15" t="n"/>
      <c r="Q2139" s="15" t="n"/>
      <c r="R2139" s="25" t="n"/>
      <c r="S2139" s="26">
        <f>IF($A2139="","",AND(OR('Assignment Builder'!$B$5="",$B2139='Assignment Builder'!$B$5),OR('Assignment Builder'!$B$6="",ISNUMBER(SEARCH('Assignment Builder'!$B$6,$C2139))),OR('Assignment Builder'!$B$7="",'Assignment Builder'!$B$7=IFERROR(INDEX('Category Dictionary'!$C$5:$C$135,MATCH($L2139,'Category Dictionary'!$D$5:$D$135,0)),"")),OR('Assignment Builder'!$B$8="",$D2139='Assignment Builder'!$B$8),OR('Assignment Builder'!$B$9="",$F2139='Assignment Builder'!$B$9),OR('Assignment Builder'!$B$10="",$O2139='Assignment Builder'!$B$10),OR('Assignment Builder'!$B$11="",$H2139&gt;='Assignment Builder'!$B$11),OR('Assignment Builder'!$B$12="",N($Q2139)&lt;='Assignment Builder'!$B$12)))</f>
        <v/>
      </c>
      <c r="T2139" s="23" t="n"/>
    </row>
    <row r="2140">
      <c r="A2140" s="23" t="n"/>
      <c r="B2140" s="23" t="n"/>
      <c r="C2140" s="24" t="n"/>
      <c r="D2140" s="15" t="n"/>
      <c r="E2140" s="23" t="n"/>
      <c r="F2140" s="15" t="n"/>
      <c r="G2140" s="23" t="n"/>
      <c r="H2140" s="25" t="n"/>
      <c r="I2140" s="15" t="n"/>
      <c r="J2140" s="26">
        <f>IF($A2140="","",LEN($C2140)-LEN(SUBSTITUTE($C2140,",",""))+1)</f>
        <v/>
      </c>
      <c r="K2140" s="26">
        <f>IF($A2140="","",SUMPRODUCT(--ISNUMBER(SEARCH('Category Dictionary'!$D$5:$D$135&amp;"",$C2140)),--('Category Dictionary'!$D$5:$D$135&lt;&gt;"")))</f>
        <v/>
      </c>
      <c r="L2140" s="27">
        <f>IF($A2140="","",TRIM(IF(ISERROR(FIND(",",$C2140)),$C2140,LEFT($C2140,FIND(",",$C2140)-1))))</f>
        <v/>
      </c>
      <c r="M2140" s="28">
        <f>IF($H2140="","",DATE(YEAR($H2140),MONTH($H2140),1))</f>
        <v/>
      </c>
      <c r="N2140" s="26">
        <f>IF($H2140="","",TODAY()-$H2140)</f>
        <v/>
      </c>
      <c r="O2140" s="15" t="n"/>
      <c r="P2140" s="15" t="n"/>
      <c r="Q2140" s="15" t="n"/>
      <c r="R2140" s="25" t="n"/>
      <c r="S2140" s="26">
        <f>IF($A2140="","",AND(OR('Assignment Builder'!$B$5="",$B2140='Assignment Builder'!$B$5),OR('Assignment Builder'!$B$6="",ISNUMBER(SEARCH('Assignment Builder'!$B$6,$C2140))),OR('Assignment Builder'!$B$7="",'Assignment Builder'!$B$7=IFERROR(INDEX('Category Dictionary'!$C$5:$C$135,MATCH($L2140,'Category Dictionary'!$D$5:$D$135,0)),"")),OR('Assignment Builder'!$B$8="",$D2140='Assignment Builder'!$B$8),OR('Assignment Builder'!$B$9="",$F2140='Assignment Builder'!$B$9),OR('Assignment Builder'!$B$10="",$O2140='Assignment Builder'!$B$10),OR('Assignment Builder'!$B$11="",$H2140&gt;='Assignment Builder'!$B$11),OR('Assignment Builder'!$B$12="",N($Q2140)&lt;='Assignment Builder'!$B$12)))</f>
        <v/>
      </c>
      <c r="T2140" s="23" t="n"/>
    </row>
    <row r="2141">
      <c r="A2141" s="23" t="n"/>
      <c r="B2141" s="23" t="n"/>
      <c r="C2141" s="24" t="n"/>
      <c r="D2141" s="15" t="n"/>
      <c r="E2141" s="23" t="n"/>
      <c r="F2141" s="15" t="n"/>
      <c r="G2141" s="23" t="n"/>
      <c r="H2141" s="25" t="n"/>
      <c r="I2141" s="15" t="n"/>
      <c r="J2141" s="26">
        <f>IF($A2141="","",LEN($C2141)-LEN(SUBSTITUTE($C2141,",",""))+1)</f>
        <v/>
      </c>
      <c r="K2141" s="26">
        <f>IF($A2141="","",SUMPRODUCT(--ISNUMBER(SEARCH('Category Dictionary'!$D$5:$D$135&amp;"",$C2141)),--('Category Dictionary'!$D$5:$D$135&lt;&gt;"")))</f>
        <v/>
      </c>
      <c r="L2141" s="27">
        <f>IF($A2141="","",TRIM(IF(ISERROR(FIND(",",$C2141)),$C2141,LEFT($C2141,FIND(",",$C2141)-1))))</f>
        <v/>
      </c>
      <c r="M2141" s="28">
        <f>IF($H2141="","",DATE(YEAR($H2141),MONTH($H2141),1))</f>
        <v/>
      </c>
      <c r="N2141" s="26">
        <f>IF($H2141="","",TODAY()-$H2141)</f>
        <v/>
      </c>
      <c r="O2141" s="15" t="n"/>
      <c r="P2141" s="15" t="n"/>
      <c r="Q2141" s="15" t="n"/>
      <c r="R2141" s="25" t="n"/>
      <c r="S2141" s="26">
        <f>IF($A2141="","",AND(OR('Assignment Builder'!$B$5="",$B2141='Assignment Builder'!$B$5),OR('Assignment Builder'!$B$6="",ISNUMBER(SEARCH('Assignment Builder'!$B$6,$C2141))),OR('Assignment Builder'!$B$7="",'Assignment Builder'!$B$7=IFERROR(INDEX('Category Dictionary'!$C$5:$C$135,MATCH($L2141,'Category Dictionary'!$D$5:$D$135,0)),"")),OR('Assignment Builder'!$B$8="",$D2141='Assignment Builder'!$B$8),OR('Assignment Builder'!$B$9="",$F2141='Assignment Builder'!$B$9),OR('Assignment Builder'!$B$10="",$O2141='Assignment Builder'!$B$10),OR('Assignment Builder'!$B$11="",$H2141&gt;='Assignment Builder'!$B$11),OR('Assignment Builder'!$B$12="",N($Q2141)&lt;='Assignment Builder'!$B$12)))</f>
        <v/>
      </c>
      <c r="T2141" s="23" t="n"/>
    </row>
    <row r="2142">
      <c r="A2142" s="23" t="n"/>
      <c r="B2142" s="23" t="n"/>
      <c r="C2142" s="24" t="n"/>
      <c r="D2142" s="15" t="n"/>
      <c r="E2142" s="23" t="n"/>
      <c r="F2142" s="15" t="n"/>
      <c r="G2142" s="23" t="n"/>
      <c r="H2142" s="25" t="n"/>
      <c r="I2142" s="15" t="n"/>
      <c r="J2142" s="26">
        <f>IF($A2142="","",LEN($C2142)-LEN(SUBSTITUTE($C2142,",",""))+1)</f>
        <v/>
      </c>
      <c r="K2142" s="26">
        <f>IF($A2142="","",SUMPRODUCT(--ISNUMBER(SEARCH('Category Dictionary'!$D$5:$D$135&amp;"",$C2142)),--('Category Dictionary'!$D$5:$D$135&lt;&gt;"")))</f>
        <v/>
      </c>
      <c r="L2142" s="27">
        <f>IF($A2142="","",TRIM(IF(ISERROR(FIND(",",$C2142)),$C2142,LEFT($C2142,FIND(",",$C2142)-1))))</f>
        <v/>
      </c>
      <c r="M2142" s="28">
        <f>IF($H2142="","",DATE(YEAR($H2142),MONTH($H2142),1))</f>
        <v/>
      </c>
      <c r="N2142" s="26">
        <f>IF($H2142="","",TODAY()-$H2142)</f>
        <v/>
      </c>
      <c r="O2142" s="15" t="n"/>
      <c r="P2142" s="15" t="n"/>
      <c r="Q2142" s="15" t="n"/>
      <c r="R2142" s="25" t="n"/>
      <c r="S2142" s="26">
        <f>IF($A2142="","",AND(OR('Assignment Builder'!$B$5="",$B2142='Assignment Builder'!$B$5),OR('Assignment Builder'!$B$6="",ISNUMBER(SEARCH('Assignment Builder'!$B$6,$C2142))),OR('Assignment Builder'!$B$7="",'Assignment Builder'!$B$7=IFERROR(INDEX('Category Dictionary'!$C$5:$C$135,MATCH($L2142,'Category Dictionary'!$D$5:$D$135,0)),"")),OR('Assignment Builder'!$B$8="",$D2142='Assignment Builder'!$B$8),OR('Assignment Builder'!$B$9="",$F2142='Assignment Builder'!$B$9),OR('Assignment Builder'!$B$10="",$O2142='Assignment Builder'!$B$10),OR('Assignment Builder'!$B$11="",$H2142&gt;='Assignment Builder'!$B$11),OR('Assignment Builder'!$B$12="",N($Q2142)&lt;='Assignment Builder'!$B$12)))</f>
        <v/>
      </c>
      <c r="T2142" s="23" t="n"/>
    </row>
    <row r="2143">
      <c r="A2143" s="23" t="n"/>
      <c r="B2143" s="23" t="n"/>
      <c r="C2143" s="24" t="n"/>
      <c r="D2143" s="15" t="n"/>
      <c r="E2143" s="23" t="n"/>
      <c r="F2143" s="15" t="n"/>
      <c r="G2143" s="23" t="n"/>
      <c r="H2143" s="25" t="n"/>
      <c r="I2143" s="15" t="n"/>
      <c r="J2143" s="26">
        <f>IF($A2143="","",LEN($C2143)-LEN(SUBSTITUTE($C2143,",",""))+1)</f>
        <v/>
      </c>
      <c r="K2143" s="26">
        <f>IF($A2143="","",SUMPRODUCT(--ISNUMBER(SEARCH('Category Dictionary'!$D$5:$D$135&amp;"",$C2143)),--('Category Dictionary'!$D$5:$D$135&lt;&gt;"")))</f>
        <v/>
      </c>
      <c r="L2143" s="27">
        <f>IF($A2143="","",TRIM(IF(ISERROR(FIND(",",$C2143)),$C2143,LEFT($C2143,FIND(",",$C2143)-1))))</f>
        <v/>
      </c>
      <c r="M2143" s="28">
        <f>IF($H2143="","",DATE(YEAR($H2143),MONTH($H2143),1))</f>
        <v/>
      </c>
      <c r="N2143" s="26">
        <f>IF($H2143="","",TODAY()-$H2143)</f>
        <v/>
      </c>
      <c r="O2143" s="15" t="n"/>
      <c r="P2143" s="15" t="n"/>
      <c r="Q2143" s="15" t="n"/>
      <c r="R2143" s="25" t="n"/>
      <c r="S2143" s="26">
        <f>IF($A2143="","",AND(OR('Assignment Builder'!$B$5="",$B2143='Assignment Builder'!$B$5),OR('Assignment Builder'!$B$6="",ISNUMBER(SEARCH('Assignment Builder'!$B$6,$C2143))),OR('Assignment Builder'!$B$7="",'Assignment Builder'!$B$7=IFERROR(INDEX('Category Dictionary'!$C$5:$C$135,MATCH($L2143,'Category Dictionary'!$D$5:$D$135,0)),"")),OR('Assignment Builder'!$B$8="",$D2143='Assignment Builder'!$B$8),OR('Assignment Builder'!$B$9="",$F2143='Assignment Builder'!$B$9),OR('Assignment Builder'!$B$10="",$O2143='Assignment Builder'!$B$10),OR('Assignment Builder'!$B$11="",$H2143&gt;='Assignment Builder'!$B$11),OR('Assignment Builder'!$B$12="",N($Q2143)&lt;='Assignment Builder'!$B$12)))</f>
        <v/>
      </c>
      <c r="T2143" s="23" t="n"/>
    </row>
    <row r="2144">
      <c r="A2144" s="23" t="n"/>
      <c r="B2144" s="23" t="n"/>
      <c r="C2144" s="24" t="n"/>
      <c r="D2144" s="15" t="n"/>
      <c r="E2144" s="23" t="n"/>
      <c r="F2144" s="15" t="n"/>
      <c r="G2144" s="23" t="n"/>
      <c r="H2144" s="25" t="n"/>
      <c r="I2144" s="15" t="n"/>
      <c r="J2144" s="26">
        <f>IF($A2144="","",LEN($C2144)-LEN(SUBSTITUTE($C2144,",",""))+1)</f>
        <v/>
      </c>
      <c r="K2144" s="26">
        <f>IF($A2144="","",SUMPRODUCT(--ISNUMBER(SEARCH('Category Dictionary'!$D$5:$D$135&amp;"",$C2144)),--('Category Dictionary'!$D$5:$D$135&lt;&gt;"")))</f>
        <v/>
      </c>
      <c r="L2144" s="27">
        <f>IF($A2144="","",TRIM(IF(ISERROR(FIND(",",$C2144)),$C2144,LEFT($C2144,FIND(",",$C2144)-1))))</f>
        <v/>
      </c>
      <c r="M2144" s="28">
        <f>IF($H2144="","",DATE(YEAR($H2144),MONTH($H2144),1))</f>
        <v/>
      </c>
      <c r="N2144" s="26">
        <f>IF($H2144="","",TODAY()-$H2144)</f>
        <v/>
      </c>
      <c r="O2144" s="15" t="n"/>
      <c r="P2144" s="15" t="n"/>
      <c r="Q2144" s="15" t="n"/>
      <c r="R2144" s="25" t="n"/>
      <c r="S2144" s="26">
        <f>IF($A2144="","",AND(OR('Assignment Builder'!$B$5="",$B2144='Assignment Builder'!$B$5),OR('Assignment Builder'!$B$6="",ISNUMBER(SEARCH('Assignment Builder'!$B$6,$C2144))),OR('Assignment Builder'!$B$7="",'Assignment Builder'!$B$7=IFERROR(INDEX('Category Dictionary'!$C$5:$C$135,MATCH($L2144,'Category Dictionary'!$D$5:$D$135,0)),"")),OR('Assignment Builder'!$B$8="",$D2144='Assignment Builder'!$B$8),OR('Assignment Builder'!$B$9="",$F2144='Assignment Builder'!$B$9),OR('Assignment Builder'!$B$10="",$O2144='Assignment Builder'!$B$10),OR('Assignment Builder'!$B$11="",$H2144&gt;='Assignment Builder'!$B$11),OR('Assignment Builder'!$B$12="",N($Q2144)&lt;='Assignment Builder'!$B$12)))</f>
        <v/>
      </c>
      <c r="T2144" s="23" t="n"/>
    </row>
    <row r="2145">
      <c r="A2145" s="23" t="n"/>
      <c r="B2145" s="23" t="n"/>
      <c r="C2145" s="24" t="n"/>
      <c r="D2145" s="15" t="n"/>
      <c r="E2145" s="23" t="n"/>
      <c r="F2145" s="15" t="n"/>
      <c r="G2145" s="23" t="n"/>
      <c r="H2145" s="25" t="n"/>
      <c r="I2145" s="15" t="n"/>
      <c r="J2145" s="26">
        <f>IF($A2145="","",LEN($C2145)-LEN(SUBSTITUTE($C2145,",",""))+1)</f>
        <v/>
      </c>
      <c r="K2145" s="26">
        <f>IF($A2145="","",SUMPRODUCT(--ISNUMBER(SEARCH('Category Dictionary'!$D$5:$D$135&amp;"",$C2145)),--('Category Dictionary'!$D$5:$D$135&lt;&gt;"")))</f>
        <v/>
      </c>
      <c r="L2145" s="27">
        <f>IF($A2145="","",TRIM(IF(ISERROR(FIND(",",$C2145)),$C2145,LEFT($C2145,FIND(",",$C2145)-1))))</f>
        <v/>
      </c>
      <c r="M2145" s="28">
        <f>IF($H2145="","",DATE(YEAR($H2145),MONTH($H2145),1))</f>
        <v/>
      </c>
      <c r="N2145" s="26">
        <f>IF($H2145="","",TODAY()-$H2145)</f>
        <v/>
      </c>
      <c r="O2145" s="15" t="n"/>
      <c r="P2145" s="15" t="n"/>
      <c r="Q2145" s="15" t="n"/>
      <c r="R2145" s="25" t="n"/>
      <c r="S2145" s="26">
        <f>IF($A2145="","",AND(OR('Assignment Builder'!$B$5="",$B2145='Assignment Builder'!$B$5),OR('Assignment Builder'!$B$6="",ISNUMBER(SEARCH('Assignment Builder'!$B$6,$C2145))),OR('Assignment Builder'!$B$7="",'Assignment Builder'!$B$7=IFERROR(INDEX('Category Dictionary'!$C$5:$C$135,MATCH($L2145,'Category Dictionary'!$D$5:$D$135,0)),"")),OR('Assignment Builder'!$B$8="",$D2145='Assignment Builder'!$B$8),OR('Assignment Builder'!$B$9="",$F2145='Assignment Builder'!$B$9),OR('Assignment Builder'!$B$10="",$O2145='Assignment Builder'!$B$10),OR('Assignment Builder'!$B$11="",$H2145&gt;='Assignment Builder'!$B$11),OR('Assignment Builder'!$B$12="",N($Q2145)&lt;='Assignment Builder'!$B$12)))</f>
        <v/>
      </c>
      <c r="T2145" s="23" t="n"/>
    </row>
    <row r="2146">
      <c r="A2146" s="23" t="n"/>
      <c r="B2146" s="23" t="n"/>
      <c r="C2146" s="24" t="n"/>
      <c r="D2146" s="15" t="n"/>
      <c r="E2146" s="23" t="n"/>
      <c r="F2146" s="15" t="n"/>
      <c r="G2146" s="23" t="n"/>
      <c r="H2146" s="25" t="n"/>
      <c r="I2146" s="15" t="n"/>
      <c r="J2146" s="26">
        <f>IF($A2146="","",LEN($C2146)-LEN(SUBSTITUTE($C2146,",",""))+1)</f>
        <v/>
      </c>
      <c r="K2146" s="26">
        <f>IF($A2146="","",SUMPRODUCT(--ISNUMBER(SEARCH('Category Dictionary'!$D$5:$D$135&amp;"",$C2146)),--('Category Dictionary'!$D$5:$D$135&lt;&gt;"")))</f>
        <v/>
      </c>
      <c r="L2146" s="27">
        <f>IF($A2146="","",TRIM(IF(ISERROR(FIND(",",$C2146)),$C2146,LEFT($C2146,FIND(",",$C2146)-1))))</f>
        <v/>
      </c>
      <c r="M2146" s="28">
        <f>IF($H2146="","",DATE(YEAR($H2146),MONTH($H2146),1))</f>
        <v/>
      </c>
      <c r="N2146" s="26">
        <f>IF($H2146="","",TODAY()-$H2146)</f>
        <v/>
      </c>
      <c r="O2146" s="15" t="n"/>
      <c r="P2146" s="15" t="n"/>
      <c r="Q2146" s="15" t="n"/>
      <c r="R2146" s="25" t="n"/>
      <c r="S2146" s="26">
        <f>IF($A2146="","",AND(OR('Assignment Builder'!$B$5="",$B2146='Assignment Builder'!$B$5),OR('Assignment Builder'!$B$6="",ISNUMBER(SEARCH('Assignment Builder'!$B$6,$C2146))),OR('Assignment Builder'!$B$7="",'Assignment Builder'!$B$7=IFERROR(INDEX('Category Dictionary'!$C$5:$C$135,MATCH($L2146,'Category Dictionary'!$D$5:$D$135,0)),"")),OR('Assignment Builder'!$B$8="",$D2146='Assignment Builder'!$B$8),OR('Assignment Builder'!$B$9="",$F2146='Assignment Builder'!$B$9),OR('Assignment Builder'!$B$10="",$O2146='Assignment Builder'!$B$10),OR('Assignment Builder'!$B$11="",$H2146&gt;='Assignment Builder'!$B$11),OR('Assignment Builder'!$B$12="",N($Q2146)&lt;='Assignment Builder'!$B$12)))</f>
        <v/>
      </c>
      <c r="T2146" s="23" t="n"/>
    </row>
    <row r="2147">
      <c r="A2147" s="23" t="n"/>
      <c r="B2147" s="23" t="n"/>
      <c r="C2147" s="24" t="n"/>
      <c r="D2147" s="15" t="n"/>
      <c r="E2147" s="23" t="n"/>
      <c r="F2147" s="15" t="n"/>
      <c r="G2147" s="23" t="n"/>
      <c r="H2147" s="25" t="n"/>
      <c r="I2147" s="15" t="n"/>
      <c r="J2147" s="26">
        <f>IF($A2147="","",LEN($C2147)-LEN(SUBSTITUTE($C2147,",",""))+1)</f>
        <v/>
      </c>
      <c r="K2147" s="26">
        <f>IF($A2147="","",SUMPRODUCT(--ISNUMBER(SEARCH('Category Dictionary'!$D$5:$D$135&amp;"",$C2147)),--('Category Dictionary'!$D$5:$D$135&lt;&gt;"")))</f>
        <v/>
      </c>
      <c r="L2147" s="27">
        <f>IF($A2147="","",TRIM(IF(ISERROR(FIND(",",$C2147)),$C2147,LEFT($C2147,FIND(",",$C2147)-1))))</f>
        <v/>
      </c>
      <c r="M2147" s="28">
        <f>IF($H2147="","",DATE(YEAR($H2147),MONTH($H2147),1))</f>
        <v/>
      </c>
      <c r="N2147" s="26">
        <f>IF($H2147="","",TODAY()-$H2147)</f>
        <v/>
      </c>
      <c r="O2147" s="15" t="n"/>
      <c r="P2147" s="15" t="n"/>
      <c r="Q2147" s="15" t="n"/>
      <c r="R2147" s="25" t="n"/>
      <c r="S2147" s="26">
        <f>IF($A2147="","",AND(OR('Assignment Builder'!$B$5="",$B2147='Assignment Builder'!$B$5),OR('Assignment Builder'!$B$6="",ISNUMBER(SEARCH('Assignment Builder'!$B$6,$C2147))),OR('Assignment Builder'!$B$7="",'Assignment Builder'!$B$7=IFERROR(INDEX('Category Dictionary'!$C$5:$C$135,MATCH($L2147,'Category Dictionary'!$D$5:$D$135,0)),"")),OR('Assignment Builder'!$B$8="",$D2147='Assignment Builder'!$B$8),OR('Assignment Builder'!$B$9="",$F2147='Assignment Builder'!$B$9),OR('Assignment Builder'!$B$10="",$O2147='Assignment Builder'!$B$10),OR('Assignment Builder'!$B$11="",$H2147&gt;='Assignment Builder'!$B$11),OR('Assignment Builder'!$B$12="",N($Q2147)&lt;='Assignment Builder'!$B$12)))</f>
        <v/>
      </c>
      <c r="T2147" s="23" t="n"/>
    </row>
    <row r="2148">
      <c r="A2148" s="23" t="n"/>
      <c r="B2148" s="23" t="n"/>
      <c r="C2148" s="24" t="n"/>
      <c r="D2148" s="15" t="n"/>
      <c r="E2148" s="23" t="n"/>
      <c r="F2148" s="15" t="n"/>
      <c r="G2148" s="23" t="n"/>
      <c r="H2148" s="25" t="n"/>
      <c r="I2148" s="15" t="n"/>
      <c r="J2148" s="26">
        <f>IF($A2148="","",LEN($C2148)-LEN(SUBSTITUTE($C2148,",",""))+1)</f>
        <v/>
      </c>
      <c r="K2148" s="26">
        <f>IF($A2148="","",SUMPRODUCT(--ISNUMBER(SEARCH('Category Dictionary'!$D$5:$D$135&amp;"",$C2148)),--('Category Dictionary'!$D$5:$D$135&lt;&gt;"")))</f>
        <v/>
      </c>
      <c r="L2148" s="27">
        <f>IF($A2148="","",TRIM(IF(ISERROR(FIND(",",$C2148)),$C2148,LEFT($C2148,FIND(",",$C2148)-1))))</f>
        <v/>
      </c>
      <c r="M2148" s="28">
        <f>IF($H2148="","",DATE(YEAR($H2148),MONTH($H2148),1))</f>
        <v/>
      </c>
      <c r="N2148" s="26">
        <f>IF($H2148="","",TODAY()-$H2148)</f>
        <v/>
      </c>
      <c r="O2148" s="15" t="n"/>
      <c r="P2148" s="15" t="n"/>
      <c r="Q2148" s="15" t="n"/>
      <c r="R2148" s="25" t="n"/>
      <c r="S2148" s="26">
        <f>IF($A2148="","",AND(OR('Assignment Builder'!$B$5="",$B2148='Assignment Builder'!$B$5),OR('Assignment Builder'!$B$6="",ISNUMBER(SEARCH('Assignment Builder'!$B$6,$C2148))),OR('Assignment Builder'!$B$7="",'Assignment Builder'!$B$7=IFERROR(INDEX('Category Dictionary'!$C$5:$C$135,MATCH($L2148,'Category Dictionary'!$D$5:$D$135,0)),"")),OR('Assignment Builder'!$B$8="",$D2148='Assignment Builder'!$B$8),OR('Assignment Builder'!$B$9="",$F2148='Assignment Builder'!$B$9),OR('Assignment Builder'!$B$10="",$O2148='Assignment Builder'!$B$10),OR('Assignment Builder'!$B$11="",$H2148&gt;='Assignment Builder'!$B$11),OR('Assignment Builder'!$B$12="",N($Q2148)&lt;='Assignment Builder'!$B$12)))</f>
        <v/>
      </c>
      <c r="T2148" s="23" t="n"/>
    </row>
    <row r="2149">
      <c r="A2149" s="23" t="n"/>
      <c r="B2149" s="23" t="n"/>
      <c r="C2149" s="24" t="n"/>
      <c r="D2149" s="15" t="n"/>
      <c r="E2149" s="23" t="n"/>
      <c r="F2149" s="15" t="n"/>
      <c r="G2149" s="23" t="n"/>
      <c r="H2149" s="25" t="n"/>
      <c r="I2149" s="15" t="n"/>
      <c r="J2149" s="26">
        <f>IF($A2149="","",LEN($C2149)-LEN(SUBSTITUTE($C2149,",",""))+1)</f>
        <v/>
      </c>
      <c r="K2149" s="26">
        <f>IF($A2149="","",SUMPRODUCT(--ISNUMBER(SEARCH('Category Dictionary'!$D$5:$D$135&amp;"",$C2149)),--('Category Dictionary'!$D$5:$D$135&lt;&gt;"")))</f>
        <v/>
      </c>
      <c r="L2149" s="27">
        <f>IF($A2149="","",TRIM(IF(ISERROR(FIND(",",$C2149)),$C2149,LEFT($C2149,FIND(",",$C2149)-1))))</f>
        <v/>
      </c>
      <c r="M2149" s="28">
        <f>IF($H2149="","",DATE(YEAR($H2149),MONTH($H2149),1))</f>
        <v/>
      </c>
      <c r="N2149" s="26">
        <f>IF($H2149="","",TODAY()-$H2149)</f>
        <v/>
      </c>
      <c r="O2149" s="15" t="n"/>
      <c r="P2149" s="15" t="n"/>
      <c r="Q2149" s="15" t="n"/>
      <c r="R2149" s="25" t="n"/>
      <c r="S2149" s="26">
        <f>IF($A2149="","",AND(OR('Assignment Builder'!$B$5="",$B2149='Assignment Builder'!$B$5),OR('Assignment Builder'!$B$6="",ISNUMBER(SEARCH('Assignment Builder'!$B$6,$C2149))),OR('Assignment Builder'!$B$7="",'Assignment Builder'!$B$7=IFERROR(INDEX('Category Dictionary'!$C$5:$C$135,MATCH($L2149,'Category Dictionary'!$D$5:$D$135,0)),"")),OR('Assignment Builder'!$B$8="",$D2149='Assignment Builder'!$B$8),OR('Assignment Builder'!$B$9="",$F2149='Assignment Builder'!$B$9),OR('Assignment Builder'!$B$10="",$O2149='Assignment Builder'!$B$10),OR('Assignment Builder'!$B$11="",$H2149&gt;='Assignment Builder'!$B$11),OR('Assignment Builder'!$B$12="",N($Q2149)&lt;='Assignment Builder'!$B$12)))</f>
        <v/>
      </c>
      <c r="T2149" s="23" t="n"/>
    </row>
    <row r="2150">
      <c r="A2150" s="23" t="n"/>
      <c r="B2150" s="23" t="n"/>
      <c r="C2150" s="24" t="n"/>
      <c r="D2150" s="15" t="n"/>
      <c r="E2150" s="23" t="n"/>
      <c r="F2150" s="15" t="n"/>
      <c r="G2150" s="23" t="n"/>
      <c r="H2150" s="25" t="n"/>
      <c r="I2150" s="15" t="n"/>
      <c r="J2150" s="26">
        <f>IF($A2150="","",LEN($C2150)-LEN(SUBSTITUTE($C2150,",",""))+1)</f>
        <v/>
      </c>
      <c r="K2150" s="26">
        <f>IF($A2150="","",SUMPRODUCT(--ISNUMBER(SEARCH('Category Dictionary'!$D$5:$D$135&amp;"",$C2150)),--('Category Dictionary'!$D$5:$D$135&lt;&gt;"")))</f>
        <v/>
      </c>
      <c r="L2150" s="27">
        <f>IF($A2150="","",TRIM(IF(ISERROR(FIND(",",$C2150)),$C2150,LEFT($C2150,FIND(",",$C2150)-1))))</f>
        <v/>
      </c>
      <c r="M2150" s="28">
        <f>IF($H2150="","",DATE(YEAR($H2150),MONTH($H2150),1))</f>
        <v/>
      </c>
      <c r="N2150" s="26">
        <f>IF($H2150="","",TODAY()-$H2150)</f>
        <v/>
      </c>
      <c r="O2150" s="15" t="n"/>
      <c r="P2150" s="15" t="n"/>
      <c r="Q2150" s="15" t="n"/>
      <c r="R2150" s="25" t="n"/>
      <c r="S2150" s="26">
        <f>IF($A2150="","",AND(OR('Assignment Builder'!$B$5="",$B2150='Assignment Builder'!$B$5),OR('Assignment Builder'!$B$6="",ISNUMBER(SEARCH('Assignment Builder'!$B$6,$C2150))),OR('Assignment Builder'!$B$7="",'Assignment Builder'!$B$7=IFERROR(INDEX('Category Dictionary'!$C$5:$C$135,MATCH($L2150,'Category Dictionary'!$D$5:$D$135,0)),"")),OR('Assignment Builder'!$B$8="",$D2150='Assignment Builder'!$B$8),OR('Assignment Builder'!$B$9="",$F2150='Assignment Builder'!$B$9),OR('Assignment Builder'!$B$10="",$O2150='Assignment Builder'!$B$10),OR('Assignment Builder'!$B$11="",$H2150&gt;='Assignment Builder'!$B$11),OR('Assignment Builder'!$B$12="",N($Q2150)&lt;='Assignment Builder'!$B$12)))</f>
        <v/>
      </c>
      <c r="T2150" s="23" t="n"/>
    </row>
    <row r="2151">
      <c r="A2151" s="23" t="n"/>
      <c r="B2151" s="23" t="n"/>
      <c r="C2151" s="24" t="n"/>
      <c r="D2151" s="15" t="n"/>
      <c r="E2151" s="23" t="n"/>
      <c r="F2151" s="15" t="n"/>
      <c r="G2151" s="23" t="n"/>
      <c r="H2151" s="25" t="n"/>
      <c r="I2151" s="15" t="n"/>
      <c r="J2151" s="26">
        <f>IF($A2151="","",LEN($C2151)-LEN(SUBSTITUTE($C2151,",",""))+1)</f>
        <v/>
      </c>
      <c r="K2151" s="26">
        <f>IF($A2151="","",SUMPRODUCT(--ISNUMBER(SEARCH('Category Dictionary'!$D$5:$D$135&amp;"",$C2151)),--('Category Dictionary'!$D$5:$D$135&lt;&gt;"")))</f>
        <v/>
      </c>
      <c r="L2151" s="27">
        <f>IF($A2151="","",TRIM(IF(ISERROR(FIND(",",$C2151)),$C2151,LEFT($C2151,FIND(",",$C2151)-1))))</f>
        <v/>
      </c>
      <c r="M2151" s="28">
        <f>IF($H2151="","",DATE(YEAR($H2151),MONTH($H2151),1))</f>
        <v/>
      </c>
      <c r="N2151" s="26">
        <f>IF($H2151="","",TODAY()-$H2151)</f>
        <v/>
      </c>
      <c r="O2151" s="15" t="n"/>
      <c r="P2151" s="15" t="n"/>
      <c r="Q2151" s="15" t="n"/>
      <c r="R2151" s="25" t="n"/>
      <c r="S2151" s="26">
        <f>IF($A2151="","",AND(OR('Assignment Builder'!$B$5="",$B2151='Assignment Builder'!$B$5),OR('Assignment Builder'!$B$6="",ISNUMBER(SEARCH('Assignment Builder'!$B$6,$C2151))),OR('Assignment Builder'!$B$7="",'Assignment Builder'!$B$7=IFERROR(INDEX('Category Dictionary'!$C$5:$C$135,MATCH($L2151,'Category Dictionary'!$D$5:$D$135,0)),"")),OR('Assignment Builder'!$B$8="",$D2151='Assignment Builder'!$B$8),OR('Assignment Builder'!$B$9="",$F2151='Assignment Builder'!$B$9),OR('Assignment Builder'!$B$10="",$O2151='Assignment Builder'!$B$10),OR('Assignment Builder'!$B$11="",$H2151&gt;='Assignment Builder'!$B$11),OR('Assignment Builder'!$B$12="",N($Q2151)&lt;='Assignment Builder'!$B$12)))</f>
        <v/>
      </c>
      <c r="T2151" s="23" t="n"/>
    </row>
    <row r="2152">
      <c r="A2152" s="23" t="n"/>
      <c r="B2152" s="23" t="n"/>
      <c r="C2152" s="24" t="n"/>
      <c r="D2152" s="15" t="n"/>
      <c r="E2152" s="23" t="n"/>
      <c r="F2152" s="15" t="n"/>
      <c r="G2152" s="23" t="n"/>
      <c r="H2152" s="25" t="n"/>
      <c r="I2152" s="15" t="n"/>
      <c r="J2152" s="26">
        <f>IF($A2152="","",LEN($C2152)-LEN(SUBSTITUTE($C2152,",",""))+1)</f>
        <v/>
      </c>
      <c r="K2152" s="26">
        <f>IF($A2152="","",SUMPRODUCT(--ISNUMBER(SEARCH('Category Dictionary'!$D$5:$D$135&amp;"",$C2152)),--('Category Dictionary'!$D$5:$D$135&lt;&gt;"")))</f>
        <v/>
      </c>
      <c r="L2152" s="27">
        <f>IF($A2152="","",TRIM(IF(ISERROR(FIND(",",$C2152)),$C2152,LEFT($C2152,FIND(",",$C2152)-1))))</f>
        <v/>
      </c>
      <c r="M2152" s="28">
        <f>IF($H2152="","",DATE(YEAR($H2152),MONTH($H2152),1))</f>
        <v/>
      </c>
      <c r="N2152" s="26">
        <f>IF($H2152="","",TODAY()-$H2152)</f>
        <v/>
      </c>
      <c r="O2152" s="15" t="n"/>
      <c r="P2152" s="15" t="n"/>
      <c r="Q2152" s="15" t="n"/>
      <c r="R2152" s="25" t="n"/>
      <c r="S2152" s="26">
        <f>IF($A2152="","",AND(OR('Assignment Builder'!$B$5="",$B2152='Assignment Builder'!$B$5),OR('Assignment Builder'!$B$6="",ISNUMBER(SEARCH('Assignment Builder'!$B$6,$C2152))),OR('Assignment Builder'!$B$7="",'Assignment Builder'!$B$7=IFERROR(INDEX('Category Dictionary'!$C$5:$C$135,MATCH($L2152,'Category Dictionary'!$D$5:$D$135,0)),"")),OR('Assignment Builder'!$B$8="",$D2152='Assignment Builder'!$B$8),OR('Assignment Builder'!$B$9="",$F2152='Assignment Builder'!$B$9),OR('Assignment Builder'!$B$10="",$O2152='Assignment Builder'!$B$10),OR('Assignment Builder'!$B$11="",$H2152&gt;='Assignment Builder'!$B$11),OR('Assignment Builder'!$B$12="",N($Q2152)&lt;='Assignment Builder'!$B$12)))</f>
        <v/>
      </c>
      <c r="T2152" s="23" t="n"/>
    </row>
    <row r="2153">
      <c r="A2153" s="23" t="n"/>
      <c r="B2153" s="23" t="n"/>
      <c r="C2153" s="24" t="n"/>
      <c r="D2153" s="15" t="n"/>
      <c r="E2153" s="23" t="n"/>
      <c r="F2153" s="15" t="n"/>
      <c r="G2153" s="23" t="n"/>
      <c r="H2153" s="25" t="n"/>
      <c r="I2153" s="15" t="n"/>
      <c r="J2153" s="26">
        <f>IF($A2153="","",LEN($C2153)-LEN(SUBSTITUTE($C2153,",",""))+1)</f>
        <v/>
      </c>
      <c r="K2153" s="26">
        <f>IF($A2153="","",SUMPRODUCT(--ISNUMBER(SEARCH('Category Dictionary'!$D$5:$D$135&amp;"",$C2153)),--('Category Dictionary'!$D$5:$D$135&lt;&gt;"")))</f>
        <v/>
      </c>
      <c r="L2153" s="27">
        <f>IF($A2153="","",TRIM(IF(ISERROR(FIND(",",$C2153)),$C2153,LEFT($C2153,FIND(",",$C2153)-1))))</f>
        <v/>
      </c>
      <c r="M2153" s="28">
        <f>IF($H2153="","",DATE(YEAR($H2153),MONTH($H2153),1))</f>
        <v/>
      </c>
      <c r="N2153" s="26">
        <f>IF($H2153="","",TODAY()-$H2153)</f>
        <v/>
      </c>
      <c r="O2153" s="15" t="n"/>
      <c r="P2153" s="15" t="n"/>
      <c r="Q2153" s="15" t="n"/>
      <c r="R2153" s="25" t="n"/>
      <c r="S2153" s="26">
        <f>IF($A2153="","",AND(OR('Assignment Builder'!$B$5="",$B2153='Assignment Builder'!$B$5),OR('Assignment Builder'!$B$6="",ISNUMBER(SEARCH('Assignment Builder'!$B$6,$C2153))),OR('Assignment Builder'!$B$7="",'Assignment Builder'!$B$7=IFERROR(INDEX('Category Dictionary'!$C$5:$C$135,MATCH($L2153,'Category Dictionary'!$D$5:$D$135,0)),"")),OR('Assignment Builder'!$B$8="",$D2153='Assignment Builder'!$B$8),OR('Assignment Builder'!$B$9="",$F2153='Assignment Builder'!$B$9),OR('Assignment Builder'!$B$10="",$O2153='Assignment Builder'!$B$10),OR('Assignment Builder'!$B$11="",$H2153&gt;='Assignment Builder'!$B$11),OR('Assignment Builder'!$B$12="",N($Q2153)&lt;='Assignment Builder'!$B$12)))</f>
        <v/>
      </c>
      <c r="T2153" s="23" t="n"/>
    </row>
    <row r="2154">
      <c r="A2154" s="23" t="n"/>
      <c r="B2154" s="23" t="n"/>
      <c r="C2154" s="24" t="n"/>
      <c r="D2154" s="15" t="n"/>
      <c r="E2154" s="23" t="n"/>
      <c r="F2154" s="15" t="n"/>
      <c r="G2154" s="23" t="n"/>
      <c r="H2154" s="25" t="n"/>
      <c r="I2154" s="15" t="n"/>
      <c r="J2154" s="26">
        <f>IF($A2154="","",LEN($C2154)-LEN(SUBSTITUTE($C2154,",",""))+1)</f>
        <v/>
      </c>
      <c r="K2154" s="26">
        <f>IF($A2154="","",SUMPRODUCT(--ISNUMBER(SEARCH('Category Dictionary'!$D$5:$D$135&amp;"",$C2154)),--('Category Dictionary'!$D$5:$D$135&lt;&gt;"")))</f>
        <v/>
      </c>
      <c r="L2154" s="27">
        <f>IF($A2154="","",TRIM(IF(ISERROR(FIND(",",$C2154)),$C2154,LEFT($C2154,FIND(",",$C2154)-1))))</f>
        <v/>
      </c>
      <c r="M2154" s="28">
        <f>IF($H2154="","",DATE(YEAR($H2154),MONTH($H2154),1))</f>
        <v/>
      </c>
      <c r="N2154" s="26">
        <f>IF($H2154="","",TODAY()-$H2154)</f>
        <v/>
      </c>
      <c r="O2154" s="15" t="n"/>
      <c r="P2154" s="15" t="n"/>
      <c r="Q2154" s="15" t="n"/>
      <c r="R2154" s="25" t="n"/>
      <c r="S2154" s="26">
        <f>IF($A2154="","",AND(OR('Assignment Builder'!$B$5="",$B2154='Assignment Builder'!$B$5),OR('Assignment Builder'!$B$6="",ISNUMBER(SEARCH('Assignment Builder'!$B$6,$C2154))),OR('Assignment Builder'!$B$7="",'Assignment Builder'!$B$7=IFERROR(INDEX('Category Dictionary'!$C$5:$C$135,MATCH($L2154,'Category Dictionary'!$D$5:$D$135,0)),"")),OR('Assignment Builder'!$B$8="",$D2154='Assignment Builder'!$B$8),OR('Assignment Builder'!$B$9="",$F2154='Assignment Builder'!$B$9),OR('Assignment Builder'!$B$10="",$O2154='Assignment Builder'!$B$10),OR('Assignment Builder'!$B$11="",$H2154&gt;='Assignment Builder'!$B$11),OR('Assignment Builder'!$B$12="",N($Q2154)&lt;='Assignment Builder'!$B$12)))</f>
        <v/>
      </c>
      <c r="T2154" s="23" t="n"/>
    </row>
    <row r="2155">
      <c r="A2155" s="23" t="n"/>
      <c r="B2155" s="23" t="n"/>
      <c r="C2155" s="24" t="n"/>
      <c r="D2155" s="15" t="n"/>
      <c r="E2155" s="23" t="n"/>
      <c r="F2155" s="15" t="n"/>
      <c r="G2155" s="23" t="n"/>
      <c r="H2155" s="25" t="n"/>
      <c r="I2155" s="15" t="n"/>
      <c r="J2155" s="26">
        <f>IF($A2155="","",LEN($C2155)-LEN(SUBSTITUTE($C2155,",",""))+1)</f>
        <v/>
      </c>
      <c r="K2155" s="26">
        <f>IF($A2155="","",SUMPRODUCT(--ISNUMBER(SEARCH('Category Dictionary'!$D$5:$D$135&amp;"",$C2155)),--('Category Dictionary'!$D$5:$D$135&lt;&gt;"")))</f>
        <v/>
      </c>
      <c r="L2155" s="27">
        <f>IF($A2155="","",TRIM(IF(ISERROR(FIND(",",$C2155)),$C2155,LEFT($C2155,FIND(",",$C2155)-1))))</f>
        <v/>
      </c>
      <c r="M2155" s="28">
        <f>IF($H2155="","",DATE(YEAR($H2155),MONTH($H2155),1))</f>
        <v/>
      </c>
      <c r="N2155" s="26">
        <f>IF($H2155="","",TODAY()-$H2155)</f>
        <v/>
      </c>
      <c r="O2155" s="15" t="n"/>
      <c r="P2155" s="15" t="n"/>
      <c r="Q2155" s="15" t="n"/>
      <c r="R2155" s="25" t="n"/>
      <c r="S2155" s="26">
        <f>IF($A2155="","",AND(OR('Assignment Builder'!$B$5="",$B2155='Assignment Builder'!$B$5),OR('Assignment Builder'!$B$6="",ISNUMBER(SEARCH('Assignment Builder'!$B$6,$C2155))),OR('Assignment Builder'!$B$7="",'Assignment Builder'!$B$7=IFERROR(INDEX('Category Dictionary'!$C$5:$C$135,MATCH($L2155,'Category Dictionary'!$D$5:$D$135,0)),"")),OR('Assignment Builder'!$B$8="",$D2155='Assignment Builder'!$B$8),OR('Assignment Builder'!$B$9="",$F2155='Assignment Builder'!$B$9),OR('Assignment Builder'!$B$10="",$O2155='Assignment Builder'!$B$10),OR('Assignment Builder'!$B$11="",$H2155&gt;='Assignment Builder'!$B$11),OR('Assignment Builder'!$B$12="",N($Q2155)&lt;='Assignment Builder'!$B$12)))</f>
        <v/>
      </c>
      <c r="T2155" s="23" t="n"/>
    </row>
    <row r="2156">
      <c r="A2156" s="23" t="n"/>
      <c r="B2156" s="23" t="n"/>
      <c r="C2156" s="24" t="n"/>
      <c r="D2156" s="15" t="n"/>
      <c r="E2156" s="23" t="n"/>
      <c r="F2156" s="15" t="n"/>
      <c r="G2156" s="23" t="n"/>
      <c r="H2156" s="25" t="n"/>
      <c r="I2156" s="15" t="n"/>
      <c r="J2156" s="26">
        <f>IF($A2156="","",LEN($C2156)-LEN(SUBSTITUTE($C2156,",",""))+1)</f>
        <v/>
      </c>
      <c r="K2156" s="26">
        <f>IF($A2156="","",SUMPRODUCT(--ISNUMBER(SEARCH('Category Dictionary'!$D$5:$D$135&amp;"",$C2156)),--('Category Dictionary'!$D$5:$D$135&lt;&gt;"")))</f>
        <v/>
      </c>
      <c r="L2156" s="27">
        <f>IF($A2156="","",TRIM(IF(ISERROR(FIND(",",$C2156)),$C2156,LEFT($C2156,FIND(",",$C2156)-1))))</f>
        <v/>
      </c>
      <c r="M2156" s="28">
        <f>IF($H2156="","",DATE(YEAR($H2156),MONTH($H2156),1))</f>
        <v/>
      </c>
      <c r="N2156" s="26">
        <f>IF($H2156="","",TODAY()-$H2156)</f>
        <v/>
      </c>
      <c r="O2156" s="15" t="n"/>
      <c r="P2156" s="15" t="n"/>
      <c r="Q2156" s="15" t="n"/>
      <c r="R2156" s="25" t="n"/>
      <c r="S2156" s="26">
        <f>IF($A2156="","",AND(OR('Assignment Builder'!$B$5="",$B2156='Assignment Builder'!$B$5),OR('Assignment Builder'!$B$6="",ISNUMBER(SEARCH('Assignment Builder'!$B$6,$C2156))),OR('Assignment Builder'!$B$7="",'Assignment Builder'!$B$7=IFERROR(INDEX('Category Dictionary'!$C$5:$C$135,MATCH($L2156,'Category Dictionary'!$D$5:$D$135,0)),"")),OR('Assignment Builder'!$B$8="",$D2156='Assignment Builder'!$B$8),OR('Assignment Builder'!$B$9="",$F2156='Assignment Builder'!$B$9),OR('Assignment Builder'!$B$10="",$O2156='Assignment Builder'!$B$10),OR('Assignment Builder'!$B$11="",$H2156&gt;='Assignment Builder'!$B$11),OR('Assignment Builder'!$B$12="",N($Q2156)&lt;='Assignment Builder'!$B$12)))</f>
        <v/>
      </c>
      <c r="T2156" s="23" t="n"/>
    </row>
    <row r="2157">
      <c r="A2157" s="23" t="n"/>
      <c r="B2157" s="23" t="n"/>
      <c r="C2157" s="24" t="n"/>
      <c r="D2157" s="15" t="n"/>
      <c r="E2157" s="23" t="n"/>
      <c r="F2157" s="15" t="n"/>
      <c r="G2157" s="23" t="n"/>
      <c r="H2157" s="25" t="n"/>
      <c r="I2157" s="15" t="n"/>
      <c r="J2157" s="26">
        <f>IF($A2157="","",LEN($C2157)-LEN(SUBSTITUTE($C2157,",",""))+1)</f>
        <v/>
      </c>
      <c r="K2157" s="26">
        <f>IF($A2157="","",SUMPRODUCT(--ISNUMBER(SEARCH('Category Dictionary'!$D$5:$D$135&amp;"",$C2157)),--('Category Dictionary'!$D$5:$D$135&lt;&gt;"")))</f>
        <v/>
      </c>
      <c r="L2157" s="27">
        <f>IF($A2157="","",TRIM(IF(ISERROR(FIND(",",$C2157)),$C2157,LEFT($C2157,FIND(",",$C2157)-1))))</f>
        <v/>
      </c>
      <c r="M2157" s="28">
        <f>IF($H2157="","",DATE(YEAR($H2157),MONTH($H2157),1))</f>
        <v/>
      </c>
      <c r="N2157" s="26">
        <f>IF($H2157="","",TODAY()-$H2157)</f>
        <v/>
      </c>
      <c r="O2157" s="15" t="n"/>
      <c r="P2157" s="15" t="n"/>
      <c r="Q2157" s="15" t="n"/>
      <c r="R2157" s="25" t="n"/>
      <c r="S2157" s="26">
        <f>IF($A2157="","",AND(OR('Assignment Builder'!$B$5="",$B2157='Assignment Builder'!$B$5),OR('Assignment Builder'!$B$6="",ISNUMBER(SEARCH('Assignment Builder'!$B$6,$C2157))),OR('Assignment Builder'!$B$7="",'Assignment Builder'!$B$7=IFERROR(INDEX('Category Dictionary'!$C$5:$C$135,MATCH($L2157,'Category Dictionary'!$D$5:$D$135,0)),"")),OR('Assignment Builder'!$B$8="",$D2157='Assignment Builder'!$B$8),OR('Assignment Builder'!$B$9="",$F2157='Assignment Builder'!$B$9),OR('Assignment Builder'!$B$10="",$O2157='Assignment Builder'!$B$10),OR('Assignment Builder'!$B$11="",$H2157&gt;='Assignment Builder'!$B$11),OR('Assignment Builder'!$B$12="",N($Q2157)&lt;='Assignment Builder'!$B$12)))</f>
        <v/>
      </c>
      <c r="T2157" s="23" t="n"/>
    </row>
    <row r="2158">
      <c r="A2158" s="23" t="n"/>
      <c r="B2158" s="23" t="n"/>
      <c r="C2158" s="24" t="n"/>
      <c r="D2158" s="15" t="n"/>
      <c r="E2158" s="23" t="n"/>
      <c r="F2158" s="15" t="n"/>
      <c r="G2158" s="23" t="n"/>
      <c r="H2158" s="25" t="n"/>
      <c r="I2158" s="15" t="n"/>
      <c r="J2158" s="26">
        <f>IF($A2158="","",LEN($C2158)-LEN(SUBSTITUTE($C2158,",",""))+1)</f>
        <v/>
      </c>
      <c r="K2158" s="26">
        <f>IF($A2158="","",SUMPRODUCT(--ISNUMBER(SEARCH('Category Dictionary'!$D$5:$D$135&amp;"",$C2158)),--('Category Dictionary'!$D$5:$D$135&lt;&gt;"")))</f>
        <v/>
      </c>
      <c r="L2158" s="27">
        <f>IF($A2158="","",TRIM(IF(ISERROR(FIND(",",$C2158)),$C2158,LEFT($C2158,FIND(",",$C2158)-1))))</f>
        <v/>
      </c>
      <c r="M2158" s="28">
        <f>IF($H2158="","",DATE(YEAR($H2158),MONTH($H2158),1))</f>
        <v/>
      </c>
      <c r="N2158" s="26">
        <f>IF($H2158="","",TODAY()-$H2158)</f>
        <v/>
      </c>
      <c r="O2158" s="15" t="n"/>
      <c r="P2158" s="15" t="n"/>
      <c r="Q2158" s="15" t="n"/>
      <c r="R2158" s="25" t="n"/>
      <c r="S2158" s="26">
        <f>IF($A2158="","",AND(OR('Assignment Builder'!$B$5="",$B2158='Assignment Builder'!$B$5),OR('Assignment Builder'!$B$6="",ISNUMBER(SEARCH('Assignment Builder'!$B$6,$C2158))),OR('Assignment Builder'!$B$7="",'Assignment Builder'!$B$7=IFERROR(INDEX('Category Dictionary'!$C$5:$C$135,MATCH($L2158,'Category Dictionary'!$D$5:$D$135,0)),"")),OR('Assignment Builder'!$B$8="",$D2158='Assignment Builder'!$B$8),OR('Assignment Builder'!$B$9="",$F2158='Assignment Builder'!$B$9),OR('Assignment Builder'!$B$10="",$O2158='Assignment Builder'!$B$10),OR('Assignment Builder'!$B$11="",$H2158&gt;='Assignment Builder'!$B$11),OR('Assignment Builder'!$B$12="",N($Q2158)&lt;='Assignment Builder'!$B$12)))</f>
        <v/>
      </c>
      <c r="T2158" s="23" t="n"/>
    </row>
    <row r="2159">
      <c r="A2159" s="23" t="n"/>
      <c r="B2159" s="23" t="n"/>
      <c r="C2159" s="24" t="n"/>
      <c r="D2159" s="15" t="n"/>
      <c r="E2159" s="23" t="n"/>
      <c r="F2159" s="15" t="n"/>
      <c r="G2159" s="23" t="n"/>
      <c r="H2159" s="25" t="n"/>
      <c r="I2159" s="15" t="n"/>
      <c r="J2159" s="26">
        <f>IF($A2159="","",LEN($C2159)-LEN(SUBSTITUTE($C2159,",",""))+1)</f>
        <v/>
      </c>
      <c r="K2159" s="26">
        <f>IF($A2159="","",SUMPRODUCT(--ISNUMBER(SEARCH('Category Dictionary'!$D$5:$D$135&amp;"",$C2159)),--('Category Dictionary'!$D$5:$D$135&lt;&gt;"")))</f>
        <v/>
      </c>
      <c r="L2159" s="27">
        <f>IF($A2159="","",TRIM(IF(ISERROR(FIND(",",$C2159)),$C2159,LEFT($C2159,FIND(",",$C2159)-1))))</f>
        <v/>
      </c>
      <c r="M2159" s="28">
        <f>IF($H2159="","",DATE(YEAR($H2159),MONTH($H2159),1))</f>
        <v/>
      </c>
      <c r="N2159" s="26">
        <f>IF($H2159="","",TODAY()-$H2159)</f>
        <v/>
      </c>
      <c r="O2159" s="15" t="n"/>
      <c r="P2159" s="15" t="n"/>
      <c r="Q2159" s="15" t="n"/>
      <c r="R2159" s="25" t="n"/>
      <c r="S2159" s="26">
        <f>IF($A2159="","",AND(OR('Assignment Builder'!$B$5="",$B2159='Assignment Builder'!$B$5),OR('Assignment Builder'!$B$6="",ISNUMBER(SEARCH('Assignment Builder'!$B$6,$C2159))),OR('Assignment Builder'!$B$7="",'Assignment Builder'!$B$7=IFERROR(INDEX('Category Dictionary'!$C$5:$C$135,MATCH($L2159,'Category Dictionary'!$D$5:$D$135,0)),"")),OR('Assignment Builder'!$B$8="",$D2159='Assignment Builder'!$B$8),OR('Assignment Builder'!$B$9="",$F2159='Assignment Builder'!$B$9),OR('Assignment Builder'!$B$10="",$O2159='Assignment Builder'!$B$10),OR('Assignment Builder'!$B$11="",$H2159&gt;='Assignment Builder'!$B$11),OR('Assignment Builder'!$B$12="",N($Q2159)&lt;='Assignment Builder'!$B$12)))</f>
        <v/>
      </c>
      <c r="T2159" s="23" t="n"/>
    </row>
    <row r="2160">
      <c r="A2160" s="23" t="n"/>
      <c r="B2160" s="23" t="n"/>
      <c r="C2160" s="24" t="n"/>
      <c r="D2160" s="15" t="n"/>
      <c r="E2160" s="23" t="n"/>
      <c r="F2160" s="15" t="n"/>
      <c r="G2160" s="23" t="n"/>
      <c r="H2160" s="25" t="n"/>
      <c r="I2160" s="15" t="n"/>
      <c r="J2160" s="26">
        <f>IF($A2160="","",LEN($C2160)-LEN(SUBSTITUTE($C2160,",",""))+1)</f>
        <v/>
      </c>
      <c r="K2160" s="26">
        <f>IF($A2160="","",SUMPRODUCT(--ISNUMBER(SEARCH('Category Dictionary'!$D$5:$D$135&amp;"",$C2160)),--('Category Dictionary'!$D$5:$D$135&lt;&gt;"")))</f>
        <v/>
      </c>
      <c r="L2160" s="27">
        <f>IF($A2160="","",TRIM(IF(ISERROR(FIND(",",$C2160)),$C2160,LEFT($C2160,FIND(",",$C2160)-1))))</f>
        <v/>
      </c>
      <c r="M2160" s="28">
        <f>IF($H2160="","",DATE(YEAR($H2160),MONTH($H2160),1))</f>
        <v/>
      </c>
      <c r="N2160" s="26">
        <f>IF($H2160="","",TODAY()-$H2160)</f>
        <v/>
      </c>
      <c r="O2160" s="15" t="n"/>
      <c r="P2160" s="15" t="n"/>
      <c r="Q2160" s="15" t="n"/>
      <c r="R2160" s="25" t="n"/>
      <c r="S2160" s="26">
        <f>IF($A2160="","",AND(OR('Assignment Builder'!$B$5="",$B2160='Assignment Builder'!$B$5),OR('Assignment Builder'!$B$6="",ISNUMBER(SEARCH('Assignment Builder'!$B$6,$C2160))),OR('Assignment Builder'!$B$7="",'Assignment Builder'!$B$7=IFERROR(INDEX('Category Dictionary'!$C$5:$C$135,MATCH($L2160,'Category Dictionary'!$D$5:$D$135,0)),"")),OR('Assignment Builder'!$B$8="",$D2160='Assignment Builder'!$B$8),OR('Assignment Builder'!$B$9="",$F2160='Assignment Builder'!$B$9),OR('Assignment Builder'!$B$10="",$O2160='Assignment Builder'!$B$10),OR('Assignment Builder'!$B$11="",$H2160&gt;='Assignment Builder'!$B$11),OR('Assignment Builder'!$B$12="",N($Q2160)&lt;='Assignment Builder'!$B$12)))</f>
        <v/>
      </c>
      <c r="T2160" s="23" t="n"/>
    </row>
    <row r="2161">
      <c r="A2161" s="23" t="n"/>
      <c r="B2161" s="23" t="n"/>
      <c r="C2161" s="24" t="n"/>
      <c r="D2161" s="15" t="n"/>
      <c r="E2161" s="23" t="n"/>
      <c r="F2161" s="15" t="n"/>
      <c r="G2161" s="23" t="n"/>
      <c r="H2161" s="25" t="n"/>
      <c r="I2161" s="15" t="n"/>
      <c r="J2161" s="26">
        <f>IF($A2161="","",LEN($C2161)-LEN(SUBSTITUTE($C2161,",",""))+1)</f>
        <v/>
      </c>
      <c r="K2161" s="26">
        <f>IF($A2161="","",SUMPRODUCT(--ISNUMBER(SEARCH('Category Dictionary'!$D$5:$D$135&amp;"",$C2161)),--('Category Dictionary'!$D$5:$D$135&lt;&gt;"")))</f>
        <v/>
      </c>
      <c r="L2161" s="27">
        <f>IF($A2161="","",TRIM(IF(ISERROR(FIND(",",$C2161)),$C2161,LEFT($C2161,FIND(",",$C2161)-1))))</f>
        <v/>
      </c>
      <c r="M2161" s="28">
        <f>IF($H2161="","",DATE(YEAR($H2161),MONTH($H2161),1))</f>
        <v/>
      </c>
      <c r="N2161" s="26">
        <f>IF($H2161="","",TODAY()-$H2161)</f>
        <v/>
      </c>
      <c r="O2161" s="15" t="n"/>
      <c r="P2161" s="15" t="n"/>
      <c r="Q2161" s="15" t="n"/>
      <c r="R2161" s="25" t="n"/>
      <c r="S2161" s="26">
        <f>IF($A2161="","",AND(OR('Assignment Builder'!$B$5="",$B2161='Assignment Builder'!$B$5),OR('Assignment Builder'!$B$6="",ISNUMBER(SEARCH('Assignment Builder'!$B$6,$C2161))),OR('Assignment Builder'!$B$7="",'Assignment Builder'!$B$7=IFERROR(INDEX('Category Dictionary'!$C$5:$C$135,MATCH($L2161,'Category Dictionary'!$D$5:$D$135,0)),"")),OR('Assignment Builder'!$B$8="",$D2161='Assignment Builder'!$B$8),OR('Assignment Builder'!$B$9="",$F2161='Assignment Builder'!$B$9),OR('Assignment Builder'!$B$10="",$O2161='Assignment Builder'!$B$10),OR('Assignment Builder'!$B$11="",$H2161&gt;='Assignment Builder'!$B$11),OR('Assignment Builder'!$B$12="",N($Q2161)&lt;='Assignment Builder'!$B$12)))</f>
        <v/>
      </c>
      <c r="T2161" s="23" t="n"/>
    </row>
    <row r="2162">
      <c r="A2162" s="23" t="n"/>
      <c r="B2162" s="23" t="n"/>
      <c r="C2162" s="24" t="n"/>
      <c r="D2162" s="15" t="n"/>
      <c r="E2162" s="23" t="n"/>
      <c r="F2162" s="15" t="n"/>
      <c r="G2162" s="23" t="n"/>
      <c r="H2162" s="25" t="n"/>
      <c r="I2162" s="15" t="n"/>
      <c r="J2162" s="26">
        <f>IF($A2162="","",LEN($C2162)-LEN(SUBSTITUTE($C2162,",",""))+1)</f>
        <v/>
      </c>
      <c r="K2162" s="26">
        <f>IF($A2162="","",SUMPRODUCT(--ISNUMBER(SEARCH('Category Dictionary'!$D$5:$D$135&amp;"",$C2162)),--('Category Dictionary'!$D$5:$D$135&lt;&gt;"")))</f>
        <v/>
      </c>
      <c r="L2162" s="27">
        <f>IF($A2162="","",TRIM(IF(ISERROR(FIND(",",$C2162)),$C2162,LEFT($C2162,FIND(",",$C2162)-1))))</f>
        <v/>
      </c>
      <c r="M2162" s="28">
        <f>IF($H2162="","",DATE(YEAR($H2162),MONTH($H2162),1))</f>
        <v/>
      </c>
      <c r="N2162" s="26">
        <f>IF($H2162="","",TODAY()-$H2162)</f>
        <v/>
      </c>
      <c r="O2162" s="15" t="n"/>
      <c r="P2162" s="15" t="n"/>
      <c r="Q2162" s="15" t="n"/>
      <c r="R2162" s="25" t="n"/>
      <c r="S2162" s="26">
        <f>IF($A2162="","",AND(OR('Assignment Builder'!$B$5="",$B2162='Assignment Builder'!$B$5),OR('Assignment Builder'!$B$6="",ISNUMBER(SEARCH('Assignment Builder'!$B$6,$C2162))),OR('Assignment Builder'!$B$7="",'Assignment Builder'!$B$7=IFERROR(INDEX('Category Dictionary'!$C$5:$C$135,MATCH($L2162,'Category Dictionary'!$D$5:$D$135,0)),"")),OR('Assignment Builder'!$B$8="",$D2162='Assignment Builder'!$B$8),OR('Assignment Builder'!$B$9="",$F2162='Assignment Builder'!$B$9),OR('Assignment Builder'!$B$10="",$O2162='Assignment Builder'!$B$10),OR('Assignment Builder'!$B$11="",$H2162&gt;='Assignment Builder'!$B$11),OR('Assignment Builder'!$B$12="",N($Q2162)&lt;='Assignment Builder'!$B$12)))</f>
        <v/>
      </c>
      <c r="T2162" s="23" t="n"/>
    </row>
    <row r="2163">
      <c r="A2163" s="23" t="n"/>
      <c r="B2163" s="23" t="n"/>
      <c r="C2163" s="24" t="n"/>
      <c r="D2163" s="15" t="n"/>
      <c r="E2163" s="23" t="n"/>
      <c r="F2163" s="15" t="n"/>
      <c r="G2163" s="23" t="n"/>
      <c r="H2163" s="25" t="n"/>
      <c r="I2163" s="15" t="n"/>
      <c r="J2163" s="26">
        <f>IF($A2163="","",LEN($C2163)-LEN(SUBSTITUTE($C2163,",",""))+1)</f>
        <v/>
      </c>
      <c r="K2163" s="26">
        <f>IF($A2163="","",SUMPRODUCT(--ISNUMBER(SEARCH('Category Dictionary'!$D$5:$D$135&amp;"",$C2163)),--('Category Dictionary'!$D$5:$D$135&lt;&gt;"")))</f>
        <v/>
      </c>
      <c r="L2163" s="27">
        <f>IF($A2163="","",TRIM(IF(ISERROR(FIND(",",$C2163)),$C2163,LEFT($C2163,FIND(",",$C2163)-1))))</f>
        <v/>
      </c>
      <c r="M2163" s="28">
        <f>IF($H2163="","",DATE(YEAR($H2163),MONTH($H2163),1))</f>
        <v/>
      </c>
      <c r="N2163" s="26">
        <f>IF($H2163="","",TODAY()-$H2163)</f>
        <v/>
      </c>
      <c r="O2163" s="15" t="n"/>
      <c r="P2163" s="15" t="n"/>
      <c r="Q2163" s="15" t="n"/>
      <c r="R2163" s="25" t="n"/>
      <c r="S2163" s="26">
        <f>IF($A2163="","",AND(OR('Assignment Builder'!$B$5="",$B2163='Assignment Builder'!$B$5),OR('Assignment Builder'!$B$6="",ISNUMBER(SEARCH('Assignment Builder'!$B$6,$C2163))),OR('Assignment Builder'!$B$7="",'Assignment Builder'!$B$7=IFERROR(INDEX('Category Dictionary'!$C$5:$C$135,MATCH($L2163,'Category Dictionary'!$D$5:$D$135,0)),"")),OR('Assignment Builder'!$B$8="",$D2163='Assignment Builder'!$B$8),OR('Assignment Builder'!$B$9="",$F2163='Assignment Builder'!$B$9),OR('Assignment Builder'!$B$10="",$O2163='Assignment Builder'!$B$10),OR('Assignment Builder'!$B$11="",$H2163&gt;='Assignment Builder'!$B$11),OR('Assignment Builder'!$B$12="",N($Q2163)&lt;='Assignment Builder'!$B$12)))</f>
        <v/>
      </c>
      <c r="T2163" s="23" t="n"/>
    </row>
    <row r="2164">
      <c r="A2164" s="23" t="n"/>
      <c r="B2164" s="23" t="n"/>
      <c r="C2164" s="24" t="n"/>
      <c r="D2164" s="15" t="n"/>
      <c r="E2164" s="23" t="n"/>
      <c r="F2164" s="15" t="n"/>
      <c r="G2164" s="23" t="n"/>
      <c r="H2164" s="25" t="n"/>
      <c r="I2164" s="15" t="n"/>
      <c r="J2164" s="26">
        <f>IF($A2164="","",LEN($C2164)-LEN(SUBSTITUTE($C2164,",",""))+1)</f>
        <v/>
      </c>
      <c r="K2164" s="26">
        <f>IF($A2164="","",SUMPRODUCT(--ISNUMBER(SEARCH('Category Dictionary'!$D$5:$D$135&amp;"",$C2164)),--('Category Dictionary'!$D$5:$D$135&lt;&gt;"")))</f>
        <v/>
      </c>
      <c r="L2164" s="27">
        <f>IF($A2164="","",TRIM(IF(ISERROR(FIND(",",$C2164)),$C2164,LEFT($C2164,FIND(",",$C2164)-1))))</f>
        <v/>
      </c>
      <c r="M2164" s="28">
        <f>IF($H2164="","",DATE(YEAR($H2164),MONTH($H2164),1))</f>
        <v/>
      </c>
      <c r="N2164" s="26">
        <f>IF($H2164="","",TODAY()-$H2164)</f>
        <v/>
      </c>
      <c r="O2164" s="15" t="n"/>
      <c r="P2164" s="15" t="n"/>
      <c r="Q2164" s="15" t="n"/>
      <c r="R2164" s="25" t="n"/>
      <c r="S2164" s="26">
        <f>IF($A2164="","",AND(OR('Assignment Builder'!$B$5="",$B2164='Assignment Builder'!$B$5),OR('Assignment Builder'!$B$6="",ISNUMBER(SEARCH('Assignment Builder'!$B$6,$C2164))),OR('Assignment Builder'!$B$7="",'Assignment Builder'!$B$7=IFERROR(INDEX('Category Dictionary'!$C$5:$C$135,MATCH($L2164,'Category Dictionary'!$D$5:$D$135,0)),"")),OR('Assignment Builder'!$B$8="",$D2164='Assignment Builder'!$B$8),OR('Assignment Builder'!$B$9="",$F2164='Assignment Builder'!$B$9),OR('Assignment Builder'!$B$10="",$O2164='Assignment Builder'!$B$10),OR('Assignment Builder'!$B$11="",$H2164&gt;='Assignment Builder'!$B$11),OR('Assignment Builder'!$B$12="",N($Q2164)&lt;='Assignment Builder'!$B$12)))</f>
        <v/>
      </c>
      <c r="T2164" s="23" t="n"/>
    </row>
    <row r="2165">
      <c r="A2165" s="23" t="n"/>
      <c r="B2165" s="23" t="n"/>
      <c r="C2165" s="24" t="n"/>
      <c r="D2165" s="15" t="n"/>
      <c r="E2165" s="23" t="n"/>
      <c r="F2165" s="15" t="n"/>
      <c r="G2165" s="23" t="n"/>
      <c r="H2165" s="25" t="n"/>
      <c r="I2165" s="15" t="n"/>
      <c r="J2165" s="26">
        <f>IF($A2165="","",LEN($C2165)-LEN(SUBSTITUTE($C2165,",",""))+1)</f>
        <v/>
      </c>
      <c r="K2165" s="26">
        <f>IF($A2165="","",SUMPRODUCT(--ISNUMBER(SEARCH('Category Dictionary'!$D$5:$D$135&amp;"",$C2165)),--('Category Dictionary'!$D$5:$D$135&lt;&gt;"")))</f>
        <v/>
      </c>
      <c r="L2165" s="27">
        <f>IF($A2165="","",TRIM(IF(ISERROR(FIND(",",$C2165)),$C2165,LEFT($C2165,FIND(",",$C2165)-1))))</f>
        <v/>
      </c>
      <c r="M2165" s="28">
        <f>IF($H2165="","",DATE(YEAR($H2165),MONTH($H2165),1))</f>
        <v/>
      </c>
      <c r="N2165" s="26">
        <f>IF($H2165="","",TODAY()-$H2165)</f>
        <v/>
      </c>
      <c r="O2165" s="15" t="n"/>
      <c r="P2165" s="15" t="n"/>
      <c r="Q2165" s="15" t="n"/>
      <c r="R2165" s="25" t="n"/>
      <c r="S2165" s="26">
        <f>IF($A2165="","",AND(OR('Assignment Builder'!$B$5="",$B2165='Assignment Builder'!$B$5),OR('Assignment Builder'!$B$6="",ISNUMBER(SEARCH('Assignment Builder'!$B$6,$C2165))),OR('Assignment Builder'!$B$7="",'Assignment Builder'!$B$7=IFERROR(INDEX('Category Dictionary'!$C$5:$C$135,MATCH($L2165,'Category Dictionary'!$D$5:$D$135,0)),"")),OR('Assignment Builder'!$B$8="",$D2165='Assignment Builder'!$B$8),OR('Assignment Builder'!$B$9="",$F2165='Assignment Builder'!$B$9),OR('Assignment Builder'!$B$10="",$O2165='Assignment Builder'!$B$10),OR('Assignment Builder'!$B$11="",$H2165&gt;='Assignment Builder'!$B$11),OR('Assignment Builder'!$B$12="",N($Q2165)&lt;='Assignment Builder'!$B$12)))</f>
        <v/>
      </c>
      <c r="T2165" s="23" t="n"/>
    </row>
    <row r="2166">
      <c r="A2166" s="23" t="n"/>
      <c r="B2166" s="23" t="n"/>
      <c r="C2166" s="24" t="n"/>
      <c r="D2166" s="15" t="n"/>
      <c r="E2166" s="23" t="n"/>
      <c r="F2166" s="15" t="n"/>
      <c r="G2166" s="23" t="n"/>
      <c r="H2166" s="25" t="n"/>
      <c r="I2166" s="15" t="n"/>
      <c r="J2166" s="26">
        <f>IF($A2166="","",LEN($C2166)-LEN(SUBSTITUTE($C2166,",",""))+1)</f>
        <v/>
      </c>
      <c r="K2166" s="26">
        <f>IF($A2166="","",SUMPRODUCT(--ISNUMBER(SEARCH('Category Dictionary'!$D$5:$D$135&amp;"",$C2166)),--('Category Dictionary'!$D$5:$D$135&lt;&gt;"")))</f>
        <v/>
      </c>
      <c r="L2166" s="27">
        <f>IF($A2166="","",TRIM(IF(ISERROR(FIND(",",$C2166)),$C2166,LEFT($C2166,FIND(",",$C2166)-1))))</f>
        <v/>
      </c>
      <c r="M2166" s="28">
        <f>IF($H2166="","",DATE(YEAR($H2166),MONTH($H2166),1))</f>
        <v/>
      </c>
      <c r="N2166" s="26">
        <f>IF($H2166="","",TODAY()-$H2166)</f>
        <v/>
      </c>
      <c r="O2166" s="15" t="n"/>
      <c r="P2166" s="15" t="n"/>
      <c r="Q2166" s="15" t="n"/>
      <c r="R2166" s="25" t="n"/>
      <c r="S2166" s="26">
        <f>IF($A2166="","",AND(OR('Assignment Builder'!$B$5="",$B2166='Assignment Builder'!$B$5),OR('Assignment Builder'!$B$6="",ISNUMBER(SEARCH('Assignment Builder'!$B$6,$C2166))),OR('Assignment Builder'!$B$7="",'Assignment Builder'!$B$7=IFERROR(INDEX('Category Dictionary'!$C$5:$C$135,MATCH($L2166,'Category Dictionary'!$D$5:$D$135,0)),"")),OR('Assignment Builder'!$B$8="",$D2166='Assignment Builder'!$B$8),OR('Assignment Builder'!$B$9="",$F2166='Assignment Builder'!$B$9),OR('Assignment Builder'!$B$10="",$O2166='Assignment Builder'!$B$10),OR('Assignment Builder'!$B$11="",$H2166&gt;='Assignment Builder'!$B$11),OR('Assignment Builder'!$B$12="",N($Q2166)&lt;='Assignment Builder'!$B$12)))</f>
        <v/>
      </c>
      <c r="T2166" s="23" t="n"/>
    </row>
    <row r="2167">
      <c r="A2167" s="23" t="n"/>
      <c r="B2167" s="23" t="n"/>
      <c r="C2167" s="24" t="n"/>
      <c r="D2167" s="15" t="n"/>
      <c r="E2167" s="23" t="n"/>
      <c r="F2167" s="15" t="n"/>
      <c r="G2167" s="23" t="n"/>
      <c r="H2167" s="25" t="n"/>
      <c r="I2167" s="15" t="n"/>
      <c r="J2167" s="26">
        <f>IF($A2167="","",LEN($C2167)-LEN(SUBSTITUTE($C2167,",",""))+1)</f>
        <v/>
      </c>
      <c r="K2167" s="26">
        <f>IF($A2167="","",SUMPRODUCT(--ISNUMBER(SEARCH('Category Dictionary'!$D$5:$D$135&amp;"",$C2167)),--('Category Dictionary'!$D$5:$D$135&lt;&gt;"")))</f>
        <v/>
      </c>
      <c r="L2167" s="27">
        <f>IF($A2167="","",TRIM(IF(ISERROR(FIND(",",$C2167)),$C2167,LEFT($C2167,FIND(",",$C2167)-1))))</f>
        <v/>
      </c>
      <c r="M2167" s="28">
        <f>IF($H2167="","",DATE(YEAR($H2167),MONTH($H2167),1))</f>
        <v/>
      </c>
      <c r="N2167" s="26">
        <f>IF($H2167="","",TODAY()-$H2167)</f>
        <v/>
      </c>
      <c r="O2167" s="15" t="n"/>
      <c r="P2167" s="15" t="n"/>
      <c r="Q2167" s="15" t="n"/>
      <c r="R2167" s="25" t="n"/>
      <c r="S2167" s="26">
        <f>IF($A2167="","",AND(OR('Assignment Builder'!$B$5="",$B2167='Assignment Builder'!$B$5),OR('Assignment Builder'!$B$6="",ISNUMBER(SEARCH('Assignment Builder'!$B$6,$C2167))),OR('Assignment Builder'!$B$7="",'Assignment Builder'!$B$7=IFERROR(INDEX('Category Dictionary'!$C$5:$C$135,MATCH($L2167,'Category Dictionary'!$D$5:$D$135,0)),"")),OR('Assignment Builder'!$B$8="",$D2167='Assignment Builder'!$B$8),OR('Assignment Builder'!$B$9="",$F2167='Assignment Builder'!$B$9),OR('Assignment Builder'!$B$10="",$O2167='Assignment Builder'!$B$10),OR('Assignment Builder'!$B$11="",$H2167&gt;='Assignment Builder'!$B$11),OR('Assignment Builder'!$B$12="",N($Q2167)&lt;='Assignment Builder'!$B$12)))</f>
        <v/>
      </c>
      <c r="T2167" s="23" t="n"/>
    </row>
    <row r="2168">
      <c r="A2168" s="23" t="n"/>
      <c r="B2168" s="23" t="n"/>
      <c r="C2168" s="24" t="n"/>
      <c r="D2168" s="15" t="n"/>
      <c r="E2168" s="23" t="n"/>
      <c r="F2168" s="15" t="n"/>
      <c r="G2168" s="23" t="n"/>
      <c r="H2168" s="25" t="n"/>
      <c r="I2168" s="15" t="n"/>
      <c r="J2168" s="26">
        <f>IF($A2168="","",LEN($C2168)-LEN(SUBSTITUTE($C2168,",",""))+1)</f>
        <v/>
      </c>
      <c r="K2168" s="26">
        <f>IF($A2168="","",SUMPRODUCT(--ISNUMBER(SEARCH('Category Dictionary'!$D$5:$D$135&amp;"",$C2168)),--('Category Dictionary'!$D$5:$D$135&lt;&gt;"")))</f>
        <v/>
      </c>
      <c r="L2168" s="27">
        <f>IF($A2168="","",TRIM(IF(ISERROR(FIND(",",$C2168)),$C2168,LEFT($C2168,FIND(",",$C2168)-1))))</f>
        <v/>
      </c>
      <c r="M2168" s="28">
        <f>IF($H2168="","",DATE(YEAR($H2168),MONTH($H2168),1))</f>
        <v/>
      </c>
      <c r="N2168" s="26">
        <f>IF($H2168="","",TODAY()-$H2168)</f>
        <v/>
      </c>
      <c r="O2168" s="15" t="n"/>
      <c r="P2168" s="15" t="n"/>
      <c r="Q2168" s="15" t="n"/>
      <c r="R2168" s="25" t="n"/>
      <c r="S2168" s="26">
        <f>IF($A2168="","",AND(OR('Assignment Builder'!$B$5="",$B2168='Assignment Builder'!$B$5),OR('Assignment Builder'!$B$6="",ISNUMBER(SEARCH('Assignment Builder'!$B$6,$C2168))),OR('Assignment Builder'!$B$7="",'Assignment Builder'!$B$7=IFERROR(INDEX('Category Dictionary'!$C$5:$C$135,MATCH($L2168,'Category Dictionary'!$D$5:$D$135,0)),"")),OR('Assignment Builder'!$B$8="",$D2168='Assignment Builder'!$B$8),OR('Assignment Builder'!$B$9="",$F2168='Assignment Builder'!$B$9),OR('Assignment Builder'!$B$10="",$O2168='Assignment Builder'!$B$10),OR('Assignment Builder'!$B$11="",$H2168&gt;='Assignment Builder'!$B$11),OR('Assignment Builder'!$B$12="",N($Q2168)&lt;='Assignment Builder'!$B$12)))</f>
        <v/>
      </c>
      <c r="T2168" s="23" t="n"/>
    </row>
    <row r="2169">
      <c r="A2169" s="23" t="n"/>
      <c r="B2169" s="23" t="n"/>
      <c r="C2169" s="24" t="n"/>
      <c r="D2169" s="15" t="n"/>
      <c r="E2169" s="23" t="n"/>
      <c r="F2169" s="15" t="n"/>
      <c r="G2169" s="23" t="n"/>
      <c r="H2169" s="25" t="n"/>
      <c r="I2169" s="15" t="n"/>
      <c r="J2169" s="26">
        <f>IF($A2169="","",LEN($C2169)-LEN(SUBSTITUTE($C2169,",",""))+1)</f>
        <v/>
      </c>
      <c r="K2169" s="26">
        <f>IF($A2169="","",SUMPRODUCT(--ISNUMBER(SEARCH('Category Dictionary'!$D$5:$D$135&amp;"",$C2169)),--('Category Dictionary'!$D$5:$D$135&lt;&gt;"")))</f>
        <v/>
      </c>
      <c r="L2169" s="27">
        <f>IF($A2169="","",TRIM(IF(ISERROR(FIND(",",$C2169)),$C2169,LEFT($C2169,FIND(",",$C2169)-1))))</f>
        <v/>
      </c>
      <c r="M2169" s="28">
        <f>IF($H2169="","",DATE(YEAR($H2169),MONTH($H2169),1))</f>
        <v/>
      </c>
      <c r="N2169" s="26">
        <f>IF($H2169="","",TODAY()-$H2169)</f>
        <v/>
      </c>
      <c r="O2169" s="15" t="n"/>
      <c r="P2169" s="15" t="n"/>
      <c r="Q2169" s="15" t="n"/>
      <c r="R2169" s="25" t="n"/>
      <c r="S2169" s="26">
        <f>IF($A2169="","",AND(OR('Assignment Builder'!$B$5="",$B2169='Assignment Builder'!$B$5),OR('Assignment Builder'!$B$6="",ISNUMBER(SEARCH('Assignment Builder'!$B$6,$C2169))),OR('Assignment Builder'!$B$7="",'Assignment Builder'!$B$7=IFERROR(INDEX('Category Dictionary'!$C$5:$C$135,MATCH($L2169,'Category Dictionary'!$D$5:$D$135,0)),"")),OR('Assignment Builder'!$B$8="",$D2169='Assignment Builder'!$B$8),OR('Assignment Builder'!$B$9="",$F2169='Assignment Builder'!$B$9),OR('Assignment Builder'!$B$10="",$O2169='Assignment Builder'!$B$10),OR('Assignment Builder'!$B$11="",$H2169&gt;='Assignment Builder'!$B$11),OR('Assignment Builder'!$B$12="",N($Q2169)&lt;='Assignment Builder'!$B$12)))</f>
        <v/>
      </c>
      <c r="T2169" s="23" t="n"/>
    </row>
    <row r="2170">
      <c r="A2170" s="23" t="n"/>
      <c r="B2170" s="23" t="n"/>
      <c r="C2170" s="24" t="n"/>
      <c r="D2170" s="15" t="n"/>
      <c r="E2170" s="23" t="n"/>
      <c r="F2170" s="15" t="n"/>
      <c r="G2170" s="23" t="n"/>
      <c r="H2170" s="25" t="n"/>
      <c r="I2170" s="15" t="n"/>
      <c r="J2170" s="26">
        <f>IF($A2170="","",LEN($C2170)-LEN(SUBSTITUTE($C2170,",",""))+1)</f>
        <v/>
      </c>
      <c r="K2170" s="26">
        <f>IF($A2170="","",SUMPRODUCT(--ISNUMBER(SEARCH('Category Dictionary'!$D$5:$D$135&amp;"",$C2170)),--('Category Dictionary'!$D$5:$D$135&lt;&gt;"")))</f>
        <v/>
      </c>
      <c r="L2170" s="27">
        <f>IF($A2170="","",TRIM(IF(ISERROR(FIND(",",$C2170)),$C2170,LEFT($C2170,FIND(",",$C2170)-1))))</f>
        <v/>
      </c>
      <c r="M2170" s="28">
        <f>IF($H2170="","",DATE(YEAR($H2170),MONTH($H2170),1))</f>
        <v/>
      </c>
      <c r="N2170" s="26">
        <f>IF($H2170="","",TODAY()-$H2170)</f>
        <v/>
      </c>
      <c r="O2170" s="15" t="n"/>
      <c r="P2170" s="15" t="n"/>
      <c r="Q2170" s="15" t="n"/>
      <c r="R2170" s="25" t="n"/>
      <c r="S2170" s="26">
        <f>IF($A2170="","",AND(OR('Assignment Builder'!$B$5="",$B2170='Assignment Builder'!$B$5),OR('Assignment Builder'!$B$6="",ISNUMBER(SEARCH('Assignment Builder'!$B$6,$C2170))),OR('Assignment Builder'!$B$7="",'Assignment Builder'!$B$7=IFERROR(INDEX('Category Dictionary'!$C$5:$C$135,MATCH($L2170,'Category Dictionary'!$D$5:$D$135,0)),"")),OR('Assignment Builder'!$B$8="",$D2170='Assignment Builder'!$B$8),OR('Assignment Builder'!$B$9="",$F2170='Assignment Builder'!$B$9),OR('Assignment Builder'!$B$10="",$O2170='Assignment Builder'!$B$10),OR('Assignment Builder'!$B$11="",$H2170&gt;='Assignment Builder'!$B$11),OR('Assignment Builder'!$B$12="",N($Q2170)&lt;='Assignment Builder'!$B$12)))</f>
        <v/>
      </c>
      <c r="T2170" s="23" t="n"/>
    </row>
    <row r="2171">
      <c r="A2171" s="23" t="n"/>
      <c r="B2171" s="23" t="n"/>
      <c r="C2171" s="24" t="n"/>
      <c r="D2171" s="15" t="n"/>
      <c r="E2171" s="23" t="n"/>
      <c r="F2171" s="15" t="n"/>
      <c r="G2171" s="23" t="n"/>
      <c r="H2171" s="25" t="n"/>
      <c r="I2171" s="15" t="n"/>
      <c r="J2171" s="26">
        <f>IF($A2171="","",LEN($C2171)-LEN(SUBSTITUTE($C2171,",",""))+1)</f>
        <v/>
      </c>
      <c r="K2171" s="26">
        <f>IF($A2171="","",SUMPRODUCT(--ISNUMBER(SEARCH('Category Dictionary'!$D$5:$D$135&amp;"",$C2171)),--('Category Dictionary'!$D$5:$D$135&lt;&gt;"")))</f>
        <v/>
      </c>
      <c r="L2171" s="27">
        <f>IF($A2171="","",TRIM(IF(ISERROR(FIND(",",$C2171)),$C2171,LEFT($C2171,FIND(",",$C2171)-1))))</f>
        <v/>
      </c>
      <c r="M2171" s="28">
        <f>IF($H2171="","",DATE(YEAR($H2171),MONTH($H2171),1))</f>
        <v/>
      </c>
      <c r="N2171" s="26">
        <f>IF($H2171="","",TODAY()-$H2171)</f>
        <v/>
      </c>
      <c r="O2171" s="15" t="n"/>
      <c r="P2171" s="15" t="n"/>
      <c r="Q2171" s="15" t="n"/>
      <c r="R2171" s="25" t="n"/>
      <c r="S2171" s="26">
        <f>IF($A2171="","",AND(OR('Assignment Builder'!$B$5="",$B2171='Assignment Builder'!$B$5),OR('Assignment Builder'!$B$6="",ISNUMBER(SEARCH('Assignment Builder'!$B$6,$C2171))),OR('Assignment Builder'!$B$7="",'Assignment Builder'!$B$7=IFERROR(INDEX('Category Dictionary'!$C$5:$C$135,MATCH($L2171,'Category Dictionary'!$D$5:$D$135,0)),"")),OR('Assignment Builder'!$B$8="",$D2171='Assignment Builder'!$B$8),OR('Assignment Builder'!$B$9="",$F2171='Assignment Builder'!$B$9),OR('Assignment Builder'!$B$10="",$O2171='Assignment Builder'!$B$10),OR('Assignment Builder'!$B$11="",$H2171&gt;='Assignment Builder'!$B$11),OR('Assignment Builder'!$B$12="",N($Q2171)&lt;='Assignment Builder'!$B$12)))</f>
        <v/>
      </c>
      <c r="T2171" s="23" t="n"/>
    </row>
    <row r="2172">
      <c r="A2172" s="23" t="n"/>
      <c r="B2172" s="23" t="n"/>
      <c r="C2172" s="24" t="n"/>
      <c r="D2172" s="15" t="n"/>
      <c r="E2172" s="23" t="n"/>
      <c r="F2172" s="15" t="n"/>
      <c r="G2172" s="23" t="n"/>
      <c r="H2172" s="25" t="n"/>
      <c r="I2172" s="15" t="n"/>
      <c r="J2172" s="26">
        <f>IF($A2172="","",LEN($C2172)-LEN(SUBSTITUTE($C2172,",",""))+1)</f>
        <v/>
      </c>
      <c r="K2172" s="26">
        <f>IF($A2172="","",SUMPRODUCT(--ISNUMBER(SEARCH('Category Dictionary'!$D$5:$D$135&amp;"",$C2172)),--('Category Dictionary'!$D$5:$D$135&lt;&gt;"")))</f>
        <v/>
      </c>
      <c r="L2172" s="27">
        <f>IF($A2172="","",TRIM(IF(ISERROR(FIND(",",$C2172)),$C2172,LEFT($C2172,FIND(",",$C2172)-1))))</f>
        <v/>
      </c>
      <c r="M2172" s="28">
        <f>IF($H2172="","",DATE(YEAR($H2172),MONTH($H2172),1))</f>
        <v/>
      </c>
      <c r="N2172" s="26">
        <f>IF($H2172="","",TODAY()-$H2172)</f>
        <v/>
      </c>
      <c r="O2172" s="15" t="n"/>
      <c r="P2172" s="15" t="n"/>
      <c r="Q2172" s="15" t="n"/>
      <c r="R2172" s="25" t="n"/>
      <c r="S2172" s="26">
        <f>IF($A2172="","",AND(OR('Assignment Builder'!$B$5="",$B2172='Assignment Builder'!$B$5),OR('Assignment Builder'!$B$6="",ISNUMBER(SEARCH('Assignment Builder'!$B$6,$C2172))),OR('Assignment Builder'!$B$7="",'Assignment Builder'!$B$7=IFERROR(INDEX('Category Dictionary'!$C$5:$C$135,MATCH($L2172,'Category Dictionary'!$D$5:$D$135,0)),"")),OR('Assignment Builder'!$B$8="",$D2172='Assignment Builder'!$B$8),OR('Assignment Builder'!$B$9="",$F2172='Assignment Builder'!$B$9),OR('Assignment Builder'!$B$10="",$O2172='Assignment Builder'!$B$10),OR('Assignment Builder'!$B$11="",$H2172&gt;='Assignment Builder'!$B$11),OR('Assignment Builder'!$B$12="",N($Q2172)&lt;='Assignment Builder'!$B$12)))</f>
        <v/>
      </c>
      <c r="T2172" s="23" t="n"/>
    </row>
    <row r="2173">
      <c r="A2173" s="23" t="n"/>
      <c r="B2173" s="23" t="n"/>
      <c r="C2173" s="24" t="n"/>
      <c r="D2173" s="15" t="n"/>
      <c r="E2173" s="23" t="n"/>
      <c r="F2173" s="15" t="n"/>
      <c r="G2173" s="23" t="n"/>
      <c r="H2173" s="25" t="n"/>
      <c r="I2173" s="15" t="n"/>
      <c r="J2173" s="26">
        <f>IF($A2173="","",LEN($C2173)-LEN(SUBSTITUTE($C2173,",",""))+1)</f>
        <v/>
      </c>
      <c r="K2173" s="26">
        <f>IF($A2173="","",SUMPRODUCT(--ISNUMBER(SEARCH('Category Dictionary'!$D$5:$D$135&amp;"",$C2173)),--('Category Dictionary'!$D$5:$D$135&lt;&gt;"")))</f>
        <v/>
      </c>
      <c r="L2173" s="27">
        <f>IF($A2173="","",TRIM(IF(ISERROR(FIND(",",$C2173)),$C2173,LEFT($C2173,FIND(",",$C2173)-1))))</f>
        <v/>
      </c>
      <c r="M2173" s="28">
        <f>IF($H2173="","",DATE(YEAR($H2173),MONTH($H2173),1))</f>
        <v/>
      </c>
      <c r="N2173" s="26">
        <f>IF($H2173="","",TODAY()-$H2173)</f>
        <v/>
      </c>
      <c r="O2173" s="15" t="n"/>
      <c r="P2173" s="15" t="n"/>
      <c r="Q2173" s="15" t="n"/>
      <c r="R2173" s="25" t="n"/>
      <c r="S2173" s="26">
        <f>IF($A2173="","",AND(OR('Assignment Builder'!$B$5="",$B2173='Assignment Builder'!$B$5),OR('Assignment Builder'!$B$6="",ISNUMBER(SEARCH('Assignment Builder'!$B$6,$C2173))),OR('Assignment Builder'!$B$7="",'Assignment Builder'!$B$7=IFERROR(INDEX('Category Dictionary'!$C$5:$C$135,MATCH($L2173,'Category Dictionary'!$D$5:$D$135,0)),"")),OR('Assignment Builder'!$B$8="",$D2173='Assignment Builder'!$B$8),OR('Assignment Builder'!$B$9="",$F2173='Assignment Builder'!$B$9),OR('Assignment Builder'!$B$10="",$O2173='Assignment Builder'!$B$10),OR('Assignment Builder'!$B$11="",$H2173&gt;='Assignment Builder'!$B$11),OR('Assignment Builder'!$B$12="",N($Q2173)&lt;='Assignment Builder'!$B$12)))</f>
        <v/>
      </c>
      <c r="T2173" s="23" t="n"/>
    </row>
    <row r="2174">
      <c r="A2174" s="23" t="n"/>
      <c r="B2174" s="23" t="n"/>
      <c r="C2174" s="24" t="n"/>
      <c r="D2174" s="15" t="n"/>
      <c r="E2174" s="23" t="n"/>
      <c r="F2174" s="15" t="n"/>
      <c r="G2174" s="23" t="n"/>
      <c r="H2174" s="25" t="n"/>
      <c r="I2174" s="15" t="n"/>
      <c r="J2174" s="26">
        <f>IF($A2174="","",LEN($C2174)-LEN(SUBSTITUTE($C2174,",",""))+1)</f>
        <v/>
      </c>
      <c r="K2174" s="26">
        <f>IF($A2174="","",SUMPRODUCT(--ISNUMBER(SEARCH('Category Dictionary'!$D$5:$D$135&amp;"",$C2174)),--('Category Dictionary'!$D$5:$D$135&lt;&gt;"")))</f>
        <v/>
      </c>
      <c r="L2174" s="27">
        <f>IF($A2174="","",TRIM(IF(ISERROR(FIND(",",$C2174)),$C2174,LEFT($C2174,FIND(",",$C2174)-1))))</f>
        <v/>
      </c>
      <c r="M2174" s="28">
        <f>IF($H2174="","",DATE(YEAR($H2174),MONTH($H2174),1))</f>
        <v/>
      </c>
      <c r="N2174" s="26">
        <f>IF($H2174="","",TODAY()-$H2174)</f>
        <v/>
      </c>
      <c r="O2174" s="15" t="n"/>
      <c r="P2174" s="15" t="n"/>
      <c r="Q2174" s="15" t="n"/>
      <c r="R2174" s="25" t="n"/>
      <c r="S2174" s="26">
        <f>IF($A2174="","",AND(OR('Assignment Builder'!$B$5="",$B2174='Assignment Builder'!$B$5),OR('Assignment Builder'!$B$6="",ISNUMBER(SEARCH('Assignment Builder'!$B$6,$C2174))),OR('Assignment Builder'!$B$7="",'Assignment Builder'!$B$7=IFERROR(INDEX('Category Dictionary'!$C$5:$C$135,MATCH($L2174,'Category Dictionary'!$D$5:$D$135,0)),"")),OR('Assignment Builder'!$B$8="",$D2174='Assignment Builder'!$B$8),OR('Assignment Builder'!$B$9="",$F2174='Assignment Builder'!$B$9),OR('Assignment Builder'!$B$10="",$O2174='Assignment Builder'!$B$10),OR('Assignment Builder'!$B$11="",$H2174&gt;='Assignment Builder'!$B$11),OR('Assignment Builder'!$B$12="",N($Q2174)&lt;='Assignment Builder'!$B$12)))</f>
        <v/>
      </c>
      <c r="T2174" s="23" t="n"/>
    </row>
    <row r="2175">
      <c r="A2175" s="23" t="n"/>
      <c r="B2175" s="23" t="n"/>
      <c r="C2175" s="24" t="n"/>
      <c r="D2175" s="15" t="n"/>
      <c r="E2175" s="23" t="n"/>
      <c r="F2175" s="15" t="n"/>
      <c r="G2175" s="23" t="n"/>
      <c r="H2175" s="25" t="n"/>
      <c r="I2175" s="15" t="n"/>
      <c r="J2175" s="26">
        <f>IF($A2175="","",LEN($C2175)-LEN(SUBSTITUTE($C2175,",",""))+1)</f>
        <v/>
      </c>
      <c r="K2175" s="26">
        <f>IF($A2175="","",SUMPRODUCT(--ISNUMBER(SEARCH('Category Dictionary'!$D$5:$D$135&amp;"",$C2175)),--('Category Dictionary'!$D$5:$D$135&lt;&gt;"")))</f>
        <v/>
      </c>
      <c r="L2175" s="27">
        <f>IF($A2175="","",TRIM(IF(ISERROR(FIND(",",$C2175)),$C2175,LEFT($C2175,FIND(",",$C2175)-1))))</f>
        <v/>
      </c>
      <c r="M2175" s="28">
        <f>IF($H2175="","",DATE(YEAR($H2175),MONTH($H2175),1))</f>
        <v/>
      </c>
      <c r="N2175" s="26">
        <f>IF($H2175="","",TODAY()-$H2175)</f>
        <v/>
      </c>
      <c r="O2175" s="15" t="n"/>
      <c r="P2175" s="15" t="n"/>
      <c r="Q2175" s="15" t="n"/>
      <c r="R2175" s="25" t="n"/>
      <c r="S2175" s="26">
        <f>IF($A2175="","",AND(OR('Assignment Builder'!$B$5="",$B2175='Assignment Builder'!$B$5),OR('Assignment Builder'!$B$6="",ISNUMBER(SEARCH('Assignment Builder'!$B$6,$C2175))),OR('Assignment Builder'!$B$7="",'Assignment Builder'!$B$7=IFERROR(INDEX('Category Dictionary'!$C$5:$C$135,MATCH($L2175,'Category Dictionary'!$D$5:$D$135,0)),"")),OR('Assignment Builder'!$B$8="",$D2175='Assignment Builder'!$B$8),OR('Assignment Builder'!$B$9="",$F2175='Assignment Builder'!$B$9),OR('Assignment Builder'!$B$10="",$O2175='Assignment Builder'!$B$10),OR('Assignment Builder'!$B$11="",$H2175&gt;='Assignment Builder'!$B$11),OR('Assignment Builder'!$B$12="",N($Q2175)&lt;='Assignment Builder'!$B$12)))</f>
        <v/>
      </c>
      <c r="T2175" s="23" t="n"/>
    </row>
    <row r="2176">
      <c r="A2176" s="23" t="n"/>
      <c r="B2176" s="23" t="n"/>
      <c r="C2176" s="24" t="n"/>
      <c r="D2176" s="15" t="n"/>
      <c r="E2176" s="23" t="n"/>
      <c r="F2176" s="15" t="n"/>
      <c r="G2176" s="23" t="n"/>
      <c r="H2176" s="25" t="n"/>
      <c r="I2176" s="15" t="n"/>
      <c r="J2176" s="26">
        <f>IF($A2176="","",LEN($C2176)-LEN(SUBSTITUTE($C2176,",",""))+1)</f>
        <v/>
      </c>
      <c r="K2176" s="26">
        <f>IF($A2176="","",SUMPRODUCT(--ISNUMBER(SEARCH('Category Dictionary'!$D$5:$D$135&amp;"",$C2176)),--('Category Dictionary'!$D$5:$D$135&lt;&gt;"")))</f>
        <v/>
      </c>
      <c r="L2176" s="27">
        <f>IF($A2176="","",TRIM(IF(ISERROR(FIND(",",$C2176)),$C2176,LEFT($C2176,FIND(",",$C2176)-1))))</f>
        <v/>
      </c>
      <c r="M2176" s="28">
        <f>IF($H2176="","",DATE(YEAR($H2176),MONTH($H2176),1))</f>
        <v/>
      </c>
      <c r="N2176" s="26">
        <f>IF($H2176="","",TODAY()-$H2176)</f>
        <v/>
      </c>
      <c r="O2176" s="15" t="n"/>
      <c r="P2176" s="15" t="n"/>
      <c r="Q2176" s="15" t="n"/>
      <c r="R2176" s="25" t="n"/>
      <c r="S2176" s="26">
        <f>IF($A2176="","",AND(OR('Assignment Builder'!$B$5="",$B2176='Assignment Builder'!$B$5),OR('Assignment Builder'!$B$6="",ISNUMBER(SEARCH('Assignment Builder'!$B$6,$C2176))),OR('Assignment Builder'!$B$7="",'Assignment Builder'!$B$7=IFERROR(INDEX('Category Dictionary'!$C$5:$C$135,MATCH($L2176,'Category Dictionary'!$D$5:$D$135,0)),"")),OR('Assignment Builder'!$B$8="",$D2176='Assignment Builder'!$B$8),OR('Assignment Builder'!$B$9="",$F2176='Assignment Builder'!$B$9),OR('Assignment Builder'!$B$10="",$O2176='Assignment Builder'!$B$10),OR('Assignment Builder'!$B$11="",$H2176&gt;='Assignment Builder'!$B$11),OR('Assignment Builder'!$B$12="",N($Q2176)&lt;='Assignment Builder'!$B$12)))</f>
        <v/>
      </c>
      <c r="T2176" s="23" t="n"/>
    </row>
    <row r="2177">
      <c r="A2177" s="23" t="n"/>
      <c r="B2177" s="23" t="n"/>
      <c r="C2177" s="24" t="n"/>
      <c r="D2177" s="15" t="n"/>
      <c r="E2177" s="23" t="n"/>
      <c r="F2177" s="15" t="n"/>
      <c r="G2177" s="23" t="n"/>
      <c r="H2177" s="25" t="n"/>
      <c r="I2177" s="15" t="n"/>
      <c r="J2177" s="26">
        <f>IF($A2177="","",LEN($C2177)-LEN(SUBSTITUTE($C2177,",",""))+1)</f>
        <v/>
      </c>
      <c r="K2177" s="26">
        <f>IF($A2177="","",SUMPRODUCT(--ISNUMBER(SEARCH('Category Dictionary'!$D$5:$D$135&amp;"",$C2177)),--('Category Dictionary'!$D$5:$D$135&lt;&gt;"")))</f>
        <v/>
      </c>
      <c r="L2177" s="27">
        <f>IF($A2177="","",TRIM(IF(ISERROR(FIND(",",$C2177)),$C2177,LEFT($C2177,FIND(",",$C2177)-1))))</f>
        <v/>
      </c>
      <c r="M2177" s="28">
        <f>IF($H2177="","",DATE(YEAR($H2177),MONTH($H2177),1))</f>
        <v/>
      </c>
      <c r="N2177" s="26">
        <f>IF($H2177="","",TODAY()-$H2177)</f>
        <v/>
      </c>
      <c r="O2177" s="15" t="n"/>
      <c r="P2177" s="15" t="n"/>
      <c r="Q2177" s="15" t="n"/>
      <c r="R2177" s="25" t="n"/>
      <c r="S2177" s="26">
        <f>IF($A2177="","",AND(OR('Assignment Builder'!$B$5="",$B2177='Assignment Builder'!$B$5),OR('Assignment Builder'!$B$6="",ISNUMBER(SEARCH('Assignment Builder'!$B$6,$C2177))),OR('Assignment Builder'!$B$7="",'Assignment Builder'!$B$7=IFERROR(INDEX('Category Dictionary'!$C$5:$C$135,MATCH($L2177,'Category Dictionary'!$D$5:$D$135,0)),"")),OR('Assignment Builder'!$B$8="",$D2177='Assignment Builder'!$B$8),OR('Assignment Builder'!$B$9="",$F2177='Assignment Builder'!$B$9),OR('Assignment Builder'!$B$10="",$O2177='Assignment Builder'!$B$10),OR('Assignment Builder'!$B$11="",$H2177&gt;='Assignment Builder'!$B$11),OR('Assignment Builder'!$B$12="",N($Q2177)&lt;='Assignment Builder'!$B$12)))</f>
        <v/>
      </c>
      <c r="T2177" s="23" t="n"/>
    </row>
    <row r="2178">
      <c r="A2178" s="23" t="n"/>
      <c r="B2178" s="23" t="n"/>
      <c r="C2178" s="24" t="n"/>
      <c r="D2178" s="15" t="n"/>
      <c r="E2178" s="23" t="n"/>
      <c r="F2178" s="15" t="n"/>
      <c r="G2178" s="23" t="n"/>
      <c r="H2178" s="25" t="n"/>
      <c r="I2178" s="15" t="n"/>
      <c r="J2178" s="26">
        <f>IF($A2178="","",LEN($C2178)-LEN(SUBSTITUTE($C2178,",",""))+1)</f>
        <v/>
      </c>
      <c r="K2178" s="26">
        <f>IF($A2178="","",SUMPRODUCT(--ISNUMBER(SEARCH('Category Dictionary'!$D$5:$D$135&amp;"",$C2178)),--('Category Dictionary'!$D$5:$D$135&lt;&gt;"")))</f>
        <v/>
      </c>
      <c r="L2178" s="27">
        <f>IF($A2178="","",TRIM(IF(ISERROR(FIND(",",$C2178)),$C2178,LEFT($C2178,FIND(",",$C2178)-1))))</f>
        <v/>
      </c>
      <c r="M2178" s="28">
        <f>IF($H2178="","",DATE(YEAR($H2178),MONTH($H2178),1))</f>
        <v/>
      </c>
      <c r="N2178" s="26">
        <f>IF($H2178="","",TODAY()-$H2178)</f>
        <v/>
      </c>
      <c r="O2178" s="15" t="n"/>
      <c r="P2178" s="15" t="n"/>
      <c r="Q2178" s="15" t="n"/>
      <c r="R2178" s="25" t="n"/>
      <c r="S2178" s="26">
        <f>IF($A2178="","",AND(OR('Assignment Builder'!$B$5="",$B2178='Assignment Builder'!$B$5),OR('Assignment Builder'!$B$6="",ISNUMBER(SEARCH('Assignment Builder'!$B$6,$C2178))),OR('Assignment Builder'!$B$7="",'Assignment Builder'!$B$7=IFERROR(INDEX('Category Dictionary'!$C$5:$C$135,MATCH($L2178,'Category Dictionary'!$D$5:$D$135,0)),"")),OR('Assignment Builder'!$B$8="",$D2178='Assignment Builder'!$B$8),OR('Assignment Builder'!$B$9="",$F2178='Assignment Builder'!$B$9),OR('Assignment Builder'!$B$10="",$O2178='Assignment Builder'!$B$10),OR('Assignment Builder'!$B$11="",$H2178&gt;='Assignment Builder'!$B$11),OR('Assignment Builder'!$B$12="",N($Q2178)&lt;='Assignment Builder'!$B$12)))</f>
        <v/>
      </c>
      <c r="T2178" s="23" t="n"/>
    </row>
    <row r="2179">
      <c r="A2179" s="23" t="n"/>
      <c r="B2179" s="23" t="n"/>
      <c r="C2179" s="24" t="n"/>
      <c r="D2179" s="15" t="n"/>
      <c r="E2179" s="23" t="n"/>
      <c r="F2179" s="15" t="n"/>
      <c r="G2179" s="23" t="n"/>
      <c r="H2179" s="25" t="n"/>
      <c r="I2179" s="15" t="n"/>
      <c r="J2179" s="26">
        <f>IF($A2179="","",LEN($C2179)-LEN(SUBSTITUTE($C2179,",",""))+1)</f>
        <v/>
      </c>
      <c r="K2179" s="26">
        <f>IF($A2179="","",SUMPRODUCT(--ISNUMBER(SEARCH('Category Dictionary'!$D$5:$D$135&amp;"",$C2179)),--('Category Dictionary'!$D$5:$D$135&lt;&gt;"")))</f>
        <v/>
      </c>
      <c r="L2179" s="27">
        <f>IF($A2179="","",TRIM(IF(ISERROR(FIND(",",$C2179)),$C2179,LEFT($C2179,FIND(",",$C2179)-1))))</f>
        <v/>
      </c>
      <c r="M2179" s="28">
        <f>IF($H2179="","",DATE(YEAR($H2179),MONTH($H2179),1))</f>
        <v/>
      </c>
      <c r="N2179" s="26">
        <f>IF($H2179="","",TODAY()-$H2179)</f>
        <v/>
      </c>
      <c r="O2179" s="15" t="n"/>
      <c r="P2179" s="15" t="n"/>
      <c r="Q2179" s="15" t="n"/>
      <c r="R2179" s="25" t="n"/>
      <c r="S2179" s="26">
        <f>IF($A2179="","",AND(OR('Assignment Builder'!$B$5="",$B2179='Assignment Builder'!$B$5),OR('Assignment Builder'!$B$6="",ISNUMBER(SEARCH('Assignment Builder'!$B$6,$C2179))),OR('Assignment Builder'!$B$7="",'Assignment Builder'!$B$7=IFERROR(INDEX('Category Dictionary'!$C$5:$C$135,MATCH($L2179,'Category Dictionary'!$D$5:$D$135,0)),"")),OR('Assignment Builder'!$B$8="",$D2179='Assignment Builder'!$B$8),OR('Assignment Builder'!$B$9="",$F2179='Assignment Builder'!$B$9),OR('Assignment Builder'!$B$10="",$O2179='Assignment Builder'!$B$10),OR('Assignment Builder'!$B$11="",$H2179&gt;='Assignment Builder'!$B$11),OR('Assignment Builder'!$B$12="",N($Q2179)&lt;='Assignment Builder'!$B$12)))</f>
        <v/>
      </c>
      <c r="T2179" s="23" t="n"/>
    </row>
    <row r="2180">
      <c r="A2180" s="23" t="n"/>
      <c r="B2180" s="23" t="n"/>
      <c r="C2180" s="24" t="n"/>
      <c r="D2180" s="15" t="n"/>
      <c r="E2180" s="23" t="n"/>
      <c r="F2180" s="15" t="n"/>
      <c r="G2180" s="23" t="n"/>
      <c r="H2180" s="25" t="n"/>
      <c r="I2180" s="15" t="n"/>
      <c r="J2180" s="26">
        <f>IF($A2180="","",LEN($C2180)-LEN(SUBSTITUTE($C2180,",",""))+1)</f>
        <v/>
      </c>
      <c r="K2180" s="26">
        <f>IF($A2180="","",SUMPRODUCT(--ISNUMBER(SEARCH('Category Dictionary'!$D$5:$D$135&amp;"",$C2180)),--('Category Dictionary'!$D$5:$D$135&lt;&gt;"")))</f>
        <v/>
      </c>
      <c r="L2180" s="27">
        <f>IF($A2180="","",TRIM(IF(ISERROR(FIND(",",$C2180)),$C2180,LEFT($C2180,FIND(",",$C2180)-1))))</f>
        <v/>
      </c>
      <c r="M2180" s="28">
        <f>IF($H2180="","",DATE(YEAR($H2180),MONTH($H2180),1))</f>
        <v/>
      </c>
      <c r="N2180" s="26">
        <f>IF($H2180="","",TODAY()-$H2180)</f>
        <v/>
      </c>
      <c r="O2180" s="15" t="n"/>
      <c r="P2180" s="15" t="n"/>
      <c r="Q2180" s="15" t="n"/>
      <c r="R2180" s="25" t="n"/>
      <c r="S2180" s="26">
        <f>IF($A2180="","",AND(OR('Assignment Builder'!$B$5="",$B2180='Assignment Builder'!$B$5),OR('Assignment Builder'!$B$6="",ISNUMBER(SEARCH('Assignment Builder'!$B$6,$C2180))),OR('Assignment Builder'!$B$7="",'Assignment Builder'!$B$7=IFERROR(INDEX('Category Dictionary'!$C$5:$C$135,MATCH($L2180,'Category Dictionary'!$D$5:$D$135,0)),"")),OR('Assignment Builder'!$B$8="",$D2180='Assignment Builder'!$B$8),OR('Assignment Builder'!$B$9="",$F2180='Assignment Builder'!$B$9),OR('Assignment Builder'!$B$10="",$O2180='Assignment Builder'!$B$10),OR('Assignment Builder'!$B$11="",$H2180&gt;='Assignment Builder'!$B$11),OR('Assignment Builder'!$B$12="",N($Q2180)&lt;='Assignment Builder'!$B$12)))</f>
        <v/>
      </c>
      <c r="T2180" s="23" t="n"/>
    </row>
    <row r="2181">
      <c r="A2181" s="23" t="n"/>
      <c r="B2181" s="23" t="n"/>
      <c r="C2181" s="24" t="n"/>
      <c r="D2181" s="15" t="n"/>
      <c r="E2181" s="23" t="n"/>
      <c r="F2181" s="15" t="n"/>
      <c r="G2181" s="23" t="n"/>
      <c r="H2181" s="25" t="n"/>
      <c r="I2181" s="15" t="n"/>
      <c r="J2181" s="26">
        <f>IF($A2181="","",LEN($C2181)-LEN(SUBSTITUTE($C2181,",",""))+1)</f>
        <v/>
      </c>
      <c r="K2181" s="26">
        <f>IF($A2181="","",SUMPRODUCT(--ISNUMBER(SEARCH('Category Dictionary'!$D$5:$D$135&amp;"",$C2181)),--('Category Dictionary'!$D$5:$D$135&lt;&gt;"")))</f>
        <v/>
      </c>
      <c r="L2181" s="27">
        <f>IF($A2181="","",TRIM(IF(ISERROR(FIND(",",$C2181)),$C2181,LEFT($C2181,FIND(",",$C2181)-1))))</f>
        <v/>
      </c>
      <c r="M2181" s="28">
        <f>IF($H2181="","",DATE(YEAR($H2181),MONTH($H2181),1))</f>
        <v/>
      </c>
      <c r="N2181" s="26">
        <f>IF($H2181="","",TODAY()-$H2181)</f>
        <v/>
      </c>
      <c r="O2181" s="15" t="n"/>
      <c r="P2181" s="15" t="n"/>
      <c r="Q2181" s="15" t="n"/>
      <c r="R2181" s="25" t="n"/>
      <c r="S2181" s="26">
        <f>IF($A2181="","",AND(OR('Assignment Builder'!$B$5="",$B2181='Assignment Builder'!$B$5),OR('Assignment Builder'!$B$6="",ISNUMBER(SEARCH('Assignment Builder'!$B$6,$C2181))),OR('Assignment Builder'!$B$7="",'Assignment Builder'!$B$7=IFERROR(INDEX('Category Dictionary'!$C$5:$C$135,MATCH($L2181,'Category Dictionary'!$D$5:$D$135,0)),"")),OR('Assignment Builder'!$B$8="",$D2181='Assignment Builder'!$B$8),OR('Assignment Builder'!$B$9="",$F2181='Assignment Builder'!$B$9),OR('Assignment Builder'!$B$10="",$O2181='Assignment Builder'!$B$10),OR('Assignment Builder'!$B$11="",$H2181&gt;='Assignment Builder'!$B$11),OR('Assignment Builder'!$B$12="",N($Q2181)&lt;='Assignment Builder'!$B$12)))</f>
        <v/>
      </c>
      <c r="T2181" s="23" t="n"/>
    </row>
    <row r="2182">
      <c r="A2182" s="23" t="n"/>
      <c r="B2182" s="23" t="n"/>
      <c r="C2182" s="24" t="n"/>
      <c r="D2182" s="15" t="n"/>
      <c r="E2182" s="23" t="n"/>
      <c r="F2182" s="15" t="n"/>
      <c r="G2182" s="23" t="n"/>
      <c r="H2182" s="25" t="n"/>
      <c r="I2182" s="15" t="n"/>
      <c r="J2182" s="26">
        <f>IF($A2182="","",LEN($C2182)-LEN(SUBSTITUTE($C2182,",",""))+1)</f>
        <v/>
      </c>
      <c r="K2182" s="26">
        <f>IF($A2182="","",SUMPRODUCT(--ISNUMBER(SEARCH('Category Dictionary'!$D$5:$D$135&amp;"",$C2182)),--('Category Dictionary'!$D$5:$D$135&lt;&gt;"")))</f>
        <v/>
      </c>
      <c r="L2182" s="27">
        <f>IF($A2182="","",TRIM(IF(ISERROR(FIND(",",$C2182)),$C2182,LEFT($C2182,FIND(",",$C2182)-1))))</f>
        <v/>
      </c>
      <c r="M2182" s="28">
        <f>IF($H2182="","",DATE(YEAR($H2182),MONTH($H2182),1))</f>
        <v/>
      </c>
      <c r="N2182" s="26">
        <f>IF($H2182="","",TODAY()-$H2182)</f>
        <v/>
      </c>
      <c r="O2182" s="15" t="n"/>
      <c r="P2182" s="15" t="n"/>
      <c r="Q2182" s="15" t="n"/>
      <c r="R2182" s="25" t="n"/>
      <c r="S2182" s="26">
        <f>IF($A2182="","",AND(OR('Assignment Builder'!$B$5="",$B2182='Assignment Builder'!$B$5),OR('Assignment Builder'!$B$6="",ISNUMBER(SEARCH('Assignment Builder'!$B$6,$C2182))),OR('Assignment Builder'!$B$7="",'Assignment Builder'!$B$7=IFERROR(INDEX('Category Dictionary'!$C$5:$C$135,MATCH($L2182,'Category Dictionary'!$D$5:$D$135,0)),"")),OR('Assignment Builder'!$B$8="",$D2182='Assignment Builder'!$B$8),OR('Assignment Builder'!$B$9="",$F2182='Assignment Builder'!$B$9),OR('Assignment Builder'!$B$10="",$O2182='Assignment Builder'!$B$10),OR('Assignment Builder'!$B$11="",$H2182&gt;='Assignment Builder'!$B$11),OR('Assignment Builder'!$B$12="",N($Q2182)&lt;='Assignment Builder'!$B$12)))</f>
        <v/>
      </c>
      <c r="T2182" s="23" t="n"/>
    </row>
    <row r="2183">
      <c r="A2183" s="23" t="n"/>
      <c r="B2183" s="23" t="n"/>
      <c r="C2183" s="24" t="n"/>
      <c r="D2183" s="15" t="n"/>
      <c r="E2183" s="23" t="n"/>
      <c r="F2183" s="15" t="n"/>
      <c r="G2183" s="23" t="n"/>
      <c r="H2183" s="25" t="n"/>
      <c r="I2183" s="15" t="n"/>
      <c r="J2183" s="26">
        <f>IF($A2183="","",LEN($C2183)-LEN(SUBSTITUTE($C2183,",",""))+1)</f>
        <v/>
      </c>
      <c r="K2183" s="26">
        <f>IF($A2183="","",SUMPRODUCT(--ISNUMBER(SEARCH('Category Dictionary'!$D$5:$D$135&amp;"",$C2183)),--('Category Dictionary'!$D$5:$D$135&lt;&gt;"")))</f>
        <v/>
      </c>
      <c r="L2183" s="27">
        <f>IF($A2183="","",TRIM(IF(ISERROR(FIND(",",$C2183)),$C2183,LEFT($C2183,FIND(",",$C2183)-1))))</f>
        <v/>
      </c>
      <c r="M2183" s="28">
        <f>IF($H2183="","",DATE(YEAR($H2183),MONTH($H2183),1))</f>
        <v/>
      </c>
      <c r="N2183" s="26">
        <f>IF($H2183="","",TODAY()-$H2183)</f>
        <v/>
      </c>
      <c r="O2183" s="15" t="n"/>
      <c r="P2183" s="15" t="n"/>
      <c r="Q2183" s="15" t="n"/>
      <c r="R2183" s="25" t="n"/>
      <c r="S2183" s="26">
        <f>IF($A2183="","",AND(OR('Assignment Builder'!$B$5="",$B2183='Assignment Builder'!$B$5),OR('Assignment Builder'!$B$6="",ISNUMBER(SEARCH('Assignment Builder'!$B$6,$C2183))),OR('Assignment Builder'!$B$7="",'Assignment Builder'!$B$7=IFERROR(INDEX('Category Dictionary'!$C$5:$C$135,MATCH($L2183,'Category Dictionary'!$D$5:$D$135,0)),"")),OR('Assignment Builder'!$B$8="",$D2183='Assignment Builder'!$B$8),OR('Assignment Builder'!$B$9="",$F2183='Assignment Builder'!$B$9),OR('Assignment Builder'!$B$10="",$O2183='Assignment Builder'!$B$10),OR('Assignment Builder'!$B$11="",$H2183&gt;='Assignment Builder'!$B$11),OR('Assignment Builder'!$B$12="",N($Q2183)&lt;='Assignment Builder'!$B$12)))</f>
        <v/>
      </c>
      <c r="T2183" s="23" t="n"/>
    </row>
    <row r="2184">
      <c r="A2184" s="23" t="n"/>
      <c r="B2184" s="23" t="n"/>
      <c r="C2184" s="24" t="n"/>
      <c r="D2184" s="15" t="n"/>
      <c r="E2184" s="23" t="n"/>
      <c r="F2184" s="15" t="n"/>
      <c r="G2184" s="23" t="n"/>
      <c r="H2184" s="25" t="n"/>
      <c r="I2184" s="15" t="n"/>
      <c r="J2184" s="26">
        <f>IF($A2184="","",LEN($C2184)-LEN(SUBSTITUTE($C2184,",",""))+1)</f>
        <v/>
      </c>
      <c r="K2184" s="26">
        <f>IF($A2184="","",SUMPRODUCT(--ISNUMBER(SEARCH('Category Dictionary'!$D$5:$D$135&amp;"",$C2184)),--('Category Dictionary'!$D$5:$D$135&lt;&gt;"")))</f>
        <v/>
      </c>
      <c r="L2184" s="27">
        <f>IF($A2184="","",TRIM(IF(ISERROR(FIND(",",$C2184)),$C2184,LEFT($C2184,FIND(",",$C2184)-1))))</f>
        <v/>
      </c>
      <c r="M2184" s="28">
        <f>IF($H2184="","",DATE(YEAR($H2184),MONTH($H2184),1))</f>
        <v/>
      </c>
      <c r="N2184" s="26">
        <f>IF($H2184="","",TODAY()-$H2184)</f>
        <v/>
      </c>
      <c r="O2184" s="15" t="n"/>
      <c r="P2184" s="15" t="n"/>
      <c r="Q2184" s="15" t="n"/>
      <c r="R2184" s="25" t="n"/>
      <c r="S2184" s="26">
        <f>IF($A2184="","",AND(OR('Assignment Builder'!$B$5="",$B2184='Assignment Builder'!$B$5),OR('Assignment Builder'!$B$6="",ISNUMBER(SEARCH('Assignment Builder'!$B$6,$C2184))),OR('Assignment Builder'!$B$7="",'Assignment Builder'!$B$7=IFERROR(INDEX('Category Dictionary'!$C$5:$C$135,MATCH($L2184,'Category Dictionary'!$D$5:$D$135,0)),"")),OR('Assignment Builder'!$B$8="",$D2184='Assignment Builder'!$B$8),OR('Assignment Builder'!$B$9="",$F2184='Assignment Builder'!$B$9),OR('Assignment Builder'!$B$10="",$O2184='Assignment Builder'!$B$10),OR('Assignment Builder'!$B$11="",$H2184&gt;='Assignment Builder'!$B$11),OR('Assignment Builder'!$B$12="",N($Q2184)&lt;='Assignment Builder'!$B$12)))</f>
        <v/>
      </c>
      <c r="T2184" s="23" t="n"/>
    </row>
    <row r="2185">
      <c r="A2185" s="23" t="n"/>
      <c r="B2185" s="23" t="n"/>
      <c r="C2185" s="24" t="n"/>
      <c r="D2185" s="15" t="n"/>
      <c r="E2185" s="23" t="n"/>
      <c r="F2185" s="15" t="n"/>
      <c r="G2185" s="23" t="n"/>
      <c r="H2185" s="25" t="n"/>
      <c r="I2185" s="15" t="n"/>
      <c r="J2185" s="26">
        <f>IF($A2185="","",LEN($C2185)-LEN(SUBSTITUTE($C2185,",",""))+1)</f>
        <v/>
      </c>
      <c r="K2185" s="26">
        <f>IF($A2185="","",SUMPRODUCT(--ISNUMBER(SEARCH('Category Dictionary'!$D$5:$D$135&amp;"",$C2185)),--('Category Dictionary'!$D$5:$D$135&lt;&gt;"")))</f>
        <v/>
      </c>
      <c r="L2185" s="27">
        <f>IF($A2185="","",TRIM(IF(ISERROR(FIND(",",$C2185)),$C2185,LEFT($C2185,FIND(",",$C2185)-1))))</f>
        <v/>
      </c>
      <c r="M2185" s="28">
        <f>IF($H2185="","",DATE(YEAR($H2185),MONTH($H2185),1))</f>
        <v/>
      </c>
      <c r="N2185" s="26">
        <f>IF($H2185="","",TODAY()-$H2185)</f>
        <v/>
      </c>
      <c r="O2185" s="15" t="n"/>
      <c r="P2185" s="15" t="n"/>
      <c r="Q2185" s="15" t="n"/>
      <c r="R2185" s="25" t="n"/>
      <c r="S2185" s="26">
        <f>IF($A2185="","",AND(OR('Assignment Builder'!$B$5="",$B2185='Assignment Builder'!$B$5),OR('Assignment Builder'!$B$6="",ISNUMBER(SEARCH('Assignment Builder'!$B$6,$C2185))),OR('Assignment Builder'!$B$7="",'Assignment Builder'!$B$7=IFERROR(INDEX('Category Dictionary'!$C$5:$C$135,MATCH($L2185,'Category Dictionary'!$D$5:$D$135,0)),"")),OR('Assignment Builder'!$B$8="",$D2185='Assignment Builder'!$B$8),OR('Assignment Builder'!$B$9="",$F2185='Assignment Builder'!$B$9),OR('Assignment Builder'!$B$10="",$O2185='Assignment Builder'!$B$10),OR('Assignment Builder'!$B$11="",$H2185&gt;='Assignment Builder'!$B$11),OR('Assignment Builder'!$B$12="",N($Q2185)&lt;='Assignment Builder'!$B$12)))</f>
        <v/>
      </c>
      <c r="T2185" s="23" t="n"/>
    </row>
    <row r="2186">
      <c r="A2186" s="23" t="n"/>
      <c r="B2186" s="23" t="n"/>
      <c r="C2186" s="24" t="n"/>
      <c r="D2186" s="15" t="n"/>
      <c r="E2186" s="23" t="n"/>
      <c r="F2186" s="15" t="n"/>
      <c r="G2186" s="23" t="n"/>
      <c r="H2186" s="25" t="n"/>
      <c r="I2186" s="15" t="n"/>
      <c r="J2186" s="26">
        <f>IF($A2186="","",LEN($C2186)-LEN(SUBSTITUTE($C2186,",",""))+1)</f>
        <v/>
      </c>
      <c r="K2186" s="26">
        <f>IF($A2186="","",SUMPRODUCT(--ISNUMBER(SEARCH('Category Dictionary'!$D$5:$D$135&amp;"",$C2186)),--('Category Dictionary'!$D$5:$D$135&lt;&gt;"")))</f>
        <v/>
      </c>
      <c r="L2186" s="27">
        <f>IF($A2186="","",TRIM(IF(ISERROR(FIND(",",$C2186)),$C2186,LEFT($C2186,FIND(",",$C2186)-1))))</f>
        <v/>
      </c>
      <c r="M2186" s="28">
        <f>IF($H2186="","",DATE(YEAR($H2186),MONTH($H2186),1))</f>
        <v/>
      </c>
      <c r="N2186" s="26">
        <f>IF($H2186="","",TODAY()-$H2186)</f>
        <v/>
      </c>
      <c r="O2186" s="15" t="n"/>
      <c r="P2186" s="15" t="n"/>
      <c r="Q2186" s="15" t="n"/>
      <c r="R2186" s="25" t="n"/>
      <c r="S2186" s="26">
        <f>IF($A2186="","",AND(OR('Assignment Builder'!$B$5="",$B2186='Assignment Builder'!$B$5),OR('Assignment Builder'!$B$6="",ISNUMBER(SEARCH('Assignment Builder'!$B$6,$C2186))),OR('Assignment Builder'!$B$7="",'Assignment Builder'!$B$7=IFERROR(INDEX('Category Dictionary'!$C$5:$C$135,MATCH($L2186,'Category Dictionary'!$D$5:$D$135,0)),"")),OR('Assignment Builder'!$B$8="",$D2186='Assignment Builder'!$B$8),OR('Assignment Builder'!$B$9="",$F2186='Assignment Builder'!$B$9),OR('Assignment Builder'!$B$10="",$O2186='Assignment Builder'!$B$10),OR('Assignment Builder'!$B$11="",$H2186&gt;='Assignment Builder'!$B$11),OR('Assignment Builder'!$B$12="",N($Q2186)&lt;='Assignment Builder'!$B$12)))</f>
        <v/>
      </c>
      <c r="T2186" s="23" t="n"/>
    </row>
    <row r="2187">
      <c r="A2187" s="23" t="n"/>
      <c r="B2187" s="23" t="n"/>
      <c r="C2187" s="24" t="n"/>
      <c r="D2187" s="15" t="n"/>
      <c r="E2187" s="23" t="n"/>
      <c r="F2187" s="15" t="n"/>
      <c r="G2187" s="23" t="n"/>
      <c r="H2187" s="25" t="n"/>
      <c r="I2187" s="15" t="n"/>
      <c r="J2187" s="26">
        <f>IF($A2187="","",LEN($C2187)-LEN(SUBSTITUTE($C2187,",",""))+1)</f>
        <v/>
      </c>
      <c r="K2187" s="26">
        <f>IF($A2187="","",SUMPRODUCT(--ISNUMBER(SEARCH('Category Dictionary'!$D$5:$D$135&amp;"",$C2187)),--('Category Dictionary'!$D$5:$D$135&lt;&gt;"")))</f>
        <v/>
      </c>
      <c r="L2187" s="27">
        <f>IF($A2187="","",TRIM(IF(ISERROR(FIND(",",$C2187)),$C2187,LEFT($C2187,FIND(",",$C2187)-1))))</f>
        <v/>
      </c>
      <c r="M2187" s="28">
        <f>IF($H2187="","",DATE(YEAR($H2187),MONTH($H2187),1))</f>
        <v/>
      </c>
      <c r="N2187" s="26">
        <f>IF($H2187="","",TODAY()-$H2187)</f>
        <v/>
      </c>
      <c r="O2187" s="15" t="n"/>
      <c r="P2187" s="15" t="n"/>
      <c r="Q2187" s="15" t="n"/>
      <c r="R2187" s="25" t="n"/>
      <c r="S2187" s="26">
        <f>IF($A2187="","",AND(OR('Assignment Builder'!$B$5="",$B2187='Assignment Builder'!$B$5),OR('Assignment Builder'!$B$6="",ISNUMBER(SEARCH('Assignment Builder'!$B$6,$C2187))),OR('Assignment Builder'!$B$7="",'Assignment Builder'!$B$7=IFERROR(INDEX('Category Dictionary'!$C$5:$C$135,MATCH($L2187,'Category Dictionary'!$D$5:$D$135,0)),"")),OR('Assignment Builder'!$B$8="",$D2187='Assignment Builder'!$B$8),OR('Assignment Builder'!$B$9="",$F2187='Assignment Builder'!$B$9),OR('Assignment Builder'!$B$10="",$O2187='Assignment Builder'!$B$10),OR('Assignment Builder'!$B$11="",$H2187&gt;='Assignment Builder'!$B$11),OR('Assignment Builder'!$B$12="",N($Q2187)&lt;='Assignment Builder'!$B$12)))</f>
        <v/>
      </c>
      <c r="T2187" s="23" t="n"/>
    </row>
    <row r="2188">
      <c r="A2188" s="23" t="n"/>
      <c r="B2188" s="23" t="n"/>
      <c r="C2188" s="24" t="n"/>
      <c r="D2188" s="15" t="n"/>
      <c r="E2188" s="23" t="n"/>
      <c r="F2188" s="15" t="n"/>
      <c r="G2188" s="23" t="n"/>
      <c r="H2188" s="25" t="n"/>
      <c r="I2188" s="15" t="n"/>
      <c r="J2188" s="26">
        <f>IF($A2188="","",LEN($C2188)-LEN(SUBSTITUTE($C2188,",",""))+1)</f>
        <v/>
      </c>
      <c r="K2188" s="26">
        <f>IF($A2188="","",SUMPRODUCT(--ISNUMBER(SEARCH('Category Dictionary'!$D$5:$D$135&amp;"",$C2188)),--('Category Dictionary'!$D$5:$D$135&lt;&gt;"")))</f>
        <v/>
      </c>
      <c r="L2188" s="27">
        <f>IF($A2188="","",TRIM(IF(ISERROR(FIND(",",$C2188)),$C2188,LEFT($C2188,FIND(",",$C2188)-1))))</f>
        <v/>
      </c>
      <c r="M2188" s="28">
        <f>IF($H2188="","",DATE(YEAR($H2188),MONTH($H2188),1))</f>
        <v/>
      </c>
      <c r="N2188" s="26">
        <f>IF($H2188="","",TODAY()-$H2188)</f>
        <v/>
      </c>
      <c r="O2188" s="15" t="n"/>
      <c r="P2188" s="15" t="n"/>
      <c r="Q2188" s="15" t="n"/>
      <c r="R2188" s="25" t="n"/>
      <c r="S2188" s="26">
        <f>IF($A2188="","",AND(OR('Assignment Builder'!$B$5="",$B2188='Assignment Builder'!$B$5),OR('Assignment Builder'!$B$6="",ISNUMBER(SEARCH('Assignment Builder'!$B$6,$C2188))),OR('Assignment Builder'!$B$7="",'Assignment Builder'!$B$7=IFERROR(INDEX('Category Dictionary'!$C$5:$C$135,MATCH($L2188,'Category Dictionary'!$D$5:$D$135,0)),"")),OR('Assignment Builder'!$B$8="",$D2188='Assignment Builder'!$B$8),OR('Assignment Builder'!$B$9="",$F2188='Assignment Builder'!$B$9),OR('Assignment Builder'!$B$10="",$O2188='Assignment Builder'!$B$10),OR('Assignment Builder'!$B$11="",$H2188&gt;='Assignment Builder'!$B$11),OR('Assignment Builder'!$B$12="",N($Q2188)&lt;='Assignment Builder'!$B$12)))</f>
        <v/>
      </c>
      <c r="T2188" s="23" t="n"/>
    </row>
    <row r="2189">
      <c r="A2189" s="23" t="n"/>
      <c r="B2189" s="23" t="n"/>
      <c r="C2189" s="24" t="n"/>
      <c r="D2189" s="15" t="n"/>
      <c r="E2189" s="23" t="n"/>
      <c r="F2189" s="15" t="n"/>
      <c r="G2189" s="23" t="n"/>
      <c r="H2189" s="25" t="n"/>
      <c r="I2189" s="15" t="n"/>
      <c r="J2189" s="26">
        <f>IF($A2189="","",LEN($C2189)-LEN(SUBSTITUTE($C2189,",",""))+1)</f>
        <v/>
      </c>
      <c r="K2189" s="26">
        <f>IF($A2189="","",SUMPRODUCT(--ISNUMBER(SEARCH('Category Dictionary'!$D$5:$D$135&amp;"",$C2189)),--('Category Dictionary'!$D$5:$D$135&lt;&gt;"")))</f>
        <v/>
      </c>
      <c r="L2189" s="27">
        <f>IF($A2189="","",TRIM(IF(ISERROR(FIND(",",$C2189)),$C2189,LEFT($C2189,FIND(",",$C2189)-1))))</f>
        <v/>
      </c>
      <c r="M2189" s="28">
        <f>IF($H2189="","",DATE(YEAR($H2189),MONTH($H2189),1))</f>
        <v/>
      </c>
      <c r="N2189" s="26">
        <f>IF($H2189="","",TODAY()-$H2189)</f>
        <v/>
      </c>
      <c r="O2189" s="15" t="n"/>
      <c r="P2189" s="15" t="n"/>
      <c r="Q2189" s="15" t="n"/>
      <c r="R2189" s="25" t="n"/>
      <c r="S2189" s="26">
        <f>IF($A2189="","",AND(OR('Assignment Builder'!$B$5="",$B2189='Assignment Builder'!$B$5),OR('Assignment Builder'!$B$6="",ISNUMBER(SEARCH('Assignment Builder'!$B$6,$C2189))),OR('Assignment Builder'!$B$7="",'Assignment Builder'!$B$7=IFERROR(INDEX('Category Dictionary'!$C$5:$C$135,MATCH($L2189,'Category Dictionary'!$D$5:$D$135,0)),"")),OR('Assignment Builder'!$B$8="",$D2189='Assignment Builder'!$B$8),OR('Assignment Builder'!$B$9="",$F2189='Assignment Builder'!$B$9),OR('Assignment Builder'!$B$10="",$O2189='Assignment Builder'!$B$10),OR('Assignment Builder'!$B$11="",$H2189&gt;='Assignment Builder'!$B$11),OR('Assignment Builder'!$B$12="",N($Q2189)&lt;='Assignment Builder'!$B$12)))</f>
        <v/>
      </c>
      <c r="T2189" s="23" t="n"/>
    </row>
    <row r="2190">
      <c r="A2190" s="23" t="n"/>
      <c r="B2190" s="23" t="n"/>
      <c r="C2190" s="24" t="n"/>
      <c r="D2190" s="15" t="n"/>
      <c r="E2190" s="23" t="n"/>
      <c r="F2190" s="15" t="n"/>
      <c r="G2190" s="23" t="n"/>
      <c r="H2190" s="25" t="n"/>
      <c r="I2190" s="15" t="n"/>
      <c r="J2190" s="26">
        <f>IF($A2190="","",LEN($C2190)-LEN(SUBSTITUTE($C2190,",",""))+1)</f>
        <v/>
      </c>
      <c r="K2190" s="26">
        <f>IF($A2190="","",SUMPRODUCT(--ISNUMBER(SEARCH('Category Dictionary'!$D$5:$D$135&amp;"",$C2190)),--('Category Dictionary'!$D$5:$D$135&lt;&gt;"")))</f>
        <v/>
      </c>
      <c r="L2190" s="27">
        <f>IF($A2190="","",TRIM(IF(ISERROR(FIND(",",$C2190)),$C2190,LEFT($C2190,FIND(",",$C2190)-1))))</f>
        <v/>
      </c>
      <c r="M2190" s="28">
        <f>IF($H2190="","",DATE(YEAR($H2190),MONTH($H2190),1))</f>
        <v/>
      </c>
      <c r="N2190" s="26">
        <f>IF($H2190="","",TODAY()-$H2190)</f>
        <v/>
      </c>
      <c r="O2190" s="15" t="n"/>
      <c r="P2190" s="15" t="n"/>
      <c r="Q2190" s="15" t="n"/>
      <c r="R2190" s="25" t="n"/>
      <c r="S2190" s="26">
        <f>IF($A2190="","",AND(OR('Assignment Builder'!$B$5="",$B2190='Assignment Builder'!$B$5),OR('Assignment Builder'!$B$6="",ISNUMBER(SEARCH('Assignment Builder'!$B$6,$C2190))),OR('Assignment Builder'!$B$7="",'Assignment Builder'!$B$7=IFERROR(INDEX('Category Dictionary'!$C$5:$C$135,MATCH($L2190,'Category Dictionary'!$D$5:$D$135,0)),"")),OR('Assignment Builder'!$B$8="",$D2190='Assignment Builder'!$B$8),OR('Assignment Builder'!$B$9="",$F2190='Assignment Builder'!$B$9),OR('Assignment Builder'!$B$10="",$O2190='Assignment Builder'!$B$10),OR('Assignment Builder'!$B$11="",$H2190&gt;='Assignment Builder'!$B$11),OR('Assignment Builder'!$B$12="",N($Q2190)&lt;='Assignment Builder'!$B$12)))</f>
        <v/>
      </c>
      <c r="T2190" s="23" t="n"/>
    </row>
    <row r="2191">
      <c r="A2191" s="23" t="n"/>
      <c r="B2191" s="23" t="n"/>
      <c r="C2191" s="24" t="n"/>
      <c r="D2191" s="15" t="n"/>
      <c r="E2191" s="23" t="n"/>
      <c r="F2191" s="15" t="n"/>
      <c r="G2191" s="23" t="n"/>
      <c r="H2191" s="25" t="n"/>
      <c r="I2191" s="15" t="n"/>
      <c r="J2191" s="26">
        <f>IF($A2191="","",LEN($C2191)-LEN(SUBSTITUTE($C2191,",",""))+1)</f>
        <v/>
      </c>
      <c r="K2191" s="26">
        <f>IF($A2191="","",SUMPRODUCT(--ISNUMBER(SEARCH('Category Dictionary'!$D$5:$D$135&amp;"",$C2191)),--('Category Dictionary'!$D$5:$D$135&lt;&gt;"")))</f>
        <v/>
      </c>
      <c r="L2191" s="27">
        <f>IF($A2191="","",TRIM(IF(ISERROR(FIND(",",$C2191)),$C2191,LEFT($C2191,FIND(",",$C2191)-1))))</f>
        <v/>
      </c>
      <c r="M2191" s="28">
        <f>IF($H2191="","",DATE(YEAR($H2191),MONTH($H2191),1))</f>
        <v/>
      </c>
      <c r="N2191" s="26">
        <f>IF($H2191="","",TODAY()-$H2191)</f>
        <v/>
      </c>
      <c r="O2191" s="15" t="n"/>
      <c r="P2191" s="15" t="n"/>
      <c r="Q2191" s="15" t="n"/>
      <c r="R2191" s="25" t="n"/>
      <c r="S2191" s="26">
        <f>IF($A2191="","",AND(OR('Assignment Builder'!$B$5="",$B2191='Assignment Builder'!$B$5),OR('Assignment Builder'!$B$6="",ISNUMBER(SEARCH('Assignment Builder'!$B$6,$C2191))),OR('Assignment Builder'!$B$7="",'Assignment Builder'!$B$7=IFERROR(INDEX('Category Dictionary'!$C$5:$C$135,MATCH($L2191,'Category Dictionary'!$D$5:$D$135,0)),"")),OR('Assignment Builder'!$B$8="",$D2191='Assignment Builder'!$B$8),OR('Assignment Builder'!$B$9="",$F2191='Assignment Builder'!$B$9),OR('Assignment Builder'!$B$10="",$O2191='Assignment Builder'!$B$10),OR('Assignment Builder'!$B$11="",$H2191&gt;='Assignment Builder'!$B$11),OR('Assignment Builder'!$B$12="",N($Q2191)&lt;='Assignment Builder'!$B$12)))</f>
        <v/>
      </c>
      <c r="T2191" s="23" t="n"/>
    </row>
    <row r="2192">
      <c r="A2192" s="23" t="n"/>
      <c r="B2192" s="23" t="n"/>
      <c r="C2192" s="24" t="n"/>
      <c r="D2192" s="15" t="n"/>
      <c r="E2192" s="23" t="n"/>
      <c r="F2192" s="15" t="n"/>
      <c r="G2192" s="23" t="n"/>
      <c r="H2192" s="25" t="n"/>
      <c r="I2192" s="15" t="n"/>
      <c r="J2192" s="26">
        <f>IF($A2192="","",LEN($C2192)-LEN(SUBSTITUTE($C2192,",",""))+1)</f>
        <v/>
      </c>
      <c r="K2192" s="26">
        <f>IF($A2192="","",SUMPRODUCT(--ISNUMBER(SEARCH('Category Dictionary'!$D$5:$D$135&amp;"",$C2192)),--('Category Dictionary'!$D$5:$D$135&lt;&gt;"")))</f>
        <v/>
      </c>
      <c r="L2192" s="27">
        <f>IF($A2192="","",TRIM(IF(ISERROR(FIND(",",$C2192)),$C2192,LEFT($C2192,FIND(",",$C2192)-1))))</f>
        <v/>
      </c>
      <c r="M2192" s="28">
        <f>IF($H2192="","",DATE(YEAR($H2192),MONTH($H2192),1))</f>
        <v/>
      </c>
      <c r="N2192" s="26">
        <f>IF($H2192="","",TODAY()-$H2192)</f>
        <v/>
      </c>
      <c r="O2192" s="15" t="n"/>
      <c r="P2192" s="15" t="n"/>
      <c r="Q2192" s="15" t="n"/>
      <c r="R2192" s="25" t="n"/>
      <c r="S2192" s="26">
        <f>IF($A2192="","",AND(OR('Assignment Builder'!$B$5="",$B2192='Assignment Builder'!$B$5),OR('Assignment Builder'!$B$6="",ISNUMBER(SEARCH('Assignment Builder'!$B$6,$C2192))),OR('Assignment Builder'!$B$7="",'Assignment Builder'!$B$7=IFERROR(INDEX('Category Dictionary'!$C$5:$C$135,MATCH($L2192,'Category Dictionary'!$D$5:$D$135,0)),"")),OR('Assignment Builder'!$B$8="",$D2192='Assignment Builder'!$B$8),OR('Assignment Builder'!$B$9="",$F2192='Assignment Builder'!$B$9),OR('Assignment Builder'!$B$10="",$O2192='Assignment Builder'!$B$10),OR('Assignment Builder'!$B$11="",$H2192&gt;='Assignment Builder'!$B$11),OR('Assignment Builder'!$B$12="",N($Q2192)&lt;='Assignment Builder'!$B$12)))</f>
        <v/>
      </c>
      <c r="T2192" s="23" t="n"/>
    </row>
    <row r="2193">
      <c r="A2193" s="23" t="n"/>
      <c r="B2193" s="23" t="n"/>
      <c r="C2193" s="24" t="n"/>
      <c r="D2193" s="15" t="n"/>
      <c r="E2193" s="23" t="n"/>
      <c r="F2193" s="15" t="n"/>
      <c r="G2193" s="23" t="n"/>
      <c r="H2193" s="25" t="n"/>
      <c r="I2193" s="15" t="n"/>
      <c r="J2193" s="26">
        <f>IF($A2193="","",LEN($C2193)-LEN(SUBSTITUTE($C2193,",",""))+1)</f>
        <v/>
      </c>
      <c r="K2193" s="26">
        <f>IF($A2193="","",SUMPRODUCT(--ISNUMBER(SEARCH('Category Dictionary'!$D$5:$D$135&amp;"",$C2193)),--('Category Dictionary'!$D$5:$D$135&lt;&gt;"")))</f>
        <v/>
      </c>
      <c r="L2193" s="27">
        <f>IF($A2193="","",TRIM(IF(ISERROR(FIND(",",$C2193)),$C2193,LEFT($C2193,FIND(",",$C2193)-1))))</f>
        <v/>
      </c>
      <c r="M2193" s="28">
        <f>IF($H2193="","",DATE(YEAR($H2193),MONTH($H2193),1))</f>
        <v/>
      </c>
      <c r="N2193" s="26">
        <f>IF($H2193="","",TODAY()-$H2193)</f>
        <v/>
      </c>
      <c r="O2193" s="15" t="n"/>
      <c r="P2193" s="15" t="n"/>
      <c r="Q2193" s="15" t="n"/>
      <c r="R2193" s="25" t="n"/>
      <c r="S2193" s="26">
        <f>IF($A2193="","",AND(OR('Assignment Builder'!$B$5="",$B2193='Assignment Builder'!$B$5),OR('Assignment Builder'!$B$6="",ISNUMBER(SEARCH('Assignment Builder'!$B$6,$C2193))),OR('Assignment Builder'!$B$7="",'Assignment Builder'!$B$7=IFERROR(INDEX('Category Dictionary'!$C$5:$C$135,MATCH($L2193,'Category Dictionary'!$D$5:$D$135,0)),"")),OR('Assignment Builder'!$B$8="",$D2193='Assignment Builder'!$B$8),OR('Assignment Builder'!$B$9="",$F2193='Assignment Builder'!$B$9),OR('Assignment Builder'!$B$10="",$O2193='Assignment Builder'!$B$10),OR('Assignment Builder'!$B$11="",$H2193&gt;='Assignment Builder'!$B$11),OR('Assignment Builder'!$B$12="",N($Q2193)&lt;='Assignment Builder'!$B$12)))</f>
        <v/>
      </c>
      <c r="T2193" s="23" t="n"/>
    </row>
    <row r="2194">
      <c r="A2194" s="23" t="n"/>
      <c r="B2194" s="23" t="n"/>
      <c r="C2194" s="24" t="n"/>
      <c r="D2194" s="15" t="n"/>
      <c r="E2194" s="23" t="n"/>
      <c r="F2194" s="15" t="n"/>
      <c r="G2194" s="23" t="n"/>
      <c r="H2194" s="25" t="n"/>
      <c r="I2194" s="15" t="n"/>
      <c r="J2194" s="26">
        <f>IF($A2194="","",LEN($C2194)-LEN(SUBSTITUTE($C2194,",",""))+1)</f>
        <v/>
      </c>
      <c r="K2194" s="26">
        <f>IF($A2194="","",SUMPRODUCT(--ISNUMBER(SEARCH('Category Dictionary'!$D$5:$D$135&amp;"",$C2194)),--('Category Dictionary'!$D$5:$D$135&lt;&gt;"")))</f>
        <v/>
      </c>
      <c r="L2194" s="27">
        <f>IF($A2194="","",TRIM(IF(ISERROR(FIND(",",$C2194)),$C2194,LEFT($C2194,FIND(",",$C2194)-1))))</f>
        <v/>
      </c>
      <c r="M2194" s="28">
        <f>IF($H2194="","",DATE(YEAR($H2194),MONTH($H2194),1))</f>
        <v/>
      </c>
      <c r="N2194" s="26">
        <f>IF($H2194="","",TODAY()-$H2194)</f>
        <v/>
      </c>
      <c r="O2194" s="15" t="n"/>
      <c r="P2194" s="15" t="n"/>
      <c r="Q2194" s="15" t="n"/>
      <c r="R2194" s="25" t="n"/>
      <c r="S2194" s="26">
        <f>IF($A2194="","",AND(OR('Assignment Builder'!$B$5="",$B2194='Assignment Builder'!$B$5),OR('Assignment Builder'!$B$6="",ISNUMBER(SEARCH('Assignment Builder'!$B$6,$C2194))),OR('Assignment Builder'!$B$7="",'Assignment Builder'!$B$7=IFERROR(INDEX('Category Dictionary'!$C$5:$C$135,MATCH($L2194,'Category Dictionary'!$D$5:$D$135,0)),"")),OR('Assignment Builder'!$B$8="",$D2194='Assignment Builder'!$B$8),OR('Assignment Builder'!$B$9="",$F2194='Assignment Builder'!$B$9),OR('Assignment Builder'!$B$10="",$O2194='Assignment Builder'!$B$10),OR('Assignment Builder'!$B$11="",$H2194&gt;='Assignment Builder'!$B$11),OR('Assignment Builder'!$B$12="",N($Q2194)&lt;='Assignment Builder'!$B$12)))</f>
        <v/>
      </c>
      <c r="T2194" s="23" t="n"/>
    </row>
    <row r="2195">
      <c r="A2195" s="23" t="n"/>
      <c r="B2195" s="23" t="n"/>
      <c r="C2195" s="24" t="n"/>
      <c r="D2195" s="15" t="n"/>
      <c r="E2195" s="23" t="n"/>
      <c r="F2195" s="15" t="n"/>
      <c r="G2195" s="23" t="n"/>
      <c r="H2195" s="25" t="n"/>
      <c r="I2195" s="15" t="n"/>
      <c r="J2195" s="26">
        <f>IF($A2195="","",LEN($C2195)-LEN(SUBSTITUTE($C2195,",",""))+1)</f>
        <v/>
      </c>
      <c r="K2195" s="26">
        <f>IF($A2195="","",SUMPRODUCT(--ISNUMBER(SEARCH('Category Dictionary'!$D$5:$D$135&amp;"",$C2195)),--('Category Dictionary'!$D$5:$D$135&lt;&gt;"")))</f>
        <v/>
      </c>
      <c r="L2195" s="27">
        <f>IF($A2195="","",TRIM(IF(ISERROR(FIND(",",$C2195)),$C2195,LEFT($C2195,FIND(",",$C2195)-1))))</f>
        <v/>
      </c>
      <c r="M2195" s="28">
        <f>IF($H2195="","",DATE(YEAR($H2195),MONTH($H2195),1))</f>
        <v/>
      </c>
      <c r="N2195" s="26">
        <f>IF($H2195="","",TODAY()-$H2195)</f>
        <v/>
      </c>
      <c r="O2195" s="15" t="n"/>
      <c r="P2195" s="15" t="n"/>
      <c r="Q2195" s="15" t="n"/>
      <c r="R2195" s="25" t="n"/>
      <c r="S2195" s="26">
        <f>IF($A2195="","",AND(OR('Assignment Builder'!$B$5="",$B2195='Assignment Builder'!$B$5),OR('Assignment Builder'!$B$6="",ISNUMBER(SEARCH('Assignment Builder'!$B$6,$C2195))),OR('Assignment Builder'!$B$7="",'Assignment Builder'!$B$7=IFERROR(INDEX('Category Dictionary'!$C$5:$C$135,MATCH($L2195,'Category Dictionary'!$D$5:$D$135,0)),"")),OR('Assignment Builder'!$B$8="",$D2195='Assignment Builder'!$B$8),OR('Assignment Builder'!$B$9="",$F2195='Assignment Builder'!$B$9),OR('Assignment Builder'!$B$10="",$O2195='Assignment Builder'!$B$10),OR('Assignment Builder'!$B$11="",$H2195&gt;='Assignment Builder'!$B$11),OR('Assignment Builder'!$B$12="",N($Q2195)&lt;='Assignment Builder'!$B$12)))</f>
        <v/>
      </c>
      <c r="T2195" s="23" t="n"/>
    </row>
    <row r="2196">
      <c r="A2196" s="23" t="n"/>
      <c r="B2196" s="23" t="n"/>
      <c r="C2196" s="24" t="n"/>
      <c r="D2196" s="15" t="n"/>
      <c r="E2196" s="23" t="n"/>
      <c r="F2196" s="15" t="n"/>
      <c r="G2196" s="23" t="n"/>
      <c r="H2196" s="25" t="n"/>
      <c r="I2196" s="15" t="n"/>
      <c r="J2196" s="26">
        <f>IF($A2196="","",LEN($C2196)-LEN(SUBSTITUTE($C2196,",",""))+1)</f>
        <v/>
      </c>
      <c r="K2196" s="26">
        <f>IF($A2196="","",SUMPRODUCT(--ISNUMBER(SEARCH('Category Dictionary'!$D$5:$D$135&amp;"",$C2196)),--('Category Dictionary'!$D$5:$D$135&lt;&gt;"")))</f>
        <v/>
      </c>
      <c r="L2196" s="27">
        <f>IF($A2196="","",TRIM(IF(ISERROR(FIND(",",$C2196)),$C2196,LEFT($C2196,FIND(",",$C2196)-1))))</f>
        <v/>
      </c>
      <c r="M2196" s="28">
        <f>IF($H2196="","",DATE(YEAR($H2196),MONTH($H2196),1))</f>
        <v/>
      </c>
      <c r="N2196" s="26">
        <f>IF($H2196="","",TODAY()-$H2196)</f>
        <v/>
      </c>
      <c r="O2196" s="15" t="n"/>
      <c r="P2196" s="15" t="n"/>
      <c r="Q2196" s="15" t="n"/>
      <c r="R2196" s="25" t="n"/>
      <c r="S2196" s="26">
        <f>IF($A2196="","",AND(OR('Assignment Builder'!$B$5="",$B2196='Assignment Builder'!$B$5),OR('Assignment Builder'!$B$6="",ISNUMBER(SEARCH('Assignment Builder'!$B$6,$C2196))),OR('Assignment Builder'!$B$7="",'Assignment Builder'!$B$7=IFERROR(INDEX('Category Dictionary'!$C$5:$C$135,MATCH($L2196,'Category Dictionary'!$D$5:$D$135,0)),"")),OR('Assignment Builder'!$B$8="",$D2196='Assignment Builder'!$B$8),OR('Assignment Builder'!$B$9="",$F2196='Assignment Builder'!$B$9),OR('Assignment Builder'!$B$10="",$O2196='Assignment Builder'!$B$10),OR('Assignment Builder'!$B$11="",$H2196&gt;='Assignment Builder'!$B$11),OR('Assignment Builder'!$B$12="",N($Q2196)&lt;='Assignment Builder'!$B$12)))</f>
        <v/>
      </c>
      <c r="T2196" s="23" t="n"/>
    </row>
    <row r="2197">
      <c r="A2197" s="23" t="n"/>
      <c r="B2197" s="23" t="n"/>
      <c r="C2197" s="24" t="n"/>
      <c r="D2197" s="15" t="n"/>
      <c r="E2197" s="23" t="n"/>
      <c r="F2197" s="15" t="n"/>
      <c r="G2197" s="23" t="n"/>
      <c r="H2197" s="25" t="n"/>
      <c r="I2197" s="15" t="n"/>
      <c r="J2197" s="26">
        <f>IF($A2197="","",LEN($C2197)-LEN(SUBSTITUTE($C2197,",",""))+1)</f>
        <v/>
      </c>
      <c r="K2197" s="26">
        <f>IF($A2197="","",SUMPRODUCT(--ISNUMBER(SEARCH('Category Dictionary'!$D$5:$D$135&amp;"",$C2197)),--('Category Dictionary'!$D$5:$D$135&lt;&gt;"")))</f>
        <v/>
      </c>
      <c r="L2197" s="27">
        <f>IF($A2197="","",TRIM(IF(ISERROR(FIND(",",$C2197)),$C2197,LEFT($C2197,FIND(",",$C2197)-1))))</f>
        <v/>
      </c>
      <c r="M2197" s="28">
        <f>IF($H2197="","",DATE(YEAR($H2197),MONTH($H2197),1))</f>
        <v/>
      </c>
      <c r="N2197" s="26">
        <f>IF($H2197="","",TODAY()-$H2197)</f>
        <v/>
      </c>
      <c r="O2197" s="15" t="n"/>
      <c r="P2197" s="15" t="n"/>
      <c r="Q2197" s="15" t="n"/>
      <c r="R2197" s="25" t="n"/>
      <c r="S2197" s="26">
        <f>IF($A2197="","",AND(OR('Assignment Builder'!$B$5="",$B2197='Assignment Builder'!$B$5),OR('Assignment Builder'!$B$6="",ISNUMBER(SEARCH('Assignment Builder'!$B$6,$C2197))),OR('Assignment Builder'!$B$7="",'Assignment Builder'!$B$7=IFERROR(INDEX('Category Dictionary'!$C$5:$C$135,MATCH($L2197,'Category Dictionary'!$D$5:$D$135,0)),"")),OR('Assignment Builder'!$B$8="",$D2197='Assignment Builder'!$B$8),OR('Assignment Builder'!$B$9="",$F2197='Assignment Builder'!$B$9),OR('Assignment Builder'!$B$10="",$O2197='Assignment Builder'!$B$10),OR('Assignment Builder'!$B$11="",$H2197&gt;='Assignment Builder'!$B$11),OR('Assignment Builder'!$B$12="",N($Q2197)&lt;='Assignment Builder'!$B$12)))</f>
        <v/>
      </c>
      <c r="T2197" s="23" t="n"/>
    </row>
    <row r="2198">
      <c r="A2198" s="23" t="n"/>
      <c r="B2198" s="23" t="n"/>
      <c r="C2198" s="24" t="n"/>
      <c r="D2198" s="15" t="n"/>
      <c r="E2198" s="23" t="n"/>
      <c r="F2198" s="15" t="n"/>
      <c r="G2198" s="23" t="n"/>
      <c r="H2198" s="25" t="n"/>
      <c r="I2198" s="15" t="n"/>
      <c r="J2198" s="26">
        <f>IF($A2198="","",LEN($C2198)-LEN(SUBSTITUTE($C2198,",",""))+1)</f>
        <v/>
      </c>
      <c r="K2198" s="26">
        <f>IF($A2198="","",SUMPRODUCT(--ISNUMBER(SEARCH('Category Dictionary'!$D$5:$D$135&amp;"",$C2198)),--('Category Dictionary'!$D$5:$D$135&lt;&gt;"")))</f>
        <v/>
      </c>
      <c r="L2198" s="27">
        <f>IF($A2198="","",TRIM(IF(ISERROR(FIND(",",$C2198)),$C2198,LEFT($C2198,FIND(",",$C2198)-1))))</f>
        <v/>
      </c>
      <c r="M2198" s="28">
        <f>IF($H2198="","",DATE(YEAR($H2198),MONTH($H2198),1))</f>
        <v/>
      </c>
      <c r="N2198" s="26">
        <f>IF($H2198="","",TODAY()-$H2198)</f>
        <v/>
      </c>
      <c r="O2198" s="15" t="n"/>
      <c r="P2198" s="15" t="n"/>
      <c r="Q2198" s="15" t="n"/>
      <c r="R2198" s="25" t="n"/>
      <c r="S2198" s="26">
        <f>IF($A2198="","",AND(OR('Assignment Builder'!$B$5="",$B2198='Assignment Builder'!$B$5),OR('Assignment Builder'!$B$6="",ISNUMBER(SEARCH('Assignment Builder'!$B$6,$C2198))),OR('Assignment Builder'!$B$7="",'Assignment Builder'!$B$7=IFERROR(INDEX('Category Dictionary'!$C$5:$C$135,MATCH($L2198,'Category Dictionary'!$D$5:$D$135,0)),"")),OR('Assignment Builder'!$B$8="",$D2198='Assignment Builder'!$B$8),OR('Assignment Builder'!$B$9="",$F2198='Assignment Builder'!$B$9),OR('Assignment Builder'!$B$10="",$O2198='Assignment Builder'!$B$10),OR('Assignment Builder'!$B$11="",$H2198&gt;='Assignment Builder'!$B$11),OR('Assignment Builder'!$B$12="",N($Q2198)&lt;='Assignment Builder'!$B$12)))</f>
        <v/>
      </c>
      <c r="T2198" s="23" t="n"/>
    </row>
    <row r="2199">
      <c r="A2199" s="23" t="n"/>
      <c r="B2199" s="23" t="n"/>
      <c r="C2199" s="24" t="n"/>
      <c r="D2199" s="15" t="n"/>
      <c r="E2199" s="23" t="n"/>
      <c r="F2199" s="15" t="n"/>
      <c r="G2199" s="23" t="n"/>
      <c r="H2199" s="25" t="n"/>
      <c r="I2199" s="15" t="n"/>
      <c r="J2199" s="26">
        <f>IF($A2199="","",LEN($C2199)-LEN(SUBSTITUTE($C2199,",",""))+1)</f>
        <v/>
      </c>
      <c r="K2199" s="26">
        <f>IF($A2199="","",SUMPRODUCT(--ISNUMBER(SEARCH('Category Dictionary'!$D$5:$D$135&amp;"",$C2199)),--('Category Dictionary'!$D$5:$D$135&lt;&gt;"")))</f>
        <v/>
      </c>
      <c r="L2199" s="27">
        <f>IF($A2199="","",TRIM(IF(ISERROR(FIND(",",$C2199)),$C2199,LEFT($C2199,FIND(",",$C2199)-1))))</f>
        <v/>
      </c>
      <c r="M2199" s="28">
        <f>IF($H2199="","",DATE(YEAR($H2199),MONTH($H2199),1))</f>
        <v/>
      </c>
      <c r="N2199" s="26">
        <f>IF($H2199="","",TODAY()-$H2199)</f>
        <v/>
      </c>
      <c r="O2199" s="15" t="n"/>
      <c r="P2199" s="15" t="n"/>
      <c r="Q2199" s="15" t="n"/>
      <c r="R2199" s="25" t="n"/>
      <c r="S2199" s="26">
        <f>IF($A2199="","",AND(OR('Assignment Builder'!$B$5="",$B2199='Assignment Builder'!$B$5),OR('Assignment Builder'!$B$6="",ISNUMBER(SEARCH('Assignment Builder'!$B$6,$C2199))),OR('Assignment Builder'!$B$7="",'Assignment Builder'!$B$7=IFERROR(INDEX('Category Dictionary'!$C$5:$C$135,MATCH($L2199,'Category Dictionary'!$D$5:$D$135,0)),"")),OR('Assignment Builder'!$B$8="",$D2199='Assignment Builder'!$B$8),OR('Assignment Builder'!$B$9="",$F2199='Assignment Builder'!$B$9),OR('Assignment Builder'!$B$10="",$O2199='Assignment Builder'!$B$10),OR('Assignment Builder'!$B$11="",$H2199&gt;='Assignment Builder'!$B$11),OR('Assignment Builder'!$B$12="",N($Q2199)&lt;='Assignment Builder'!$B$12)))</f>
        <v/>
      </c>
      <c r="T2199" s="23" t="n"/>
    </row>
    <row r="2200">
      <c r="A2200" s="23" t="n"/>
      <c r="B2200" s="23" t="n"/>
      <c r="C2200" s="24" t="n"/>
      <c r="D2200" s="15" t="n"/>
      <c r="E2200" s="23" t="n"/>
      <c r="F2200" s="15" t="n"/>
      <c r="G2200" s="23" t="n"/>
      <c r="H2200" s="25" t="n"/>
      <c r="I2200" s="15" t="n"/>
      <c r="J2200" s="26">
        <f>IF($A2200="","",LEN($C2200)-LEN(SUBSTITUTE($C2200,",",""))+1)</f>
        <v/>
      </c>
      <c r="K2200" s="26">
        <f>IF($A2200="","",SUMPRODUCT(--ISNUMBER(SEARCH('Category Dictionary'!$D$5:$D$135&amp;"",$C2200)),--('Category Dictionary'!$D$5:$D$135&lt;&gt;"")))</f>
        <v/>
      </c>
      <c r="L2200" s="27">
        <f>IF($A2200="","",TRIM(IF(ISERROR(FIND(",",$C2200)),$C2200,LEFT($C2200,FIND(",",$C2200)-1))))</f>
        <v/>
      </c>
      <c r="M2200" s="28">
        <f>IF($H2200="","",DATE(YEAR($H2200),MONTH($H2200),1))</f>
        <v/>
      </c>
      <c r="N2200" s="26">
        <f>IF($H2200="","",TODAY()-$H2200)</f>
        <v/>
      </c>
      <c r="O2200" s="15" t="n"/>
      <c r="P2200" s="15" t="n"/>
      <c r="Q2200" s="15" t="n"/>
      <c r="R2200" s="25" t="n"/>
      <c r="S2200" s="26">
        <f>IF($A2200="","",AND(OR('Assignment Builder'!$B$5="",$B2200='Assignment Builder'!$B$5),OR('Assignment Builder'!$B$6="",ISNUMBER(SEARCH('Assignment Builder'!$B$6,$C2200))),OR('Assignment Builder'!$B$7="",'Assignment Builder'!$B$7=IFERROR(INDEX('Category Dictionary'!$C$5:$C$135,MATCH($L2200,'Category Dictionary'!$D$5:$D$135,0)),"")),OR('Assignment Builder'!$B$8="",$D2200='Assignment Builder'!$B$8),OR('Assignment Builder'!$B$9="",$F2200='Assignment Builder'!$B$9),OR('Assignment Builder'!$B$10="",$O2200='Assignment Builder'!$B$10),OR('Assignment Builder'!$B$11="",$H2200&gt;='Assignment Builder'!$B$11),OR('Assignment Builder'!$B$12="",N($Q2200)&lt;='Assignment Builder'!$B$12)))</f>
        <v/>
      </c>
      <c r="T2200" s="23" t="n"/>
    </row>
    <row r="2201">
      <c r="A2201" s="23" t="n"/>
      <c r="B2201" s="23" t="n"/>
      <c r="C2201" s="24" t="n"/>
      <c r="D2201" s="15" t="n"/>
      <c r="E2201" s="23" t="n"/>
      <c r="F2201" s="15" t="n"/>
      <c r="G2201" s="23" t="n"/>
      <c r="H2201" s="25" t="n"/>
      <c r="I2201" s="15" t="n"/>
      <c r="J2201" s="26">
        <f>IF($A2201="","",LEN($C2201)-LEN(SUBSTITUTE($C2201,",",""))+1)</f>
        <v/>
      </c>
      <c r="K2201" s="26">
        <f>IF($A2201="","",SUMPRODUCT(--ISNUMBER(SEARCH('Category Dictionary'!$D$5:$D$135&amp;"",$C2201)),--('Category Dictionary'!$D$5:$D$135&lt;&gt;"")))</f>
        <v/>
      </c>
      <c r="L2201" s="27">
        <f>IF($A2201="","",TRIM(IF(ISERROR(FIND(",",$C2201)),$C2201,LEFT($C2201,FIND(",",$C2201)-1))))</f>
        <v/>
      </c>
      <c r="M2201" s="28">
        <f>IF($H2201="","",DATE(YEAR($H2201),MONTH($H2201),1))</f>
        <v/>
      </c>
      <c r="N2201" s="26">
        <f>IF($H2201="","",TODAY()-$H2201)</f>
        <v/>
      </c>
      <c r="O2201" s="15" t="n"/>
      <c r="P2201" s="15" t="n"/>
      <c r="Q2201" s="15" t="n"/>
      <c r="R2201" s="25" t="n"/>
      <c r="S2201" s="26">
        <f>IF($A2201="","",AND(OR('Assignment Builder'!$B$5="",$B2201='Assignment Builder'!$B$5),OR('Assignment Builder'!$B$6="",ISNUMBER(SEARCH('Assignment Builder'!$B$6,$C2201))),OR('Assignment Builder'!$B$7="",'Assignment Builder'!$B$7=IFERROR(INDEX('Category Dictionary'!$C$5:$C$135,MATCH($L2201,'Category Dictionary'!$D$5:$D$135,0)),"")),OR('Assignment Builder'!$B$8="",$D2201='Assignment Builder'!$B$8),OR('Assignment Builder'!$B$9="",$F2201='Assignment Builder'!$B$9),OR('Assignment Builder'!$B$10="",$O2201='Assignment Builder'!$B$10),OR('Assignment Builder'!$B$11="",$H2201&gt;='Assignment Builder'!$B$11),OR('Assignment Builder'!$B$12="",N($Q2201)&lt;='Assignment Builder'!$B$12)))</f>
        <v/>
      </c>
      <c r="T2201" s="23" t="n"/>
    </row>
    <row r="2202">
      <c r="A2202" s="23" t="n"/>
      <c r="B2202" s="23" t="n"/>
      <c r="C2202" s="24" t="n"/>
      <c r="D2202" s="15" t="n"/>
      <c r="E2202" s="23" t="n"/>
      <c r="F2202" s="15" t="n"/>
      <c r="G2202" s="23" t="n"/>
      <c r="H2202" s="25" t="n"/>
      <c r="I2202" s="15" t="n"/>
      <c r="J2202" s="26">
        <f>IF($A2202="","",LEN($C2202)-LEN(SUBSTITUTE($C2202,",",""))+1)</f>
        <v/>
      </c>
      <c r="K2202" s="26">
        <f>IF($A2202="","",SUMPRODUCT(--ISNUMBER(SEARCH('Category Dictionary'!$D$5:$D$135&amp;"",$C2202)),--('Category Dictionary'!$D$5:$D$135&lt;&gt;"")))</f>
        <v/>
      </c>
      <c r="L2202" s="27">
        <f>IF($A2202="","",TRIM(IF(ISERROR(FIND(",",$C2202)),$C2202,LEFT($C2202,FIND(",",$C2202)-1))))</f>
        <v/>
      </c>
      <c r="M2202" s="28">
        <f>IF($H2202="","",DATE(YEAR($H2202),MONTH($H2202),1))</f>
        <v/>
      </c>
      <c r="N2202" s="26">
        <f>IF($H2202="","",TODAY()-$H2202)</f>
        <v/>
      </c>
      <c r="O2202" s="15" t="n"/>
      <c r="P2202" s="15" t="n"/>
      <c r="Q2202" s="15" t="n"/>
      <c r="R2202" s="25" t="n"/>
      <c r="S2202" s="26">
        <f>IF($A2202="","",AND(OR('Assignment Builder'!$B$5="",$B2202='Assignment Builder'!$B$5),OR('Assignment Builder'!$B$6="",ISNUMBER(SEARCH('Assignment Builder'!$B$6,$C2202))),OR('Assignment Builder'!$B$7="",'Assignment Builder'!$B$7=IFERROR(INDEX('Category Dictionary'!$C$5:$C$135,MATCH($L2202,'Category Dictionary'!$D$5:$D$135,0)),"")),OR('Assignment Builder'!$B$8="",$D2202='Assignment Builder'!$B$8),OR('Assignment Builder'!$B$9="",$F2202='Assignment Builder'!$B$9),OR('Assignment Builder'!$B$10="",$O2202='Assignment Builder'!$B$10),OR('Assignment Builder'!$B$11="",$H2202&gt;='Assignment Builder'!$B$11),OR('Assignment Builder'!$B$12="",N($Q2202)&lt;='Assignment Builder'!$B$12)))</f>
        <v/>
      </c>
      <c r="T2202" s="23" t="n"/>
    </row>
    <row r="2203">
      <c r="A2203" s="23" t="n"/>
      <c r="B2203" s="23" t="n"/>
      <c r="C2203" s="24" t="n"/>
      <c r="D2203" s="15" t="n"/>
      <c r="E2203" s="23" t="n"/>
      <c r="F2203" s="15" t="n"/>
      <c r="G2203" s="23" t="n"/>
      <c r="H2203" s="25" t="n"/>
      <c r="I2203" s="15" t="n"/>
      <c r="J2203" s="26">
        <f>IF($A2203="","",LEN($C2203)-LEN(SUBSTITUTE($C2203,",",""))+1)</f>
        <v/>
      </c>
      <c r="K2203" s="26">
        <f>IF($A2203="","",SUMPRODUCT(--ISNUMBER(SEARCH('Category Dictionary'!$D$5:$D$135&amp;"",$C2203)),--('Category Dictionary'!$D$5:$D$135&lt;&gt;"")))</f>
        <v/>
      </c>
      <c r="L2203" s="27">
        <f>IF($A2203="","",TRIM(IF(ISERROR(FIND(",",$C2203)),$C2203,LEFT($C2203,FIND(",",$C2203)-1))))</f>
        <v/>
      </c>
      <c r="M2203" s="28">
        <f>IF($H2203="","",DATE(YEAR($H2203),MONTH($H2203),1))</f>
        <v/>
      </c>
      <c r="N2203" s="26">
        <f>IF($H2203="","",TODAY()-$H2203)</f>
        <v/>
      </c>
      <c r="O2203" s="15" t="n"/>
      <c r="P2203" s="15" t="n"/>
      <c r="Q2203" s="15" t="n"/>
      <c r="R2203" s="25" t="n"/>
      <c r="S2203" s="26">
        <f>IF($A2203="","",AND(OR('Assignment Builder'!$B$5="",$B2203='Assignment Builder'!$B$5),OR('Assignment Builder'!$B$6="",ISNUMBER(SEARCH('Assignment Builder'!$B$6,$C2203))),OR('Assignment Builder'!$B$7="",'Assignment Builder'!$B$7=IFERROR(INDEX('Category Dictionary'!$C$5:$C$135,MATCH($L2203,'Category Dictionary'!$D$5:$D$135,0)),"")),OR('Assignment Builder'!$B$8="",$D2203='Assignment Builder'!$B$8),OR('Assignment Builder'!$B$9="",$F2203='Assignment Builder'!$B$9),OR('Assignment Builder'!$B$10="",$O2203='Assignment Builder'!$B$10),OR('Assignment Builder'!$B$11="",$H2203&gt;='Assignment Builder'!$B$11),OR('Assignment Builder'!$B$12="",N($Q2203)&lt;='Assignment Builder'!$B$12)))</f>
        <v/>
      </c>
      <c r="T2203" s="23" t="n"/>
    </row>
    <row r="2204">
      <c r="A2204" s="23" t="n"/>
      <c r="B2204" s="23" t="n"/>
      <c r="C2204" s="24" t="n"/>
      <c r="D2204" s="15" t="n"/>
      <c r="E2204" s="23" t="n"/>
      <c r="F2204" s="15" t="n"/>
      <c r="G2204" s="23" t="n"/>
      <c r="H2204" s="25" t="n"/>
      <c r="I2204" s="15" t="n"/>
      <c r="J2204" s="26">
        <f>IF($A2204="","",LEN($C2204)-LEN(SUBSTITUTE($C2204,",",""))+1)</f>
        <v/>
      </c>
      <c r="K2204" s="26">
        <f>IF($A2204="","",SUMPRODUCT(--ISNUMBER(SEARCH('Category Dictionary'!$D$5:$D$135&amp;"",$C2204)),--('Category Dictionary'!$D$5:$D$135&lt;&gt;"")))</f>
        <v/>
      </c>
      <c r="L2204" s="27">
        <f>IF($A2204="","",TRIM(IF(ISERROR(FIND(",",$C2204)),$C2204,LEFT($C2204,FIND(",",$C2204)-1))))</f>
        <v/>
      </c>
      <c r="M2204" s="28">
        <f>IF($H2204="","",DATE(YEAR($H2204),MONTH($H2204),1))</f>
        <v/>
      </c>
      <c r="N2204" s="26">
        <f>IF($H2204="","",TODAY()-$H2204)</f>
        <v/>
      </c>
      <c r="O2204" s="15" t="n"/>
      <c r="P2204" s="15" t="n"/>
      <c r="Q2204" s="15" t="n"/>
      <c r="R2204" s="25" t="n"/>
      <c r="S2204" s="26">
        <f>IF($A2204="","",AND(OR('Assignment Builder'!$B$5="",$B2204='Assignment Builder'!$B$5),OR('Assignment Builder'!$B$6="",ISNUMBER(SEARCH('Assignment Builder'!$B$6,$C2204))),OR('Assignment Builder'!$B$7="",'Assignment Builder'!$B$7=IFERROR(INDEX('Category Dictionary'!$C$5:$C$135,MATCH($L2204,'Category Dictionary'!$D$5:$D$135,0)),"")),OR('Assignment Builder'!$B$8="",$D2204='Assignment Builder'!$B$8),OR('Assignment Builder'!$B$9="",$F2204='Assignment Builder'!$B$9),OR('Assignment Builder'!$B$10="",$O2204='Assignment Builder'!$B$10),OR('Assignment Builder'!$B$11="",$H2204&gt;='Assignment Builder'!$B$11),OR('Assignment Builder'!$B$12="",N($Q2204)&lt;='Assignment Builder'!$B$12)))</f>
        <v/>
      </c>
      <c r="T2204" s="23" t="n"/>
    </row>
    <row r="2205">
      <c r="A2205" s="23" t="n"/>
      <c r="B2205" s="23" t="n"/>
      <c r="C2205" s="24" t="n"/>
      <c r="D2205" s="15" t="n"/>
      <c r="E2205" s="23" t="n"/>
      <c r="F2205" s="15" t="n"/>
      <c r="G2205" s="23" t="n"/>
      <c r="H2205" s="25" t="n"/>
      <c r="I2205" s="15" t="n"/>
      <c r="J2205" s="26">
        <f>IF($A2205="","",LEN($C2205)-LEN(SUBSTITUTE($C2205,",",""))+1)</f>
        <v/>
      </c>
      <c r="K2205" s="26">
        <f>IF($A2205="","",SUMPRODUCT(--ISNUMBER(SEARCH('Category Dictionary'!$D$5:$D$135&amp;"",$C2205)),--('Category Dictionary'!$D$5:$D$135&lt;&gt;"")))</f>
        <v/>
      </c>
      <c r="L2205" s="27">
        <f>IF($A2205="","",TRIM(IF(ISERROR(FIND(",",$C2205)),$C2205,LEFT($C2205,FIND(",",$C2205)-1))))</f>
        <v/>
      </c>
      <c r="M2205" s="28">
        <f>IF($H2205="","",DATE(YEAR($H2205),MONTH($H2205),1))</f>
        <v/>
      </c>
      <c r="N2205" s="26">
        <f>IF($H2205="","",TODAY()-$H2205)</f>
        <v/>
      </c>
      <c r="O2205" s="15" t="n"/>
      <c r="P2205" s="15" t="n"/>
      <c r="Q2205" s="15" t="n"/>
      <c r="R2205" s="25" t="n"/>
      <c r="S2205" s="26">
        <f>IF($A2205="","",AND(OR('Assignment Builder'!$B$5="",$B2205='Assignment Builder'!$B$5),OR('Assignment Builder'!$B$6="",ISNUMBER(SEARCH('Assignment Builder'!$B$6,$C2205))),OR('Assignment Builder'!$B$7="",'Assignment Builder'!$B$7=IFERROR(INDEX('Category Dictionary'!$C$5:$C$135,MATCH($L2205,'Category Dictionary'!$D$5:$D$135,0)),"")),OR('Assignment Builder'!$B$8="",$D2205='Assignment Builder'!$B$8),OR('Assignment Builder'!$B$9="",$F2205='Assignment Builder'!$B$9),OR('Assignment Builder'!$B$10="",$O2205='Assignment Builder'!$B$10),OR('Assignment Builder'!$B$11="",$H2205&gt;='Assignment Builder'!$B$11),OR('Assignment Builder'!$B$12="",N($Q2205)&lt;='Assignment Builder'!$B$12)))</f>
        <v/>
      </c>
      <c r="T2205" s="23" t="n"/>
    </row>
    <row r="2206">
      <c r="A2206" s="23" t="n"/>
      <c r="B2206" s="23" t="n"/>
      <c r="C2206" s="24" t="n"/>
      <c r="D2206" s="15" t="n"/>
      <c r="E2206" s="23" t="n"/>
      <c r="F2206" s="15" t="n"/>
      <c r="G2206" s="23" t="n"/>
      <c r="H2206" s="25" t="n"/>
      <c r="I2206" s="15" t="n"/>
      <c r="J2206" s="26">
        <f>IF($A2206="","",LEN($C2206)-LEN(SUBSTITUTE($C2206,",",""))+1)</f>
        <v/>
      </c>
      <c r="K2206" s="26">
        <f>IF($A2206="","",SUMPRODUCT(--ISNUMBER(SEARCH('Category Dictionary'!$D$5:$D$135&amp;"",$C2206)),--('Category Dictionary'!$D$5:$D$135&lt;&gt;"")))</f>
        <v/>
      </c>
      <c r="L2206" s="27">
        <f>IF($A2206="","",TRIM(IF(ISERROR(FIND(",",$C2206)),$C2206,LEFT($C2206,FIND(",",$C2206)-1))))</f>
        <v/>
      </c>
      <c r="M2206" s="28">
        <f>IF($H2206="","",DATE(YEAR($H2206),MONTH($H2206),1))</f>
        <v/>
      </c>
      <c r="N2206" s="26">
        <f>IF($H2206="","",TODAY()-$H2206)</f>
        <v/>
      </c>
      <c r="O2206" s="15" t="n"/>
      <c r="P2206" s="15" t="n"/>
      <c r="Q2206" s="15" t="n"/>
      <c r="R2206" s="25" t="n"/>
      <c r="S2206" s="26">
        <f>IF($A2206="","",AND(OR('Assignment Builder'!$B$5="",$B2206='Assignment Builder'!$B$5),OR('Assignment Builder'!$B$6="",ISNUMBER(SEARCH('Assignment Builder'!$B$6,$C2206))),OR('Assignment Builder'!$B$7="",'Assignment Builder'!$B$7=IFERROR(INDEX('Category Dictionary'!$C$5:$C$135,MATCH($L2206,'Category Dictionary'!$D$5:$D$135,0)),"")),OR('Assignment Builder'!$B$8="",$D2206='Assignment Builder'!$B$8),OR('Assignment Builder'!$B$9="",$F2206='Assignment Builder'!$B$9),OR('Assignment Builder'!$B$10="",$O2206='Assignment Builder'!$B$10),OR('Assignment Builder'!$B$11="",$H2206&gt;='Assignment Builder'!$B$11),OR('Assignment Builder'!$B$12="",N($Q2206)&lt;='Assignment Builder'!$B$12)))</f>
        <v/>
      </c>
      <c r="T2206" s="23" t="n"/>
    </row>
    <row r="2207">
      <c r="A2207" s="23" t="n"/>
      <c r="B2207" s="23" t="n"/>
      <c r="C2207" s="24" t="n"/>
      <c r="D2207" s="15" t="n"/>
      <c r="E2207" s="23" t="n"/>
      <c r="F2207" s="15" t="n"/>
      <c r="G2207" s="23" t="n"/>
      <c r="H2207" s="25" t="n"/>
      <c r="I2207" s="15" t="n"/>
      <c r="J2207" s="26">
        <f>IF($A2207="","",LEN($C2207)-LEN(SUBSTITUTE($C2207,",",""))+1)</f>
        <v/>
      </c>
      <c r="K2207" s="26">
        <f>IF($A2207="","",SUMPRODUCT(--ISNUMBER(SEARCH('Category Dictionary'!$D$5:$D$135&amp;"",$C2207)),--('Category Dictionary'!$D$5:$D$135&lt;&gt;"")))</f>
        <v/>
      </c>
      <c r="L2207" s="27">
        <f>IF($A2207="","",TRIM(IF(ISERROR(FIND(",",$C2207)),$C2207,LEFT($C2207,FIND(",",$C2207)-1))))</f>
        <v/>
      </c>
      <c r="M2207" s="28">
        <f>IF($H2207="","",DATE(YEAR($H2207),MONTH($H2207),1))</f>
        <v/>
      </c>
      <c r="N2207" s="26">
        <f>IF($H2207="","",TODAY()-$H2207)</f>
        <v/>
      </c>
      <c r="O2207" s="15" t="n"/>
      <c r="P2207" s="15" t="n"/>
      <c r="Q2207" s="15" t="n"/>
      <c r="R2207" s="25" t="n"/>
      <c r="S2207" s="26">
        <f>IF($A2207="","",AND(OR('Assignment Builder'!$B$5="",$B2207='Assignment Builder'!$B$5),OR('Assignment Builder'!$B$6="",ISNUMBER(SEARCH('Assignment Builder'!$B$6,$C2207))),OR('Assignment Builder'!$B$7="",'Assignment Builder'!$B$7=IFERROR(INDEX('Category Dictionary'!$C$5:$C$135,MATCH($L2207,'Category Dictionary'!$D$5:$D$135,0)),"")),OR('Assignment Builder'!$B$8="",$D2207='Assignment Builder'!$B$8),OR('Assignment Builder'!$B$9="",$F2207='Assignment Builder'!$B$9),OR('Assignment Builder'!$B$10="",$O2207='Assignment Builder'!$B$10),OR('Assignment Builder'!$B$11="",$H2207&gt;='Assignment Builder'!$B$11),OR('Assignment Builder'!$B$12="",N($Q2207)&lt;='Assignment Builder'!$B$12)))</f>
        <v/>
      </c>
      <c r="T2207" s="23" t="n"/>
    </row>
    <row r="2208">
      <c r="A2208" s="23" t="n"/>
      <c r="B2208" s="23" t="n"/>
      <c r="C2208" s="24" t="n"/>
      <c r="D2208" s="15" t="n"/>
      <c r="E2208" s="23" t="n"/>
      <c r="F2208" s="15" t="n"/>
      <c r="G2208" s="23" t="n"/>
      <c r="H2208" s="25" t="n"/>
      <c r="I2208" s="15" t="n"/>
      <c r="J2208" s="26">
        <f>IF($A2208="","",LEN($C2208)-LEN(SUBSTITUTE($C2208,",",""))+1)</f>
        <v/>
      </c>
      <c r="K2208" s="26">
        <f>IF($A2208="","",SUMPRODUCT(--ISNUMBER(SEARCH('Category Dictionary'!$D$5:$D$135&amp;"",$C2208)),--('Category Dictionary'!$D$5:$D$135&lt;&gt;"")))</f>
        <v/>
      </c>
      <c r="L2208" s="27">
        <f>IF($A2208="","",TRIM(IF(ISERROR(FIND(",",$C2208)),$C2208,LEFT($C2208,FIND(",",$C2208)-1))))</f>
        <v/>
      </c>
      <c r="M2208" s="28">
        <f>IF($H2208="","",DATE(YEAR($H2208),MONTH($H2208),1))</f>
        <v/>
      </c>
      <c r="N2208" s="26">
        <f>IF($H2208="","",TODAY()-$H2208)</f>
        <v/>
      </c>
      <c r="O2208" s="15" t="n"/>
      <c r="P2208" s="15" t="n"/>
      <c r="Q2208" s="15" t="n"/>
      <c r="R2208" s="25" t="n"/>
      <c r="S2208" s="26">
        <f>IF($A2208="","",AND(OR('Assignment Builder'!$B$5="",$B2208='Assignment Builder'!$B$5),OR('Assignment Builder'!$B$6="",ISNUMBER(SEARCH('Assignment Builder'!$B$6,$C2208))),OR('Assignment Builder'!$B$7="",'Assignment Builder'!$B$7=IFERROR(INDEX('Category Dictionary'!$C$5:$C$135,MATCH($L2208,'Category Dictionary'!$D$5:$D$135,0)),"")),OR('Assignment Builder'!$B$8="",$D2208='Assignment Builder'!$B$8),OR('Assignment Builder'!$B$9="",$F2208='Assignment Builder'!$B$9),OR('Assignment Builder'!$B$10="",$O2208='Assignment Builder'!$B$10),OR('Assignment Builder'!$B$11="",$H2208&gt;='Assignment Builder'!$B$11),OR('Assignment Builder'!$B$12="",N($Q2208)&lt;='Assignment Builder'!$B$12)))</f>
        <v/>
      </c>
      <c r="T2208" s="23" t="n"/>
    </row>
    <row r="2209">
      <c r="A2209" s="23" t="n"/>
      <c r="B2209" s="23" t="n"/>
      <c r="C2209" s="24" t="n"/>
      <c r="D2209" s="15" t="n"/>
      <c r="E2209" s="23" t="n"/>
      <c r="F2209" s="15" t="n"/>
      <c r="G2209" s="23" t="n"/>
      <c r="H2209" s="25" t="n"/>
      <c r="I2209" s="15" t="n"/>
      <c r="J2209" s="26">
        <f>IF($A2209="","",LEN($C2209)-LEN(SUBSTITUTE($C2209,",",""))+1)</f>
        <v/>
      </c>
      <c r="K2209" s="26">
        <f>IF($A2209="","",SUMPRODUCT(--ISNUMBER(SEARCH('Category Dictionary'!$D$5:$D$135&amp;"",$C2209)),--('Category Dictionary'!$D$5:$D$135&lt;&gt;"")))</f>
        <v/>
      </c>
      <c r="L2209" s="27">
        <f>IF($A2209="","",TRIM(IF(ISERROR(FIND(",",$C2209)),$C2209,LEFT($C2209,FIND(",",$C2209)-1))))</f>
        <v/>
      </c>
      <c r="M2209" s="28">
        <f>IF($H2209="","",DATE(YEAR($H2209),MONTH($H2209),1))</f>
        <v/>
      </c>
      <c r="N2209" s="26">
        <f>IF($H2209="","",TODAY()-$H2209)</f>
        <v/>
      </c>
      <c r="O2209" s="15" t="n"/>
      <c r="P2209" s="15" t="n"/>
      <c r="Q2209" s="15" t="n"/>
      <c r="R2209" s="25" t="n"/>
      <c r="S2209" s="26">
        <f>IF($A2209="","",AND(OR('Assignment Builder'!$B$5="",$B2209='Assignment Builder'!$B$5),OR('Assignment Builder'!$B$6="",ISNUMBER(SEARCH('Assignment Builder'!$B$6,$C2209))),OR('Assignment Builder'!$B$7="",'Assignment Builder'!$B$7=IFERROR(INDEX('Category Dictionary'!$C$5:$C$135,MATCH($L2209,'Category Dictionary'!$D$5:$D$135,0)),"")),OR('Assignment Builder'!$B$8="",$D2209='Assignment Builder'!$B$8),OR('Assignment Builder'!$B$9="",$F2209='Assignment Builder'!$B$9),OR('Assignment Builder'!$B$10="",$O2209='Assignment Builder'!$B$10),OR('Assignment Builder'!$B$11="",$H2209&gt;='Assignment Builder'!$B$11),OR('Assignment Builder'!$B$12="",N($Q2209)&lt;='Assignment Builder'!$B$12)))</f>
        <v/>
      </c>
      <c r="T2209" s="23" t="n"/>
    </row>
    <row r="2210">
      <c r="A2210" s="23" t="n"/>
      <c r="B2210" s="23" t="n"/>
      <c r="C2210" s="24" t="n"/>
      <c r="D2210" s="15" t="n"/>
      <c r="E2210" s="23" t="n"/>
      <c r="F2210" s="15" t="n"/>
      <c r="G2210" s="23" t="n"/>
      <c r="H2210" s="25" t="n"/>
      <c r="I2210" s="15" t="n"/>
      <c r="J2210" s="26">
        <f>IF($A2210="","",LEN($C2210)-LEN(SUBSTITUTE($C2210,",",""))+1)</f>
        <v/>
      </c>
      <c r="K2210" s="26">
        <f>IF($A2210="","",SUMPRODUCT(--ISNUMBER(SEARCH('Category Dictionary'!$D$5:$D$135&amp;"",$C2210)),--('Category Dictionary'!$D$5:$D$135&lt;&gt;"")))</f>
        <v/>
      </c>
      <c r="L2210" s="27">
        <f>IF($A2210="","",TRIM(IF(ISERROR(FIND(",",$C2210)),$C2210,LEFT($C2210,FIND(",",$C2210)-1))))</f>
        <v/>
      </c>
      <c r="M2210" s="28">
        <f>IF($H2210="","",DATE(YEAR($H2210),MONTH($H2210),1))</f>
        <v/>
      </c>
      <c r="N2210" s="26">
        <f>IF($H2210="","",TODAY()-$H2210)</f>
        <v/>
      </c>
      <c r="O2210" s="15" t="n"/>
      <c r="P2210" s="15" t="n"/>
      <c r="Q2210" s="15" t="n"/>
      <c r="R2210" s="25" t="n"/>
      <c r="S2210" s="26">
        <f>IF($A2210="","",AND(OR('Assignment Builder'!$B$5="",$B2210='Assignment Builder'!$B$5),OR('Assignment Builder'!$B$6="",ISNUMBER(SEARCH('Assignment Builder'!$B$6,$C2210))),OR('Assignment Builder'!$B$7="",'Assignment Builder'!$B$7=IFERROR(INDEX('Category Dictionary'!$C$5:$C$135,MATCH($L2210,'Category Dictionary'!$D$5:$D$135,0)),"")),OR('Assignment Builder'!$B$8="",$D2210='Assignment Builder'!$B$8),OR('Assignment Builder'!$B$9="",$F2210='Assignment Builder'!$B$9),OR('Assignment Builder'!$B$10="",$O2210='Assignment Builder'!$B$10),OR('Assignment Builder'!$B$11="",$H2210&gt;='Assignment Builder'!$B$11),OR('Assignment Builder'!$B$12="",N($Q2210)&lt;='Assignment Builder'!$B$12)))</f>
        <v/>
      </c>
      <c r="T2210" s="23" t="n"/>
    </row>
    <row r="2211">
      <c r="A2211" s="23" t="n"/>
      <c r="B2211" s="23" t="n"/>
      <c r="C2211" s="24" t="n"/>
      <c r="D2211" s="15" t="n"/>
      <c r="E2211" s="23" t="n"/>
      <c r="F2211" s="15" t="n"/>
      <c r="G2211" s="23" t="n"/>
      <c r="H2211" s="25" t="n"/>
      <c r="I2211" s="15" t="n"/>
      <c r="J2211" s="26">
        <f>IF($A2211="","",LEN($C2211)-LEN(SUBSTITUTE($C2211,",",""))+1)</f>
        <v/>
      </c>
      <c r="K2211" s="26">
        <f>IF($A2211="","",SUMPRODUCT(--ISNUMBER(SEARCH('Category Dictionary'!$D$5:$D$135&amp;"",$C2211)),--('Category Dictionary'!$D$5:$D$135&lt;&gt;"")))</f>
        <v/>
      </c>
      <c r="L2211" s="27">
        <f>IF($A2211="","",TRIM(IF(ISERROR(FIND(",",$C2211)),$C2211,LEFT($C2211,FIND(",",$C2211)-1))))</f>
        <v/>
      </c>
      <c r="M2211" s="28">
        <f>IF($H2211="","",DATE(YEAR($H2211),MONTH($H2211),1))</f>
        <v/>
      </c>
      <c r="N2211" s="26">
        <f>IF($H2211="","",TODAY()-$H2211)</f>
        <v/>
      </c>
      <c r="O2211" s="15" t="n"/>
      <c r="P2211" s="15" t="n"/>
      <c r="Q2211" s="15" t="n"/>
      <c r="R2211" s="25" t="n"/>
      <c r="S2211" s="26">
        <f>IF($A2211="","",AND(OR('Assignment Builder'!$B$5="",$B2211='Assignment Builder'!$B$5),OR('Assignment Builder'!$B$6="",ISNUMBER(SEARCH('Assignment Builder'!$B$6,$C2211))),OR('Assignment Builder'!$B$7="",'Assignment Builder'!$B$7=IFERROR(INDEX('Category Dictionary'!$C$5:$C$135,MATCH($L2211,'Category Dictionary'!$D$5:$D$135,0)),"")),OR('Assignment Builder'!$B$8="",$D2211='Assignment Builder'!$B$8),OR('Assignment Builder'!$B$9="",$F2211='Assignment Builder'!$B$9),OR('Assignment Builder'!$B$10="",$O2211='Assignment Builder'!$B$10),OR('Assignment Builder'!$B$11="",$H2211&gt;='Assignment Builder'!$B$11),OR('Assignment Builder'!$B$12="",N($Q2211)&lt;='Assignment Builder'!$B$12)))</f>
        <v/>
      </c>
      <c r="T2211" s="23" t="n"/>
    </row>
    <row r="2212">
      <c r="A2212" s="23" t="n"/>
      <c r="B2212" s="23" t="n"/>
      <c r="C2212" s="24" t="n"/>
      <c r="D2212" s="15" t="n"/>
      <c r="E2212" s="23" t="n"/>
      <c r="F2212" s="15" t="n"/>
      <c r="G2212" s="23" t="n"/>
      <c r="H2212" s="25" t="n"/>
      <c r="I2212" s="15" t="n"/>
      <c r="J2212" s="26">
        <f>IF($A2212="","",LEN($C2212)-LEN(SUBSTITUTE($C2212,",",""))+1)</f>
        <v/>
      </c>
      <c r="K2212" s="26">
        <f>IF($A2212="","",SUMPRODUCT(--ISNUMBER(SEARCH('Category Dictionary'!$D$5:$D$135&amp;"",$C2212)),--('Category Dictionary'!$D$5:$D$135&lt;&gt;"")))</f>
        <v/>
      </c>
      <c r="L2212" s="27">
        <f>IF($A2212="","",TRIM(IF(ISERROR(FIND(",",$C2212)),$C2212,LEFT($C2212,FIND(",",$C2212)-1))))</f>
        <v/>
      </c>
      <c r="M2212" s="28">
        <f>IF($H2212="","",DATE(YEAR($H2212),MONTH($H2212),1))</f>
        <v/>
      </c>
      <c r="N2212" s="26">
        <f>IF($H2212="","",TODAY()-$H2212)</f>
        <v/>
      </c>
      <c r="O2212" s="15" t="n"/>
      <c r="P2212" s="15" t="n"/>
      <c r="Q2212" s="15" t="n"/>
      <c r="R2212" s="25" t="n"/>
      <c r="S2212" s="26">
        <f>IF($A2212="","",AND(OR('Assignment Builder'!$B$5="",$B2212='Assignment Builder'!$B$5),OR('Assignment Builder'!$B$6="",ISNUMBER(SEARCH('Assignment Builder'!$B$6,$C2212))),OR('Assignment Builder'!$B$7="",'Assignment Builder'!$B$7=IFERROR(INDEX('Category Dictionary'!$C$5:$C$135,MATCH($L2212,'Category Dictionary'!$D$5:$D$135,0)),"")),OR('Assignment Builder'!$B$8="",$D2212='Assignment Builder'!$B$8),OR('Assignment Builder'!$B$9="",$F2212='Assignment Builder'!$B$9),OR('Assignment Builder'!$B$10="",$O2212='Assignment Builder'!$B$10),OR('Assignment Builder'!$B$11="",$H2212&gt;='Assignment Builder'!$B$11),OR('Assignment Builder'!$B$12="",N($Q2212)&lt;='Assignment Builder'!$B$12)))</f>
        <v/>
      </c>
      <c r="T2212" s="23" t="n"/>
    </row>
    <row r="2213">
      <c r="A2213" s="23" t="n"/>
      <c r="B2213" s="23" t="n"/>
      <c r="C2213" s="24" t="n"/>
      <c r="D2213" s="15" t="n"/>
      <c r="E2213" s="23" t="n"/>
      <c r="F2213" s="15" t="n"/>
      <c r="G2213" s="23" t="n"/>
      <c r="H2213" s="25" t="n"/>
      <c r="I2213" s="15" t="n"/>
      <c r="J2213" s="26">
        <f>IF($A2213="","",LEN($C2213)-LEN(SUBSTITUTE($C2213,",",""))+1)</f>
        <v/>
      </c>
      <c r="K2213" s="26">
        <f>IF($A2213="","",SUMPRODUCT(--ISNUMBER(SEARCH('Category Dictionary'!$D$5:$D$135&amp;"",$C2213)),--('Category Dictionary'!$D$5:$D$135&lt;&gt;"")))</f>
        <v/>
      </c>
      <c r="L2213" s="27">
        <f>IF($A2213="","",TRIM(IF(ISERROR(FIND(",",$C2213)),$C2213,LEFT($C2213,FIND(",",$C2213)-1))))</f>
        <v/>
      </c>
      <c r="M2213" s="28">
        <f>IF($H2213="","",DATE(YEAR($H2213),MONTH($H2213),1))</f>
        <v/>
      </c>
      <c r="N2213" s="26">
        <f>IF($H2213="","",TODAY()-$H2213)</f>
        <v/>
      </c>
      <c r="O2213" s="15" t="n"/>
      <c r="P2213" s="15" t="n"/>
      <c r="Q2213" s="15" t="n"/>
      <c r="R2213" s="25" t="n"/>
      <c r="S2213" s="26">
        <f>IF($A2213="","",AND(OR('Assignment Builder'!$B$5="",$B2213='Assignment Builder'!$B$5),OR('Assignment Builder'!$B$6="",ISNUMBER(SEARCH('Assignment Builder'!$B$6,$C2213))),OR('Assignment Builder'!$B$7="",'Assignment Builder'!$B$7=IFERROR(INDEX('Category Dictionary'!$C$5:$C$135,MATCH($L2213,'Category Dictionary'!$D$5:$D$135,0)),"")),OR('Assignment Builder'!$B$8="",$D2213='Assignment Builder'!$B$8),OR('Assignment Builder'!$B$9="",$F2213='Assignment Builder'!$B$9),OR('Assignment Builder'!$B$10="",$O2213='Assignment Builder'!$B$10),OR('Assignment Builder'!$B$11="",$H2213&gt;='Assignment Builder'!$B$11),OR('Assignment Builder'!$B$12="",N($Q2213)&lt;='Assignment Builder'!$B$12)))</f>
        <v/>
      </c>
      <c r="T2213" s="23" t="n"/>
    </row>
    <row r="2214">
      <c r="A2214" s="23" t="n"/>
      <c r="B2214" s="23" t="n"/>
      <c r="C2214" s="24" t="n"/>
      <c r="D2214" s="15" t="n"/>
      <c r="E2214" s="23" t="n"/>
      <c r="F2214" s="15" t="n"/>
      <c r="G2214" s="23" t="n"/>
      <c r="H2214" s="25" t="n"/>
      <c r="I2214" s="15" t="n"/>
      <c r="J2214" s="26">
        <f>IF($A2214="","",LEN($C2214)-LEN(SUBSTITUTE($C2214,",",""))+1)</f>
        <v/>
      </c>
      <c r="K2214" s="26">
        <f>IF($A2214="","",SUMPRODUCT(--ISNUMBER(SEARCH('Category Dictionary'!$D$5:$D$135&amp;"",$C2214)),--('Category Dictionary'!$D$5:$D$135&lt;&gt;"")))</f>
        <v/>
      </c>
      <c r="L2214" s="27">
        <f>IF($A2214="","",TRIM(IF(ISERROR(FIND(",",$C2214)),$C2214,LEFT($C2214,FIND(",",$C2214)-1))))</f>
        <v/>
      </c>
      <c r="M2214" s="28">
        <f>IF($H2214="","",DATE(YEAR($H2214),MONTH($H2214),1))</f>
        <v/>
      </c>
      <c r="N2214" s="26">
        <f>IF($H2214="","",TODAY()-$H2214)</f>
        <v/>
      </c>
      <c r="O2214" s="15" t="n"/>
      <c r="P2214" s="15" t="n"/>
      <c r="Q2214" s="15" t="n"/>
      <c r="R2214" s="25" t="n"/>
      <c r="S2214" s="26">
        <f>IF($A2214="","",AND(OR('Assignment Builder'!$B$5="",$B2214='Assignment Builder'!$B$5),OR('Assignment Builder'!$B$6="",ISNUMBER(SEARCH('Assignment Builder'!$B$6,$C2214))),OR('Assignment Builder'!$B$7="",'Assignment Builder'!$B$7=IFERROR(INDEX('Category Dictionary'!$C$5:$C$135,MATCH($L2214,'Category Dictionary'!$D$5:$D$135,0)),"")),OR('Assignment Builder'!$B$8="",$D2214='Assignment Builder'!$B$8),OR('Assignment Builder'!$B$9="",$F2214='Assignment Builder'!$B$9),OR('Assignment Builder'!$B$10="",$O2214='Assignment Builder'!$B$10),OR('Assignment Builder'!$B$11="",$H2214&gt;='Assignment Builder'!$B$11),OR('Assignment Builder'!$B$12="",N($Q2214)&lt;='Assignment Builder'!$B$12)))</f>
        <v/>
      </c>
      <c r="T2214" s="23" t="n"/>
    </row>
    <row r="2215">
      <c r="A2215" s="23" t="n"/>
      <c r="B2215" s="23" t="n"/>
      <c r="C2215" s="24" t="n"/>
      <c r="D2215" s="15" t="n"/>
      <c r="E2215" s="23" t="n"/>
      <c r="F2215" s="15" t="n"/>
      <c r="G2215" s="23" t="n"/>
      <c r="H2215" s="25" t="n"/>
      <c r="I2215" s="15" t="n"/>
      <c r="J2215" s="26">
        <f>IF($A2215="","",LEN($C2215)-LEN(SUBSTITUTE($C2215,",",""))+1)</f>
        <v/>
      </c>
      <c r="K2215" s="26">
        <f>IF($A2215="","",SUMPRODUCT(--ISNUMBER(SEARCH('Category Dictionary'!$D$5:$D$135&amp;"",$C2215)),--('Category Dictionary'!$D$5:$D$135&lt;&gt;"")))</f>
        <v/>
      </c>
      <c r="L2215" s="27">
        <f>IF($A2215="","",TRIM(IF(ISERROR(FIND(",",$C2215)),$C2215,LEFT($C2215,FIND(",",$C2215)-1))))</f>
        <v/>
      </c>
      <c r="M2215" s="28">
        <f>IF($H2215="","",DATE(YEAR($H2215),MONTH($H2215),1))</f>
        <v/>
      </c>
      <c r="N2215" s="26">
        <f>IF($H2215="","",TODAY()-$H2215)</f>
        <v/>
      </c>
      <c r="O2215" s="15" t="n"/>
      <c r="P2215" s="15" t="n"/>
      <c r="Q2215" s="15" t="n"/>
      <c r="R2215" s="25" t="n"/>
      <c r="S2215" s="26">
        <f>IF($A2215="","",AND(OR('Assignment Builder'!$B$5="",$B2215='Assignment Builder'!$B$5),OR('Assignment Builder'!$B$6="",ISNUMBER(SEARCH('Assignment Builder'!$B$6,$C2215))),OR('Assignment Builder'!$B$7="",'Assignment Builder'!$B$7=IFERROR(INDEX('Category Dictionary'!$C$5:$C$135,MATCH($L2215,'Category Dictionary'!$D$5:$D$135,0)),"")),OR('Assignment Builder'!$B$8="",$D2215='Assignment Builder'!$B$8),OR('Assignment Builder'!$B$9="",$F2215='Assignment Builder'!$B$9),OR('Assignment Builder'!$B$10="",$O2215='Assignment Builder'!$B$10),OR('Assignment Builder'!$B$11="",$H2215&gt;='Assignment Builder'!$B$11),OR('Assignment Builder'!$B$12="",N($Q2215)&lt;='Assignment Builder'!$B$12)))</f>
        <v/>
      </c>
      <c r="T2215" s="23" t="n"/>
    </row>
    <row r="2216">
      <c r="A2216" s="23" t="n"/>
      <c r="B2216" s="23" t="n"/>
      <c r="C2216" s="24" t="n"/>
      <c r="D2216" s="15" t="n"/>
      <c r="E2216" s="23" t="n"/>
      <c r="F2216" s="15" t="n"/>
      <c r="G2216" s="23" t="n"/>
      <c r="H2216" s="25" t="n"/>
      <c r="I2216" s="15" t="n"/>
      <c r="J2216" s="26">
        <f>IF($A2216="","",LEN($C2216)-LEN(SUBSTITUTE($C2216,",",""))+1)</f>
        <v/>
      </c>
      <c r="K2216" s="26">
        <f>IF($A2216="","",SUMPRODUCT(--ISNUMBER(SEARCH('Category Dictionary'!$D$5:$D$135&amp;"",$C2216)),--('Category Dictionary'!$D$5:$D$135&lt;&gt;"")))</f>
        <v/>
      </c>
      <c r="L2216" s="27">
        <f>IF($A2216="","",TRIM(IF(ISERROR(FIND(",",$C2216)),$C2216,LEFT($C2216,FIND(",",$C2216)-1))))</f>
        <v/>
      </c>
      <c r="M2216" s="28">
        <f>IF($H2216="","",DATE(YEAR($H2216),MONTH($H2216),1))</f>
        <v/>
      </c>
      <c r="N2216" s="26">
        <f>IF($H2216="","",TODAY()-$H2216)</f>
        <v/>
      </c>
      <c r="O2216" s="15" t="n"/>
      <c r="P2216" s="15" t="n"/>
      <c r="Q2216" s="15" t="n"/>
      <c r="R2216" s="25" t="n"/>
      <c r="S2216" s="26">
        <f>IF($A2216="","",AND(OR('Assignment Builder'!$B$5="",$B2216='Assignment Builder'!$B$5),OR('Assignment Builder'!$B$6="",ISNUMBER(SEARCH('Assignment Builder'!$B$6,$C2216))),OR('Assignment Builder'!$B$7="",'Assignment Builder'!$B$7=IFERROR(INDEX('Category Dictionary'!$C$5:$C$135,MATCH($L2216,'Category Dictionary'!$D$5:$D$135,0)),"")),OR('Assignment Builder'!$B$8="",$D2216='Assignment Builder'!$B$8),OR('Assignment Builder'!$B$9="",$F2216='Assignment Builder'!$B$9),OR('Assignment Builder'!$B$10="",$O2216='Assignment Builder'!$B$10),OR('Assignment Builder'!$B$11="",$H2216&gt;='Assignment Builder'!$B$11),OR('Assignment Builder'!$B$12="",N($Q2216)&lt;='Assignment Builder'!$B$12)))</f>
        <v/>
      </c>
      <c r="T2216" s="23" t="n"/>
    </row>
    <row r="2217">
      <c r="A2217" s="23" t="n"/>
      <c r="B2217" s="23" t="n"/>
      <c r="C2217" s="24" t="n"/>
      <c r="D2217" s="15" t="n"/>
      <c r="E2217" s="23" t="n"/>
      <c r="F2217" s="15" t="n"/>
      <c r="G2217" s="23" t="n"/>
      <c r="H2217" s="25" t="n"/>
      <c r="I2217" s="15" t="n"/>
      <c r="J2217" s="26">
        <f>IF($A2217="","",LEN($C2217)-LEN(SUBSTITUTE($C2217,",",""))+1)</f>
        <v/>
      </c>
      <c r="K2217" s="26">
        <f>IF($A2217="","",SUMPRODUCT(--ISNUMBER(SEARCH('Category Dictionary'!$D$5:$D$135&amp;"",$C2217)),--('Category Dictionary'!$D$5:$D$135&lt;&gt;"")))</f>
        <v/>
      </c>
      <c r="L2217" s="27">
        <f>IF($A2217="","",TRIM(IF(ISERROR(FIND(",",$C2217)),$C2217,LEFT($C2217,FIND(",",$C2217)-1))))</f>
        <v/>
      </c>
      <c r="M2217" s="28">
        <f>IF($H2217="","",DATE(YEAR($H2217),MONTH($H2217),1))</f>
        <v/>
      </c>
      <c r="N2217" s="26">
        <f>IF($H2217="","",TODAY()-$H2217)</f>
        <v/>
      </c>
      <c r="O2217" s="15" t="n"/>
      <c r="P2217" s="15" t="n"/>
      <c r="Q2217" s="15" t="n"/>
      <c r="R2217" s="25" t="n"/>
      <c r="S2217" s="26">
        <f>IF($A2217="","",AND(OR('Assignment Builder'!$B$5="",$B2217='Assignment Builder'!$B$5),OR('Assignment Builder'!$B$6="",ISNUMBER(SEARCH('Assignment Builder'!$B$6,$C2217))),OR('Assignment Builder'!$B$7="",'Assignment Builder'!$B$7=IFERROR(INDEX('Category Dictionary'!$C$5:$C$135,MATCH($L2217,'Category Dictionary'!$D$5:$D$135,0)),"")),OR('Assignment Builder'!$B$8="",$D2217='Assignment Builder'!$B$8),OR('Assignment Builder'!$B$9="",$F2217='Assignment Builder'!$B$9),OR('Assignment Builder'!$B$10="",$O2217='Assignment Builder'!$B$10),OR('Assignment Builder'!$B$11="",$H2217&gt;='Assignment Builder'!$B$11),OR('Assignment Builder'!$B$12="",N($Q2217)&lt;='Assignment Builder'!$B$12)))</f>
        <v/>
      </c>
      <c r="T2217" s="23" t="n"/>
    </row>
    <row r="2218">
      <c r="A2218" s="23" t="n"/>
      <c r="B2218" s="23" t="n"/>
      <c r="C2218" s="24" t="n"/>
      <c r="D2218" s="15" t="n"/>
      <c r="E2218" s="23" t="n"/>
      <c r="F2218" s="15" t="n"/>
      <c r="G2218" s="23" t="n"/>
      <c r="H2218" s="25" t="n"/>
      <c r="I2218" s="15" t="n"/>
      <c r="J2218" s="26">
        <f>IF($A2218="","",LEN($C2218)-LEN(SUBSTITUTE($C2218,",",""))+1)</f>
        <v/>
      </c>
      <c r="K2218" s="26">
        <f>IF($A2218="","",SUMPRODUCT(--ISNUMBER(SEARCH('Category Dictionary'!$D$5:$D$135&amp;"",$C2218)),--('Category Dictionary'!$D$5:$D$135&lt;&gt;"")))</f>
        <v/>
      </c>
      <c r="L2218" s="27">
        <f>IF($A2218="","",TRIM(IF(ISERROR(FIND(",",$C2218)),$C2218,LEFT($C2218,FIND(",",$C2218)-1))))</f>
        <v/>
      </c>
      <c r="M2218" s="28">
        <f>IF($H2218="","",DATE(YEAR($H2218),MONTH($H2218),1))</f>
        <v/>
      </c>
      <c r="N2218" s="26">
        <f>IF($H2218="","",TODAY()-$H2218)</f>
        <v/>
      </c>
      <c r="O2218" s="15" t="n"/>
      <c r="P2218" s="15" t="n"/>
      <c r="Q2218" s="15" t="n"/>
      <c r="R2218" s="25" t="n"/>
      <c r="S2218" s="26">
        <f>IF($A2218="","",AND(OR('Assignment Builder'!$B$5="",$B2218='Assignment Builder'!$B$5),OR('Assignment Builder'!$B$6="",ISNUMBER(SEARCH('Assignment Builder'!$B$6,$C2218))),OR('Assignment Builder'!$B$7="",'Assignment Builder'!$B$7=IFERROR(INDEX('Category Dictionary'!$C$5:$C$135,MATCH($L2218,'Category Dictionary'!$D$5:$D$135,0)),"")),OR('Assignment Builder'!$B$8="",$D2218='Assignment Builder'!$B$8),OR('Assignment Builder'!$B$9="",$F2218='Assignment Builder'!$B$9),OR('Assignment Builder'!$B$10="",$O2218='Assignment Builder'!$B$10),OR('Assignment Builder'!$B$11="",$H2218&gt;='Assignment Builder'!$B$11),OR('Assignment Builder'!$B$12="",N($Q2218)&lt;='Assignment Builder'!$B$12)))</f>
        <v/>
      </c>
      <c r="T2218" s="23" t="n"/>
    </row>
    <row r="2219">
      <c r="A2219" s="23" t="n"/>
      <c r="B2219" s="23" t="n"/>
      <c r="C2219" s="24" t="n"/>
      <c r="D2219" s="15" t="n"/>
      <c r="E2219" s="23" t="n"/>
      <c r="F2219" s="15" t="n"/>
      <c r="G2219" s="23" t="n"/>
      <c r="H2219" s="25" t="n"/>
      <c r="I2219" s="15" t="n"/>
      <c r="J2219" s="26">
        <f>IF($A2219="","",LEN($C2219)-LEN(SUBSTITUTE($C2219,",",""))+1)</f>
        <v/>
      </c>
      <c r="K2219" s="26">
        <f>IF($A2219="","",SUMPRODUCT(--ISNUMBER(SEARCH('Category Dictionary'!$D$5:$D$135&amp;"",$C2219)),--('Category Dictionary'!$D$5:$D$135&lt;&gt;"")))</f>
        <v/>
      </c>
      <c r="L2219" s="27">
        <f>IF($A2219="","",TRIM(IF(ISERROR(FIND(",",$C2219)),$C2219,LEFT($C2219,FIND(",",$C2219)-1))))</f>
        <v/>
      </c>
      <c r="M2219" s="28">
        <f>IF($H2219="","",DATE(YEAR($H2219),MONTH($H2219),1))</f>
        <v/>
      </c>
      <c r="N2219" s="26">
        <f>IF($H2219="","",TODAY()-$H2219)</f>
        <v/>
      </c>
      <c r="O2219" s="15" t="n"/>
      <c r="P2219" s="15" t="n"/>
      <c r="Q2219" s="15" t="n"/>
      <c r="R2219" s="25" t="n"/>
      <c r="S2219" s="26">
        <f>IF($A2219="","",AND(OR('Assignment Builder'!$B$5="",$B2219='Assignment Builder'!$B$5),OR('Assignment Builder'!$B$6="",ISNUMBER(SEARCH('Assignment Builder'!$B$6,$C2219))),OR('Assignment Builder'!$B$7="",'Assignment Builder'!$B$7=IFERROR(INDEX('Category Dictionary'!$C$5:$C$135,MATCH($L2219,'Category Dictionary'!$D$5:$D$135,0)),"")),OR('Assignment Builder'!$B$8="",$D2219='Assignment Builder'!$B$8),OR('Assignment Builder'!$B$9="",$F2219='Assignment Builder'!$B$9),OR('Assignment Builder'!$B$10="",$O2219='Assignment Builder'!$B$10),OR('Assignment Builder'!$B$11="",$H2219&gt;='Assignment Builder'!$B$11),OR('Assignment Builder'!$B$12="",N($Q2219)&lt;='Assignment Builder'!$B$12)))</f>
        <v/>
      </c>
      <c r="T2219" s="23" t="n"/>
    </row>
    <row r="2220">
      <c r="A2220" s="23" t="n"/>
      <c r="B2220" s="23" t="n"/>
      <c r="C2220" s="24" t="n"/>
      <c r="D2220" s="15" t="n"/>
      <c r="E2220" s="23" t="n"/>
      <c r="F2220" s="15" t="n"/>
      <c r="G2220" s="23" t="n"/>
      <c r="H2220" s="25" t="n"/>
      <c r="I2220" s="15" t="n"/>
      <c r="J2220" s="26">
        <f>IF($A2220="","",LEN($C2220)-LEN(SUBSTITUTE($C2220,",",""))+1)</f>
        <v/>
      </c>
      <c r="K2220" s="26">
        <f>IF($A2220="","",SUMPRODUCT(--ISNUMBER(SEARCH('Category Dictionary'!$D$5:$D$135&amp;"",$C2220)),--('Category Dictionary'!$D$5:$D$135&lt;&gt;"")))</f>
        <v/>
      </c>
      <c r="L2220" s="27">
        <f>IF($A2220="","",TRIM(IF(ISERROR(FIND(",",$C2220)),$C2220,LEFT($C2220,FIND(",",$C2220)-1))))</f>
        <v/>
      </c>
      <c r="M2220" s="28">
        <f>IF($H2220="","",DATE(YEAR($H2220),MONTH($H2220),1))</f>
        <v/>
      </c>
      <c r="N2220" s="26">
        <f>IF($H2220="","",TODAY()-$H2220)</f>
        <v/>
      </c>
      <c r="O2220" s="15" t="n"/>
      <c r="P2220" s="15" t="n"/>
      <c r="Q2220" s="15" t="n"/>
      <c r="R2220" s="25" t="n"/>
      <c r="S2220" s="26">
        <f>IF($A2220="","",AND(OR('Assignment Builder'!$B$5="",$B2220='Assignment Builder'!$B$5),OR('Assignment Builder'!$B$6="",ISNUMBER(SEARCH('Assignment Builder'!$B$6,$C2220))),OR('Assignment Builder'!$B$7="",'Assignment Builder'!$B$7=IFERROR(INDEX('Category Dictionary'!$C$5:$C$135,MATCH($L2220,'Category Dictionary'!$D$5:$D$135,0)),"")),OR('Assignment Builder'!$B$8="",$D2220='Assignment Builder'!$B$8),OR('Assignment Builder'!$B$9="",$F2220='Assignment Builder'!$B$9),OR('Assignment Builder'!$B$10="",$O2220='Assignment Builder'!$B$10),OR('Assignment Builder'!$B$11="",$H2220&gt;='Assignment Builder'!$B$11),OR('Assignment Builder'!$B$12="",N($Q2220)&lt;='Assignment Builder'!$B$12)))</f>
        <v/>
      </c>
      <c r="T2220" s="23" t="n"/>
    </row>
    <row r="2221">
      <c r="A2221" s="23" t="n"/>
      <c r="B2221" s="23" t="n"/>
      <c r="C2221" s="24" t="n"/>
      <c r="D2221" s="15" t="n"/>
      <c r="E2221" s="23" t="n"/>
      <c r="F2221" s="15" t="n"/>
      <c r="G2221" s="23" t="n"/>
      <c r="H2221" s="25" t="n"/>
      <c r="I2221" s="15" t="n"/>
      <c r="J2221" s="26">
        <f>IF($A2221="","",LEN($C2221)-LEN(SUBSTITUTE($C2221,",",""))+1)</f>
        <v/>
      </c>
      <c r="K2221" s="26">
        <f>IF($A2221="","",SUMPRODUCT(--ISNUMBER(SEARCH('Category Dictionary'!$D$5:$D$135&amp;"",$C2221)),--('Category Dictionary'!$D$5:$D$135&lt;&gt;"")))</f>
        <v/>
      </c>
      <c r="L2221" s="27">
        <f>IF($A2221="","",TRIM(IF(ISERROR(FIND(",",$C2221)),$C2221,LEFT($C2221,FIND(",",$C2221)-1))))</f>
        <v/>
      </c>
      <c r="M2221" s="28">
        <f>IF($H2221="","",DATE(YEAR($H2221),MONTH($H2221),1))</f>
        <v/>
      </c>
      <c r="N2221" s="26">
        <f>IF($H2221="","",TODAY()-$H2221)</f>
        <v/>
      </c>
      <c r="O2221" s="15" t="n"/>
      <c r="P2221" s="15" t="n"/>
      <c r="Q2221" s="15" t="n"/>
      <c r="R2221" s="25" t="n"/>
      <c r="S2221" s="26">
        <f>IF($A2221="","",AND(OR('Assignment Builder'!$B$5="",$B2221='Assignment Builder'!$B$5),OR('Assignment Builder'!$B$6="",ISNUMBER(SEARCH('Assignment Builder'!$B$6,$C2221))),OR('Assignment Builder'!$B$7="",'Assignment Builder'!$B$7=IFERROR(INDEX('Category Dictionary'!$C$5:$C$135,MATCH($L2221,'Category Dictionary'!$D$5:$D$135,0)),"")),OR('Assignment Builder'!$B$8="",$D2221='Assignment Builder'!$B$8),OR('Assignment Builder'!$B$9="",$F2221='Assignment Builder'!$B$9),OR('Assignment Builder'!$B$10="",$O2221='Assignment Builder'!$B$10),OR('Assignment Builder'!$B$11="",$H2221&gt;='Assignment Builder'!$B$11),OR('Assignment Builder'!$B$12="",N($Q2221)&lt;='Assignment Builder'!$B$12)))</f>
        <v/>
      </c>
      <c r="T2221" s="23" t="n"/>
    </row>
    <row r="2222">
      <c r="A2222" s="23" t="n"/>
      <c r="B2222" s="23" t="n"/>
      <c r="C2222" s="24" t="n"/>
      <c r="D2222" s="15" t="n"/>
      <c r="E2222" s="23" t="n"/>
      <c r="F2222" s="15" t="n"/>
      <c r="G2222" s="23" t="n"/>
      <c r="H2222" s="25" t="n"/>
      <c r="I2222" s="15" t="n"/>
      <c r="J2222" s="26">
        <f>IF($A2222="","",LEN($C2222)-LEN(SUBSTITUTE($C2222,",",""))+1)</f>
        <v/>
      </c>
      <c r="K2222" s="26">
        <f>IF($A2222="","",SUMPRODUCT(--ISNUMBER(SEARCH('Category Dictionary'!$D$5:$D$135&amp;"",$C2222)),--('Category Dictionary'!$D$5:$D$135&lt;&gt;"")))</f>
        <v/>
      </c>
      <c r="L2222" s="27">
        <f>IF($A2222="","",TRIM(IF(ISERROR(FIND(",",$C2222)),$C2222,LEFT($C2222,FIND(",",$C2222)-1))))</f>
        <v/>
      </c>
      <c r="M2222" s="28">
        <f>IF($H2222="","",DATE(YEAR($H2222),MONTH($H2222),1))</f>
        <v/>
      </c>
      <c r="N2222" s="26">
        <f>IF($H2222="","",TODAY()-$H2222)</f>
        <v/>
      </c>
      <c r="O2222" s="15" t="n"/>
      <c r="P2222" s="15" t="n"/>
      <c r="Q2222" s="15" t="n"/>
      <c r="R2222" s="25" t="n"/>
      <c r="S2222" s="26">
        <f>IF($A2222="","",AND(OR('Assignment Builder'!$B$5="",$B2222='Assignment Builder'!$B$5),OR('Assignment Builder'!$B$6="",ISNUMBER(SEARCH('Assignment Builder'!$B$6,$C2222))),OR('Assignment Builder'!$B$7="",'Assignment Builder'!$B$7=IFERROR(INDEX('Category Dictionary'!$C$5:$C$135,MATCH($L2222,'Category Dictionary'!$D$5:$D$135,0)),"")),OR('Assignment Builder'!$B$8="",$D2222='Assignment Builder'!$B$8),OR('Assignment Builder'!$B$9="",$F2222='Assignment Builder'!$B$9),OR('Assignment Builder'!$B$10="",$O2222='Assignment Builder'!$B$10),OR('Assignment Builder'!$B$11="",$H2222&gt;='Assignment Builder'!$B$11),OR('Assignment Builder'!$B$12="",N($Q2222)&lt;='Assignment Builder'!$B$12)))</f>
        <v/>
      </c>
      <c r="T2222" s="23" t="n"/>
    </row>
    <row r="2223">
      <c r="A2223" s="23" t="n"/>
      <c r="B2223" s="23" t="n"/>
      <c r="C2223" s="24" t="n"/>
      <c r="D2223" s="15" t="n"/>
      <c r="E2223" s="23" t="n"/>
      <c r="F2223" s="15" t="n"/>
      <c r="G2223" s="23" t="n"/>
      <c r="H2223" s="25" t="n"/>
      <c r="I2223" s="15" t="n"/>
      <c r="J2223" s="26">
        <f>IF($A2223="","",LEN($C2223)-LEN(SUBSTITUTE($C2223,",",""))+1)</f>
        <v/>
      </c>
      <c r="K2223" s="26">
        <f>IF($A2223="","",SUMPRODUCT(--ISNUMBER(SEARCH('Category Dictionary'!$D$5:$D$135&amp;"",$C2223)),--('Category Dictionary'!$D$5:$D$135&lt;&gt;"")))</f>
        <v/>
      </c>
      <c r="L2223" s="27">
        <f>IF($A2223="","",TRIM(IF(ISERROR(FIND(",",$C2223)),$C2223,LEFT($C2223,FIND(",",$C2223)-1))))</f>
        <v/>
      </c>
      <c r="M2223" s="28">
        <f>IF($H2223="","",DATE(YEAR($H2223),MONTH($H2223),1))</f>
        <v/>
      </c>
      <c r="N2223" s="26">
        <f>IF($H2223="","",TODAY()-$H2223)</f>
        <v/>
      </c>
      <c r="O2223" s="15" t="n"/>
      <c r="P2223" s="15" t="n"/>
      <c r="Q2223" s="15" t="n"/>
      <c r="R2223" s="25" t="n"/>
      <c r="S2223" s="26">
        <f>IF($A2223="","",AND(OR('Assignment Builder'!$B$5="",$B2223='Assignment Builder'!$B$5),OR('Assignment Builder'!$B$6="",ISNUMBER(SEARCH('Assignment Builder'!$B$6,$C2223))),OR('Assignment Builder'!$B$7="",'Assignment Builder'!$B$7=IFERROR(INDEX('Category Dictionary'!$C$5:$C$135,MATCH($L2223,'Category Dictionary'!$D$5:$D$135,0)),"")),OR('Assignment Builder'!$B$8="",$D2223='Assignment Builder'!$B$8),OR('Assignment Builder'!$B$9="",$F2223='Assignment Builder'!$B$9),OR('Assignment Builder'!$B$10="",$O2223='Assignment Builder'!$B$10),OR('Assignment Builder'!$B$11="",$H2223&gt;='Assignment Builder'!$B$11),OR('Assignment Builder'!$B$12="",N($Q2223)&lt;='Assignment Builder'!$B$12)))</f>
        <v/>
      </c>
      <c r="T2223" s="23" t="n"/>
    </row>
    <row r="2224">
      <c r="A2224" s="23" t="n"/>
      <c r="B2224" s="23" t="n"/>
      <c r="C2224" s="24" t="n"/>
      <c r="D2224" s="15" t="n"/>
      <c r="E2224" s="23" t="n"/>
      <c r="F2224" s="15" t="n"/>
      <c r="G2224" s="23" t="n"/>
      <c r="H2224" s="25" t="n"/>
      <c r="I2224" s="15" t="n"/>
      <c r="J2224" s="26">
        <f>IF($A2224="","",LEN($C2224)-LEN(SUBSTITUTE($C2224,",",""))+1)</f>
        <v/>
      </c>
      <c r="K2224" s="26">
        <f>IF($A2224="","",SUMPRODUCT(--ISNUMBER(SEARCH('Category Dictionary'!$D$5:$D$135&amp;"",$C2224)),--('Category Dictionary'!$D$5:$D$135&lt;&gt;"")))</f>
        <v/>
      </c>
      <c r="L2224" s="27">
        <f>IF($A2224="","",TRIM(IF(ISERROR(FIND(",",$C2224)),$C2224,LEFT($C2224,FIND(",",$C2224)-1))))</f>
        <v/>
      </c>
      <c r="M2224" s="28">
        <f>IF($H2224="","",DATE(YEAR($H2224),MONTH($H2224),1))</f>
        <v/>
      </c>
      <c r="N2224" s="26">
        <f>IF($H2224="","",TODAY()-$H2224)</f>
        <v/>
      </c>
      <c r="O2224" s="15" t="n"/>
      <c r="P2224" s="15" t="n"/>
      <c r="Q2224" s="15" t="n"/>
      <c r="R2224" s="25" t="n"/>
      <c r="S2224" s="26">
        <f>IF($A2224="","",AND(OR('Assignment Builder'!$B$5="",$B2224='Assignment Builder'!$B$5),OR('Assignment Builder'!$B$6="",ISNUMBER(SEARCH('Assignment Builder'!$B$6,$C2224))),OR('Assignment Builder'!$B$7="",'Assignment Builder'!$B$7=IFERROR(INDEX('Category Dictionary'!$C$5:$C$135,MATCH($L2224,'Category Dictionary'!$D$5:$D$135,0)),"")),OR('Assignment Builder'!$B$8="",$D2224='Assignment Builder'!$B$8),OR('Assignment Builder'!$B$9="",$F2224='Assignment Builder'!$B$9),OR('Assignment Builder'!$B$10="",$O2224='Assignment Builder'!$B$10),OR('Assignment Builder'!$B$11="",$H2224&gt;='Assignment Builder'!$B$11),OR('Assignment Builder'!$B$12="",N($Q2224)&lt;='Assignment Builder'!$B$12)))</f>
        <v/>
      </c>
      <c r="T2224" s="23" t="n"/>
    </row>
    <row r="2225">
      <c r="A2225" s="23" t="n"/>
      <c r="B2225" s="23" t="n"/>
      <c r="C2225" s="24" t="n"/>
      <c r="D2225" s="15" t="n"/>
      <c r="E2225" s="23" t="n"/>
      <c r="F2225" s="15" t="n"/>
      <c r="G2225" s="23" t="n"/>
      <c r="H2225" s="25" t="n"/>
      <c r="I2225" s="15" t="n"/>
      <c r="J2225" s="26">
        <f>IF($A2225="","",LEN($C2225)-LEN(SUBSTITUTE($C2225,",",""))+1)</f>
        <v/>
      </c>
      <c r="K2225" s="26">
        <f>IF($A2225="","",SUMPRODUCT(--ISNUMBER(SEARCH('Category Dictionary'!$D$5:$D$135&amp;"",$C2225)),--('Category Dictionary'!$D$5:$D$135&lt;&gt;"")))</f>
        <v/>
      </c>
      <c r="L2225" s="27">
        <f>IF($A2225="","",TRIM(IF(ISERROR(FIND(",",$C2225)),$C2225,LEFT($C2225,FIND(",",$C2225)-1))))</f>
        <v/>
      </c>
      <c r="M2225" s="28">
        <f>IF($H2225="","",DATE(YEAR($H2225),MONTH($H2225),1))</f>
        <v/>
      </c>
      <c r="N2225" s="26">
        <f>IF($H2225="","",TODAY()-$H2225)</f>
        <v/>
      </c>
      <c r="O2225" s="15" t="n"/>
      <c r="P2225" s="15" t="n"/>
      <c r="Q2225" s="15" t="n"/>
      <c r="R2225" s="25" t="n"/>
      <c r="S2225" s="26">
        <f>IF($A2225="","",AND(OR('Assignment Builder'!$B$5="",$B2225='Assignment Builder'!$B$5),OR('Assignment Builder'!$B$6="",ISNUMBER(SEARCH('Assignment Builder'!$B$6,$C2225))),OR('Assignment Builder'!$B$7="",'Assignment Builder'!$B$7=IFERROR(INDEX('Category Dictionary'!$C$5:$C$135,MATCH($L2225,'Category Dictionary'!$D$5:$D$135,0)),"")),OR('Assignment Builder'!$B$8="",$D2225='Assignment Builder'!$B$8),OR('Assignment Builder'!$B$9="",$F2225='Assignment Builder'!$B$9),OR('Assignment Builder'!$B$10="",$O2225='Assignment Builder'!$B$10),OR('Assignment Builder'!$B$11="",$H2225&gt;='Assignment Builder'!$B$11),OR('Assignment Builder'!$B$12="",N($Q2225)&lt;='Assignment Builder'!$B$12)))</f>
        <v/>
      </c>
      <c r="T2225" s="23" t="n"/>
    </row>
    <row r="2226">
      <c r="A2226" s="23" t="n"/>
      <c r="B2226" s="23" t="n"/>
      <c r="C2226" s="24" t="n"/>
      <c r="D2226" s="15" t="n"/>
      <c r="E2226" s="23" t="n"/>
      <c r="F2226" s="15" t="n"/>
      <c r="G2226" s="23" t="n"/>
      <c r="H2226" s="25" t="n"/>
      <c r="I2226" s="15" t="n"/>
      <c r="J2226" s="26">
        <f>IF($A2226="","",LEN($C2226)-LEN(SUBSTITUTE($C2226,",",""))+1)</f>
        <v/>
      </c>
      <c r="K2226" s="26">
        <f>IF($A2226="","",SUMPRODUCT(--ISNUMBER(SEARCH('Category Dictionary'!$D$5:$D$135&amp;"",$C2226)),--('Category Dictionary'!$D$5:$D$135&lt;&gt;"")))</f>
        <v/>
      </c>
      <c r="L2226" s="27">
        <f>IF($A2226="","",TRIM(IF(ISERROR(FIND(",",$C2226)),$C2226,LEFT($C2226,FIND(",",$C2226)-1))))</f>
        <v/>
      </c>
      <c r="M2226" s="28">
        <f>IF($H2226="","",DATE(YEAR($H2226),MONTH($H2226),1))</f>
        <v/>
      </c>
      <c r="N2226" s="26">
        <f>IF($H2226="","",TODAY()-$H2226)</f>
        <v/>
      </c>
      <c r="O2226" s="15" t="n"/>
      <c r="P2226" s="15" t="n"/>
      <c r="Q2226" s="15" t="n"/>
      <c r="R2226" s="25" t="n"/>
      <c r="S2226" s="26">
        <f>IF($A2226="","",AND(OR('Assignment Builder'!$B$5="",$B2226='Assignment Builder'!$B$5),OR('Assignment Builder'!$B$6="",ISNUMBER(SEARCH('Assignment Builder'!$B$6,$C2226))),OR('Assignment Builder'!$B$7="",'Assignment Builder'!$B$7=IFERROR(INDEX('Category Dictionary'!$C$5:$C$135,MATCH($L2226,'Category Dictionary'!$D$5:$D$135,0)),"")),OR('Assignment Builder'!$B$8="",$D2226='Assignment Builder'!$B$8),OR('Assignment Builder'!$B$9="",$F2226='Assignment Builder'!$B$9),OR('Assignment Builder'!$B$10="",$O2226='Assignment Builder'!$B$10),OR('Assignment Builder'!$B$11="",$H2226&gt;='Assignment Builder'!$B$11),OR('Assignment Builder'!$B$12="",N($Q2226)&lt;='Assignment Builder'!$B$12)))</f>
        <v/>
      </c>
      <c r="T2226" s="23" t="n"/>
    </row>
    <row r="2227">
      <c r="A2227" s="23" t="n"/>
      <c r="B2227" s="23" t="n"/>
      <c r="C2227" s="24" t="n"/>
      <c r="D2227" s="15" t="n"/>
      <c r="E2227" s="23" t="n"/>
      <c r="F2227" s="15" t="n"/>
      <c r="G2227" s="23" t="n"/>
      <c r="H2227" s="25" t="n"/>
      <c r="I2227" s="15" t="n"/>
      <c r="J2227" s="26">
        <f>IF($A2227="","",LEN($C2227)-LEN(SUBSTITUTE($C2227,",",""))+1)</f>
        <v/>
      </c>
      <c r="K2227" s="26">
        <f>IF($A2227="","",SUMPRODUCT(--ISNUMBER(SEARCH('Category Dictionary'!$D$5:$D$135&amp;"",$C2227)),--('Category Dictionary'!$D$5:$D$135&lt;&gt;"")))</f>
        <v/>
      </c>
      <c r="L2227" s="27">
        <f>IF($A2227="","",TRIM(IF(ISERROR(FIND(",",$C2227)),$C2227,LEFT($C2227,FIND(",",$C2227)-1))))</f>
        <v/>
      </c>
      <c r="M2227" s="28">
        <f>IF($H2227="","",DATE(YEAR($H2227),MONTH($H2227),1))</f>
        <v/>
      </c>
      <c r="N2227" s="26">
        <f>IF($H2227="","",TODAY()-$H2227)</f>
        <v/>
      </c>
      <c r="O2227" s="15" t="n"/>
      <c r="P2227" s="15" t="n"/>
      <c r="Q2227" s="15" t="n"/>
      <c r="R2227" s="25" t="n"/>
      <c r="S2227" s="26">
        <f>IF($A2227="","",AND(OR('Assignment Builder'!$B$5="",$B2227='Assignment Builder'!$B$5),OR('Assignment Builder'!$B$6="",ISNUMBER(SEARCH('Assignment Builder'!$B$6,$C2227))),OR('Assignment Builder'!$B$7="",'Assignment Builder'!$B$7=IFERROR(INDEX('Category Dictionary'!$C$5:$C$135,MATCH($L2227,'Category Dictionary'!$D$5:$D$135,0)),"")),OR('Assignment Builder'!$B$8="",$D2227='Assignment Builder'!$B$8),OR('Assignment Builder'!$B$9="",$F2227='Assignment Builder'!$B$9),OR('Assignment Builder'!$B$10="",$O2227='Assignment Builder'!$B$10),OR('Assignment Builder'!$B$11="",$H2227&gt;='Assignment Builder'!$B$11),OR('Assignment Builder'!$B$12="",N($Q2227)&lt;='Assignment Builder'!$B$12)))</f>
        <v/>
      </c>
      <c r="T2227" s="23" t="n"/>
    </row>
    <row r="2228">
      <c r="A2228" s="23" t="n"/>
      <c r="B2228" s="23" t="n"/>
      <c r="C2228" s="24" t="n"/>
      <c r="D2228" s="15" t="n"/>
      <c r="E2228" s="23" t="n"/>
      <c r="F2228" s="15" t="n"/>
      <c r="G2228" s="23" t="n"/>
      <c r="H2228" s="25" t="n"/>
      <c r="I2228" s="15" t="n"/>
      <c r="J2228" s="26">
        <f>IF($A2228="","",LEN($C2228)-LEN(SUBSTITUTE($C2228,",",""))+1)</f>
        <v/>
      </c>
      <c r="K2228" s="26">
        <f>IF($A2228="","",SUMPRODUCT(--ISNUMBER(SEARCH('Category Dictionary'!$D$5:$D$135&amp;"",$C2228)),--('Category Dictionary'!$D$5:$D$135&lt;&gt;"")))</f>
        <v/>
      </c>
      <c r="L2228" s="27">
        <f>IF($A2228="","",TRIM(IF(ISERROR(FIND(",",$C2228)),$C2228,LEFT($C2228,FIND(",",$C2228)-1))))</f>
        <v/>
      </c>
      <c r="M2228" s="28">
        <f>IF($H2228="","",DATE(YEAR($H2228),MONTH($H2228),1))</f>
        <v/>
      </c>
      <c r="N2228" s="26">
        <f>IF($H2228="","",TODAY()-$H2228)</f>
        <v/>
      </c>
      <c r="O2228" s="15" t="n"/>
      <c r="P2228" s="15" t="n"/>
      <c r="Q2228" s="15" t="n"/>
      <c r="R2228" s="25" t="n"/>
      <c r="S2228" s="26">
        <f>IF($A2228="","",AND(OR('Assignment Builder'!$B$5="",$B2228='Assignment Builder'!$B$5),OR('Assignment Builder'!$B$6="",ISNUMBER(SEARCH('Assignment Builder'!$B$6,$C2228))),OR('Assignment Builder'!$B$7="",'Assignment Builder'!$B$7=IFERROR(INDEX('Category Dictionary'!$C$5:$C$135,MATCH($L2228,'Category Dictionary'!$D$5:$D$135,0)),"")),OR('Assignment Builder'!$B$8="",$D2228='Assignment Builder'!$B$8),OR('Assignment Builder'!$B$9="",$F2228='Assignment Builder'!$B$9),OR('Assignment Builder'!$B$10="",$O2228='Assignment Builder'!$B$10),OR('Assignment Builder'!$B$11="",$H2228&gt;='Assignment Builder'!$B$11),OR('Assignment Builder'!$B$12="",N($Q2228)&lt;='Assignment Builder'!$B$12)))</f>
        <v/>
      </c>
      <c r="T2228" s="23" t="n"/>
    </row>
    <row r="2229">
      <c r="A2229" s="23" t="n"/>
      <c r="B2229" s="23" t="n"/>
      <c r="C2229" s="24" t="n"/>
      <c r="D2229" s="15" t="n"/>
      <c r="E2229" s="23" t="n"/>
      <c r="F2229" s="15" t="n"/>
      <c r="G2229" s="23" t="n"/>
      <c r="H2229" s="25" t="n"/>
      <c r="I2229" s="15" t="n"/>
      <c r="J2229" s="26">
        <f>IF($A2229="","",LEN($C2229)-LEN(SUBSTITUTE($C2229,",",""))+1)</f>
        <v/>
      </c>
      <c r="K2229" s="26">
        <f>IF($A2229="","",SUMPRODUCT(--ISNUMBER(SEARCH('Category Dictionary'!$D$5:$D$135&amp;"",$C2229)),--('Category Dictionary'!$D$5:$D$135&lt;&gt;"")))</f>
        <v/>
      </c>
      <c r="L2229" s="27">
        <f>IF($A2229="","",TRIM(IF(ISERROR(FIND(",",$C2229)),$C2229,LEFT($C2229,FIND(",",$C2229)-1))))</f>
        <v/>
      </c>
      <c r="M2229" s="28">
        <f>IF($H2229="","",DATE(YEAR($H2229),MONTH($H2229),1))</f>
        <v/>
      </c>
      <c r="N2229" s="26">
        <f>IF($H2229="","",TODAY()-$H2229)</f>
        <v/>
      </c>
      <c r="O2229" s="15" t="n"/>
      <c r="P2229" s="15" t="n"/>
      <c r="Q2229" s="15" t="n"/>
      <c r="R2229" s="25" t="n"/>
      <c r="S2229" s="26">
        <f>IF($A2229="","",AND(OR('Assignment Builder'!$B$5="",$B2229='Assignment Builder'!$B$5),OR('Assignment Builder'!$B$6="",ISNUMBER(SEARCH('Assignment Builder'!$B$6,$C2229))),OR('Assignment Builder'!$B$7="",'Assignment Builder'!$B$7=IFERROR(INDEX('Category Dictionary'!$C$5:$C$135,MATCH($L2229,'Category Dictionary'!$D$5:$D$135,0)),"")),OR('Assignment Builder'!$B$8="",$D2229='Assignment Builder'!$B$8),OR('Assignment Builder'!$B$9="",$F2229='Assignment Builder'!$B$9),OR('Assignment Builder'!$B$10="",$O2229='Assignment Builder'!$B$10),OR('Assignment Builder'!$B$11="",$H2229&gt;='Assignment Builder'!$B$11),OR('Assignment Builder'!$B$12="",N($Q2229)&lt;='Assignment Builder'!$B$12)))</f>
        <v/>
      </c>
      <c r="T2229" s="23" t="n"/>
    </row>
    <row r="2230">
      <c r="A2230" s="23" t="n"/>
      <c r="B2230" s="23" t="n"/>
      <c r="C2230" s="24" t="n"/>
      <c r="D2230" s="15" t="n"/>
      <c r="E2230" s="23" t="n"/>
      <c r="F2230" s="15" t="n"/>
      <c r="G2230" s="23" t="n"/>
      <c r="H2230" s="25" t="n"/>
      <c r="I2230" s="15" t="n"/>
      <c r="J2230" s="26">
        <f>IF($A2230="","",LEN($C2230)-LEN(SUBSTITUTE($C2230,",",""))+1)</f>
        <v/>
      </c>
      <c r="K2230" s="26">
        <f>IF($A2230="","",SUMPRODUCT(--ISNUMBER(SEARCH('Category Dictionary'!$D$5:$D$135&amp;"",$C2230)),--('Category Dictionary'!$D$5:$D$135&lt;&gt;"")))</f>
        <v/>
      </c>
      <c r="L2230" s="27">
        <f>IF($A2230="","",TRIM(IF(ISERROR(FIND(",",$C2230)),$C2230,LEFT($C2230,FIND(",",$C2230)-1))))</f>
        <v/>
      </c>
      <c r="M2230" s="28">
        <f>IF($H2230="","",DATE(YEAR($H2230),MONTH($H2230),1))</f>
        <v/>
      </c>
      <c r="N2230" s="26">
        <f>IF($H2230="","",TODAY()-$H2230)</f>
        <v/>
      </c>
      <c r="O2230" s="15" t="n"/>
      <c r="P2230" s="15" t="n"/>
      <c r="Q2230" s="15" t="n"/>
      <c r="R2230" s="25" t="n"/>
      <c r="S2230" s="26">
        <f>IF($A2230="","",AND(OR('Assignment Builder'!$B$5="",$B2230='Assignment Builder'!$B$5),OR('Assignment Builder'!$B$6="",ISNUMBER(SEARCH('Assignment Builder'!$B$6,$C2230))),OR('Assignment Builder'!$B$7="",'Assignment Builder'!$B$7=IFERROR(INDEX('Category Dictionary'!$C$5:$C$135,MATCH($L2230,'Category Dictionary'!$D$5:$D$135,0)),"")),OR('Assignment Builder'!$B$8="",$D2230='Assignment Builder'!$B$8),OR('Assignment Builder'!$B$9="",$F2230='Assignment Builder'!$B$9),OR('Assignment Builder'!$B$10="",$O2230='Assignment Builder'!$B$10),OR('Assignment Builder'!$B$11="",$H2230&gt;='Assignment Builder'!$B$11),OR('Assignment Builder'!$B$12="",N($Q2230)&lt;='Assignment Builder'!$B$12)))</f>
        <v/>
      </c>
      <c r="T2230" s="23" t="n"/>
    </row>
    <row r="2231">
      <c r="A2231" s="23" t="n"/>
      <c r="B2231" s="23" t="n"/>
      <c r="C2231" s="24" t="n"/>
      <c r="D2231" s="15" t="n"/>
      <c r="E2231" s="23" t="n"/>
      <c r="F2231" s="15" t="n"/>
      <c r="G2231" s="23" t="n"/>
      <c r="H2231" s="25" t="n"/>
      <c r="I2231" s="15" t="n"/>
      <c r="J2231" s="26">
        <f>IF($A2231="","",LEN($C2231)-LEN(SUBSTITUTE($C2231,",",""))+1)</f>
        <v/>
      </c>
      <c r="K2231" s="26">
        <f>IF($A2231="","",SUMPRODUCT(--ISNUMBER(SEARCH('Category Dictionary'!$D$5:$D$135&amp;"",$C2231)),--('Category Dictionary'!$D$5:$D$135&lt;&gt;"")))</f>
        <v/>
      </c>
      <c r="L2231" s="27">
        <f>IF($A2231="","",TRIM(IF(ISERROR(FIND(",",$C2231)),$C2231,LEFT($C2231,FIND(",",$C2231)-1))))</f>
        <v/>
      </c>
      <c r="M2231" s="28">
        <f>IF($H2231="","",DATE(YEAR($H2231),MONTH($H2231),1))</f>
        <v/>
      </c>
      <c r="N2231" s="26">
        <f>IF($H2231="","",TODAY()-$H2231)</f>
        <v/>
      </c>
      <c r="O2231" s="15" t="n"/>
      <c r="P2231" s="15" t="n"/>
      <c r="Q2231" s="15" t="n"/>
      <c r="R2231" s="25" t="n"/>
      <c r="S2231" s="26">
        <f>IF($A2231="","",AND(OR('Assignment Builder'!$B$5="",$B2231='Assignment Builder'!$B$5),OR('Assignment Builder'!$B$6="",ISNUMBER(SEARCH('Assignment Builder'!$B$6,$C2231))),OR('Assignment Builder'!$B$7="",'Assignment Builder'!$B$7=IFERROR(INDEX('Category Dictionary'!$C$5:$C$135,MATCH($L2231,'Category Dictionary'!$D$5:$D$135,0)),"")),OR('Assignment Builder'!$B$8="",$D2231='Assignment Builder'!$B$8),OR('Assignment Builder'!$B$9="",$F2231='Assignment Builder'!$B$9),OR('Assignment Builder'!$B$10="",$O2231='Assignment Builder'!$B$10),OR('Assignment Builder'!$B$11="",$H2231&gt;='Assignment Builder'!$B$11),OR('Assignment Builder'!$B$12="",N($Q2231)&lt;='Assignment Builder'!$B$12)))</f>
        <v/>
      </c>
      <c r="T2231" s="23" t="n"/>
    </row>
    <row r="2232">
      <c r="A2232" s="23" t="n"/>
      <c r="B2232" s="23" t="n"/>
      <c r="C2232" s="24" t="n"/>
      <c r="D2232" s="15" t="n"/>
      <c r="E2232" s="23" t="n"/>
      <c r="F2232" s="15" t="n"/>
      <c r="G2232" s="23" t="n"/>
      <c r="H2232" s="25" t="n"/>
      <c r="I2232" s="15" t="n"/>
      <c r="J2232" s="26">
        <f>IF($A2232="","",LEN($C2232)-LEN(SUBSTITUTE($C2232,",",""))+1)</f>
        <v/>
      </c>
      <c r="K2232" s="26">
        <f>IF($A2232="","",SUMPRODUCT(--ISNUMBER(SEARCH('Category Dictionary'!$D$5:$D$135&amp;"",$C2232)),--('Category Dictionary'!$D$5:$D$135&lt;&gt;"")))</f>
        <v/>
      </c>
      <c r="L2232" s="27">
        <f>IF($A2232="","",TRIM(IF(ISERROR(FIND(",",$C2232)),$C2232,LEFT($C2232,FIND(",",$C2232)-1))))</f>
        <v/>
      </c>
      <c r="M2232" s="28">
        <f>IF($H2232="","",DATE(YEAR($H2232),MONTH($H2232),1))</f>
        <v/>
      </c>
      <c r="N2232" s="26">
        <f>IF($H2232="","",TODAY()-$H2232)</f>
        <v/>
      </c>
      <c r="O2232" s="15" t="n"/>
      <c r="P2232" s="15" t="n"/>
      <c r="Q2232" s="15" t="n"/>
      <c r="R2232" s="25" t="n"/>
      <c r="S2232" s="26">
        <f>IF($A2232="","",AND(OR('Assignment Builder'!$B$5="",$B2232='Assignment Builder'!$B$5),OR('Assignment Builder'!$B$6="",ISNUMBER(SEARCH('Assignment Builder'!$B$6,$C2232))),OR('Assignment Builder'!$B$7="",'Assignment Builder'!$B$7=IFERROR(INDEX('Category Dictionary'!$C$5:$C$135,MATCH($L2232,'Category Dictionary'!$D$5:$D$135,0)),"")),OR('Assignment Builder'!$B$8="",$D2232='Assignment Builder'!$B$8),OR('Assignment Builder'!$B$9="",$F2232='Assignment Builder'!$B$9),OR('Assignment Builder'!$B$10="",$O2232='Assignment Builder'!$B$10),OR('Assignment Builder'!$B$11="",$H2232&gt;='Assignment Builder'!$B$11),OR('Assignment Builder'!$B$12="",N($Q2232)&lt;='Assignment Builder'!$B$12)))</f>
        <v/>
      </c>
      <c r="T2232" s="23" t="n"/>
    </row>
    <row r="2233">
      <c r="A2233" s="23" t="n"/>
      <c r="B2233" s="23" t="n"/>
      <c r="C2233" s="24" t="n"/>
      <c r="D2233" s="15" t="n"/>
      <c r="E2233" s="23" t="n"/>
      <c r="F2233" s="15" t="n"/>
      <c r="G2233" s="23" t="n"/>
      <c r="H2233" s="25" t="n"/>
      <c r="I2233" s="15" t="n"/>
      <c r="J2233" s="26">
        <f>IF($A2233="","",LEN($C2233)-LEN(SUBSTITUTE($C2233,",",""))+1)</f>
        <v/>
      </c>
      <c r="K2233" s="26">
        <f>IF($A2233="","",SUMPRODUCT(--ISNUMBER(SEARCH('Category Dictionary'!$D$5:$D$135&amp;"",$C2233)),--('Category Dictionary'!$D$5:$D$135&lt;&gt;"")))</f>
        <v/>
      </c>
      <c r="L2233" s="27">
        <f>IF($A2233="","",TRIM(IF(ISERROR(FIND(",",$C2233)),$C2233,LEFT($C2233,FIND(",",$C2233)-1))))</f>
        <v/>
      </c>
      <c r="M2233" s="28">
        <f>IF($H2233="","",DATE(YEAR($H2233),MONTH($H2233),1))</f>
        <v/>
      </c>
      <c r="N2233" s="26">
        <f>IF($H2233="","",TODAY()-$H2233)</f>
        <v/>
      </c>
      <c r="O2233" s="15" t="n"/>
      <c r="P2233" s="15" t="n"/>
      <c r="Q2233" s="15" t="n"/>
      <c r="R2233" s="25" t="n"/>
      <c r="S2233" s="26">
        <f>IF($A2233="","",AND(OR('Assignment Builder'!$B$5="",$B2233='Assignment Builder'!$B$5),OR('Assignment Builder'!$B$6="",ISNUMBER(SEARCH('Assignment Builder'!$B$6,$C2233))),OR('Assignment Builder'!$B$7="",'Assignment Builder'!$B$7=IFERROR(INDEX('Category Dictionary'!$C$5:$C$135,MATCH($L2233,'Category Dictionary'!$D$5:$D$135,0)),"")),OR('Assignment Builder'!$B$8="",$D2233='Assignment Builder'!$B$8),OR('Assignment Builder'!$B$9="",$F2233='Assignment Builder'!$B$9),OR('Assignment Builder'!$B$10="",$O2233='Assignment Builder'!$B$10),OR('Assignment Builder'!$B$11="",$H2233&gt;='Assignment Builder'!$B$11),OR('Assignment Builder'!$B$12="",N($Q2233)&lt;='Assignment Builder'!$B$12)))</f>
        <v/>
      </c>
      <c r="T2233" s="23" t="n"/>
    </row>
    <row r="2234">
      <c r="A2234" s="23" t="n"/>
      <c r="B2234" s="23" t="n"/>
      <c r="C2234" s="24" t="n"/>
      <c r="D2234" s="15" t="n"/>
      <c r="E2234" s="23" t="n"/>
      <c r="F2234" s="15" t="n"/>
      <c r="G2234" s="23" t="n"/>
      <c r="H2234" s="25" t="n"/>
      <c r="I2234" s="15" t="n"/>
      <c r="J2234" s="26">
        <f>IF($A2234="","",LEN($C2234)-LEN(SUBSTITUTE($C2234,",",""))+1)</f>
        <v/>
      </c>
      <c r="K2234" s="26">
        <f>IF($A2234="","",SUMPRODUCT(--ISNUMBER(SEARCH('Category Dictionary'!$D$5:$D$135&amp;"",$C2234)),--('Category Dictionary'!$D$5:$D$135&lt;&gt;"")))</f>
        <v/>
      </c>
      <c r="L2234" s="27">
        <f>IF($A2234="","",TRIM(IF(ISERROR(FIND(",",$C2234)),$C2234,LEFT($C2234,FIND(",",$C2234)-1))))</f>
        <v/>
      </c>
      <c r="M2234" s="28">
        <f>IF($H2234="","",DATE(YEAR($H2234),MONTH($H2234),1))</f>
        <v/>
      </c>
      <c r="N2234" s="26">
        <f>IF($H2234="","",TODAY()-$H2234)</f>
        <v/>
      </c>
      <c r="O2234" s="15" t="n"/>
      <c r="P2234" s="15" t="n"/>
      <c r="Q2234" s="15" t="n"/>
      <c r="R2234" s="25" t="n"/>
      <c r="S2234" s="26">
        <f>IF($A2234="","",AND(OR('Assignment Builder'!$B$5="",$B2234='Assignment Builder'!$B$5),OR('Assignment Builder'!$B$6="",ISNUMBER(SEARCH('Assignment Builder'!$B$6,$C2234))),OR('Assignment Builder'!$B$7="",'Assignment Builder'!$B$7=IFERROR(INDEX('Category Dictionary'!$C$5:$C$135,MATCH($L2234,'Category Dictionary'!$D$5:$D$135,0)),"")),OR('Assignment Builder'!$B$8="",$D2234='Assignment Builder'!$B$8),OR('Assignment Builder'!$B$9="",$F2234='Assignment Builder'!$B$9),OR('Assignment Builder'!$B$10="",$O2234='Assignment Builder'!$B$10),OR('Assignment Builder'!$B$11="",$H2234&gt;='Assignment Builder'!$B$11),OR('Assignment Builder'!$B$12="",N($Q2234)&lt;='Assignment Builder'!$B$12)))</f>
        <v/>
      </c>
      <c r="T2234" s="23" t="n"/>
    </row>
    <row r="2235">
      <c r="A2235" s="23" t="n"/>
      <c r="B2235" s="23" t="n"/>
      <c r="C2235" s="24" t="n"/>
      <c r="D2235" s="15" t="n"/>
      <c r="E2235" s="23" t="n"/>
      <c r="F2235" s="15" t="n"/>
      <c r="G2235" s="23" t="n"/>
      <c r="H2235" s="25" t="n"/>
      <c r="I2235" s="15" t="n"/>
      <c r="J2235" s="26">
        <f>IF($A2235="","",LEN($C2235)-LEN(SUBSTITUTE($C2235,",",""))+1)</f>
        <v/>
      </c>
      <c r="K2235" s="26">
        <f>IF($A2235="","",SUMPRODUCT(--ISNUMBER(SEARCH('Category Dictionary'!$D$5:$D$135&amp;"",$C2235)),--('Category Dictionary'!$D$5:$D$135&lt;&gt;"")))</f>
        <v/>
      </c>
      <c r="L2235" s="27">
        <f>IF($A2235="","",TRIM(IF(ISERROR(FIND(",",$C2235)),$C2235,LEFT($C2235,FIND(",",$C2235)-1))))</f>
        <v/>
      </c>
      <c r="M2235" s="28">
        <f>IF($H2235="","",DATE(YEAR($H2235),MONTH($H2235),1))</f>
        <v/>
      </c>
      <c r="N2235" s="26">
        <f>IF($H2235="","",TODAY()-$H2235)</f>
        <v/>
      </c>
      <c r="O2235" s="15" t="n"/>
      <c r="P2235" s="15" t="n"/>
      <c r="Q2235" s="15" t="n"/>
      <c r="R2235" s="25" t="n"/>
      <c r="S2235" s="26">
        <f>IF($A2235="","",AND(OR('Assignment Builder'!$B$5="",$B2235='Assignment Builder'!$B$5),OR('Assignment Builder'!$B$6="",ISNUMBER(SEARCH('Assignment Builder'!$B$6,$C2235))),OR('Assignment Builder'!$B$7="",'Assignment Builder'!$B$7=IFERROR(INDEX('Category Dictionary'!$C$5:$C$135,MATCH($L2235,'Category Dictionary'!$D$5:$D$135,0)),"")),OR('Assignment Builder'!$B$8="",$D2235='Assignment Builder'!$B$8),OR('Assignment Builder'!$B$9="",$F2235='Assignment Builder'!$B$9),OR('Assignment Builder'!$B$10="",$O2235='Assignment Builder'!$B$10),OR('Assignment Builder'!$B$11="",$H2235&gt;='Assignment Builder'!$B$11),OR('Assignment Builder'!$B$12="",N($Q2235)&lt;='Assignment Builder'!$B$12)))</f>
        <v/>
      </c>
      <c r="T2235" s="23" t="n"/>
    </row>
    <row r="2236">
      <c r="A2236" s="23" t="n"/>
      <c r="B2236" s="23" t="n"/>
      <c r="C2236" s="24" t="n"/>
      <c r="D2236" s="15" t="n"/>
      <c r="E2236" s="23" t="n"/>
      <c r="F2236" s="15" t="n"/>
      <c r="G2236" s="23" t="n"/>
      <c r="H2236" s="25" t="n"/>
      <c r="I2236" s="15" t="n"/>
      <c r="J2236" s="26">
        <f>IF($A2236="","",LEN($C2236)-LEN(SUBSTITUTE($C2236,",",""))+1)</f>
        <v/>
      </c>
      <c r="K2236" s="26">
        <f>IF($A2236="","",SUMPRODUCT(--ISNUMBER(SEARCH('Category Dictionary'!$D$5:$D$135&amp;"",$C2236)),--('Category Dictionary'!$D$5:$D$135&lt;&gt;"")))</f>
        <v/>
      </c>
      <c r="L2236" s="27">
        <f>IF($A2236="","",TRIM(IF(ISERROR(FIND(",",$C2236)),$C2236,LEFT($C2236,FIND(",",$C2236)-1))))</f>
        <v/>
      </c>
      <c r="M2236" s="28">
        <f>IF($H2236="","",DATE(YEAR($H2236),MONTH($H2236),1))</f>
        <v/>
      </c>
      <c r="N2236" s="26">
        <f>IF($H2236="","",TODAY()-$H2236)</f>
        <v/>
      </c>
      <c r="O2236" s="15" t="n"/>
      <c r="P2236" s="15" t="n"/>
      <c r="Q2236" s="15" t="n"/>
      <c r="R2236" s="25" t="n"/>
      <c r="S2236" s="26">
        <f>IF($A2236="","",AND(OR('Assignment Builder'!$B$5="",$B2236='Assignment Builder'!$B$5),OR('Assignment Builder'!$B$6="",ISNUMBER(SEARCH('Assignment Builder'!$B$6,$C2236))),OR('Assignment Builder'!$B$7="",'Assignment Builder'!$B$7=IFERROR(INDEX('Category Dictionary'!$C$5:$C$135,MATCH($L2236,'Category Dictionary'!$D$5:$D$135,0)),"")),OR('Assignment Builder'!$B$8="",$D2236='Assignment Builder'!$B$8),OR('Assignment Builder'!$B$9="",$F2236='Assignment Builder'!$B$9),OR('Assignment Builder'!$B$10="",$O2236='Assignment Builder'!$B$10),OR('Assignment Builder'!$B$11="",$H2236&gt;='Assignment Builder'!$B$11),OR('Assignment Builder'!$B$12="",N($Q2236)&lt;='Assignment Builder'!$B$12)))</f>
        <v/>
      </c>
      <c r="T2236" s="23" t="n"/>
    </row>
    <row r="2237">
      <c r="A2237" s="23" t="n"/>
      <c r="B2237" s="23" t="n"/>
      <c r="C2237" s="24" t="n"/>
      <c r="D2237" s="15" t="n"/>
      <c r="E2237" s="23" t="n"/>
      <c r="F2237" s="15" t="n"/>
      <c r="G2237" s="23" t="n"/>
      <c r="H2237" s="25" t="n"/>
      <c r="I2237" s="15" t="n"/>
      <c r="J2237" s="26">
        <f>IF($A2237="","",LEN($C2237)-LEN(SUBSTITUTE($C2237,",",""))+1)</f>
        <v/>
      </c>
      <c r="K2237" s="26">
        <f>IF($A2237="","",SUMPRODUCT(--ISNUMBER(SEARCH('Category Dictionary'!$D$5:$D$135&amp;"",$C2237)),--('Category Dictionary'!$D$5:$D$135&lt;&gt;"")))</f>
        <v/>
      </c>
      <c r="L2237" s="27">
        <f>IF($A2237="","",TRIM(IF(ISERROR(FIND(",",$C2237)),$C2237,LEFT($C2237,FIND(",",$C2237)-1))))</f>
        <v/>
      </c>
      <c r="M2237" s="28">
        <f>IF($H2237="","",DATE(YEAR($H2237),MONTH($H2237),1))</f>
        <v/>
      </c>
      <c r="N2237" s="26">
        <f>IF($H2237="","",TODAY()-$H2237)</f>
        <v/>
      </c>
      <c r="O2237" s="15" t="n"/>
      <c r="P2237" s="15" t="n"/>
      <c r="Q2237" s="15" t="n"/>
      <c r="R2237" s="25" t="n"/>
      <c r="S2237" s="26">
        <f>IF($A2237="","",AND(OR('Assignment Builder'!$B$5="",$B2237='Assignment Builder'!$B$5),OR('Assignment Builder'!$B$6="",ISNUMBER(SEARCH('Assignment Builder'!$B$6,$C2237))),OR('Assignment Builder'!$B$7="",'Assignment Builder'!$B$7=IFERROR(INDEX('Category Dictionary'!$C$5:$C$135,MATCH($L2237,'Category Dictionary'!$D$5:$D$135,0)),"")),OR('Assignment Builder'!$B$8="",$D2237='Assignment Builder'!$B$8),OR('Assignment Builder'!$B$9="",$F2237='Assignment Builder'!$B$9),OR('Assignment Builder'!$B$10="",$O2237='Assignment Builder'!$B$10),OR('Assignment Builder'!$B$11="",$H2237&gt;='Assignment Builder'!$B$11),OR('Assignment Builder'!$B$12="",N($Q2237)&lt;='Assignment Builder'!$B$12)))</f>
        <v/>
      </c>
      <c r="T2237" s="23" t="n"/>
    </row>
    <row r="2238">
      <c r="A2238" s="23" t="n"/>
      <c r="B2238" s="23" t="n"/>
      <c r="C2238" s="24" t="n"/>
      <c r="D2238" s="15" t="n"/>
      <c r="E2238" s="23" t="n"/>
      <c r="F2238" s="15" t="n"/>
      <c r="G2238" s="23" t="n"/>
      <c r="H2238" s="25" t="n"/>
      <c r="I2238" s="15" t="n"/>
      <c r="J2238" s="26">
        <f>IF($A2238="","",LEN($C2238)-LEN(SUBSTITUTE($C2238,",",""))+1)</f>
        <v/>
      </c>
      <c r="K2238" s="26">
        <f>IF($A2238="","",SUMPRODUCT(--ISNUMBER(SEARCH('Category Dictionary'!$D$5:$D$135&amp;"",$C2238)),--('Category Dictionary'!$D$5:$D$135&lt;&gt;"")))</f>
        <v/>
      </c>
      <c r="L2238" s="27">
        <f>IF($A2238="","",TRIM(IF(ISERROR(FIND(",",$C2238)),$C2238,LEFT($C2238,FIND(",",$C2238)-1))))</f>
        <v/>
      </c>
      <c r="M2238" s="28">
        <f>IF($H2238="","",DATE(YEAR($H2238),MONTH($H2238),1))</f>
        <v/>
      </c>
      <c r="N2238" s="26">
        <f>IF($H2238="","",TODAY()-$H2238)</f>
        <v/>
      </c>
      <c r="O2238" s="15" t="n"/>
      <c r="P2238" s="15" t="n"/>
      <c r="Q2238" s="15" t="n"/>
      <c r="R2238" s="25" t="n"/>
      <c r="S2238" s="26">
        <f>IF($A2238="","",AND(OR('Assignment Builder'!$B$5="",$B2238='Assignment Builder'!$B$5),OR('Assignment Builder'!$B$6="",ISNUMBER(SEARCH('Assignment Builder'!$B$6,$C2238))),OR('Assignment Builder'!$B$7="",'Assignment Builder'!$B$7=IFERROR(INDEX('Category Dictionary'!$C$5:$C$135,MATCH($L2238,'Category Dictionary'!$D$5:$D$135,0)),"")),OR('Assignment Builder'!$B$8="",$D2238='Assignment Builder'!$B$8),OR('Assignment Builder'!$B$9="",$F2238='Assignment Builder'!$B$9),OR('Assignment Builder'!$B$10="",$O2238='Assignment Builder'!$B$10),OR('Assignment Builder'!$B$11="",$H2238&gt;='Assignment Builder'!$B$11),OR('Assignment Builder'!$B$12="",N($Q2238)&lt;='Assignment Builder'!$B$12)))</f>
        <v/>
      </c>
      <c r="T2238" s="23" t="n"/>
    </row>
    <row r="2239">
      <c r="A2239" s="23" t="n"/>
      <c r="B2239" s="23" t="n"/>
      <c r="C2239" s="24" t="n"/>
      <c r="D2239" s="15" t="n"/>
      <c r="E2239" s="23" t="n"/>
      <c r="F2239" s="15" t="n"/>
      <c r="G2239" s="23" t="n"/>
      <c r="H2239" s="25" t="n"/>
      <c r="I2239" s="15" t="n"/>
      <c r="J2239" s="26">
        <f>IF($A2239="","",LEN($C2239)-LEN(SUBSTITUTE($C2239,",",""))+1)</f>
        <v/>
      </c>
      <c r="K2239" s="26">
        <f>IF($A2239="","",SUMPRODUCT(--ISNUMBER(SEARCH('Category Dictionary'!$D$5:$D$135&amp;"",$C2239)),--('Category Dictionary'!$D$5:$D$135&lt;&gt;"")))</f>
        <v/>
      </c>
      <c r="L2239" s="27">
        <f>IF($A2239="","",TRIM(IF(ISERROR(FIND(",",$C2239)),$C2239,LEFT($C2239,FIND(",",$C2239)-1))))</f>
        <v/>
      </c>
      <c r="M2239" s="28">
        <f>IF($H2239="","",DATE(YEAR($H2239),MONTH($H2239),1))</f>
        <v/>
      </c>
      <c r="N2239" s="26">
        <f>IF($H2239="","",TODAY()-$H2239)</f>
        <v/>
      </c>
      <c r="O2239" s="15" t="n"/>
      <c r="P2239" s="15" t="n"/>
      <c r="Q2239" s="15" t="n"/>
      <c r="R2239" s="25" t="n"/>
      <c r="S2239" s="26">
        <f>IF($A2239="","",AND(OR('Assignment Builder'!$B$5="",$B2239='Assignment Builder'!$B$5),OR('Assignment Builder'!$B$6="",ISNUMBER(SEARCH('Assignment Builder'!$B$6,$C2239))),OR('Assignment Builder'!$B$7="",'Assignment Builder'!$B$7=IFERROR(INDEX('Category Dictionary'!$C$5:$C$135,MATCH($L2239,'Category Dictionary'!$D$5:$D$135,0)),"")),OR('Assignment Builder'!$B$8="",$D2239='Assignment Builder'!$B$8),OR('Assignment Builder'!$B$9="",$F2239='Assignment Builder'!$B$9),OR('Assignment Builder'!$B$10="",$O2239='Assignment Builder'!$B$10),OR('Assignment Builder'!$B$11="",$H2239&gt;='Assignment Builder'!$B$11),OR('Assignment Builder'!$B$12="",N($Q2239)&lt;='Assignment Builder'!$B$12)))</f>
        <v/>
      </c>
      <c r="T2239" s="23" t="n"/>
    </row>
    <row r="2240">
      <c r="A2240" s="23" t="n"/>
      <c r="B2240" s="23" t="n"/>
      <c r="C2240" s="24" t="n"/>
      <c r="D2240" s="15" t="n"/>
      <c r="E2240" s="23" t="n"/>
      <c r="F2240" s="15" t="n"/>
      <c r="G2240" s="23" t="n"/>
      <c r="H2240" s="25" t="n"/>
      <c r="I2240" s="15" t="n"/>
      <c r="J2240" s="26">
        <f>IF($A2240="","",LEN($C2240)-LEN(SUBSTITUTE($C2240,",",""))+1)</f>
        <v/>
      </c>
      <c r="K2240" s="26">
        <f>IF($A2240="","",SUMPRODUCT(--ISNUMBER(SEARCH('Category Dictionary'!$D$5:$D$135&amp;"",$C2240)),--('Category Dictionary'!$D$5:$D$135&lt;&gt;"")))</f>
        <v/>
      </c>
      <c r="L2240" s="27">
        <f>IF($A2240="","",TRIM(IF(ISERROR(FIND(",",$C2240)),$C2240,LEFT($C2240,FIND(",",$C2240)-1))))</f>
        <v/>
      </c>
      <c r="M2240" s="28">
        <f>IF($H2240="","",DATE(YEAR($H2240),MONTH($H2240),1))</f>
        <v/>
      </c>
      <c r="N2240" s="26">
        <f>IF($H2240="","",TODAY()-$H2240)</f>
        <v/>
      </c>
      <c r="O2240" s="15" t="n"/>
      <c r="P2240" s="15" t="n"/>
      <c r="Q2240" s="15" t="n"/>
      <c r="R2240" s="25" t="n"/>
      <c r="S2240" s="26">
        <f>IF($A2240="","",AND(OR('Assignment Builder'!$B$5="",$B2240='Assignment Builder'!$B$5),OR('Assignment Builder'!$B$6="",ISNUMBER(SEARCH('Assignment Builder'!$B$6,$C2240))),OR('Assignment Builder'!$B$7="",'Assignment Builder'!$B$7=IFERROR(INDEX('Category Dictionary'!$C$5:$C$135,MATCH($L2240,'Category Dictionary'!$D$5:$D$135,0)),"")),OR('Assignment Builder'!$B$8="",$D2240='Assignment Builder'!$B$8),OR('Assignment Builder'!$B$9="",$F2240='Assignment Builder'!$B$9),OR('Assignment Builder'!$B$10="",$O2240='Assignment Builder'!$B$10),OR('Assignment Builder'!$B$11="",$H2240&gt;='Assignment Builder'!$B$11),OR('Assignment Builder'!$B$12="",N($Q2240)&lt;='Assignment Builder'!$B$12)))</f>
        <v/>
      </c>
      <c r="T2240" s="23" t="n"/>
    </row>
    <row r="2241">
      <c r="A2241" s="23" t="n"/>
      <c r="B2241" s="23" t="n"/>
      <c r="C2241" s="24" t="n"/>
      <c r="D2241" s="15" t="n"/>
      <c r="E2241" s="23" t="n"/>
      <c r="F2241" s="15" t="n"/>
      <c r="G2241" s="23" t="n"/>
      <c r="H2241" s="25" t="n"/>
      <c r="I2241" s="15" t="n"/>
      <c r="J2241" s="26">
        <f>IF($A2241="","",LEN($C2241)-LEN(SUBSTITUTE($C2241,",",""))+1)</f>
        <v/>
      </c>
      <c r="K2241" s="26">
        <f>IF($A2241="","",SUMPRODUCT(--ISNUMBER(SEARCH('Category Dictionary'!$D$5:$D$135&amp;"",$C2241)),--('Category Dictionary'!$D$5:$D$135&lt;&gt;"")))</f>
        <v/>
      </c>
      <c r="L2241" s="27">
        <f>IF($A2241="","",TRIM(IF(ISERROR(FIND(",",$C2241)),$C2241,LEFT($C2241,FIND(",",$C2241)-1))))</f>
        <v/>
      </c>
      <c r="M2241" s="28">
        <f>IF($H2241="","",DATE(YEAR($H2241),MONTH($H2241),1))</f>
        <v/>
      </c>
      <c r="N2241" s="26">
        <f>IF($H2241="","",TODAY()-$H2241)</f>
        <v/>
      </c>
      <c r="O2241" s="15" t="n"/>
      <c r="P2241" s="15" t="n"/>
      <c r="Q2241" s="15" t="n"/>
      <c r="R2241" s="25" t="n"/>
      <c r="S2241" s="26">
        <f>IF($A2241="","",AND(OR('Assignment Builder'!$B$5="",$B2241='Assignment Builder'!$B$5),OR('Assignment Builder'!$B$6="",ISNUMBER(SEARCH('Assignment Builder'!$B$6,$C2241))),OR('Assignment Builder'!$B$7="",'Assignment Builder'!$B$7=IFERROR(INDEX('Category Dictionary'!$C$5:$C$135,MATCH($L2241,'Category Dictionary'!$D$5:$D$135,0)),"")),OR('Assignment Builder'!$B$8="",$D2241='Assignment Builder'!$B$8),OR('Assignment Builder'!$B$9="",$F2241='Assignment Builder'!$B$9),OR('Assignment Builder'!$B$10="",$O2241='Assignment Builder'!$B$10),OR('Assignment Builder'!$B$11="",$H2241&gt;='Assignment Builder'!$B$11),OR('Assignment Builder'!$B$12="",N($Q2241)&lt;='Assignment Builder'!$B$12)))</f>
        <v/>
      </c>
      <c r="T2241" s="23" t="n"/>
    </row>
    <row r="2242">
      <c r="A2242" s="23" t="n"/>
      <c r="B2242" s="23" t="n"/>
      <c r="C2242" s="24" t="n"/>
      <c r="D2242" s="15" t="n"/>
      <c r="E2242" s="23" t="n"/>
      <c r="F2242" s="15" t="n"/>
      <c r="G2242" s="23" t="n"/>
      <c r="H2242" s="25" t="n"/>
      <c r="I2242" s="15" t="n"/>
      <c r="J2242" s="26">
        <f>IF($A2242="","",LEN($C2242)-LEN(SUBSTITUTE($C2242,",",""))+1)</f>
        <v/>
      </c>
      <c r="K2242" s="26">
        <f>IF($A2242="","",SUMPRODUCT(--ISNUMBER(SEARCH('Category Dictionary'!$D$5:$D$135&amp;"",$C2242)),--('Category Dictionary'!$D$5:$D$135&lt;&gt;"")))</f>
        <v/>
      </c>
      <c r="L2242" s="27">
        <f>IF($A2242="","",TRIM(IF(ISERROR(FIND(",",$C2242)),$C2242,LEFT($C2242,FIND(",",$C2242)-1))))</f>
        <v/>
      </c>
      <c r="M2242" s="28">
        <f>IF($H2242="","",DATE(YEAR($H2242),MONTH($H2242),1))</f>
        <v/>
      </c>
      <c r="N2242" s="26">
        <f>IF($H2242="","",TODAY()-$H2242)</f>
        <v/>
      </c>
      <c r="O2242" s="15" t="n"/>
      <c r="P2242" s="15" t="n"/>
      <c r="Q2242" s="15" t="n"/>
      <c r="R2242" s="25" t="n"/>
      <c r="S2242" s="26">
        <f>IF($A2242="","",AND(OR('Assignment Builder'!$B$5="",$B2242='Assignment Builder'!$B$5),OR('Assignment Builder'!$B$6="",ISNUMBER(SEARCH('Assignment Builder'!$B$6,$C2242))),OR('Assignment Builder'!$B$7="",'Assignment Builder'!$B$7=IFERROR(INDEX('Category Dictionary'!$C$5:$C$135,MATCH($L2242,'Category Dictionary'!$D$5:$D$135,0)),"")),OR('Assignment Builder'!$B$8="",$D2242='Assignment Builder'!$B$8),OR('Assignment Builder'!$B$9="",$F2242='Assignment Builder'!$B$9),OR('Assignment Builder'!$B$10="",$O2242='Assignment Builder'!$B$10),OR('Assignment Builder'!$B$11="",$H2242&gt;='Assignment Builder'!$B$11),OR('Assignment Builder'!$B$12="",N($Q2242)&lt;='Assignment Builder'!$B$12)))</f>
        <v/>
      </c>
      <c r="T2242" s="23" t="n"/>
    </row>
    <row r="2243">
      <c r="A2243" s="23" t="n"/>
      <c r="B2243" s="23" t="n"/>
      <c r="C2243" s="24" t="n"/>
      <c r="D2243" s="15" t="n"/>
      <c r="E2243" s="23" t="n"/>
      <c r="F2243" s="15" t="n"/>
      <c r="G2243" s="23" t="n"/>
      <c r="H2243" s="25" t="n"/>
      <c r="I2243" s="15" t="n"/>
      <c r="J2243" s="26">
        <f>IF($A2243="","",LEN($C2243)-LEN(SUBSTITUTE($C2243,",",""))+1)</f>
        <v/>
      </c>
      <c r="K2243" s="26">
        <f>IF($A2243="","",SUMPRODUCT(--ISNUMBER(SEARCH('Category Dictionary'!$D$5:$D$135&amp;"",$C2243)),--('Category Dictionary'!$D$5:$D$135&lt;&gt;"")))</f>
        <v/>
      </c>
      <c r="L2243" s="27">
        <f>IF($A2243="","",TRIM(IF(ISERROR(FIND(",",$C2243)),$C2243,LEFT($C2243,FIND(",",$C2243)-1))))</f>
        <v/>
      </c>
      <c r="M2243" s="28">
        <f>IF($H2243="","",DATE(YEAR($H2243),MONTH($H2243),1))</f>
        <v/>
      </c>
      <c r="N2243" s="26">
        <f>IF($H2243="","",TODAY()-$H2243)</f>
        <v/>
      </c>
      <c r="O2243" s="15" t="n"/>
      <c r="P2243" s="15" t="n"/>
      <c r="Q2243" s="15" t="n"/>
      <c r="R2243" s="25" t="n"/>
      <c r="S2243" s="26">
        <f>IF($A2243="","",AND(OR('Assignment Builder'!$B$5="",$B2243='Assignment Builder'!$B$5),OR('Assignment Builder'!$B$6="",ISNUMBER(SEARCH('Assignment Builder'!$B$6,$C2243))),OR('Assignment Builder'!$B$7="",'Assignment Builder'!$B$7=IFERROR(INDEX('Category Dictionary'!$C$5:$C$135,MATCH($L2243,'Category Dictionary'!$D$5:$D$135,0)),"")),OR('Assignment Builder'!$B$8="",$D2243='Assignment Builder'!$B$8),OR('Assignment Builder'!$B$9="",$F2243='Assignment Builder'!$B$9),OR('Assignment Builder'!$B$10="",$O2243='Assignment Builder'!$B$10),OR('Assignment Builder'!$B$11="",$H2243&gt;='Assignment Builder'!$B$11),OR('Assignment Builder'!$B$12="",N($Q2243)&lt;='Assignment Builder'!$B$12)))</f>
        <v/>
      </c>
      <c r="T2243" s="23" t="n"/>
    </row>
    <row r="2244">
      <c r="A2244" s="23" t="n"/>
      <c r="B2244" s="23" t="n"/>
      <c r="C2244" s="24" t="n"/>
      <c r="D2244" s="15" t="n"/>
      <c r="E2244" s="23" t="n"/>
      <c r="F2244" s="15" t="n"/>
      <c r="G2244" s="23" t="n"/>
      <c r="H2244" s="25" t="n"/>
      <c r="I2244" s="15" t="n"/>
      <c r="J2244" s="26">
        <f>IF($A2244="","",LEN($C2244)-LEN(SUBSTITUTE($C2244,",",""))+1)</f>
        <v/>
      </c>
      <c r="K2244" s="26">
        <f>IF($A2244="","",SUMPRODUCT(--ISNUMBER(SEARCH('Category Dictionary'!$D$5:$D$135&amp;"",$C2244)),--('Category Dictionary'!$D$5:$D$135&lt;&gt;"")))</f>
        <v/>
      </c>
      <c r="L2244" s="27">
        <f>IF($A2244="","",TRIM(IF(ISERROR(FIND(",",$C2244)),$C2244,LEFT($C2244,FIND(",",$C2244)-1))))</f>
        <v/>
      </c>
      <c r="M2244" s="28">
        <f>IF($H2244="","",DATE(YEAR($H2244),MONTH($H2244),1))</f>
        <v/>
      </c>
      <c r="N2244" s="26">
        <f>IF($H2244="","",TODAY()-$H2244)</f>
        <v/>
      </c>
      <c r="O2244" s="15" t="n"/>
      <c r="P2244" s="15" t="n"/>
      <c r="Q2244" s="15" t="n"/>
      <c r="R2244" s="25" t="n"/>
      <c r="S2244" s="26">
        <f>IF($A2244="","",AND(OR('Assignment Builder'!$B$5="",$B2244='Assignment Builder'!$B$5),OR('Assignment Builder'!$B$6="",ISNUMBER(SEARCH('Assignment Builder'!$B$6,$C2244))),OR('Assignment Builder'!$B$7="",'Assignment Builder'!$B$7=IFERROR(INDEX('Category Dictionary'!$C$5:$C$135,MATCH($L2244,'Category Dictionary'!$D$5:$D$135,0)),"")),OR('Assignment Builder'!$B$8="",$D2244='Assignment Builder'!$B$8),OR('Assignment Builder'!$B$9="",$F2244='Assignment Builder'!$B$9),OR('Assignment Builder'!$B$10="",$O2244='Assignment Builder'!$B$10),OR('Assignment Builder'!$B$11="",$H2244&gt;='Assignment Builder'!$B$11),OR('Assignment Builder'!$B$12="",N($Q2244)&lt;='Assignment Builder'!$B$12)))</f>
        <v/>
      </c>
      <c r="T2244" s="23" t="n"/>
    </row>
    <row r="2245">
      <c r="A2245" s="23" t="n"/>
      <c r="B2245" s="23" t="n"/>
      <c r="C2245" s="24" t="n"/>
      <c r="D2245" s="15" t="n"/>
      <c r="E2245" s="23" t="n"/>
      <c r="F2245" s="15" t="n"/>
      <c r="G2245" s="23" t="n"/>
      <c r="H2245" s="25" t="n"/>
      <c r="I2245" s="15" t="n"/>
      <c r="J2245" s="26">
        <f>IF($A2245="","",LEN($C2245)-LEN(SUBSTITUTE($C2245,",",""))+1)</f>
        <v/>
      </c>
      <c r="K2245" s="26">
        <f>IF($A2245="","",SUMPRODUCT(--ISNUMBER(SEARCH('Category Dictionary'!$D$5:$D$135&amp;"",$C2245)),--('Category Dictionary'!$D$5:$D$135&lt;&gt;"")))</f>
        <v/>
      </c>
      <c r="L2245" s="27">
        <f>IF($A2245="","",TRIM(IF(ISERROR(FIND(",",$C2245)),$C2245,LEFT($C2245,FIND(",",$C2245)-1))))</f>
        <v/>
      </c>
      <c r="M2245" s="28">
        <f>IF($H2245="","",DATE(YEAR($H2245),MONTH($H2245),1))</f>
        <v/>
      </c>
      <c r="N2245" s="26">
        <f>IF($H2245="","",TODAY()-$H2245)</f>
        <v/>
      </c>
      <c r="O2245" s="15" t="n"/>
      <c r="P2245" s="15" t="n"/>
      <c r="Q2245" s="15" t="n"/>
      <c r="R2245" s="25" t="n"/>
      <c r="S2245" s="26">
        <f>IF($A2245="","",AND(OR('Assignment Builder'!$B$5="",$B2245='Assignment Builder'!$B$5),OR('Assignment Builder'!$B$6="",ISNUMBER(SEARCH('Assignment Builder'!$B$6,$C2245))),OR('Assignment Builder'!$B$7="",'Assignment Builder'!$B$7=IFERROR(INDEX('Category Dictionary'!$C$5:$C$135,MATCH($L2245,'Category Dictionary'!$D$5:$D$135,0)),"")),OR('Assignment Builder'!$B$8="",$D2245='Assignment Builder'!$B$8),OR('Assignment Builder'!$B$9="",$F2245='Assignment Builder'!$B$9),OR('Assignment Builder'!$B$10="",$O2245='Assignment Builder'!$B$10),OR('Assignment Builder'!$B$11="",$H2245&gt;='Assignment Builder'!$B$11),OR('Assignment Builder'!$B$12="",N($Q2245)&lt;='Assignment Builder'!$B$12)))</f>
        <v/>
      </c>
      <c r="T2245" s="23" t="n"/>
    </row>
    <row r="2246">
      <c r="A2246" s="23" t="n"/>
      <c r="B2246" s="23" t="n"/>
      <c r="C2246" s="24" t="n"/>
      <c r="D2246" s="15" t="n"/>
      <c r="E2246" s="23" t="n"/>
      <c r="F2246" s="15" t="n"/>
      <c r="G2246" s="23" t="n"/>
      <c r="H2246" s="25" t="n"/>
      <c r="I2246" s="15" t="n"/>
      <c r="J2246" s="26">
        <f>IF($A2246="","",LEN($C2246)-LEN(SUBSTITUTE($C2246,",",""))+1)</f>
        <v/>
      </c>
      <c r="K2246" s="26">
        <f>IF($A2246="","",SUMPRODUCT(--ISNUMBER(SEARCH('Category Dictionary'!$D$5:$D$135&amp;"",$C2246)),--('Category Dictionary'!$D$5:$D$135&lt;&gt;"")))</f>
        <v/>
      </c>
      <c r="L2246" s="27">
        <f>IF($A2246="","",TRIM(IF(ISERROR(FIND(",",$C2246)),$C2246,LEFT($C2246,FIND(",",$C2246)-1))))</f>
        <v/>
      </c>
      <c r="M2246" s="28">
        <f>IF($H2246="","",DATE(YEAR($H2246),MONTH($H2246),1))</f>
        <v/>
      </c>
      <c r="N2246" s="26">
        <f>IF($H2246="","",TODAY()-$H2246)</f>
        <v/>
      </c>
      <c r="O2246" s="15" t="n"/>
      <c r="P2246" s="15" t="n"/>
      <c r="Q2246" s="15" t="n"/>
      <c r="R2246" s="25" t="n"/>
      <c r="S2246" s="26">
        <f>IF($A2246="","",AND(OR('Assignment Builder'!$B$5="",$B2246='Assignment Builder'!$B$5),OR('Assignment Builder'!$B$6="",ISNUMBER(SEARCH('Assignment Builder'!$B$6,$C2246))),OR('Assignment Builder'!$B$7="",'Assignment Builder'!$B$7=IFERROR(INDEX('Category Dictionary'!$C$5:$C$135,MATCH($L2246,'Category Dictionary'!$D$5:$D$135,0)),"")),OR('Assignment Builder'!$B$8="",$D2246='Assignment Builder'!$B$8),OR('Assignment Builder'!$B$9="",$F2246='Assignment Builder'!$B$9),OR('Assignment Builder'!$B$10="",$O2246='Assignment Builder'!$B$10),OR('Assignment Builder'!$B$11="",$H2246&gt;='Assignment Builder'!$B$11),OR('Assignment Builder'!$B$12="",N($Q2246)&lt;='Assignment Builder'!$B$12)))</f>
        <v/>
      </c>
      <c r="T2246" s="23" t="n"/>
    </row>
    <row r="2247">
      <c r="A2247" s="23" t="n"/>
      <c r="B2247" s="23" t="n"/>
      <c r="C2247" s="24" t="n"/>
      <c r="D2247" s="15" t="n"/>
      <c r="E2247" s="23" t="n"/>
      <c r="F2247" s="15" t="n"/>
      <c r="G2247" s="23" t="n"/>
      <c r="H2247" s="25" t="n"/>
      <c r="I2247" s="15" t="n"/>
      <c r="J2247" s="26">
        <f>IF($A2247="","",LEN($C2247)-LEN(SUBSTITUTE($C2247,",",""))+1)</f>
        <v/>
      </c>
      <c r="K2247" s="26">
        <f>IF($A2247="","",SUMPRODUCT(--ISNUMBER(SEARCH('Category Dictionary'!$D$5:$D$135&amp;"",$C2247)),--('Category Dictionary'!$D$5:$D$135&lt;&gt;"")))</f>
        <v/>
      </c>
      <c r="L2247" s="27">
        <f>IF($A2247="","",TRIM(IF(ISERROR(FIND(",",$C2247)),$C2247,LEFT($C2247,FIND(",",$C2247)-1))))</f>
        <v/>
      </c>
      <c r="M2247" s="28">
        <f>IF($H2247="","",DATE(YEAR($H2247),MONTH($H2247),1))</f>
        <v/>
      </c>
      <c r="N2247" s="26">
        <f>IF($H2247="","",TODAY()-$H2247)</f>
        <v/>
      </c>
      <c r="O2247" s="15" t="n"/>
      <c r="P2247" s="15" t="n"/>
      <c r="Q2247" s="15" t="n"/>
      <c r="R2247" s="25" t="n"/>
      <c r="S2247" s="26">
        <f>IF($A2247="","",AND(OR('Assignment Builder'!$B$5="",$B2247='Assignment Builder'!$B$5),OR('Assignment Builder'!$B$6="",ISNUMBER(SEARCH('Assignment Builder'!$B$6,$C2247))),OR('Assignment Builder'!$B$7="",'Assignment Builder'!$B$7=IFERROR(INDEX('Category Dictionary'!$C$5:$C$135,MATCH($L2247,'Category Dictionary'!$D$5:$D$135,0)),"")),OR('Assignment Builder'!$B$8="",$D2247='Assignment Builder'!$B$8),OR('Assignment Builder'!$B$9="",$F2247='Assignment Builder'!$B$9),OR('Assignment Builder'!$B$10="",$O2247='Assignment Builder'!$B$10),OR('Assignment Builder'!$B$11="",$H2247&gt;='Assignment Builder'!$B$11),OR('Assignment Builder'!$B$12="",N($Q2247)&lt;='Assignment Builder'!$B$12)))</f>
        <v/>
      </c>
      <c r="T2247" s="23" t="n"/>
    </row>
    <row r="2248">
      <c r="A2248" s="23" t="n"/>
      <c r="B2248" s="23" t="n"/>
      <c r="C2248" s="24" t="n"/>
      <c r="D2248" s="15" t="n"/>
      <c r="E2248" s="23" t="n"/>
      <c r="F2248" s="15" t="n"/>
      <c r="G2248" s="23" t="n"/>
      <c r="H2248" s="25" t="n"/>
      <c r="I2248" s="15" t="n"/>
      <c r="J2248" s="26">
        <f>IF($A2248="","",LEN($C2248)-LEN(SUBSTITUTE($C2248,",",""))+1)</f>
        <v/>
      </c>
      <c r="K2248" s="26">
        <f>IF($A2248="","",SUMPRODUCT(--ISNUMBER(SEARCH('Category Dictionary'!$D$5:$D$135&amp;"",$C2248)),--('Category Dictionary'!$D$5:$D$135&lt;&gt;"")))</f>
        <v/>
      </c>
      <c r="L2248" s="27">
        <f>IF($A2248="","",TRIM(IF(ISERROR(FIND(",",$C2248)),$C2248,LEFT($C2248,FIND(",",$C2248)-1))))</f>
        <v/>
      </c>
      <c r="M2248" s="28">
        <f>IF($H2248="","",DATE(YEAR($H2248),MONTH($H2248),1))</f>
        <v/>
      </c>
      <c r="N2248" s="26">
        <f>IF($H2248="","",TODAY()-$H2248)</f>
        <v/>
      </c>
      <c r="O2248" s="15" t="n"/>
      <c r="P2248" s="15" t="n"/>
      <c r="Q2248" s="15" t="n"/>
      <c r="R2248" s="25" t="n"/>
      <c r="S2248" s="26">
        <f>IF($A2248="","",AND(OR('Assignment Builder'!$B$5="",$B2248='Assignment Builder'!$B$5),OR('Assignment Builder'!$B$6="",ISNUMBER(SEARCH('Assignment Builder'!$B$6,$C2248))),OR('Assignment Builder'!$B$7="",'Assignment Builder'!$B$7=IFERROR(INDEX('Category Dictionary'!$C$5:$C$135,MATCH($L2248,'Category Dictionary'!$D$5:$D$135,0)),"")),OR('Assignment Builder'!$B$8="",$D2248='Assignment Builder'!$B$8),OR('Assignment Builder'!$B$9="",$F2248='Assignment Builder'!$B$9),OR('Assignment Builder'!$B$10="",$O2248='Assignment Builder'!$B$10),OR('Assignment Builder'!$B$11="",$H2248&gt;='Assignment Builder'!$B$11),OR('Assignment Builder'!$B$12="",N($Q2248)&lt;='Assignment Builder'!$B$12)))</f>
        <v/>
      </c>
      <c r="T2248" s="23" t="n"/>
    </row>
    <row r="2249">
      <c r="A2249" s="23" t="n"/>
      <c r="B2249" s="23" t="n"/>
      <c r="C2249" s="24" t="n"/>
      <c r="D2249" s="15" t="n"/>
      <c r="E2249" s="23" t="n"/>
      <c r="F2249" s="15" t="n"/>
      <c r="G2249" s="23" t="n"/>
      <c r="H2249" s="25" t="n"/>
      <c r="I2249" s="15" t="n"/>
      <c r="J2249" s="26">
        <f>IF($A2249="","",LEN($C2249)-LEN(SUBSTITUTE($C2249,",",""))+1)</f>
        <v/>
      </c>
      <c r="K2249" s="26">
        <f>IF($A2249="","",SUMPRODUCT(--ISNUMBER(SEARCH('Category Dictionary'!$D$5:$D$135&amp;"",$C2249)),--('Category Dictionary'!$D$5:$D$135&lt;&gt;"")))</f>
        <v/>
      </c>
      <c r="L2249" s="27">
        <f>IF($A2249="","",TRIM(IF(ISERROR(FIND(",",$C2249)),$C2249,LEFT($C2249,FIND(",",$C2249)-1))))</f>
        <v/>
      </c>
      <c r="M2249" s="28">
        <f>IF($H2249="","",DATE(YEAR($H2249),MONTH($H2249),1))</f>
        <v/>
      </c>
      <c r="N2249" s="26">
        <f>IF($H2249="","",TODAY()-$H2249)</f>
        <v/>
      </c>
      <c r="O2249" s="15" t="n"/>
      <c r="P2249" s="15" t="n"/>
      <c r="Q2249" s="15" t="n"/>
      <c r="R2249" s="25" t="n"/>
      <c r="S2249" s="26">
        <f>IF($A2249="","",AND(OR('Assignment Builder'!$B$5="",$B2249='Assignment Builder'!$B$5),OR('Assignment Builder'!$B$6="",ISNUMBER(SEARCH('Assignment Builder'!$B$6,$C2249))),OR('Assignment Builder'!$B$7="",'Assignment Builder'!$B$7=IFERROR(INDEX('Category Dictionary'!$C$5:$C$135,MATCH($L2249,'Category Dictionary'!$D$5:$D$135,0)),"")),OR('Assignment Builder'!$B$8="",$D2249='Assignment Builder'!$B$8),OR('Assignment Builder'!$B$9="",$F2249='Assignment Builder'!$B$9),OR('Assignment Builder'!$B$10="",$O2249='Assignment Builder'!$B$10),OR('Assignment Builder'!$B$11="",$H2249&gt;='Assignment Builder'!$B$11),OR('Assignment Builder'!$B$12="",N($Q2249)&lt;='Assignment Builder'!$B$12)))</f>
        <v/>
      </c>
      <c r="T2249" s="23" t="n"/>
    </row>
    <row r="2250">
      <c r="A2250" s="23" t="n"/>
      <c r="B2250" s="23" t="n"/>
      <c r="C2250" s="24" t="n"/>
      <c r="D2250" s="15" t="n"/>
      <c r="E2250" s="23" t="n"/>
      <c r="F2250" s="15" t="n"/>
      <c r="G2250" s="23" t="n"/>
      <c r="H2250" s="25" t="n"/>
      <c r="I2250" s="15" t="n"/>
      <c r="J2250" s="26">
        <f>IF($A2250="","",LEN($C2250)-LEN(SUBSTITUTE($C2250,",",""))+1)</f>
        <v/>
      </c>
      <c r="K2250" s="26">
        <f>IF($A2250="","",SUMPRODUCT(--ISNUMBER(SEARCH('Category Dictionary'!$D$5:$D$135&amp;"",$C2250)),--('Category Dictionary'!$D$5:$D$135&lt;&gt;"")))</f>
        <v/>
      </c>
      <c r="L2250" s="27">
        <f>IF($A2250="","",TRIM(IF(ISERROR(FIND(",",$C2250)),$C2250,LEFT($C2250,FIND(",",$C2250)-1))))</f>
        <v/>
      </c>
      <c r="M2250" s="28">
        <f>IF($H2250="","",DATE(YEAR($H2250),MONTH($H2250),1))</f>
        <v/>
      </c>
      <c r="N2250" s="26">
        <f>IF($H2250="","",TODAY()-$H2250)</f>
        <v/>
      </c>
      <c r="O2250" s="15" t="n"/>
      <c r="P2250" s="15" t="n"/>
      <c r="Q2250" s="15" t="n"/>
      <c r="R2250" s="25" t="n"/>
      <c r="S2250" s="26">
        <f>IF($A2250="","",AND(OR('Assignment Builder'!$B$5="",$B2250='Assignment Builder'!$B$5),OR('Assignment Builder'!$B$6="",ISNUMBER(SEARCH('Assignment Builder'!$B$6,$C2250))),OR('Assignment Builder'!$B$7="",'Assignment Builder'!$B$7=IFERROR(INDEX('Category Dictionary'!$C$5:$C$135,MATCH($L2250,'Category Dictionary'!$D$5:$D$135,0)),"")),OR('Assignment Builder'!$B$8="",$D2250='Assignment Builder'!$B$8),OR('Assignment Builder'!$B$9="",$F2250='Assignment Builder'!$B$9),OR('Assignment Builder'!$B$10="",$O2250='Assignment Builder'!$B$10),OR('Assignment Builder'!$B$11="",$H2250&gt;='Assignment Builder'!$B$11),OR('Assignment Builder'!$B$12="",N($Q2250)&lt;='Assignment Builder'!$B$12)))</f>
        <v/>
      </c>
      <c r="T2250" s="23" t="n"/>
    </row>
    <row r="2251">
      <c r="A2251" s="23" t="n"/>
      <c r="B2251" s="23" t="n"/>
      <c r="C2251" s="24" t="n"/>
      <c r="D2251" s="15" t="n"/>
      <c r="E2251" s="23" t="n"/>
      <c r="F2251" s="15" t="n"/>
      <c r="G2251" s="23" t="n"/>
      <c r="H2251" s="25" t="n"/>
      <c r="I2251" s="15" t="n"/>
      <c r="J2251" s="26">
        <f>IF($A2251="","",LEN($C2251)-LEN(SUBSTITUTE($C2251,",",""))+1)</f>
        <v/>
      </c>
      <c r="K2251" s="26">
        <f>IF($A2251="","",SUMPRODUCT(--ISNUMBER(SEARCH('Category Dictionary'!$D$5:$D$135&amp;"",$C2251)),--('Category Dictionary'!$D$5:$D$135&lt;&gt;"")))</f>
        <v/>
      </c>
      <c r="L2251" s="27">
        <f>IF($A2251="","",TRIM(IF(ISERROR(FIND(",",$C2251)),$C2251,LEFT($C2251,FIND(",",$C2251)-1))))</f>
        <v/>
      </c>
      <c r="M2251" s="28">
        <f>IF($H2251="","",DATE(YEAR($H2251),MONTH($H2251),1))</f>
        <v/>
      </c>
      <c r="N2251" s="26">
        <f>IF($H2251="","",TODAY()-$H2251)</f>
        <v/>
      </c>
      <c r="O2251" s="15" t="n"/>
      <c r="P2251" s="15" t="n"/>
      <c r="Q2251" s="15" t="n"/>
      <c r="R2251" s="25" t="n"/>
      <c r="S2251" s="26">
        <f>IF($A2251="","",AND(OR('Assignment Builder'!$B$5="",$B2251='Assignment Builder'!$B$5),OR('Assignment Builder'!$B$6="",ISNUMBER(SEARCH('Assignment Builder'!$B$6,$C2251))),OR('Assignment Builder'!$B$7="",'Assignment Builder'!$B$7=IFERROR(INDEX('Category Dictionary'!$C$5:$C$135,MATCH($L2251,'Category Dictionary'!$D$5:$D$135,0)),"")),OR('Assignment Builder'!$B$8="",$D2251='Assignment Builder'!$B$8),OR('Assignment Builder'!$B$9="",$F2251='Assignment Builder'!$B$9),OR('Assignment Builder'!$B$10="",$O2251='Assignment Builder'!$B$10),OR('Assignment Builder'!$B$11="",$H2251&gt;='Assignment Builder'!$B$11),OR('Assignment Builder'!$B$12="",N($Q2251)&lt;='Assignment Builder'!$B$12)))</f>
        <v/>
      </c>
      <c r="T2251" s="23" t="n"/>
    </row>
    <row r="2252">
      <c r="A2252" s="23" t="n"/>
      <c r="B2252" s="23" t="n"/>
      <c r="C2252" s="24" t="n"/>
      <c r="D2252" s="15" t="n"/>
      <c r="E2252" s="23" t="n"/>
      <c r="F2252" s="15" t="n"/>
      <c r="G2252" s="23" t="n"/>
      <c r="H2252" s="25" t="n"/>
      <c r="I2252" s="15" t="n"/>
      <c r="J2252" s="26">
        <f>IF($A2252="","",LEN($C2252)-LEN(SUBSTITUTE($C2252,",",""))+1)</f>
        <v/>
      </c>
      <c r="K2252" s="26">
        <f>IF($A2252="","",SUMPRODUCT(--ISNUMBER(SEARCH('Category Dictionary'!$D$5:$D$135&amp;"",$C2252)),--('Category Dictionary'!$D$5:$D$135&lt;&gt;"")))</f>
        <v/>
      </c>
      <c r="L2252" s="27">
        <f>IF($A2252="","",TRIM(IF(ISERROR(FIND(",",$C2252)),$C2252,LEFT($C2252,FIND(",",$C2252)-1))))</f>
        <v/>
      </c>
      <c r="M2252" s="28">
        <f>IF($H2252="","",DATE(YEAR($H2252),MONTH($H2252),1))</f>
        <v/>
      </c>
      <c r="N2252" s="26">
        <f>IF($H2252="","",TODAY()-$H2252)</f>
        <v/>
      </c>
      <c r="O2252" s="15" t="n"/>
      <c r="P2252" s="15" t="n"/>
      <c r="Q2252" s="15" t="n"/>
      <c r="R2252" s="25" t="n"/>
      <c r="S2252" s="26">
        <f>IF($A2252="","",AND(OR('Assignment Builder'!$B$5="",$B2252='Assignment Builder'!$B$5),OR('Assignment Builder'!$B$6="",ISNUMBER(SEARCH('Assignment Builder'!$B$6,$C2252))),OR('Assignment Builder'!$B$7="",'Assignment Builder'!$B$7=IFERROR(INDEX('Category Dictionary'!$C$5:$C$135,MATCH($L2252,'Category Dictionary'!$D$5:$D$135,0)),"")),OR('Assignment Builder'!$B$8="",$D2252='Assignment Builder'!$B$8),OR('Assignment Builder'!$B$9="",$F2252='Assignment Builder'!$B$9),OR('Assignment Builder'!$B$10="",$O2252='Assignment Builder'!$B$10),OR('Assignment Builder'!$B$11="",$H2252&gt;='Assignment Builder'!$B$11),OR('Assignment Builder'!$B$12="",N($Q2252)&lt;='Assignment Builder'!$B$12)))</f>
        <v/>
      </c>
      <c r="T2252" s="23" t="n"/>
    </row>
    <row r="2253">
      <c r="A2253" s="23" t="n"/>
      <c r="B2253" s="23" t="n"/>
      <c r="C2253" s="24" t="n"/>
      <c r="D2253" s="15" t="n"/>
      <c r="E2253" s="23" t="n"/>
      <c r="F2253" s="15" t="n"/>
      <c r="G2253" s="23" t="n"/>
      <c r="H2253" s="25" t="n"/>
      <c r="I2253" s="15" t="n"/>
      <c r="J2253" s="26">
        <f>IF($A2253="","",LEN($C2253)-LEN(SUBSTITUTE($C2253,",",""))+1)</f>
        <v/>
      </c>
      <c r="K2253" s="26">
        <f>IF($A2253="","",SUMPRODUCT(--ISNUMBER(SEARCH('Category Dictionary'!$D$5:$D$135&amp;"",$C2253)),--('Category Dictionary'!$D$5:$D$135&lt;&gt;"")))</f>
        <v/>
      </c>
      <c r="L2253" s="27">
        <f>IF($A2253="","",TRIM(IF(ISERROR(FIND(",",$C2253)),$C2253,LEFT($C2253,FIND(",",$C2253)-1))))</f>
        <v/>
      </c>
      <c r="M2253" s="28">
        <f>IF($H2253="","",DATE(YEAR($H2253),MONTH($H2253),1))</f>
        <v/>
      </c>
      <c r="N2253" s="26">
        <f>IF($H2253="","",TODAY()-$H2253)</f>
        <v/>
      </c>
      <c r="O2253" s="15" t="n"/>
      <c r="P2253" s="15" t="n"/>
      <c r="Q2253" s="15" t="n"/>
      <c r="R2253" s="25" t="n"/>
      <c r="S2253" s="26">
        <f>IF($A2253="","",AND(OR('Assignment Builder'!$B$5="",$B2253='Assignment Builder'!$B$5),OR('Assignment Builder'!$B$6="",ISNUMBER(SEARCH('Assignment Builder'!$B$6,$C2253))),OR('Assignment Builder'!$B$7="",'Assignment Builder'!$B$7=IFERROR(INDEX('Category Dictionary'!$C$5:$C$135,MATCH($L2253,'Category Dictionary'!$D$5:$D$135,0)),"")),OR('Assignment Builder'!$B$8="",$D2253='Assignment Builder'!$B$8),OR('Assignment Builder'!$B$9="",$F2253='Assignment Builder'!$B$9),OR('Assignment Builder'!$B$10="",$O2253='Assignment Builder'!$B$10),OR('Assignment Builder'!$B$11="",$H2253&gt;='Assignment Builder'!$B$11),OR('Assignment Builder'!$B$12="",N($Q2253)&lt;='Assignment Builder'!$B$12)))</f>
        <v/>
      </c>
      <c r="T2253" s="23" t="n"/>
    </row>
    <row r="2254">
      <c r="A2254" s="23" t="n"/>
      <c r="B2254" s="23" t="n"/>
      <c r="C2254" s="24" t="n"/>
      <c r="D2254" s="15" t="n"/>
      <c r="E2254" s="23" t="n"/>
      <c r="F2254" s="15" t="n"/>
      <c r="G2254" s="23" t="n"/>
      <c r="H2254" s="25" t="n"/>
      <c r="I2254" s="15" t="n"/>
      <c r="J2254" s="26">
        <f>IF($A2254="","",LEN($C2254)-LEN(SUBSTITUTE($C2254,",",""))+1)</f>
        <v/>
      </c>
      <c r="K2254" s="26">
        <f>IF($A2254="","",SUMPRODUCT(--ISNUMBER(SEARCH('Category Dictionary'!$D$5:$D$135&amp;"",$C2254)),--('Category Dictionary'!$D$5:$D$135&lt;&gt;"")))</f>
        <v/>
      </c>
      <c r="L2254" s="27">
        <f>IF($A2254="","",TRIM(IF(ISERROR(FIND(",",$C2254)),$C2254,LEFT($C2254,FIND(",",$C2254)-1))))</f>
        <v/>
      </c>
      <c r="M2254" s="28">
        <f>IF($H2254="","",DATE(YEAR($H2254),MONTH($H2254),1))</f>
        <v/>
      </c>
      <c r="N2254" s="26">
        <f>IF($H2254="","",TODAY()-$H2254)</f>
        <v/>
      </c>
      <c r="O2254" s="15" t="n"/>
      <c r="P2254" s="15" t="n"/>
      <c r="Q2254" s="15" t="n"/>
      <c r="R2254" s="25" t="n"/>
      <c r="S2254" s="26">
        <f>IF($A2254="","",AND(OR('Assignment Builder'!$B$5="",$B2254='Assignment Builder'!$B$5),OR('Assignment Builder'!$B$6="",ISNUMBER(SEARCH('Assignment Builder'!$B$6,$C2254))),OR('Assignment Builder'!$B$7="",'Assignment Builder'!$B$7=IFERROR(INDEX('Category Dictionary'!$C$5:$C$135,MATCH($L2254,'Category Dictionary'!$D$5:$D$135,0)),"")),OR('Assignment Builder'!$B$8="",$D2254='Assignment Builder'!$B$8),OR('Assignment Builder'!$B$9="",$F2254='Assignment Builder'!$B$9),OR('Assignment Builder'!$B$10="",$O2254='Assignment Builder'!$B$10),OR('Assignment Builder'!$B$11="",$H2254&gt;='Assignment Builder'!$B$11),OR('Assignment Builder'!$B$12="",N($Q2254)&lt;='Assignment Builder'!$B$12)))</f>
        <v/>
      </c>
      <c r="T2254" s="23" t="n"/>
    </row>
    <row r="2255">
      <c r="A2255" s="23" t="n"/>
      <c r="B2255" s="23" t="n"/>
      <c r="C2255" s="24" t="n"/>
      <c r="D2255" s="15" t="n"/>
      <c r="E2255" s="23" t="n"/>
      <c r="F2255" s="15" t="n"/>
      <c r="G2255" s="23" t="n"/>
      <c r="H2255" s="25" t="n"/>
      <c r="I2255" s="15" t="n"/>
      <c r="J2255" s="26">
        <f>IF($A2255="","",LEN($C2255)-LEN(SUBSTITUTE($C2255,",",""))+1)</f>
        <v/>
      </c>
      <c r="K2255" s="26">
        <f>IF($A2255="","",SUMPRODUCT(--ISNUMBER(SEARCH('Category Dictionary'!$D$5:$D$135&amp;"",$C2255)),--('Category Dictionary'!$D$5:$D$135&lt;&gt;"")))</f>
        <v/>
      </c>
      <c r="L2255" s="27">
        <f>IF($A2255="","",TRIM(IF(ISERROR(FIND(",",$C2255)),$C2255,LEFT($C2255,FIND(",",$C2255)-1))))</f>
        <v/>
      </c>
      <c r="M2255" s="28">
        <f>IF($H2255="","",DATE(YEAR($H2255),MONTH($H2255),1))</f>
        <v/>
      </c>
      <c r="N2255" s="26">
        <f>IF($H2255="","",TODAY()-$H2255)</f>
        <v/>
      </c>
      <c r="O2255" s="15" t="n"/>
      <c r="P2255" s="15" t="n"/>
      <c r="Q2255" s="15" t="n"/>
      <c r="R2255" s="25" t="n"/>
      <c r="S2255" s="26">
        <f>IF($A2255="","",AND(OR('Assignment Builder'!$B$5="",$B2255='Assignment Builder'!$B$5),OR('Assignment Builder'!$B$6="",ISNUMBER(SEARCH('Assignment Builder'!$B$6,$C2255))),OR('Assignment Builder'!$B$7="",'Assignment Builder'!$B$7=IFERROR(INDEX('Category Dictionary'!$C$5:$C$135,MATCH($L2255,'Category Dictionary'!$D$5:$D$135,0)),"")),OR('Assignment Builder'!$B$8="",$D2255='Assignment Builder'!$B$8),OR('Assignment Builder'!$B$9="",$F2255='Assignment Builder'!$B$9),OR('Assignment Builder'!$B$10="",$O2255='Assignment Builder'!$B$10),OR('Assignment Builder'!$B$11="",$H2255&gt;='Assignment Builder'!$B$11),OR('Assignment Builder'!$B$12="",N($Q2255)&lt;='Assignment Builder'!$B$12)))</f>
        <v/>
      </c>
      <c r="T2255" s="23" t="n"/>
    </row>
    <row r="2256">
      <c r="A2256" s="23" t="n"/>
      <c r="B2256" s="23" t="n"/>
      <c r="C2256" s="24" t="n"/>
      <c r="D2256" s="15" t="n"/>
      <c r="E2256" s="23" t="n"/>
      <c r="F2256" s="15" t="n"/>
      <c r="G2256" s="23" t="n"/>
      <c r="H2256" s="25" t="n"/>
      <c r="I2256" s="15" t="n"/>
      <c r="J2256" s="26">
        <f>IF($A2256="","",LEN($C2256)-LEN(SUBSTITUTE($C2256,",",""))+1)</f>
        <v/>
      </c>
      <c r="K2256" s="26">
        <f>IF($A2256="","",SUMPRODUCT(--ISNUMBER(SEARCH('Category Dictionary'!$D$5:$D$135&amp;"",$C2256)),--('Category Dictionary'!$D$5:$D$135&lt;&gt;"")))</f>
        <v/>
      </c>
      <c r="L2256" s="27">
        <f>IF($A2256="","",TRIM(IF(ISERROR(FIND(",",$C2256)),$C2256,LEFT($C2256,FIND(",",$C2256)-1))))</f>
        <v/>
      </c>
      <c r="M2256" s="28">
        <f>IF($H2256="","",DATE(YEAR($H2256),MONTH($H2256),1))</f>
        <v/>
      </c>
      <c r="N2256" s="26">
        <f>IF($H2256="","",TODAY()-$H2256)</f>
        <v/>
      </c>
      <c r="O2256" s="15" t="n"/>
      <c r="P2256" s="15" t="n"/>
      <c r="Q2256" s="15" t="n"/>
      <c r="R2256" s="25" t="n"/>
      <c r="S2256" s="26">
        <f>IF($A2256="","",AND(OR('Assignment Builder'!$B$5="",$B2256='Assignment Builder'!$B$5),OR('Assignment Builder'!$B$6="",ISNUMBER(SEARCH('Assignment Builder'!$B$6,$C2256))),OR('Assignment Builder'!$B$7="",'Assignment Builder'!$B$7=IFERROR(INDEX('Category Dictionary'!$C$5:$C$135,MATCH($L2256,'Category Dictionary'!$D$5:$D$135,0)),"")),OR('Assignment Builder'!$B$8="",$D2256='Assignment Builder'!$B$8),OR('Assignment Builder'!$B$9="",$F2256='Assignment Builder'!$B$9),OR('Assignment Builder'!$B$10="",$O2256='Assignment Builder'!$B$10),OR('Assignment Builder'!$B$11="",$H2256&gt;='Assignment Builder'!$B$11),OR('Assignment Builder'!$B$12="",N($Q2256)&lt;='Assignment Builder'!$B$12)))</f>
        <v/>
      </c>
      <c r="T2256" s="23" t="n"/>
    </row>
    <row r="2257">
      <c r="A2257" s="23" t="n"/>
      <c r="B2257" s="23" t="n"/>
      <c r="C2257" s="24" t="n"/>
      <c r="D2257" s="15" t="n"/>
      <c r="E2257" s="23" t="n"/>
      <c r="F2257" s="15" t="n"/>
      <c r="G2257" s="23" t="n"/>
      <c r="H2257" s="25" t="n"/>
      <c r="I2257" s="15" t="n"/>
      <c r="J2257" s="26">
        <f>IF($A2257="","",LEN($C2257)-LEN(SUBSTITUTE($C2257,",",""))+1)</f>
        <v/>
      </c>
      <c r="K2257" s="26">
        <f>IF($A2257="","",SUMPRODUCT(--ISNUMBER(SEARCH('Category Dictionary'!$D$5:$D$135&amp;"",$C2257)),--('Category Dictionary'!$D$5:$D$135&lt;&gt;"")))</f>
        <v/>
      </c>
      <c r="L2257" s="27">
        <f>IF($A2257="","",TRIM(IF(ISERROR(FIND(",",$C2257)),$C2257,LEFT($C2257,FIND(",",$C2257)-1))))</f>
        <v/>
      </c>
      <c r="M2257" s="28">
        <f>IF($H2257="","",DATE(YEAR($H2257),MONTH($H2257),1))</f>
        <v/>
      </c>
      <c r="N2257" s="26">
        <f>IF($H2257="","",TODAY()-$H2257)</f>
        <v/>
      </c>
      <c r="O2257" s="15" t="n"/>
      <c r="P2257" s="15" t="n"/>
      <c r="Q2257" s="15" t="n"/>
      <c r="R2257" s="25" t="n"/>
      <c r="S2257" s="26">
        <f>IF($A2257="","",AND(OR('Assignment Builder'!$B$5="",$B2257='Assignment Builder'!$B$5),OR('Assignment Builder'!$B$6="",ISNUMBER(SEARCH('Assignment Builder'!$B$6,$C2257))),OR('Assignment Builder'!$B$7="",'Assignment Builder'!$B$7=IFERROR(INDEX('Category Dictionary'!$C$5:$C$135,MATCH($L2257,'Category Dictionary'!$D$5:$D$135,0)),"")),OR('Assignment Builder'!$B$8="",$D2257='Assignment Builder'!$B$8),OR('Assignment Builder'!$B$9="",$F2257='Assignment Builder'!$B$9),OR('Assignment Builder'!$B$10="",$O2257='Assignment Builder'!$B$10),OR('Assignment Builder'!$B$11="",$H2257&gt;='Assignment Builder'!$B$11),OR('Assignment Builder'!$B$12="",N($Q2257)&lt;='Assignment Builder'!$B$12)))</f>
        <v/>
      </c>
      <c r="T2257" s="23" t="n"/>
    </row>
    <row r="2258">
      <c r="A2258" s="23" t="n"/>
      <c r="B2258" s="23" t="n"/>
      <c r="C2258" s="24" t="n"/>
      <c r="D2258" s="15" t="n"/>
      <c r="E2258" s="23" t="n"/>
      <c r="F2258" s="15" t="n"/>
      <c r="G2258" s="23" t="n"/>
      <c r="H2258" s="25" t="n"/>
      <c r="I2258" s="15" t="n"/>
      <c r="J2258" s="26">
        <f>IF($A2258="","",LEN($C2258)-LEN(SUBSTITUTE($C2258,",",""))+1)</f>
        <v/>
      </c>
      <c r="K2258" s="26">
        <f>IF($A2258="","",SUMPRODUCT(--ISNUMBER(SEARCH('Category Dictionary'!$D$5:$D$135&amp;"",$C2258)),--('Category Dictionary'!$D$5:$D$135&lt;&gt;"")))</f>
        <v/>
      </c>
      <c r="L2258" s="27">
        <f>IF($A2258="","",TRIM(IF(ISERROR(FIND(",",$C2258)),$C2258,LEFT($C2258,FIND(",",$C2258)-1))))</f>
        <v/>
      </c>
      <c r="M2258" s="28">
        <f>IF($H2258="","",DATE(YEAR($H2258),MONTH($H2258),1))</f>
        <v/>
      </c>
      <c r="N2258" s="26">
        <f>IF($H2258="","",TODAY()-$H2258)</f>
        <v/>
      </c>
      <c r="O2258" s="15" t="n"/>
      <c r="P2258" s="15" t="n"/>
      <c r="Q2258" s="15" t="n"/>
      <c r="R2258" s="25" t="n"/>
      <c r="S2258" s="26">
        <f>IF($A2258="","",AND(OR('Assignment Builder'!$B$5="",$B2258='Assignment Builder'!$B$5),OR('Assignment Builder'!$B$6="",ISNUMBER(SEARCH('Assignment Builder'!$B$6,$C2258))),OR('Assignment Builder'!$B$7="",'Assignment Builder'!$B$7=IFERROR(INDEX('Category Dictionary'!$C$5:$C$135,MATCH($L2258,'Category Dictionary'!$D$5:$D$135,0)),"")),OR('Assignment Builder'!$B$8="",$D2258='Assignment Builder'!$B$8),OR('Assignment Builder'!$B$9="",$F2258='Assignment Builder'!$B$9),OR('Assignment Builder'!$B$10="",$O2258='Assignment Builder'!$B$10),OR('Assignment Builder'!$B$11="",$H2258&gt;='Assignment Builder'!$B$11),OR('Assignment Builder'!$B$12="",N($Q2258)&lt;='Assignment Builder'!$B$12)))</f>
        <v/>
      </c>
      <c r="T2258" s="23" t="n"/>
    </row>
    <row r="2259">
      <c r="A2259" s="23" t="n"/>
      <c r="B2259" s="23" t="n"/>
      <c r="C2259" s="24" t="n"/>
      <c r="D2259" s="15" t="n"/>
      <c r="E2259" s="23" t="n"/>
      <c r="F2259" s="15" t="n"/>
      <c r="G2259" s="23" t="n"/>
      <c r="H2259" s="25" t="n"/>
      <c r="I2259" s="15" t="n"/>
      <c r="J2259" s="26">
        <f>IF($A2259="","",LEN($C2259)-LEN(SUBSTITUTE($C2259,",",""))+1)</f>
        <v/>
      </c>
      <c r="K2259" s="26">
        <f>IF($A2259="","",SUMPRODUCT(--ISNUMBER(SEARCH('Category Dictionary'!$D$5:$D$135&amp;"",$C2259)),--('Category Dictionary'!$D$5:$D$135&lt;&gt;"")))</f>
        <v/>
      </c>
      <c r="L2259" s="27">
        <f>IF($A2259="","",TRIM(IF(ISERROR(FIND(",",$C2259)),$C2259,LEFT($C2259,FIND(",",$C2259)-1))))</f>
        <v/>
      </c>
      <c r="M2259" s="28">
        <f>IF($H2259="","",DATE(YEAR($H2259),MONTH($H2259),1))</f>
        <v/>
      </c>
      <c r="N2259" s="26">
        <f>IF($H2259="","",TODAY()-$H2259)</f>
        <v/>
      </c>
      <c r="O2259" s="15" t="n"/>
      <c r="P2259" s="15" t="n"/>
      <c r="Q2259" s="15" t="n"/>
      <c r="R2259" s="25" t="n"/>
      <c r="S2259" s="26">
        <f>IF($A2259="","",AND(OR('Assignment Builder'!$B$5="",$B2259='Assignment Builder'!$B$5),OR('Assignment Builder'!$B$6="",ISNUMBER(SEARCH('Assignment Builder'!$B$6,$C2259))),OR('Assignment Builder'!$B$7="",'Assignment Builder'!$B$7=IFERROR(INDEX('Category Dictionary'!$C$5:$C$135,MATCH($L2259,'Category Dictionary'!$D$5:$D$135,0)),"")),OR('Assignment Builder'!$B$8="",$D2259='Assignment Builder'!$B$8),OR('Assignment Builder'!$B$9="",$F2259='Assignment Builder'!$B$9),OR('Assignment Builder'!$B$10="",$O2259='Assignment Builder'!$B$10),OR('Assignment Builder'!$B$11="",$H2259&gt;='Assignment Builder'!$B$11),OR('Assignment Builder'!$B$12="",N($Q2259)&lt;='Assignment Builder'!$B$12)))</f>
        <v/>
      </c>
      <c r="T2259" s="23" t="n"/>
    </row>
    <row r="2260">
      <c r="A2260" s="23" t="n"/>
      <c r="B2260" s="23" t="n"/>
      <c r="C2260" s="24" t="n"/>
      <c r="D2260" s="15" t="n"/>
      <c r="E2260" s="23" t="n"/>
      <c r="F2260" s="15" t="n"/>
      <c r="G2260" s="23" t="n"/>
      <c r="H2260" s="25" t="n"/>
      <c r="I2260" s="15" t="n"/>
      <c r="J2260" s="26">
        <f>IF($A2260="","",LEN($C2260)-LEN(SUBSTITUTE($C2260,",",""))+1)</f>
        <v/>
      </c>
      <c r="K2260" s="26">
        <f>IF($A2260="","",SUMPRODUCT(--ISNUMBER(SEARCH('Category Dictionary'!$D$5:$D$135&amp;"",$C2260)),--('Category Dictionary'!$D$5:$D$135&lt;&gt;"")))</f>
        <v/>
      </c>
      <c r="L2260" s="27">
        <f>IF($A2260="","",TRIM(IF(ISERROR(FIND(",",$C2260)),$C2260,LEFT($C2260,FIND(",",$C2260)-1))))</f>
        <v/>
      </c>
      <c r="M2260" s="28">
        <f>IF($H2260="","",DATE(YEAR($H2260),MONTH($H2260),1))</f>
        <v/>
      </c>
      <c r="N2260" s="26">
        <f>IF($H2260="","",TODAY()-$H2260)</f>
        <v/>
      </c>
      <c r="O2260" s="15" t="n"/>
      <c r="P2260" s="15" t="n"/>
      <c r="Q2260" s="15" t="n"/>
      <c r="R2260" s="25" t="n"/>
      <c r="S2260" s="26">
        <f>IF($A2260="","",AND(OR('Assignment Builder'!$B$5="",$B2260='Assignment Builder'!$B$5),OR('Assignment Builder'!$B$6="",ISNUMBER(SEARCH('Assignment Builder'!$B$6,$C2260))),OR('Assignment Builder'!$B$7="",'Assignment Builder'!$B$7=IFERROR(INDEX('Category Dictionary'!$C$5:$C$135,MATCH($L2260,'Category Dictionary'!$D$5:$D$135,0)),"")),OR('Assignment Builder'!$B$8="",$D2260='Assignment Builder'!$B$8),OR('Assignment Builder'!$B$9="",$F2260='Assignment Builder'!$B$9),OR('Assignment Builder'!$B$10="",$O2260='Assignment Builder'!$B$10),OR('Assignment Builder'!$B$11="",$H2260&gt;='Assignment Builder'!$B$11),OR('Assignment Builder'!$B$12="",N($Q2260)&lt;='Assignment Builder'!$B$12)))</f>
        <v/>
      </c>
      <c r="T2260" s="23" t="n"/>
    </row>
    <row r="2261">
      <c r="A2261" s="23" t="n"/>
      <c r="B2261" s="23" t="n"/>
      <c r="C2261" s="24" t="n"/>
      <c r="D2261" s="15" t="n"/>
      <c r="E2261" s="23" t="n"/>
      <c r="F2261" s="15" t="n"/>
      <c r="G2261" s="23" t="n"/>
      <c r="H2261" s="25" t="n"/>
      <c r="I2261" s="15" t="n"/>
      <c r="J2261" s="26">
        <f>IF($A2261="","",LEN($C2261)-LEN(SUBSTITUTE($C2261,",",""))+1)</f>
        <v/>
      </c>
      <c r="K2261" s="26">
        <f>IF($A2261="","",SUMPRODUCT(--ISNUMBER(SEARCH('Category Dictionary'!$D$5:$D$135&amp;"",$C2261)),--('Category Dictionary'!$D$5:$D$135&lt;&gt;"")))</f>
        <v/>
      </c>
      <c r="L2261" s="27">
        <f>IF($A2261="","",TRIM(IF(ISERROR(FIND(",",$C2261)),$C2261,LEFT($C2261,FIND(",",$C2261)-1))))</f>
        <v/>
      </c>
      <c r="M2261" s="28">
        <f>IF($H2261="","",DATE(YEAR($H2261),MONTH($H2261),1))</f>
        <v/>
      </c>
      <c r="N2261" s="26">
        <f>IF($H2261="","",TODAY()-$H2261)</f>
        <v/>
      </c>
      <c r="O2261" s="15" t="n"/>
      <c r="P2261" s="15" t="n"/>
      <c r="Q2261" s="15" t="n"/>
      <c r="R2261" s="25" t="n"/>
      <c r="S2261" s="26">
        <f>IF($A2261="","",AND(OR('Assignment Builder'!$B$5="",$B2261='Assignment Builder'!$B$5),OR('Assignment Builder'!$B$6="",ISNUMBER(SEARCH('Assignment Builder'!$B$6,$C2261))),OR('Assignment Builder'!$B$7="",'Assignment Builder'!$B$7=IFERROR(INDEX('Category Dictionary'!$C$5:$C$135,MATCH($L2261,'Category Dictionary'!$D$5:$D$135,0)),"")),OR('Assignment Builder'!$B$8="",$D2261='Assignment Builder'!$B$8),OR('Assignment Builder'!$B$9="",$F2261='Assignment Builder'!$B$9),OR('Assignment Builder'!$B$10="",$O2261='Assignment Builder'!$B$10),OR('Assignment Builder'!$B$11="",$H2261&gt;='Assignment Builder'!$B$11),OR('Assignment Builder'!$B$12="",N($Q2261)&lt;='Assignment Builder'!$B$12)))</f>
        <v/>
      </c>
      <c r="T2261" s="23" t="n"/>
    </row>
    <row r="2262">
      <c r="A2262" s="23" t="n"/>
      <c r="B2262" s="23" t="n"/>
      <c r="C2262" s="24" t="n"/>
      <c r="D2262" s="15" t="n"/>
      <c r="E2262" s="23" t="n"/>
      <c r="F2262" s="15" t="n"/>
      <c r="G2262" s="23" t="n"/>
      <c r="H2262" s="25" t="n"/>
      <c r="I2262" s="15" t="n"/>
      <c r="J2262" s="26">
        <f>IF($A2262="","",LEN($C2262)-LEN(SUBSTITUTE($C2262,",",""))+1)</f>
        <v/>
      </c>
      <c r="K2262" s="26">
        <f>IF($A2262="","",SUMPRODUCT(--ISNUMBER(SEARCH('Category Dictionary'!$D$5:$D$135&amp;"",$C2262)),--('Category Dictionary'!$D$5:$D$135&lt;&gt;"")))</f>
        <v/>
      </c>
      <c r="L2262" s="27">
        <f>IF($A2262="","",TRIM(IF(ISERROR(FIND(",",$C2262)),$C2262,LEFT($C2262,FIND(",",$C2262)-1))))</f>
        <v/>
      </c>
      <c r="M2262" s="28">
        <f>IF($H2262="","",DATE(YEAR($H2262),MONTH($H2262),1))</f>
        <v/>
      </c>
      <c r="N2262" s="26">
        <f>IF($H2262="","",TODAY()-$H2262)</f>
        <v/>
      </c>
      <c r="O2262" s="15" t="n"/>
      <c r="P2262" s="15" t="n"/>
      <c r="Q2262" s="15" t="n"/>
      <c r="R2262" s="25" t="n"/>
      <c r="S2262" s="26">
        <f>IF($A2262="","",AND(OR('Assignment Builder'!$B$5="",$B2262='Assignment Builder'!$B$5),OR('Assignment Builder'!$B$6="",ISNUMBER(SEARCH('Assignment Builder'!$B$6,$C2262))),OR('Assignment Builder'!$B$7="",'Assignment Builder'!$B$7=IFERROR(INDEX('Category Dictionary'!$C$5:$C$135,MATCH($L2262,'Category Dictionary'!$D$5:$D$135,0)),"")),OR('Assignment Builder'!$B$8="",$D2262='Assignment Builder'!$B$8),OR('Assignment Builder'!$B$9="",$F2262='Assignment Builder'!$B$9),OR('Assignment Builder'!$B$10="",$O2262='Assignment Builder'!$B$10),OR('Assignment Builder'!$B$11="",$H2262&gt;='Assignment Builder'!$B$11),OR('Assignment Builder'!$B$12="",N($Q2262)&lt;='Assignment Builder'!$B$12)))</f>
        <v/>
      </c>
      <c r="T2262" s="23" t="n"/>
    </row>
    <row r="2263">
      <c r="A2263" s="23" t="n"/>
      <c r="B2263" s="23" t="n"/>
      <c r="C2263" s="24" t="n"/>
      <c r="D2263" s="15" t="n"/>
      <c r="E2263" s="23" t="n"/>
      <c r="F2263" s="15" t="n"/>
      <c r="G2263" s="23" t="n"/>
      <c r="H2263" s="25" t="n"/>
      <c r="I2263" s="15" t="n"/>
      <c r="J2263" s="26">
        <f>IF($A2263="","",LEN($C2263)-LEN(SUBSTITUTE($C2263,",",""))+1)</f>
        <v/>
      </c>
      <c r="K2263" s="26">
        <f>IF($A2263="","",SUMPRODUCT(--ISNUMBER(SEARCH('Category Dictionary'!$D$5:$D$135&amp;"",$C2263)),--('Category Dictionary'!$D$5:$D$135&lt;&gt;"")))</f>
        <v/>
      </c>
      <c r="L2263" s="27">
        <f>IF($A2263="","",TRIM(IF(ISERROR(FIND(",",$C2263)),$C2263,LEFT($C2263,FIND(",",$C2263)-1))))</f>
        <v/>
      </c>
      <c r="M2263" s="28">
        <f>IF($H2263="","",DATE(YEAR($H2263),MONTH($H2263),1))</f>
        <v/>
      </c>
      <c r="N2263" s="26">
        <f>IF($H2263="","",TODAY()-$H2263)</f>
        <v/>
      </c>
      <c r="O2263" s="15" t="n"/>
      <c r="P2263" s="15" t="n"/>
      <c r="Q2263" s="15" t="n"/>
      <c r="R2263" s="25" t="n"/>
      <c r="S2263" s="26">
        <f>IF($A2263="","",AND(OR('Assignment Builder'!$B$5="",$B2263='Assignment Builder'!$B$5),OR('Assignment Builder'!$B$6="",ISNUMBER(SEARCH('Assignment Builder'!$B$6,$C2263))),OR('Assignment Builder'!$B$7="",'Assignment Builder'!$B$7=IFERROR(INDEX('Category Dictionary'!$C$5:$C$135,MATCH($L2263,'Category Dictionary'!$D$5:$D$135,0)),"")),OR('Assignment Builder'!$B$8="",$D2263='Assignment Builder'!$B$8),OR('Assignment Builder'!$B$9="",$F2263='Assignment Builder'!$B$9),OR('Assignment Builder'!$B$10="",$O2263='Assignment Builder'!$B$10),OR('Assignment Builder'!$B$11="",$H2263&gt;='Assignment Builder'!$B$11),OR('Assignment Builder'!$B$12="",N($Q2263)&lt;='Assignment Builder'!$B$12)))</f>
        <v/>
      </c>
      <c r="T2263" s="23" t="n"/>
    </row>
    <row r="2264">
      <c r="A2264" s="23" t="n"/>
      <c r="B2264" s="23" t="n"/>
      <c r="C2264" s="24" t="n"/>
      <c r="D2264" s="15" t="n"/>
      <c r="E2264" s="23" t="n"/>
      <c r="F2264" s="15" t="n"/>
      <c r="G2264" s="23" t="n"/>
      <c r="H2264" s="25" t="n"/>
      <c r="I2264" s="15" t="n"/>
      <c r="J2264" s="26">
        <f>IF($A2264="","",LEN($C2264)-LEN(SUBSTITUTE($C2264,",",""))+1)</f>
        <v/>
      </c>
      <c r="K2264" s="26">
        <f>IF($A2264="","",SUMPRODUCT(--ISNUMBER(SEARCH('Category Dictionary'!$D$5:$D$135&amp;"",$C2264)),--('Category Dictionary'!$D$5:$D$135&lt;&gt;"")))</f>
        <v/>
      </c>
      <c r="L2264" s="27">
        <f>IF($A2264="","",TRIM(IF(ISERROR(FIND(",",$C2264)),$C2264,LEFT($C2264,FIND(",",$C2264)-1))))</f>
        <v/>
      </c>
      <c r="M2264" s="28">
        <f>IF($H2264="","",DATE(YEAR($H2264),MONTH($H2264),1))</f>
        <v/>
      </c>
      <c r="N2264" s="26">
        <f>IF($H2264="","",TODAY()-$H2264)</f>
        <v/>
      </c>
      <c r="O2264" s="15" t="n"/>
      <c r="P2264" s="15" t="n"/>
      <c r="Q2264" s="15" t="n"/>
      <c r="R2264" s="25" t="n"/>
      <c r="S2264" s="26">
        <f>IF($A2264="","",AND(OR('Assignment Builder'!$B$5="",$B2264='Assignment Builder'!$B$5),OR('Assignment Builder'!$B$6="",ISNUMBER(SEARCH('Assignment Builder'!$B$6,$C2264))),OR('Assignment Builder'!$B$7="",'Assignment Builder'!$B$7=IFERROR(INDEX('Category Dictionary'!$C$5:$C$135,MATCH($L2264,'Category Dictionary'!$D$5:$D$135,0)),"")),OR('Assignment Builder'!$B$8="",$D2264='Assignment Builder'!$B$8),OR('Assignment Builder'!$B$9="",$F2264='Assignment Builder'!$B$9),OR('Assignment Builder'!$B$10="",$O2264='Assignment Builder'!$B$10),OR('Assignment Builder'!$B$11="",$H2264&gt;='Assignment Builder'!$B$11),OR('Assignment Builder'!$B$12="",N($Q2264)&lt;='Assignment Builder'!$B$12)))</f>
        <v/>
      </c>
      <c r="T2264" s="23" t="n"/>
    </row>
    <row r="2265">
      <c r="A2265" s="23" t="n"/>
      <c r="B2265" s="23" t="n"/>
      <c r="C2265" s="24" t="n"/>
      <c r="D2265" s="15" t="n"/>
      <c r="E2265" s="23" t="n"/>
      <c r="F2265" s="15" t="n"/>
      <c r="G2265" s="23" t="n"/>
      <c r="H2265" s="25" t="n"/>
      <c r="I2265" s="15" t="n"/>
      <c r="J2265" s="26">
        <f>IF($A2265="","",LEN($C2265)-LEN(SUBSTITUTE($C2265,",",""))+1)</f>
        <v/>
      </c>
      <c r="K2265" s="26">
        <f>IF($A2265="","",SUMPRODUCT(--ISNUMBER(SEARCH('Category Dictionary'!$D$5:$D$135&amp;"",$C2265)),--('Category Dictionary'!$D$5:$D$135&lt;&gt;"")))</f>
        <v/>
      </c>
      <c r="L2265" s="27">
        <f>IF($A2265="","",TRIM(IF(ISERROR(FIND(",",$C2265)),$C2265,LEFT($C2265,FIND(",",$C2265)-1))))</f>
        <v/>
      </c>
      <c r="M2265" s="28">
        <f>IF($H2265="","",DATE(YEAR($H2265),MONTH($H2265),1))</f>
        <v/>
      </c>
      <c r="N2265" s="26">
        <f>IF($H2265="","",TODAY()-$H2265)</f>
        <v/>
      </c>
      <c r="O2265" s="15" t="n"/>
      <c r="P2265" s="15" t="n"/>
      <c r="Q2265" s="15" t="n"/>
      <c r="R2265" s="25" t="n"/>
      <c r="S2265" s="26">
        <f>IF($A2265="","",AND(OR('Assignment Builder'!$B$5="",$B2265='Assignment Builder'!$B$5),OR('Assignment Builder'!$B$6="",ISNUMBER(SEARCH('Assignment Builder'!$B$6,$C2265))),OR('Assignment Builder'!$B$7="",'Assignment Builder'!$B$7=IFERROR(INDEX('Category Dictionary'!$C$5:$C$135,MATCH($L2265,'Category Dictionary'!$D$5:$D$135,0)),"")),OR('Assignment Builder'!$B$8="",$D2265='Assignment Builder'!$B$8),OR('Assignment Builder'!$B$9="",$F2265='Assignment Builder'!$B$9),OR('Assignment Builder'!$B$10="",$O2265='Assignment Builder'!$B$10),OR('Assignment Builder'!$B$11="",$H2265&gt;='Assignment Builder'!$B$11),OR('Assignment Builder'!$B$12="",N($Q2265)&lt;='Assignment Builder'!$B$12)))</f>
        <v/>
      </c>
      <c r="T2265" s="23" t="n"/>
    </row>
    <row r="2266">
      <c r="A2266" s="23" t="n"/>
      <c r="B2266" s="23" t="n"/>
      <c r="C2266" s="24" t="n"/>
      <c r="D2266" s="15" t="n"/>
      <c r="E2266" s="23" t="n"/>
      <c r="F2266" s="15" t="n"/>
      <c r="G2266" s="23" t="n"/>
      <c r="H2266" s="25" t="n"/>
      <c r="I2266" s="15" t="n"/>
      <c r="J2266" s="26">
        <f>IF($A2266="","",LEN($C2266)-LEN(SUBSTITUTE($C2266,",",""))+1)</f>
        <v/>
      </c>
      <c r="K2266" s="26">
        <f>IF($A2266="","",SUMPRODUCT(--ISNUMBER(SEARCH('Category Dictionary'!$D$5:$D$135&amp;"",$C2266)),--('Category Dictionary'!$D$5:$D$135&lt;&gt;"")))</f>
        <v/>
      </c>
      <c r="L2266" s="27">
        <f>IF($A2266="","",TRIM(IF(ISERROR(FIND(",",$C2266)),$C2266,LEFT($C2266,FIND(",",$C2266)-1))))</f>
        <v/>
      </c>
      <c r="M2266" s="28">
        <f>IF($H2266="","",DATE(YEAR($H2266),MONTH($H2266),1))</f>
        <v/>
      </c>
      <c r="N2266" s="26">
        <f>IF($H2266="","",TODAY()-$H2266)</f>
        <v/>
      </c>
      <c r="O2266" s="15" t="n"/>
      <c r="P2266" s="15" t="n"/>
      <c r="Q2266" s="15" t="n"/>
      <c r="R2266" s="25" t="n"/>
      <c r="S2266" s="26">
        <f>IF($A2266="","",AND(OR('Assignment Builder'!$B$5="",$B2266='Assignment Builder'!$B$5),OR('Assignment Builder'!$B$6="",ISNUMBER(SEARCH('Assignment Builder'!$B$6,$C2266))),OR('Assignment Builder'!$B$7="",'Assignment Builder'!$B$7=IFERROR(INDEX('Category Dictionary'!$C$5:$C$135,MATCH($L2266,'Category Dictionary'!$D$5:$D$135,0)),"")),OR('Assignment Builder'!$B$8="",$D2266='Assignment Builder'!$B$8),OR('Assignment Builder'!$B$9="",$F2266='Assignment Builder'!$B$9),OR('Assignment Builder'!$B$10="",$O2266='Assignment Builder'!$B$10),OR('Assignment Builder'!$B$11="",$H2266&gt;='Assignment Builder'!$B$11),OR('Assignment Builder'!$B$12="",N($Q2266)&lt;='Assignment Builder'!$B$12)))</f>
        <v/>
      </c>
      <c r="T2266" s="23" t="n"/>
    </row>
    <row r="2267">
      <c r="A2267" s="23" t="n"/>
      <c r="B2267" s="23" t="n"/>
      <c r="C2267" s="24" t="n"/>
      <c r="D2267" s="15" t="n"/>
      <c r="E2267" s="23" t="n"/>
      <c r="F2267" s="15" t="n"/>
      <c r="G2267" s="23" t="n"/>
      <c r="H2267" s="25" t="n"/>
      <c r="I2267" s="15" t="n"/>
      <c r="J2267" s="26">
        <f>IF($A2267="","",LEN($C2267)-LEN(SUBSTITUTE($C2267,",",""))+1)</f>
        <v/>
      </c>
      <c r="K2267" s="26">
        <f>IF($A2267="","",SUMPRODUCT(--ISNUMBER(SEARCH('Category Dictionary'!$D$5:$D$135&amp;"",$C2267)),--('Category Dictionary'!$D$5:$D$135&lt;&gt;"")))</f>
        <v/>
      </c>
      <c r="L2267" s="27">
        <f>IF($A2267="","",TRIM(IF(ISERROR(FIND(",",$C2267)),$C2267,LEFT($C2267,FIND(",",$C2267)-1))))</f>
        <v/>
      </c>
      <c r="M2267" s="28">
        <f>IF($H2267="","",DATE(YEAR($H2267),MONTH($H2267),1))</f>
        <v/>
      </c>
      <c r="N2267" s="26">
        <f>IF($H2267="","",TODAY()-$H2267)</f>
        <v/>
      </c>
      <c r="O2267" s="15" t="n"/>
      <c r="P2267" s="15" t="n"/>
      <c r="Q2267" s="15" t="n"/>
      <c r="R2267" s="25" t="n"/>
      <c r="S2267" s="26">
        <f>IF($A2267="","",AND(OR('Assignment Builder'!$B$5="",$B2267='Assignment Builder'!$B$5),OR('Assignment Builder'!$B$6="",ISNUMBER(SEARCH('Assignment Builder'!$B$6,$C2267))),OR('Assignment Builder'!$B$7="",'Assignment Builder'!$B$7=IFERROR(INDEX('Category Dictionary'!$C$5:$C$135,MATCH($L2267,'Category Dictionary'!$D$5:$D$135,0)),"")),OR('Assignment Builder'!$B$8="",$D2267='Assignment Builder'!$B$8),OR('Assignment Builder'!$B$9="",$F2267='Assignment Builder'!$B$9),OR('Assignment Builder'!$B$10="",$O2267='Assignment Builder'!$B$10),OR('Assignment Builder'!$B$11="",$H2267&gt;='Assignment Builder'!$B$11),OR('Assignment Builder'!$B$12="",N($Q2267)&lt;='Assignment Builder'!$B$12)))</f>
        <v/>
      </c>
      <c r="T2267" s="23" t="n"/>
    </row>
    <row r="2268">
      <c r="A2268" s="23" t="n"/>
      <c r="B2268" s="23" t="n"/>
      <c r="C2268" s="24" t="n"/>
      <c r="D2268" s="15" t="n"/>
      <c r="E2268" s="23" t="n"/>
      <c r="F2268" s="15" t="n"/>
      <c r="G2268" s="23" t="n"/>
      <c r="H2268" s="25" t="n"/>
      <c r="I2268" s="15" t="n"/>
      <c r="J2268" s="26">
        <f>IF($A2268="","",LEN($C2268)-LEN(SUBSTITUTE($C2268,",",""))+1)</f>
        <v/>
      </c>
      <c r="K2268" s="26">
        <f>IF($A2268="","",SUMPRODUCT(--ISNUMBER(SEARCH('Category Dictionary'!$D$5:$D$135&amp;"",$C2268)),--('Category Dictionary'!$D$5:$D$135&lt;&gt;"")))</f>
        <v/>
      </c>
      <c r="L2268" s="27">
        <f>IF($A2268="","",TRIM(IF(ISERROR(FIND(",",$C2268)),$C2268,LEFT($C2268,FIND(",",$C2268)-1))))</f>
        <v/>
      </c>
      <c r="M2268" s="28">
        <f>IF($H2268="","",DATE(YEAR($H2268),MONTH($H2268),1))</f>
        <v/>
      </c>
      <c r="N2268" s="26">
        <f>IF($H2268="","",TODAY()-$H2268)</f>
        <v/>
      </c>
      <c r="O2268" s="15" t="n"/>
      <c r="P2268" s="15" t="n"/>
      <c r="Q2268" s="15" t="n"/>
      <c r="R2268" s="25" t="n"/>
      <c r="S2268" s="26">
        <f>IF($A2268="","",AND(OR('Assignment Builder'!$B$5="",$B2268='Assignment Builder'!$B$5),OR('Assignment Builder'!$B$6="",ISNUMBER(SEARCH('Assignment Builder'!$B$6,$C2268))),OR('Assignment Builder'!$B$7="",'Assignment Builder'!$B$7=IFERROR(INDEX('Category Dictionary'!$C$5:$C$135,MATCH($L2268,'Category Dictionary'!$D$5:$D$135,0)),"")),OR('Assignment Builder'!$B$8="",$D2268='Assignment Builder'!$B$8),OR('Assignment Builder'!$B$9="",$F2268='Assignment Builder'!$B$9),OR('Assignment Builder'!$B$10="",$O2268='Assignment Builder'!$B$10),OR('Assignment Builder'!$B$11="",$H2268&gt;='Assignment Builder'!$B$11),OR('Assignment Builder'!$B$12="",N($Q2268)&lt;='Assignment Builder'!$B$12)))</f>
        <v/>
      </c>
      <c r="T2268" s="23" t="n"/>
    </row>
    <row r="2269">
      <c r="A2269" s="23" t="n"/>
      <c r="B2269" s="23" t="n"/>
      <c r="C2269" s="24" t="n"/>
      <c r="D2269" s="15" t="n"/>
      <c r="E2269" s="23" t="n"/>
      <c r="F2269" s="15" t="n"/>
      <c r="G2269" s="23" t="n"/>
      <c r="H2269" s="25" t="n"/>
      <c r="I2269" s="15" t="n"/>
      <c r="J2269" s="26">
        <f>IF($A2269="","",LEN($C2269)-LEN(SUBSTITUTE($C2269,",",""))+1)</f>
        <v/>
      </c>
      <c r="K2269" s="26">
        <f>IF($A2269="","",SUMPRODUCT(--ISNUMBER(SEARCH('Category Dictionary'!$D$5:$D$135&amp;"",$C2269)),--('Category Dictionary'!$D$5:$D$135&lt;&gt;"")))</f>
        <v/>
      </c>
      <c r="L2269" s="27">
        <f>IF($A2269="","",TRIM(IF(ISERROR(FIND(",",$C2269)),$C2269,LEFT($C2269,FIND(",",$C2269)-1))))</f>
        <v/>
      </c>
      <c r="M2269" s="28">
        <f>IF($H2269="","",DATE(YEAR($H2269),MONTH($H2269),1))</f>
        <v/>
      </c>
      <c r="N2269" s="26">
        <f>IF($H2269="","",TODAY()-$H2269)</f>
        <v/>
      </c>
      <c r="O2269" s="15" t="n"/>
      <c r="P2269" s="15" t="n"/>
      <c r="Q2269" s="15" t="n"/>
      <c r="R2269" s="25" t="n"/>
      <c r="S2269" s="26">
        <f>IF($A2269="","",AND(OR('Assignment Builder'!$B$5="",$B2269='Assignment Builder'!$B$5),OR('Assignment Builder'!$B$6="",ISNUMBER(SEARCH('Assignment Builder'!$B$6,$C2269))),OR('Assignment Builder'!$B$7="",'Assignment Builder'!$B$7=IFERROR(INDEX('Category Dictionary'!$C$5:$C$135,MATCH($L2269,'Category Dictionary'!$D$5:$D$135,0)),"")),OR('Assignment Builder'!$B$8="",$D2269='Assignment Builder'!$B$8),OR('Assignment Builder'!$B$9="",$F2269='Assignment Builder'!$B$9),OR('Assignment Builder'!$B$10="",$O2269='Assignment Builder'!$B$10),OR('Assignment Builder'!$B$11="",$H2269&gt;='Assignment Builder'!$B$11),OR('Assignment Builder'!$B$12="",N($Q2269)&lt;='Assignment Builder'!$B$12)))</f>
        <v/>
      </c>
      <c r="T2269" s="23" t="n"/>
    </row>
    <row r="2270">
      <c r="A2270" s="23" t="n"/>
      <c r="B2270" s="23" t="n"/>
      <c r="C2270" s="24" t="n"/>
      <c r="D2270" s="15" t="n"/>
      <c r="E2270" s="23" t="n"/>
      <c r="F2270" s="15" t="n"/>
      <c r="G2270" s="23" t="n"/>
      <c r="H2270" s="25" t="n"/>
      <c r="I2270" s="15" t="n"/>
      <c r="J2270" s="26">
        <f>IF($A2270="","",LEN($C2270)-LEN(SUBSTITUTE($C2270,",",""))+1)</f>
        <v/>
      </c>
      <c r="K2270" s="26">
        <f>IF($A2270="","",SUMPRODUCT(--ISNUMBER(SEARCH('Category Dictionary'!$D$5:$D$135&amp;"",$C2270)),--('Category Dictionary'!$D$5:$D$135&lt;&gt;"")))</f>
        <v/>
      </c>
      <c r="L2270" s="27">
        <f>IF($A2270="","",TRIM(IF(ISERROR(FIND(",",$C2270)),$C2270,LEFT($C2270,FIND(",",$C2270)-1))))</f>
        <v/>
      </c>
      <c r="M2270" s="28">
        <f>IF($H2270="","",DATE(YEAR($H2270),MONTH($H2270),1))</f>
        <v/>
      </c>
      <c r="N2270" s="26">
        <f>IF($H2270="","",TODAY()-$H2270)</f>
        <v/>
      </c>
      <c r="O2270" s="15" t="n"/>
      <c r="P2270" s="15" t="n"/>
      <c r="Q2270" s="15" t="n"/>
      <c r="R2270" s="25" t="n"/>
      <c r="S2270" s="26">
        <f>IF($A2270="","",AND(OR('Assignment Builder'!$B$5="",$B2270='Assignment Builder'!$B$5),OR('Assignment Builder'!$B$6="",ISNUMBER(SEARCH('Assignment Builder'!$B$6,$C2270))),OR('Assignment Builder'!$B$7="",'Assignment Builder'!$B$7=IFERROR(INDEX('Category Dictionary'!$C$5:$C$135,MATCH($L2270,'Category Dictionary'!$D$5:$D$135,0)),"")),OR('Assignment Builder'!$B$8="",$D2270='Assignment Builder'!$B$8),OR('Assignment Builder'!$B$9="",$F2270='Assignment Builder'!$B$9),OR('Assignment Builder'!$B$10="",$O2270='Assignment Builder'!$B$10),OR('Assignment Builder'!$B$11="",$H2270&gt;='Assignment Builder'!$B$11),OR('Assignment Builder'!$B$12="",N($Q2270)&lt;='Assignment Builder'!$B$12)))</f>
        <v/>
      </c>
      <c r="T2270" s="23" t="n"/>
    </row>
    <row r="2271">
      <c r="A2271" s="23" t="n"/>
      <c r="B2271" s="23" t="n"/>
      <c r="C2271" s="24" t="n"/>
      <c r="D2271" s="15" t="n"/>
      <c r="E2271" s="23" t="n"/>
      <c r="F2271" s="15" t="n"/>
      <c r="G2271" s="23" t="n"/>
      <c r="H2271" s="25" t="n"/>
      <c r="I2271" s="15" t="n"/>
      <c r="J2271" s="26">
        <f>IF($A2271="","",LEN($C2271)-LEN(SUBSTITUTE($C2271,",",""))+1)</f>
        <v/>
      </c>
      <c r="K2271" s="26">
        <f>IF($A2271="","",SUMPRODUCT(--ISNUMBER(SEARCH('Category Dictionary'!$D$5:$D$135&amp;"",$C2271)),--('Category Dictionary'!$D$5:$D$135&lt;&gt;"")))</f>
        <v/>
      </c>
      <c r="L2271" s="27">
        <f>IF($A2271="","",TRIM(IF(ISERROR(FIND(",",$C2271)),$C2271,LEFT($C2271,FIND(",",$C2271)-1))))</f>
        <v/>
      </c>
      <c r="M2271" s="28">
        <f>IF($H2271="","",DATE(YEAR($H2271),MONTH($H2271),1))</f>
        <v/>
      </c>
      <c r="N2271" s="26">
        <f>IF($H2271="","",TODAY()-$H2271)</f>
        <v/>
      </c>
      <c r="O2271" s="15" t="n"/>
      <c r="P2271" s="15" t="n"/>
      <c r="Q2271" s="15" t="n"/>
      <c r="R2271" s="25" t="n"/>
      <c r="S2271" s="26">
        <f>IF($A2271="","",AND(OR('Assignment Builder'!$B$5="",$B2271='Assignment Builder'!$B$5),OR('Assignment Builder'!$B$6="",ISNUMBER(SEARCH('Assignment Builder'!$B$6,$C2271))),OR('Assignment Builder'!$B$7="",'Assignment Builder'!$B$7=IFERROR(INDEX('Category Dictionary'!$C$5:$C$135,MATCH($L2271,'Category Dictionary'!$D$5:$D$135,0)),"")),OR('Assignment Builder'!$B$8="",$D2271='Assignment Builder'!$B$8),OR('Assignment Builder'!$B$9="",$F2271='Assignment Builder'!$B$9),OR('Assignment Builder'!$B$10="",$O2271='Assignment Builder'!$B$10),OR('Assignment Builder'!$B$11="",$H2271&gt;='Assignment Builder'!$B$11),OR('Assignment Builder'!$B$12="",N($Q2271)&lt;='Assignment Builder'!$B$12)))</f>
        <v/>
      </c>
      <c r="T2271" s="23" t="n"/>
    </row>
    <row r="2272">
      <c r="A2272" s="23" t="n"/>
      <c r="B2272" s="23" t="n"/>
      <c r="C2272" s="24" t="n"/>
      <c r="D2272" s="15" t="n"/>
      <c r="E2272" s="23" t="n"/>
      <c r="F2272" s="15" t="n"/>
      <c r="G2272" s="23" t="n"/>
      <c r="H2272" s="25" t="n"/>
      <c r="I2272" s="15" t="n"/>
      <c r="J2272" s="26">
        <f>IF($A2272="","",LEN($C2272)-LEN(SUBSTITUTE($C2272,",",""))+1)</f>
        <v/>
      </c>
      <c r="K2272" s="26">
        <f>IF($A2272="","",SUMPRODUCT(--ISNUMBER(SEARCH('Category Dictionary'!$D$5:$D$135&amp;"",$C2272)),--('Category Dictionary'!$D$5:$D$135&lt;&gt;"")))</f>
        <v/>
      </c>
      <c r="L2272" s="27">
        <f>IF($A2272="","",TRIM(IF(ISERROR(FIND(",",$C2272)),$C2272,LEFT($C2272,FIND(",",$C2272)-1))))</f>
        <v/>
      </c>
      <c r="M2272" s="28">
        <f>IF($H2272="","",DATE(YEAR($H2272),MONTH($H2272),1))</f>
        <v/>
      </c>
      <c r="N2272" s="26">
        <f>IF($H2272="","",TODAY()-$H2272)</f>
        <v/>
      </c>
      <c r="O2272" s="15" t="n"/>
      <c r="P2272" s="15" t="n"/>
      <c r="Q2272" s="15" t="n"/>
      <c r="R2272" s="25" t="n"/>
      <c r="S2272" s="26">
        <f>IF($A2272="","",AND(OR('Assignment Builder'!$B$5="",$B2272='Assignment Builder'!$B$5),OR('Assignment Builder'!$B$6="",ISNUMBER(SEARCH('Assignment Builder'!$B$6,$C2272))),OR('Assignment Builder'!$B$7="",'Assignment Builder'!$B$7=IFERROR(INDEX('Category Dictionary'!$C$5:$C$135,MATCH($L2272,'Category Dictionary'!$D$5:$D$135,0)),"")),OR('Assignment Builder'!$B$8="",$D2272='Assignment Builder'!$B$8),OR('Assignment Builder'!$B$9="",$F2272='Assignment Builder'!$B$9),OR('Assignment Builder'!$B$10="",$O2272='Assignment Builder'!$B$10),OR('Assignment Builder'!$B$11="",$H2272&gt;='Assignment Builder'!$B$11),OR('Assignment Builder'!$B$12="",N($Q2272)&lt;='Assignment Builder'!$B$12)))</f>
        <v/>
      </c>
      <c r="T2272" s="23" t="n"/>
    </row>
    <row r="2273">
      <c r="A2273" s="23" t="n"/>
      <c r="B2273" s="23" t="n"/>
      <c r="C2273" s="24" t="n"/>
      <c r="D2273" s="15" t="n"/>
      <c r="E2273" s="23" t="n"/>
      <c r="F2273" s="15" t="n"/>
      <c r="G2273" s="23" t="n"/>
      <c r="H2273" s="25" t="n"/>
      <c r="I2273" s="15" t="n"/>
      <c r="J2273" s="26">
        <f>IF($A2273="","",LEN($C2273)-LEN(SUBSTITUTE($C2273,",",""))+1)</f>
        <v/>
      </c>
      <c r="K2273" s="26">
        <f>IF($A2273="","",SUMPRODUCT(--ISNUMBER(SEARCH('Category Dictionary'!$D$5:$D$135&amp;"",$C2273)),--('Category Dictionary'!$D$5:$D$135&lt;&gt;"")))</f>
        <v/>
      </c>
      <c r="L2273" s="27">
        <f>IF($A2273="","",TRIM(IF(ISERROR(FIND(",",$C2273)),$C2273,LEFT($C2273,FIND(",",$C2273)-1))))</f>
        <v/>
      </c>
      <c r="M2273" s="28">
        <f>IF($H2273="","",DATE(YEAR($H2273),MONTH($H2273),1))</f>
        <v/>
      </c>
      <c r="N2273" s="26">
        <f>IF($H2273="","",TODAY()-$H2273)</f>
        <v/>
      </c>
      <c r="O2273" s="15" t="n"/>
      <c r="P2273" s="15" t="n"/>
      <c r="Q2273" s="15" t="n"/>
      <c r="R2273" s="25" t="n"/>
      <c r="S2273" s="26">
        <f>IF($A2273="","",AND(OR('Assignment Builder'!$B$5="",$B2273='Assignment Builder'!$B$5),OR('Assignment Builder'!$B$6="",ISNUMBER(SEARCH('Assignment Builder'!$B$6,$C2273))),OR('Assignment Builder'!$B$7="",'Assignment Builder'!$B$7=IFERROR(INDEX('Category Dictionary'!$C$5:$C$135,MATCH($L2273,'Category Dictionary'!$D$5:$D$135,0)),"")),OR('Assignment Builder'!$B$8="",$D2273='Assignment Builder'!$B$8),OR('Assignment Builder'!$B$9="",$F2273='Assignment Builder'!$B$9),OR('Assignment Builder'!$B$10="",$O2273='Assignment Builder'!$B$10),OR('Assignment Builder'!$B$11="",$H2273&gt;='Assignment Builder'!$B$11),OR('Assignment Builder'!$B$12="",N($Q2273)&lt;='Assignment Builder'!$B$12)))</f>
        <v/>
      </c>
      <c r="T2273" s="23" t="n"/>
    </row>
    <row r="2274">
      <c r="A2274" s="23" t="n"/>
      <c r="B2274" s="23" t="n"/>
      <c r="C2274" s="24" t="n"/>
      <c r="D2274" s="15" t="n"/>
      <c r="E2274" s="23" t="n"/>
      <c r="F2274" s="15" t="n"/>
      <c r="G2274" s="23" t="n"/>
      <c r="H2274" s="25" t="n"/>
      <c r="I2274" s="15" t="n"/>
      <c r="J2274" s="26">
        <f>IF($A2274="","",LEN($C2274)-LEN(SUBSTITUTE($C2274,",",""))+1)</f>
        <v/>
      </c>
      <c r="K2274" s="26">
        <f>IF($A2274="","",SUMPRODUCT(--ISNUMBER(SEARCH('Category Dictionary'!$D$5:$D$135&amp;"",$C2274)),--('Category Dictionary'!$D$5:$D$135&lt;&gt;"")))</f>
        <v/>
      </c>
      <c r="L2274" s="27">
        <f>IF($A2274="","",TRIM(IF(ISERROR(FIND(",",$C2274)),$C2274,LEFT($C2274,FIND(",",$C2274)-1))))</f>
        <v/>
      </c>
      <c r="M2274" s="28">
        <f>IF($H2274="","",DATE(YEAR($H2274),MONTH($H2274),1))</f>
        <v/>
      </c>
      <c r="N2274" s="26">
        <f>IF($H2274="","",TODAY()-$H2274)</f>
        <v/>
      </c>
      <c r="O2274" s="15" t="n"/>
      <c r="P2274" s="15" t="n"/>
      <c r="Q2274" s="15" t="n"/>
      <c r="R2274" s="25" t="n"/>
      <c r="S2274" s="26">
        <f>IF($A2274="","",AND(OR('Assignment Builder'!$B$5="",$B2274='Assignment Builder'!$B$5),OR('Assignment Builder'!$B$6="",ISNUMBER(SEARCH('Assignment Builder'!$B$6,$C2274))),OR('Assignment Builder'!$B$7="",'Assignment Builder'!$B$7=IFERROR(INDEX('Category Dictionary'!$C$5:$C$135,MATCH($L2274,'Category Dictionary'!$D$5:$D$135,0)),"")),OR('Assignment Builder'!$B$8="",$D2274='Assignment Builder'!$B$8),OR('Assignment Builder'!$B$9="",$F2274='Assignment Builder'!$B$9),OR('Assignment Builder'!$B$10="",$O2274='Assignment Builder'!$B$10),OR('Assignment Builder'!$B$11="",$H2274&gt;='Assignment Builder'!$B$11),OR('Assignment Builder'!$B$12="",N($Q2274)&lt;='Assignment Builder'!$B$12)))</f>
        <v/>
      </c>
      <c r="T2274" s="23" t="n"/>
    </row>
    <row r="2275">
      <c r="A2275" s="23" t="n"/>
      <c r="B2275" s="23" t="n"/>
      <c r="C2275" s="24" t="n"/>
      <c r="D2275" s="15" t="n"/>
      <c r="E2275" s="23" t="n"/>
      <c r="F2275" s="15" t="n"/>
      <c r="G2275" s="23" t="n"/>
      <c r="H2275" s="25" t="n"/>
      <c r="I2275" s="15" t="n"/>
      <c r="J2275" s="26">
        <f>IF($A2275="","",LEN($C2275)-LEN(SUBSTITUTE($C2275,",",""))+1)</f>
        <v/>
      </c>
      <c r="K2275" s="26">
        <f>IF($A2275="","",SUMPRODUCT(--ISNUMBER(SEARCH('Category Dictionary'!$D$5:$D$135&amp;"",$C2275)),--('Category Dictionary'!$D$5:$D$135&lt;&gt;"")))</f>
        <v/>
      </c>
      <c r="L2275" s="27">
        <f>IF($A2275="","",TRIM(IF(ISERROR(FIND(",",$C2275)),$C2275,LEFT($C2275,FIND(",",$C2275)-1))))</f>
        <v/>
      </c>
      <c r="M2275" s="28">
        <f>IF($H2275="","",DATE(YEAR($H2275),MONTH($H2275),1))</f>
        <v/>
      </c>
      <c r="N2275" s="26">
        <f>IF($H2275="","",TODAY()-$H2275)</f>
        <v/>
      </c>
      <c r="O2275" s="15" t="n"/>
      <c r="P2275" s="15" t="n"/>
      <c r="Q2275" s="15" t="n"/>
      <c r="R2275" s="25" t="n"/>
      <c r="S2275" s="26">
        <f>IF($A2275="","",AND(OR('Assignment Builder'!$B$5="",$B2275='Assignment Builder'!$B$5),OR('Assignment Builder'!$B$6="",ISNUMBER(SEARCH('Assignment Builder'!$B$6,$C2275))),OR('Assignment Builder'!$B$7="",'Assignment Builder'!$B$7=IFERROR(INDEX('Category Dictionary'!$C$5:$C$135,MATCH($L2275,'Category Dictionary'!$D$5:$D$135,0)),"")),OR('Assignment Builder'!$B$8="",$D2275='Assignment Builder'!$B$8),OR('Assignment Builder'!$B$9="",$F2275='Assignment Builder'!$B$9),OR('Assignment Builder'!$B$10="",$O2275='Assignment Builder'!$B$10),OR('Assignment Builder'!$B$11="",$H2275&gt;='Assignment Builder'!$B$11),OR('Assignment Builder'!$B$12="",N($Q2275)&lt;='Assignment Builder'!$B$12)))</f>
        <v/>
      </c>
      <c r="T2275" s="23" t="n"/>
    </row>
    <row r="2276">
      <c r="A2276" s="23" t="n"/>
      <c r="B2276" s="23" t="n"/>
      <c r="C2276" s="24" t="n"/>
      <c r="D2276" s="15" t="n"/>
      <c r="E2276" s="23" t="n"/>
      <c r="F2276" s="15" t="n"/>
      <c r="G2276" s="23" t="n"/>
      <c r="H2276" s="25" t="n"/>
      <c r="I2276" s="15" t="n"/>
      <c r="J2276" s="26">
        <f>IF($A2276="","",LEN($C2276)-LEN(SUBSTITUTE($C2276,",",""))+1)</f>
        <v/>
      </c>
      <c r="K2276" s="26">
        <f>IF($A2276="","",SUMPRODUCT(--ISNUMBER(SEARCH('Category Dictionary'!$D$5:$D$135&amp;"",$C2276)),--('Category Dictionary'!$D$5:$D$135&lt;&gt;"")))</f>
        <v/>
      </c>
      <c r="L2276" s="27">
        <f>IF($A2276="","",TRIM(IF(ISERROR(FIND(",",$C2276)),$C2276,LEFT($C2276,FIND(",",$C2276)-1))))</f>
        <v/>
      </c>
      <c r="M2276" s="28">
        <f>IF($H2276="","",DATE(YEAR($H2276),MONTH($H2276),1))</f>
        <v/>
      </c>
      <c r="N2276" s="26">
        <f>IF($H2276="","",TODAY()-$H2276)</f>
        <v/>
      </c>
      <c r="O2276" s="15" t="n"/>
      <c r="P2276" s="15" t="n"/>
      <c r="Q2276" s="15" t="n"/>
      <c r="R2276" s="25" t="n"/>
      <c r="S2276" s="26">
        <f>IF($A2276="","",AND(OR('Assignment Builder'!$B$5="",$B2276='Assignment Builder'!$B$5),OR('Assignment Builder'!$B$6="",ISNUMBER(SEARCH('Assignment Builder'!$B$6,$C2276))),OR('Assignment Builder'!$B$7="",'Assignment Builder'!$B$7=IFERROR(INDEX('Category Dictionary'!$C$5:$C$135,MATCH($L2276,'Category Dictionary'!$D$5:$D$135,0)),"")),OR('Assignment Builder'!$B$8="",$D2276='Assignment Builder'!$B$8),OR('Assignment Builder'!$B$9="",$F2276='Assignment Builder'!$B$9),OR('Assignment Builder'!$B$10="",$O2276='Assignment Builder'!$B$10),OR('Assignment Builder'!$B$11="",$H2276&gt;='Assignment Builder'!$B$11),OR('Assignment Builder'!$B$12="",N($Q2276)&lt;='Assignment Builder'!$B$12)))</f>
        <v/>
      </c>
      <c r="T2276" s="23" t="n"/>
    </row>
    <row r="2277">
      <c r="A2277" s="23" t="n"/>
      <c r="B2277" s="23" t="n"/>
      <c r="C2277" s="24" t="n"/>
      <c r="D2277" s="15" t="n"/>
      <c r="E2277" s="23" t="n"/>
      <c r="F2277" s="15" t="n"/>
      <c r="G2277" s="23" t="n"/>
      <c r="H2277" s="25" t="n"/>
      <c r="I2277" s="15" t="n"/>
      <c r="J2277" s="26">
        <f>IF($A2277="","",LEN($C2277)-LEN(SUBSTITUTE($C2277,",",""))+1)</f>
        <v/>
      </c>
      <c r="K2277" s="26">
        <f>IF($A2277="","",SUMPRODUCT(--ISNUMBER(SEARCH('Category Dictionary'!$D$5:$D$135&amp;"",$C2277)),--('Category Dictionary'!$D$5:$D$135&lt;&gt;"")))</f>
        <v/>
      </c>
      <c r="L2277" s="27">
        <f>IF($A2277="","",TRIM(IF(ISERROR(FIND(",",$C2277)),$C2277,LEFT($C2277,FIND(",",$C2277)-1))))</f>
        <v/>
      </c>
      <c r="M2277" s="28">
        <f>IF($H2277="","",DATE(YEAR($H2277),MONTH($H2277),1))</f>
        <v/>
      </c>
      <c r="N2277" s="26">
        <f>IF($H2277="","",TODAY()-$H2277)</f>
        <v/>
      </c>
      <c r="O2277" s="15" t="n"/>
      <c r="P2277" s="15" t="n"/>
      <c r="Q2277" s="15" t="n"/>
      <c r="R2277" s="25" t="n"/>
      <c r="S2277" s="26">
        <f>IF($A2277="","",AND(OR('Assignment Builder'!$B$5="",$B2277='Assignment Builder'!$B$5),OR('Assignment Builder'!$B$6="",ISNUMBER(SEARCH('Assignment Builder'!$B$6,$C2277))),OR('Assignment Builder'!$B$7="",'Assignment Builder'!$B$7=IFERROR(INDEX('Category Dictionary'!$C$5:$C$135,MATCH($L2277,'Category Dictionary'!$D$5:$D$135,0)),"")),OR('Assignment Builder'!$B$8="",$D2277='Assignment Builder'!$B$8),OR('Assignment Builder'!$B$9="",$F2277='Assignment Builder'!$B$9),OR('Assignment Builder'!$B$10="",$O2277='Assignment Builder'!$B$10),OR('Assignment Builder'!$B$11="",$H2277&gt;='Assignment Builder'!$B$11),OR('Assignment Builder'!$B$12="",N($Q2277)&lt;='Assignment Builder'!$B$12)))</f>
        <v/>
      </c>
      <c r="T2277" s="23" t="n"/>
    </row>
    <row r="2278">
      <c r="A2278" s="23" t="n"/>
      <c r="B2278" s="23" t="n"/>
      <c r="C2278" s="24" t="n"/>
      <c r="D2278" s="15" t="n"/>
      <c r="E2278" s="23" t="n"/>
      <c r="F2278" s="15" t="n"/>
      <c r="G2278" s="23" t="n"/>
      <c r="H2278" s="25" t="n"/>
      <c r="I2278" s="15" t="n"/>
      <c r="J2278" s="26">
        <f>IF($A2278="","",LEN($C2278)-LEN(SUBSTITUTE($C2278,",",""))+1)</f>
        <v/>
      </c>
      <c r="K2278" s="26">
        <f>IF($A2278="","",SUMPRODUCT(--ISNUMBER(SEARCH('Category Dictionary'!$D$5:$D$135&amp;"",$C2278)),--('Category Dictionary'!$D$5:$D$135&lt;&gt;"")))</f>
        <v/>
      </c>
      <c r="L2278" s="27">
        <f>IF($A2278="","",TRIM(IF(ISERROR(FIND(",",$C2278)),$C2278,LEFT($C2278,FIND(",",$C2278)-1))))</f>
        <v/>
      </c>
      <c r="M2278" s="28">
        <f>IF($H2278="","",DATE(YEAR($H2278),MONTH($H2278),1))</f>
        <v/>
      </c>
      <c r="N2278" s="26">
        <f>IF($H2278="","",TODAY()-$H2278)</f>
        <v/>
      </c>
      <c r="O2278" s="15" t="n"/>
      <c r="P2278" s="15" t="n"/>
      <c r="Q2278" s="15" t="n"/>
      <c r="R2278" s="25" t="n"/>
      <c r="S2278" s="26">
        <f>IF($A2278="","",AND(OR('Assignment Builder'!$B$5="",$B2278='Assignment Builder'!$B$5),OR('Assignment Builder'!$B$6="",ISNUMBER(SEARCH('Assignment Builder'!$B$6,$C2278))),OR('Assignment Builder'!$B$7="",'Assignment Builder'!$B$7=IFERROR(INDEX('Category Dictionary'!$C$5:$C$135,MATCH($L2278,'Category Dictionary'!$D$5:$D$135,0)),"")),OR('Assignment Builder'!$B$8="",$D2278='Assignment Builder'!$B$8),OR('Assignment Builder'!$B$9="",$F2278='Assignment Builder'!$B$9),OR('Assignment Builder'!$B$10="",$O2278='Assignment Builder'!$B$10),OR('Assignment Builder'!$B$11="",$H2278&gt;='Assignment Builder'!$B$11),OR('Assignment Builder'!$B$12="",N($Q2278)&lt;='Assignment Builder'!$B$12)))</f>
        <v/>
      </c>
      <c r="T2278" s="23" t="n"/>
    </row>
    <row r="2279">
      <c r="A2279" s="23" t="n"/>
      <c r="B2279" s="23" t="n"/>
      <c r="C2279" s="24" t="n"/>
      <c r="D2279" s="15" t="n"/>
      <c r="E2279" s="23" t="n"/>
      <c r="F2279" s="15" t="n"/>
      <c r="G2279" s="23" t="n"/>
      <c r="H2279" s="25" t="n"/>
      <c r="I2279" s="15" t="n"/>
      <c r="J2279" s="26">
        <f>IF($A2279="","",LEN($C2279)-LEN(SUBSTITUTE($C2279,",",""))+1)</f>
        <v/>
      </c>
      <c r="K2279" s="26">
        <f>IF($A2279="","",SUMPRODUCT(--ISNUMBER(SEARCH('Category Dictionary'!$D$5:$D$135&amp;"",$C2279)),--('Category Dictionary'!$D$5:$D$135&lt;&gt;"")))</f>
        <v/>
      </c>
      <c r="L2279" s="27">
        <f>IF($A2279="","",TRIM(IF(ISERROR(FIND(",",$C2279)),$C2279,LEFT($C2279,FIND(",",$C2279)-1))))</f>
        <v/>
      </c>
      <c r="M2279" s="28">
        <f>IF($H2279="","",DATE(YEAR($H2279),MONTH($H2279),1))</f>
        <v/>
      </c>
      <c r="N2279" s="26">
        <f>IF($H2279="","",TODAY()-$H2279)</f>
        <v/>
      </c>
      <c r="O2279" s="15" t="n"/>
      <c r="P2279" s="15" t="n"/>
      <c r="Q2279" s="15" t="n"/>
      <c r="R2279" s="25" t="n"/>
      <c r="S2279" s="26">
        <f>IF($A2279="","",AND(OR('Assignment Builder'!$B$5="",$B2279='Assignment Builder'!$B$5),OR('Assignment Builder'!$B$6="",ISNUMBER(SEARCH('Assignment Builder'!$B$6,$C2279))),OR('Assignment Builder'!$B$7="",'Assignment Builder'!$B$7=IFERROR(INDEX('Category Dictionary'!$C$5:$C$135,MATCH($L2279,'Category Dictionary'!$D$5:$D$135,0)),"")),OR('Assignment Builder'!$B$8="",$D2279='Assignment Builder'!$B$8),OR('Assignment Builder'!$B$9="",$F2279='Assignment Builder'!$B$9),OR('Assignment Builder'!$B$10="",$O2279='Assignment Builder'!$B$10),OR('Assignment Builder'!$B$11="",$H2279&gt;='Assignment Builder'!$B$11),OR('Assignment Builder'!$B$12="",N($Q2279)&lt;='Assignment Builder'!$B$12)))</f>
        <v/>
      </c>
      <c r="T2279" s="23" t="n"/>
    </row>
    <row r="2280">
      <c r="A2280" s="23" t="n"/>
      <c r="B2280" s="23" t="n"/>
      <c r="C2280" s="24" t="n"/>
      <c r="D2280" s="15" t="n"/>
      <c r="E2280" s="23" t="n"/>
      <c r="F2280" s="15" t="n"/>
      <c r="G2280" s="23" t="n"/>
      <c r="H2280" s="25" t="n"/>
      <c r="I2280" s="15" t="n"/>
      <c r="J2280" s="26">
        <f>IF($A2280="","",LEN($C2280)-LEN(SUBSTITUTE($C2280,",",""))+1)</f>
        <v/>
      </c>
      <c r="K2280" s="26">
        <f>IF($A2280="","",SUMPRODUCT(--ISNUMBER(SEARCH('Category Dictionary'!$D$5:$D$135&amp;"",$C2280)),--('Category Dictionary'!$D$5:$D$135&lt;&gt;"")))</f>
        <v/>
      </c>
      <c r="L2280" s="27">
        <f>IF($A2280="","",TRIM(IF(ISERROR(FIND(",",$C2280)),$C2280,LEFT($C2280,FIND(",",$C2280)-1))))</f>
        <v/>
      </c>
      <c r="M2280" s="28">
        <f>IF($H2280="","",DATE(YEAR($H2280),MONTH($H2280),1))</f>
        <v/>
      </c>
      <c r="N2280" s="26">
        <f>IF($H2280="","",TODAY()-$H2280)</f>
        <v/>
      </c>
      <c r="O2280" s="15" t="n"/>
      <c r="P2280" s="15" t="n"/>
      <c r="Q2280" s="15" t="n"/>
      <c r="R2280" s="25" t="n"/>
      <c r="S2280" s="26">
        <f>IF($A2280="","",AND(OR('Assignment Builder'!$B$5="",$B2280='Assignment Builder'!$B$5),OR('Assignment Builder'!$B$6="",ISNUMBER(SEARCH('Assignment Builder'!$B$6,$C2280))),OR('Assignment Builder'!$B$7="",'Assignment Builder'!$B$7=IFERROR(INDEX('Category Dictionary'!$C$5:$C$135,MATCH($L2280,'Category Dictionary'!$D$5:$D$135,0)),"")),OR('Assignment Builder'!$B$8="",$D2280='Assignment Builder'!$B$8),OR('Assignment Builder'!$B$9="",$F2280='Assignment Builder'!$B$9),OR('Assignment Builder'!$B$10="",$O2280='Assignment Builder'!$B$10),OR('Assignment Builder'!$B$11="",$H2280&gt;='Assignment Builder'!$B$11),OR('Assignment Builder'!$B$12="",N($Q2280)&lt;='Assignment Builder'!$B$12)))</f>
        <v/>
      </c>
      <c r="T2280" s="23" t="n"/>
    </row>
    <row r="2281">
      <c r="A2281" s="23" t="n"/>
      <c r="B2281" s="23" t="n"/>
      <c r="C2281" s="24" t="n"/>
      <c r="D2281" s="15" t="n"/>
      <c r="E2281" s="23" t="n"/>
      <c r="F2281" s="15" t="n"/>
      <c r="G2281" s="23" t="n"/>
      <c r="H2281" s="25" t="n"/>
      <c r="I2281" s="15" t="n"/>
      <c r="J2281" s="26">
        <f>IF($A2281="","",LEN($C2281)-LEN(SUBSTITUTE($C2281,",",""))+1)</f>
        <v/>
      </c>
      <c r="K2281" s="26">
        <f>IF($A2281="","",SUMPRODUCT(--ISNUMBER(SEARCH('Category Dictionary'!$D$5:$D$135&amp;"",$C2281)),--('Category Dictionary'!$D$5:$D$135&lt;&gt;"")))</f>
        <v/>
      </c>
      <c r="L2281" s="27">
        <f>IF($A2281="","",TRIM(IF(ISERROR(FIND(",",$C2281)),$C2281,LEFT($C2281,FIND(",",$C2281)-1))))</f>
        <v/>
      </c>
      <c r="M2281" s="28">
        <f>IF($H2281="","",DATE(YEAR($H2281),MONTH($H2281),1))</f>
        <v/>
      </c>
      <c r="N2281" s="26">
        <f>IF($H2281="","",TODAY()-$H2281)</f>
        <v/>
      </c>
      <c r="O2281" s="15" t="n"/>
      <c r="P2281" s="15" t="n"/>
      <c r="Q2281" s="15" t="n"/>
      <c r="R2281" s="25" t="n"/>
      <c r="S2281" s="26">
        <f>IF($A2281="","",AND(OR('Assignment Builder'!$B$5="",$B2281='Assignment Builder'!$B$5),OR('Assignment Builder'!$B$6="",ISNUMBER(SEARCH('Assignment Builder'!$B$6,$C2281))),OR('Assignment Builder'!$B$7="",'Assignment Builder'!$B$7=IFERROR(INDEX('Category Dictionary'!$C$5:$C$135,MATCH($L2281,'Category Dictionary'!$D$5:$D$135,0)),"")),OR('Assignment Builder'!$B$8="",$D2281='Assignment Builder'!$B$8),OR('Assignment Builder'!$B$9="",$F2281='Assignment Builder'!$B$9),OR('Assignment Builder'!$B$10="",$O2281='Assignment Builder'!$B$10),OR('Assignment Builder'!$B$11="",$H2281&gt;='Assignment Builder'!$B$11),OR('Assignment Builder'!$B$12="",N($Q2281)&lt;='Assignment Builder'!$B$12)))</f>
        <v/>
      </c>
      <c r="T2281" s="23" t="n"/>
    </row>
    <row r="2282">
      <c r="A2282" s="23" t="n"/>
      <c r="B2282" s="23" t="n"/>
      <c r="C2282" s="24" t="n"/>
      <c r="D2282" s="15" t="n"/>
      <c r="E2282" s="23" t="n"/>
      <c r="F2282" s="15" t="n"/>
      <c r="G2282" s="23" t="n"/>
      <c r="H2282" s="25" t="n"/>
      <c r="I2282" s="15" t="n"/>
      <c r="J2282" s="26">
        <f>IF($A2282="","",LEN($C2282)-LEN(SUBSTITUTE($C2282,",",""))+1)</f>
        <v/>
      </c>
      <c r="K2282" s="26">
        <f>IF($A2282="","",SUMPRODUCT(--ISNUMBER(SEARCH('Category Dictionary'!$D$5:$D$135&amp;"",$C2282)),--('Category Dictionary'!$D$5:$D$135&lt;&gt;"")))</f>
        <v/>
      </c>
      <c r="L2282" s="27">
        <f>IF($A2282="","",TRIM(IF(ISERROR(FIND(",",$C2282)),$C2282,LEFT($C2282,FIND(",",$C2282)-1))))</f>
        <v/>
      </c>
      <c r="M2282" s="28">
        <f>IF($H2282="","",DATE(YEAR($H2282),MONTH($H2282),1))</f>
        <v/>
      </c>
      <c r="N2282" s="26">
        <f>IF($H2282="","",TODAY()-$H2282)</f>
        <v/>
      </c>
      <c r="O2282" s="15" t="n"/>
      <c r="P2282" s="15" t="n"/>
      <c r="Q2282" s="15" t="n"/>
      <c r="R2282" s="25" t="n"/>
      <c r="S2282" s="26">
        <f>IF($A2282="","",AND(OR('Assignment Builder'!$B$5="",$B2282='Assignment Builder'!$B$5),OR('Assignment Builder'!$B$6="",ISNUMBER(SEARCH('Assignment Builder'!$B$6,$C2282))),OR('Assignment Builder'!$B$7="",'Assignment Builder'!$B$7=IFERROR(INDEX('Category Dictionary'!$C$5:$C$135,MATCH($L2282,'Category Dictionary'!$D$5:$D$135,0)),"")),OR('Assignment Builder'!$B$8="",$D2282='Assignment Builder'!$B$8),OR('Assignment Builder'!$B$9="",$F2282='Assignment Builder'!$B$9),OR('Assignment Builder'!$B$10="",$O2282='Assignment Builder'!$B$10),OR('Assignment Builder'!$B$11="",$H2282&gt;='Assignment Builder'!$B$11),OR('Assignment Builder'!$B$12="",N($Q2282)&lt;='Assignment Builder'!$B$12)))</f>
        <v/>
      </c>
      <c r="T2282" s="23" t="n"/>
    </row>
    <row r="2283">
      <c r="A2283" s="23" t="n"/>
      <c r="B2283" s="23" t="n"/>
      <c r="C2283" s="24" t="n"/>
      <c r="D2283" s="15" t="n"/>
      <c r="E2283" s="23" t="n"/>
      <c r="F2283" s="15" t="n"/>
      <c r="G2283" s="23" t="n"/>
      <c r="H2283" s="25" t="n"/>
      <c r="I2283" s="15" t="n"/>
      <c r="J2283" s="26">
        <f>IF($A2283="","",LEN($C2283)-LEN(SUBSTITUTE($C2283,",",""))+1)</f>
        <v/>
      </c>
      <c r="K2283" s="26">
        <f>IF($A2283="","",SUMPRODUCT(--ISNUMBER(SEARCH('Category Dictionary'!$D$5:$D$135&amp;"",$C2283)),--('Category Dictionary'!$D$5:$D$135&lt;&gt;"")))</f>
        <v/>
      </c>
      <c r="L2283" s="27">
        <f>IF($A2283="","",TRIM(IF(ISERROR(FIND(",",$C2283)),$C2283,LEFT($C2283,FIND(",",$C2283)-1))))</f>
        <v/>
      </c>
      <c r="M2283" s="28">
        <f>IF($H2283="","",DATE(YEAR($H2283),MONTH($H2283),1))</f>
        <v/>
      </c>
      <c r="N2283" s="26">
        <f>IF($H2283="","",TODAY()-$H2283)</f>
        <v/>
      </c>
      <c r="O2283" s="15" t="n"/>
      <c r="P2283" s="15" t="n"/>
      <c r="Q2283" s="15" t="n"/>
      <c r="R2283" s="25" t="n"/>
      <c r="S2283" s="26">
        <f>IF($A2283="","",AND(OR('Assignment Builder'!$B$5="",$B2283='Assignment Builder'!$B$5),OR('Assignment Builder'!$B$6="",ISNUMBER(SEARCH('Assignment Builder'!$B$6,$C2283))),OR('Assignment Builder'!$B$7="",'Assignment Builder'!$B$7=IFERROR(INDEX('Category Dictionary'!$C$5:$C$135,MATCH($L2283,'Category Dictionary'!$D$5:$D$135,0)),"")),OR('Assignment Builder'!$B$8="",$D2283='Assignment Builder'!$B$8),OR('Assignment Builder'!$B$9="",$F2283='Assignment Builder'!$B$9),OR('Assignment Builder'!$B$10="",$O2283='Assignment Builder'!$B$10),OR('Assignment Builder'!$B$11="",$H2283&gt;='Assignment Builder'!$B$11),OR('Assignment Builder'!$B$12="",N($Q2283)&lt;='Assignment Builder'!$B$12)))</f>
        <v/>
      </c>
      <c r="T2283" s="23" t="n"/>
    </row>
    <row r="2284">
      <c r="A2284" s="23" t="n"/>
      <c r="B2284" s="23" t="n"/>
      <c r="C2284" s="24" t="n"/>
      <c r="D2284" s="15" t="n"/>
      <c r="E2284" s="23" t="n"/>
      <c r="F2284" s="15" t="n"/>
      <c r="G2284" s="23" t="n"/>
      <c r="H2284" s="25" t="n"/>
      <c r="I2284" s="15" t="n"/>
      <c r="J2284" s="26">
        <f>IF($A2284="","",LEN($C2284)-LEN(SUBSTITUTE($C2284,",",""))+1)</f>
        <v/>
      </c>
      <c r="K2284" s="26">
        <f>IF($A2284="","",SUMPRODUCT(--ISNUMBER(SEARCH('Category Dictionary'!$D$5:$D$135&amp;"",$C2284)),--('Category Dictionary'!$D$5:$D$135&lt;&gt;"")))</f>
        <v/>
      </c>
      <c r="L2284" s="27">
        <f>IF($A2284="","",TRIM(IF(ISERROR(FIND(",",$C2284)),$C2284,LEFT($C2284,FIND(",",$C2284)-1))))</f>
        <v/>
      </c>
      <c r="M2284" s="28">
        <f>IF($H2284="","",DATE(YEAR($H2284),MONTH($H2284),1))</f>
        <v/>
      </c>
      <c r="N2284" s="26">
        <f>IF($H2284="","",TODAY()-$H2284)</f>
        <v/>
      </c>
      <c r="O2284" s="15" t="n"/>
      <c r="P2284" s="15" t="n"/>
      <c r="Q2284" s="15" t="n"/>
      <c r="R2284" s="25" t="n"/>
      <c r="S2284" s="26">
        <f>IF($A2284="","",AND(OR('Assignment Builder'!$B$5="",$B2284='Assignment Builder'!$B$5),OR('Assignment Builder'!$B$6="",ISNUMBER(SEARCH('Assignment Builder'!$B$6,$C2284))),OR('Assignment Builder'!$B$7="",'Assignment Builder'!$B$7=IFERROR(INDEX('Category Dictionary'!$C$5:$C$135,MATCH($L2284,'Category Dictionary'!$D$5:$D$135,0)),"")),OR('Assignment Builder'!$B$8="",$D2284='Assignment Builder'!$B$8),OR('Assignment Builder'!$B$9="",$F2284='Assignment Builder'!$B$9),OR('Assignment Builder'!$B$10="",$O2284='Assignment Builder'!$B$10),OR('Assignment Builder'!$B$11="",$H2284&gt;='Assignment Builder'!$B$11),OR('Assignment Builder'!$B$12="",N($Q2284)&lt;='Assignment Builder'!$B$12)))</f>
        <v/>
      </c>
      <c r="T2284" s="23" t="n"/>
    </row>
    <row r="2285">
      <c r="A2285" s="23" t="n"/>
      <c r="B2285" s="23" t="n"/>
      <c r="C2285" s="24" t="n"/>
      <c r="D2285" s="15" t="n"/>
      <c r="E2285" s="23" t="n"/>
      <c r="F2285" s="15" t="n"/>
      <c r="G2285" s="23" t="n"/>
      <c r="H2285" s="25" t="n"/>
      <c r="I2285" s="15" t="n"/>
      <c r="J2285" s="26">
        <f>IF($A2285="","",LEN($C2285)-LEN(SUBSTITUTE($C2285,",",""))+1)</f>
        <v/>
      </c>
      <c r="K2285" s="26">
        <f>IF($A2285="","",SUMPRODUCT(--ISNUMBER(SEARCH('Category Dictionary'!$D$5:$D$135&amp;"",$C2285)),--('Category Dictionary'!$D$5:$D$135&lt;&gt;"")))</f>
        <v/>
      </c>
      <c r="L2285" s="27">
        <f>IF($A2285="","",TRIM(IF(ISERROR(FIND(",",$C2285)),$C2285,LEFT($C2285,FIND(",",$C2285)-1))))</f>
        <v/>
      </c>
      <c r="M2285" s="28">
        <f>IF($H2285="","",DATE(YEAR($H2285),MONTH($H2285),1))</f>
        <v/>
      </c>
      <c r="N2285" s="26">
        <f>IF($H2285="","",TODAY()-$H2285)</f>
        <v/>
      </c>
      <c r="O2285" s="15" t="n"/>
      <c r="P2285" s="15" t="n"/>
      <c r="Q2285" s="15" t="n"/>
      <c r="R2285" s="25" t="n"/>
      <c r="S2285" s="26">
        <f>IF($A2285="","",AND(OR('Assignment Builder'!$B$5="",$B2285='Assignment Builder'!$B$5),OR('Assignment Builder'!$B$6="",ISNUMBER(SEARCH('Assignment Builder'!$B$6,$C2285))),OR('Assignment Builder'!$B$7="",'Assignment Builder'!$B$7=IFERROR(INDEX('Category Dictionary'!$C$5:$C$135,MATCH($L2285,'Category Dictionary'!$D$5:$D$135,0)),"")),OR('Assignment Builder'!$B$8="",$D2285='Assignment Builder'!$B$8),OR('Assignment Builder'!$B$9="",$F2285='Assignment Builder'!$B$9),OR('Assignment Builder'!$B$10="",$O2285='Assignment Builder'!$B$10),OR('Assignment Builder'!$B$11="",$H2285&gt;='Assignment Builder'!$B$11),OR('Assignment Builder'!$B$12="",N($Q2285)&lt;='Assignment Builder'!$B$12)))</f>
        <v/>
      </c>
      <c r="T2285" s="23" t="n"/>
    </row>
    <row r="2286">
      <c r="A2286" s="23" t="n"/>
      <c r="B2286" s="23" t="n"/>
      <c r="C2286" s="24" t="n"/>
      <c r="D2286" s="15" t="n"/>
      <c r="E2286" s="23" t="n"/>
      <c r="F2286" s="15" t="n"/>
      <c r="G2286" s="23" t="n"/>
      <c r="H2286" s="25" t="n"/>
      <c r="I2286" s="15" t="n"/>
      <c r="J2286" s="26">
        <f>IF($A2286="","",LEN($C2286)-LEN(SUBSTITUTE($C2286,",",""))+1)</f>
        <v/>
      </c>
      <c r="K2286" s="26">
        <f>IF($A2286="","",SUMPRODUCT(--ISNUMBER(SEARCH('Category Dictionary'!$D$5:$D$135&amp;"",$C2286)),--('Category Dictionary'!$D$5:$D$135&lt;&gt;"")))</f>
        <v/>
      </c>
      <c r="L2286" s="27">
        <f>IF($A2286="","",TRIM(IF(ISERROR(FIND(",",$C2286)),$C2286,LEFT($C2286,FIND(",",$C2286)-1))))</f>
        <v/>
      </c>
      <c r="M2286" s="28">
        <f>IF($H2286="","",DATE(YEAR($H2286),MONTH($H2286),1))</f>
        <v/>
      </c>
      <c r="N2286" s="26">
        <f>IF($H2286="","",TODAY()-$H2286)</f>
        <v/>
      </c>
      <c r="O2286" s="15" t="n"/>
      <c r="P2286" s="15" t="n"/>
      <c r="Q2286" s="15" t="n"/>
      <c r="R2286" s="25" t="n"/>
      <c r="S2286" s="26">
        <f>IF($A2286="","",AND(OR('Assignment Builder'!$B$5="",$B2286='Assignment Builder'!$B$5),OR('Assignment Builder'!$B$6="",ISNUMBER(SEARCH('Assignment Builder'!$B$6,$C2286))),OR('Assignment Builder'!$B$7="",'Assignment Builder'!$B$7=IFERROR(INDEX('Category Dictionary'!$C$5:$C$135,MATCH($L2286,'Category Dictionary'!$D$5:$D$135,0)),"")),OR('Assignment Builder'!$B$8="",$D2286='Assignment Builder'!$B$8),OR('Assignment Builder'!$B$9="",$F2286='Assignment Builder'!$B$9),OR('Assignment Builder'!$B$10="",$O2286='Assignment Builder'!$B$10),OR('Assignment Builder'!$B$11="",$H2286&gt;='Assignment Builder'!$B$11),OR('Assignment Builder'!$B$12="",N($Q2286)&lt;='Assignment Builder'!$B$12)))</f>
        <v/>
      </c>
      <c r="T2286" s="23" t="n"/>
    </row>
    <row r="2287">
      <c r="A2287" s="23" t="n"/>
      <c r="B2287" s="23" t="n"/>
      <c r="C2287" s="24" t="n"/>
      <c r="D2287" s="15" t="n"/>
      <c r="E2287" s="23" t="n"/>
      <c r="F2287" s="15" t="n"/>
      <c r="G2287" s="23" t="n"/>
      <c r="H2287" s="25" t="n"/>
      <c r="I2287" s="15" t="n"/>
      <c r="J2287" s="26">
        <f>IF($A2287="","",LEN($C2287)-LEN(SUBSTITUTE($C2287,",",""))+1)</f>
        <v/>
      </c>
      <c r="K2287" s="26">
        <f>IF($A2287="","",SUMPRODUCT(--ISNUMBER(SEARCH('Category Dictionary'!$D$5:$D$135&amp;"",$C2287)),--('Category Dictionary'!$D$5:$D$135&lt;&gt;"")))</f>
        <v/>
      </c>
      <c r="L2287" s="27">
        <f>IF($A2287="","",TRIM(IF(ISERROR(FIND(",",$C2287)),$C2287,LEFT($C2287,FIND(",",$C2287)-1))))</f>
        <v/>
      </c>
      <c r="M2287" s="28">
        <f>IF($H2287="","",DATE(YEAR($H2287),MONTH($H2287),1))</f>
        <v/>
      </c>
      <c r="N2287" s="26">
        <f>IF($H2287="","",TODAY()-$H2287)</f>
        <v/>
      </c>
      <c r="O2287" s="15" t="n"/>
      <c r="P2287" s="15" t="n"/>
      <c r="Q2287" s="15" t="n"/>
      <c r="R2287" s="25" t="n"/>
      <c r="S2287" s="26">
        <f>IF($A2287="","",AND(OR('Assignment Builder'!$B$5="",$B2287='Assignment Builder'!$B$5),OR('Assignment Builder'!$B$6="",ISNUMBER(SEARCH('Assignment Builder'!$B$6,$C2287))),OR('Assignment Builder'!$B$7="",'Assignment Builder'!$B$7=IFERROR(INDEX('Category Dictionary'!$C$5:$C$135,MATCH($L2287,'Category Dictionary'!$D$5:$D$135,0)),"")),OR('Assignment Builder'!$B$8="",$D2287='Assignment Builder'!$B$8),OR('Assignment Builder'!$B$9="",$F2287='Assignment Builder'!$B$9),OR('Assignment Builder'!$B$10="",$O2287='Assignment Builder'!$B$10),OR('Assignment Builder'!$B$11="",$H2287&gt;='Assignment Builder'!$B$11),OR('Assignment Builder'!$B$12="",N($Q2287)&lt;='Assignment Builder'!$B$12)))</f>
        <v/>
      </c>
      <c r="T2287" s="23" t="n"/>
    </row>
    <row r="2288">
      <c r="A2288" s="23" t="n"/>
      <c r="B2288" s="23" t="n"/>
      <c r="C2288" s="24" t="n"/>
      <c r="D2288" s="15" t="n"/>
      <c r="E2288" s="23" t="n"/>
      <c r="F2288" s="15" t="n"/>
      <c r="G2288" s="23" t="n"/>
      <c r="H2288" s="25" t="n"/>
      <c r="I2288" s="15" t="n"/>
      <c r="J2288" s="26">
        <f>IF($A2288="","",LEN($C2288)-LEN(SUBSTITUTE($C2288,",",""))+1)</f>
        <v/>
      </c>
      <c r="K2288" s="26">
        <f>IF($A2288="","",SUMPRODUCT(--ISNUMBER(SEARCH('Category Dictionary'!$D$5:$D$135&amp;"",$C2288)),--('Category Dictionary'!$D$5:$D$135&lt;&gt;"")))</f>
        <v/>
      </c>
      <c r="L2288" s="27">
        <f>IF($A2288="","",TRIM(IF(ISERROR(FIND(",",$C2288)),$C2288,LEFT($C2288,FIND(",",$C2288)-1))))</f>
        <v/>
      </c>
      <c r="M2288" s="28">
        <f>IF($H2288="","",DATE(YEAR($H2288),MONTH($H2288),1))</f>
        <v/>
      </c>
      <c r="N2288" s="26">
        <f>IF($H2288="","",TODAY()-$H2288)</f>
        <v/>
      </c>
      <c r="O2288" s="15" t="n"/>
      <c r="P2288" s="15" t="n"/>
      <c r="Q2288" s="15" t="n"/>
      <c r="R2288" s="25" t="n"/>
      <c r="S2288" s="26">
        <f>IF($A2288="","",AND(OR('Assignment Builder'!$B$5="",$B2288='Assignment Builder'!$B$5),OR('Assignment Builder'!$B$6="",ISNUMBER(SEARCH('Assignment Builder'!$B$6,$C2288))),OR('Assignment Builder'!$B$7="",'Assignment Builder'!$B$7=IFERROR(INDEX('Category Dictionary'!$C$5:$C$135,MATCH($L2288,'Category Dictionary'!$D$5:$D$135,0)),"")),OR('Assignment Builder'!$B$8="",$D2288='Assignment Builder'!$B$8),OR('Assignment Builder'!$B$9="",$F2288='Assignment Builder'!$B$9),OR('Assignment Builder'!$B$10="",$O2288='Assignment Builder'!$B$10),OR('Assignment Builder'!$B$11="",$H2288&gt;='Assignment Builder'!$B$11),OR('Assignment Builder'!$B$12="",N($Q2288)&lt;='Assignment Builder'!$B$12)))</f>
        <v/>
      </c>
      <c r="T2288" s="23" t="n"/>
    </row>
    <row r="2289">
      <c r="A2289" s="23" t="n"/>
      <c r="B2289" s="23" t="n"/>
      <c r="C2289" s="24" t="n"/>
      <c r="D2289" s="15" t="n"/>
      <c r="E2289" s="23" t="n"/>
      <c r="F2289" s="15" t="n"/>
      <c r="G2289" s="23" t="n"/>
      <c r="H2289" s="25" t="n"/>
      <c r="I2289" s="15" t="n"/>
      <c r="J2289" s="26">
        <f>IF($A2289="","",LEN($C2289)-LEN(SUBSTITUTE($C2289,",",""))+1)</f>
        <v/>
      </c>
      <c r="K2289" s="26">
        <f>IF($A2289="","",SUMPRODUCT(--ISNUMBER(SEARCH('Category Dictionary'!$D$5:$D$135&amp;"",$C2289)),--('Category Dictionary'!$D$5:$D$135&lt;&gt;"")))</f>
        <v/>
      </c>
      <c r="L2289" s="27">
        <f>IF($A2289="","",TRIM(IF(ISERROR(FIND(",",$C2289)),$C2289,LEFT($C2289,FIND(",",$C2289)-1))))</f>
        <v/>
      </c>
      <c r="M2289" s="28">
        <f>IF($H2289="","",DATE(YEAR($H2289),MONTH($H2289),1))</f>
        <v/>
      </c>
      <c r="N2289" s="26">
        <f>IF($H2289="","",TODAY()-$H2289)</f>
        <v/>
      </c>
      <c r="O2289" s="15" t="n"/>
      <c r="P2289" s="15" t="n"/>
      <c r="Q2289" s="15" t="n"/>
      <c r="R2289" s="25" t="n"/>
      <c r="S2289" s="26">
        <f>IF($A2289="","",AND(OR('Assignment Builder'!$B$5="",$B2289='Assignment Builder'!$B$5),OR('Assignment Builder'!$B$6="",ISNUMBER(SEARCH('Assignment Builder'!$B$6,$C2289))),OR('Assignment Builder'!$B$7="",'Assignment Builder'!$B$7=IFERROR(INDEX('Category Dictionary'!$C$5:$C$135,MATCH($L2289,'Category Dictionary'!$D$5:$D$135,0)),"")),OR('Assignment Builder'!$B$8="",$D2289='Assignment Builder'!$B$8),OR('Assignment Builder'!$B$9="",$F2289='Assignment Builder'!$B$9),OR('Assignment Builder'!$B$10="",$O2289='Assignment Builder'!$B$10),OR('Assignment Builder'!$B$11="",$H2289&gt;='Assignment Builder'!$B$11),OR('Assignment Builder'!$B$12="",N($Q2289)&lt;='Assignment Builder'!$B$12)))</f>
        <v/>
      </c>
      <c r="T2289" s="23" t="n"/>
    </row>
    <row r="2290">
      <c r="A2290" s="23" t="n"/>
      <c r="B2290" s="23" t="n"/>
      <c r="C2290" s="24" t="n"/>
      <c r="D2290" s="15" t="n"/>
      <c r="E2290" s="23" t="n"/>
      <c r="F2290" s="15" t="n"/>
      <c r="G2290" s="23" t="n"/>
      <c r="H2290" s="25" t="n"/>
      <c r="I2290" s="15" t="n"/>
      <c r="J2290" s="26">
        <f>IF($A2290="","",LEN($C2290)-LEN(SUBSTITUTE($C2290,",",""))+1)</f>
        <v/>
      </c>
      <c r="K2290" s="26">
        <f>IF($A2290="","",SUMPRODUCT(--ISNUMBER(SEARCH('Category Dictionary'!$D$5:$D$135&amp;"",$C2290)),--('Category Dictionary'!$D$5:$D$135&lt;&gt;"")))</f>
        <v/>
      </c>
      <c r="L2290" s="27">
        <f>IF($A2290="","",TRIM(IF(ISERROR(FIND(",",$C2290)),$C2290,LEFT($C2290,FIND(",",$C2290)-1))))</f>
        <v/>
      </c>
      <c r="M2290" s="28">
        <f>IF($H2290="","",DATE(YEAR($H2290),MONTH($H2290),1))</f>
        <v/>
      </c>
      <c r="N2290" s="26">
        <f>IF($H2290="","",TODAY()-$H2290)</f>
        <v/>
      </c>
      <c r="O2290" s="15" t="n"/>
      <c r="P2290" s="15" t="n"/>
      <c r="Q2290" s="15" t="n"/>
      <c r="R2290" s="25" t="n"/>
      <c r="S2290" s="26">
        <f>IF($A2290="","",AND(OR('Assignment Builder'!$B$5="",$B2290='Assignment Builder'!$B$5),OR('Assignment Builder'!$B$6="",ISNUMBER(SEARCH('Assignment Builder'!$B$6,$C2290))),OR('Assignment Builder'!$B$7="",'Assignment Builder'!$B$7=IFERROR(INDEX('Category Dictionary'!$C$5:$C$135,MATCH($L2290,'Category Dictionary'!$D$5:$D$135,0)),"")),OR('Assignment Builder'!$B$8="",$D2290='Assignment Builder'!$B$8),OR('Assignment Builder'!$B$9="",$F2290='Assignment Builder'!$B$9),OR('Assignment Builder'!$B$10="",$O2290='Assignment Builder'!$B$10),OR('Assignment Builder'!$B$11="",$H2290&gt;='Assignment Builder'!$B$11),OR('Assignment Builder'!$B$12="",N($Q2290)&lt;='Assignment Builder'!$B$12)))</f>
        <v/>
      </c>
      <c r="T2290" s="23" t="n"/>
    </row>
    <row r="2291">
      <c r="A2291" s="23" t="n"/>
      <c r="B2291" s="23" t="n"/>
      <c r="C2291" s="24" t="n"/>
      <c r="D2291" s="15" t="n"/>
      <c r="E2291" s="23" t="n"/>
      <c r="F2291" s="15" t="n"/>
      <c r="G2291" s="23" t="n"/>
      <c r="H2291" s="25" t="n"/>
      <c r="I2291" s="15" t="n"/>
      <c r="J2291" s="26">
        <f>IF($A2291="","",LEN($C2291)-LEN(SUBSTITUTE($C2291,",",""))+1)</f>
        <v/>
      </c>
      <c r="K2291" s="26">
        <f>IF($A2291="","",SUMPRODUCT(--ISNUMBER(SEARCH('Category Dictionary'!$D$5:$D$135&amp;"",$C2291)),--('Category Dictionary'!$D$5:$D$135&lt;&gt;"")))</f>
        <v/>
      </c>
      <c r="L2291" s="27">
        <f>IF($A2291="","",TRIM(IF(ISERROR(FIND(",",$C2291)),$C2291,LEFT($C2291,FIND(",",$C2291)-1))))</f>
        <v/>
      </c>
      <c r="M2291" s="28">
        <f>IF($H2291="","",DATE(YEAR($H2291),MONTH($H2291),1))</f>
        <v/>
      </c>
      <c r="N2291" s="26">
        <f>IF($H2291="","",TODAY()-$H2291)</f>
        <v/>
      </c>
      <c r="O2291" s="15" t="n"/>
      <c r="P2291" s="15" t="n"/>
      <c r="Q2291" s="15" t="n"/>
      <c r="R2291" s="25" t="n"/>
      <c r="S2291" s="26">
        <f>IF($A2291="","",AND(OR('Assignment Builder'!$B$5="",$B2291='Assignment Builder'!$B$5),OR('Assignment Builder'!$B$6="",ISNUMBER(SEARCH('Assignment Builder'!$B$6,$C2291))),OR('Assignment Builder'!$B$7="",'Assignment Builder'!$B$7=IFERROR(INDEX('Category Dictionary'!$C$5:$C$135,MATCH($L2291,'Category Dictionary'!$D$5:$D$135,0)),"")),OR('Assignment Builder'!$B$8="",$D2291='Assignment Builder'!$B$8),OR('Assignment Builder'!$B$9="",$F2291='Assignment Builder'!$B$9),OR('Assignment Builder'!$B$10="",$O2291='Assignment Builder'!$B$10),OR('Assignment Builder'!$B$11="",$H2291&gt;='Assignment Builder'!$B$11),OR('Assignment Builder'!$B$12="",N($Q2291)&lt;='Assignment Builder'!$B$12)))</f>
        <v/>
      </c>
      <c r="T2291" s="23" t="n"/>
    </row>
    <row r="2292">
      <c r="A2292" s="23" t="n"/>
      <c r="B2292" s="23" t="n"/>
      <c r="C2292" s="24" t="n"/>
      <c r="D2292" s="15" t="n"/>
      <c r="E2292" s="23" t="n"/>
      <c r="F2292" s="15" t="n"/>
      <c r="G2292" s="23" t="n"/>
      <c r="H2292" s="25" t="n"/>
      <c r="I2292" s="15" t="n"/>
      <c r="J2292" s="26">
        <f>IF($A2292="","",LEN($C2292)-LEN(SUBSTITUTE($C2292,",",""))+1)</f>
        <v/>
      </c>
      <c r="K2292" s="26">
        <f>IF($A2292="","",SUMPRODUCT(--ISNUMBER(SEARCH('Category Dictionary'!$D$5:$D$135&amp;"",$C2292)),--('Category Dictionary'!$D$5:$D$135&lt;&gt;"")))</f>
        <v/>
      </c>
      <c r="L2292" s="27">
        <f>IF($A2292="","",TRIM(IF(ISERROR(FIND(",",$C2292)),$C2292,LEFT($C2292,FIND(",",$C2292)-1))))</f>
        <v/>
      </c>
      <c r="M2292" s="28">
        <f>IF($H2292="","",DATE(YEAR($H2292),MONTH($H2292),1))</f>
        <v/>
      </c>
      <c r="N2292" s="26">
        <f>IF($H2292="","",TODAY()-$H2292)</f>
        <v/>
      </c>
      <c r="O2292" s="15" t="n"/>
      <c r="P2292" s="15" t="n"/>
      <c r="Q2292" s="15" t="n"/>
      <c r="R2292" s="25" t="n"/>
      <c r="S2292" s="26">
        <f>IF($A2292="","",AND(OR('Assignment Builder'!$B$5="",$B2292='Assignment Builder'!$B$5),OR('Assignment Builder'!$B$6="",ISNUMBER(SEARCH('Assignment Builder'!$B$6,$C2292))),OR('Assignment Builder'!$B$7="",'Assignment Builder'!$B$7=IFERROR(INDEX('Category Dictionary'!$C$5:$C$135,MATCH($L2292,'Category Dictionary'!$D$5:$D$135,0)),"")),OR('Assignment Builder'!$B$8="",$D2292='Assignment Builder'!$B$8),OR('Assignment Builder'!$B$9="",$F2292='Assignment Builder'!$B$9),OR('Assignment Builder'!$B$10="",$O2292='Assignment Builder'!$B$10),OR('Assignment Builder'!$B$11="",$H2292&gt;='Assignment Builder'!$B$11),OR('Assignment Builder'!$B$12="",N($Q2292)&lt;='Assignment Builder'!$B$12)))</f>
        <v/>
      </c>
      <c r="T2292" s="23" t="n"/>
    </row>
    <row r="2293">
      <c r="A2293" s="23" t="n"/>
      <c r="B2293" s="23" t="n"/>
      <c r="C2293" s="24" t="n"/>
      <c r="D2293" s="15" t="n"/>
      <c r="E2293" s="23" t="n"/>
      <c r="F2293" s="15" t="n"/>
      <c r="G2293" s="23" t="n"/>
      <c r="H2293" s="25" t="n"/>
      <c r="I2293" s="15" t="n"/>
      <c r="J2293" s="26">
        <f>IF($A2293="","",LEN($C2293)-LEN(SUBSTITUTE($C2293,",",""))+1)</f>
        <v/>
      </c>
      <c r="K2293" s="26">
        <f>IF($A2293="","",SUMPRODUCT(--ISNUMBER(SEARCH('Category Dictionary'!$D$5:$D$135&amp;"",$C2293)),--('Category Dictionary'!$D$5:$D$135&lt;&gt;"")))</f>
        <v/>
      </c>
      <c r="L2293" s="27">
        <f>IF($A2293="","",TRIM(IF(ISERROR(FIND(",",$C2293)),$C2293,LEFT($C2293,FIND(",",$C2293)-1))))</f>
        <v/>
      </c>
      <c r="M2293" s="28">
        <f>IF($H2293="","",DATE(YEAR($H2293),MONTH($H2293),1))</f>
        <v/>
      </c>
      <c r="N2293" s="26">
        <f>IF($H2293="","",TODAY()-$H2293)</f>
        <v/>
      </c>
      <c r="O2293" s="15" t="n"/>
      <c r="P2293" s="15" t="n"/>
      <c r="Q2293" s="15" t="n"/>
      <c r="R2293" s="25" t="n"/>
      <c r="S2293" s="26">
        <f>IF($A2293="","",AND(OR('Assignment Builder'!$B$5="",$B2293='Assignment Builder'!$B$5),OR('Assignment Builder'!$B$6="",ISNUMBER(SEARCH('Assignment Builder'!$B$6,$C2293))),OR('Assignment Builder'!$B$7="",'Assignment Builder'!$B$7=IFERROR(INDEX('Category Dictionary'!$C$5:$C$135,MATCH($L2293,'Category Dictionary'!$D$5:$D$135,0)),"")),OR('Assignment Builder'!$B$8="",$D2293='Assignment Builder'!$B$8),OR('Assignment Builder'!$B$9="",$F2293='Assignment Builder'!$B$9),OR('Assignment Builder'!$B$10="",$O2293='Assignment Builder'!$B$10),OR('Assignment Builder'!$B$11="",$H2293&gt;='Assignment Builder'!$B$11),OR('Assignment Builder'!$B$12="",N($Q2293)&lt;='Assignment Builder'!$B$12)))</f>
        <v/>
      </c>
      <c r="T2293" s="23" t="n"/>
    </row>
    <row r="2294">
      <c r="A2294" s="23" t="n"/>
      <c r="B2294" s="23" t="n"/>
      <c r="C2294" s="24" t="n"/>
      <c r="D2294" s="15" t="n"/>
      <c r="E2294" s="23" t="n"/>
      <c r="F2294" s="15" t="n"/>
      <c r="G2294" s="23" t="n"/>
      <c r="H2294" s="25" t="n"/>
      <c r="I2294" s="15" t="n"/>
      <c r="J2294" s="26">
        <f>IF($A2294="","",LEN($C2294)-LEN(SUBSTITUTE($C2294,",",""))+1)</f>
        <v/>
      </c>
      <c r="K2294" s="26">
        <f>IF($A2294="","",SUMPRODUCT(--ISNUMBER(SEARCH('Category Dictionary'!$D$5:$D$135&amp;"",$C2294)),--('Category Dictionary'!$D$5:$D$135&lt;&gt;"")))</f>
        <v/>
      </c>
      <c r="L2294" s="27">
        <f>IF($A2294="","",TRIM(IF(ISERROR(FIND(",",$C2294)),$C2294,LEFT($C2294,FIND(",",$C2294)-1))))</f>
        <v/>
      </c>
      <c r="M2294" s="28">
        <f>IF($H2294="","",DATE(YEAR($H2294),MONTH($H2294),1))</f>
        <v/>
      </c>
      <c r="N2294" s="26">
        <f>IF($H2294="","",TODAY()-$H2294)</f>
        <v/>
      </c>
      <c r="O2294" s="15" t="n"/>
      <c r="P2294" s="15" t="n"/>
      <c r="Q2294" s="15" t="n"/>
      <c r="R2294" s="25" t="n"/>
      <c r="S2294" s="26">
        <f>IF($A2294="","",AND(OR('Assignment Builder'!$B$5="",$B2294='Assignment Builder'!$B$5),OR('Assignment Builder'!$B$6="",ISNUMBER(SEARCH('Assignment Builder'!$B$6,$C2294))),OR('Assignment Builder'!$B$7="",'Assignment Builder'!$B$7=IFERROR(INDEX('Category Dictionary'!$C$5:$C$135,MATCH($L2294,'Category Dictionary'!$D$5:$D$135,0)),"")),OR('Assignment Builder'!$B$8="",$D2294='Assignment Builder'!$B$8),OR('Assignment Builder'!$B$9="",$F2294='Assignment Builder'!$B$9),OR('Assignment Builder'!$B$10="",$O2294='Assignment Builder'!$B$10),OR('Assignment Builder'!$B$11="",$H2294&gt;='Assignment Builder'!$B$11),OR('Assignment Builder'!$B$12="",N($Q2294)&lt;='Assignment Builder'!$B$12)))</f>
        <v/>
      </c>
      <c r="T2294" s="23" t="n"/>
    </row>
    <row r="2295">
      <c r="A2295" s="23" t="n"/>
      <c r="B2295" s="23" t="n"/>
      <c r="C2295" s="24" t="n"/>
      <c r="D2295" s="15" t="n"/>
      <c r="E2295" s="23" t="n"/>
      <c r="F2295" s="15" t="n"/>
      <c r="G2295" s="23" t="n"/>
      <c r="H2295" s="25" t="n"/>
      <c r="I2295" s="15" t="n"/>
      <c r="J2295" s="26">
        <f>IF($A2295="","",LEN($C2295)-LEN(SUBSTITUTE($C2295,",",""))+1)</f>
        <v/>
      </c>
      <c r="K2295" s="26">
        <f>IF($A2295="","",SUMPRODUCT(--ISNUMBER(SEARCH('Category Dictionary'!$D$5:$D$135&amp;"",$C2295)),--('Category Dictionary'!$D$5:$D$135&lt;&gt;"")))</f>
        <v/>
      </c>
      <c r="L2295" s="27">
        <f>IF($A2295="","",TRIM(IF(ISERROR(FIND(",",$C2295)),$C2295,LEFT($C2295,FIND(",",$C2295)-1))))</f>
        <v/>
      </c>
      <c r="M2295" s="28">
        <f>IF($H2295="","",DATE(YEAR($H2295),MONTH($H2295),1))</f>
        <v/>
      </c>
      <c r="N2295" s="26">
        <f>IF($H2295="","",TODAY()-$H2295)</f>
        <v/>
      </c>
      <c r="O2295" s="15" t="n"/>
      <c r="P2295" s="15" t="n"/>
      <c r="Q2295" s="15" t="n"/>
      <c r="R2295" s="25" t="n"/>
      <c r="S2295" s="26">
        <f>IF($A2295="","",AND(OR('Assignment Builder'!$B$5="",$B2295='Assignment Builder'!$B$5),OR('Assignment Builder'!$B$6="",ISNUMBER(SEARCH('Assignment Builder'!$B$6,$C2295))),OR('Assignment Builder'!$B$7="",'Assignment Builder'!$B$7=IFERROR(INDEX('Category Dictionary'!$C$5:$C$135,MATCH($L2295,'Category Dictionary'!$D$5:$D$135,0)),"")),OR('Assignment Builder'!$B$8="",$D2295='Assignment Builder'!$B$8),OR('Assignment Builder'!$B$9="",$F2295='Assignment Builder'!$B$9),OR('Assignment Builder'!$B$10="",$O2295='Assignment Builder'!$B$10),OR('Assignment Builder'!$B$11="",$H2295&gt;='Assignment Builder'!$B$11),OR('Assignment Builder'!$B$12="",N($Q2295)&lt;='Assignment Builder'!$B$12)))</f>
        <v/>
      </c>
      <c r="T2295" s="23" t="n"/>
    </row>
    <row r="2296">
      <c r="A2296" s="23" t="n"/>
      <c r="B2296" s="23" t="n"/>
      <c r="C2296" s="24" t="n"/>
      <c r="D2296" s="15" t="n"/>
      <c r="E2296" s="23" t="n"/>
      <c r="F2296" s="15" t="n"/>
      <c r="G2296" s="23" t="n"/>
      <c r="H2296" s="25" t="n"/>
      <c r="I2296" s="15" t="n"/>
      <c r="J2296" s="26">
        <f>IF($A2296="","",LEN($C2296)-LEN(SUBSTITUTE($C2296,",",""))+1)</f>
        <v/>
      </c>
      <c r="K2296" s="26">
        <f>IF($A2296="","",SUMPRODUCT(--ISNUMBER(SEARCH('Category Dictionary'!$D$5:$D$135&amp;"",$C2296)),--('Category Dictionary'!$D$5:$D$135&lt;&gt;"")))</f>
        <v/>
      </c>
      <c r="L2296" s="27">
        <f>IF($A2296="","",TRIM(IF(ISERROR(FIND(",",$C2296)),$C2296,LEFT($C2296,FIND(",",$C2296)-1))))</f>
        <v/>
      </c>
      <c r="M2296" s="28">
        <f>IF($H2296="","",DATE(YEAR($H2296),MONTH($H2296),1))</f>
        <v/>
      </c>
      <c r="N2296" s="26">
        <f>IF($H2296="","",TODAY()-$H2296)</f>
        <v/>
      </c>
      <c r="O2296" s="15" t="n"/>
      <c r="P2296" s="15" t="n"/>
      <c r="Q2296" s="15" t="n"/>
      <c r="R2296" s="25" t="n"/>
      <c r="S2296" s="26">
        <f>IF($A2296="","",AND(OR('Assignment Builder'!$B$5="",$B2296='Assignment Builder'!$B$5),OR('Assignment Builder'!$B$6="",ISNUMBER(SEARCH('Assignment Builder'!$B$6,$C2296))),OR('Assignment Builder'!$B$7="",'Assignment Builder'!$B$7=IFERROR(INDEX('Category Dictionary'!$C$5:$C$135,MATCH($L2296,'Category Dictionary'!$D$5:$D$135,0)),"")),OR('Assignment Builder'!$B$8="",$D2296='Assignment Builder'!$B$8),OR('Assignment Builder'!$B$9="",$F2296='Assignment Builder'!$B$9),OR('Assignment Builder'!$B$10="",$O2296='Assignment Builder'!$B$10),OR('Assignment Builder'!$B$11="",$H2296&gt;='Assignment Builder'!$B$11),OR('Assignment Builder'!$B$12="",N($Q2296)&lt;='Assignment Builder'!$B$12)))</f>
        <v/>
      </c>
      <c r="T2296" s="23" t="n"/>
    </row>
    <row r="2297">
      <c r="A2297" s="23" t="n"/>
      <c r="B2297" s="23" t="n"/>
      <c r="C2297" s="24" t="n"/>
      <c r="D2297" s="15" t="n"/>
      <c r="E2297" s="23" t="n"/>
      <c r="F2297" s="15" t="n"/>
      <c r="G2297" s="23" t="n"/>
      <c r="H2297" s="25" t="n"/>
      <c r="I2297" s="15" t="n"/>
      <c r="J2297" s="26">
        <f>IF($A2297="","",LEN($C2297)-LEN(SUBSTITUTE($C2297,",",""))+1)</f>
        <v/>
      </c>
      <c r="K2297" s="26">
        <f>IF($A2297="","",SUMPRODUCT(--ISNUMBER(SEARCH('Category Dictionary'!$D$5:$D$135&amp;"",$C2297)),--('Category Dictionary'!$D$5:$D$135&lt;&gt;"")))</f>
        <v/>
      </c>
      <c r="L2297" s="27">
        <f>IF($A2297="","",TRIM(IF(ISERROR(FIND(",",$C2297)),$C2297,LEFT($C2297,FIND(",",$C2297)-1))))</f>
        <v/>
      </c>
      <c r="M2297" s="28">
        <f>IF($H2297="","",DATE(YEAR($H2297),MONTH($H2297),1))</f>
        <v/>
      </c>
      <c r="N2297" s="26">
        <f>IF($H2297="","",TODAY()-$H2297)</f>
        <v/>
      </c>
      <c r="O2297" s="15" t="n"/>
      <c r="P2297" s="15" t="n"/>
      <c r="Q2297" s="15" t="n"/>
      <c r="R2297" s="25" t="n"/>
      <c r="S2297" s="26">
        <f>IF($A2297="","",AND(OR('Assignment Builder'!$B$5="",$B2297='Assignment Builder'!$B$5),OR('Assignment Builder'!$B$6="",ISNUMBER(SEARCH('Assignment Builder'!$B$6,$C2297))),OR('Assignment Builder'!$B$7="",'Assignment Builder'!$B$7=IFERROR(INDEX('Category Dictionary'!$C$5:$C$135,MATCH($L2297,'Category Dictionary'!$D$5:$D$135,0)),"")),OR('Assignment Builder'!$B$8="",$D2297='Assignment Builder'!$B$8),OR('Assignment Builder'!$B$9="",$F2297='Assignment Builder'!$B$9),OR('Assignment Builder'!$B$10="",$O2297='Assignment Builder'!$B$10),OR('Assignment Builder'!$B$11="",$H2297&gt;='Assignment Builder'!$B$11),OR('Assignment Builder'!$B$12="",N($Q2297)&lt;='Assignment Builder'!$B$12)))</f>
        <v/>
      </c>
      <c r="T2297" s="23" t="n"/>
    </row>
    <row r="2298">
      <c r="A2298" s="23" t="n"/>
      <c r="B2298" s="23" t="n"/>
      <c r="C2298" s="24" t="n"/>
      <c r="D2298" s="15" t="n"/>
      <c r="E2298" s="23" t="n"/>
      <c r="F2298" s="15" t="n"/>
      <c r="G2298" s="23" t="n"/>
      <c r="H2298" s="25" t="n"/>
      <c r="I2298" s="15" t="n"/>
      <c r="J2298" s="26">
        <f>IF($A2298="","",LEN($C2298)-LEN(SUBSTITUTE($C2298,",",""))+1)</f>
        <v/>
      </c>
      <c r="K2298" s="26">
        <f>IF($A2298="","",SUMPRODUCT(--ISNUMBER(SEARCH('Category Dictionary'!$D$5:$D$135&amp;"",$C2298)),--('Category Dictionary'!$D$5:$D$135&lt;&gt;"")))</f>
        <v/>
      </c>
      <c r="L2298" s="27">
        <f>IF($A2298="","",TRIM(IF(ISERROR(FIND(",",$C2298)),$C2298,LEFT($C2298,FIND(",",$C2298)-1))))</f>
        <v/>
      </c>
      <c r="M2298" s="28">
        <f>IF($H2298="","",DATE(YEAR($H2298),MONTH($H2298),1))</f>
        <v/>
      </c>
      <c r="N2298" s="26">
        <f>IF($H2298="","",TODAY()-$H2298)</f>
        <v/>
      </c>
      <c r="O2298" s="15" t="n"/>
      <c r="P2298" s="15" t="n"/>
      <c r="Q2298" s="15" t="n"/>
      <c r="R2298" s="25" t="n"/>
      <c r="S2298" s="26">
        <f>IF($A2298="","",AND(OR('Assignment Builder'!$B$5="",$B2298='Assignment Builder'!$B$5),OR('Assignment Builder'!$B$6="",ISNUMBER(SEARCH('Assignment Builder'!$B$6,$C2298))),OR('Assignment Builder'!$B$7="",'Assignment Builder'!$B$7=IFERROR(INDEX('Category Dictionary'!$C$5:$C$135,MATCH($L2298,'Category Dictionary'!$D$5:$D$135,0)),"")),OR('Assignment Builder'!$B$8="",$D2298='Assignment Builder'!$B$8),OR('Assignment Builder'!$B$9="",$F2298='Assignment Builder'!$B$9),OR('Assignment Builder'!$B$10="",$O2298='Assignment Builder'!$B$10),OR('Assignment Builder'!$B$11="",$H2298&gt;='Assignment Builder'!$B$11),OR('Assignment Builder'!$B$12="",N($Q2298)&lt;='Assignment Builder'!$B$12)))</f>
        <v/>
      </c>
      <c r="T2298" s="23" t="n"/>
    </row>
    <row r="2299">
      <c r="A2299" s="23" t="n"/>
      <c r="B2299" s="23" t="n"/>
      <c r="C2299" s="24" t="n"/>
      <c r="D2299" s="15" t="n"/>
      <c r="E2299" s="23" t="n"/>
      <c r="F2299" s="15" t="n"/>
      <c r="G2299" s="23" t="n"/>
      <c r="H2299" s="25" t="n"/>
      <c r="I2299" s="15" t="n"/>
      <c r="J2299" s="26">
        <f>IF($A2299="","",LEN($C2299)-LEN(SUBSTITUTE($C2299,",",""))+1)</f>
        <v/>
      </c>
      <c r="K2299" s="26">
        <f>IF($A2299="","",SUMPRODUCT(--ISNUMBER(SEARCH('Category Dictionary'!$D$5:$D$135&amp;"",$C2299)),--('Category Dictionary'!$D$5:$D$135&lt;&gt;"")))</f>
        <v/>
      </c>
      <c r="L2299" s="27">
        <f>IF($A2299="","",TRIM(IF(ISERROR(FIND(",",$C2299)),$C2299,LEFT($C2299,FIND(",",$C2299)-1))))</f>
        <v/>
      </c>
      <c r="M2299" s="28">
        <f>IF($H2299="","",DATE(YEAR($H2299),MONTH($H2299),1))</f>
        <v/>
      </c>
      <c r="N2299" s="26">
        <f>IF($H2299="","",TODAY()-$H2299)</f>
        <v/>
      </c>
      <c r="O2299" s="15" t="n"/>
      <c r="P2299" s="15" t="n"/>
      <c r="Q2299" s="15" t="n"/>
      <c r="R2299" s="25" t="n"/>
      <c r="S2299" s="26">
        <f>IF($A2299="","",AND(OR('Assignment Builder'!$B$5="",$B2299='Assignment Builder'!$B$5),OR('Assignment Builder'!$B$6="",ISNUMBER(SEARCH('Assignment Builder'!$B$6,$C2299))),OR('Assignment Builder'!$B$7="",'Assignment Builder'!$B$7=IFERROR(INDEX('Category Dictionary'!$C$5:$C$135,MATCH($L2299,'Category Dictionary'!$D$5:$D$135,0)),"")),OR('Assignment Builder'!$B$8="",$D2299='Assignment Builder'!$B$8),OR('Assignment Builder'!$B$9="",$F2299='Assignment Builder'!$B$9),OR('Assignment Builder'!$B$10="",$O2299='Assignment Builder'!$B$10),OR('Assignment Builder'!$B$11="",$H2299&gt;='Assignment Builder'!$B$11),OR('Assignment Builder'!$B$12="",N($Q2299)&lt;='Assignment Builder'!$B$12)))</f>
        <v/>
      </c>
      <c r="T2299" s="23" t="n"/>
    </row>
    <row r="2300">
      <c r="A2300" s="23" t="n"/>
      <c r="B2300" s="23" t="n"/>
      <c r="C2300" s="24" t="n"/>
      <c r="D2300" s="15" t="n"/>
      <c r="E2300" s="23" t="n"/>
      <c r="F2300" s="15" t="n"/>
      <c r="G2300" s="23" t="n"/>
      <c r="H2300" s="25" t="n"/>
      <c r="I2300" s="15" t="n"/>
      <c r="J2300" s="26">
        <f>IF($A2300="","",LEN($C2300)-LEN(SUBSTITUTE($C2300,",",""))+1)</f>
        <v/>
      </c>
      <c r="K2300" s="26">
        <f>IF($A2300="","",SUMPRODUCT(--ISNUMBER(SEARCH('Category Dictionary'!$D$5:$D$135&amp;"",$C2300)),--('Category Dictionary'!$D$5:$D$135&lt;&gt;"")))</f>
        <v/>
      </c>
      <c r="L2300" s="27">
        <f>IF($A2300="","",TRIM(IF(ISERROR(FIND(",",$C2300)),$C2300,LEFT($C2300,FIND(",",$C2300)-1))))</f>
        <v/>
      </c>
      <c r="M2300" s="28">
        <f>IF($H2300="","",DATE(YEAR($H2300),MONTH($H2300),1))</f>
        <v/>
      </c>
      <c r="N2300" s="26">
        <f>IF($H2300="","",TODAY()-$H2300)</f>
        <v/>
      </c>
      <c r="O2300" s="15" t="n"/>
      <c r="P2300" s="15" t="n"/>
      <c r="Q2300" s="15" t="n"/>
      <c r="R2300" s="25" t="n"/>
      <c r="S2300" s="26">
        <f>IF($A2300="","",AND(OR('Assignment Builder'!$B$5="",$B2300='Assignment Builder'!$B$5),OR('Assignment Builder'!$B$6="",ISNUMBER(SEARCH('Assignment Builder'!$B$6,$C2300))),OR('Assignment Builder'!$B$7="",'Assignment Builder'!$B$7=IFERROR(INDEX('Category Dictionary'!$C$5:$C$135,MATCH($L2300,'Category Dictionary'!$D$5:$D$135,0)),"")),OR('Assignment Builder'!$B$8="",$D2300='Assignment Builder'!$B$8),OR('Assignment Builder'!$B$9="",$F2300='Assignment Builder'!$B$9),OR('Assignment Builder'!$B$10="",$O2300='Assignment Builder'!$B$10),OR('Assignment Builder'!$B$11="",$H2300&gt;='Assignment Builder'!$B$11),OR('Assignment Builder'!$B$12="",N($Q2300)&lt;='Assignment Builder'!$B$12)))</f>
        <v/>
      </c>
      <c r="T2300" s="23" t="n"/>
    </row>
    <row r="2301">
      <c r="A2301" s="23" t="n"/>
      <c r="B2301" s="23" t="n"/>
      <c r="C2301" s="24" t="n"/>
      <c r="D2301" s="15" t="n"/>
      <c r="E2301" s="23" t="n"/>
      <c r="F2301" s="15" t="n"/>
      <c r="G2301" s="23" t="n"/>
      <c r="H2301" s="25" t="n"/>
      <c r="I2301" s="15" t="n"/>
      <c r="J2301" s="26">
        <f>IF($A2301="","",LEN($C2301)-LEN(SUBSTITUTE($C2301,",",""))+1)</f>
        <v/>
      </c>
      <c r="K2301" s="26">
        <f>IF($A2301="","",SUMPRODUCT(--ISNUMBER(SEARCH('Category Dictionary'!$D$5:$D$135&amp;"",$C2301)),--('Category Dictionary'!$D$5:$D$135&lt;&gt;"")))</f>
        <v/>
      </c>
      <c r="L2301" s="27">
        <f>IF($A2301="","",TRIM(IF(ISERROR(FIND(",",$C2301)),$C2301,LEFT($C2301,FIND(",",$C2301)-1))))</f>
        <v/>
      </c>
      <c r="M2301" s="28">
        <f>IF($H2301="","",DATE(YEAR($H2301),MONTH($H2301),1))</f>
        <v/>
      </c>
      <c r="N2301" s="26">
        <f>IF($H2301="","",TODAY()-$H2301)</f>
        <v/>
      </c>
      <c r="O2301" s="15" t="n"/>
      <c r="P2301" s="15" t="n"/>
      <c r="Q2301" s="15" t="n"/>
      <c r="R2301" s="25" t="n"/>
      <c r="S2301" s="26">
        <f>IF($A2301="","",AND(OR('Assignment Builder'!$B$5="",$B2301='Assignment Builder'!$B$5),OR('Assignment Builder'!$B$6="",ISNUMBER(SEARCH('Assignment Builder'!$B$6,$C2301))),OR('Assignment Builder'!$B$7="",'Assignment Builder'!$B$7=IFERROR(INDEX('Category Dictionary'!$C$5:$C$135,MATCH($L2301,'Category Dictionary'!$D$5:$D$135,0)),"")),OR('Assignment Builder'!$B$8="",$D2301='Assignment Builder'!$B$8),OR('Assignment Builder'!$B$9="",$F2301='Assignment Builder'!$B$9),OR('Assignment Builder'!$B$10="",$O2301='Assignment Builder'!$B$10),OR('Assignment Builder'!$B$11="",$H2301&gt;='Assignment Builder'!$B$11),OR('Assignment Builder'!$B$12="",N($Q2301)&lt;='Assignment Builder'!$B$12)))</f>
        <v/>
      </c>
      <c r="T2301" s="23" t="n"/>
    </row>
    <row r="2302">
      <c r="A2302" s="23" t="n"/>
      <c r="B2302" s="23" t="n"/>
      <c r="C2302" s="24" t="n"/>
      <c r="D2302" s="15" t="n"/>
      <c r="E2302" s="23" t="n"/>
      <c r="F2302" s="15" t="n"/>
      <c r="G2302" s="23" t="n"/>
      <c r="H2302" s="25" t="n"/>
      <c r="I2302" s="15" t="n"/>
      <c r="J2302" s="26">
        <f>IF($A2302="","",LEN($C2302)-LEN(SUBSTITUTE($C2302,",",""))+1)</f>
        <v/>
      </c>
      <c r="K2302" s="26">
        <f>IF($A2302="","",SUMPRODUCT(--ISNUMBER(SEARCH('Category Dictionary'!$D$5:$D$135&amp;"",$C2302)),--('Category Dictionary'!$D$5:$D$135&lt;&gt;"")))</f>
        <v/>
      </c>
      <c r="L2302" s="27">
        <f>IF($A2302="","",TRIM(IF(ISERROR(FIND(",",$C2302)),$C2302,LEFT($C2302,FIND(",",$C2302)-1))))</f>
        <v/>
      </c>
      <c r="M2302" s="28">
        <f>IF($H2302="","",DATE(YEAR($H2302),MONTH($H2302),1))</f>
        <v/>
      </c>
      <c r="N2302" s="26">
        <f>IF($H2302="","",TODAY()-$H2302)</f>
        <v/>
      </c>
      <c r="O2302" s="15" t="n"/>
      <c r="P2302" s="15" t="n"/>
      <c r="Q2302" s="15" t="n"/>
      <c r="R2302" s="25" t="n"/>
      <c r="S2302" s="26">
        <f>IF($A2302="","",AND(OR('Assignment Builder'!$B$5="",$B2302='Assignment Builder'!$B$5),OR('Assignment Builder'!$B$6="",ISNUMBER(SEARCH('Assignment Builder'!$B$6,$C2302))),OR('Assignment Builder'!$B$7="",'Assignment Builder'!$B$7=IFERROR(INDEX('Category Dictionary'!$C$5:$C$135,MATCH($L2302,'Category Dictionary'!$D$5:$D$135,0)),"")),OR('Assignment Builder'!$B$8="",$D2302='Assignment Builder'!$B$8),OR('Assignment Builder'!$B$9="",$F2302='Assignment Builder'!$B$9),OR('Assignment Builder'!$B$10="",$O2302='Assignment Builder'!$B$10),OR('Assignment Builder'!$B$11="",$H2302&gt;='Assignment Builder'!$B$11),OR('Assignment Builder'!$B$12="",N($Q2302)&lt;='Assignment Builder'!$B$12)))</f>
        <v/>
      </c>
      <c r="T2302" s="23" t="n"/>
    </row>
    <row r="2303">
      <c r="A2303" s="23" t="n"/>
      <c r="B2303" s="23" t="n"/>
      <c r="C2303" s="24" t="n"/>
      <c r="D2303" s="15" t="n"/>
      <c r="E2303" s="23" t="n"/>
      <c r="F2303" s="15" t="n"/>
      <c r="G2303" s="23" t="n"/>
      <c r="H2303" s="25" t="n"/>
      <c r="I2303" s="15" t="n"/>
      <c r="J2303" s="26">
        <f>IF($A2303="","",LEN($C2303)-LEN(SUBSTITUTE($C2303,",",""))+1)</f>
        <v/>
      </c>
      <c r="K2303" s="26">
        <f>IF($A2303="","",SUMPRODUCT(--ISNUMBER(SEARCH('Category Dictionary'!$D$5:$D$135&amp;"",$C2303)),--('Category Dictionary'!$D$5:$D$135&lt;&gt;"")))</f>
        <v/>
      </c>
      <c r="L2303" s="27">
        <f>IF($A2303="","",TRIM(IF(ISERROR(FIND(",",$C2303)),$C2303,LEFT($C2303,FIND(",",$C2303)-1))))</f>
        <v/>
      </c>
      <c r="M2303" s="28">
        <f>IF($H2303="","",DATE(YEAR($H2303),MONTH($H2303),1))</f>
        <v/>
      </c>
      <c r="N2303" s="26">
        <f>IF($H2303="","",TODAY()-$H2303)</f>
        <v/>
      </c>
      <c r="O2303" s="15" t="n"/>
      <c r="P2303" s="15" t="n"/>
      <c r="Q2303" s="15" t="n"/>
      <c r="R2303" s="25" t="n"/>
      <c r="S2303" s="26">
        <f>IF($A2303="","",AND(OR('Assignment Builder'!$B$5="",$B2303='Assignment Builder'!$B$5),OR('Assignment Builder'!$B$6="",ISNUMBER(SEARCH('Assignment Builder'!$B$6,$C2303))),OR('Assignment Builder'!$B$7="",'Assignment Builder'!$B$7=IFERROR(INDEX('Category Dictionary'!$C$5:$C$135,MATCH($L2303,'Category Dictionary'!$D$5:$D$135,0)),"")),OR('Assignment Builder'!$B$8="",$D2303='Assignment Builder'!$B$8),OR('Assignment Builder'!$B$9="",$F2303='Assignment Builder'!$B$9),OR('Assignment Builder'!$B$10="",$O2303='Assignment Builder'!$B$10),OR('Assignment Builder'!$B$11="",$H2303&gt;='Assignment Builder'!$B$11),OR('Assignment Builder'!$B$12="",N($Q2303)&lt;='Assignment Builder'!$B$12)))</f>
        <v/>
      </c>
      <c r="T2303" s="23" t="n"/>
    </row>
    <row r="2304">
      <c r="A2304" s="23" t="n"/>
      <c r="B2304" s="23" t="n"/>
      <c r="C2304" s="24" t="n"/>
      <c r="D2304" s="15" t="n"/>
      <c r="E2304" s="23" t="n"/>
      <c r="F2304" s="15" t="n"/>
      <c r="G2304" s="23" t="n"/>
      <c r="H2304" s="25" t="n"/>
      <c r="I2304" s="15" t="n"/>
      <c r="J2304" s="26">
        <f>IF($A2304="","",LEN($C2304)-LEN(SUBSTITUTE($C2304,",",""))+1)</f>
        <v/>
      </c>
      <c r="K2304" s="26">
        <f>IF($A2304="","",SUMPRODUCT(--ISNUMBER(SEARCH('Category Dictionary'!$D$5:$D$135&amp;"",$C2304)),--('Category Dictionary'!$D$5:$D$135&lt;&gt;"")))</f>
        <v/>
      </c>
      <c r="L2304" s="27">
        <f>IF($A2304="","",TRIM(IF(ISERROR(FIND(",",$C2304)),$C2304,LEFT($C2304,FIND(",",$C2304)-1))))</f>
        <v/>
      </c>
      <c r="M2304" s="28">
        <f>IF($H2304="","",DATE(YEAR($H2304),MONTH($H2304),1))</f>
        <v/>
      </c>
      <c r="N2304" s="26">
        <f>IF($H2304="","",TODAY()-$H2304)</f>
        <v/>
      </c>
      <c r="O2304" s="15" t="n"/>
      <c r="P2304" s="15" t="n"/>
      <c r="Q2304" s="15" t="n"/>
      <c r="R2304" s="25" t="n"/>
      <c r="S2304" s="26">
        <f>IF($A2304="","",AND(OR('Assignment Builder'!$B$5="",$B2304='Assignment Builder'!$B$5),OR('Assignment Builder'!$B$6="",ISNUMBER(SEARCH('Assignment Builder'!$B$6,$C2304))),OR('Assignment Builder'!$B$7="",'Assignment Builder'!$B$7=IFERROR(INDEX('Category Dictionary'!$C$5:$C$135,MATCH($L2304,'Category Dictionary'!$D$5:$D$135,0)),"")),OR('Assignment Builder'!$B$8="",$D2304='Assignment Builder'!$B$8),OR('Assignment Builder'!$B$9="",$F2304='Assignment Builder'!$B$9),OR('Assignment Builder'!$B$10="",$O2304='Assignment Builder'!$B$10),OR('Assignment Builder'!$B$11="",$H2304&gt;='Assignment Builder'!$B$11),OR('Assignment Builder'!$B$12="",N($Q2304)&lt;='Assignment Builder'!$B$12)))</f>
        <v/>
      </c>
      <c r="T2304" s="23" t="n"/>
    </row>
    <row r="2305">
      <c r="A2305" s="23" t="n"/>
      <c r="B2305" s="23" t="n"/>
      <c r="C2305" s="24" t="n"/>
      <c r="D2305" s="15" t="n"/>
      <c r="E2305" s="23" t="n"/>
      <c r="F2305" s="15" t="n"/>
      <c r="G2305" s="23" t="n"/>
      <c r="H2305" s="25" t="n"/>
      <c r="I2305" s="15" t="n"/>
      <c r="J2305" s="26">
        <f>IF($A2305="","",LEN($C2305)-LEN(SUBSTITUTE($C2305,",",""))+1)</f>
        <v/>
      </c>
      <c r="K2305" s="26">
        <f>IF($A2305="","",SUMPRODUCT(--ISNUMBER(SEARCH('Category Dictionary'!$D$5:$D$135&amp;"",$C2305)),--('Category Dictionary'!$D$5:$D$135&lt;&gt;"")))</f>
        <v/>
      </c>
      <c r="L2305" s="27">
        <f>IF($A2305="","",TRIM(IF(ISERROR(FIND(",",$C2305)),$C2305,LEFT($C2305,FIND(",",$C2305)-1))))</f>
        <v/>
      </c>
      <c r="M2305" s="28">
        <f>IF($H2305="","",DATE(YEAR($H2305),MONTH($H2305),1))</f>
        <v/>
      </c>
      <c r="N2305" s="26">
        <f>IF($H2305="","",TODAY()-$H2305)</f>
        <v/>
      </c>
      <c r="O2305" s="15" t="n"/>
      <c r="P2305" s="15" t="n"/>
      <c r="Q2305" s="15" t="n"/>
      <c r="R2305" s="25" t="n"/>
      <c r="S2305" s="26">
        <f>IF($A2305="","",AND(OR('Assignment Builder'!$B$5="",$B2305='Assignment Builder'!$B$5),OR('Assignment Builder'!$B$6="",ISNUMBER(SEARCH('Assignment Builder'!$B$6,$C2305))),OR('Assignment Builder'!$B$7="",'Assignment Builder'!$B$7=IFERROR(INDEX('Category Dictionary'!$C$5:$C$135,MATCH($L2305,'Category Dictionary'!$D$5:$D$135,0)),"")),OR('Assignment Builder'!$B$8="",$D2305='Assignment Builder'!$B$8),OR('Assignment Builder'!$B$9="",$F2305='Assignment Builder'!$B$9),OR('Assignment Builder'!$B$10="",$O2305='Assignment Builder'!$B$10),OR('Assignment Builder'!$B$11="",$H2305&gt;='Assignment Builder'!$B$11),OR('Assignment Builder'!$B$12="",N($Q2305)&lt;='Assignment Builder'!$B$12)))</f>
        <v/>
      </c>
      <c r="T2305" s="23" t="n"/>
    </row>
    <row r="2306">
      <c r="A2306" s="23" t="n"/>
      <c r="B2306" s="23" t="n"/>
      <c r="C2306" s="24" t="n"/>
      <c r="D2306" s="15" t="n"/>
      <c r="E2306" s="23" t="n"/>
      <c r="F2306" s="15" t="n"/>
      <c r="G2306" s="23" t="n"/>
      <c r="H2306" s="25" t="n"/>
      <c r="I2306" s="15" t="n"/>
      <c r="J2306" s="26">
        <f>IF($A2306="","",LEN($C2306)-LEN(SUBSTITUTE($C2306,",",""))+1)</f>
        <v/>
      </c>
      <c r="K2306" s="26">
        <f>IF($A2306="","",SUMPRODUCT(--ISNUMBER(SEARCH('Category Dictionary'!$D$5:$D$135&amp;"",$C2306)),--('Category Dictionary'!$D$5:$D$135&lt;&gt;"")))</f>
        <v/>
      </c>
      <c r="L2306" s="27">
        <f>IF($A2306="","",TRIM(IF(ISERROR(FIND(",",$C2306)),$C2306,LEFT($C2306,FIND(",",$C2306)-1))))</f>
        <v/>
      </c>
      <c r="M2306" s="28">
        <f>IF($H2306="","",DATE(YEAR($H2306),MONTH($H2306),1))</f>
        <v/>
      </c>
      <c r="N2306" s="26">
        <f>IF($H2306="","",TODAY()-$H2306)</f>
        <v/>
      </c>
      <c r="O2306" s="15" t="n"/>
      <c r="P2306" s="15" t="n"/>
      <c r="Q2306" s="15" t="n"/>
      <c r="R2306" s="25" t="n"/>
      <c r="S2306" s="26">
        <f>IF($A2306="","",AND(OR('Assignment Builder'!$B$5="",$B2306='Assignment Builder'!$B$5),OR('Assignment Builder'!$B$6="",ISNUMBER(SEARCH('Assignment Builder'!$B$6,$C2306))),OR('Assignment Builder'!$B$7="",'Assignment Builder'!$B$7=IFERROR(INDEX('Category Dictionary'!$C$5:$C$135,MATCH($L2306,'Category Dictionary'!$D$5:$D$135,0)),"")),OR('Assignment Builder'!$B$8="",$D2306='Assignment Builder'!$B$8),OR('Assignment Builder'!$B$9="",$F2306='Assignment Builder'!$B$9),OR('Assignment Builder'!$B$10="",$O2306='Assignment Builder'!$B$10),OR('Assignment Builder'!$B$11="",$H2306&gt;='Assignment Builder'!$B$11),OR('Assignment Builder'!$B$12="",N($Q2306)&lt;='Assignment Builder'!$B$12)))</f>
        <v/>
      </c>
      <c r="T2306" s="23" t="n"/>
    </row>
    <row r="2307">
      <c r="A2307" s="23" t="n"/>
      <c r="B2307" s="23" t="n"/>
      <c r="C2307" s="24" t="n"/>
      <c r="D2307" s="15" t="n"/>
      <c r="E2307" s="23" t="n"/>
      <c r="F2307" s="15" t="n"/>
      <c r="G2307" s="23" t="n"/>
      <c r="H2307" s="25" t="n"/>
      <c r="I2307" s="15" t="n"/>
      <c r="J2307" s="26">
        <f>IF($A2307="","",LEN($C2307)-LEN(SUBSTITUTE($C2307,",",""))+1)</f>
        <v/>
      </c>
      <c r="K2307" s="26">
        <f>IF($A2307="","",SUMPRODUCT(--ISNUMBER(SEARCH('Category Dictionary'!$D$5:$D$135&amp;"",$C2307)),--('Category Dictionary'!$D$5:$D$135&lt;&gt;"")))</f>
        <v/>
      </c>
      <c r="L2307" s="27">
        <f>IF($A2307="","",TRIM(IF(ISERROR(FIND(",",$C2307)),$C2307,LEFT($C2307,FIND(",",$C2307)-1))))</f>
        <v/>
      </c>
      <c r="M2307" s="28">
        <f>IF($H2307="","",DATE(YEAR($H2307),MONTH($H2307),1))</f>
        <v/>
      </c>
      <c r="N2307" s="26">
        <f>IF($H2307="","",TODAY()-$H2307)</f>
        <v/>
      </c>
      <c r="O2307" s="15" t="n"/>
      <c r="P2307" s="15" t="n"/>
      <c r="Q2307" s="15" t="n"/>
      <c r="R2307" s="25" t="n"/>
      <c r="S2307" s="26">
        <f>IF($A2307="","",AND(OR('Assignment Builder'!$B$5="",$B2307='Assignment Builder'!$B$5),OR('Assignment Builder'!$B$6="",ISNUMBER(SEARCH('Assignment Builder'!$B$6,$C2307))),OR('Assignment Builder'!$B$7="",'Assignment Builder'!$B$7=IFERROR(INDEX('Category Dictionary'!$C$5:$C$135,MATCH($L2307,'Category Dictionary'!$D$5:$D$135,0)),"")),OR('Assignment Builder'!$B$8="",$D2307='Assignment Builder'!$B$8),OR('Assignment Builder'!$B$9="",$F2307='Assignment Builder'!$B$9),OR('Assignment Builder'!$B$10="",$O2307='Assignment Builder'!$B$10),OR('Assignment Builder'!$B$11="",$H2307&gt;='Assignment Builder'!$B$11),OR('Assignment Builder'!$B$12="",N($Q2307)&lt;='Assignment Builder'!$B$12)))</f>
        <v/>
      </c>
      <c r="T2307" s="23" t="n"/>
    </row>
    <row r="2308">
      <c r="A2308" s="23" t="n"/>
      <c r="B2308" s="23" t="n"/>
      <c r="C2308" s="24" t="n"/>
      <c r="D2308" s="15" t="n"/>
      <c r="E2308" s="23" t="n"/>
      <c r="F2308" s="15" t="n"/>
      <c r="G2308" s="23" t="n"/>
      <c r="H2308" s="25" t="n"/>
      <c r="I2308" s="15" t="n"/>
      <c r="J2308" s="26">
        <f>IF($A2308="","",LEN($C2308)-LEN(SUBSTITUTE($C2308,",",""))+1)</f>
        <v/>
      </c>
      <c r="K2308" s="26">
        <f>IF($A2308="","",SUMPRODUCT(--ISNUMBER(SEARCH('Category Dictionary'!$D$5:$D$135&amp;"",$C2308)),--('Category Dictionary'!$D$5:$D$135&lt;&gt;"")))</f>
        <v/>
      </c>
      <c r="L2308" s="27">
        <f>IF($A2308="","",TRIM(IF(ISERROR(FIND(",",$C2308)),$C2308,LEFT($C2308,FIND(",",$C2308)-1))))</f>
        <v/>
      </c>
      <c r="M2308" s="28">
        <f>IF($H2308="","",DATE(YEAR($H2308),MONTH($H2308),1))</f>
        <v/>
      </c>
      <c r="N2308" s="26">
        <f>IF($H2308="","",TODAY()-$H2308)</f>
        <v/>
      </c>
      <c r="O2308" s="15" t="n"/>
      <c r="P2308" s="15" t="n"/>
      <c r="Q2308" s="15" t="n"/>
      <c r="R2308" s="25" t="n"/>
      <c r="S2308" s="26">
        <f>IF($A2308="","",AND(OR('Assignment Builder'!$B$5="",$B2308='Assignment Builder'!$B$5),OR('Assignment Builder'!$B$6="",ISNUMBER(SEARCH('Assignment Builder'!$B$6,$C2308))),OR('Assignment Builder'!$B$7="",'Assignment Builder'!$B$7=IFERROR(INDEX('Category Dictionary'!$C$5:$C$135,MATCH($L2308,'Category Dictionary'!$D$5:$D$135,0)),"")),OR('Assignment Builder'!$B$8="",$D2308='Assignment Builder'!$B$8),OR('Assignment Builder'!$B$9="",$F2308='Assignment Builder'!$B$9),OR('Assignment Builder'!$B$10="",$O2308='Assignment Builder'!$B$10),OR('Assignment Builder'!$B$11="",$H2308&gt;='Assignment Builder'!$B$11),OR('Assignment Builder'!$B$12="",N($Q2308)&lt;='Assignment Builder'!$B$12)))</f>
        <v/>
      </c>
      <c r="T2308" s="23" t="n"/>
    </row>
    <row r="2309">
      <c r="A2309" s="23" t="n"/>
      <c r="B2309" s="23" t="n"/>
      <c r="C2309" s="24" t="n"/>
      <c r="D2309" s="15" t="n"/>
      <c r="E2309" s="23" t="n"/>
      <c r="F2309" s="15" t="n"/>
      <c r="G2309" s="23" t="n"/>
      <c r="H2309" s="25" t="n"/>
      <c r="I2309" s="15" t="n"/>
      <c r="J2309" s="26">
        <f>IF($A2309="","",LEN($C2309)-LEN(SUBSTITUTE($C2309,",",""))+1)</f>
        <v/>
      </c>
      <c r="K2309" s="26">
        <f>IF($A2309="","",SUMPRODUCT(--ISNUMBER(SEARCH('Category Dictionary'!$D$5:$D$135&amp;"",$C2309)),--('Category Dictionary'!$D$5:$D$135&lt;&gt;"")))</f>
        <v/>
      </c>
      <c r="L2309" s="27">
        <f>IF($A2309="","",TRIM(IF(ISERROR(FIND(",",$C2309)),$C2309,LEFT($C2309,FIND(",",$C2309)-1))))</f>
        <v/>
      </c>
      <c r="M2309" s="28">
        <f>IF($H2309="","",DATE(YEAR($H2309),MONTH($H2309),1))</f>
        <v/>
      </c>
      <c r="N2309" s="26">
        <f>IF($H2309="","",TODAY()-$H2309)</f>
        <v/>
      </c>
      <c r="O2309" s="15" t="n"/>
      <c r="P2309" s="15" t="n"/>
      <c r="Q2309" s="15" t="n"/>
      <c r="R2309" s="25" t="n"/>
      <c r="S2309" s="26">
        <f>IF($A2309="","",AND(OR('Assignment Builder'!$B$5="",$B2309='Assignment Builder'!$B$5),OR('Assignment Builder'!$B$6="",ISNUMBER(SEARCH('Assignment Builder'!$B$6,$C2309))),OR('Assignment Builder'!$B$7="",'Assignment Builder'!$B$7=IFERROR(INDEX('Category Dictionary'!$C$5:$C$135,MATCH($L2309,'Category Dictionary'!$D$5:$D$135,0)),"")),OR('Assignment Builder'!$B$8="",$D2309='Assignment Builder'!$B$8),OR('Assignment Builder'!$B$9="",$F2309='Assignment Builder'!$B$9),OR('Assignment Builder'!$B$10="",$O2309='Assignment Builder'!$B$10),OR('Assignment Builder'!$B$11="",$H2309&gt;='Assignment Builder'!$B$11),OR('Assignment Builder'!$B$12="",N($Q2309)&lt;='Assignment Builder'!$B$12)))</f>
        <v/>
      </c>
      <c r="T2309" s="23" t="n"/>
    </row>
    <row r="2310">
      <c r="A2310" s="23" t="n"/>
      <c r="B2310" s="23" t="n"/>
      <c r="C2310" s="24" t="n"/>
      <c r="D2310" s="15" t="n"/>
      <c r="E2310" s="23" t="n"/>
      <c r="F2310" s="15" t="n"/>
      <c r="G2310" s="23" t="n"/>
      <c r="H2310" s="25" t="n"/>
      <c r="I2310" s="15" t="n"/>
      <c r="J2310" s="26">
        <f>IF($A2310="","",LEN($C2310)-LEN(SUBSTITUTE($C2310,",",""))+1)</f>
        <v/>
      </c>
      <c r="K2310" s="26">
        <f>IF($A2310="","",SUMPRODUCT(--ISNUMBER(SEARCH('Category Dictionary'!$D$5:$D$135&amp;"",$C2310)),--('Category Dictionary'!$D$5:$D$135&lt;&gt;"")))</f>
        <v/>
      </c>
      <c r="L2310" s="27">
        <f>IF($A2310="","",TRIM(IF(ISERROR(FIND(",",$C2310)),$C2310,LEFT($C2310,FIND(",",$C2310)-1))))</f>
        <v/>
      </c>
      <c r="M2310" s="28">
        <f>IF($H2310="","",DATE(YEAR($H2310),MONTH($H2310),1))</f>
        <v/>
      </c>
      <c r="N2310" s="26">
        <f>IF($H2310="","",TODAY()-$H2310)</f>
        <v/>
      </c>
      <c r="O2310" s="15" t="n"/>
      <c r="P2310" s="15" t="n"/>
      <c r="Q2310" s="15" t="n"/>
      <c r="R2310" s="25" t="n"/>
      <c r="S2310" s="26">
        <f>IF($A2310="","",AND(OR('Assignment Builder'!$B$5="",$B2310='Assignment Builder'!$B$5),OR('Assignment Builder'!$B$6="",ISNUMBER(SEARCH('Assignment Builder'!$B$6,$C2310))),OR('Assignment Builder'!$B$7="",'Assignment Builder'!$B$7=IFERROR(INDEX('Category Dictionary'!$C$5:$C$135,MATCH($L2310,'Category Dictionary'!$D$5:$D$135,0)),"")),OR('Assignment Builder'!$B$8="",$D2310='Assignment Builder'!$B$8),OR('Assignment Builder'!$B$9="",$F2310='Assignment Builder'!$B$9),OR('Assignment Builder'!$B$10="",$O2310='Assignment Builder'!$B$10),OR('Assignment Builder'!$B$11="",$H2310&gt;='Assignment Builder'!$B$11),OR('Assignment Builder'!$B$12="",N($Q2310)&lt;='Assignment Builder'!$B$12)))</f>
        <v/>
      </c>
      <c r="T2310" s="23" t="n"/>
    </row>
    <row r="2311">
      <c r="A2311" s="23" t="n"/>
      <c r="B2311" s="23" t="n"/>
      <c r="C2311" s="24" t="n"/>
      <c r="D2311" s="15" t="n"/>
      <c r="E2311" s="23" t="n"/>
      <c r="F2311" s="15" t="n"/>
      <c r="G2311" s="23" t="n"/>
      <c r="H2311" s="25" t="n"/>
      <c r="I2311" s="15" t="n"/>
      <c r="J2311" s="26">
        <f>IF($A2311="","",LEN($C2311)-LEN(SUBSTITUTE($C2311,",",""))+1)</f>
        <v/>
      </c>
      <c r="K2311" s="26">
        <f>IF($A2311="","",SUMPRODUCT(--ISNUMBER(SEARCH('Category Dictionary'!$D$5:$D$135&amp;"",$C2311)),--('Category Dictionary'!$D$5:$D$135&lt;&gt;"")))</f>
        <v/>
      </c>
      <c r="L2311" s="27">
        <f>IF($A2311="","",TRIM(IF(ISERROR(FIND(",",$C2311)),$C2311,LEFT($C2311,FIND(",",$C2311)-1))))</f>
        <v/>
      </c>
      <c r="M2311" s="28">
        <f>IF($H2311="","",DATE(YEAR($H2311),MONTH($H2311),1))</f>
        <v/>
      </c>
      <c r="N2311" s="26">
        <f>IF($H2311="","",TODAY()-$H2311)</f>
        <v/>
      </c>
      <c r="O2311" s="15" t="n"/>
      <c r="P2311" s="15" t="n"/>
      <c r="Q2311" s="15" t="n"/>
      <c r="R2311" s="25" t="n"/>
      <c r="S2311" s="26">
        <f>IF($A2311="","",AND(OR('Assignment Builder'!$B$5="",$B2311='Assignment Builder'!$B$5),OR('Assignment Builder'!$B$6="",ISNUMBER(SEARCH('Assignment Builder'!$B$6,$C2311))),OR('Assignment Builder'!$B$7="",'Assignment Builder'!$B$7=IFERROR(INDEX('Category Dictionary'!$C$5:$C$135,MATCH($L2311,'Category Dictionary'!$D$5:$D$135,0)),"")),OR('Assignment Builder'!$B$8="",$D2311='Assignment Builder'!$B$8),OR('Assignment Builder'!$B$9="",$F2311='Assignment Builder'!$B$9),OR('Assignment Builder'!$B$10="",$O2311='Assignment Builder'!$B$10),OR('Assignment Builder'!$B$11="",$H2311&gt;='Assignment Builder'!$B$11),OR('Assignment Builder'!$B$12="",N($Q2311)&lt;='Assignment Builder'!$B$12)))</f>
        <v/>
      </c>
      <c r="T2311" s="23" t="n"/>
    </row>
    <row r="2312">
      <c r="A2312" s="23" t="n"/>
      <c r="B2312" s="23" t="n"/>
      <c r="C2312" s="24" t="n"/>
      <c r="D2312" s="15" t="n"/>
      <c r="E2312" s="23" t="n"/>
      <c r="F2312" s="15" t="n"/>
      <c r="G2312" s="23" t="n"/>
      <c r="H2312" s="25" t="n"/>
      <c r="I2312" s="15" t="n"/>
      <c r="J2312" s="26">
        <f>IF($A2312="","",LEN($C2312)-LEN(SUBSTITUTE($C2312,",",""))+1)</f>
        <v/>
      </c>
      <c r="K2312" s="26">
        <f>IF($A2312="","",SUMPRODUCT(--ISNUMBER(SEARCH('Category Dictionary'!$D$5:$D$135&amp;"",$C2312)),--('Category Dictionary'!$D$5:$D$135&lt;&gt;"")))</f>
        <v/>
      </c>
      <c r="L2312" s="27">
        <f>IF($A2312="","",TRIM(IF(ISERROR(FIND(",",$C2312)),$C2312,LEFT($C2312,FIND(",",$C2312)-1))))</f>
        <v/>
      </c>
      <c r="M2312" s="28">
        <f>IF($H2312="","",DATE(YEAR($H2312),MONTH($H2312),1))</f>
        <v/>
      </c>
      <c r="N2312" s="26">
        <f>IF($H2312="","",TODAY()-$H2312)</f>
        <v/>
      </c>
      <c r="O2312" s="15" t="n"/>
      <c r="P2312" s="15" t="n"/>
      <c r="Q2312" s="15" t="n"/>
      <c r="R2312" s="25" t="n"/>
      <c r="S2312" s="26">
        <f>IF($A2312="","",AND(OR('Assignment Builder'!$B$5="",$B2312='Assignment Builder'!$B$5),OR('Assignment Builder'!$B$6="",ISNUMBER(SEARCH('Assignment Builder'!$B$6,$C2312))),OR('Assignment Builder'!$B$7="",'Assignment Builder'!$B$7=IFERROR(INDEX('Category Dictionary'!$C$5:$C$135,MATCH($L2312,'Category Dictionary'!$D$5:$D$135,0)),"")),OR('Assignment Builder'!$B$8="",$D2312='Assignment Builder'!$B$8),OR('Assignment Builder'!$B$9="",$F2312='Assignment Builder'!$B$9),OR('Assignment Builder'!$B$10="",$O2312='Assignment Builder'!$B$10),OR('Assignment Builder'!$B$11="",$H2312&gt;='Assignment Builder'!$B$11),OR('Assignment Builder'!$B$12="",N($Q2312)&lt;='Assignment Builder'!$B$12)))</f>
        <v/>
      </c>
      <c r="T2312" s="23" t="n"/>
    </row>
    <row r="2313">
      <c r="A2313" s="23" t="n"/>
      <c r="B2313" s="23" t="n"/>
      <c r="C2313" s="24" t="n"/>
      <c r="D2313" s="15" t="n"/>
      <c r="E2313" s="23" t="n"/>
      <c r="F2313" s="15" t="n"/>
      <c r="G2313" s="23" t="n"/>
      <c r="H2313" s="25" t="n"/>
      <c r="I2313" s="15" t="n"/>
      <c r="J2313" s="26">
        <f>IF($A2313="","",LEN($C2313)-LEN(SUBSTITUTE($C2313,",",""))+1)</f>
        <v/>
      </c>
      <c r="K2313" s="26">
        <f>IF($A2313="","",SUMPRODUCT(--ISNUMBER(SEARCH('Category Dictionary'!$D$5:$D$135&amp;"",$C2313)),--('Category Dictionary'!$D$5:$D$135&lt;&gt;"")))</f>
        <v/>
      </c>
      <c r="L2313" s="27">
        <f>IF($A2313="","",TRIM(IF(ISERROR(FIND(",",$C2313)),$C2313,LEFT($C2313,FIND(",",$C2313)-1))))</f>
        <v/>
      </c>
      <c r="M2313" s="28">
        <f>IF($H2313="","",DATE(YEAR($H2313),MONTH($H2313),1))</f>
        <v/>
      </c>
      <c r="N2313" s="26">
        <f>IF($H2313="","",TODAY()-$H2313)</f>
        <v/>
      </c>
      <c r="O2313" s="15" t="n"/>
      <c r="P2313" s="15" t="n"/>
      <c r="Q2313" s="15" t="n"/>
      <c r="R2313" s="25" t="n"/>
      <c r="S2313" s="26">
        <f>IF($A2313="","",AND(OR('Assignment Builder'!$B$5="",$B2313='Assignment Builder'!$B$5),OR('Assignment Builder'!$B$6="",ISNUMBER(SEARCH('Assignment Builder'!$B$6,$C2313))),OR('Assignment Builder'!$B$7="",'Assignment Builder'!$B$7=IFERROR(INDEX('Category Dictionary'!$C$5:$C$135,MATCH($L2313,'Category Dictionary'!$D$5:$D$135,0)),"")),OR('Assignment Builder'!$B$8="",$D2313='Assignment Builder'!$B$8),OR('Assignment Builder'!$B$9="",$F2313='Assignment Builder'!$B$9),OR('Assignment Builder'!$B$10="",$O2313='Assignment Builder'!$B$10),OR('Assignment Builder'!$B$11="",$H2313&gt;='Assignment Builder'!$B$11),OR('Assignment Builder'!$B$12="",N($Q2313)&lt;='Assignment Builder'!$B$12)))</f>
        <v/>
      </c>
      <c r="T2313" s="23" t="n"/>
    </row>
    <row r="2314">
      <c r="A2314" s="23" t="n"/>
      <c r="B2314" s="23" t="n"/>
      <c r="C2314" s="24" t="n"/>
      <c r="D2314" s="15" t="n"/>
      <c r="E2314" s="23" t="n"/>
      <c r="F2314" s="15" t="n"/>
      <c r="G2314" s="23" t="n"/>
      <c r="H2314" s="25" t="n"/>
      <c r="I2314" s="15" t="n"/>
      <c r="J2314" s="26">
        <f>IF($A2314="","",LEN($C2314)-LEN(SUBSTITUTE($C2314,",",""))+1)</f>
        <v/>
      </c>
      <c r="K2314" s="26">
        <f>IF($A2314="","",SUMPRODUCT(--ISNUMBER(SEARCH('Category Dictionary'!$D$5:$D$135&amp;"",$C2314)),--('Category Dictionary'!$D$5:$D$135&lt;&gt;"")))</f>
        <v/>
      </c>
      <c r="L2314" s="27">
        <f>IF($A2314="","",TRIM(IF(ISERROR(FIND(",",$C2314)),$C2314,LEFT($C2314,FIND(",",$C2314)-1))))</f>
        <v/>
      </c>
      <c r="M2314" s="28">
        <f>IF($H2314="","",DATE(YEAR($H2314),MONTH($H2314),1))</f>
        <v/>
      </c>
      <c r="N2314" s="26">
        <f>IF($H2314="","",TODAY()-$H2314)</f>
        <v/>
      </c>
      <c r="O2314" s="15" t="n"/>
      <c r="P2314" s="15" t="n"/>
      <c r="Q2314" s="15" t="n"/>
      <c r="R2314" s="25" t="n"/>
      <c r="S2314" s="26">
        <f>IF($A2314="","",AND(OR('Assignment Builder'!$B$5="",$B2314='Assignment Builder'!$B$5),OR('Assignment Builder'!$B$6="",ISNUMBER(SEARCH('Assignment Builder'!$B$6,$C2314))),OR('Assignment Builder'!$B$7="",'Assignment Builder'!$B$7=IFERROR(INDEX('Category Dictionary'!$C$5:$C$135,MATCH($L2314,'Category Dictionary'!$D$5:$D$135,0)),"")),OR('Assignment Builder'!$B$8="",$D2314='Assignment Builder'!$B$8),OR('Assignment Builder'!$B$9="",$F2314='Assignment Builder'!$B$9),OR('Assignment Builder'!$B$10="",$O2314='Assignment Builder'!$B$10),OR('Assignment Builder'!$B$11="",$H2314&gt;='Assignment Builder'!$B$11),OR('Assignment Builder'!$B$12="",N($Q2314)&lt;='Assignment Builder'!$B$12)))</f>
        <v/>
      </c>
      <c r="T2314" s="23" t="n"/>
    </row>
    <row r="2315">
      <c r="A2315" s="23" t="n"/>
      <c r="B2315" s="23" t="n"/>
      <c r="C2315" s="24" t="n"/>
      <c r="D2315" s="15" t="n"/>
      <c r="E2315" s="23" t="n"/>
      <c r="F2315" s="15" t="n"/>
      <c r="G2315" s="23" t="n"/>
      <c r="H2315" s="25" t="n"/>
      <c r="I2315" s="15" t="n"/>
      <c r="J2315" s="26">
        <f>IF($A2315="","",LEN($C2315)-LEN(SUBSTITUTE($C2315,",",""))+1)</f>
        <v/>
      </c>
      <c r="K2315" s="26">
        <f>IF($A2315="","",SUMPRODUCT(--ISNUMBER(SEARCH('Category Dictionary'!$D$5:$D$135&amp;"",$C2315)),--('Category Dictionary'!$D$5:$D$135&lt;&gt;"")))</f>
        <v/>
      </c>
      <c r="L2315" s="27">
        <f>IF($A2315="","",TRIM(IF(ISERROR(FIND(",",$C2315)),$C2315,LEFT($C2315,FIND(",",$C2315)-1))))</f>
        <v/>
      </c>
      <c r="M2315" s="28">
        <f>IF($H2315="","",DATE(YEAR($H2315),MONTH($H2315),1))</f>
        <v/>
      </c>
      <c r="N2315" s="26">
        <f>IF($H2315="","",TODAY()-$H2315)</f>
        <v/>
      </c>
      <c r="O2315" s="15" t="n"/>
      <c r="P2315" s="15" t="n"/>
      <c r="Q2315" s="15" t="n"/>
      <c r="R2315" s="25" t="n"/>
      <c r="S2315" s="26">
        <f>IF($A2315="","",AND(OR('Assignment Builder'!$B$5="",$B2315='Assignment Builder'!$B$5),OR('Assignment Builder'!$B$6="",ISNUMBER(SEARCH('Assignment Builder'!$B$6,$C2315))),OR('Assignment Builder'!$B$7="",'Assignment Builder'!$B$7=IFERROR(INDEX('Category Dictionary'!$C$5:$C$135,MATCH($L2315,'Category Dictionary'!$D$5:$D$135,0)),"")),OR('Assignment Builder'!$B$8="",$D2315='Assignment Builder'!$B$8),OR('Assignment Builder'!$B$9="",$F2315='Assignment Builder'!$B$9),OR('Assignment Builder'!$B$10="",$O2315='Assignment Builder'!$B$10),OR('Assignment Builder'!$B$11="",$H2315&gt;='Assignment Builder'!$B$11),OR('Assignment Builder'!$B$12="",N($Q2315)&lt;='Assignment Builder'!$B$12)))</f>
        <v/>
      </c>
      <c r="T2315" s="23" t="n"/>
    </row>
    <row r="2316">
      <c r="A2316" s="23" t="n"/>
      <c r="B2316" s="23" t="n"/>
      <c r="C2316" s="24" t="n"/>
      <c r="D2316" s="15" t="n"/>
      <c r="E2316" s="23" t="n"/>
      <c r="F2316" s="15" t="n"/>
      <c r="G2316" s="23" t="n"/>
      <c r="H2316" s="25" t="n"/>
      <c r="I2316" s="15" t="n"/>
      <c r="J2316" s="26">
        <f>IF($A2316="","",LEN($C2316)-LEN(SUBSTITUTE($C2316,",",""))+1)</f>
        <v/>
      </c>
      <c r="K2316" s="26">
        <f>IF($A2316="","",SUMPRODUCT(--ISNUMBER(SEARCH('Category Dictionary'!$D$5:$D$135&amp;"",$C2316)),--('Category Dictionary'!$D$5:$D$135&lt;&gt;"")))</f>
        <v/>
      </c>
      <c r="L2316" s="27">
        <f>IF($A2316="","",TRIM(IF(ISERROR(FIND(",",$C2316)),$C2316,LEFT($C2316,FIND(",",$C2316)-1))))</f>
        <v/>
      </c>
      <c r="M2316" s="28">
        <f>IF($H2316="","",DATE(YEAR($H2316),MONTH($H2316),1))</f>
        <v/>
      </c>
      <c r="N2316" s="26">
        <f>IF($H2316="","",TODAY()-$H2316)</f>
        <v/>
      </c>
      <c r="O2316" s="15" t="n"/>
      <c r="P2316" s="15" t="n"/>
      <c r="Q2316" s="15" t="n"/>
      <c r="R2316" s="25" t="n"/>
      <c r="S2316" s="26">
        <f>IF($A2316="","",AND(OR('Assignment Builder'!$B$5="",$B2316='Assignment Builder'!$B$5),OR('Assignment Builder'!$B$6="",ISNUMBER(SEARCH('Assignment Builder'!$B$6,$C2316))),OR('Assignment Builder'!$B$7="",'Assignment Builder'!$B$7=IFERROR(INDEX('Category Dictionary'!$C$5:$C$135,MATCH($L2316,'Category Dictionary'!$D$5:$D$135,0)),"")),OR('Assignment Builder'!$B$8="",$D2316='Assignment Builder'!$B$8),OR('Assignment Builder'!$B$9="",$F2316='Assignment Builder'!$B$9),OR('Assignment Builder'!$B$10="",$O2316='Assignment Builder'!$B$10),OR('Assignment Builder'!$B$11="",$H2316&gt;='Assignment Builder'!$B$11),OR('Assignment Builder'!$B$12="",N($Q2316)&lt;='Assignment Builder'!$B$12)))</f>
        <v/>
      </c>
      <c r="T2316" s="23" t="n"/>
    </row>
    <row r="2317">
      <c r="A2317" s="23" t="n"/>
      <c r="B2317" s="23" t="n"/>
      <c r="C2317" s="24" t="n"/>
      <c r="D2317" s="15" t="n"/>
      <c r="E2317" s="23" t="n"/>
      <c r="F2317" s="15" t="n"/>
      <c r="G2317" s="23" t="n"/>
      <c r="H2317" s="25" t="n"/>
      <c r="I2317" s="15" t="n"/>
      <c r="J2317" s="26">
        <f>IF($A2317="","",LEN($C2317)-LEN(SUBSTITUTE($C2317,",",""))+1)</f>
        <v/>
      </c>
      <c r="K2317" s="26">
        <f>IF($A2317="","",SUMPRODUCT(--ISNUMBER(SEARCH('Category Dictionary'!$D$5:$D$135&amp;"",$C2317)),--('Category Dictionary'!$D$5:$D$135&lt;&gt;"")))</f>
        <v/>
      </c>
      <c r="L2317" s="27">
        <f>IF($A2317="","",TRIM(IF(ISERROR(FIND(",",$C2317)),$C2317,LEFT($C2317,FIND(",",$C2317)-1))))</f>
        <v/>
      </c>
      <c r="M2317" s="28">
        <f>IF($H2317="","",DATE(YEAR($H2317),MONTH($H2317),1))</f>
        <v/>
      </c>
      <c r="N2317" s="26">
        <f>IF($H2317="","",TODAY()-$H2317)</f>
        <v/>
      </c>
      <c r="O2317" s="15" t="n"/>
      <c r="P2317" s="15" t="n"/>
      <c r="Q2317" s="15" t="n"/>
      <c r="R2317" s="25" t="n"/>
      <c r="S2317" s="26">
        <f>IF($A2317="","",AND(OR('Assignment Builder'!$B$5="",$B2317='Assignment Builder'!$B$5),OR('Assignment Builder'!$B$6="",ISNUMBER(SEARCH('Assignment Builder'!$B$6,$C2317))),OR('Assignment Builder'!$B$7="",'Assignment Builder'!$B$7=IFERROR(INDEX('Category Dictionary'!$C$5:$C$135,MATCH($L2317,'Category Dictionary'!$D$5:$D$135,0)),"")),OR('Assignment Builder'!$B$8="",$D2317='Assignment Builder'!$B$8),OR('Assignment Builder'!$B$9="",$F2317='Assignment Builder'!$B$9),OR('Assignment Builder'!$B$10="",$O2317='Assignment Builder'!$B$10),OR('Assignment Builder'!$B$11="",$H2317&gt;='Assignment Builder'!$B$11),OR('Assignment Builder'!$B$12="",N($Q2317)&lt;='Assignment Builder'!$B$12)))</f>
        <v/>
      </c>
      <c r="T2317" s="23" t="n"/>
    </row>
    <row r="2318">
      <c r="A2318" s="23" t="n"/>
      <c r="B2318" s="23" t="n"/>
      <c r="C2318" s="24" t="n"/>
      <c r="D2318" s="15" t="n"/>
      <c r="E2318" s="23" t="n"/>
      <c r="F2318" s="15" t="n"/>
      <c r="G2318" s="23" t="n"/>
      <c r="H2318" s="25" t="n"/>
      <c r="I2318" s="15" t="n"/>
      <c r="J2318" s="26">
        <f>IF($A2318="","",LEN($C2318)-LEN(SUBSTITUTE($C2318,",",""))+1)</f>
        <v/>
      </c>
      <c r="K2318" s="26">
        <f>IF($A2318="","",SUMPRODUCT(--ISNUMBER(SEARCH('Category Dictionary'!$D$5:$D$135&amp;"",$C2318)),--('Category Dictionary'!$D$5:$D$135&lt;&gt;"")))</f>
        <v/>
      </c>
      <c r="L2318" s="27">
        <f>IF($A2318="","",TRIM(IF(ISERROR(FIND(",",$C2318)),$C2318,LEFT($C2318,FIND(",",$C2318)-1))))</f>
        <v/>
      </c>
      <c r="M2318" s="28">
        <f>IF($H2318="","",DATE(YEAR($H2318),MONTH($H2318),1))</f>
        <v/>
      </c>
      <c r="N2318" s="26">
        <f>IF($H2318="","",TODAY()-$H2318)</f>
        <v/>
      </c>
      <c r="O2318" s="15" t="n"/>
      <c r="P2318" s="15" t="n"/>
      <c r="Q2318" s="15" t="n"/>
      <c r="R2318" s="25" t="n"/>
      <c r="S2318" s="26">
        <f>IF($A2318="","",AND(OR('Assignment Builder'!$B$5="",$B2318='Assignment Builder'!$B$5),OR('Assignment Builder'!$B$6="",ISNUMBER(SEARCH('Assignment Builder'!$B$6,$C2318))),OR('Assignment Builder'!$B$7="",'Assignment Builder'!$B$7=IFERROR(INDEX('Category Dictionary'!$C$5:$C$135,MATCH($L2318,'Category Dictionary'!$D$5:$D$135,0)),"")),OR('Assignment Builder'!$B$8="",$D2318='Assignment Builder'!$B$8),OR('Assignment Builder'!$B$9="",$F2318='Assignment Builder'!$B$9),OR('Assignment Builder'!$B$10="",$O2318='Assignment Builder'!$B$10),OR('Assignment Builder'!$B$11="",$H2318&gt;='Assignment Builder'!$B$11),OR('Assignment Builder'!$B$12="",N($Q2318)&lt;='Assignment Builder'!$B$12)))</f>
        <v/>
      </c>
      <c r="T2318" s="23" t="n"/>
    </row>
    <row r="2319">
      <c r="A2319" s="23" t="n"/>
      <c r="B2319" s="23" t="n"/>
      <c r="C2319" s="24" t="n"/>
      <c r="D2319" s="15" t="n"/>
      <c r="E2319" s="23" t="n"/>
      <c r="F2319" s="15" t="n"/>
      <c r="G2319" s="23" t="n"/>
      <c r="H2319" s="25" t="n"/>
      <c r="I2319" s="15" t="n"/>
      <c r="J2319" s="26">
        <f>IF($A2319="","",LEN($C2319)-LEN(SUBSTITUTE($C2319,",",""))+1)</f>
        <v/>
      </c>
      <c r="K2319" s="26">
        <f>IF($A2319="","",SUMPRODUCT(--ISNUMBER(SEARCH('Category Dictionary'!$D$5:$D$135&amp;"",$C2319)),--('Category Dictionary'!$D$5:$D$135&lt;&gt;"")))</f>
        <v/>
      </c>
      <c r="L2319" s="27">
        <f>IF($A2319="","",TRIM(IF(ISERROR(FIND(",",$C2319)),$C2319,LEFT($C2319,FIND(",",$C2319)-1))))</f>
        <v/>
      </c>
      <c r="M2319" s="28">
        <f>IF($H2319="","",DATE(YEAR($H2319),MONTH($H2319),1))</f>
        <v/>
      </c>
      <c r="N2319" s="26">
        <f>IF($H2319="","",TODAY()-$H2319)</f>
        <v/>
      </c>
      <c r="O2319" s="15" t="n"/>
      <c r="P2319" s="15" t="n"/>
      <c r="Q2319" s="15" t="n"/>
      <c r="R2319" s="25" t="n"/>
      <c r="S2319" s="26">
        <f>IF($A2319="","",AND(OR('Assignment Builder'!$B$5="",$B2319='Assignment Builder'!$B$5),OR('Assignment Builder'!$B$6="",ISNUMBER(SEARCH('Assignment Builder'!$B$6,$C2319))),OR('Assignment Builder'!$B$7="",'Assignment Builder'!$B$7=IFERROR(INDEX('Category Dictionary'!$C$5:$C$135,MATCH($L2319,'Category Dictionary'!$D$5:$D$135,0)),"")),OR('Assignment Builder'!$B$8="",$D2319='Assignment Builder'!$B$8),OR('Assignment Builder'!$B$9="",$F2319='Assignment Builder'!$B$9),OR('Assignment Builder'!$B$10="",$O2319='Assignment Builder'!$B$10),OR('Assignment Builder'!$B$11="",$H2319&gt;='Assignment Builder'!$B$11),OR('Assignment Builder'!$B$12="",N($Q2319)&lt;='Assignment Builder'!$B$12)))</f>
        <v/>
      </c>
      <c r="T2319" s="23" t="n"/>
    </row>
    <row r="2320">
      <c r="A2320" s="23" t="n"/>
      <c r="B2320" s="23" t="n"/>
      <c r="C2320" s="24" t="n"/>
      <c r="D2320" s="15" t="n"/>
      <c r="E2320" s="23" t="n"/>
      <c r="F2320" s="15" t="n"/>
      <c r="G2320" s="23" t="n"/>
      <c r="H2320" s="25" t="n"/>
      <c r="I2320" s="15" t="n"/>
      <c r="J2320" s="26">
        <f>IF($A2320="","",LEN($C2320)-LEN(SUBSTITUTE($C2320,",",""))+1)</f>
        <v/>
      </c>
      <c r="K2320" s="26">
        <f>IF($A2320="","",SUMPRODUCT(--ISNUMBER(SEARCH('Category Dictionary'!$D$5:$D$135&amp;"",$C2320)),--('Category Dictionary'!$D$5:$D$135&lt;&gt;"")))</f>
        <v/>
      </c>
      <c r="L2320" s="27">
        <f>IF($A2320="","",TRIM(IF(ISERROR(FIND(",",$C2320)),$C2320,LEFT($C2320,FIND(",",$C2320)-1))))</f>
        <v/>
      </c>
      <c r="M2320" s="28">
        <f>IF($H2320="","",DATE(YEAR($H2320),MONTH($H2320),1))</f>
        <v/>
      </c>
      <c r="N2320" s="26">
        <f>IF($H2320="","",TODAY()-$H2320)</f>
        <v/>
      </c>
      <c r="O2320" s="15" t="n"/>
      <c r="P2320" s="15" t="n"/>
      <c r="Q2320" s="15" t="n"/>
      <c r="R2320" s="25" t="n"/>
      <c r="S2320" s="26">
        <f>IF($A2320="","",AND(OR('Assignment Builder'!$B$5="",$B2320='Assignment Builder'!$B$5),OR('Assignment Builder'!$B$6="",ISNUMBER(SEARCH('Assignment Builder'!$B$6,$C2320))),OR('Assignment Builder'!$B$7="",'Assignment Builder'!$B$7=IFERROR(INDEX('Category Dictionary'!$C$5:$C$135,MATCH($L2320,'Category Dictionary'!$D$5:$D$135,0)),"")),OR('Assignment Builder'!$B$8="",$D2320='Assignment Builder'!$B$8),OR('Assignment Builder'!$B$9="",$F2320='Assignment Builder'!$B$9),OR('Assignment Builder'!$B$10="",$O2320='Assignment Builder'!$B$10),OR('Assignment Builder'!$B$11="",$H2320&gt;='Assignment Builder'!$B$11),OR('Assignment Builder'!$B$12="",N($Q2320)&lt;='Assignment Builder'!$B$12)))</f>
        <v/>
      </c>
      <c r="T2320" s="23" t="n"/>
    </row>
    <row r="2321">
      <c r="A2321" s="23" t="n"/>
      <c r="B2321" s="23" t="n"/>
      <c r="C2321" s="24" t="n"/>
      <c r="D2321" s="15" t="n"/>
      <c r="E2321" s="23" t="n"/>
      <c r="F2321" s="15" t="n"/>
      <c r="G2321" s="23" t="n"/>
      <c r="H2321" s="25" t="n"/>
      <c r="I2321" s="15" t="n"/>
      <c r="J2321" s="26">
        <f>IF($A2321="","",LEN($C2321)-LEN(SUBSTITUTE($C2321,",",""))+1)</f>
        <v/>
      </c>
      <c r="K2321" s="26">
        <f>IF($A2321="","",SUMPRODUCT(--ISNUMBER(SEARCH('Category Dictionary'!$D$5:$D$135&amp;"",$C2321)),--('Category Dictionary'!$D$5:$D$135&lt;&gt;"")))</f>
        <v/>
      </c>
      <c r="L2321" s="27">
        <f>IF($A2321="","",TRIM(IF(ISERROR(FIND(",",$C2321)),$C2321,LEFT($C2321,FIND(",",$C2321)-1))))</f>
        <v/>
      </c>
      <c r="M2321" s="28">
        <f>IF($H2321="","",DATE(YEAR($H2321),MONTH($H2321),1))</f>
        <v/>
      </c>
      <c r="N2321" s="26">
        <f>IF($H2321="","",TODAY()-$H2321)</f>
        <v/>
      </c>
      <c r="O2321" s="15" t="n"/>
      <c r="P2321" s="15" t="n"/>
      <c r="Q2321" s="15" t="n"/>
      <c r="R2321" s="25" t="n"/>
      <c r="S2321" s="26">
        <f>IF($A2321="","",AND(OR('Assignment Builder'!$B$5="",$B2321='Assignment Builder'!$B$5),OR('Assignment Builder'!$B$6="",ISNUMBER(SEARCH('Assignment Builder'!$B$6,$C2321))),OR('Assignment Builder'!$B$7="",'Assignment Builder'!$B$7=IFERROR(INDEX('Category Dictionary'!$C$5:$C$135,MATCH($L2321,'Category Dictionary'!$D$5:$D$135,0)),"")),OR('Assignment Builder'!$B$8="",$D2321='Assignment Builder'!$B$8),OR('Assignment Builder'!$B$9="",$F2321='Assignment Builder'!$B$9),OR('Assignment Builder'!$B$10="",$O2321='Assignment Builder'!$B$10),OR('Assignment Builder'!$B$11="",$H2321&gt;='Assignment Builder'!$B$11),OR('Assignment Builder'!$B$12="",N($Q2321)&lt;='Assignment Builder'!$B$12)))</f>
        <v/>
      </c>
      <c r="T2321" s="23" t="n"/>
    </row>
    <row r="2322">
      <c r="A2322" s="23" t="n"/>
      <c r="B2322" s="23" t="n"/>
      <c r="C2322" s="24" t="n"/>
      <c r="D2322" s="15" t="n"/>
      <c r="E2322" s="23" t="n"/>
      <c r="F2322" s="15" t="n"/>
      <c r="G2322" s="23" t="n"/>
      <c r="H2322" s="25" t="n"/>
      <c r="I2322" s="15" t="n"/>
      <c r="J2322" s="26">
        <f>IF($A2322="","",LEN($C2322)-LEN(SUBSTITUTE($C2322,",",""))+1)</f>
        <v/>
      </c>
      <c r="K2322" s="26">
        <f>IF($A2322="","",SUMPRODUCT(--ISNUMBER(SEARCH('Category Dictionary'!$D$5:$D$135&amp;"",$C2322)),--('Category Dictionary'!$D$5:$D$135&lt;&gt;"")))</f>
        <v/>
      </c>
      <c r="L2322" s="27">
        <f>IF($A2322="","",TRIM(IF(ISERROR(FIND(",",$C2322)),$C2322,LEFT($C2322,FIND(",",$C2322)-1))))</f>
        <v/>
      </c>
      <c r="M2322" s="28">
        <f>IF($H2322="","",DATE(YEAR($H2322),MONTH($H2322),1))</f>
        <v/>
      </c>
      <c r="N2322" s="26">
        <f>IF($H2322="","",TODAY()-$H2322)</f>
        <v/>
      </c>
      <c r="O2322" s="15" t="n"/>
      <c r="P2322" s="15" t="n"/>
      <c r="Q2322" s="15" t="n"/>
      <c r="R2322" s="25" t="n"/>
      <c r="S2322" s="26">
        <f>IF($A2322="","",AND(OR('Assignment Builder'!$B$5="",$B2322='Assignment Builder'!$B$5),OR('Assignment Builder'!$B$6="",ISNUMBER(SEARCH('Assignment Builder'!$B$6,$C2322))),OR('Assignment Builder'!$B$7="",'Assignment Builder'!$B$7=IFERROR(INDEX('Category Dictionary'!$C$5:$C$135,MATCH($L2322,'Category Dictionary'!$D$5:$D$135,0)),"")),OR('Assignment Builder'!$B$8="",$D2322='Assignment Builder'!$B$8),OR('Assignment Builder'!$B$9="",$F2322='Assignment Builder'!$B$9),OR('Assignment Builder'!$B$10="",$O2322='Assignment Builder'!$B$10),OR('Assignment Builder'!$B$11="",$H2322&gt;='Assignment Builder'!$B$11),OR('Assignment Builder'!$B$12="",N($Q2322)&lt;='Assignment Builder'!$B$12)))</f>
        <v/>
      </c>
      <c r="T2322" s="23" t="n"/>
    </row>
    <row r="2323">
      <c r="A2323" s="23" t="n"/>
      <c r="B2323" s="23" t="n"/>
      <c r="C2323" s="24" t="n"/>
      <c r="D2323" s="15" t="n"/>
      <c r="E2323" s="23" t="n"/>
      <c r="F2323" s="15" t="n"/>
      <c r="G2323" s="23" t="n"/>
      <c r="H2323" s="25" t="n"/>
      <c r="I2323" s="15" t="n"/>
      <c r="J2323" s="26">
        <f>IF($A2323="","",LEN($C2323)-LEN(SUBSTITUTE($C2323,",",""))+1)</f>
        <v/>
      </c>
      <c r="K2323" s="26">
        <f>IF($A2323="","",SUMPRODUCT(--ISNUMBER(SEARCH('Category Dictionary'!$D$5:$D$135&amp;"",$C2323)),--('Category Dictionary'!$D$5:$D$135&lt;&gt;"")))</f>
        <v/>
      </c>
      <c r="L2323" s="27">
        <f>IF($A2323="","",TRIM(IF(ISERROR(FIND(",",$C2323)),$C2323,LEFT($C2323,FIND(",",$C2323)-1))))</f>
        <v/>
      </c>
      <c r="M2323" s="28">
        <f>IF($H2323="","",DATE(YEAR($H2323),MONTH($H2323),1))</f>
        <v/>
      </c>
      <c r="N2323" s="26">
        <f>IF($H2323="","",TODAY()-$H2323)</f>
        <v/>
      </c>
      <c r="O2323" s="15" t="n"/>
      <c r="P2323" s="15" t="n"/>
      <c r="Q2323" s="15" t="n"/>
      <c r="R2323" s="25" t="n"/>
      <c r="S2323" s="26">
        <f>IF($A2323="","",AND(OR('Assignment Builder'!$B$5="",$B2323='Assignment Builder'!$B$5),OR('Assignment Builder'!$B$6="",ISNUMBER(SEARCH('Assignment Builder'!$B$6,$C2323))),OR('Assignment Builder'!$B$7="",'Assignment Builder'!$B$7=IFERROR(INDEX('Category Dictionary'!$C$5:$C$135,MATCH($L2323,'Category Dictionary'!$D$5:$D$135,0)),"")),OR('Assignment Builder'!$B$8="",$D2323='Assignment Builder'!$B$8),OR('Assignment Builder'!$B$9="",$F2323='Assignment Builder'!$B$9),OR('Assignment Builder'!$B$10="",$O2323='Assignment Builder'!$B$10),OR('Assignment Builder'!$B$11="",$H2323&gt;='Assignment Builder'!$B$11),OR('Assignment Builder'!$B$12="",N($Q2323)&lt;='Assignment Builder'!$B$12)))</f>
        <v/>
      </c>
      <c r="T2323" s="23" t="n"/>
    </row>
    <row r="2324">
      <c r="A2324" s="23" t="n"/>
      <c r="B2324" s="23" t="n"/>
      <c r="C2324" s="24" t="n"/>
      <c r="D2324" s="15" t="n"/>
      <c r="E2324" s="23" t="n"/>
      <c r="F2324" s="15" t="n"/>
      <c r="G2324" s="23" t="n"/>
      <c r="H2324" s="25" t="n"/>
      <c r="I2324" s="15" t="n"/>
      <c r="J2324" s="26">
        <f>IF($A2324="","",LEN($C2324)-LEN(SUBSTITUTE($C2324,",",""))+1)</f>
        <v/>
      </c>
      <c r="K2324" s="26">
        <f>IF($A2324="","",SUMPRODUCT(--ISNUMBER(SEARCH('Category Dictionary'!$D$5:$D$135&amp;"",$C2324)),--('Category Dictionary'!$D$5:$D$135&lt;&gt;"")))</f>
        <v/>
      </c>
      <c r="L2324" s="27">
        <f>IF($A2324="","",TRIM(IF(ISERROR(FIND(",",$C2324)),$C2324,LEFT($C2324,FIND(",",$C2324)-1))))</f>
        <v/>
      </c>
      <c r="M2324" s="28">
        <f>IF($H2324="","",DATE(YEAR($H2324),MONTH($H2324),1))</f>
        <v/>
      </c>
      <c r="N2324" s="26">
        <f>IF($H2324="","",TODAY()-$H2324)</f>
        <v/>
      </c>
      <c r="O2324" s="15" t="n"/>
      <c r="P2324" s="15" t="n"/>
      <c r="Q2324" s="15" t="n"/>
      <c r="R2324" s="25" t="n"/>
      <c r="S2324" s="26">
        <f>IF($A2324="","",AND(OR('Assignment Builder'!$B$5="",$B2324='Assignment Builder'!$B$5),OR('Assignment Builder'!$B$6="",ISNUMBER(SEARCH('Assignment Builder'!$B$6,$C2324))),OR('Assignment Builder'!$B$7="",'Assignment Builder'!$B$7=IFERROR(INDEX('Category Dictionary'!$C$5:$C$135,MATCH($L2324,'Category Dictionary'!$D$5:$D$135,0)),"")),OR('Assignment Builder'!$B$8="",$D2324='Assignment Builder'!$B$8),OR('Assignment Builder'!$B$9="",$F2324='Assignment Builder'!$B$9),OR('Assignment Builder'!$B$10="",$O2324='Assignment Builder'!$B$10),OR('Assignment Builder'!$B$11="",$H2324&gt;='Assignment Builder'!$B$11),OR('Assignment Builder'!$B$12="",N($Q2324)&lt;='Assignment Builder'!$B$12)))</f>
        <v/>
      </c>
      <c r="T2324" s="23" t="n"/>
    </row>
    <row r="2325">
      <c r="A2325" s="23" t="n"/>
      <c r="B2325" s="23" t="n"/>
      <c r="C2325" s="24" t="n"/>
      <c r="D2325" s="15" t="n"/>
      <c r="E2325" s="23" t="n"/>
      <c r="F2325" s="15" t="n"/>
      <c r="G2325" s="23" t="n"/>
      <c r="H2325" s="25" t="n"/>
      <c r="I2325" s="15" t="n"/>
      <c r="J2325" s="26">
        <f>IF($A2325="","",LEN($C2325)-LEN(SUBSTITUTE($C2325,",",""))+1)</f>
        <v/>
      </c>
      <c r="K2325" s="26">
        <f>IF($A2325="","",SUMPRODUCT(--ISNUMBER(SEARCH('Category Dictionary'!$D$5:$D$135&amp;"",$C2325)),--('Category Dictionary'!$D$5:$D$135&lt;&gt;"")))</f>
        <v/>
      </c>
      <c r="L2325" s="27">
        <f>IF($A2325="","",TRIM(IF(ISERROR(FIND(",",$C2325)),$C2325,LEFT($C2325,FIND(",",$C2325)-1))))</f>
        <v/>
      </c>
      <c r="M2325" s="28">
        <f>IF($H2325="","",DATE(YEAR($H2325),MONTH($H2325),1))</f>
        <v/>
      </c>
      <c r="N2325" s="26">
        <f>IF($H2325="","",TODAY()-$H2325)</f>
        <v/>
      </c>
      <c r="O2325" s="15" t="n"/>
      <c r="P2325" s="15" t="n"/>
      <c r="Q2325" s="15" t="n"/>
      <c r="R2325" s="25" t="n"/>
      <c r="S2325" s="26">
        <f>IF($A2325="","",AND(OR('Assignment Builder'!$B$5="",$B2325='Assignment Builder'!$B$5),OR('Assignment Builder'!$B$6="",ISNUMBER(SEARCH('Assignment Builder'!$B$6,$C2325))),OR('Assignment Builder'!$B$7="",'Assignment Builder'!$B$7=IFERROR(INDEX('Category Dictionary'!$C$5:$C$135,MATCH($L2325,'Category Dictionary'!$D$5:$D$135,0)),"")),OR('Assignment Builder'!$B$8="",$D2325='Assignment Builder'!$B$8),OR('Assignment Builder'!$B$9="",$F2325='Assignment Builder'!$B$9),OR('Assignment Builder'!$B$10="",$O2325='Assignment Builder'!$B$10),OR('Assignment Builder'!$B$11="",$H2325&gt;='Assignment Builder'!$B$11),OR('Assignment Builder'!$B$12="",N($Q2325)&lt;='Assignment Builder'!$B$12)))</f>
        <v/>
      </c>
      <c r="T2325" s="23" t="n"/>
    </row>
    <row r="2326">
      <c r="A2326" s="23" t="n"/>
      <c r="B2326" s="23" t="n"/>
      <c r="C2326" s="24" t="n"/>
      <c r="D2326" s="15" t="n"/>
      <c r="E2326" s="23" t="n"/>
      <c r="F2326" s="15" t="n"/>
      <c r="G2326" s="23" t="n"/>
      <c r="H2326" s="25" t="n"/>
      <c r="I2326" s="15" t="n"/>
      <c r="J2326" s="26">
        <f>IF($A2326="","",LEN($C2326)-LEN(SUBSTITUTE($C2326,",",""))+1)</f>
        <v/>
      </c>
      <c r="K2326" s="26">
        <f>IF($A2326="","",SUMPRODUCT(--ISNUMBER(SEARCH('Category Dictionary'!$D$5:$D$135&amp;"",$C2326)),--('Category Dictionary'!$D$5:$D$135&lt;&gt;"")))</f>
        <v/>
      </c>
      <c r="L2326" s="27">
        <f>IF($A2326="","",TRIM(IF(ISERROR(FIND(",",$C2326)),$C2326,LEFT($C2326,FIND(",",$C2326)-1))))</f>
        <v/>
      </c>
      <c r="M2326" s="28">
        <f>IF($H2326="","",DATE(YEAR($H2326),MONTH($H2326),1))</f>
        <v/>
      </c>
      <c r="N2326" s="26">
        <f>IF($H2326="","",TODAY()-$H2326)</f>
        <v/>
      </c>
      <c r="O2326" s="15" t="n"/>
      <c r="P2326" s="15" t="n"/>
      <c r="Q2326" s="15" t="n"/>
      <c r="R2326" s="25" t="n"/>
      <c r="S2326" s="26">
        <f>IF($A2326="","",AND(OR('Assignment Builder'!$B$5="",$B2326='Assignment Builder'!$B$5),OR('Assignment Builder'!$B$6="",ISNUMBER(SEARCH('Assignment Builder'!$B$6,$C2326))),OR('Assignment Builder'!$B$7="",'Assignment Builder'!$B$7=IFERROR(INDEX('Category Dictionary'!$C$5:$C$135,MATCH($L2326,'Category Dictionary'!$D$5:$D$135,0)),"")),OR('Assignment Builder'!$B$8="",$D2326='Assignment Builder'!$B$8),OR('Assignment Builder'!$B$9="",$F2326='Assignment Builder'!$B$9),OR('Assignment Builder'!$B$10="",$O2326='Assignment Builder'!$B$10),OR('Assignment Builder'!$B$11="",$H2326&gt;='Assignment Builder'!$B$11),OR('Assignment Builder'!$B$12="",N($Q2326)&lt;='Assignment Builder'!$B$12)))</f>
        <v/>
      </c>
      <c r="T2326" s="23" t="n"/>
    </row>
    <row r="2327">
      <c r="A2327" s="23" t="n"/>
      <c r="B2327" s="23" t="n"/>
      <c r="C2327" s="24" t="n"/>
      <c r="D2327" s="15" t="n"/>
      <c r="E2327" s="23" t="n"/>
      <c r="F2327" s="15" t="n"/>
      <c r="G2327" s="23" t="n"/>
      <c r="H2327" s="25" t="n"/>
      <c r="I2327" s="15" t="n"/>
      <c r="J2327" s="26">
        <f>IF($A2327="","",LEN($C2327)-LEN(SUBSTITUTE($C2327,",",""))+1)</f>
        <v/>
      </c>
      <c r="K2327" s="26">
        <f>IF($A2327="","",SUMPRODUCT(--ISNUMBER(SEARCH('Category Dictionary'!$D$5:$D$135&amp;"",$C2327)),--('Category Dictionary'!$D$5:$D$135&lt;&gt;"")))</f>
        <v/>
      </c>
      <c r="L2327" s="27">
        <f>IF($A2327="","",TRIM(IF(ISERROR(FIND(",",$C2327)),$C2327,LEFT($C2327,FIND(",",$C2327)-1))))</f>
        <v/>
      </c>
      <c r="M2327" s="28">
        <f>IF($H2327="","",DATE(YEAR($H2327),MONTH($H2327),1))</f>
        <v/>
      </c>
      <c r="N2327" s="26">
        <f>IF($H2327="","",TODAY()-$H2327)</f>
        <v/>
      </c>
      <c r="O2327" s="15" t="n"/>
      <c r="P2327" s="15" t="n"/>
      <c r="Q2327" s="15" t="n"/>
      <c r="R2327" s="25" t="n"/>
      <c r="S2327" s="26">
        <f>IF($A2327="","",AND(OR('Assignment Builder'!$B$5="",$B2327='Assignment Builder'!$B$5),OR('Assignment Builder'!$B$6="",ISNUMBER(SEARCH('Assignment Builder'!$B$6,$C2327))),OR('Assignment Builder'!$B$7="",'Assignment Builder'!$B$7=IFERROR(INDEX('Category Dictionary'!$C$5:$C$135,MATCH($L2327,'Category Dictionary'!$D$5:$D$135,0)),"")),OR('Assignment Builder'!$B$8="",$D2327='Assignment Builder'!$B$8),OR('Assignment Builder'!$B$9="",$F2327='Assignment Builder'!$B$9),OR('Assignment Builder'!$B$10="",$O2327='Assignment Builder'!$B$10),OR('Assignment Builder'!$B$11="",$H2327&gt;='Assignment Builder'!$B$11),OR('Assignment Builder'!$B$12="",N($Q2327)&lt;='Assignment Builder'!$B$12)))</f>
        <v/>
      </c>
      <c r="T2327" s="23" t="n"/>
    </row>
    <row r="2328">
      <c r="A2328" s="23" t="n"/>
      <c r="B2328" s="23" t="n"/>
      <c r="C2328" s="24" t="n"/>
      <c r="D2328" s="15" t="n"/>
      <c r="E2328" s="23" t="n"/>
      <c r="F2328" s="15" t="n"/>
      <c r="G2328" s="23" t="n"/>
      <c r="H2328" s="25" t="n"/>
      <c r="I2328" s="15" t="n"/>
      <c r="J2328" s="26">
        <f>IF($A2328="","",LEN($C2328)-LEN(SUBSTITUTE($C2328,",",""))+1)</f>
        <v/>
      </c>
      <c r="K2328" s="26">
        <f>IF($A2328="","",SUMPRODUCT(--ISNUMBER(SEARCH('Category Dictionary'!$D$5:$D$135&amp;"",$C2328)),--('Category Dictionary'!$D$5:$D$135&lt;&gt;"")))</f>
        <v/>
      </c>
      <c r="L2328" s="27">
        <f>IF($A2328="","",TRIM(IF(ISERROR(FIND(",",$C2328)),$C2328,LEFT($C2328,FIND(",",$C2328)-1))))</f>
        <v/>
      </c>
      <c r="M2328" s="28">
        <f>IF($H2328="","",DATE(YEAR($H2328),MONTH($H2328),1))</f>
        <v/>
      </c>
      <c r="N2328" s="26">
        <f>IF($H2328="","",TODAY()-$H2328)</f>
        <v/>
      </c>
      <c r="O2328" s="15" t="n"/>
      <c r="P2328" s="15" t="n"/>
      <c r="Q2328" s="15" t="n"/>
      <c r="R2328" s="25" t="n"/>
      <c r="S2328" s="26">
        <f>IF($A2328="","",AND(OR('Assignment Builder'!$B$5="",$B2328='Assignment Builder'!$B$5),OR('Assignment Builder'!$B$6="",ISNUMBER(SEARCH('Assignment Builder'!$B$6,$C2328))),OR('Assignment Builder'!$B$7="",'Assignment Builder'!$B$7=IFERROR(INDEX('Category Dictionary'!$C$5:$C$135,MATCH($L2328,'Category Dictionary'!$D$5:$D$135,0)),"")),OR('Assignment Builder'!$B$8="",$D2328='Assignment Builder'!$B$8),OR('Assignment Builder'!$B$9="",$F2328='Assignment Builder'!$B$9),OR('Assignment Builder'!$B$10="",$O2328='Assignment Builder'!$B$10),OR('Assignment Builder'!$B$11="",$H2328&gt;='Assignment Builder'!$B$11),OR('Assignment Builder'!$B$12="",N($Q2328)&lt;='Assignment Builder'!$B$12)))</f>
        <v/>
      </c>
      <c r="T2328" s="23" t="n"/>
    </row>
    <row r="2329">
      <c r="A2329" s="23" t="n"/>
      <c r="B2329" s="23" t="n"/>
      <c r="C2329" s="24" t="n"/>
      <c r="D2329" s="15" t="n"/>
      <c r="E2329" s="23" t="n"/>
      <c r="F2329" s="15" t="n"/>
      <c r="G2329" s="23" t="n"/>
      <c r="H2329" s="25" t="n"/>
      <c r="I2329" s="15" t="n"/>
      <c r="J2329" s="26">
        <f>IF($A2329="","",LEN($C2329)-LEN(SUBSTITUTE($C2329,",",""))+1)</f>
        <v/>
      </c>
      <c r="K2329" s="26">
        <f>IF($A2329="","",SUMPRODUCT(--ISNUMBER(SEARCH('Category Dictionary'!$D$5:$D$135&amp;"",$C2329)),--('Category Dictionary'!$D$5:$D$135&lt;&gt;"")))</f>
        <v/>
      </c>
      <c r="L2329" s="27">
        <f>IF($A2329="","",TRIM(IF(ISERROR(FIND(",",$C2329)),$C2329,LEFT($C2329,FIND(",",$C2329)-1))))</f>
        <v/>
      </c>
      <c r="M2329" s="28">
        <f>IF($H2329="","",DATE(YEAR($H2329),MONTH($H2329),1))</f>
        <v/>
      </c>
      <c r="N2329" s="26">
        <f>IF($H2329="","",TODAY()-$H2329)</f>
        <v/>
      </c>
      <c r="O2329" s="15" t="n"/>
      <c r="P2329" s="15" t="n"/>
      <c r="Q2329" s="15" t="n"/>
      <c r="R2329" s="25" t="n"/>
      <c r="S2329" s="26">
        <f>IF($A2329="","",AND(OR('Assignment Builder'!$B$5="",$B2329='Assignment Builder'!$B$5),OR('Assignment Builder'!$B$6="",ISNUMBER(SEARCH('Assignment Builder'!$B$6,$C2329))),OR('Assignment Builder'!$B$7="",'Assignment Builder'!$B$7=IFERROR(INDEX('Category Dictionary'!$C$5:$C$135,MATCH($L2329,'Category Dictionary'!$D$5:$D$135,0)),"")),OR('Assignment Builder'!$B$8="",$D2329='Assignment Builder'!$B$8),OR('Assignment Builder'!$B$9="",$F2329='Assignment Builder'!$B$9),OR('Assignment Builder'!$B$10="",$O2329='Assignment Builder'!$B$10),OR('Assignment Builder'!$B$11="",$H2329&gt;='Assignment Builder'!$B$11),OR('Assignment Builder'!$B$12="",N($Q2329)&lt;='Assignment Builder'!$B$12)))</f>
        <v/>
      </c>
      <c r="T2329" s="23" t="n"/>
    </row>
    <row r="2330">
      <c r="A2330" s="23" t="n"/>
      <c r="B2330" s="23" t="n"/>
      <c r="C2330" s="24" t="n"/>
      <c r="D2330" s="15" t="n"/>
      <c r="E2330" s="23" t="n"/>
      <c r="F2330" s="15" t="n"/>
      <c r="G2330" s="23" t="n"/>
      <c r="H2330" s="25" t="n"/>
      <c r="I2330" s="15" t="n"/>
      <c r="J2330" s="26">
        <f>IF($A2330="","",LEN($C2330)-LEN(SUBSTITUTE($C2330,",",""))+1)</f>
        <v/>
      </c>
      <c r="K2330" s="26">
        <f>IF($A2330="","",SUMPRODUCT(--ISNUMBER(SEARCH('Category Dictionary'!$D$5:$D$135&amp;"",$C2330)),--('Category Dictionary'!$D$5:$D$135&lt;&gt;"")))</f>
        <v/>
      </c>
      <c r="L2330" s="27">
        <f>IF($A2330="","",TRIM(IF(ISERROR(FIND(",",$C2330)),$C2330,LEFT($C2330,FIND(",",$C2330)-1))))</f>
        <v/>
      </c>
      <c r="M2330" s="28">
        <f>IF($H2330="","",DATE(YEAR($H2330),MONTH($H2330),1))</f>
        <v/>
      </c>
      <c r="N2330" s="26">
        <f>IF($H2330="","",TODAY()-$H2330)</f>
        <v/>
      </c>
      <c r="O2330" s="15" t="n"/>
      <c r="P2330" s="15" t="n"/>
      <c r="Q2330" s="15" t="n"/>
      <c r="R2330" s="25" t="n"/>
      <c r="S2330" s="26">
        <f>IF($A2330="","",AND(OR('Assignment Builder'!$B$5="",$B2330='Assignment Builder'!$B$5),OR('Assignment Builder'!$B$6="",ISNUMBER(SEARCH('Assignment Builder'!$B$6,$C2330))),OR('Assignment Builder'!$B$7="",'Assignment Builder'!$B$7=IFERROR(INDEX('Category Dictionary'!$C$5:$C$135,MATCH($L2330,'Category Dictionary'!$D$5:$D$135,0)),"")),OR('Assignment Builder'!$B$8="",$D2330='Assignment Builder'!$B$8),OR('Assignment Builder'!$B$9="",$F2330='Assignment Builder'!$B$9),OR('Assignment Builder'!$B$10="",$O2330='Assignment Builder'!$B$10),OR('Assignment Builder'!$B$11="",$H2330&gt;='Assignment Builder'!$B$11),OR('Assignment Builder'!$B$12="",N($Q2330)&lt;='Assignment Builder'!$B$12)))</f>
        <v/>
      </c>
      <c r="T2330" s="23" t="n"/>
    </row>
    <row r="2331">
      <c r="A2331" s="23" t="n"/>
      <c r="B2331" s="23" t="n"/>
      <c r="C2331" s="24" t="n"/>
      <c r="D2331" s="15" t="n"/>
      <c r="E2331" s="23" t="n"/>
      <c r="F2331" s="15" t="n"/>
      <c r="G2331" s="23" t="n"/>
      <c r="H2331" s="25" t="n"/>
      <c r="I2331" s="15" t="n"/>
      <c r="J2331" s="26">
        <f>IF($A2331="","",LEN($C2331)-LEN(SUBSTITUTE($C2331,",",""))+1)</f>
        <v/>
      </c>
      <c r="K2331" s="26">
        <f>IF($A2331="","",SUMPRODUCT(--ISNUMBER(SEARCH('Category Dictionary'!$D$5:$D$135&amp;"",$C2331)),--('Category Dictionary'!$D$5:$D$135&lt;&gt;"")))</f>
        <v/>
      </c>
      <c r="L2331" s="27">
        <f>IF($A2331="","",TRIM(IF(ISERROR(FIND(",",$C2331)),$C2331,LEFT($C2331,FIND(",",$C2331)-1))))</f>
        <v/>
      </c>
      <c r="M2331" s="28">
        <f>IF($H2331="","",DATE(YEAR($H2331),MONTH($H2331),1))</f>
        <v/>
      </c>
      <c r="N2331" s="26">
        <f>IF($H2331="","",TODAY()-$H2331)</f>
        <v/>
      </c>
      <c r="O2331" s="15" t="n"/>
      <c r="P2331" s="15" t="n"/>
      <c r="Q2331" s="15" t="n"/>
      <c r="R2331" s="25" t="n"/>
      <c r="S2331" s="26">
        <f>IF($A2331="","",AND(OR('Assignment Builder'!$B$5="",$B2331='Assignment Builder'!$B$5),OR('Assignment Builder'!$B$6="",ISNUMBER(SEARCH('Assignment Builder'!$B$6,$C2331))),OR('Assignment Builder'!$B$7="",'Assignment Builder'!$B$7=IFERROR(INDEX('Category Dictionary'!$C$5:$C$135,MATCH($L2331,'Category Dictionary'!$D$5:$D$135,0)),"")),OR('Assignment Builder'!$B$8="",$D2331='Assignment Builder'!$B$8),OR('Assignment Builder'!$B$9="",$F2331='Assignment Builder'!$B$9),OR('Assignment Builder'!$B$10="",$O2331='Assignment Builder'!$B$10),OR('Assignment Builder'!$B$11="",$H2331&gt;='Assignment Builder'!$B$11),OR('Assignment Builder'!$B$12="",N($Q2331)&lt;='Assignment Builder'!$B$12)))</f>
        <v/>
      </c>
      <c r="T2331" s="23" t="n"/>
    </row>
    <row r="2332">
      <c r="A2332" s="23" t="n"/>
      <c r="B2332" s="23" t="n"/>
      <c r="C2332" s="24" t="n"/>
      <c r="D2332" s="15" t="n"/>
      <c r="E2332" s="23" t="n"/>
      <c r="F2332" s="15" t="n"/>
      <c r="G2332" s="23" t="n"/>
      <c r="H2332" s="25" t="n"/>
      <c r="I2332" s="15" t="n"/>
      <c r="J2332" s="26">
        <f>IF($A2332="","",LEN($C2332)-LEN(SUBSTITUTE($C2332,",",""))+1)</f>
        <v/>
      </c>
      <c r="K2332" s="26">
        <f>IF($A2332="","",SUMPRODUCT(--ISNUMBER(SEARCH('Category Dictionary'!$D$5:$D$135&amp;"",$C2332)),--('Category Dictionary'!$D$5:$D$135&lt;&gt;"")))</f>
        <v/>
      </c>
      <c r="L2332" s="27">
        <f>IF($A2332="","",TRIM(IF(ISERROR(FIND(",",$C2332)),$C2332,LEFT($C2332,FIND(",",$C2332)-1))))</f>
        <v/>
      </c>
      <c r="M2332" s="28">
        <f>IF($H2332="","",DATE(YEAR($H2332),MONTH($H2332),1))</f>
        <v/>
      </c>
      <c r="N2332" s="26">
        <f>IF($H2332="","",TODAY()-$H2332)</f>
        <v/>
      </c>
      <c r="O2332" s="15" t="n"/>
      <c r="P2332" s="15" t="n"/>
      <c r="Q2332" s="15" t="n"/>
      <c r="R2332" s="25" t="n"/>
      <c r="S2332" s="26">
        <f>IF($A2332="","",AND(OR('Assignment Builder'!$B$5="",$B2332='Assignment Builder'!$B$5),OR('Assignment Builder'!$B$6="",ISNUMBER(SEARCH('Assignment Builder'!$B$6,$C2332))),OR('Assignment Builder'!$B$7="",'Assignment Builder'!$B$7=IFERROR(INDEX('Category Dictionary'!$C$5:$C$135,MATCH($L2332,'Category Dictionary'!$D$5:$D$135,0)),"")),OR('Assignment Builder'!$B$8="",$D2332='Assignment Builder'!$B$8),OR('Assignment Builder'!$B$9="",$F2332='Assignment Builder'!$B$9),OR('Assignment Builder'!$B$10="",$O2332='Assignment Builder'!$B$10),OR('Assignment Builder'!$B$11="",$H2332&gt;='Assignment Builder'!$B$11),OR('Assignment Builder'!$B$12="",N($Q2332)&lt;='Assignment Builder'!$B$12)))</f>
        <v/>
      </c>
      <c r="T2332" s="23" t="n"/>
    </row>
    <row r="2333">
      <c r="A2333" s="23" t="n"/>
      <c r="B2333" s="23" t="n"/>
      <c r="C2333" s="24" t="n"/>
      <c r="D2333" s="15" t="n"/>
      <c r="E2333" s="23" t="n"/>
      <c r="F2333" s="15" t="n"/>
      <c r="G2333" s="23" t="n"/>
      <c r="H2333" s="25" t="n"/>
      <c r="I2333" s="15" t="n"/>
      <c r="J2333" s="26">
        <f>IF($A2333="","",LEN($C2333)-LEN(SUBSTITUTE($C2333,",",""))+1)</f>
        <v/>
      </c>
      <c r="K2333" s="26">
        <f>IF($A2333="","",SUMPRODUCT(--ISNUMBER(SEARCH('Category Dictionary'!$D$5:$D$135&amp;"",$C2333)),--('Category Dictionary'!$D$5:$D$135&lt;&gt;"")))</f>
        <v/>
      </c>
      <c r="L2333" s="27">
        <f>IF($A2333="","",TRIM(IF(ISERROR(FIND(",",$C2333)),$C2333,LEFT($C2333,FIND(",",$C2333)-1))))</f>
        <v/>
      </c>
      <c r="M2333" s="28">
        <f>IF($H2333="","",DATE(YEAR($H2333),MONTH($H2333),1))</f>
        <v/>
      </c>
      <c r="N2333" s="26">
        <f>IF($H2333="","",TODAY()-$H2333)</f>
        <v/>
      </c>
      <c r="O2333" s="15" t="n"/>
      <c r="P2333" s="15" t="n"/>
      <c r="Q2333" s="15" t="n"/>
      <c r="R2333" s="25" t="n"/>
      <c r="S2333" s="26">
        <f>IF($A2333="","",AND(OR('Assignment Builder'!$B$5="",$B2333='Assignment Builder'!$B$5),OR('Assignment Builder'!$B$6="",ISNUMBER(SEARCH('Assignment Builder'!$B$6,$C2333))),OR('Assignment Builder'!$B$7="",'Assignment Builder'!$B$7=IFERROR(INDEX('Category Dictionary'!$C$5:$C$135,MATCH($L2333,'Category Dictionary'!$D$5:$D$135,0)),"")),OR('Assignment Builder'!$B$8="",$D2333='Assignment Builder'!$B$8),OR('Assignment Builder'!$B$9="",$F2333='Assignment Builder'!$B$9),OR('Assignment Builder'!$B$10="",$O2333='Assignment Builder'!$B$10),OR('Assignment Builder'!$B$11="",$H2333&gt;='Assignment Builder'!$B$11),OR('Assignment Builder'!$B$12="",N($Q2333)&lt;='Assignment Builder'!$B$12)))</f>
        <v/>
      </c>
      <c r="T2333" s="23" t="n"/>
    </row>
    <row r="2334">
      <c r="A2334" s="23" t="n"/>
      <c r="B2334" s="23" t="n"/>
      <c r="C2334" s="24" t="n"/>
      <c r="D2334" s="15" t="n"/>
      <c r="E2334" s="23" t="n"/>
      <c r="F2334" s="15" t="n"/>
      <c r="G2334" s="23" t="n"/>
      <c r="H2334" s="25" t="n"/>
      <c r="I2334" s="15" t="n"/>
      <c r="J2334" s="26">
        <f>IF($A2334="","",LEN($C2334)-LEN(SUBSTITUTE($C2334,",",""))+1)</f>
        <v/>
      </c>
      <c r="K2334" s="26">
        <f>IF($A2334="","",SUMPRODUCT(--ISNUMBER(SEARCH('Category Dictionary'!$D$5:$D$135&amp;"",$C2334)),--('Category Dictionary'!$D$5:$D$135&lt;&gt;"")))</f>
        <v/>
      </c>
      <c r="L2334" s="27">
        <f>IF($A2334="","",TRIM(IF(ISERROR(FIND(",",$C2334)),$C2334,LEFT($C2334,FIND(",",$C2334)-1))))</f>
        <v/>
      </c>
      <c r="M2334" s="28">
        <f>IF($H2334="","",DATE(YEAR($H2334),MONTH($H2334),1))</f>
        <v/>
      </c>
      <c r="N2334" s="26">
        <f>IF($H2334="","",TODAY()-$H2334)</f>
        <v/>
      </c>
      <c r="O2334" s="15" t="n"/>
      <c r="P2334" s="15" t="n"/>
      <c r="Q2334" s="15" t="n"/>
      <c r="R2334" s="25" t="n"/>
      <c r="S2334" s="26">
        <f>IF($A2334="","",AND(OR('Assignment Builder'!$B$5="",$B2334='Assignment Builder'!$B$5),OR('Assignment Builder'!$B$6="",ISNUMBER(SEARCH('Assignment Builder'!$B$6,$C2334))),OR('Assignment Builder'!$B$7="",'Assignment Builder'!$B$7=IFERROR(INDEX('Category Dictionary'!$C$5:$C$135,MATCH($L2334,'Category Dictionary'!$D$5:$D$135,0)),"")),OR('Assignment Builder'!$B$8="",$D2334='Assignment Builder'!$B$8),OR('Assignment Builder'!$B$9="",$F2334='Assignment Builder'!$B$9),OR('Assignment Builder'!$B$10="",$O2334='Assignment Builder'!$B$10),OR('Assignment Builder'!$B$11="",$H2334&gt;='Assignment Builder'!$B$11),OR('Assignment Builder'!$B$12="",N($Q2334)&lt;='Assignment Builder'!$B$12)))</f>
        <v/>
      </c>
      <c r="T2334" s="23" t="n"/>
    </row>
    <row r="2335">
      <c r="A2335" s="23" t="n"/>
      <c r="B2335" s="23" t="n"/>
      <c r="C2335" s="24" t="n"/>
      <c r="D2335" s="15" t="n"/>
      <c r="E2335" s="23" t="n"/>
      <c r="F2335" s="15" t="n"/>
      <c r="G2335" s="23" t="n"/>
      <c r="H2335" s="25" t="n"/>
      <c r="I2335" s="15" t="n"/>
      <c r="J2335" s="26">
        <f>IF($A2335="","",LEN($C2335)-LEN(SUBSTITUTE($C2335,",",""))+1)</f>
        <v/>
      </c>
      <c r="K2335" s="26">
        <f>IF($A2335="","",SUMPRODUCT(--ISNUMBER(SEARCH('Category Dictionary'!$D$5:$D$135&amp;"",$C2335)),--('Category Dictionary'!$D$5:$D$135&lt;&gt;"")))</f>
        <v/>
      </c>
      <c r="L2335" s="27">
        <f>IF($A2335="","",TRIM(IF(ISERROR(FIND(",",$C2335)),$C2335,LEFT($C2335,FIND(",",$C2335)-1))))</f>
        <v/>
      </c>
      <c r="M2335" s="28">
        <f>IF($H2335="","",DATE(YEAR($H2335),MONTH($H2335),1))</f>
        <v/>
      </c>
      <c r="N2335" s="26">
        <f>IF($H2335="","",TODAY()-$H2335)</f>
        <v/>
      </c>
      <c r="O2335" s="15" t="n"/>
      <c r="P2335" s="15" t="n"/>
      <c r="Q2335" s="15" t="n"/>
      <c r="R2335" s="25" t="n"/>
      <c r="S2335" s="26">
        <f>IF($A2335="","",AND(OR('Assignment Builder'!$B$5="",$B2335='Assignment Builder'!$B$5),OR('Assignment Builder'!$B$6="",ISNUMBER(SEARCH('Assignment Builder'!$B$6,$C2335))),OR('Assignment Builder'!$B$7="",'Assignment Builder'!$B$7=IFERROR(INDEX('Category Dictionary'!$C$5:$C$135,MATCH($L2335,'Category Dictionary'!$D$5:$D$135,0)),"")),OR('Assignment Builder'!$B$8="",$D2335='Assignment Builder'!$B$8),OR('Assignment Builder'!$B$9="",$F2335='Assignment Builder'!$B$9),OR('Assignment Builder'!$B$10="",$O2335='Assignment Builder'!$B$10),OR('Assignment Builder'!$B$11="",$H2335&gt;='Assignment Builder'!$B$11),OR('Assignment Builder'!$B$12="",N($Q2335)&lt;='Assignment Builder'!$B$12)))</f>
        <v/>
      </c>
      <c r="T2335" s="23" t="n"/>
    </row>
    <row r="2336">
      <c r="A2336" s="23" t="n"/>
      <c r="B2336" s="23" t="n"/>
      <c r="C2336" s="24" t="n"/>
      <c r="D2336" s="15" t="n"/>
      <c r="E2336" s="23" t="n"/>
      <c r="F2336" s="15" t="n"/>
      <c r="G2336" s="23" t="n"/>
      <c r="H2336" s="25" t="n"/>
      <c r="I2336" s="15" t="n"/>
      <c r="J2336" s="26">
        <f>IF($A2336="","",LEN($C2336)-LEN(SUBSTITUTE($C2336,",",""))+1)</f>
        <v/>
      </c>
      <c r="K2336" s="26">
        <f>IF($A2336="","",SUMPRODUCT(--ISNUMBER(SEARCH('Category Dictionary'!$D$5:$D$135&amp;"",$C2336)),--('Category Dictionary'!$D$5:$D$135&lt;&gt;"")))</f>
        <v/>
      </c>
      <c r="L2336" s="27">
        <f>IF($A2336="","",TRIM(IF(ISERROR(FIND(",",$C2336)),$C2336,LEFT($C2336,FIND(",",$C2336)-1))))</f>
        <v/>
      </c>
      <c r="M2336" s="28">
        <f>IF($H2336="","",DATE(YEAR($H2336),MONTH($H2336),1))</f>
        <v/>
      </c>
      <c r="N2336" s="26">
        <f>IF($H2336="","",TODAY()-$H2336)</f>
        <v/>
      </c>
      <c r="O2336" s="15" t="n"/>
      <c r="P2336" s="15" t="n"/>
      <c r="Q2336" s="15" t="n"/>
      <c r="R2336" s="25" t="n"/>
      <c r="S2336" s="26">
        <f>IF($A2336="","",AND(OR('Assignment Builder'!$B$5="",$B2336='Assignment Builder'!$B$5),OR('Assignment Builder'!$B$6="",ISNUMBER(SEARCH('Assignment Builder'!$B$6,$C2336))),OR('Assignment Builder'!$B$7="",'Assignment Builder'!$B$7=IFERROR(INDEX('Category Dictionary'!$C$5:$C$135,MATCH($L2336,'Category Dictionary'!$D$5:$D$135,0)),"")),OR('Assignment Builder'!$B$8="",$D2336='Assignment Builder'!$B$8),OR('Assignment Builder'!$B$9="",$F2336='Assignment Builder'!$B$9),OR('Assignment Builder'!$B$10="",$O2336='Assignment Builder'!$B$10),OR('Assignment Builder'!$B$11="",$H2336&gt;='Assignment Builder'!$B$11),OR('Assignment Builder'!$B$12="",N($Q2336)&lt;='Assignment Builder'!$B$12)))</f>
        <v/>
      </c>
      <c r="T2336" s="23" t="n"/>
    </row>
    <row r="2337">
      <c r="A2337" s="23" t="n"/>
      <c r="B2337" s="23" t="n"/>
      <c r="C2337" s="24" t="n"/>
      <c r="D2337" s="15" t="n"/>
      <c r="E2337" s="23" t="n"/>
      <c r="F2337" s="15" t="n"/>
      <c r="G2337" s="23" t="n"/>
      <c r="H2337" s="25" t="n"/>
      <c r="I2337" s="15" t="n"/>
      <c r="J2337" s="26">
        <f>IF($A2337="","",LEN($C2337)-LEN(SUBSTITUTE($C2337,",",""))+1)</f>
        <v/>
      </c>
      <c r="K2337" s="26">
        <f>IF($A2337="","",SUMPRODUCT(--ISNUMBER(SEARCH('Category Dictionary'!$D$5:$D$135&amp;"",$C2337)),--('Category Dictionary'!$D$5:$D$135&lt;&gt;"")))</f>
        <v/>
      </c>
      <c r="L2337" s="27">
        <f>IF($A2337="","",TRIM(IF(ISERROR(FIND(",",$C2337)),$C2337,LEFT($C2337,FIND(",",$C2337)-1))))</f>
        <v/>
      </c>
      <c r="M2337" s="28">
        <f>IF($H2337="","",DATE(YEAR($H2337),MONTH($H2337),1))</f>
        <v/>
      </c>
      <c r="N2337" s="26">
        <f>IF($H2337="","",TODAY()-$H2337)</f>
        <v/>
      </c>
      <c r="O2337" s="15" t="n"/>
      <c r="P2337" s="15" t="n"/>
      <c r="Q2337" s="15" t="n"/>
      <c r="R2337" s="25" t="n"/>
      <c r="S2337" s="26">
        <f>IF($A2337="","",AND(OR('Assignment Builder'!$B$5="",$B2337='Assignment Builder'!$B$5),OR('Assignment Builder'!$B$6="",ISNUMBER(SEARCH('Assignment Builder'!$B$6,$C2337))),OR('Assignment Builder'!$B$7="",'Assignment Builder'!$B$7=IFERROR(INDEX('Category Dictionary'!$C$5:$C$135,MATCH($L2337,'Category Dictionary'!$D$5:$D$135,0)),"")),OR('Assignment Builder'!$B$8="",$D2337='Assignment Builder'!$B$8),OR('Assignment Builder'!$B$9="",$F2337='Assignment Builder'!$B$9),OR('Assignment Builder'!$B$10="",$O2337='Assignment Builder'!$B$10),OR('Assignment Builder'!$B$11="",$H2337&gt;='Assignment Builder'!$B$11),OR('Assignment Builder'!$B$12="",N($Q2337)&lt;='Assignment Builder'!$B$12)))</f>
        <v/>
      </c>
      <c r="T2337" s="23" t="n"/>
    </row>
    <row r="2338">
      <c r="A2338" s="23" t="n"/>
      <c r="B2338" s="23" t="n"/>
      <c r="C2338" s="24" t="n"/>
      <c r="D2338" s="15" t="n"/>
      <c r="E2338" s="23" t="n"/>
      <c r="F2338" s="15" t="n"/>
      <c r="G2338" s="23" t="n"/>
      <c r="H2338" s="25" t="n"/>
      <c r="I2338" s="15" t="n"/>
      <c r="J2338" s="26">
        <f>IF($A2338="","",LEN($C2338)-LEN(SUBSTITUTE($C2338,",",""))+1)</f>
        <v/>
      </c>
      <c r="K2338" s="26">
        <f>IF($A2338="","",SUMPRODUCT(--ISNUMBER(SEARCH('Category Dictionary'!$D$5:$D$135&amp;"",$C2338)),--('Category Dictionary'!$D$5:$D$135&lt;&gt;"")))</f>
        <v/>
      </c>
      <c r="L2338" s="27">
        <f>IF($A2338="","",TRIM(IF(ISERROR(FIND(",",$C2338)),$C2338,LEFT($C2338,FIND(",",$C2338)-1))))</f>
        <v/>
      </c>
      <c r="M2338" s="28">
        <f>IF($H2338="","",DATE(YEAR($H2338),MONTH($H2338),1))</f>
        <v/>
      </c>
      <c r="N2338" s="26">
        <f>IF($H2338="","",TODAY()-$H2338)</f>
        <v/>
      </c>
      <c r="O2338" s="15" t="n"/>
      <c r="P2338" s="15" t="n"/>
      <c r="Q2338" s="15" t="n"/>
      <c r="R2338" s="25" t="n"/>
      <c r="S2338" s="26">
        <f>IF($A2338="","",AND(OR('Assignment Builder'!$B$5="",$B2338='Assignment Builder'!$B$5),OR('Assignment Builder'!$B$6="",ISNUMBER(SEARCH('Assignment Builder'!$B$6,$C2338))),OR('Assignment Builder'!$B$7="",'Assignment Builder'!$B$7=IFERROR(INDEX('Category Dictionary'!$C$5:$C$135,MATCH($L2338,'Category Dictionary'!$D$5:$D$135,0)),"")),OR('Assignment Builder'!$B$8="",$D2338='Assignment Builder'!$B$8),OR('Assignment Builder'!$B$9="",$F2338='Assignment Builder'!$B$9),OR('Assignment Builder'!$B$10="",$O2338='Assignment Builder'!$B$10),OR('Assignment Builder'!$B$11="",$H2338&gt;='Assignment Builder'!$B$11),OR('Assignment Builder'!$B$12="",N($Q2338)&lt;='Assignment Builder'!$B$12)))</f>
        <v/>
      </c>
      <c r="T2338" s="23" t="n"/>
    </row>
    <row r="2339">
      <c r="A2339" s="23" t="n"/>
      <c r="B2339" s="23" t="n"/>
      <c r="C2339" s="24" t="n"/>
      <c r="D2339" s="15" t="n"/>
      <c r="E2339" s="23" t="n"/>
      <c r="F2339" s="15" t="n"/>
      <c r="G2339" s="23" t="n"/>
      <c r="H2339" s="25" t="n"/>
      <c r="I2339" s="15" t="n"/>
      <c r="J2339" s="26">
        <f>IF($A2339="","",LEN($C2339)-LEN(SUBSTITUTE($C2339,",",""))+1)</f>
        <v/>
      </c>
      <c r="K2339" s="26">
        <f>IF($A2339="","",SUMPRODUCT(--ISNUMBER(SEARCH('Category Dictionary'!$D$5:$D$135&amp;"",$C2339)),--('Category Dictionary'!$D$5:$D$135&lt;&gt;"")))</f>
        <v/>
      </c>
      <c r="L2339" s="27">
        <f>IF($A2339="","",TRIM(IF(ISERROR(FIND(",",$C2339)),$C2339,LEFT($C2339,FIND(",",$C2339)-1))))</f>
        <v/>
      </c>
      <c r="M2339" s="28">
        <f>IF($H2339="","",DATE(YEAR($H2339),MONTH($H2339),1))</f>
        <v/>
      </c>
      <c r="N2339" s="26">
        <f>IF($H2339="","",TODAY()-$H2339)</f>
        <v/>
      </c>
      <c r="O2339" s="15" t="n"/>
      <c r="P2339" s="15" t="n"/>
      <c r="Q2339" s="15" t="n"/>
      <c r="R2339" s="25" t="n"/>
      <c r="S2339" s="26">
        <f>IF($A2339="","",AND(OR('Assignment Builder'!$B$5="",$B2339='Assignment Builder'!$B$5),OR('Assignment Builder'!$B$6="",ISNUMBER(SEARCH('Assignment Builder'!$B$6,$C2339))),OR('Assignment Builder'!$B$7="",'Assignment Builder'!$B$7=IFERROR(INDEX('Category Dictionary'!$C$5:$C$135,MATCH($L2339,'Category Dictionary'!$D$5:$D$135,0)),"")),OR('Assignment Builder'!$B$8="",$D2339='Assignment Builder'!$B$8),OR('Assignment Builder'!$B$9="",$F2339='Assignment Builder'!$B$9),OR('Assignment Builder'!$B$10="",$O2339='Assignment Builder'!$B$10),OR('Assignment Builder'!$B$11="",$H2339&gt;='Assignment Builder'!$B$11),OR('Assignment Builder'!$B$12="",N($Q2339)&lt;='Assignment Builder'!$B$12)))</f>
        <v/>
      </c>
      <c r="T2339" s="23" t="n"/>
    </row>
    <row r="2340">
      <c r="A2340" s="23" t="n"/>
      <c r="B2340" s="23" t="n"/>
      <c r="C2340" s="24" t="n"/>
      <c r="D2340" s="15" t="n"/>
      <c r="E2340" s="23" t="n"/>
      <c r="F2340" s="15" t="n"/>
      <c r="G2340" s="23" t="n"/>
      <c r="H2340" s="25" t="n"/>
      <c r="I2340" s="15" t="n"/>
      <c r="J2340" s="26">
        <f>IF($A2340="","",LEN($C2340)-LEN(SUBSTITUTE($C2340,",",""))+1)</f>
        <v/>
      </c>
      <c r="K2340" s="26">
        <f>IF($A2340="","",SUMPRODUCT(--ISNUMBER(SEARCH('Category Dictionary'!$D$5:$D$135&amp;"",$C2340)),--('Category Dictionary'!$D$5:$D$135&lt;&gt;"")))</f>
        <v/>
      </c>
      <c r="L2340" s="27">
        <f>IF($A2340="","",TRIM(IF(ISERROR(FIND(",",$C2340)),$C2340,LEFT($C2340,FIND(",",$C2340)-1))))</f>
        <v/>
      </c>
      <c r="M2340" s="28">
        <f>IF($H2340="","",DATE(YEAR($H2340),MONTH($H2340),1))</f>
        <v/>
      </c>
      <c r="N2340" s="26">
        <f>IF($H2340="","",TODAY()-$H2340)</f>
        <v/>
      </c>
      <c r="O2340" s="15" t="n"/>
      <c r="P2340" s="15" t="n"/>
      <c r="Q2340" s="15" t="n"/>
      <c r="R2340" s="25" t="n"/>
      <c r="S2340" s="26">
        <f>IF($A2340="","",AND(OR('Assignment Builder'!$B$5="",$B2340='Assignment Builder'!$B$5),OR('Assignment Builder'!$B$6="",ISNUMBER(SEARCH('Assignment Builder'!$B$6,$C2340))),OR('Assignment Builder'!$B$7="",'Assignment Builder'!$B$7=IFERROR(INDEX('Category Dictionary'!$C$5:$C$135,MATCH($L2340,'Category Dictionary'!$D$5:$D$135,0)),"")),OR('Assignment Builder'!$B$8="",$D2340='Assignment Builder'!$B$8),OR('Assignment Builder'!$B$9="",$F2340='Assignment Builder'!$B$9),OR('Assignment Builder'!$B$10="",$O2340='Assignment Builder'!$B$10),OR('Assignment Builder'!$B$11="",$H2340&gt;='Assignment Builder'!$B$11),OR('Assignment Builder'!$B$12="",N($Q2340)&lt;='Assignment Builder'!$B$12)))</f>
        <v/>
      </c>
      <c r="T2340" s="23" t="n"/>
    </row>
    <row r="2341">
      <c r="A2341" s="23" t="n"/>
      <c r="B2341" s="23" t="n"/>
      <c r="C2341" s="24" t="n"/>
      <c r="D2341" s="15" t="n"/>
      <c r="E2341" s="23" t="n"/>
      <c r="F2341" s="15" t="n"/>
      <c r="G2341" s="23" t="n"/>
      <c r="H2341" s="25" t="n"/>
      <c r="I2341" s="15" t="n"/>
      <c r="J2341" s="26">
        <f>IF($A2341="","",LEN($C2341)-LEN(SUBSTITUTE($C2341,",",""))+1)</f>
        <v/>
      </c>
      <c r="K2341" s="26">
        <f>IF($A2341="","",SUMPRODUCT(--ISNUMBER(SEARCH('Category Dictionary'!$D$5:$D$135&amp;"",$C2341)),--('Category Dictionary'!$D$5:$D$135&lt;&gt;"")))</f>
        <v/>
      </c>
      <c r="L2341" s="27">
        <f>IF($A2341="","",TRIM(IF(ISERROR(FIND(",",$C2341)),$C2341,LEFT($C2341,FIND(",",$C2341)-1))))</f>
        <v/>
      </c>
      <c r="M2341" s="28">
        <f>IF($H2341="","",DATE(YEAR($H2341),MONTH($H2341),1))</f>
        <v/>
      </c>
      <c r="N2341" s="26">
        <f>IF($H2341="","",TODAY()-$H2341)</f>
        <v/>
      </c>
      <c r="O2341" s="15" t="n"/>
      <c r="P2341" s="15" t="n"/>
      <c r="Q2341" s="15" t="n"/>
      <c r="R2341" s="25" t="n"/>
      <c r="S2341" s="26">
        <f>IF($A2341="","",AND(OR('Assignment Builder'!$B$5="",$B2341='Assignment Builder'!$B$5),OR('Assignment Builder'!$B$6="",ISNUMBER(SEARCH('Assignment Builder'!$B$6,$C2341))),OR('Assignment Builder'!$B$7="",'Assignment Builder'!$B$7=IFERROR(INDEX('Category Dictionary'!$C$5:$C$135,MATCH($L2341,'Category Dictionary'!$D$5:$D$135,0)),"")),OR('Assignment Builder'!$B$8="",$D2341='Assignment Builder'!$B$8),OR('Assignment Builder'!$B$9="",$F2341='Assignment Builder'!$B$9),OR('Assignment Builder'!$B$10="",$O2341='Assignment Builder'!$B$10),OR('Assignment Builder'!$B$11="",$H2341&gt;='Assignment Builder'!$B$11),OR('Assignment Builder'!$B$12="",N($Q2341)&lt;='Assignment Builder'!$B$12)))</f>
        <v/>
      </c>
      <c r="T2341" s="23" t="n"/>
    </row>
    <row r="2342">
      <c r="A2342" s="23" t="n"/>
      <c r="B2342" s="23" t="n"/>
      <c r="C2342" s="24" t="n"/>
      <c r="D2342" s="15" t="n"/>
      <c r="E2342" s="23" t="n"/>
      <c r="F2342" s="15" t="n"/>
      <c r="G2342" s="23" t="n"/>
      <c r="H2342" s="25" t="n"/>
      <c r="I2342" s="15" t="n"/>
      <c r="J2342" s="26">
        <f>IF($A2342="","",LEN($C2342)-LEN(SUBSTITUTE($C2342,",",""))+1)</f>
        <v/>
      </c>
      <c r="K2342" s="26">
        <f>IF($A2342="","",SUMPRODUCT(--ISNUMBER(SEARCH('Category Dictionary'!$D$5:$D$135&amp;"",$C2342)),--('Category Dictionary'!$D$5:$D$135&lt;&gt;"")))</f>
        <v/>
      </c>
      <c r="L2342" s="27">
        <f>IF($A2342="","",TRIM(IF(ISERROR(FIND(",",$C2342)),$C2342,LEFT($C2342,FIND(",",$C2342)-1))))</f>
        <v/>
      </c>
      <c r="M2342" s="28">
        <f>IF($H2342="","",DATE(YEAR($H2342),MONTH($H2342),1))</f>
        <v/>
      </c>
      <c r="N2342" s="26">
        <f>IF($H2342="","",TODAY()-$H2342)</f>
        <v/>
      </c>
      <c r="O2342" s="15" t="n"/>
      <c r="P2342" s="15" t="n"/>
      <c r="Q2342" s="15" t="n"/>
      <c r="R2342" s="25" t="n"/>
      <c r="S2342" s="26">
        <f>IF($A2342="","",AND(OR('Assignment Builder'!$B$5="",$B2342='Assignment Builder'!$B$5),OR('Assignment Builder'!$B$6="",ISNUMBER(SEARCH('Assignment Builder'!$B$6,$C2342))),OR('Assignment Builder'!$B$7="",'Assignment Builder'!$B$7=IFERROR(INDEX('Category Dictionary'!$C$5:$C$135,MATCH($L2342,'Category Dictionary'!$D$5:$D$135,0)),"")),OR('Assignment Builder'!$B$8="",$D2342='Assignment Builder'!$B$8),OR('Assignment Builder'!$B$9="",$F2342='Assignment Builder'!$B$9),OR('Assignment Builder'!$B$10="",$O2342='Assignment Builder'!$B$10),OR('Assignment Builder'!$B$11="",$H2342&gt;='Assignment Builder'!$B$11),OR('Assignment Builder'!$B$12="",N($Q2342)&lt;='Assignment Builder'!$B$12)))</f>
        <v/>
      </c>
      <c r="T2342" s="23" t="n"/>
    </row>
    <row r="2343">
      <c r="A2343" s="23" t="n"/>
      <c r="B2343" s="23" t="n"/>
      <c r="C2343" s="24" t="n"/>
      <c r="D2343" s="15" t="n"/>
      <c r="E2343" s="23" t="n"/>
      <c r="F2343" s="15" t="n"/>
      <c r="G2343" s="23" t="n"/>
      <c r="H2343" s="25" t="n"/>
      <c r="I2343" s="15" t="n"/>
      <c r="J2343" s="26">
        <f>IF($A2343="","",LEN($C2343)-LEN(SUBSTITUTE($C2343,",",""))+1)</f>
        <v/>
      </c>
      <c r="K2343" s="26">
        <f>IF($A2343="","",SUMPRODUCT(--ISNUMBER(SEARCH('Category Dictionary'!$D$5:$D$135&amp;"",$C2343)),--('Category Dictionary'!$D$5:$D$135&lt;&gt;"")))</f>
        <v/>
      </c>
      <c r="L2343" s="27">
        <f>IF($A2343="","",TRIM(IF(ISERROR(FIND(",",$C2343)),$C2343,LEFT($C2343,FIND(",",$C2343)-1))))</f>
        <v/>
      </c>
      <c r="M2343" s="28">
        <f>IF($H2343="","",DATE(YEAR($H2343),MONTH($H2343),1))</f>
        <v/>
      </c>
      <c r="N2343" s="26">
        <f>IF($H2343="","",TODAY()-$H2343)</f>
        <v/>
      </c>
      <c r="O2343" s="15" t="n"/>
      <c r="P2343" s="15" t="n"/>
      <c r="Q2343" s="15" t="n"/>
      <c r="R2343" s="25" t="n"/>
      <c r="S2343" s="26">
        <f>IF($A2343="","",AND(OR('Assignment Builder'!$B$5="",$B2343='Assignment Builder'!$B$5),OR('Assignment Builder'!$B$6="",ISNUMBER(SEARCH('Assignment Builder'!$B$6,$C2343))),OR('Assignment Builder'!$B$7="",'Assignment Builder'!$B$7=IFERROR(INDEX('Category Dictionary'!$C$5:$C$135,MATCH($L2343,'Category Dictionary'!$D$5:$D$135,0)),"")),OR('Assignment Builder'!$B$8="",$D2343='Assignment Builder'!$B$8),OR('Assignment Builder'!$B$9="",$F2343='Assignment Builder'!$B$9),OR('Assignment Builder'!$B$10="",$O2343='Assignment Builder'!$B$10),OR('Assignment Builder'!$B$11="",$H2343&gt;='Assignment Builder'!$B$11),OR('Assignment Builder'!$B$12="",N($Q2343)&lt;='Assignment Builder'!$B$12)))</f>
        <v/>
      </c>
      <c r="T2343" s="23" t="n"/>
    </row>
    <row r="2344">
      <c r="A2344" s="23" t="n"/>
      <c r="B2344" s="23" t="n"/>
      <c r="C2344" s="24" t="n"/>
      <c r="D2344" s="15" t="n"/>
      <c r="E2344" s="23" t="n"/>
      <c r="F2344" s="15" t="n"/>
      <c r="G2344" s="23" t="n"/>
      <c r="H2344" s="25" t="n"/>
      <c r="I2344" s="15" t="n"/>
      <c r="J2344" s="26">
        <f>IF($A2344="","",LEN($C2344)-LEN(SUBSTITUTE($C2344,",",""))+1)</f>
        <v/>
      </c>
      <c r="K2344" s="26">
        <f>IF($A2344="","",SUMPRODUCT(--ISNUMBER(SEARCH('Category Dictionary'!$D$5:$D$135&amp;"",$C2344)),--('Category Dictionary'!$D$5:$D$135&lt;&gt;"")))</f>
        <v/>
      </c>
      <c r="L2344" s="27">
        <f>IF($A2344="","",TRIM(IF(ISERROR(FIND(",",$C2344)),$C2344,LEFT($C2344,FIND(",",$C2344)-1))))</f>
        <v/>
      </c>
      <c r="M2344" s="28">
        <f>IF($H2344="","",DATE(YEAR($H2344),MONTH($H2344),1))</f>
        <v/>
      </c>
      <c r="N2344" s="26">
        <f>IF($H2344="","",TODAY()-$H2344)</f>
        <v/>
      </c>
      <c r="O2344" s="15" t="n"/>
      <c r="P2344" s="15" t="n"/>
      <c r="Q2344" s="15" t="n"/>
      <c r="R2344" s="25" t="n"/>
      <c r="S2344" s="26">
        <f>IF($A2344="","",AND(OR('Assignment Builder'!$B$5="",$B2344='Assignment Builder'!$B$5),OR('Assignment Builder'!$B$6="",ISNUMBER(SEARCH('Assignment Builder'!$B$6,$C2344))),OR('Assignment Builder'!$B$7="",'Assignment Builder'!$B$7=IFERROR(INDEX('Category Dictionary'!$C$5:$C$135,MATCH($L2344,'Category Dictionary'!$D$5:$D$135,0)),"")),OR('Assignment Builder'!$B$8="",$D2344='Assignment Builder'!$B$8),OR('Assignment Builder'!$B$9="",$F2344='Assignment Builder'!$B$9),OR('Assignment Builder'!$B$10="",$O2344='Assignment Builder'!$B$10),OR('Assignment Builder'!$B$11="",$H2344&gt;='Assignment Builder'!$B$11),OR('Assignment Builder'!$B$12="",N($Q2344)&lt;='Assignment Builder'!$B$12)))</f>
        <v/>
      </c>
      <c r="T2344" s="23" t="n"/>
    </row>
    <row r="2345">
      <c r="A2345" s="23" t="n"/>
      <c r="B2345" s="23" t="n"/>
      <c r="C2345" s="24" t="n"/>
      <c r="D2345" s="15" t="n"/>
      <c r="E2345" s="23" t="n"/>
      <c r="F2345" s="15" t="n"/>
      <c r="G2345" s="23" t="n"/>
      <c r="H2345" s="25" t="n"/>
      <c r="I2345" s="15" t="n"/>
      <c r="J2345" s="26">
        <f>IF($A2345="","",LEN($C2345)-LEN(SUBSTITUTE($C2345,",",""))+1)</f>
        <v/>
      </c>
      <c r="K2345" s="26">
        <f>IF($A2345="","",SUMPRODUCT(--ISNUMBER(SEARCH('Category Dictionary'!$D$5:$D$135&amp;"",$C2345)),--('Category Dictionary'!$D$5:$D$135&lt;&gt;"")))</f>
        <v/>
      </c>
      <c r="L2345" s="27">
        <f>IF($A2345="","",TRIM(IF(ISERROR(FIND(",",$C2345)),$C2345,LEFT($C2345,FIND(",",$C2345)-1))))</f>
        <v/>
      </c>
      <c r="M2345" s="28">
        <f>IF($H2345="","",DATE(YEAR($H2345),MONTH($H2345),1))</f>
        <v/>
      </c>
      <c r="N2345" s="26">
        <f>IF($H2345="","",TODAY()-$H2345)</f>
        <v/>
      </c>
      <c r="O2345" s="15" t="n"/>
      <c r="P2345" s="15" t="n"/>
      <c r="Q2345" s="15" t="n"/>
      <c r="R2345" s="25" t="n"/>
      <c r="S2345" s="26">
        <f>IF($A2345="","",AND(OR('Assignment Builder'!$B$5="",$B2345='Assignment Builder'!$B$5),OR('Assignment Builder'!$B$6="",ISNUMBER(SEARCH('Assignment Builder'!$B$6,$C2345))),OR('Assignment Builder'!$B$7="",'Assignment Builder'!$B$7=IFERROR(INDEX('Category Dictionary'!$C$5:$C$135,MATCH($L2345,'Category Dictionary'!$D$5:$D$135,0)),"")),OR('Assignment Builder'!$B$8="",$D2345='Assignment Builder'!$B$8),OR('Assignment Builder'!$B$9="",$F2345='Assignment Builder'!$B$9),OR('Assignment Builder'!$B$10="",$O2345='Assignment Builder'!$B$10),OR('Assignment Builder'!$B$11="",$H2345&gt;='Assignment Builder'!$B$11),OR('Assignment Builder'!$B$12="",N($Q2345)&lt;='Assignment Builder'!$B$12)))</f>
        <v/>
      </c>
      <c r="T2345" s="23" t="n"/>
    </row>
    <row r="2346">
      <c r="A2346" s="23" t="n"/>
      <c r="B2346" s="23" t="n"/>
      <c r="C2346" s="24" t="n"/>
      <c r="D2346" s="15" t="n"/>
      <c r="E2346" s="23" t="n"/>
      <c r="F2346" s="15" t="n"/>
      <c r="G2346" s="23" t="n"/>
      <c r="H2346" s="25" t="n"/>
      <c r="I2346" s="15" t="n"/>
      <c r="J2346" s="26">
        <f>IF($A2346="","",LEN($C2346)-LEN(SUBSTITUTE($C2346,",",""))+1)</f>
        <v/>
      </c>
      <c r="K2346" s="26">
        <f>IF($A2346="","",SUMPRODUCT(--ISNUMBER(SEARCH('Category Dictionary'!$D$5:$D$135&amp;"",$C2346)),--('Category Dictionary'!$D$5:$D$135&lt;&gt;"")))</f>
        <v/>
      </c>
      <c r="L2346" s="27">
        <f>IF($A2346="","",TRIM(IF(ISERROR(FIND(",",$C2346)),$C2346,LEFT($C2346,FIND(",",$C2346)-1))))</f>
        <v/>
      </c>
      <c r="M2346" s="28">
        <f>IF($H2346="","",DATE(YEAR($H2346),MONTH($H2346),1))</f>
        <v/>
      </c>
      <c r="N2346" s="26">
        <f>IF($H2346="","",TODAY()-$H2346)</f>
        <v/>
      </c>
      <c r="O2346" s="15" t="n"/>
      <c r="P2346" s="15" t="n"/>
      <c r="Q2346" s="15" t="n"/>
      <c r="R2346" s="25" t="n"/>
      <c r="S2346" s="26">
        <f>IF($A2346="","",AND(OR('Assignment Builder'!$B$5="",$B2346='Assignment Builder'!$B$5),OR('Assignment Builder'!$B$6="",ISNUMBER(SEARCH('Assignment Builder'!$B$6,$C2346))),OR('Assignment Builder'!$B$7="",'Assignment Builder'!$B$7=IFERROR(INDEX('Category Dictionary'!$C$5:$C$135,MATCH($L2346,'Category Dictionary'!$D$5:$D$135,0)),"")),OR('Assignment Builder'!$B$8="",$D2346='Assignment Builder'!$B$8),OR('Assignment Builder'!$B$9="",$F2346='Assignment Builder'!$B$9),OR('Assignment Builder'!$B$10="",$O2346='Assignment Builder'!$B$10),OR('Assignment Builder'!$B$11="",$H2346&gt;='Assignment Builder'!$B$11),OR('Assignment Builder'!$B$12="",N($Q2346)&lt;='Assignment Builder'!$B$12)))</f>
        <v/>
      </c>
      <c r="T2346" s="23" t="n"/>
    </row>
    <row r="2347">
      <c r="A2347" s="23" t="n"/>
      <c r="B2347" s="23" t="n"/>
      <c r="C2347" s="24" t="n"/>
      <c r="D2347" s="15" t="n"/>
      <c r="E2347" s="23" t="n"/>
      <c r="F2347" s="15" t="n"/>
      <c r="G2347" s="23" t="n"/>
      <c r="H2347" s="25" t="n"/>
      <c r="I2347" s="15" t="n"/>
      <c r="J2347" s="26">
        <f>IF($A2347="","",LEN($C2347)-LEN(SUBSTITUTE($C2347,",",""))+1)</f>
        <v/>
      </c>
      <c r="K2347" s="26">
        <f>IF($A2347="","",SUMPRODUCT(--ISNUMBER(SEARCH('Category Dictionary'!$D$5:$D$135&amp;"",$C2347)),--('Category Dictionary'!$D$5:$D$135&lt;&gt;"")))</f>
        <v/>
      </c>
      <c r="L2347" s="27">
        <f>IF($A2347="","",TRIM(IF(ISERROR(FIND(",",$C2347)),$C2347,LEFT($C2347,FIND(",",$C2347)-1))))</f>
        <v/>
      </c>
      <c r="M2347" s="28">
        <f>IF($H2347="","",DATE(YEAR($H2347),MONTH($H2347),1))</f>
        <v/>
      </c>
      <c r="N2347" s="26">
        <f>IF($H2347="","",TODAY()-$H2347)</f>
        <v/>
      </c>
      <c r="O2347" s="15" t="n"/>
      <c r="P2347" s="15" t="n"/>
      <c r="Q2347" s="15" t="n"/>
      <c r="R2347" s="25" t="n"/>
      <c r="S2347" s="26">
        <f>IF($A2347="","",AND(OR('Assignment Builder'!$B$5="",$B2347='Assignment Builder'!$B$5),OR('Assignment Builder'!$B$6="",ISNUMBER(SEARCH('Assignment Builder'!$B$6,$C2347))),OR('Assignment Builder'!$B$7="",'Assignment Builder'!$B$7=IFERROR(INDEX('Category Dictionary'!$C$5:$C$135,MATCH($L2347,'Category Dictionary'!$D$5:$D$135,0)),"")),OR('Assignment Builder'!$B$8="",$D2347='Assignment Builder'!$B$8),OR('Assignment Builder'!$B$9="",$F2347='Assignment Builder'!$B$9),OR('Assignment Builder'!$B$10="",$O2347='Assignment Builder'!$B$10),OR('Assignment Builder'!$B$11="",$H2347&gt;='Assignment Builder'!$B$11),OR('Assignment Builder'!$B$12="",N($Q2347)&lt;='Assignment Builder'!$B$12)))</f>
        <v/>
      </c>
      <c r="T2347" s="23" t="n"/>
    </row>
    <row r="2348">
      <c r="A2348" s="23" t="n"/>
      <c r="B2348" s="23" t="n"/>
      <c r="C2348" s="24" t="n"/>
      <c r="D2348" s="15" t="n"/>
      <c r="E2348" s="23" t="n"/>
      <c r="F2348" s="15" t="n"/>
      <c r="G2348" s="23" t="n"/>
      <c r="H2348" s="25" t="n"/>
      <c r="I2348" s="15" t="n"/>
      <c r="J2348" s="26">
        <f>IF($A2348="","",LEN($C2348)-LEN(SUBSTITUTE($C2348,",",""))+1)</f>
        <v/>
      </c>
      <c r="K2348" s="26">
        <f>IF($A2348="","",SUMPRODUCT(--ISNUMBER(SEARCH('Category Dictionary'!$D$5:$D$135&amp;"",$C2348)),--('Category Dictionary'!$D$5:$D$135&lt;&gt;"")))</f>
        <v/>
      </c>
      <c r="L2348" s="27">
        <f>IF($A2348="","",TRIM(IF(ISERROR(FIND(",",$C2348)),$C2348,LEFT($C2348,FIND(",",$C2348)-1))))</f>
        <v/>
      </c>
      <c r="M2348" s="28">
        <f>IF($H2348="","",DATE(YEAR($H2348),MONTH($H2348),1))</f>
        <v/>
      </c>
      <c r="N2348" s="26">
        <f>IF($H2348="","",TODAY()-$H2348)</f>
        <v/>
      </c>
      <c r="O2348" s="15" t="n"/>
      <c r="P2348" s="15" t="n"/>
      <c r="Q2348" s="15" t="n"/>
      <c r="R2348" s="25" t="n"/>
      <c r="S2348" s="26">
        <f>IF($A2348="","",AND(OR('Assignment Builder'!$B$5="",$B2348='Assignment Builder'!$B$5),OR('Assignment Builder'!$B$6="",ISNUMBER(SEARCH('Assignment Builder'!$B$6,$C2348))),OR('Assignment Builder'!$B$7="",'Assignment Builder'!$B$7=IFERROR(INDEX('Category Dictionary'!$C$5:$C$135,MATCH($L2348,'Category Dictionary'!$D$5:$D$135,0)),"")),OR('Assignment Builder'!$B$8="",$D2348='Assignment Builder'!$B$8),OR('Assignment Builder'!$B$9="",$F2348='Assignment Builder'!$B$9),OR('Assignment Builder'!$B$10="",$O2348='Assignment Builder'!$B$10),OR('Assignment Builder'!$B$11="",$H2348&gt;='Assignment Builder'!$B$11),OR('Assignment Builder'!$B$12="",N($Q2348)&lt;='Assignment Builder'!$B$12)))</f>
        <v/>
      </c>
      <c r="T2348" s="23" t="n"/>
    </row>
    <row r="2349">
      <c r="A2349" s="23" t="n"/>
      <c r="B2349" s="23" t="n"/>
      <c r="C2349" s="24" t="n"/>
      <c r="D2349" s="15" t="n"/>
      <c r="E2349" s="23" t="n"/>
      <c r="F2349" s="15" t="n"/>
      <c r="G2349" s="23" t="n"/>
      <c r="H2349" s="25" t="n"/>
      <c r="I2349" s="15" t="n"/>
      <c r="J2349" s="26">
        <f>IF($A2349="","",LEN($C2349)-LEN(SUBSTITUTE($C2349,",",""))+1)</f>
        <v/>
      </c>
      <c r="K2349" s="26">
        <f>IF($A2349="","",SUMPRODUCT(--ISNUMBER(SEARCH('Category Dictionary'!$D$5:$D$135&amp;"",$C2349)),--('Category Dictionary'!$D$5:$D$135&lt;&gt;"")))</f>
        <v/>
      </c>
      <c r="L2349" s="27">
        <f>IF($A2349="","",TRIM(IF(ISERROR(FIND(",",$C2349)),$C2349,LEFT($C2349,FIND(",",$C2349)-1))))</f>
        <v/>
      </c>
      <c r="M2349" s="28">
        <f>IF($H2349="","",DATE(YEAR($H2349),MONTH($H2349),1))</f>
        <v/>
      </c>
      <c r="N2349" s="26">
        <f>IF($H2349="","",TODAY()-$H2349)</f>
        <v/>
      </c>
      <c r="O2349" s="15" t="n"/>
      <c r="P2349" s="15" t="n"/>
      <c r="Q2349" s="15" t="n"/>
      <c r="R2349" s="25" t="n"/>
      <c r="S2349" s="26">
        <f>IF($A2349="","",AND(OR('Assignment Builder'!$B$5="",$B2349='Assignment Builder'!$B$5),OR('Assignment Builder'!$B$6="",ISNUMBER(SEARCH('Assignment Builder'!$B$6,$C2349))),OR('Assignment Builder'!$B$7="",'Assignment Builder'!$B$7=IFERROR(INDEX('Category Dictionary'!$C$5:$C$135,MATCH($L2349,'Category Dictionary'!$D$5:$D$135,0)),"")),OR('Assignment Builder'!$B$8="",$D2349='Assignment Builder'!$B$8),OR('Assignment Builder'!$B$9="",$F2349='Assignment Builder'!$B$9),OR('Assignment Builder'!$B$10="",$O2349='Assignment Builder'!$B$10),OR('Assignment Builder'!$B$11="",$H2349&gt;='Assignment Builder'!$B$11),OR('Assignment Builder'!$B$12="",N($Q2349)&lt;='Assignment Builder'!$B$12)))</f>
        <v/>
      </c>
      <c r="T2349" s="23" t="n"/>
    </row>
    <row r="2350">
      <c r="A2350" s="23" t="n"/>
      <c r="B2350" s="23" t="n"/>
      <c r="C2350" s="24" t="n"/>
      <c r="D2350" s="15" t="n"/>
      <c r="E2350" s="23" t="n"/>
      <c r="F2350" s="15" t="n"/>
      <c r="G2350" s="23" t="n"/>
      <c r="H2350" s="25" t="n"/>
      <c r="I2350" s="15" t="n"/>
      <c r="J2350" s="26">
        <f>IF($A2350="","",LEN($C2350)-LEN(SUBSTITUTE($C2350,",",""))+1)</f>
        <v/>
      </c>
      <c r="K2350" s="26">
        <f>IF($A2350="","",SUMPRODUCT(--ISNUMBER(SEARCH('Category Dictionary'!$D$5:$D$135&amp;"",$C2350)),--('Category Dictionary'!$D$5:$D$135&lt;&gt;"")))</f>
        <v/>
      </c>
      <c r="L2350" s="27">
        <f>IF($A2350="","",TRIM(IF(ISERROR(FIND(",",$C2350)),$C2350,LEFT($C2350,FIND(",",$C2350)-1))))</f>
        <v/>
      </c>
      <c r="M2350" s="28">
        <f>IF($H2350="","",DATE(YEAR($H2350),MONTH($H2350),1))</f>
        <v/>
      </c>
      <c r="N2350" s="26">
        <f>IF($H2350="","",TODAY()-$H2350)</f>
        <v/>
      </c>
      <c r="O2350" s="15" t="n"/>
      <c r="P2350" s="15" t="n"/>
      <c r="Q2350" s="15" t="n"/>
      <c r="R2350" s="25" t="n"/>
      <c r="S2350" s="26">
        <f>IF($A2350="","",AND(OR('Assignment Builder'!$B$5="",$B2350='Assignment Builder'!$B$5),OR('Assignment Builder'!$B$6="",ISNUMBER(SEARCH('Assignment Builder'!$B$6,$C2350))),OR('Assignment Builder'!$B$7="",'Assignment Builder'!$B$7=IFERROR(INDEX('Category Dictionary'!$C$5:$C$135,MATCH($L2350,'Category Dictionary'!$D$5:$D$135,0)),"")),OR('Assignment Builder'!$B$8="",$D2350='Assignment Builder'!$B$8),OR('Assignment Builder'!$B$9="",$F2350='Assignment Builder'!$B$9),OR('Assignment Builder'!$B$10="",$O2350='Assignment Builder'!$B$10),OR('Assignment Builder'!$B$11="",$H2350&gt;='Assignment Builder'!$B$11),OR('Assignment Builder'!$B$12="",N($Q2350)&lt;='Assignment Builder'!$B$12)))</f>
        <v/>
      </c>
      <c r="T2350" s="23" t="n"/>
    </row>
    <row r="2351">
      <c r="A2351" s="23" t="n"/>
      <c r="B2351" s="23" t="n"/>
      <c r="C2351" s="24" t="n"/>
      <c r="D2351" s="15" t="n"/>
      <c r="E2351" s="23" t="n"/>
      <c r="F2351" s="15" t="n"/>
      <c r="G2351" s="23" t="n"/>
      <c r="H2351" s="25" t="n"/>
      <c r="I2351" s="15" t="n"/>
      <c r="J2351" s="26">
        <f>IF($A2351="","",LEN($C2351)-LEN(SUBSTITUTE($C2351,",",""))+1)</f>
        <v/>
      </c>
      <c r="K2351" s="26">
        <f>IF($A2351="","",SUMPRODUCT(--ISNUMBER(SEARCH('Category Dictionary'!$D$5:$D$135&amp;"",$C2351)),--('Category Dictionary'!$D$5:$D$135&lt;&gt;"")))</f>
        <v/>
      </c>
      <c r="L2351" s="27">
        <f>IF($A2351="","",TRIM(IF(ISERROR(FIND(",",$C2351)),$C2351,LEFT($C2351,FIND(",",$C2351)-1))))</f>
        <v/>
      </c>
      <c r="M2351" s="28">
        <f>IF($H2351="","",DATE(YEAR($H2351),MONTH($H2351),1))</f>
        <v/>
      </c>
      <c r="N2351" s="26">
        <f>IF($H2351="","",TODAY()-$H2351)</f>
        <v/>
      </c>
      <c r="O2351" s="15" t="n"/>
      <c r="P2351" s="15" t="n"/>
      <c r="Q2351" s="15" t="n"/>
      <c r="R2351" s="25" t="n"/>
      <c r="S2351" s="26">
        <f>IF($A2351="","",AND(OR('Assignment Builder'!$B$5="",$B2351='Assignment Builder'!$B$5),OR('Assignment Builder'!$B$6="",ISNUMBER(SEARCH('Assignment Builder'!$B$6,$C2351))),OR('Assignment Builder'!$B$7="",'Assignment Builder'!$B$7=IFERROR(INDEX('Category Dictionary'!$C$5:$C$135,MATCH($L2351,'Category Dictionary'!$D$5:$D$135,0)),"")),OR('Assignment Builder'!$B$8="",$D2351='Assignment Builder'!$B$8),OR('Assignment Builder'!$B$9="",$F2351='Assignment Builder'!$B$9),OR('Assignment Builder'!$B$10="",$O2351='Assignment Builder'!$B$10),OR('Assignment Builder'!$B$11="",$H2351&gt;='Assignment Builder'!$B$11),OR('Assignment Builder'!$B$12="",N($Q2351)&lt;='Assignment Builder'!$B$12)))</f>
        <v/>
      </c>
      <c r="T2351" s="23" t="n"/>
    </row>
    <row r="2352">
      <c r="A2352" s="23" t="n"/>
      <c r="B2352" s="23" t="n"/>
      <c r="C2352" s="24" t="n"/>
      <c r="D2352" s="15" t="n"/>
      <c r="E2352" s="23" t="n"/>
      <c r="F2352" s="15" t="n"/>
      <c r="G2352" s="23" t="n"/>
      <c r="H2352" s="25" t="n"/>
      <c r="I2352" s="15" t="n"/>
      <c r="J2352" s="26">
        <f>IF($A2352="","",LEN($C2352)-LEN(SUBSTITUTE($C2352,",",""))+1)</f>
        <v/>
      </c>
      <c r="K2352" s="26">
        <f>IF($A2352="","",SUMPRODUCT(--ISNUMBER(SEARCH('Category Dictionary'!$D$5:$D$135&amp;"",$C2352)),--('Category Dictionary'!$D$5:$D$135&lt;&gt;"")))</f>
        <v/>
      </c>
      <c r="L2352" s="27">
        <f>IF($A2352="","",TRIM(IF(ISERROR(FIND(",",$C2352)),$C2352,LEFT($C2352,FIND(",",$C2352)-1))))</f>
        <v/>
      </c>
      <c r="M2352" s="28">
        <f>IF($H2352="","",DATE(YEAR($H2352),MONTH($H2352),1))</f>
        <v/>
      </c>
      <c r="N2352" s="26">
        <f>IF($H2352="","",TODAY()-$H2352)</f>
        <v/>
      </c>
      <c r="O2352" s="15" t="n"/>
      <c r="P2352" s="15" t="n"/>
      <c r="Q2352" s="15" t="n"/>
      <c r="R2352" s="25" t="n"/>
      <c r="S2352" s="26">
        <f>IF($A2352="","",AND(OR('Assignment Builder'!$B$5="",$B2352='Assignment Builder'!$B$5),OR('Assignment Builder'!$B$6="",ISNUMBER(SEARCH('Assignment Builder'!$B$6,$C2352))),OR('Assignment Builder'!$B$7="",'Assignment Builder'!$B$7=IFERROR(INDEX('Category Dictionary'!$C$5:$C$135,MATCH($L2352,'Category Dictionary'!$D$5:$D$135,0)),"")),OR('Assignment Builder'!$B$8="",$D2352='Assignment Builder'!$B$8),OR('Assignment Builder'!$B$9="",$F2352='Assignment Builder'!$B$9),OR('Assignment Builder'!$B$10="",$O2352='Assignment Builder'!$B$10),OR('Assignment Builder'!$B$11="",$H2352&gt;='Assignment Builder'!$B$11),OR('Assignment Builder'!$B$12="",N($Q2352)&lt;='Assignment Builder'!$B$12)))</f>
        <v/>
      </c>
      <c r="T2352" s="23" t="n"/>
    </row>
    <row r="2353">
      <c r="A2353" s="23" t="n"/>
      <c r="B2353" s="23" t="n"/>
      <c r="C2353" s="24" t="n"/>
      <c r="D2353" s="15" t="n"/>
      <c r="E2353" s="23" t="n"/>
      <c r="F2353" s="15" t="n"/>
      <c r="G2353" s="23" t="n"/>
      <c r="H2353" s="25" t="n"/>
      <c r="I2353" s="15" t="n"/>
      <c r="J2353" s="26">
        <f>IF($A2353="","",LEN($C2353)-LEN(SUBSTITUTE($C2353,",",""))+1)</f>
        <v/>
      </c>
      <c r="K2353" s="26">
        <f>IF($A2353="","",SUMPRODUCT(--ISNUMBER(SEARCH('Category Dictionary'!$D$5:$D$135&amp;"",$C2353)),--('Category Dictionary'!$D$5:$D$135&lt;&gt;"")))</f>
        <v/>
      </c>
      <c r="L2353" s="27">
        <f>IF($A2353="","",TRIM(IF(ISERROR(FIND(",",$C2353)),$C2353,LEFT($C2353,FIND(",",$C2353)-1))))</f>
        <v/>
      </c>
      <c r="M2353" s="28">
        <f>IF($H2353="","",DATE(YEAR($H2353),MONTH($H2353),1))</f>
        <v/>
      </c>
      <c r="N2353" s="26">
        <f>IF($H2353="","",TODAY()-$H2353)</f>
        <v/>
      </c>
      <c r="O2353" s="15" t="n"/>
      <c r="P2353" s="15" t="n"/>
      <c r="Q2353" s="15" t="n"/>
      <c r="R2353" s="25" t="n"/>
      <c r="S2353" s="26">
        <f>IF($A2353="","",AND(OR('Assignment Builder'!$B$5="",$B2353='Assignment Builder'!$B$5),OR('Assignment Builder'!$B$6="",ISNUMBER(SEARCH('Assignment Builder'!$B$6,$C2353))),OR('Assignment Builder'!$B$7="",'Assignment Builder'!$B$7=IFERROR(INDEX('Category Dictionary'!$C$5:$C$135,MATCH($L2353,'Category Dictionary'!$D$5:$D$135,0)),"")),OR('Assignment Builder'!$B$8="",$D2353='Assignment Builder'!$B$8),OR('Assignment Builder'!$B$9="",$F2353='Assignment Builder'!$B$9),OR('Assignment Builder'!$B$10="",$O2353='Assignment Builder'!$B$10),OR('Assignment Builder'!$B$11="",$H2353&gt;='Assignment Builder'!$B$11),OR('Assignment Builder'!$B$12="",N($Q2353)&lt;='Assignment Builder'!$B$12)))</f>
        <v/>
      </c>
      <c r="T2353" s="23" t="n"/>
    </row>
    <row r="2354">
      <c r="A2354" s="23" t="n"/>
      <c r="B2354" s="23" t="n"/>
      <c r="C2354" s="24" t="n"/>
      <c r="D2354" s="15" t="n"/>
      <c r="E2354" s="23" t="n"/>
      <c r="F2354" s="15" t="n"/>
      <c r="G2354" s="23" t="n"/>
      <c r="H2354" s="25" t="n"/>
      <c r="I2354" s="15" t="n"/>
      <c r="J2354" s="26">
        <f>IF($A2354="","",LEN($C2354)-LEN(SUBSTITUTE($C2354,",",""))+1)</f>
        <v/>
      </c>
      <c r="K2354" s="26">
        <f>IF($A2354="","",SUMPRODUCT(--ISNUMBER(SEARCH('Category Dictionary'!$D$5:$D$135&amp;"",$C2354)),--('Category Dictionary'!$D$5:$D$135&lt;&gt;"")))</f>
        <v/>
      </c>
      <c r="L2354" s="27">
        <f>IF($A2354="","",TRIM(IF(ISERROR(FIND(",",$C2354)),$C2354,LEFT($C2354,FIND(",",$C2354)-1))))</f>
        <v/>
      </c>
      <c r="M2354" s="28">
        <f>IF($H2354="","",DATE(YEAR($H2354),MONTH($H2354),1))</f>
        <v/>
      </c>
      <c r="N2354" s="26">
        <f>IF($H2354="","",TODAY()-$H2354)</f>
        <v/>
      </c>
      <c r="O2354" s="15" t="n"/>
      <c r="P2354" s="15" t="n"/>
      <c r="Q2354" s="15" t="n"/>
      <c r="R2354" s="25" t="n"/>
      <c r="S2354" s="26">
        <f>IF($A2354="","",AND(OR('Assignment Builder'!$B$5="",$B2354='Assignment Builder'!$B$5),OR('Assignment Builder'!$B$6="",ISNUMBER(SEARCH('Assignment Builder'!$B$6,$C2354))),OR('Assignment Builder'!$B$7="",'Assignment Builder'!$B$7=IFERROR(INDEX('Category Dictionary'!$C$5:$C$135,MATCH($L2354,'Category Dictionary'!$D$5:$D$135,0)),"")),OR('Assignment Builder'!$B$8="",$D2354='Assignment Builder'!$B$8),OR('Assignment Builder'!$B$9="",$F2354='Assignment Builder'!$B$9),OR('Assignment Builder'!$B$10="",$O2354='Assignment Builder'!$B$10),OR('Assignment Builder'!$B$11="",$H2354&gt;='Assignment Builder'!$B$11),OR('Assignment Builder'!$B$12="",N($Q2354)&lt;='Assignment Builder'!$B$12)))</f>
        <v/>
      </c>
      <c r="T2354" s="23" t="n"/>
    </row>
    <row r="2355">
      <c r="A2355" s="23" t="n"/>
      <c r="B2355" s="23" t="n"/>
      <c r="C2355" s="24" t="n"/>
      <c r="D2355" s="15" t="n"/>
      <c r="E2355" s="23" t="n"/>
      <c r="F2355" s="15" t="n"/>
      <c r="G2355" s="23" t="n"/>
      <c r="H2355" s="25" t="n"/>
      <c r="I2355" s="15" t="n"/>
      <c r="J2355" s="26">
        <f>IF($A2355="","",LEN($C2355)-LEN(SUBSTITUTE($C2355,",",""))+1)</f>
        <v/>
      </c>
      <c r="K2355" s="26">
        <f>IF($A2355="","",SUMPRODUCT(--ISNUMBER(SEARCH('Category Dictionary'!$D$5:$D$135&amp;"",$C2355)),--('Category Dictionary'!$D$5:$D$135&lt;&gt;"")))</f>
        <v/>
      </c>
      <c r="L2355" s="27">
        <f>IF($A2355="","",TRIM(IF(ISERROR(FIND(",",$C2355)),$C2355,LEFT($C2355,FIND(",",$C2355)-1))))</f>
        <v/>
      </c>
      <c r="M2355" s="28">
        <f>IF($H2355="","",DATE(YEAR($H2355),MONTH($H2355),1))</f>
        <v/>
      </c>
      <c r="N2355" s="26">
        <f>IF($H2355="","",TODAY()-$H2355)</f>
        <v/>
      </c>
      <c r="O2355" s="15" t="n"/>
      <c r="P2355" s="15" t="n"/>
      <c r="Q2355" s="15" t="n"/>
      <c r="R2355" s="25" t="n"/>
      <c r="S2355" s="26">
        <f>IF($A2355="","",AND(OR('Assignment Builder'!$B$5="",$B2355='Assignment Builder'!$B$5),OR('Assignment Builder'!$B$6="",ISNUMBER(SEARCH('Assignment Builder'!$B$6,$C2355))),OR('Assignment Builder'!$B$7="",'Assignment Builder'!$B$7=IFERROR(INDEX('Category Dictionary'!$C$5:$C$135,MATCH($L2355,'Category Dictionary'!$D$5:$D$135,0)),"")),OR('Assignment Builder'!$B$8="",$D2355='Assignment Builder'!$B$8),OR('Assignment Builder'!$B$9="",$F2355='Assignment Builder'!$B$9),OR('Assignment Builder'!$B$10="",$O2355='Assignment Builder'!$B$10),OR('Assignment Builder'!$B$11="",$H2355&gt;='Assignment Builder'!$B$11),OR('Assignment Builder'!$B$12="",N($Q2355)&lt;='Assignment Builder'!$B$12)))</f>
        <v/>
      </c>
      <c r="T2355" s="23" t="n"/>
    </row>
    <row r="2356">
      <c r="A2356" s="23" t="n"/>
      <c r="B2356" s="23" t="n"/>
      <c r="C2356" s="24" t="n"/>
      <c r="D2356" s="15" t="n"/>
      <c r="E2356" s="23" t="n"/>
      <c r="F2356" s="15" t="n"/>
      <c r="G2356" s="23" t="n"/>
      <c r="H2356" s="25" t="n"/>
      <c r="I2356" s="15" t="n"/>
      <c r="J2356" s="26">
        <f>IF($A2356="","",LEN($C2356)-LEN(SUBSTITUTE($C2356,",",""))+1)</f>
        <v/>
      </c>
      <c r="K2356" s="26">
        <f>IF($A2356="","",SUMPRODUCT(--ISNUMBER(SEARCH('Category Dictionary'!$D$5:$D$135&amp;"",$C2356)),--('Category Dictionary'!$D$5:$D$135&lt;&gt;"")))</f>
        <v/>
      </c>
      <c r="L2356" s="27">
        <f>IF($A2356="","",TRIM(IF(ISERROR(FIND(",",$C2356)),$C2356,LEFT($C2356,FIND(",",$C2356)-1))))</f>
        <v/>
      </c>
      <c r="M2356" s="28">
        <f>IF($H2356="","",DATE(YEAR($H2356),MONTH($H2356),1))</f>
        <v/>
      </c>
      <c r="N2356" s="26">
        <f>IF($H2356="","",TODAY()-$H2356)</f>
        <v/>
      </c>
      <c r="O2356" s="15" t="n"/>
      <c r="P2356" s="15" t="n"/>
      <c r="Q2356" s="15" t="n"/>
      <c r="R2356" s="25" t="n"/>
      <c r="S2356" s="26">
        <f>IF($A2356="","",AND(OR('Assignment Builder'!$B$5="",$B2356='Assignment Builder'!$B$5),OR('Assignment Builder'!$B$6="",ISNUMBER(SEARCH('Assignment Builder'!$B$6,$C2356))),OR('Assignment Builder'!$B$7="",'Assignment Builder'!$B$7=IFERROR(INDEX('Category Dictionary'!$C$5:$C$135,MATCH($L2356,'Category Dictionary'!$D$5:$D$135,0)),"")),OR('Assignment Builder'!$B$8="",$D2356='Assignment Builder'!$B$8),OR('Assignment Builder'!$B$9="",$F2356='Assignment Builder'!$B$9),OR('Assignment Builder'!$B$10="",$O2356='Assignment Builder'!$B$10),OR('Assignment Builder'!$B$11="",$H2356&gt;='Assignment Builder'!$B$11),OR('Assignment Builder'!$B$12="",N($Q2356)&lt;='Assignment Builder'!$B$12)))</f>
        <v/>
      </c>
      <c r="T2356" s="23" t="n"/>
    </row>
    <row r="2357">
      <c r="A2357" s="23" t="n"/>
      <c r="B2357" s="23" t="n"/>
      <c r="C2357" s="24" t="n"/>
      <c r="D2357" s="15" t="n"/>
      <c r="E2357" s="23" t="n"/>
      <c r="F2357" s="15" t="n"/>
      <c r="G2357" s="23" t="n"/>
      <c r="H2357" s="25" t="n"/>
      <c r="I2357" s="15" t="n"/>
      <c r="J2357" s="26">
        <f>IF($A2357="","",LEN($C2357)-LEN(SUBSTITUTE($C2357,",",""))+1)</f>
        <v/>
      </c>
      <c r="K2357" s="26">
        <f>IF($A2357="","",SUMPRODUCT(--ISNUMBER(SEARCH('Category Dictionary'!$D$5:$D$135&amp;"",$C2357)),--('Category Dictionary'!$D$5:$D$135&lt;&gt;"")))</f>
        <v/>
      </c>
      <c r="L2357" s="27">
        <f>IF($A2357="","",TRIM(IF(ISERROR(FIND(",",$C2357)),$C2357,LEFT($C2357,FIND(",",$C2357)-1))))</f>
        <v/>
      </c>
      <c r="M2357" s="28">
        <f>IF($H2357="","",DATE(YEAR($H2357),MONTH($H2357),1))</f>
        <v/>
      </c>
      <c r="N2357" s="26">
        <f>IF($H2357="","",TODAY()-$H2357)</f>
        <v/>
      </c>
      <c r="O2357" s="15" t="n"/>
      <c r="P2357" s="15" t="n"/>
      <c r="Q2357" s="15" t="n"/>
      <c r="R2357" s="25" t="n"/>
      <c r="S2357" s="26">
        <f>IF($A2357="","",AND(OR('Assignment Builder'!$B$5="",$B2357='Assignment Builder'!$B$5),OR('Assignment Builder'!$B$6="",ISNUMBER(SEARCH('Assignment Builder'!$B$6,$C2357))),OR('Assignment Builder'!$B$7="",'Assignment Builder'!$B$7=IFERROR(INDEX('Category Dictionary'!$C$5:$C$135,MATCH($L2357,'Category Dictionary'!$D$5:$D$135,0)),"")),OR('Assignment Builder'!$B$8="",$D2357='Assignment Builder'!$B$8),OR('Assignment Builder'!$B$9="",$F2357='Assignment Builder'!$B$9),OR('Assignment Builder'!$B$10="",$O2357='Assignment Builder'!$B$10),OR('Assignment Builder'!$B$11="",$H2357&gt;='Assignment Builder'!$B$11),OR('Assignment Builder'!$B$12="",N($Q2357)&lt;='Assignment Builder'!$B$12)))</f>
        <v/>
      </c>
      <c r="T2357" s="23" t="n"/>
    </row>
    <row r="2358">
      <c r="A2358" s="23" t="n"/>
      <c r="B2358" s="23" t="n"/>
      <c r="C2358" s="24" t="n"/>
      <c r="D2358" s="15" t="n"/>
      <c r="E2358" s="23" t="n"/>
      <c r="F2358" s="15" t="n"/>
      <c r="G2358" s="23" t="n"/>
      <c r="H2358" s="25" t="n"/>
      <c r="I2358" s="15" t="n"/>
      <c r="J2358" s="26">
        <f>IF($A2358="","",LEN($C2358)-LEN(SUBSTITUTE($C2358,",",""))+1)</f>
        <v/>
      </c>
      <c r="K2358" s="26">
        <f>IF($A2358="","",SUMPRODUCT(--ISNUMBER(SEARCH('Category Dictionary'!$D$5:$D$135&amp;"",$C2358)),--('Category Dictionary'!$D$5:$D$135&lt;&gt;"")))</f>
        <v/>
      </c>
      <c r="L2358" s="27">
        <f>IF($A2358="","",TRIM(IF(ISERROR(FIND(",",$C2358)),$C2358,LEFT($C2358,FIND(",",$C2358)-1))))</f>
        <v/>
      </c>
      <c r="M2358" s="28">
        <f>IF($H2358="","",DATE(YEAR($H2358),MONTH($H2358),1))</f>
        <v/>
      </c>
      <c r="N2358" s="26">
        <f>IF($H2358="","",TODAY()-$H2358)</f>
        <v/>
      </c>
      <c r="O2358" s="15" t="n"/>
      <c r="P2358" s="15" t="n"/>
      <c r="Q2358" s="15" t="n"/>
      <c r="R2358" s="25" t="n"/>
      <c r="S2358" s="26">
        <f>IF($A2358="","",AND(OR('Assignment Builder'!$B$5="",$B2358='Assignment Builder'!$B$5),OR('Assignment Builder'!$B$6="",ISNUMBER(SEARCH('Assignment Builder'!$B$6,$C2358))),OR('Assignment Builder'!$B$7="",'Assignment Builder'!$B$7=IFERROR(INDEX('Category Dictionary'!$C$5:$C$135,MATCH($L2358,'Category Dictionary'!$D$5:$D$135,0)),"")),OR('Assignment Builder'!$B$8="",$D2358='Assignment Builder'!$B$8),OR('Assignment Builder'!$B$9="",$F2358='Assignment Builder'!$B$9),OR('Assignment Builder'!$B$10="",$O2358='Assignment Builder'!$B$10),OR('Assignment Builder'!$B$11="",$H2358&gt;='Assignment Builder'!$B$11),OR('Assignment Builder'!$B$12="",N($Q2358)&lt;='Assignment Builder'!$B$12)))</f>
        <v/>
      </c>
      <c r="T2358" s="23" t="n"/>
    </row>
    <row r="2359">
      <c r="A2359" s="23" t="n"/>
      <c r="B2359" s="23" t="n"/>
      <c r="C2359" s="24" t="n"/>
      <c r="D2359" s="15" t="n"/>
      <c r="E2359" s="23" t="n"/>
      <c r="F2359" s="15" t="n"/>
      <c r="G2359" s="23" t="n"/>
      <c r="H2359" s="25" t="n"/>
      <c r="I2359" s="15" t="n"/>
      <c r="J2359" s="26">
        <f>IF($A2359="","",LEN($C2359)-LEN(SUBSTITUTE($C2359,",",""))+1)</f>
        <v/>
      </c>
      <c r="K2359" s="26">
        <f>IF($A2359="","",SUMPRODUCT(--ISNUMBER(SEARCH('Category Dictionary'!$D$5:$D$135&amp;"",$C2359)),--('Category Dictionary'!$D$5:$D$135&lt;&gt;"")))</f>
        <v/>
      </c>
      <c r="L2359" s="27">
        <f>IF($A2359="","",TRIM(IF(ISERROR(FIND(",",$C2359)),$C2359,LEFT($C2359,FIND(",",$C2359)-1))))</f>
        <v/>
      </c>
      <c r="M2359" s="28">
        <f>IF($H2359="","",DATE(YEAR($H2359),MONTH($H2359),1))</f>
        <v/>
      </c>
      <c r="N2359" s="26">
        <f>IF($H2359="","",TODAY()-$H2359)</f>
        <v/>
      </c>
      <c r="O2359" s="15" t="n"/>
      <c r="P2359" s="15" t="n"/>
      <c r="Q2359" s="15" t="n"/>
      <c r="R2359" s="25" t="n"/>
      <c r="S2359" s="26">
        <f>IF($A2359="","",AND(OR('Assignment Builder'!$B$5="",$B2359='Assignment Builder'!$B$5),OR('Assignment Builder'!$B$6="",ISNUMBER(SEARCH('Assignment Builder'!$B$6,$C2359))),OR('Assignment Builder'!$B$7="",'Assignment Builder'!$B$7=IFERROR(INDEX('Category Dictionary'!$C$5:$C$135,MATCH($L2359,'Category Dictionary'!$D$5:$D$135,0)),"")),OR('Assignment Builder'!$B$8="",$D2359='Assignment Builder'!$B$8),OR('Assignment Builder'!$B$9="",$F2359='Assignment Builder'!$B$9),OR('Assignment Builder'!$B$10="",$O2359='Assignment Builder'!$B$10),OR('Assignment Builder'!$B$11="",$H2359&gt;='Assignment Builder'!$B$11),OR('Assignment Builder'!$B$12="",N($Q2359)&lt;='Assignment Builder'!$B$12)))</f>
        <v/>
      </c>
      <c r="T2359" s="23" t="n"/>
    </row>
    <row r="2360">
      <c r="A2360" s="23" t="n"/>
      <c r="B2360" s="23" t="n"/>
      <c r="C2360" s="24" t="n"/>
      <c r="D2360" s="15" t="n"/>
      <c r="E2360" s="23" t="n"/>
      <c r="F2360" s="15" t="n"/>
      <c r="G2360" s="23" t="n"/>
      <c r="H2360" s="25" t="n"/>
      <c r="I2360" s="15" t="n"/>
      <c r="J2360" s="26">
        <f>IF($A2360="","",LEN($C2360)-LEN(SUBSTITUTE($C2360,",",""))+1)</f>
        <v/>
      </c>
      <c r="K2360" s="26">
        <f>IF($A2360="","",SUMPRODUCT(--ISNUMBER(SEARCH('Category Dictionary'!$D$5:$D$135&amp;"",$C2360)),--('Category Dictionary'!$D$5:$D$135&lt;&gt;"")))</f>
        <v/>
      </c>
      <c r="L2360" s="27">
        <f>IF($A2360="","",TRIM(IF(ISERROR(FIND(",",$C2360)),$C2360,LEFT($C2360,FIND(",",$C2360)-1))))</f>
        <v/>
      </c>
      <c r="M2360" s="28">
        <f>IF($H2360="","",DATE(YEAR($H2360),MONTH($H2360),1))</f>
        <v/>
      </c>
      <c r="N2360" s="26">
        <f>IF($H2360="","",TODAY()-$H2360)</f>
        <v/>
      </c>
      <c r="O2360" s="15" t="n"/>
      <c r="P2360" s="15" t="n"/>
      <c r="Q2360" s="15" t="n"/>
      <c r="R2360" s="25" t="n"/>
      <c r="S2360" s="26">
        <f>IF($A2360="","",AND(OR('Assignment Builder'!$B$5="",$B2360='Assignment Builder'!$B$5),OR('Assignment Builder'!$B$6="",ISNUMBER(SEARCH('Assignment Builder'!$B$6,$C2360))),OR('Assignment Builder'!$B$7="",'Assignment Builder'!$B$7=IFERROR(INDEX('Category Dictionary'!$C$5:$C$135,MATCH($L2360,'Category Dictionary'!$D$5:$D$135,0)),"")),OR('Assignment Builder'!$B$8="",$D2360='Assignment Builder'!$B$8),OR('Assignment Builder'!$B$9="",$F2360='Assignment Builder'!$B$9),OR('Assignment Builder'!$B$10="",$O2360='Assignment Builder'!$B$10),OR('Assignment Builder'!$B$11="",$H2360&gt;='Assignment Builder'!$B$11),OR('Assignment Builder'!$B$12="",N($Q2360)&lt;='Assignment Builder'!$B$12)))</f>
        <v/>
      </c>
      <c r="T2360" s="23" t="n"/>
    </row>
    <row r="2361">
      <c r="A2361" s="23" t="n"/>
      <c r="B2361" s="23" t="n"/>
      <c r="C2361" s="24" t="n"/>
      <c r="D2361" s="15" t="n"/>
      <c r="E2361" s="23" t="n"/>
      <c r="F2361" s="15" t="n"/>
      <c r="G2361" s="23" t="n"/>
      <c r="H2361" s="25" t="n"/>
      <c r="I2361" s="15" t="n"/>
      <c r="J2361" s="26">
        <f>IF($A2361="","",LEN($C2361)-LEN(SUBSTITUTE($C2361,",",""))+1)</f>
        <v/>
      </c>
      <c r="K2361" s="26">
        <f>IF($A2361="","",SUMPRODUCT(--ISNUMBER(SEARCH('Category Dictionary'!$D$5:$D$135&amp;"",$C2361)),--('Category Dictionary'!$D$5:$D$135&lt;&gt;"")))</f>
        <v/>
      </c>
      <c r="L2361" s="27">
        <f>IF($A2361="","",TRIM(IF(ISERROR(FIND(",",$C2361)),$C2361,LEFT($C2361,FIND(",",$C2361)-1))))</f>
        <v/>
      </c>
      <c r="M2361" s="28">
        <f>IF($H2361="","",DATE(YEAR($H2361),MONTH($H2361),1))</f>
        <v/>
      </c>
      <c r="N2361" s="26">
        <f>IF($H2361="","",TODAY()-$H2361)</f>
        <v/>
      </c>
      <c r="O2361" s="15" t="n"/>
      <c r="P2361" s="15" t="n"/>
      <c r="Q2361" s="15" t="n"/>
      <c r="R2361" s="25" t="n"/>
      <c r="S2361" s="26">
        <f>IF($A2361="","",AND(OR('Assignment Builder'!$B$5="",$B2361='Assignment Builder'!$B$5),OR('Assignment Builder'!$B$6="",ISNUMBER(SEARCH('Assignment Builder'!$B$6,$C2361))),OR('Assignment Builder'!$B$7="",'Assignment Builder'!$B$7=IFERROR(INDEX('Category Dictionary'!$C$5:$C$135,MATCH($L2361,'Category Dictionary'!$D$5:$D$135,0)),"")),OR('Assignment Builder'!$B$8="",$D2361='Assignment Builder'!$B$8),OR('Assignment Builder'!$B$9="",$F2361='Assignment Builder'!$B$9),OR('Assignment Builder'!$B$10="",$O2361='Assignment Builder'!$B$10),OR('Assignment Builder'!$B$11="",$H2361&gt;='Assignment Builder'!$B$11),OR('Assignment Builder'!$B$12="",N($Q2361)&lt;='Assignment Builder'!$B$12)))</f>
        <v/>
      </c>
      <c r="T2361" s="23" t="n"/>
    </row>
    <row r="2362">
      <c r="A2362" s="23" t="n"/>
      <c r="B2362" s="23" t="n"/>
      <c r="C2362" s="24" t="n"/>
      <c r="D2362" s="15" t="n"/>
      <c r="E2362" s="23" t="n"/>
      <c r="F2362" s="15" t="n"/>
      <c r="G2362" s="23" t="n"/>
      <c r="H2362" s="25" t="n"/>
      <c r="I2362" s="15" t="n"/>
      <c r="J2362" s="26">
        <f>IF($A2362="","",LEN($C2362)-LEN(SUBSTITUTE($C2362,",",""))+1)</f>
        <v/>
      </c>
      <c r="K2362" s="26">
        <f>IF($A2362="","",SUMPRODUCT(--ISNUMBER(SEARCH('Category Dictionary'!$D$5:$D$135&amp;"",$C2362)),--('Category Dictionary'!$D$5:$D$135&lt;&gt;"")))</f>
        <v/>
      </c>
      <c r="L2362" s="27">
        <f>IF($A2362="","",TRIM(IF(ISERROR(FIND(",",$C2362)),$C2362,LEFT($C2362,FIND(",",$C2362)-1))))</f>
        <v/>
      </c>
      <c r="M2362" s="28">
        <f>IF($H2362="","",DATE(YEAR($H2362),MONTH($H2362),1))</f>
        <v/>
      </c>
      <c r="N2362" s="26">
        <f>IF($H2362="","",TODAY()-$H2362)</f>
        <v/>
      </c>
      <c r="O2362" s="15" t="n"/>
      <c r="P2362" s="15" t="n"/>
      <c r="Q2362" s="15" t="n"/>
      <c r="R2362" s="25" t="n"/>
      <c r="S2362" s="26">
        <f>IF($A2362="","",AND(OR('Assignment Builder'!$B$5="",$B2362='Assignment Builder'!$B$5),OR('Assignment Builder'!$B$6="",ISNUMBER(SEARCH('Assignment Builder'!$B$6,$C2362))),OR('Assignment Builder'!$B$7="",'Assignment Builder'!$B$7=IFERROR(INDEX('Category Dictionary'!$C$5:$C$135,MATCH($L2362,'Category Dictionary'!$D$5:$D$135,0)),"")),OR('Assignment Builder'!$B$8="",$D2362='Assignment Builder'!$B$8),OR('Assignment Builder'!$B$9="",$F2362='Assignment Builder'!$B$9),OR('Assignment Builder'!$B$10="",$O2362='Assignment Builder'!$B$10),OR('Assignment Builder'!$B$11="",$H2362&gt;='Assignment Builder'!$B$11),OR('Assignment Builder'!$B$12="",N($Q2362)&lt;='Assignment Builder'!$B$12)))</f>
        <v/>
      </c>
      <c r="T2362" s="23" t="n"/>
    </row>
    <row r="2363">
      <c r="A2363" s="23" t="n"/>
      <c r="B2363" s="23" t="n"/>
      <c r="C2363" s="24" t="n"/>
      <c r="D2363" s="15" t="n"/>
      <c r="E2363" s="23" t="n"/>
      <c r="F2363" s="15" t="n"/>
      <c r="G2363" s="23" t="n"/>
      <c r="H2363" s="25" t="n"/>
      <c r="I2363" s="15" t="n"/>
      <c r="J2363" s="26">
        <f>IF($A2363="","",LEN($C2363)-LEN(SUBSTITUTE($C2363,",",""))+1)</f>
        <v/>
      </c>
      <c r="K2363" s="26">
        <f>IF($A2363="","",SUMPRODUCT(--ISNUMBER(SEARCH('Category Dictionary'!$D$5:$D$135&amp;"",$C2363)),--('Category Dictionary'!$D$5:$D$135&lt;&gt;"")))</f>
        <v/>
      </c>
      <c r="L2363" s="27">
        <f>IF($A2363="","",TRIM(IF(ISERROR(FIND(",",$C2363)),$C2363,LEFT($C2363,FIND(",",$C2363)-1))))</f>
        <v/>
      </c>
      <c r="M2363" s="28">
        <f>IF($H2363="","",DATE(YEAR($H2363),MONTH($H2363),1))</f>
        <v/>
      </c>
      <c r="N2363" s="26">
        <f>IF($H2363="","",TODAY()-$H2363)</f>
        <v/>
      </c>
      <c r="O2363" s="15" t="n"/>
      <c r="P2363" s="15" t="n"/>
      <c r="Q2363" s="15" t="n"/>
      <c r="R2363" s="25" t="n"/>
      <c r="S2363" s="26">
        <f>IF($A2363="","",AND(OR('Assignment Builder'!$B$5="",$B2363='Assignment Builder'!$B$5),OR('Assignment Builder'!$B$6="",ISNUMBER(SEARCH('Assignment Builder'!$B$6,$C2363))),OR('Assignment Builder'!$B$7="",'Assignment Builder'!$B$7=IFERROR(INDEX('Category Dictionary'!$C$5:$C$135,MATCH($L2363,'Category Dictionary'!$D$5:$D$135,0)),"")),OR('Assignment Builder'!$B$8="",$D2363='Assignment Builder'!$B$8),OR('Assignment Builder'!$B$9="",$F2363='Assignment Builder'!$B$9),OR('Assignment Builder'!$B$10="",$O2363='Assignment Builder'!$B$10),OR('Assignment Builder'!$B$11="",$H2363&gt;='Assignment Builder'!$B$11),OR('Assignment Builder'!$B$12="",N($Q2363)&lt;='Assignment Builder'!$B$12)))</f>
        <v/>
      </c>
      <c r="T2363" s="23" t="n"/>
    </row>
    <row r="2364">
      <c r="A2364" s="23" t="n"/>
      <c r="B2364" s="23" t="n"/>
      <c r="C2364" s="24" t="n"/>
      <c r="D2364" s="15" t="n"/>
      <c r="E2364" s="23" t="n"/>
      <c r="F2364" s="15" t="n"/>
      <c r="G2364" s="23" t="n"/>
      <c r="H2364" s="25" t="n"/>
      <c r="I2364" s="15" t="n"/>
      <c r="J2364" s="26">
        <f>IF($A2364="","",LEN($C2364)-LEN(SUBSTITUTE($C2364,",",""))+1)</f>
        <v/>
      </c>
      <c r="K2364" s="26">
        <f>IF($A2364="","",SUMPRODUCT(--ISNUMBER(SEARCH('Category Dictionary'!$D$5:$D$135&amp;"",$C2364)),--('Category Dictionary'!$D$5:$D$135&lt;&gt;"")))</f>
        <v/>
      </c>
      <c r="L2364" s="27">
        <f>IF($A2364="","",TRIM(IF(ISERROR(FIND(",",$C2364)),$C2364,LEFT($C2364,FIND(",",$C2364)-1))))</f>
        <v/>
      </c>
      <c r="M2364" s="28">
        <f>IF($H2364="","",DATE(YEAR($H2364),MONTH($H2364),1))</f>
        <v/>
      </c>
      <c r="N2364" s="26">
        <f>IF($H2364="","",TODAY()-$H2364)</f>
        <v/>
      </c>
      <c r="O2364" s="15" t="n"/>
      <c r="P2364" s="15" t="n"/>
      <c r="Q2364" s="15" t="n"/>
      <c r="R2364" s="25" t="n"/>
      <c r="S2364" s="26">
        <f>IF($A2364="","",AND(OR('Assignment Builder'!$B$5="",$B2364='Assignment Builder'!$B$5),OR('Assignment Builder'!$B$6="",ISNUMBER(SEARCH('Assignment Builder'!$B$6,$C2364))),OR('Assignment Builder'!$B$7="",'Assignment Builder'!$B$7=IFERROR(INDEX('Category Dictionary'!$C$5:$C$135,MATCH($L2364,'Category Dictionary'!$D$5:$D$135,0)),"")),OR('Assignment Builder'!$B$8="",$D2364='Assignment Builder'!$B$8),OR('Assignment Builder'!$B$9="",$F2364='Assignment Builder'!$B$9),OR('Assignment Builder'!$B$10="",$O2364='Assignment Builder'!$B$10),OR('Assignment Builder'!$B$11="",$H2364&gt;='Assignment Builder'!$B$11),OR('Assignment Builder'!$B$12="",N($Q2364)&lt;='Assignment Builder'!$B$12)))</f>
        <v/>
      </c>
      <c r="T2364" s="23" t="n"/>
    </row>
    <row r="2365">
      <c r="A2365" s="23" t="n"/>
      <c r="B2365" s="23" t="n"/>
      <c r="C2365" s="24" t="n"/>
      <c r="D2365" s="15" t="n"/>
      <c r="E2365" s="23" t="n"/>
      <c r="F2365" s="15" t="n"/>
      <c r="G2365" s="23" t="n"/>
      <c r="H2365" s="25" t="n"/>
      <c r="I2365" s="15" t="n"/>
      <c r="J2365" s="26">
        <f>IF($A2365="","",LEN($C2365)-LEN(SUBSTITUTE($C2365,",",""))+1)</f>
        <v/>
      </c>
      <c r="K2365" s="26">
        <f>IF($A2365="","",SUMPRODUCT(--ISNUMBER(SEARCH('Category Dictionary'!$D$5:$D$135&amp;"",$C2365)),--('Category Dictionary'!$D$5:$D$135&lt;&gt;"")))</f>
        <v/>
      </c>
      <c r="L2365" s="27">
        <f>IF($A2365="","",TRIM(IF(ISERROR(FIND(",",$C2365)),$C2365,LEFT($C2365,FIND(",",$C2365)-1))))</f>
        <v/>
      </c>
      <c r="M2365" s="28">
        <f>IF($H2365="","",DATE(YEAR($H2365),MONTH($H2365),1))</f>
        <v/>
      </c>
      <c r="N2365" s="26">
        <f>IF($H2365="","",TODAY()-$H2365)</f>
        <v/>
      </c>
      <c r="O2365" s="15" t="n"/>
      <c r="P2365" s="15" t="n"/>
      <c r="Q2365" s="15" t="n"/>
      <c r="R2365" s="25" t="n"/>
      <c r="S2365" s="26">
        <f>IF($A2365="","",AND(OR('Assignment Builder'!$B$5="",$B2365='Assignment Builder'!$B$5),OR('Assignment Builder'!$B$6="",ISNUMBER(SEARCH('Assignment Builder'!$B$6,$C2365))),OR('Assignment Builder'!$B$7="",'Assignment Builder'!$B$7=IFERROR(INDEX('Category Dictionary'!$C$5:$C$135,MATCH($L2365,'Category Dictionary'!$D$5:$D$135,0)),"")),OR('Assignment Builder'!$B$8="",$D2365='Assignment Builder'!$B$8),OR('Assignment Builder'!$B$9="",$F2365='Assignment Builder'!$B$9),OR('Assignment Builder'!$B$10="",$O2365='Assignment Builder'!$B$10),OR('Assignment Builder'!$B$11="",$H2365&gt;='Assignment Builder'!$B$11),OR('Assignment Builder'!$B$12="",N($Q2365)&lt;='Assignment Builder'!$B$12)))</f>
        <v/>
      </c>
      <c r="T2365" s="23" t="n"/>
    </row>
    <row r="2366">
      <c r="A2366" s="23" t="n"/>
      <c r="B2366" s="23" t="n"/>
      <c r="C2366" s="24" t="n"/>
      <c r="D2366" s="15" t="n"/>
      <c r="E2366" s="23" t="n"/>
      <c r="F2366" s="15" t="n"/>
      <c r="G2366" s="23" t="n"/>
      <c r="H2366" s="25" t="n"/>
      <c r="I2366" s="15" t="n"/>
      <c r="J2366" s="26">
        <f>IF($A2366="","",LEN($C2366)-LEN(SUBSTITUTE($C2366,",",""))+1)</f>
        <v/>
      </c>
      <c r="K2366" s="26">
        <f>IF($A2366="","",SUMPRODUCT(--ISNUMBER(SEARCH('Category Dictionary'!$D$5:$D$135&amp;"",$C2366)),--('Category Dictionary'!$D$5:$D$135&lt;&gt;"")))</f>
        <v/>
      </c>
      <c r="L2366" s="27">
        <f>IF($A2366="","",TRIM(IF(ISERROR(FIND(",",$C2366)),$C2366,LEFT($C2366,FIND(",",$C2366)-1))))</f>
        <v/>
      </c>
      <c r="M2366" s="28">
        <f>IF($H2366="","",DATE(YEAR($H2366),MONTH($H2366),1))</f>
        <v/>
      </c>
      <c r="N2366" s="26">
        <f>IF($H2366="","",TODAY()-$H2366)</f>
        <v/>
      </c>
      <c r="O2366" s="15" t="n"/>
      <c r="P2366" s="15" t="n"/>
      <c r="Q2366" s="15" t="n"/>
      <c r="R2366" s="25" t="n"/>
      <c r="S2366" s="26">
        <f>IF($A2366="","",AND(OR('Assignment Builder'!$B$5="",$B2366='Assignment Builder'!$B$5),OR('Assignment Builder'!$B$6="",ISNUMBER(SEARCH('Assignment Builder'!$B$6,$C2366))),OR('Assignment Builder'!$B$7="",'Assignment Builder'!$B$7=IFERROR(INDEX('Category Dictionary'!$C$5:$C$135,MATCH($L2366,'Category Dictionary'!$D$5:$D$135,0)),"")),OR('Assignment Builder'!$B$8="",$D2366='Assignment Builder'!$B$8),OR('Assignment Builder'!$B$9="",$F2366='Assignment Builder'!$B$9),OR('Assignment Builder'!$B$10="",$O2366='Assignment Builder'!$B$10),OR('Assignment Builder'!$B$11="",$H2366&gt;='Assignment Builder'!$B$11),OR('Assignment Builder'!$B$12="",N($Q2366)&lt;='Assignment Builder'!$B$12)))</f>
        <v/>
      </c>
      <c r="T2366" s="23" t="n"/>
    </row>
    <row r="2367">
      <c r="A2367" s="23" t="n"/>
      <c r="B2367" s="23" t="n"/>
      <c r="C2367" s="24" t="n"/>
      <c r="D2367" s="15" t="n"/>
      <c r="E2367" s="23" t="n"/>
      <c r="F2367" s="15" t="n"/>
      <c r="G2367" s="23" t="n"/>
      <c r="H2367" s="25" t="n"/>
      <c r="I2367" s="15" t="n"/>
      <c r="J2367" s="26">
        <f>IF($A2367="","",LEN($C2367)-LEN(SUBSTITUTE($C2367,",",""))+1)</f>
        <v/>
      </c>
      <c r="K2367" s="26">
        <f>IF($A2367="","",SUMPRODUCT(--ISNUMBER(SEARCH('Category Dictionary'!$D$5:$D$135&amp;"",$C2367)),--('Category Dictionary'!$D$5:$D$135&lt;&gt;"")))</f>
        <v/>
      </c>
      <c r="L2367" s="27">
        <f>IF($A2367="","",TRIM(IF(ISERROR(FIND(",",$C2367)),$C2367,LEFT($C2367,FIND(",",$C2367)-1))))</f>
        <v/>
      </c>
      <c r="M2367" s="28">
        <f>IF($H2367="","",DATE(YEAR($H2367),MONTH($H2367),1))</f>
        <v/>
      </c>
      <c r="N2367" s="26">
        <f>IF($H2367="","",TODAY()-$H2367)</f>
        <v/>
      </c>
      <c r="O2367" s="15" t="n"/>
      <c r="P2367" s="15" t="n"/>
      <c r="Q2367" s="15" t="n"/>
      <c r="R2367" s="25" t="n"/>
      <c r="S2367" s="26">
        <f>IF($A2367="","",AND(OR('Assignment Builder'!$B$5="",$B2367='Assignment Builder'!$B$5),OR('Assignment Builder'!$B$6="",ISNUMBER(SEARCH('Assignment Builder'!$B$6,$C2367))),OR('Assignment Builder'!$B$7="",'Assignment Builder'!$B$7=IFERROR(INDEX('Category Dictionary'!$C$5:$C$135,MATCH($L2367,'Category Dictionary'!$D$5:$D$135,0)),"")),OR('Assignment Builder'!$B$8="",$D2367='Assignment Builder'!$B$8),OR('Assignment Builder'!$B$9="",$F2367='Assignment Builder'!$B$9),OR('Assignment Builder'!$B$10="",$O2367='Assignment Builder'!$B$10),OR('Assignment Builder'!$B$11="",$H2367&gt;='Assignment Builder'!$B$11),OR('Assignment Builder'!$B$12="",N($Q2367)&lt;='Assignment Builder'!$B$12)))</f>
        <v/>
      </c>
      <c r="T2367" s="23" t="n"/>
    </row>
    <row r="2368">
      <c r="A2368" s="23" t="n"/>
      <c r="B2368" s="23" t="n"/>
      <c r="C2368" s="24" t="n"/>
      <c r="D2368" s="15" t="n"/>
      <c r="E2368" s="23" t="n"/>
      <c r="F2368" s="15" t="n"/>
      <c r="G2368" s="23" t="n"/>
      <c r="H2368" s="25" t="n"/>
      <c r="I2368" s="15" t="n"/>
      <c r="J2368" s="26">
        <f>IF($A2368="","",LEN($C2368)-LEN(SUBSTITUTE($C2368,",",""))+1)</f>
        <v/>
      </c>
      <c r="K2368" s="26">
        <f>IF($A2368="","",SUMPRODUCT(--ISNUMBER(SEARCH('Category Dictionary'!$D$5:$D$135&amp;"",$C2368)),--('Category Dictionary'!$D$5:$D$135&lt;&gt;"")))</f>
        <v/>
      </c>
      <c r="L2368" s="27">
        <f>IF($A2368="","",TRIM(IF(ISERROR(FIND(",",$C2368)),$C2368,LEFT($C2368,FIND(",",$C2368)-1))))</f>
        <v/>
      </c>
      <c r="M2368" s="28">
        <f>IF($H2368="","",DATE(YEAR($H2368),MONTH($H2368),1))</f>
        <v/>
      </c>
      <c r="N2368" s="26">
        <f>IF($H2368="","",TODAY()-$H2368)</f>
        <v/>
      </c>
      <c r="O2368" s="15" t="n"/>
      <c r="P2368" s="15" t="n"/>
      <c r="Q2368" s="15" t="n"/>
      <c r="R2368" s="25" t="n"/>
      <c r="S2368" s="26">
        <f>IF($A2368="","",AND(OR('Assignment Builder'!$B$5="",$B2368='Assignment Builder'!$B$5),OR('Assignment Builder'!$B$6="",ISNUMBER(SEARCH('Assignment Builder'!$B$6,$C2368))),OR('Assignment Builder'!$B$7="",'Assignment Builder'!$B$7=IFERROR(INDEX('Category Dictionary'!$C$5:$C$135,MATCH($L2368,'Category Dictionary'!$D$5:$D$135,0)),"")),OR('Assignment Builder'!$B$8="",$D2368='Assignment Builder'!$B$8),OR('Assignment Builder'!$B$9="",$F2368='Assignment Builder'!$B$9),OR('Assignment Builder'!$B$10="",$O2368='Assignment Builder'!$B$10),OR('Assignment Builder'!$B$11="",$H2368&gt;='Assignment Builder'!$B$11),OR('Assignment Builder'!$B$12="",N($Q2368)&lt;='Assignment Builder'!$B$12)))</f>
        <v/>
      </c>
      <c r="T2368" s="23" t="n"/>
    </row>
    <row r="2369">
      <c r="A2369" s="23" t="n"/>
      <c r="B2369" s="23" t="n"/>
      <c r="C2369" s="24" t="n"/>
      <c r="D2369" s="15" t="n"/>
      <c r="E2369" s="23" t="n"/>
      <c r="F2369" s="15" t="n"/>
      <c r="G2369" s="23" t="n"/>
      <c r="H2369" s="25" t="n"/>
      <c r="I2369" s="15" t="n"/>
      <c r="J2369" s="26">
        <f>IF($A2369="","",LEN($C2369)-LEN(SUBSTITUTE($C2369,",",""))+1)</f>
        <v/>
      </c>
      <c r="K2369" s="26">
        <f>IF($A2369="","",SUMPRODUCT(--ISNUMBER(SEARCH('Category Dictionary'!$D$5:$D$135&amp;"",$C2369)),--('Category Dictionary'!$D$5:$D$135&lt;&gt;"")))</f>
        <v/>
      </c>
      <c r="L2369" s="27">
        <f>IF($A2369="","",TRIM(IF(ISERROR(FIND(",",$C2369)),$C2369,LEFT($C2369,FIND(",",$C2369)-1))))</f>
        <v/>
      </c>
      <c r="M2369" s="28">
        <f>IF($H2369="","",DATE(YEAR($H2369),MONTH($H2369),1))</f>
        <v/>
      </c>
      <c r="N2369" s="26">
        <f>IF($H2369="","",TODAY()-$H2369)</f>
        <v/>
      </c>
      <c r="O2369" s="15" t="n"/>
      <c r="P2369" s="15" t="n"/>
      <c r="Q2369" s="15" t="n"/>
      <c r="R2369" s="25" t="n"/>
      <c r="S2369" s="26">
        <f>IF($A2369="","",AND(OR('Assignment Builder'!$B$5="",$B2369='Assignment Builder'!$B$5),OR('Assignment Builder'!$B$6="",ISNUMBER(SEARCH('Assignment Builder'!$B$6,$C2369))),OR('Assignment Builder'!$B$7="",'Assignment Builder'!$B$7=IFERROR(INDEX('Category Dictionary'!$C$5:$C$135,MATCH($L2369,'Category Dictionary'!$D$5:$D$135,0)),"")),OR('Assignment Builder'!$B$8="",$D2369='Assignment Builder'!$B$8),OR('Assignment Builder'!$B$9="",$F2369='Assignment Builder'!$B$9),OR('Assignment Builder'!$B$10="",$O2369='Assignment Builder'!$B$10),OR('Assignment Builder'!$B$11="",$H2369&gt;='Assignment Builder'!$B$11),OR('Assignment Builder'!$B$12="",N($Q2369)&lt;='Assignment Builder'!$B$12)))</f>
        <v/>
      </c>
      <c r="T2369" s="23" t="n"/>
    </row>
    <row r="2370">
      <c r="A2370" s="23" t="n"/>
      <c r="B2370" s="23" t="n"/>
      <c r="C2370" s="24" t="n"/>
      <c r="D2370" s="15" t="n"/>
      <c r="E2370" s="23" t="n"/>
      <c r="F2370" s="15" t="n"/>
      <c r="G2370" s="23" t="n"/>
      <c r="H2370" s="25" t="n"/>
      <c r="I2370" s="15" t="n"/>
      <c r="J2370" s="26">
        <f>IF($A2370="","",LEN($C2370)-LEN(SUBSTITUTE($C2370,",",""))+1)</f>
        <v/>
      </c>
      <c r="K2370" s="26">
        <f>IF($A2370="","",SUMPRODUCT(--ISNUMBER(SEARCH('Category Dictionary'!$D$5:$D$135&amp;"",$C2370)),--('Category Dictionary'!$D$5:$D$135&lt;&gt;"")))</f>
        <v/>
      </c>
      <c r="L2370" s="27">
        <f>IF($A2370="","",TRIM(IF(ISERROR(FIND(",",$C2370)),$C2370,LEFT($C2370,FIND(",",$C2370)-1))))</f>
        <v/>
      </c>
      <c r="M2370" s="28">
        <f>IF($H2370="","",DATE(YEAR($H2370),MONTH($H2370),1))</f>
        <v/>
      </c>
      <c r="N2370" s="26">
        <f>IF($H2370="","",TODAY()-$H2370)</f>
        <v/>
      </c>
      <c r="O2370" s="15" t="n"/>
      <c r="P2370" s="15" t="n"/>
      <c r="Q2370" s="15" t="n"/>
      <c r="R2370" s="25" t="n"/>
      <c r="S2370" s="26">
        <f>IF($A2370="","",AND(OR('Assignment Builder'!$B$5="",$B2370='Assignment Builder'!$B$5),OR('Assignment Builder'!$B$6="",ISNUMBER(SEARCH('Assignment Builder'!$B$6,$C2370))),OR('Assignment Builder'!$B$7="",'Assignment Builder'!$B$7=IFERROR(INDEX('Category Dictionary'!$C$5:$C$135,MATCH($L2370,'Category Dictionary'!$D$5:$D$135,0)),"")),OR('Assignment Builder'!$B$8="",$D2370='Assignment Builder'!$B$8),OR('Assignment Builder'!$B$9="",$F2370='Assignment Builder'!$B$9),OR('Assignment Builder'!$B$10="",$O2370='Assignment Builder'!$B$10),OR('Assignment Builder'!$B$11="",$H2370&gt;='Assignment Builder'!$B$11),OR('Assignment Builder'!$B$12="",N($Q2370)&lt;='Assignment Builder'!$B$12)))</f>
        <v/>
      </c>
      <c r="T2370" s="23" t="n"/>
    </row>
    <row r="2371">
      <c r="A2371" s="23" t="n"/>
      <c r="B2371" s="23" t="n"/>
      <c r="C2371" s="24" t="n"/>
      <c r="D2371" s="15" t="n"/>
      <c r="E2371" s="23" t="n"/>
      <c r="F2371" s="15" t="n"/>
      <c r="G2371" s="23" t="n"/>
      <c r="H2371" s="25" t="n"/>
      <c r="I2371" s="15" t="n"/>
      <c r="J2371" s="26">
        <f>IF($A2371="","",LEN($C2371)-LEN(SUBSTITUTE($C2371,",",""))+1)</f>
        <v/>
      </c>
      <c r="K2371" s="26">
        <f>IF($A2371="","",SUMPRODUCT(--ISNUMBER(SEARCH('Category Dictionary'!$D$5:$D$135&amp;"",$C2371)),--('Category Dictionary'!$D$5:$D$135&lt;&gt;"")))</f>
        <v/>
      </c>
      <c r="L2371" s="27">
        <f>IF($A2371="","",TRIM(IF(ISERROR(FIND(",",$C2371)),$C2371,LEFT($C2371,FIND(",",$C2371)-1))))</f>
        <v/>
      </c>
      <c r="M2371" s="28">
        <f>IF($H2371="","",DATE(YEAR($H2371),MONTH($H2371),1))</f>
        <v/>
      </c>
      <c r="N2371" s="26">
        <f>IF($H2371="","",TODAY()-$H2371)</f>
        <v/>
      </c>
      <c r="O2371" s="15" t="n"/>
      <c r="P2371" s="15" t="n"/>
      <c r="Q2371" s="15" t="n"/>
      <c r="R2371" s="25" t="n"/>
      <c r="S2371" s="26">
        <f>IF($A2371="","",AND(OR('Assignment Builder'!$B$5="",$B2371='Assignment Builder'!$B$5),OR('Assignment Builder'!$B$6="",ISNUMBER(SEARCH('Assignment Builder'!$B$6,$C2371))),OR('Assignment Builder'!$B$7="",'Assignment Builder'!$B$7=IFERROR(INDEX('Category Dictionary'!$C$5:$C$135,MATCH($L2371,'Category Dictionary'!$D$5:$D$135,0)),"")),OR('Assignment Builder'!$B$8="",$D2371='Assignment Builder'!$B$8),OR('Assignment Builder'!$B$9="",$F2371='Assignment Builder'!$B$9),OR('Assignment Builder'!$B$10="",$O2371='Assignment Builder'!$B$10),OR('Assignment Builder'!$B$11="",$H2371&gt;='Assignment Builder'!$B$11),OR('Assignment Builder'!$B$12="",N($Q2371)&lt;='Assignment Builder'!$B$12)))</f>
        <v/>
      </c>
      <c r="T2371" s="23" t="n"/>
    </row>
    <row r="2372">
      <c r="A2372" s="23" t="n"/>
      <c r="B2372" s="23" t="n"/>
      <c r="C2372" s="24" t="n"/>
      <c r="D2372" s="15" t="n"/>
      <c r="E2372" s="23" t="n"/>
      <c r="F2372" s="15" t="n"/>
      <c r="G2372" s="23" t="n"/>
      <c r="H2372" s="25" t="n"/>
      <c r="I2372" s="15" t="n"/>
      <c r="J2372" s="26">
        <f>IF($A2372="","",LEN($C2372)-LEN(SUBSTITUTE($C2372,",",""))+1)</f>
        <v/>
      </c>
      <c r="K2372" s="26">
        <f>IF($A2372="","",SUMPRODUCT(--ISNUMBER(SEARCH('Category Dictionary'!$D$5:$D$135&amp;"",$C2372)),--('Category Dictionary'!$D$5:$D$135&lt;&gt;"")))</f>
        <v/>
      </c>
      <c r="L2372" s="27">
        <f>IF($A2372="","",TRIM(IF(ISERROR(FIND(",",$C2372)),$C2372,LEFT($C2372,FIND(",",$C2372)-1))))</f>
        <v/>
      </c>
      <c r="M2372" s="28">
        <f>IF($H2372="","",DATE(YEAR($H2372),MONTH($H2372),1))</f>
        <v/>
      </c>
      <c r="N2372" s="26">
        <f>IF($H2372="","",TODAY()-$H2372)</f>
        <v/>
      </c>
      <c r="O2372" s="15" t="n"/>
      <c r="P2372" s="15" t="n"/>
      <c r="Q2372" s="15" t="n"/>
      <c r="R2372" s="25" t="n"/>
      <c r="S2372" s="26">
        <f>IF($A2372="","",AND(OR('Assignment Builder'!$B$5="",$B2372='Assignment Builder'!$B$5),OR('Assignment Builder'!$B$6="",ISNUMBER(SEARCH('Assignment Builder'!$B$6,$C2372))),OR('Assignment Builder'!$B$7="",'Assignment Builder'!$B$7=IFERROR(INDEX('Category Dictionary'!$C$5:$C$135,MATCH($L2372,'Category Dictionary'!$D$5:$D$135,0)),"")),OR('Assignment Builder'!$B$8="",$D2372='Assignment Builder'!$B$8),OR('Assignment Builder'!$B$9="",$F2372='Assignment Builder'!$B$9),OR('Assignment Builder'!$B$10="",$O2372='Assignment Builder'!$B$10),OR('Assignment Builder'!$B$11="",$H2372&gt;='Assignment Builder'!$B$11),OR('Assignment Builder'!$B$12="",N($Q2372)&lt;='Assignment Builder'!$B$12)))</f>
        <v/>
      </c>
      <c r="T2372" s="23" t="n"/>
    </row>
    <row r="2373">
      <c r="A2373" s="23" t="n"/>
      <c r="B2373" s="23" t="n"/>
      <c r="C2373" s="24" t="n"/>
      <c r="D2373" s="15" t="n"/>
      <c r="E2373" s="23" t="n"/>
      <c r="F2373" s="15" t="n"/>
      <c r="G2373" s="23" t="n"/>
      <c r="H2373" s="25" t="n"/>
      <c r="I2373" s="15" t="n"/>
      <c r="J2373" s="26">
        <f>IF($A2373="","",LEN($C2373)-LEN(SUBSTITUTE($C2373,",",""))+1)</f>
        <v/>
      </c>
      <c r="K2373" s="26">
        <f>IF($A2373="","",SUMPRODUCT(--ISNUMBER(SEARCH('Category Dictionary'!$D$5:$D$135&amp;"",$C2373)),--('Category Dictionary'!$D$5:$D$135&lt;&gt;"")))</f>
        <v/>
      </c>
      <c r="L2373" s="27">
        <f>IF($A2373="","",TRIM(IF(ISERROR(FIND(",",$C2373)),$C2373,LEFT($C2373,FIND(",",$C2373)-1))))</f>
        <v/>
      </c>
      <c r="M2373" s="28">
        <f>IF($H2373="","",DATE(YEAR($H2373),MONTH($H2373),1))</f>
        <v/>
      </c>
      <c r="N2373" s="26">
        <f>IF($H2373="","",TODAY()-$H2373)</f>
        <v/>
      </c>
      <c r="O2373" s="15" t="n"/>
      <c r="P2373" s="15" t="n"/>
      <c r="Q2373" s="15" t="n"/>
      <c r="R2373" s="25" t="n"/>
      <c r="S2373" s="26">
        <f>IF($A2373="","",AND(OR('Assignment Builder'!$B$5="",$B2373='Assignment Builder'!$B$5),OR('Assignment Builder'!$B$6="",ISNUMBER(SEARCH('Assignment Builder'!$B$6,$C2373))),OR('Assignment Builder'!$B$7="",'Assignment Builder'!$B$7=IFERROR(INDEX('Category Dictionary'!$C$5:$C$135,MATCH($L2373,'Category Dictionary'!$D$5:$D$135,0)),"")),OR('Assignment Builder'!$B$8="",$D2373='Assignment Builder'!$B$8),OR('Assignment Builder'!$B$9="",$F2373='Assignment Builder'!$B$9),OR('Assignment Builder'!$B$10="",$O2373='Assignment Builder'!$B$10),OR('Assignment Builder'!$B$11="",$H2373&gt;='Assignment Builder'!$B$11),OR('Assignment Builder'!$B$12="",N($Q2373)&lt;='Assignment Builder'!$B$12)))</f>
        <v/>
      </c>
      <c r="T2373" s="23" t="n"/>
    </row>
    <row r="2374">
      <c r="A2374" s="23" t="n"/>
      <c r="B2374" s="23" t="n"/>
      <c r="C2374" s="24" t="n"/>
      <c r="D2374" s="15" t="n"/>
      <c r="E2374" s="23" t="n"/>
      <c r="F2374" s="15" t="n"/>
      <c r="G2374" s="23" t="n"/>
      <c r="H2374" s="25" t="n"/>
      <c r="I2374" s="15" t="n"/>
      <c r="J2374" s="26">
        <f>IF($A2374="","",LEN($C2374)-LEN(SUBSTITUTE($C2374,",",""))+1)</f>
        <v/>
      </c>
      <c r="K2374" s="26">
        <f>IF($A2374="","",SUMPRODUCT(--ISNUMBER(SEARCH('Category Dictionary'!$D$5:$D$135&amp;"",$C2374)),--('Category Dictionary'!$D$5:$D$135&lt;&gt;"")))</f>
        <v/>
      </c>
      <c r="L2374" s="27">
        <f>IF($A2374="","",TRIM(IF(ISERROR(FIND(",",$C2374)),$C2374,LEFT($C2374,FIND(",",$C2374)-1))))</f>
        <v/>
      </c>
      <c r="M2374" s="28">
        <f>IF($H2374="","",DATE(YEAR($H2374),MONTH($H2374),1))</f>
        <v/>
      </c>
      <c r="N2374" s="26">
        <f>IF($H2374="","",TODAY()-$H2374)</f>
        <v/>
      </c>
      <c r="O2374" s="15" t="n"/>
      <c r="P2374" s="15" t="n"/>
      <c r="Q2374" s="15" t="n"/>
      <c r="R2374" s="25" t="n"/>
      <c r="S2374" s="26">
        <f>IF($A2374="","",AND(OR('Assignment Builder'!$B$5="",$B2374='Assignment Builder'!$B$5),OR('Assignment Builder'!$B$6="",ISNUMBER(SEARCH('Assignment Builder'!$B$6,$C2374))),OR('Assignment Builder'!$B$7="",'Assignment Builder'!$B$7=IFERROR(INDEX('Category Dictionary'!$C$5:$C$135,MATCH($L2374,'Category Dictionary'!$D$5:$D$135,0)),"")),OR('Assignment Builder'!$B$8="",$D2374='Assignment Builder'!$B$8),OR('Assignment Builder'!$B$9="",$F2374='Assignment Builder'!$B$9),OR('Assignment Builder'!$B$10="",$O2374='Assignment Builder'!$B$10),OR('Assignment Builder'!$B$11="",$H2374&gt;='Assignment Builder'!$B$11),OR('Assignment Builder'!$B$12="",N($Q2374)&lt;='Assignment Builder'!$B$12)))</f>
        <v/>
      </c>
      <c r="T2374" s="23" t="n"/>
    </row>
    <row r="2375">
      <c r="A2375" s="23" t="n"/>
      <c r="B2375" s="23" t="n"/>
      <c r="C2375" s="24" t="n"/>
      <c r="D2375" s="15" t="n"/>
      <c r="E2375" s="23" t="n"/>
      <c r="F2375" s="15" t="n"/>
      <c r="G2375" s="23" t="n"/>
      <c r="H2375" s="25" t="n"/>
      <c r="I2375" s="15" t="n"/>
      <c r="J2375" s="26">
        <f>IF($A2375="","",LEN($C2375)-LEN(SUBSTITUTE($C2375,",",""))+1)</f>
        <v/>
      </c>
      <c r="K2375" s="26">
        <f>IF($A2375="","",SUMPRODUCT(--ISNUMBER(SEARCH('Category Dictionary'!$D$5:$D$135&amp;"",$C2375)),--('Category Dictionary'!$D$5:$D$135&lt;&gt;"")))</f>
        <v/>
      </c>
      <c r="L2375" s="27">
        <f>IF($A2375="","",TRIM(IF(ISERROR(FIND(",",$C2375)),$C2375,LEFT($C2375,FIND(",",$C2375)-1))))</f>
        <v/>
      </c>
      <c r="M2375" s="28">
        <f>IF($H2375="","",DATE(YEAR($H2375),MONTH($H2375),1))</f>
        <v/>
      </c>
      <c r="N2375" s="26">
        <f>IF($H2375="","",TODAY()-$H2375)</f>
        <v/>
      </c>
      <c r="O2375" s="15" t="n"/>
      <c r="P2375" s="15" t="n"/>
      <c r="Q2375" s="15" t="n"/>
      <c r="R2375" s="25" t="n"/>
      <c r="S2375" s="26">
        <f>IF($A2375="","",AND(OR('Assignment Builder'!$B$5="",$B2375='Assignment Builder'!$B$5),OR('Assignment Builder'!$B$6="",ISNUMBER(SEARCH('Assignment Builder'!$B$6,$C2375))),OR('Assignment Builder'!$B$7="",'Assignment Builder'!$B$7=IFERROR(INDEX('Category Dictionary'!$C$5:$C$135,MATCH($L2375,'Category Dictionary'!$D$5:$D$135,0)),"")),OR('Assignment Builder'!$B$8="",$D2375='Assignment Builder'!$B$8),OR('Assignment Builder'!$B$9="",$F2375='Assignment Builder'!$B$9),OR('Assignment Builder'!$B$10="",$O2375='Assignment Builder'!$B$10),OR('Assignment Builder'!$B$11="",$H2375&gt;='Assignment Builder'!$B$11),OR('Assignment Builder'!$B$12="",N($Q2375)&lt;='Assignment Builder'!$B$12)))</f>
        <v/>
      </c>
      <c r="T2375" s="23" t="n"/>
    </row>
    <row r="2376">
      <c r="A2376" s="23" t="n"/>
      <c r="B2376" s="23" t="n"/>
      <c r="C2376" s="24" t="n"/>
      <c r="D2376" s="15" t="n"/>
      <c r="E2376" s="23" t="n"/>
      <c r="F2376" s="15" t="n"/>
      <c r="G2376" s="23" t="n"/>
      <c r="H2376" s="25" t="n"/>
      <c r="I2376" s="15" t="n"/>
      <c r="J2376" s="26">
        <f>IF($A2376="","",LEN($C2376)-LEN(SUBSTITUTE($C2376,",",""))+1)</f>
        <v/>
      </c>
      <c r="K2376" s="26">
        <f>IF($A2376="","",SUMPRODUCT(--ISNUMBER(SEARCH('Category Dictionary'!$D$5:$D$135&amp;"",$C2376)),--('Category Dictionary'!$D$5:$D$135&lt;&gt;"")))</f>
        <v/>
      </c>
      <c r="L2376" s="27">
        <f>IF($A2376="","",TRIM(IF(ISERROR(FIND(",",$C2376)),$C2376,LEFT($C2376,FIND(",",$C2376)-1))))</f>
        <v/>
      </c>
      <c r="M2376" s="28">
        <f>IF($H2376="","",DATE(YEAR($H2376),MONTH($H2376),1))</f>
        <v/>
      </c>
      <c r="N2376" s="26">
        <f>IF($H2376="","",TODAY()-$H2376)</f>
        <v/>
      </c>
      <c r="O2376" s="15" t="n"/>
      <c r="P2376" s="15" t="n"/>
      <c r="Q2376" s="15" t="n"/>
      <c r="R2376" s="25" t="n"/>
      <c r="S2376" s="26">
        <f>IF($A2376="","",AND(OR('Assignment Builder'!$B$5="",$B2376='Assignment Builder'!$B$5),OR('Assignment Builder'!$B$6="",ISNUMBER(SEARCH('Assignment Builder'!$B$6,$C2376))),OR('Assignment Builder'!$B$7="",'Assignment Builder'!$B$7=IFERROR(INDEX('Category Dictionary'!$C$5:$C$135,MATCH($L2376,'Category Dictionary'!$D$5:$D$135,0)),"")),OR('Assignment Builder'!$B$8="",$D2376='Assignment Builder'!$B$8),OR('Assignment Builder'!$B$9="",$F2376='Assignment Builder'!$B$9),OR('Assignment Builder'!$B$10="",$O2376='Assignment Builder'!$B$10),OR('Assignment Builder'!$B$11="",$H2376&gt;='Assignment Builder'!$B$11),OR('Assignment Builder'!$B$12="",N($Q2376)&lt;='Assignment Builder'!$B$12)))</f>
        <v/>
      </c>
      <c r="T2376" s="23" t="n"/>
    </row>
    <row r="2377">
      <c r="A2377" s="23" t="n"/>
      <c r="B2377" s="23" t="n"/>
      <c r="C2377" s="24" t="n"/>
      <c r="D2377" s="15" t="n"/>
      <c r="E2377" s="23" t="n"/>
      <c r="F2377" s="15" t="n"/>
      <c r="G2377" s="23" t="n"/>
      <c r="H2377" s="25" t="n"/>
      <c r="I2377" s="15" t="n"/>
      <c r="J2377" s="26">
        <f>IF($A2377="","",LEN($C2377)-LEN(SUBSTITUTE($C2377,",",""))+1)</f>
        <v/>
      </c>
      <c r="K2377" s="26">
        <f>IF($A2377="","",SUMPRODUCT(--ISNUMBER(SEARCH('Category Dictionary'!$D$5:$D$135&amp;"",$C2377)),--('Category Dictionary'!$D$5:$D$135&lt;&gt;"")))</f>
        <v/>
      </c>
      <c r="L2377" s="27">
        <f>IF($A2377="","",TRIM(IF(ISERROR(FIND(",",$C2377)),$C2377,LEFT($C2377,FIND(",",$C2377)-1))))</f>
        <v/>
      </c>
      <c r="M2377" s="28">
        <f>IF($H2377="","",DATE(YEAR($H2377),MONTH($H2377),1))</f>
        <v/>
      </c>
      <c r="N2377" s="26">
        <f>IF($H2377="","",TODAY()-$H2377)</f>
        <v/>
      </c>
      <c r="O2377" s="15" t="n"/>
      <c r="P2377" s="15" t="n"/>
      <c r="Q2377" s="15" t="n"/>
      <c r="R2377" s="25" t="n"/>
      <c r="S2377" s="26">
        <f>IF($A2377="","",AND(OR('Assignment Builder'!$B$5="",$B2377='Assignment Builder'!$B$5),OR('Assignment Builder'!$B$6="",ISNUMBER(SEARCH('Assignment Builder'!$B$6,$C2377))),OR('Assignment Builder'!$B$7="",'Assignment Builder'!$B$7=IFERROR(INDEX('Category Dictionary'!$C$5:$C$135,MATCH($L2377,'Category Dictionary'!$D$5:$D$135,0)),"")),OR('Assignment Builder'!$B$8="",$D2377='Assignment Builder'!$B$8),OR('Assignment Builder'!$B$9="",$F2377='Assignment Builder'!$B$9),OR('Assignment Builder'!$B$10="",$O2377='Assignment Builder'!$B$10),OR('Assignment Builder'!$B$11="",$H2377&gt;='Assignment Builder'!$B$11),OR('Assignment Builder'!$B$12="",N($Q2377)&lt;='Assignment Builder'!$B$12)))</f>
        <v/>
      </c>
      <c r="T2377" s="23" t="n"/>
    </row>
    <row r="2378">
      <c r="A2378" s="23" t="n"/>
      <c r="B2378" s="23" t="n"/>
      <c r="C2378" s="24" t="n"/>
      <c r="D2378" s="15" t="n"/>
      <c r="E2378" s="23" t="n"/>
      <c r="F2378" s="15" t="n"/>
      <c r="G2378" s="23" t="n"/>
      <c r="H2378" s="25" t="n"/>
      <c r="I2378" s="15" t="n"/>
      <c r="J2378" s="26">
        <f>IF($A2378="","",LEN($C2378)-LEN(SUBSTITUTE($C2378,",",""))+1)</f>
        <v/>
      </c>
      <c r="K2378" s="26">
        <f>IF($A2378="","",SUMPRODUCT(--ISNUMBER(SEARCH('Category Dictionary'!$D$5:$D$135&amp;"",$C2378)),--('Category Dictionary'!$D$5:$D$135&lt;&gt;"")))</f>
        <v/>
      </c>
      <c r="L2378" s="27">
        <f>IF($A2378="","",TRIM(IF(ISERROR(FIND(",",$C2378)),$C2378,LEFT($C2378,FIND(",",$C2378)-1))))</f>
        <v/>
      </c>
      <c r="M2378" s="28">
        <f>IF($H2378="","",DATE(YEAR($H2378),MONTH($H2378),1))</f>
        <v/>
      </c>
      <c r="N2378" s="26">
        <f>IF($H2378="","",TODAY()-$H2378)</f>
        <v/>
      </c>
      <c r="O2378" s="15" t="n"/>
      <c r="P2378" s="15" t="n"/>
      <c r="Q2378" s="15" t="n"/>
      <c r="R2378" s="25" t="n"/>
      <c r="S2378" s="26">
        <f>IF($A2378="","",AND(OR('Assignment Builder'!$B$5="",$B2378='Assignment Builder'!$B$5),OR('Assignment Builder'!$B$6="",ISNUMBER(SEARCH('Assignment Builder'!$B$6,$C2378))),OR('Assignment Builder'!$B$7="",'Assignment Builder'!$B$7=IFERROR(INDEX('Category Dictionary'!$C$5:$C$135,MATCH($L2378,'Category Dictionary'!$D$5:$D$135,0)),"")),OR('Assignment Builder'!$B$8="",$D2378='Assignment Builder'!$B$8),OR('Assignment Builder'!$B$9="",$F2378='Assignment Builder'!$B$9),OR('Assignment Builder'!$B$10="",$O2378='Assignment Builder'!$B$10),OR('Assignment Builder'!$B$11="",$H2378&gt;='Assignment Builder'!$B$11),OR('Assignment Builder'!$B$12="",N($Q2378)&lt;='Assignment Builder'!$B$12)))</f>
        <v/>
      </c>
      <c r="T2378" s="23" t="n"/>
    </row>
    <row r="2379">
      <c r="A2379" s="23" t="n"/>
      <c r="B2379" s="23" t="n"/>
      <c r="C2379" s="24" t="n"/>
      <c r="D2379" s="15" t="n"/>
      <c r="E2379" s="23" t="n"/>
      <c r="F2379" s="15" t="n"/>
      <c r="G2379" s="23" t="n"/>
      <c r="H2379" s="25" t="n"/>
      <c r="I2379" s="15" t="n"/>
      <c r="J2379" s="26">
        <f>IF($A2379="","",LEN($C2379)-LEN(SUBSTITUTE($C2379,",",""))+1)</f>
        <v/>
      </c>
      <c r="K2379" s="26">
        <f>IF($A2379="","",SUMPRODUCT(--ISNUMBER(SEARCH('Category Dictionary'!$D$5:$D$135&amp;"",$C2379)),--('Category Dictionary'!$D$5:$D$135&lt;&gt;"")))</f>
        <v/>
      </c>
      <c r="L2379" s="27">
        <f>IF($A2379="","",TRIM(IF(ISERROR(FIND(",",$C2379)),$C2379,LEFT($C2379,FIND(",",$C2379)-1))))</f>
        <v/>
      </c>
      <c r="M2379" s="28">
        <f>IF($H2379="","",DATE(YEAR($H2379),MONTH($H2379),1))</f>
        <v/>
      </c>
      <c r="N2379" s="26">
        <f>IF($H2379="","",TODAY()-$H2379)</f>
        <v/>
      </c>
      <c r="O2379" s="15" t="n"/>
      <c r="P2379" s="15" t="n"/>
      <c r="Q2379" s="15" t="n"/>
      <c r="R2379" s="25" t="n"/>
      <c r="S2379" s="26">
        <f>IF($A2379="","",AND(OR('Assignment Builder'!$B$5="",$B2379='Assignment Builder'!$B$5),OR('Assignment Builder'!$B$6="",ISNUMBER(SEARCH('Assignment Builder'!$B$6,$C2379))),OR('Assignment Builder'!$B$7="",'Assignment Builder'!$B$7=IFERROR(INDEX('Category Dictionary'!$C$5:$C$135,MATCH($L2379,'Category Dictionary'!$D$5:$D$135,0)),"")),OR('Assignment Builder'!$B$8="",$D2379='Assignment Builder'!$B$8),OR('Assignment Builder'!$B$9="",$F2379='Assignment Builder'!$B$9),OR('Assignment Builder'!$B$10="",$O2379='Assignment Builder'!$B$10),OR('Assignment Builder'!$B$11="",$H2379&gt;='Assignment Builder'!$B$11),OR('Assignment Builder'!$B$12="",N($Q2379)&lt;='Assignment Builder'!$B$12)))</f>
        <v/>
      </c>
      <c r="T2379" s="23" t="n"/>
    </row>
    <row r="2380">
      <c r="A2380" s="23" t="n"/>
      <c r="B2380" s="23" t="n"/>
      <c r="C2380" s="24" t="n"/>
      <c r="D2380" s="15" t="n"/>
      <c r="E2380" s="23" t="n"/>
      <c r="F2380" s="15" t="n"/>
      <c r="G2380" s="23" t="n"/>
      <c r="H2380" s="25" t="n"/>
      <c r="I2380" s="15" t="n"/>
      <c r="J2380" s="26">
        <f>IF($A2380="","",LEN($C2380)-LEN(SUBSTITUTE($C2380,",",""))+1)</f>
        <v/>
      </c>
      <c r="K2380" s="26">
        <f>IF($A2380="","",SUMPRODUCT(--ISNUMBER(SEARCH('Category Dictionary'!$D$5:$D$135&amp;"",$C2380)),--('Category Dictionary'!$D$5:$D$135&lt;&gt;"")))</f>
        <v/>
      </c>
      <c r="L2380" s="27">
        <f>IF($A2380="","",TRIM(IF(ISERROR(FIND(",",$C2380)),$C2380,LEFT($C2380,FIND(",",$C2380)-1))))</f>
        <v/>
      </c>
      <c r="M2380" s="28">
        <f>IF($H2380="","",DATE(YEAR($H2380),MONTH($H2380),1))</f>
        <v/>
      </c>
      <c r="N2380" s="26">
        <f>IF($H2380="","",TODAY()-$H2380)</f>
        <v/>
      </c>
      <c r="O2380" s="15" t="n"/>
      <c r="P2380" s="15" t="n"/>
      <c r="Q2380" s="15" t="n"/>
      <c r="R2380" s="25" t="n"/>
      <c r="S2380" s="26">
        <f>IF($A2380="","",AND(OR('Assignment Builder'!$B$5="",$B2380='Assignment Builder'!$B$5),OR('Assignment Builder'!$B$6="",ISNUMBER(SEARCH('Assignment Builder'!$B$6,$C2380))),OR('Assignment Builder'!$B$7="",'Assignment Builder'!$B$7=IFERROR(INDEX('Category Dictionary'!$C$5:$C$135,MATCH($L2380,'Category Dictionary'!$D$5:$D$135,0)),"")),OR('Assignment Builder'!$B$8="",$D2380='Assignment Builder'!$B$8),OR('Assignment Builder'!$B$9="",$F2380='Assignment Builder'!$B$9),OR('Assignment Builder'!$B$10="",$O2380='Assignment Builder'!$B$10),OR('Assignment Builder'!$B$11="",$H2380&gt;='Assignment Builder'!$B$11),OR('Assignment Builder'!$B$12="",N($Q2380)&lt;='Assignment Builder'!$B$12)))</f>
        <v/>
      </c>
      <c r="T2380" s="23" t="n"/>
    </row>
    <row r="2381">
      <c r="A2381" s="23" t="n"/>
      <c r="B2381" s="23" t="n"/>
      <c r="C2381" s="24" t="n"/>
      <c r="D2381" s="15" t="n"/>
      <c r="E2381" s="23" t="n"/>
      <c r="F2381" s="15" t="n"/>
      <c r="G2381" s="23" t="n"/>
      <c r="H2381" s="25" t="n"/>
      <c r="I2381" s="15" t="n"/>
      <c r="J2381" s="26">
        <f>IF($A2381="","",LEN($C2381)-LEN(SUBSTITUTE($C2381,",",""))+1)</f>
        <v/>
      </c>
      <c r="K2381" s="26">
        <f>IF($A2381="","",SUMPRODUCT(--ISNUMBER(SEARCH('Category Dictionary'!$D$5:$D$135&amp;"",$C2381)),--('Category Dictionary'!$D$5:$D$135&lt;&gt;"")))</f>
        <v/>
      </c>
      <c r="L2381" s="27">
        <f>IF($A2381="","",TRIM(IF(ISERROR(FIND(",",$C2381)),$C2381,LEFT($C2381,FIND(",",$C2381)-1))))</f>
        <v/>
      </c>
      <c r="M2381" s="28">
        <f>IF($H2381="","",DATE(YEAR($H2381),MONTH($H2381),1))</f>
        <v/>
      </c>
      <c r="N2381" s="26">
        <f>IF($H2381="","",TODAY()-$H2381)</f>
        <v/>
      </c>
      <c r="O2381" s="15" t="n"/>
      <c r="P2381" s="15" t="n"/>
      <c r="Q2381" s="15" t="n"/>
      <c r="R2381" s="25" t="n"/>
      <c r="S2381" s="26">
        <f>IF($A2381="","",AND(OR('Assignment Builder'!$B$5="",$B2381='Assignment Builder'!$B$5),OR('Assignment Builder'!$B$6="",ISNUMBER(SEARCH('Assignment Builder'!$B$6,$C2381))),OR('Assignment Builder'!$B$7="",'Assignment Builder'!$B$7=IFERROR(INDEX('Category Dictionary'!$C$5:$C$135,MATCH($L2381,'Category Dictionary'!$D$5:$D$135,0)),"")),OR('Assignment Builder'!$B$8="",$D2381='Assignment Builder'!$B$8),OR('Assignment Builder'!$B$9="",$F2381='Assignment Builder'!$B$9),OR('Assignment Builder'!$B$10="",$O2381='Assignment Builder'!$B$10),OR('Assignment Builder'!$B$11="",$H2381&gt;='Assignment Builder'!$B$11),OR('Assignment Builder'!$B$12="",N($Q2381)&lt;='Assignment Builder'!$B$12)))</f>
        <v/>
      </c>
      <c r="T2381" s="23" t="n"/>
    </row>
    <row r="2382">
      <c r="A2382" s="23" t="n"/>
      <c r="B2382" s="23" t="n"/>
      <c r="C2382" s="24" t="n"/>
      <c r="D2382" s="15" t="n"/>
      <c r="E2382" s="23" t="n"/>
      <c r="F2382" s="15" t="n"/>
      <c r="G2382" s="23" t="n"/>
      <c r="H2382" s="25" t="n"/>
      <c r="I2382" s="15" t="n"/>
      <c r="J2382" s="26">
        <f>IF($A2382="","",LEN($C2382)-LEN(SUBSTITUTE($C2382,",",""))+1)</f>
        <v/>
      </c>
      <c r="K2382" s="26">
        <f>IF($A2382="","",SUMPRODUCT(--ISNUMBER(SEARCH('Category Dictionary'!$D$5:$D$135&amp;"",$C2382)),--('Category Dictionary'!$D$5:$D$135&lt;&gt;"")))</f>
        <v/>
      </c>
      <c r="L2382" s="27">
        <f>IF($A2382="","",TRIM(IF(ISERROR(FIND(",",$C2382)),$C2382,LEFT($C2382,FIND(",",$C2382)-1))))</f>
        <v/>
      </c>
      <c r="M2382" s="28">
        <f>IF($H2382="","",DATE(YEAR($H2382),MONTH($H2382),1))</f>
        <v/>
      </c>
      <c r="N2382" s="26">
        <f>IF($H2382="","",TODAY()-$H2382)</f>
        <v/>
      </c>
      <c r="O2382" s="15" t="n"/>
      <c r="P2382" s="15" t="n"/>
      <c r="Q2382" s="15" t="n"/>
      <c r="R2382" s="25" t="n"/>
      <c r="S2382" s="26">
        <f>IF($A2382="","",AND(OR('Assignment Builder'!$B$5="",$B2382='Assignment Builder'!$B$5),OR('Assignment Builder'!$B$6="",ISNUMBER(SEARCH('Assignment Builder'!$B$6,$C2382))),OR('Assignment Builder'!$B$7="",'Assignment Builder'!$B$7=IFERROR(INDEX('Category Dictionary'!$C$5:$C$135,MATCH($L2382,'Category Dictionary'!$D$5:$D$135,0)),"")),OR('Assignment Builder'!$B$8="",$D2382='Assignment Builder'!$B$8),OR('Assignment Builder'!$B$9="",$F2382='Assignment Builder'!$B$9),OR('Assignment Builder'!$B$10="",$O2382='Assignment Builder'!$B$10),OR('Assignment Builder'!$B$11="",$H2382&gt;='Assignment Builder'!$B$11),OR('Assignment Builder'!$B$12="",N($Q2382)&lt;='Assignment Builder'!$B$12)))</f>
        <v/>
      </c>
      <c r="T2382" s="23" t="n"/>
    </row>
    <row r="2383">
      <c r="A2383" s="23" t="n"/>
      <c r="B2383" s="23" t="n"/>
      <c r="C2383" s="24" t="n"/>
      <c r="D2383" s="15" t="n"/>
      <c r="E2383" s="23" t="n"/>
      <c r="F2383" s="15" t="n"/>
      <c r="G2383" s="23" t="n"/>
      <c r="H2383" s="25" t="n"/>
      <c r="I2383" s="15" t="n"/>
      <c r="J2383" s="26">
        <f>IF($A2383="","",LEN($C2383)-LEN(SUBSTITUTE($C2383,",",""))+1)</f>
        <v/>
      </c>
      <c r="K2383" s="26">
        <f>IF($A2383="","",SUMPRODUCT(--ISNUMBER(SEARCH('Category Dictionary'!$D$5:$D$135&amp;"",$C2383)),--('Category Dictionary'!$D$5:$D$135&lt;&gt;"")))</f>
        <v/>
      </c>
      <c r="L2383" s="27">
        <f>IF($A2383="","",TRIM(IF(ISERROR(FIND(",",$C2383)),$C2383,LEFT($C2383,FIND(",",$C2383)-1))))</f>
        <v/>
      </c>
      <c r="M2383" s="28">
        <f>IF($H2383="","",DATE(YEAR($H2383),MONTH($H2383),1))</f>
        <v/>
      </c>
      <c r="N2383" s="26">
        <f>IF($H2383="","",TODAY()-$H2383)</f>
        <v/>
      </c>
      <c r="O2383" s="15" t="n"/>
      <c r="P2383" s="15" t="n"/>
      <c r="Q2383" s="15" t="n"/>
      <c r="R2383" s="25" t="n"/>
      <c r="S2383" s="26">
        <f>IF($A2383="","",AND(OR('Assignment Builder'!$B$5="",$B2383='Assignment Builder'!$B$5),OR('Assignment Builder'!$B$6="",ISNUMBER(SEARCH('Assignment Builder'!$B$6,$C2383))),OR('Assignment Builder'!$B$7="",'Assignment Builder'!$B$7=IFERROR(INDEX('Category Dictionary'!$C$5:$C$135,MATCH($L2383,'Category Dictionary'!$D$5:$D$135,0)),"")),OR('Assignment Builder'!$B$8="",$D2383='Assignment Builder'!$B$8),OR('Assignment Builder'!$B$9="",$F2383='Assignment Builder'!$B$9),OR('Assignment Builder'!$B$10="",$O2383='Assignment Builder'!$B$10),OR('Assignment Builder'!$B$11="",$H2383&gt;='Assignment Builder'!$B$11),OR('Assignment Builder'!$B$12="",N($Q2383)&lt;='Assignment Builder'!$B$12)))</f>
        <v/>
      </c>
      <c r="T2383" s="23" t="n"/>
    </row>
    <row r="2384">
      <c r="A2384" s="23" t="n"/>
      <c r="B2384" s="23" t="n"/>
      <c r="C2384" s="24" t="n"/>
      <c r="D2384" s="15" t="n"/>
      <c r="E2384" s="23" t="n"/>
      <c r="F2384" s="15" t="n"/>
      <c r="G2384" s="23" t="n"/>
      <c r="H2384" s="25" t="n"/>
      <c r="I2384" s="15" t="n"/>
      <c r="J2384" s="26">
        <f>IF($A2384="","",LEN($C2384)-LEN(SUBSTITUTE($C2384,",",""))+1)</f>
        <v/>
      </c>
      <c r="K2384" s="26">
        <f>IF($A2384="","",SUMPRODUCT(--ISNUMBER(SEARCH('Category Dictionary'!$D$5:$D$135&amp;"",$C2384)),--('Category Dictionary'!$D$5:$D$135&lt;&gt;"")))</f>
        <v/>
      </c>
      <c r="L2384" s="27">
        <f>IF($A2384="","",TRIM(IF(ISERROR(FIND(",",$C2384)),$C2384,LEFT($C2384,FIND(",",$C2384)-1))))</f>
        <v/>
      </c>
      <c r="M2384" s="28">
        <f>IF($H2384="","",DATE(YEAR($H2384),MONTH($H2384),1))</f>
        <v/>
      </c>
      <c r="N2384" s="26">
        <f>IF($H2384="","",TODAY()-$H2384)</f>
        <v/>
      </c>
      <c r="O2384" s="15" t="n"/>
      <c r="P2384" s="15" t="n"/>
      <c r="Q2384" s="15" t="n"/>
      <c r="R2384" s="25" t="n"/>
      <c r="S2384" s="26">
        <f>IF($A2384="","",AND(OR('Assignment Builder'!$B$5="",$B2384='Assignment Builder'!$B$5),OR('Assignment Builder'!$B$6="",ISNUMBER(SEARCH('Assignment Builder'!$B$6,$C2384))),OR('Assignment Builder'!$B$7="",'Assignment Builder'!$B$7=IFERROR(INDEX('Category Dictionary'!$C$5:$C$135,MATCH($L2384,'Category Dictionary'!$D$5:$D$135,0)),"")),OR('Assignment Builder'!$B$8="",$D2384='Assignment Builder'!$B$8),OR('Assignment Builder'!$B$9="",$F2384='Assignment Builder'!$B$9),OR('Assignment Builder'!$B$10="",$O2384='Assignment Builder'!$B$10),OR('Assignment Builder'!$B$11="",$H2384&gt;='Assignment Builder'!$B$11),OR('Assignment Builder'!$B$12="",N($Q2384)&lt;='Assignment Builder'!$B$12)))</f>
        <v/>
      </c>
      <c r="T2384" s="23" t="n"/>
    </row>
    <row r="2385">
      <c r="A2385" s="23" t="n"/>
      <c r="B2385" s="23" t="n"/>
      <c r="C2385" s="24" t="n"/>
      <c r="D2385" s="15" t="n"/>
      <c r="E2385" s="23" t="n"/>
      <c r="F2385" s="15" t="n"/>
      <c r="G2385" s="23" t="n"/>
      <c r="H2385" s="25" t="n"/>
      <c r="I2385" s="15" t="n"/>
      <c r="J2385" s="26">
        <f>IF($A2385="","",LEN($C2385)-LEN(SUBSTITUTE($C2385,",",""))+1)</f>
        <v/>
      </c>
      <c r="K2385" s="26">
        <f>IF($A2385="","",SUMPRODUCT(--ISNUMBER(SEARCH('Category Dictionary'!$D$5:$D$135&amp;"",$C2385)),--('Category Dictionary'!$D$5:$D$135&lt;&gt;"")))</f>
        <v/>
      </c>
      <c r="L2385" s="27">
        <f>IF($A2385="","",TRIM(IF(ISERROR(FIND(",",$C2385)),$C2385,LEFT($C2385,FIND(",",$C2385)-1))))</f>
        <v/>
      </c>
      <c r="M2385" s="28">
        <f>IF($H2385="","",DATE(YEAR($H2385),MONTH($H2385),1))</f>
        <v/>
      </c>
      <c r="N2385" s="26">
        <f>IF($H2385="","",TODAY()-$H2385)</f>
        <v/>
      </c>
      <c r="O2385" s="15" t="n"/>
      <c r="P2385" s="15" t="n"/>
      <c r="Q2385" s="15" t="n"/>
      <c r="R2385" s="25" t="n"/>
      <c r="S2385" s="26">
        <f>IF($A2385="","",AND(OR('Assignment Builder'!$B$5="",$B2385='Assignment Builder'!$B$5),OR('Assignment Builder'!$B$6="",ISNUMBER(SEARCH('Assignment Builder'!$B$6,$C2385))),OR('Assignment Builder'!$B$7="",'Assignment Builder'!$B$7=IFERROR(INDEX('Category Dictionary'!$C$5:$C$135,MATCH($L2385,'Category Dictionary'!$D$5:$D$135,0)),"")),OR('Assignment Builder'!$B$8="",$D2385='Assignment Builder'!$B$8),OR('Assignment Builder'!$B$9="",$F2385='Assignment Builder'!$B$9),OR('Assignment Builder'!$B$10="",$O2385='Assignment Builder'!$B$10),OR('Assignment Builder'!$B$11="",$H2385&gt;='Assignment Builder'!$B$11),OR('Assignment Builder'!$B$12="",N($Q2385)&lt;='Assignment Builder'!$B$12)))</f>
        <v/>
      </c>
      <c r="T2385" s="23" t="n"/>
    </row>
    <row r="2386">
      <c r="A2386" s="23" t="n"/>
      <c r="B2386" s="23" t="n"/>
      <c r="C2386" s="24" t="n"/>
      <c r="D2386" s="15" t="n"/>
      <c r="E2386" s="23" t="n"/>
      <c r="F2386" s="15" t="n"/>
      <c r="G2386" s="23" t="n"/>
      <c r="H2386" s="25" t="n"/>
      <c r="I2386" s="15" t="n"/>
      <c r="J2386" s="26">
        <f>IF($A2386="","",LEN($C2386)-LEN(SUBSTITUTE($C2386,",",""))+1)</f>
        <v/>
      </c>
      <c r="K2386" s="26">
        <f>IF($A2386="","",SUMPRODUCT(--ISNUMBER(SEARCH('Category Dictionary'!$D$5:$D$135&amp;"",$C2386)),--('Category Dictionary'!$D$5:$D$135&lt;&gt;"")))</f>
        <v/>
      </c>
      <c r="L2386" s="27">
        <f>IF($A2386="","",TRIM(IF(ISERROR(FIND(",",$C2386)),$C2386,LEFT($C2386,FIND(",",$C2386)-1))))</f>
        <v/>
      </c>
      <c r="M2386" s="28">
        <f>IF($H2386="","",DATE(YEAR($H2386),MONTH($H2386),1))</f>
        <v/>
      </c>
      <c r="N2386" s="26">
        <f>IF($H2386="","",TODAY()-$H2386)</f>
        <v/>
      </c>
      <c r="O2386" s="15" t="n"/>
      <c r="P2386" s="15" t="n"/>
      <c r="Q2386" s="15" t="n"/>
      <c r="R2386" s="25" t="n"/>
      <c r="S2386" s="26">
        <f>IF($A2386="","",AND(OR('Assignment Builder'!$B$5="",$B2386='Assignment Builder'!$B$5),OR('Assignment Builder'!$B$6="",ISNUMBER(SEARCH('Assignment Builder'!$B$6,$C2386))),OR('Assignment Builder'!$B$7="",'Assignment Builder'!$B$7=IFERROR(INDEX('Category Dictionary'!$C$5:$C$135,MATCH($L2386,'Category Dictionary'!$D$5:$D$135,0)),"")),OR('Assignment Builder'!$B$8="",$D2386='Assignment Builder'!$B$8),OR('Assignment Builder'!$B$9="",$F2386='Assignment Builder'!$B$9),OR('Assignment Builder'!$B$10="",$O2386='Assignment Builder'!$B$10),OR('Assignment Builder'!$B$11="",$H2386&gt;='Assignment Builder'!$B$11),OR('Assignment Builder'!$B$12="",N($Q2386)&lt;='Assignment Builder'!$B$12)))</f>
        <v/>
      </c>
      <c r="T2386" s="23" t="n"/>
    </row>
    <row r="2387">
      <c r="A2387" s="23" t="n"/>
      <c r="B2387" s="23" t="n"/>
      <c r="C2387" s="24" t="n"/>
      <c r="D2387" s="15" t="n"/>
      <c r="E2387" s="23" t="n"/>
      <c r="F2387" s="15" t="n"/>
      <c r="G2387" s="23" t="n"/>
      <c r="H2387" s="25" t="n"/>
      <c r="I2387" s="15" t="n"/>
      <c r="J2387" s="26">
        <f>IF($A2387="","",LEN($C2387)-LEN(SUBSTITUTE($C2387,",",""))+1)</f>
        <v/>
      </c>
      <c r="K2387" s="26">
        <f>IF($A2387="","",SUMPRODUCT(--ISNUMBER(SEARCH('Category Dictionary'!$D$5:$D$135&amp;"",$C2387)),--('Category Dictionary'!$D$5:$D$135&lt;&gt;"")))</f>
        <v/>
      </c>
      <c r="L2387" s="27">
        <f>IF($A2387="","",TRIM(IF(ISERROR(FIND(",",$C2387)),$C2387,LEFT($C2387,FIND(",",$C2387)-1))))</f>
        <v/>
      </c>
      <c r="M2387" s="28">
        <f>IF($H2387="","",DATE(YEAR($H2387),MONTH($H2387),1))</f>
        <v/>
      </c>
      <c r="N2387" s="26">
        <f>IF($H2387="","",TODAY()-$H2387)</f>
        <v/>
      </c>
      <c r="O2387" s="15" t="n"/>
      <c r="P2387" s="15" t="n"/>
      <c r="Q2387" s="15" t="n"/>
      <c r="R2387" s="25" t="n"/>
      <c r="S2387" s="26">
        <f>IF($A2387="","",AND(OR('Assignment Builder'!$B$5="",$B2387='Assignment Builder'!$B$5),OR('Assignment Builder'!$B$6="",ISNUMBER(SEARCH('Assignment Builder'!$B$6,$C2387))),OR('Assignment Builder'!$B$7="",'Assignment Builder'!$B$7=IFERROR(INDEX('Category Dictionary'!$C$5:$C$135,MATCH($L2387,'Category Dictionary'!$D$5:$D$135,0)),"")),OR('Assignment Builder'!$B$8="",$D2387='Assignment Builder'!$B$8),OR('Assignment Builder'!$B$9="",$F2387='Assignment Builder'!$B$9),OR('Assignment Builder'!$B$10="",$O2387='Assignment Builder'!$B$10),OR('Assignment Builder'!$B$11="",$H2387&gt;='Assignment Builder'!$B$11),OR('Assignment Builder'!$B$12="",N($Q2387)&lt;='Assignment Builder'!$B$12)))</f>
        <v/>
      </c>
      <c r="T2387" s="23" t="n"/>
    </row>
    <row r="2388">
      <c r="A2388" s="23" t="n"/>
      <c r="B2388" s="23" t="n"/>
      <c r="C2388" s="24" t="n"/>
      <c r="D2388" s="15" t="n"/>
      <c r="E2388" s="23" t="n"/>
      <c r="F2388" s="15" t="n"/>
      <c r="G2388" s="23" t="n"/>
      <c r="H2388" s="25" t="n"/>
      <c r="I2388" s="15" t="n"/>
      <c r="J2388" s="26">
        <f>IF($A2388="","",LEN($C2388)-LEN(SUBSTITUTE($C2388,",",""))+1)</f>
        <v/>
      </c>
      <c r="K2388" s="26">
        <f>IF($A2388="","",SUMPRODUCT(--ISNUMBER(SEARCH('Category Dictionary'!$D$5:$D$135&amp;"",$C2388)),--('Category Dictionary'!$D$5:$D$135&lt;&gt;"")))</f>
        <v/>
      </c>
      <c r="L2388" s="27">
        <f>IF($A2388="","",TRIM(IF(ISERROR(FIND(",",$C2388)),$C2388,LEFT($C2388,FIND(",",$C2388)-1))))</f>
        <v/>
      </c>
      <c r="M2388" s="28">
        <f>IF($H2388="","",DATE(YEAR($H2388),MONTH($H2388),1))</f>
        <v/>
      </c>
      <c r="N2388" s="26">
        <f>IF($H2388="","",TODAY()-$H2388)</f>
        <v/>
      </c>
      <c r="O2388" s="15" t="n"/>
      <c r="P2388" s="15" t="n"/>
      <c r="Q2388" s="15" t="n"/>
      <c r="R2388" s="25" t="n"/>
      <c r="S2388" s="26">
        <f>IF($A2388="","",AND(OR('Assignment Builder'!$B$5="",$B2388='Assignment Builder'!$B$5),OR('Assignment Builder'!$B$6="",ISNUMBER(SEARCH('Assignment Builder'!$B$6,$C2388))),OR('Assignment Builder'!$B$7="",'Assignment Builder'!$B$7=IFERROR(INDEX('Category Dictionary'!$C$5:$C$135,MATCH($L2388,'Category Dictionary'!$D$5:$D$135,0)),"")),OR('Assignment Builder'!$B$8="",$D2388='Assignment Builder'!$B$8),OR('Assignment Builder'!$B$9="",$F2388='Assignment Builder'!$B$9),OR('Assignment Builder'!$B$10="",$O2388='Assignment Builder'!$B$10),OR('Assignment Builder'!$B$11="",$H2388&gt;='Assignment Builder'!$B$11),OR('Assignment Builder'!$B$12="",N($Q2388)&lt;='Assignment Builder'!$B$12)))</f>
        <v/>
      </c>
      <c r="T2388" s="23" t="n"/>
    </row>
    <row r="2389">
      <c r="A2389" s="23" t="n"/>
      <c r="B2389" s="23" t="n"/>
      <c r="C2389" s="24" t="n"/>
      <c r="D2389" s="15" t="n"/>
      <c r="E2389" s="23" t="n"/>
      <c r="F2389" s="15" t="n"/>
      <c r="G2389" s="23" t="n"/>
      <c r="H2389" s="25" t="n"/>
      <c r="I2389" s="15" t="n"/>
      <c r="J2389" s="26">
        <f>IF($A2389="","",LEN($C2389)-LEN(SUBSTITUTE($C2389,",",""))+1)</f>
        <v/>
      </c>
      <c r="K2389" s="26">
        <f>IF($A2389="","",SUMPRODUCT(--ISNUMBER(SEARCH('Category Dictionary'!$D$5:$D$135&amp;"",$C2389)),--('Category Dictionary'!$D$5:$D$135&lt;&gt;"")))</f>
        <v/>
      </c>
      <c r="L2389" s="27">
        <f>IF($A2389="","",TRIM(IF(ISERROR(FIND(",",$C2389)),$C2389,LEFT($C2389,FIND(",",$C2389)-1))))</f>
        <v/>
      </c>
      <c r="M2389" s="28">
        <f>IF($H2389="","",DATE(YEAR($H2389),MONTH($H2389),1))</f>
        <v/>
      </c>
      <c r="N2389" s="26">
        <f>IF($H2389="","",TODAY()-$H2389)</f>
        <v/>
      </c>
      <c r="O2389" s="15" t="n"/>
      <c r="P2389" s="15" t="n"/>
      <c r="Q2389" s="15" t="n"/>
      <c r="R2389" s="25" t="n"/>
      <c r="S2389" s="26">
        <f>IF($A2389="","",AND(OR('Assignment Builder'!$B$5="",$B2389='Assignment Builder'!$B$5),OR('Assignment Builder'!$B$6="",ISNUMBER(SEARCH('Assignment Builder'!$B$6,$C2389))),OR('Assignment Builder'!$B$7="",'Assignment Builder'!$B$7=IFERROR(INDEX('Category Dictionary'!$C$5:$C$135,MATCH($L2389,'Category Dictionary'!$D$5:$D$135,0)),"")),OR('Assignment Builder'!$B$8="",$D2389='Assignment Builder'!$B$8),OR('Assignment Builder'!$B$9="",$F2389='Assignment Builder'!$B$9),OR('Assignment Builder'!$B$10="",$O2389='Assignment Builder'!$B$10),OR('Assignment Builder'!$B$11="",$H2389&gt;='Assignment Builder'!$B$11),OR('Assignment Builder'!$B$12="",N($Q2389)&lt;='Assignment Builder'!$B$12)))</f>
        <v/>
      </c>
      <c r="T2389" s="23" t="n"/>
    </row>
    <row r="2390">
      <c r="A2390" s="23" t="n"/>
      <c r="B2390" s="23" t="n"/>
      <c r="C2390" s="24" t="n"/>
      <c r="D2390" s="15" t="n"/>
      <c r="E2390" s="23" t="n"/>
      <c r="F2390" s="15" t="n"/>
      <c r="G2390" s="23" t="n"/>
      <c r="H2390" s="25" t="n"/>
      <c r="I2390" s="15" t="n"/>
      <c r="J2390" s="26">
        <f>IF($A2390="","",LEN($C2390)-LEN(SUBSTITUTE($C2390,",",""))+1)</f>
        <v/>
      </c>
      <c r="K2390" s="26">
        <f>IF($A2390="","",SUMPRODUCT(--ISNUMBER(SEARCH('Category Dictionary'!$D$5:$D$135&amp;"",$C2390)),--('Category Dictionary'!$D$5:$D$135&lt;&gt;"")))</f>
        <v/>
      </c>
      <c r="L2390" s="27">
        <f>IF($A2390="","",TRIM(IF(ISERROR(FIND(",",$C2390)),$C2390,LEFT($C2390,FIND(",",$C2390)-1))))</f>
        <v/>
      </c>
      <c r="M2390" s="28">
        <f>IF($H2390="","",DATE(YEAR($H2390),MONTH($H2390),1))</f>
        <v/>
      </c>
      <c r="N2390" s="26">
        <f>IF($H2390="","",TODAY()-$H2390)</f>
        <v/>
      </c>
      <c r="O2390" s="15" t="n"/>
      <c r="P2390" s="15" t="n"/>
      <c r="Q2390" s="15" t="n"/>
      <c r="R2390" s="25" t="n"/>
      <c r="S2390" s="26">
        <f>IF($A2390="","",AND(OR('Assignment Builder'!$B$5="",$B2390='Assignment Builder'!$B$5),OR('Assignment Builder'!$B$6="",ISNUMBER(SEARCH('Assignment Builder'!$B$6,$C2390))),OR('Assignment Builder'!$B$7="",'Assignment Builder'!$B$7=IFERROR(INDEX('Category Dictionary'!$C$5:$C$135,MATCH($L2390,'Category Dictionary'!$D$5:$D$135,0)),"")),OR('Assignment Builder'!$B$8="",$D2390='Assignment Builder'!$B$8),OR('Assignment Builder'!$B$9="",$F2390='Assignment Builder'!$B$9),OR('Assignment Builder'!$B$10="",$O2390='Assignment Builder'!$B$10),OR('Assignment Builder'!$B$11="",$H2390&gt;='Assignment Builder'!$B$11),OR('Assignment Builder'!$B$12="",N($Q2390)&lt;='Assignment Builder'!$B$12)))</f>
        <v/>
      </c>
      <c r="T2390" s="23" t="n"/>
    </row>
    <row r="2391">
      <c r="A2391" s="23" t="n"/>
      <c r="B2391" s="23" t="n"/>
      <c r="C2391" s="24" t="n"/>
      <c r="D2391" s="15" t="n"/>
      <c r="E2391" s="23" t="n"/>
      <c r="F2391" s="15" t="n"/>
      <c r="G2391" s="23" t="n"/>
      <c r="H2391" s="25" t="n"/>
      <c r="I2391" s="15" t="n"/>
      <c r="J2391" s="26">
        <f>IF($A2391="","",LEN($C2391)-LEN(SUBSTITUTE($C2391,",",""))+1)</f>
        <v/>
      </c>
      <c r="K2391" s="26">
        <f>IF($A2391="","",SUMPRODUCT(--ISNUMBER(SEARCH('Category Dictionary'!$D$5:$D$135&amp;"",$C2391)),--('Category Dictionary'!$D$5:$D$135&lt;&gt;"")))</f>
        <v/>
      </c>
      <c r="L2391" s="27">
        <f>IF($A2391="","",TRIM(IF(ISERROR(FIND(",",$C2391)),$C2391,LEFT($C2391,FIND(",",$C2391)-1))))</f>
        <v/>
      </c>
      <c r="M2391" s="28">
        <f>IF($H2391="","",DATE(YEAR($H2391),MONTH($H2391),1))</f>
        <v/>
      </c>
      <c r="N2391" s="26">
        <f>IF($H2391="","",TODAY()-$H2391)</f>
        <v/>
      </c>
      <c r="O2391" s="15" t="n"/>
      <c r="P2391" s="15" t="n"/>
      <c r="Q2391" s="15" t="n"/>
      <c r="R2391" s="25" t="n"/>
      <c r="S2391" s="26">
        <f>IF($A2391="","",AND(OR('Assignment Builder'!$B$5="",$B2391='Assignment Builder'!$B$5),OR('Assignment Builder'!$B$6="",ISNUMBER(SEARCH('Assignment Builder'!$B$6,$C2391))),OR('Assignment Builder'!$B$7="",'Assignment Builder'!$B$7=IFERROR(INDEX('Category Dictionary'!$C$5:$C$135,MATCH($L2391,'Category Dictionary'!$D$5:$D$135,0)),"")),OR('Assignment Builder'!$B$8="",$D2391='Assignment Builder'!$B$8),OR('Assignment Builder'!$B$9="",$F2391='Assignment Builder'!$B$9),OR('Assignment Builder'!$B$10="",$O2391='Assignment Builder'!$B$10),OR('Assignment Builder'!$B$11="",$H2391&gt;='Assignment Builder'!$B$11),OR('Assignment Builder'!$B$12="",N($Q2391)&lt;='Assignment Builder'!$B$12)))</f>
        <v/>
      </c>
      <c r="T2391" s="23" t="n"/>
    </row>
    <row r="2392">
      <c r="A2392" s="23" t="n"/>
      <c r="B2392" s="23" t="n"/>
      <c r="C2392" s="24" t="n"/>
      <c r="D2392" s="15" t="n"/>
      <c r="E2392" s="23" t="n"/>
      <c r="F2392" s="15" t="n"/>
      <c r="G2392" s="23" t="n"/>
      <c r="H2392" s="25" t="n"/>
      <c r="I2392" s="15" t="n"/>
      <c r="J2392" s="26">
        <f>IF($A2392="","",LEN($C2392)-LEN(SUBSTITUTE($C2392,",",""))+1)</f>
        <v/>
      </c>
      <c r="K2392" s="26">
        <f>IF($A2392="","",SUMPRODUCT(--ISNUMBER(SEARCH('Category Dictionary'!$D$5:$D$135&amp;"",$C2392)),--('Category Dictionary'!$D$5:$D$135&lt;&gt;"")))</f>
        <v/>
      </c>
      <c r="L2392" s="27">
        <f>IF($A2392="","",TRIM(IF(ISERROR(FIND(",",$C2392)),$C2392,LEFT($C2392,FIND(",",$C2392)-1))))</f>
        <v/>
      </c>
      <c r="M2392" s="28">
        <f>IF($H2392="","",DATE(YEAR($H2392),MONTH($H2392),1))</f>
        <v/>
      </c>
      <c r="N2392" s="26">
        <f>IF($H2392="","",TODAY()-$H2392)</f>
        <v/>
      </c>
      <c r="O2392" s="15" t="n"/>
      <c r="P2392" s="15" t="n"/>
      <c r="Q2392" s="15" t="n"/>
      <c r="R2392" s="25" t="n"/>
      <c r="S2392" s="26">
        <f>IF($A2392="","",AND(OR('Assignment Builder'!$B$5="",$B2392='Assignment Builder'!$B$5),OR('Assignment Builder'!$B$6="",ISNUMBER(SEARCH('Assignment Builder'!$B$6,$C2392))),OR('Assignment Builder'!$B$7="",'Assignment Builder'!$B$7=IFERROR(INDEX('Category Dictionary'!$C$5:$C$135,MATCH($L2392,'Category Dictionary'!$D$5:$D$135,0)),"")),OR('Assignment Builder'!$B$8="",$D2392='Assignment Builder'!$B$8),OR('Assignment Builder'!$B$9="",$F2392='Assignment Builder'!$B$9),OR('Assignment Builder'!$B$10="",$O2392='Assignment Builder'!$B$10),OR('Assignment Builder'!$B$11="",$H2392&gt;='Assignment Builder'!$B$11),OR('Assignment Builder'!$B$12="",N($Q2392)&lt;='Assignment Builder'!$B$12)))</f>
        <v/>
      </c>
      <c r="T2392" s="23" t="n"/>
    </row>
    <row r="2393">
      <c r="A2393" s="23" t="n"/>
      <c r="B2393" s="23" t="n"/>
      <c r="C2393" s="24" t="n"/>
      <c r="D2393" s="15" t="n"/>
      <c r="E2393" s="23" t="n"/>
      <c r="F2393" s="15" t="n"/>
      <c r="G2393" s="23" t="n"/>
      <c r="H2393" s="25" t="n"/>
      <c r="I2393" s="15" t="n"/>
      <c r="J2393" s="26">
        <f>IF($A2393="","",LEN($C2393)-LEN(SUBSTITUTE($C2393,",",""))+1)</f>
        <v/>
      </c>
      <c r="K2393" s="26">
        <f>IF($A2393="","",SUMPRODUCT(--ISNUMBER(SEARCH('Category Dictionary'!$D$5:$D$135&amp;"",$C2393)),--('Category Dictionary'!$D$5:$D$135&lt;&gt;"")))</f>
        <v/>
      </c>
      <c r="L2393" s="27">
        <f>IF($A2393="","",TRIM(IF(ISERROR(FIND(",",$C2393)),$C2393,LEFT($C2393,FIND(",",$C2393)-1))))</f>
        <v/>
      </c>
      <c r="M2393" s="28">
        <f>IF($H2393="","",DATE(YEAR($H2393),MONTH($H2393),1))</f>
        <v/>
      </c>
      <c r="N2393" s="26">
        <f>IF($H2393="","",TODAY()-$H2393)</f>
        <v/>
      </c>
      <c r="O2393" s="15" t="n"/>
      <c r="P2393" s="15" t="n"/>
      <c r="Q2393" s="15" t="n"/>
      <c r="R2393" s="25" t="n"/>
      <c r="S2393" s="26">
        <f>IF($A2393="","",AND(OR('Assignment Builder'!$B$5="",$B2393='Assignment Builder'!$B$5),OR('Assignment Builder'!$B$6="",ISNUMBER(SEARCH('Assignment Builder'!$B$6,$C2393))),OR('Assignment Builder'!$B$7="",'Assignment Builder'!$B$7=IFERROR(INDEX('Category Dictionary'!$C$5:$C$135,MATCH($L2393,'Category Dictionary'!$D$5:$D$135,0)),"")),OR('Assignment Builder'!$B$8="",$D2393='Assignment Builder'!$B$8),OR('Assignment Builder'!$B$9="",$F2393='Assignment Builder'!$B$9),OR('Assignment Builder'!$B$10="",$O2393='Assignment Builder'!$B$10),OR('Assignment Builder'!$B$11="",$H2393&gt;='Assignment Builder'!$B$11),OR('Assignment Builder'!$B$12="",N($Q2393)&lt;='Assignment Builder'!$B$12)))</f>
        <v/>
      </c>
      <c r="T2393" s="23" t="n"/>
    </row>
    <row r="2394">
      <c r="A2394" s="23" t="n"/>
      <c r="B2394" s="23" t="n"/>
      <c r="C2394" s="24" t="n"/>
      <c r="D2394" s="15" t="n"/>
      <c r="E2394" s="23" t="n"/>
      <c r="F2394" s="15" t="n"/>
      <c r="G2394" s="23" t="n"/>
      <c r="H2394" s="25" t="n"/>
      <c r="I2394" s="15" t="n"/>
      <c r="J2394" s="26">
        <f>IF($A2394="","",LEN($C2394)-LEN(SUBSTITUTE($C2394,",",""))+1)</f>
        <v/>
      </c>
      <c r="K2394" s="26">
        <f>IF($A2394="","",SUMPRODUCT(--ISNUMBER(SEARCH('Category Dictionary'!$D$5:$D$135&amp;"",$C2394)),--('Category Dictionary'!$D$5:$D$135&lt;&gt;"")))</f>
        <v/>
      </c>
      <c r="L2394" s="27">
        <f>IF($A2394="","",TRIM(IF(ISERROR(FIND(",",$C2394)),$C2394,LEFT($C2394,FIND(",",$C2394)-1))))</f>
        <v/>
      </c>
      <c r="M2394" s="28">
        <f>IF($H2394="","",DATE(YEAR($H2394),MONTH($H2394),1))</f>
        <v/>
      </c>
      <c r="N2394" s="26">
        <f>IF($H2394="","",TODAY()-$H2394)</f>
        <v/>
      </c>
      <c r="O2394" s="15" t="n"/>
      <c r="P2394" s="15" t="n"/>
      <c r="Q2394" s="15" t="n"/>
      <c r="R2394" s="25" t="n"/>
      <c r="S2394" s="26">
        <f>IF($A2394="","",AND(OR('Assignment Builder'!$B$5="",$B2394='Assignment Builder'!$B$5),OR('Assignment Builder'!$B$6="",ISNUMBER(SEARCH('Assignment Builder'!$B$6,$C2394))),OR('Assignment Builder'!$B$7="",'Assignment Builder'!$B$7=IFERROR(INDEX('Category Dictionary'!$C$5:$C$135,MATCH($L2394,'Category Dictionary'!$D$5:$D$135,0)),"")),OR('Assignment Builder'!$B$8="",$D2394='Assignment Builder'!$B$8),OR('Assignment Builder'!$B$9="",$F2394='Assignment Builder'!$B$9),OR('Assignment Builder'!$B$10="",$O2394='Assignment Builder'!$B$10),OR('Assignment Builder'!$B$11="",$H2394&gt;='Assignment Builder'!$B$11),OR('Assignment Builder'!$B$12="",N($Q2394)&lt;='Assignment Builder'!$B$12)))</f>
        <v/>
      </c>
      <c r="T2394" s="23" t="n"/>
    </row>
    <row r="2395">
      <c r="A2395" s="23" t="n"/>
      <c r="B2395" s="23" t="n"/>
      <c r="C2395" s="24" t="n"/>
      <c r="D2395" s="15" t="n"/>
      <c r="E2395" s="23" t="n"/>
      <c r="F2395" s="15" t="n"/>
      <c r="G2395" s="23" t="n"/>
      <c r="H2395" s="25" t="n"/>
      <c r="I2395" s="15" t="n"/>
      <c r="J2395" s="26">
        <f>IF($A2395="","",LEN($C2395)-LEN(SUBSTITUTE($C2395,",",""))+1)</f>
        <v/>
      </c>
      <c r="K2395" s="26">
        <f>IF($A2395="","",SUMPRODUCT(--ISNUMBER(SEARCH('Category Dictionary'!$D$5:$D$135&amp;"",$C2395)),--('Category Dictionary'!$D$5:$D$135&lt;&gt;"")))</f>
        <v/>
      </c>
      <c r="L2395" s="27">
        <f>IF($A2395="","",TRIM(IF(ISERROR(FIND(",",$C2395)),$C2395,LEFT($C2395,FIND(",",$C2395)-1))))</f>
        <v/>
      </c>
      <c r="M2395" s="28">
        <f>IF($H2395="","",DATE(YEAR($H2395),MONTH($H2395),1))</f>
        <v/>
      </c>
      <c r="N2395" s="26">
        <f>IF($H2395="","",TODAY()-$H2395)</f>
        <v/>
      </c>
      <c r="O2395" s="15" t="n"/>
      <c r="P2395" s="15" t="n"/>
      <c r="Q2395" s="15" t="n"/>
      <c r="R2395" s="25" t="n"/>
      <c r="S2395" s="26">
        <f>IF($A2395="","",AND(OR('Assignment Builder'!$B$5="",$B2395='Assignment Builder'!$B$5),OR('Assignment Builder'!$B$6="",ISNUMBER(SEARCH('Assignment Builder'!$B$6,$C2395))),OR('Assignment Builder'!$B$7="",'Assignment Builder'!$B$7=IFERROR(INDEX('Category Dictionary'!$C$5:$C$135,MATCH($L2395,'Category Dictionary'!$D$5:$D$135,0)),"")),OR('Assignment Builder'!$B$8="",$D2395='Assignment Builder'!$B$8),OR('Assignment Builder'!$B$9="",$F2395='Assignment Builder'!$B$9),OR('Assignment Builder'!$B$10="",$O2395='Assignment Builder'!$B$10),OR('Assignment Builder'!$B$11="",$H2395&gt;='Assignment Builder'!$B$11),OR('Assignment Builder'!$B$12="",N($Q2395)&lt;='Assignment Builder'!$B$12)))</f>
        <v/>
      </c>
      <c r="T2395" s="23" t="n"/>
    </row>
    <row r="2396">
      <c r="A2396" s="23" t="n"/>
      <c r="B2396" s="23" t="n"/>
      <c r="C2396" s="24" t="n"/>
      <c r="D2396" s="15" t="n"/>
      <c r="E2396" s="23" t="n"/>
      <c r="F2396" s="15" t="n"/>
      <c r="G2396" s="23" t="n"/>
      <c r="H2396" s="25" t="n"/>
      <c r="I2396" s="15" t="n"/>
      <c r="J2396" s="26">
        <f>IF($A2396="","",LEN($C2396)-LEN(SUBSTITUTE($C2396,",",""))+1)</f>
        <v/>
      </c>
      <c r="K2396" s="26">
        <f>IF($A2396="","",SUMPRODUCT(--ISNUMBER(SEARCH('Category Dictionary'!$D$5:$D$135&amp;"",$C2396)),--('Category Dictionary'!$D$5:$D$135&lt;&gt;"")))</f>
        <v/>
      </c>
      <c r="L2396" s="27">
        <f>IF($A2396="","",TRIM(IF(ISERROR(FIND(",",$C2396)),$C2396,LEFT($C2396,FIND(",",$C2396)-1))))</f>
        <v/>
      </c>
      <c r="M2396" s="28">
        <f>IF($H2396="","",DATE(YEAR($H2396),MONTH($H2396),1))</f>
        <v/>
      </c>
      <c r="N2396" s="26">
        <f>IF($H2396="","",TODAY()-$H2396)</f>
        <v/>
      </c>
      <c r="O2396" s="15" t="n"/>
      <c r="P2396" s="15" t="n"/>
      <c r="Q2396" s="15" t="n"/>
      <c r="R2396" s="25" t="n"/>
      <c r="S2396" s="26">
        <f>IF($A2396="","",AND(OR('Assignment Builder'!$B$5="",$B2396='Assignment Builder'!$B$5),OR('Assignment Builder'!$B$6="",ISNUMBER(SEARCH('Assignment Builder'!$B$6,$C2396))),OR('Assignment Builder'!$B$7="",'Assignment Builder'!$B$7=IFERROR(INDEX('Category Dictionary'!$C$5:$C$135,MATCH($L2396,'Category Dictionary'!$D$5:$D$135,0)),"")),OR('Assignment Builder'!$B$8="",$D2396='Assignment Builder'!$B$8),OR('Assignment Builder'!$B$9="",$F2396='Assignment Builder'!$B$9),OR('Assignment Builder'!$B$10="",$O2396='Assignment Builder'!$B$10),OR('Assignment Builder'!$B$11="",$H2396&gt;='Assignment Builder'!$B$11),OR('Assignment Builder'!$B$12="",N($Q2396)&lt;='Assignment Builder'!$B$12)))</f>
        <v/>
      </c>
      <c r="T2396" s="23" t="n"/>
    </row>
    <row r="2397">
      <c r="A2397" s="23" t="n"/>
      <c r="B2397" s="23" t="n"/>
      <c r="C2397" s="24" t="n"/>
      <c r="D2397" s="15" t="n"/>
      <c r="E2397" s="23" t="n"/>
      <c r="F2397" s="15" t="n"/>
      <c r="G2397" s="23" t="n"/>
      <c r="H2397" s="25" t="n"/>
      <c r="I2397" s="15" t="n"/>
      <c r="J2397" s="26">
        <f>IF($A2397="","",LEN($C2397)-LEN(SUBSTITUTE($C2397,",",""))+1)</f>
        <v/>
      </c>
      <c r="K2397" s="26">
        <f>IF($A2397="","",SUMPRODUCT(--ISNUMBER(SEARCH('Category Dictionary'!$D$5:$D$135&amp;"",$C2397)),--('Category Dictionary'!$D$5:$D$135&lt;&gt;"")))</f>
        <v/>
      </c>
      <c r="L2397" s="27">
        <f>IF($A2397="","",TRIM(IF(ISERROR(FIND(",",$C2397)),$C2397,LEFT($C2397,FIND(",",$C2397)-1))))</f>
        <v/>
      </c>
      <c r="M2397" s="28">
        <f>IF($H2397="","",DATE(YEAR($H2397),MONTH($H2397),1))</f>
        <v/>
      </c>
      <c r="N2397" s="26">
        <f>IF($H2397="","",TODAY()-$H2397)</f>
        <v/>
      </c>
      <c r="O2397" s="15" t="n"/>
      <c r="P2397" s="15" t="n"/>
      <c r="Q2397" s="15" t="n"/>
      <c r="R2397" s="25" t="n"/>
      <c r="S2397" s="26">
        <f>IF($A2397="","",AND(OR('Assignment Builder'!$B$5="",$B2397='Assignment Builder'!$B$5),OR('Assignment Builder'!$B$6="",ISNUMBER(SEARCH('Assignment Builder'!$B$6,$C2397))),OR('Assignment Builder'!$B$7="",'Assignment Builder'!$B$7=IFERROR(INDEX('Category Dictionary'!$C$5:$C$135,MATCH($L2397,'Category Dictionary'!$D$5:$D$135,0)),"")),OR('Assignment Builder'!$B$8="",$D2397='Assignment Builder'!$B$8),OR('Assignment Builder'!$B$9="",$F2397='Assignment Builder'!$B$9),OR('Assignment Builder'!$B$10="",$O2397='Assignment Builder'!$B$10),OR('Assignment Builder'!$B$11="",$H2397&gt;='Assignment Builder'!$B$11),OR('Assignment Builder'!$B$12="",N($Q2397)&lt;='Assignment Builder'!$B$12)))</f>
        <v/>
      </c>
      <c r="T2397" s="23" t="n"/>
    </row>
    <row r="2398">
      <c r="A2398" s="23" t="n"/>
      <c r="B2398" s="23" t="n"/>
      <c r="C2398" s="24" t="n"/>
      <c r="D2398" s="15" t="n"/>
      <c r="E2398" s="23" t="n"/>
      <c r="F2398" s="15" t="n"/>
      <c r="G2398" s="23" t="n"/>
      <c r="H2398" s="25" t="n"/>
      <c r="I2398" s="15" t="n"/>
      <c r="J2398" s="26">
        <f>IF($A2398="","",LEN($C2398)-LEN(SUBSTITUTE($C2398,",",""))+1)</f>
        <v/>
      </c>
      <c r="K2398" s="26">
        <f>IF($A2398="","",SUMPRODUCT(--ISNUMBER(SEARCH('Category Dictionary'!$D$5:$D$135&amp;"",$C2398)),--('Category Dictionary'!$D$5:$D$135&lt;&gt;"")))</f>
        <v/>
      </c>
      <c r="L2398" s="27">
        <f>IF($A2398="","",TRIM(IF(ISERROR(FIND(",",$C2398)),$C2398,LEFT($C2398,FIND(",",$C2398)-1))))</f>
        <v/>
      </c>
      <c r="M2398" s="28">
        <f>IF($H2398="","",DATE(YEAR($H2398),MONTH($H2398),1))</f>
        <v/>
      </c>
      <c r="N2398" s="26">
        <f>IF($H2398="","",TODAY()-$H2398)</f>
        <v/>
      </c>
      <c r="O2398" s="15" t="n"/>
      <c r="P2398" s="15" t="n"/>
      <c r="Q2398" s="15" t="n"/>
      <c r="R2398" s="25" t="n"/>
      <c r="S2398" s="26">
        <f>IF($A2398="","",AND(OR('Assignment Builder'!$B$5="",$B2398='Assignment Builder'!$B$5),OR('Assignment Builder'!$B$6="",ISNUMBER(SEARCH('Assignment Builder'!$B$6,$C2398))),OR('Assignment Builder'!$B$7="",'Assignment Builder'!$B$7=IFERROR(INDEX('Category Dictionary'!$C$5:$C$135,MATCH($L2398,'Category Dictionary'!$D$5:$D$135,0)),"")),OR('Assignment Builder'!$B$8="",$D2398='Assignment Builder'!$B$8),OR('Assignment Builder'!$B$9="",$F2398='Assignment Builder'!$B$9),OR('Assignment Builder'!$B$10="",$O2398='Assignment Builder'!$B$10),OR('Assignment Builder'!$B$11="",$H2398&gt;='Assignment Builder'!$B$11),OR('Assignment Builder'!$B$12="",N($Q2398)&lt;='Assignment Builder'!$B$12)))</f>
        <v/>
      </c>
      <c r="T2398" s="23" t="n"/>
    </row>
    <row r="2399">
      <c r="A2399" s="23" t="n"/>
      <c r="B2399" s="23" t="n"/>
      <c r="C2399" s="24" t="n"/>
      <c r="D2399" s="15" t="n"/>
      <c r="E2399" s="23" t="n"/>
      <c r="F2399" s="15" t="n"/>
      <c r="G2399" s="23" t="n"/>
      <c r="H2399" s="25" t="n"/>
      <c r="I2399" s="15" t="n"/>
      <c r="J2399" s="26">
        <f>IF($A2399="","",LEN($C2399)-LEN(SUBSTITUTE($C2399,",",""))+1)</f>
        <v/>
      </c>
      <c r="K2399" s="26">
        <f>IF($A2399="","",SUMPRODUCT(--ISNUMBER(SEARCH('Category Dictionary'!$D$5:$D$135&amp;"",$C2399)),--('Category Dictionary'!$D$5:$D$135&lt;&gt;"")))</f>
        <v/>
      </c>
      <c r="L2399" s="27">
        <f>IF($A2399="","",TRIM(IF(ISERROR(FIND(",",$C2399)),$C2399,LEFT($C2399,FIND(",",$C2399)-1))))</f>
        <v/>
      </c>
      <c r="M2399" s="28">
        <f>IF($H2399="","",DATE(YEAR($H2399),MONTH($H2399),1))</f>
        <v/>
      </c>
      <c r="N2399" s="26">
        <f>IF($H2399="","",TODAY()-$H2399)</f>
        <v/>
      </c>
      <c r="O2399" s="15" t="n"/>
      <c r="P2399" s="15" t="n"/>
      <c r="Q2399" s="15" t="n"/>
      <c r="R2399" s="25" t="n"/>
      <c r="S2399" s="26">
        <f>IF($A2399="","",AND(OR('Assignment Builder'!$B$5="",$B2399='Assignment Builder'!$B$5),OR('Assignment Builder'!$B$6="",ISNUMBER(SEARCH('Assignment Builder'!$B$6,$C2399))),OR('Assignment Builder'!$B$7="",'Assignment Builder'!$B$7=IFERROR(INDEX('Category Dictionary'!$C$5:$C$135,MATCH($L2399,'Category Dictionary'!$D$5:$D$135,0)),"")),OR('Assignment Builder'!$B$8="",$D2399='Assignment Builder'!$B$8),OR('Assignment Builder'!$B$9="",$F2399='Assignment Builder'!$B$9),OR('Assignment Builder'!$B$10="",$O2399='Assignment Builder'!$B$10),OR('Assignment Builder'!$B$11="",$H2399&gt;='Assignment Builder'!$B$11),OR('Assignment Builder'!$B$12="",N($Q2399)&lt;='Assignment Builder'!$B$12)))</f>
        <v/>
      </c>
      <c r="T2399" s="23" t="n"/>
    </row>
    <row r="2400">
      <c r="A2400" s="23" t="n"/>
      <c r="B2400" s="23" t="n"/>
      <c r="C2400" s="24" t="n"/>
      <c r="D2400" s="15" t="n"/>
      <c r="E2400" s="23" t="n"/>
      <c r="F2400" s="15" t="n"/>
      <c r="G2400" s="23" t="n"/>
      <c r="H2400" s="25" t="n"/>
      <c r="I2400" s="15" t="n"/>
      <c r="J2400" s="26">
        <f>IF($A2400="","",LEN($C2400)-LEN(SUBSTITUTE($C2400,",",""))+1)</f>
        <v/>
      </c>
      <c r="K2400" s="26">
        <f>IF($A2400="","",SUMPRODUCT(--ISNUMBER(SEARCH('Category Dictionary'!$D$5:$D$135&amp;"",$C2400)),--('Category Dictionary'!$D$5:$D$135&lt;&gt;"")))</f>
        <v/>
      </c>
      <c r="L2400" s="27">
        <f>IF($A2400="","",TRIM(IF(ISERROR(FIND(",",$C2400)),$C2400,LEFT($C2400,FIND(",",$C2400)-1))))</f>
        <v/>
      </c>
      <c r="M2400" s="28">
        <f>IF($H2400="","",DATE(YEAR($H2400),MONTH($H2400),1))</f>
        <v/>
      </c>
      <c r="N2400" s="26">
        <f>IF($H2400="","",TODAY()-$H2400)</f>
        <v/>
      </c>
      <c r="O2400" s="15" t="n"/>
      <c r="P2400" s="15" t="n"/>
      <c r="Q2400" s="15" t="n"/>
      <c r="R2400" s="25" t="n"/>
      <c r="S2400" s="26">
        <f>IF($A2400="","",AND(OR('Assignment Builder'!$B$5="",$B2400='Assignment Builder'!$B$5),OR('Assignment Builder'!$B$6="",ISNUMBER(SEARCH('Assignment Builder'!$B$6,$C2400))),OR('Assignment Builder'!$B$7="",'Assignment Builder'!$B$7=IFERROR(INDEX('Category Dictionary'!$C$5:$C$135,MATCH($L2400,'Category Dictionary'!$D$5:$D$135,0)),"")),OR('Assignment Builder'!$B$8="",$D2400='Assignment Builder'!$B$8),OR('Assignment Builder'!$B$9="",$F2400='Assignment Builder'!$B$9),OR('Assignment Builder'!$B$10="",$O2400='Assignment Builder'!$B$10),OR('Assignment Builder'!$B$11="",$H2400&gt;='Assignment Builder'!$B$11),OR('Assignment Builder'!$B$12="",N($Q2400)&lt;='Assignment Builder'!$B$12)))</f>
        <v/>
      </c>
      <c r="T2400" s="23" t="n"/>
    </row>
    <row r="2401">
      <c r="A2401" s="23" t="n"/>
      <c r="B2401" s="23" t="n"/>
      <c r="C2401" s="24" t="n"/>
      <c r="D2401" s="15" t="n"/>
      <c r="E2401" s="23" t="n"/>
      <c r="F2401" s="15" t="n"/>
      <c r="G2401" s="23" t="n"/>
      <c r="H2401" s="25" t="n"/>
      <c r="I2401" s="15" t="n"/>
      <c r="J2401" s="26">
        <f>IF($A2401="","",LEN($C2401)-LEN(SUBSTITUTE($C2401,",",""))+1)</f>
        <v/>
      </c>
      <c r="K2401" s="26">
        <f>IF($A2401="","",SUMPRODUCT(--ISNUMBER(SEARCH('Category Dictionary'!$D$5:$D$135&amp;"",$C2401)),--('Category Dictionary'!$D$5:$D$135&lt;&gt;"")))</f>
        <v/>
      </c>
      <c r="L2401" s="27">
        <f>IF($A2401="","",TRIM(IF(ISERROR(FIND(",",$C2401)),$C2401,LEFT($C2401,FIND(",",$C2401)-1))))</f>
        <v/>
      </c>
      <c r="M2401" s="28">
        <f>IF($H2401="","",DATE(YEAR($H2401),MONTH($H2401),1))</f>
        <v/>
      </c>
      <c r="N2401" s="26">
        <f>IF($H2401="","",TODAY()-$H2401)</f>
        <v/>
      </c>
      <c r="O2401" s="15" t="n"/>
      <c r="P2401" s="15" t="n"/>
      <c r="Q2401" s="15" t="n"/>
      <c r="R2401" s="25" t="n"/>
      <c r="S2401" s="26">
        <f>IF($A2401="","",AND(OR('Assignment Builder'!$B$5="",$B2401='Assignment Builder'!$B$5),OR('Assignment Builder'!$B$6="",ISNUMBER(SEARCH('Assignment Builder'!$B$6,$C2401))),OR('Assignment Builder'!$B$7="",'Assignment Builder'!$B$7=IFERROR(INDEX('Category Dictionary'!$C$5:$C$135,MATCH($L2401,'Category Dictionary'!$D$5:$D$135,0)),"")),OR('Assignment Builder'!$B$8="",$D2401='Assignment Builder'!$B$8),OR('Assignment Builder'!$B$9="",$F2401='Assignment Builder'!$B$9),OR('Assignment Builder'!$B$10="",$O2401='Assignment Builder'!$B$10),OR('Assignment Builder'!$B$11="",$H2401&gt;='Assignment Builder'!$B$11),OR('Assignment Builder'!$B$12="",N($Q2401)&lt;='Assignment Builder'!$B$12)))</f>
        <v/>
      </c>
      <c r="T2401" s="23" t="n"/>
    </row>
    <row r="2402">
      <c r="A2402" s="23" t="n"/>
      <c r="B2402" s="23" t="n"/>
      <c r="C2402" s="24" t="n"/>
      <c r="D2402" s="15" t="n"/>
      <c r="E2402" s="23" t="n"/>
      <c r="F2402" s="15" t="n"/>
      <c r="G2402" s="23" t="n"/>
      <c r="H2402" s="25" t="n"/>
      <c r="I2402" s="15" t="n"/>
      <c r="J2402" s="26">
        <f>IF($A2402="","",LEN($C2402)-LEN(SUBSTITUTE($C2402,",",""))+1)</f>
        <v/>
      </c>
      <c r="K2402" s="26">
        <f>IF($A2402="","",SUMPRODUCT(--ISNUMBER(SEARCH('Category Dictionary'!$D$5:$D$135&amp;"",$C2402)),--('Category Dictionary'!$D$5:$D$135&lt;&gt;"")))</f>
        <v/>
      </c>
      <c r="L2402" s="27">
        <f>IF($A2402="","",TRIM(IF(ISERROR(FIND(",",$C2402)),$C2402,LEFT($C2402,FIND(",",$C2402)-1))))</f>
        <v/>
      </c>
      <c r="M2402" s="28">
        <f>IF($H2402="","",DATE(YEAR($H2402),MONTH($H2402),1))</f>
        <v/>
      </c>
      <c r="N2402" s="26">
        <f>IF($H2402="","",TODAY()-$H2402)</f>
        <v/>
      </c>
      <c r="O2402" s="15" t="n"/>
      <c r="P2402" s="15" t="n"/>
      <c r="Q2402" s="15" t="n"/>
      <c r="R2402" s="25" t="n"/>
      <c r="S2402" s="26">
        <f>IF($A2402="","",AND(OR('Assignment Builder'!$B$5="",$B2402='Assignment Builder'!$B$5),OR('Assignment Builder'!$B$6="",ISNUMBER(SEARCH('Assignment Builder'!$B$6,$C2402))),OR('Assignment Builder'!$B$7="",'Assignment Builder'!$B$7=IFERROR(INDEX('Category Dictionary'!$C$5:$C$135,MATCH($L2402,'Category Dictionary'!$D$5:$D$135,0)),"")),OR('Assignment Builder'!$B$8="",$D2402='Assignment Builder'!$B$8),OR('Assignment Builder'!$B$9="",$F2402='Assignment Builder'!$B$9),OR('Assignment Builder'!$B$10="",$O2402='Assignment Builder'!$B$10),OR('Assignment Builder'!$B$11="",$H2402&gt;='Assignment Builder'!$B$11),OR('Assignment Builder'!$B$12="",N($Q2402)&lt;='Assignment Builder'!$B$12)))</f>
        <v/>
      </c>
      <c r="T2402" s="23" t="n"/>
    </row>
    <row r="2403">
      <c r="A2403" s="23" t="n"/>
      <c r="B2403" s="23" t="n"/>
      <c r="C2403" s="24" t="n"/>
      <c r="D2403" s="15" t="n"/>
      <c r="E2403" s="23" t="n"/>
      <c r="F2403" s="15" t="n"/>
      <c r="G2403" s="23" t="n"/>
      <c r="H2403" s="25" t="n"/>
      <c r="I2403" s="15" t="n"/>
      <c r="J2403" s="26">
        <f>IF($A2403="","",LEN($C2403)-LEN(SUBSTITUTE($C2403,",",""))+1)</f>
        <v/>
      </c>
      <c r="K2403" s="26">
        <f>IF($A2403="","",SUMPRODUCT(--ISNUMBER(SEARCH('Category Dictionary'!$D$5:$D$135&amp;"",$C2403)),--('Category Dictionary'!$D$5:$D$135&lt;&gt;"")))</f>
        <v/>
      </c>
      <c r="L2403" s="27">
        <f>IF($A2403="","",TRIM(IF(ISERROR(FIND(",",$C2403)),$C2403,LEFT($C2403,FIND(",",$C2403)-1))))</f>
        <v/>
      </c>
      <c r="M2403" s="28">
        <f>IF($H2403="","",DATE(YEAR($H2403),MONTH($H2403),1))</f>
        <v/>
      </c>
      <c r="N2403" s="26">
        <f>IF($H2403="","",TODAY()-$H2403)</f>
        <v/>
      </c>
      <c r="O2403" s="15" t="n"/>
      <c r="P2403" s="15" t="n"/>
      <c r="Q2403" s="15" t="n"/>
      <c r="R2403" s="25" t="n"/>
      <c r="S2403" s="26">
        <f>IF($A2403="","",AND(OR('Assignment Builder'!$B$5="",$B2403='Assignment Builder'!$B$5),OR('Assignment Builder'!$B$6="",ISNUMBER(SEARCH('Assignment Builder'!$B$6,$C2403))),OR('Assignment Builder'!$B$7="",'Assignment Builder'!$B$7=IFERROR(INDEX('Category Dictionary'!$C$5:$C$135,MATCH($L2403,'Category Dictionary'!$D$5:$D$135,0)),"")),OR('Assignment Builder'!$B$8="",$D2403='Assignment Builder'!$B$8),OR('Assignment Builder'!$B$9="",$F2403='Assignment Builder'!$B$9),OR('Assignment Builder'!$B$10="",$O2403='Assignment Builder'!$B$10),OR('Assignment Builder'!$B$11="",$H2403&gt;='Assignment Builder'!$B$11),OR('Assignment Builder'!$B$12="",N($Q2403)&lt;='Assignment Builder'!$B$12)))</f>
        <v/>
      </c>
      <c r="T2403" s="23" t="n"/>
    </row>
    <row r="2404">
      <c r="A2404" s="23" t="n"/>
      <c r="B2404" s="23" t="n"/>
      <c r="C2404" s="24" t="n"/>
      <c r="D2404" s="15" t="n"/>
      <c r="E2404" s="23" t="n"/>
      <c r="F2404" s="15" t="n"/>
      <c r="G2404" s="23" t="n"/>
      <c r="H2404" s="25" t="n"/>
      <c r="I2404" s="15" t="n"/>
      <c r="J2404" s="26">
        <f>IF($A2404="","",LEN($C2404)-LEN(SUBSTITUTE($C2404,",",""))+1)</f>
        <v/>
      </c>
      <c r="K2404" s="26">
        <f>IF($A2404="","",SUMPRODUCT(--ISNUMBER(SEARCH('Category Dictionary'!$D$5:$D$135&amp;"",$C2404)),--('Category Dictionary'!$D$5:$D$135&lt;&gt;"")))</f>
        <v/>
      </c>
      <c r="L2404" s="27">
        <f>IF($A2404="","",TRIM(IF(ISERROR(FIND(",",$C2404)),$C2404,LEFT($C2404,FIND(",",$C2404)-1))))</f>
        <v/>
      </c>
      <c r="M2404" s="28">
        <f>IF($H2404="","",DATE(YEAR($H2404),MONTH($H2404),1))</f>
        <v/>
      </c>
      <c r="N2404" s="26">
        <f>IF($H2404="","",TODAY()-$H2404)</f>
        <v/>
      </c>
      <c r="O2404" s="15" t="n"/>
      <c r="P2404" s="15" t="n"/>
      <c r="Q2404" s="15" t="n"/>
      <c r="R2404" s="25" t="n"/>
      <c r="S2404" s="26">
        <f>IF($A2404="","",AND(OR('Assignment Builder'!$B$5="",$B2404='Assignment Builder'!$B$5),OR('Assignment Builder'!$B$6="",ISNUMBER(SEARCH('Assignment Builder'!$B$6,$C2404))),OR('Assignment Builder'!$B$7="",'Assignment Builder'!$B$7=IFERROR(INDEX('Category Dictionary'!$C$5:$C$135,MATCH($L2404,'Category Dictionary'!$D$5:$D$135,0)),"")),OR('Assignment Builder'!$B$8="",$D2404='Assignment Builder'!$B$8),OR('Assignment Builder'!$B$9="",$F2404='Assignment Builder'!$B$9),OR('Assignment Builder'!$B$10="",$O2404='Assignment Builder'!$B$10),OR('Assignment Builder'!$B$11="",$H2404&gt;='Assignment Builder'!$B$11),OR('Assignment Builder'!$B$12="",N($Q2404)&lt;='Assignment Builder'!$B$12)))</f>
        <v/>
      </c>
      <c r="T2404" s="23" t="n"/>
    </row>
    <row r="2405">
      <c r="A2405" s="23" t="n"/>
      <c r="B2405" s="23" t="n"/>
      <c r="C2405" s="24" t="n"/>
      <c r="D2405" s="15" t="n"/>
      <c r="E2405" s="23" t="n"/>
      <c r="F2405" s="15" t="n"/>
      <c r="G2405" s="23" t="n"/>
      <c r="H2405" s="25" t="n"/>
      <c r="I2405" s="15" t="n"/>
      <c r="J2405" s="26">
        <f>IF($A2405="","",LEN($C2405)-LEN(SUBSTITUTE($C2405,",",""))+1)</f>
        <v/>
      </c>
      <c r="K2405" s="26">
        <f>IF($A2405="","",SUMPRODUCT(--ISNUMBER(SEARCH('Category Dictionary'!$D$5:$D$135&amp;"",$C2405)),--('Category Dictionary'!$D$5:$D$135&lt;&gt;"")))</f>
        <v/>
      </c>
      <c r="L2405" s="27">
        <f>IF($A2405="","",TRIM(IF(ISERROR(FIND(",",$C2405)),$C2405,LEFT($C2405,FIND(",",$C2405)-1))))</f>
        <v/>
      </c>
      <c r="M2405" s="28">
        <f>IF($H2405="","",DATE(YEAR($H2405),MONTH($H2405),1))</f>
        <v/>
      </c>
      <c r="N2405" s="26">
        <f>IF($H2405="","",TODAY()-$H2405)</f>
        <v/>
      </c>
      <c r="O2405" s="15" t="n"/>
      <c r="P2405" s="15" t="n"/>
      <c r="Q2405" s="15" t="n"/>
      <c r="R2405" s="25" t="n"/>
      <c r="S2405" s="26">
        <f>IF($A2405="","",AND(OR('Assignment Builder'!$B$5="",$B2405='Assignment Builder'!$B$5),OR('Assignment Builder'!$B$6="",ISNUMBER(SEARCH('Assignment Builder'!$B$6,$C2405))),OR('Assignment Builder'!$B$7="",'Assignment Builder'!$B$7=IFERROR(INDEX('Category Dictionary'!$C$5:$C$135,MATCH($L2405,'Category Dictionary'!$D$5:$D$135,0)),"")),OR('Assignment Builder'!$B$8="",$D2405='Assignment Builder'!$B$8),OR('Assignment Builder'!$B$9="",$F2405='Assignment Builder'!$B$9),OR('Assignment Builder'!$B$10="",$O2405='Assignment Builder'!$B$10),OR('Assignment Builder'!$B$11="",$H2405&gt;='Assignment Builder'!$B$11),OR('Assignment Builder'!$B$12="",N($Q2405)&lt;='Assignment Builder'!$B$12)))</f>
        <v/>
      </c>
      <c r="T2405" s="23" t="n"/>
    </row>
    <row r="2406">
      <c r="A2406" s="23" t="n"/>
      <c r="B2406" s="23" t="n"/>
      <c r="C2406" s="24" t="n"/>
      <c r="D2406" s="15" t="n"/>
      <c r="E2406" s="23" t="n"/>
      <c r="F2406" s="15" t="n"/>
      <c r="G2406" s="23" t="n"/>
      <c r="H2406" s="25" t="n"/>
      <c r="I2406" s="15" t="n"/>
      <c r="J2406" s="26">
        <f>IF($A2406="","",LEN($C2406)-LEN(SUBSTITUTE($C2406,",",""))+1)</f>
        <v/>
      </c>
      <c r="K2406" s="26">
        <f>IF($A2406="","",SUMPRODUCT(--ISNUMBER(SEARCH('Category Dictionary'!$D$5:$D$135&amp;"",$C2406)),--('Category Dictionary'!$D$5:$D$135&lt;&gt;"")))</f>
        <v/>
      </c>
      <c r="L2406" s="27">
        <f>IF($A2406="","",TRIM(IF(ISERROR(FIND(",",$C2406)),$C2406,LEFT($C2406,FIND(",",$C2406)-1))))</f>
        <v/>
      </c>
      <c r="M2406" s="28">
        <f>IF($H2406="","",DATE(YEAR($H2406),MONTH($H2406),1))</f>
        <v/>
      </c>
      <c r="N2406" s="26">
        <f>IF($H2406="","",TODAY()-$H2406)</f>
        <v/>
      </c>
      <c r="O2406" s="15" t="n"/>
      <c r="P2406" s="15" t="n"/>
      <c r="Q2406" s="15" t="n"/>
      <c r="R2406" s="25" t="n"/>
      <c r="S2406" s="26">
        <f>IF($A2406="","",AND(OR('Assignment Builder'!$B$5="",$B2406='Assignment Builder'!$B$5),OR('Assignment Builder'!$B$6="",ISNUMBER(SEARCH('Assignment Builder'!$B$6,$C2406))),OR('Assignment Builder'!$B$7="",'Assignment Builder'!$B$7=IFERROR(INDEX('Category Dictionary'!$C$5:$C$135,MATCH($L2406,'Category Dictionary'!$D$5:$D$135,0)),"")),OR('Assignment Builder'!$B$8="",$D2406='Assignment Builder'!$B$8),OR('Assignment Builder'!$B$9="",$F2406='Assignment Builder'!$B$9),OR('Assignment Builder'!$B$10="",$O2406='Assignment Builder'!$B$10),OR('Assignment Builder'!$B$11="",$H2406&gt;='Assignment Builder'!$B$11),OR('Assignment Builder'!$B$12="",N($Q2406)&lt;='Assignment Builder'!$B$12)))</f>
        <v/>
      </c>
      <c r="T2406" s="23" t="n"/>
    </row>
    <row r="2407">
      <c r="A2407" s="23" t="n"/>
      <c r="B2407" s="23" t="n"/>
      <c r="C2407" s="24" t="n"/>
      <c r="D2407" s="15" t="n"/>
      <c r="E2407" s="23" t="n"/>
      <c r="F2407" s="15" t="n"/>
      <c r="G2407" s="23" t="n"/>
      <c r="H2407" s="25" t="n"/>
      <c r="I2407" s="15" t="n"/>
      <c r="J2407" s="26">
        <f>IF($A2407="","",LEN($C2407)-LEN(SUBSTITUTE($C2407,",",""))+1)</f>
        <v/>
      </c>
      <c r="K2407" s="26">
        <f>IF($A2407="","",SUMPRODUCT(--ISNUMBER(SEARCH('Category Dictionary'!$D$5:$D$135&amp;"",$C2407)),--('Category Dictionary'!$D$5:$D$135&lt;&gt;"")))</f>
        <v/>
      </c>
      <c r="L2407" s="27">
        <f>IF($A2407="","",TRIM(IF(ISERROR(FIND(",",$C2407)),$C2407,LEFT($C2407,FIND(",",$C2407)-1))))</f>
        <v/>
      </c>
      <c r="M2407" s="28">
        <f>IF($H2407="","",DATE(YEAR($H2407),MONTH($H2407),1))</f>
        <v/>
      </c>
      <c r="N2407" s="26">
        <f>IF($H2407="","",TODAY()-$H2407)</f>
        <v/>
      </c>
      <c r="O2407" s="15" t="n"/>
      <c r="P2407" s="15" t="n"/>
      <c r="Q2407" s="15" t="n"/>
      <c r="R2407" s="25" t="n"/>
      <c r="S2407" s="26">
        <f>IF($A2407="","",AND(OR('Assignment Builder'!$B$5="",$B2407='Assignment Builder'!$B$5),OR('Assignment Builder'!$B$6="",ISNUMBER(SEARCH('Assignment Builder'!$B$6,$C2407))),OR('Assignment Builder'!$B$7="",'Assignment Builder'!$B$7=IFERROR(INDEX('Category Dictionary'!$C$5:$C$135,MATCH($L2407,'Category Dictionary'!$D$5:$D$135,0)),"")),OR('Assignment Builder'!$B$8="",$D2407='Assignment Builder'!$B$8),OR('Assignment Builder'!$B$9="",$F2407='Assignment Builder'!$B$9),OR('Assignment Builder'!$B$10="",$O2407='Assignment Builder'!$B$10),OR('Assignment Builder'!$B$11="",$H2407&gt;='Assignment Builder'!$B$11),OR('Assignment Builder'!$B$12="",N($Q2407)&lt;='Assignment Builder'!$B$12)))</f>
        <v/>
      </c>
      <c r="T2407" s="23" t="n"/>
    </row>
    <row r="2408">
      <c r="A2408" s="23" t="n"/>
      <c r="B2408" s="23" t="n"/>
      <c r="C2408" s="24" t="n"/>
      <c r="D2408" s="15" t="n"/>
      <c r="E2408" s="23" t="n"/>
      <c r="F2408" s="15" t="n"/>
      <c r="G2408" s="23" t="n"/>
      <c r="H2408" s="25" t="n"/>
      <c r="I2408" s="15" t="n"/>
      <c r="J2408" s="26">
        <f>IF($A2408="","",LEN($C2408)-LEN(SUBSTITUTE($C2408,",",""))+1)</f>
        <v/>
      </c>
      <c r="K2408" s="26">
        <f>IF($A2408="","",SUMPRODUCT(--ISNUMBER(SEARCH('Category Dictionary'!$D$5:$D$135&amp;"",$C2408)),--('Category Dictionary'!$D$5:$D$135&lt;&gt;"")))</f>
        <v/>
      </c>
      <c r="L2408" s="27">
        <f>IF($A2408="","",TRIM(IF(ISERROR(FIND(",",$C2408)),$C2408,LEFT($C2408,FIND(",",$C2408)-1))))</f>
        <v/>
      </c>
      <c r="M2408" s="28">
        <f>IF($H2408="","",DATE(YEAR($H2408),MONTH($H2408),1))</f>
        <v/>
      </c>
      <c r="N2408" s="26">
        <f>IF($H2408="","",TODAY()-$H2408)</f>
        <v/>
      </c>
      <c r="O2408" s="15" t="n"/>
      <c r="P2408" s="15" t="n"/>
      <c r="Q2408" s="15" t="n"/>
      <c r="R2408" s="25" t="n"/>
      <c r="S2408" s="26">
        <f>IF($A2408="","",AND(OR('Assignment Builder'!$B$5="",$B2408='Assignment Builder'!$B$5),OR('Assignment Builder'!$B$6="",ISNUMBER(SEARCH('Assignment Builder'!$B$6,$C2408))),OR('Assignment Builder'!$B$7="",'Assignment Builder'!$B$7=IFERROR(INDEX('Category Dictionary'!$C$5:$C$135,MATCH($L2408,'Category Dictionary'!$D$5:$D$135,0)),"")),OR('Assignment Builder'!$B$8="",$D2408='Assignment Builder'!$B$8),OR('Assignment Builder'!$B$9="",$F2408='Assignment Builder'!$B$9),OR('Assignment Builder'!$B$10="",$O2408='Assignment Builder'!$B$10),OR('Assignment Builder'!$B$11="",$H2408&gt;='Assignment Builder'!$B$11),OR('Assignment Builder'!$B$12="",N($Q2408)&lt;='Assignment Builder'!$B$12)))</f>
        <v/>
      </c>
      <c r="T2408" s="23" t="n"/>
    </row>
    <row r="2409">
      <c r="A2409" s="23" t="n"/>
      <c r="B2409" s="23" t="n"/>
      <c r="C2409" s="24" t="n"/>
      <c r="D2409" s="15" t="n"/>
      <c r="E2409" s="23" t="n"/>
      <c r="F2409" s="15" t="n"/>
      <c r="G2409" s="23" t="n"/>
      <c r="H2409" s="25" t="n"/>
      <c r="I2409" s="15" t="n"/>
      <c r="J2409" s="26">
        <f>IF($A2409="","",LEN($C2409)-LEN(SUBSTITUTE($C2409,",",""))+1)</f>
        <v/>
      </c>
      <c r="K2409" s="26">
        <f>IF($A2409="","",SUMPRODUCT(--ISNUMBER(SEARCH('Category Dictionary'!$D$5:$D$135&amp;"",$C2409)),--('Category Dictionary'!$D$5:$D$135&lt;&gt;"")))</f>
        <v/>
      </c>
      <c r="L2409" s="27">
        <f>IF($A2409="","",TRIM(IF(ISERROR(FIND(",",$C2409)),$C2409,LEFT($C2409,FIND(",",$C2409)-1))))</f>
        <v/>
      </c>
      <c r="M2409" s="28">
        <f>IF($H2409="","",DATE(YEAR($H2409),MONTH($H2409),1))</f>
        <v/>
      </c>
      <c r="N2409" s="26">
        <f>IF($H2409="","",TODAY()-$H2409)</f>
        <v/>
      </c>
      <c r="O2409" s="15" t="n"/>
      <c r="P2409" s="15" t="n"/>
      <c r="Q2409" s="15" t="n"/>
      <c r="R2409" s="25" t="n"/>
      <c r="S2409" s="26">
        <f>IF($A2409="","",AND(OR('Assignment Builder'!$B$5="",$B2409='Assignment Builder'!$B$5),OR('Assignment Builder'!$B$6="",ISNUMBER(SEARCH('Assignment Builder'!$B$6,$C2409))),OR('Assignment Builder'!$B$7="",'Assignment Builder'!$B$7=IFERROR(INDEX('Category Dictionary'!$C$5:$C$135,MATCH($L2409,'Category Dictionary'!$D$5:$D$135,0)),"")),OR('Assignment Builder'!$B$8="",$D2409='Assignment Builder'!$B$8),OR('Assignment Builder'!$B$9="",$F2409='Assignment Builder'!$B$9),OR('Assignment Builder'!$B$10="",$O2409='Assignment Builder'!$B$10),OR('Assignment Builder'!$B$11="",$H2409&gt;='Assignment Builder'!$B$11),OR('Assignment Builder'!$B$12="",N($Q2409)&lt;='Assignment Builder'!$B$12)))</f>
        <v/>
      </c>
      <c r="T2409" s="23" t="n"/>
    </row>
    <row r="2410">
      <c r="A2410" s="23" t="n"/>
      <c r="B2410" s="23" t="n"/>
      <c r="C2410" s="24" t="n"/>
      <c r="D2410" s="15" t="n"/>
      <c r="E2410" s="23" t="n"/>
      <c r="F2410" s="15" t="n"/>
      <c r="G2410" s="23" t="n"/>
      <c r="H2410" s="25" t="n"/>
      <c r="I2410" s="15" t="n"/>
      <c r="J2410" s="26">
        <f>IF($A2410="","",LEN($C2410)-LEN(SUBSTITUTE($C2410,",",""))+1)</f>
        <v/>
      </c>
      <c r="K2410" s="26">
        <f>IF($A2410="","",SUMPRODUCT(--ISNUMBER(SEARCH('Category Dictionary'!$D$5:$D$135&amp;"",$C2410)),--('Category Dictionary'!$D$5:$D$135&lt;&gt;"")))</f>
        <v/>
      </c>
      <c r="L2410" s="27">
        <f>IF($A2410="","",TRIM(IF(ISERROR(FIND(",",$C2410)),$C2410,LEFT($C2410,FIND(",",$C2410)-1))))</f>
        <v/>
      </c>
      <c r="M2410" s="28">
        <f>IF($H2410="","",DATE(YEAR($H2410),MONTH($H2410),1))</f>
        <v/>
      </c>
      <c r="N2410" s="26">
        <f>IF($H2410="","",TODAY()-$H2410)</f>
        <v/>
      </c>
      <c r="O2410" s="15" t="n"/>
      <c r="P2410" s="15" t="n"/>
      <c r="Q2410" s="15" t="n"/>
      <c r="R2410" s="25" t="n"/>
      <c r="S2410" s="26">
        <f>IF($A2410="","",AND(OR('Assignment Builder'!$B$5="",$B2410='Assignment Builder'!$B$5),OR('Assignment Builder'!$B$6="",ISNUMBER(SEARCH('Assignment Builder'!$B$6,$C2410))),OR('Assignment Builder'!$B$7="",'Assignment Builder'!$B$7=IFERROR(INDEX('Category Dictionary'!$C$5:$C$135,MATCH($L2410,'Category Dictionary'!$D$5:$D$135,0)),"")),OR('Assignment Builder'!$B$8="",$D2410='Assignment Builder'!$B$8),OR('Assignment Builder'!$B$9="",$F2410='Assignment Builder'!$B$9),OR('Assignment Builder'!$B$10="",$O2410='Assignment Builder'!$B$10),OR('Assignment Builder'!$B$11="",$H2410&gt;='Assignment Builder'!$B$11),OR('Assignment Builder'!$B$12="",N($Q2410)&lt;='Assignment Builder'!$B$12)))</f>
        <v/>
      </c>
      <c r="T2410" s="23" t="n"/>
    </row>
    <row r="2411">
      <c r="A2411" s="23" t="n"/>
      <c r="B2411" s="23" t="n"/>
      <c r="C2411" s="24" t="n"/>
      <c r="D2411" s="15" t="n"/>
      <c r="E2411" s="23" t="n"/>
      <c r="F2411" s="15" t="n"/>
      <c r="G2411" s="23" t="n"/>
      <c r="H2411" s="25" t="n"/>
      <c r="I2411" s="15" t="n"/>
      <c r="J2411" s="26">
        <f>IF($A2411="","",LEN($C2411)-LEN(SUBSTITUTE($C2411,",",""))+1)</f>
        <v/>
      </c>
      <c r="K2411" s="26">
        <f>IF($A2411="","",SUMPRODUCT(--ISNUMBER(SEARCH('Category Dictionary'!$D$5:$D$135&amp;"",$C2411)),--('Category Dictionary'!$D$5:$D$135&lt;&gt;"")))</f>
        <v/>
      </c>
      <c r="L2411" s="27">
        <f>IF($A2411="","",TRIM(IF(ISERROR(FIND(",",$C2411)),$C2411,LEFT($C2411,FIND(",",$C2411)-1))))</f>
        <v/>
      </c>
      <c r="M2411" s="28">
        <f>IF($H2411="","",DATE(YEAR($H2411),MONTH($H2411),1))</f>
        <v/>
      </c>
      <c r="N2411" s="26">
        <f>IF($H2411="","",TODAY()-$H2411)</f>
        <v/>
      </c>
      <c r="O2411" s="15" t="n"/>
      <c r="P2411" s="15" t="n"/>
      <c r="Q2411" s="15" t="n"/>
      <c r="R2411" s="25" t="n"/>
      <c r="S2411" s="26">
        <f>IF($A2411="","",AND(OR('Assignment Builder'!$B$5="",$B2411='Assignment Builder'!$B$5),OR('Assignment Builder'!$B$6="",ISNUMBER(SEARCH('Assignment Builder'!$B$6,$C2411))),OR('Assignment Builder'!$B$7="",'Assignment Builder'!$B$7=IFERROR(INDEX('Category Dictionary'!$C$5:$C$135,MATCH($L2411,'Category Dictionary'!$D$5:$D$135,0)),"")),OR('Assignment Builder'!$B$8="",$D2411='Assignment Builder'!$B$8),OR('Assignment Builder'!$B$9="",$F2411='Assignment Builder'!$B$9),OR('Assignment Builder'!$B$10="",$O2411='Assignment Builder'!$B$10),OR('Assignment Builder'!$B$11="",$H2411&gt;='Assignment Builder'!$B$11),OR('Assignment Builder'!$B$12="",N($Q2411)&lt;='Assignment Builder'!$B$12)))</f>
        <v/>
      </c>
      <c r="T2411" s="23" t="n"/>
    </row>
    <row r="2412">
      <c r="A2412" s="23" t="n"/>
      <c r="B2412" s="23" t="n"/>
      <c r="C2412" s="24" t="n"/>
      <c r="D2412" s="15" t="n"/>
      <c r="E2412" s="23" t="n"/>
      <c r="F2412" s="15" t="n"/>
      <c r="G2412" s="23" t="n"/>
      <c r="H2412" s="25" t="n"/>
      <c r="I2412" s="15" t="n"/>
      <c r="J2412" s="26">
        <f>IF($A2412="","",LEN($C2412)-LEN(SUBSTITUTE($C2412,",",""))+1)</f>
        <v/>
      </c>
      <c r="K2412" s="26">
        <f>IF($A2412="","",SUMPRODUCT(--ISNUMBER(SEARCH('Category Dictionary'!$D$5:$D$135&amp;"",$C2412)),--('Category Dictionary'!$D$5:$D$135&lt;&gt;"")))</f>
        <v/>
      </c>
      <c r="L2412" s="27">
        <f>IF($A2412="","",TRIM(IF(ISERROR(FIND(",",$C2412)),$C2412,LEFT($C2412,FIND(",",$C2412)-1))))</f>
        <v/>
      </c>
      <c r="M2412" s="28">
        <f>IF($H2412="","",DATE(YEAR($H2412),MONTH($H2412),1))</f>
        <v/>
      </c>
      <c r="N2412" s="26">
        <f>IF($H2412="","",TODAY()-$H2412)</f>
        <v/>
      </c>
      <c r="O2412" s="15" t="n"/>
      <c r="P2412" s="15" t="n"/>
      <c r="Q2412" s="15" t="n"/>
      <c r="R2412" s="25" t="n"/>
      <c r="S2412" s="26">
        <f>IF($A2412="","",AND(OR('Assignment Builder'!$B$5="",$B2412='Assignment Builder'!$B$5),OR('Assignment Builder'!$B$6="",ISNUMBER(SEARCH('Assignment Builder'!$B$6,$C2412))),OR('Assignment Builder'!$B$7="",'Assignment Builder'!$B$7=IFERROR(INDEX('Category Dictionary'!$C$5:$C$135,MATCH($L2412,'Category Dictionary'!$D$5:$D$135,0)),"")),OR('Assignment Builder'!$B$8="",$D2412='Assignment Builder'!$B$8),OR('Assignment Builder'!$B$9="",$F2412='Assignment Builder'!$B$9),OR('Assignment Builder'!$B$10="",$O2412='Assignment Builder'!$B$10),OR('Assignment Builder'!$B$11="",$H2412&gt;='Assignment Builder'!$B$11),OR('Assignment Builder'!$B$12="",N($Q2412)&lt;='Assignment Builder'!$B$12)))</f>
        <v/>
      </c>
      <c r="T2412" s="23" t="n"/>
    </row>
    <row r="2413">
      <c r="A2413" s="23" t="n"/>
      <c r="B2413" s="23" t="n"/>
      <c r="C2413" s="24" t="n"/>
      <c r="D2413" s="15" t="n"/>
      <c r="E2413" s="23" t="n"/>
      <c r="F2413" s="15" t="n"/>
      <c r="G2413" s="23" t="n"/>
      <c r="H2413" s="25" t="n"/>
      <c r="I2413" s="15" t="n"/>
      <c r="J2413" s="26">
        <f>IF($A2413="","",LEN($C2413)-LEN(SUBSTITUTE($C2413,",",""))+1)</f>
        <v/>
      </c>
      <c r="K2413" s="26">
        <f>IF($A2413="","",SUMPRODUCT(--ISNUMBER(SEARCH('Category Dictionary'!$D$5:$D$135&amp;"",$C2413)),--('Category Dictionary'!$D$5:$D$135&lt;&gt;"")))</f>
        <v/>
      </c>
      <c r="L2413" s="27">
        <f>IF($A2413="","",TRIM(IF(ISERROR(FIND(",",$C2413)),$C2413,LEFT($C2413,FIND(",",$C2413)-1))))</f>
        <v/>
      </c>
      <c r="M2413" s="28">
        <f>IF($H2413="","",DATE(YEAR($H2413),MONTH($H2413),1))</f>
        <v/>
      </c>
      <c r="N2413" s="26">
        <f>IF($H2413="","",TODAY()-$H2413)</f>
        <v/>
      </c>
      <c r="O2413" s="15" t="n"/>
      <c r="P2413" s="15" t="n"/>
      <c r="Q2413" s="15" t="n"/>
      <c r="R2413" s="25" t="n"/>
      <c r="S2413" s="26">
        <f>IF($A2413="","",AND(OR('Assignment Builder'!$B$5="",$B2413='Assignment Builder'!$B$5),OR('Assignment Builder'!$B$6="",ISNUMBER(SEARCH('Assignment Builder'!$B$6,$C2413))),OR('Assignment Builder'!$B$7="",'Assignment Builder'!$B$7=IFERROR(INDEX('Category Dictionary'!$C$5:$C$135,MATCH($L2413,'Category Dictionary'!$D$5:$D$135,0)),"")),OR('Assignment Builder'!$B$8="",$D2413='Assignment Builder'!$B$8),OR('Assignment Builder'!$B$9="",$F2413='Assignment Builder'!$B$9),OR('Assignment Builder'!$B$10="",$O2413='Assignment Builder'!$B$10),OR('Assignment Builder'!$B$11="",$H2413&gt;='Assignment Builder'!$B$11),OR('Assignment Builder'!$B$12="",N($Q2413)&lt;='Assignment Builder'!$B$12)))</f>
        <v/>
      </c>
      <c r="T2413" s="23" t="n"/>
    </row>
    <row r="2414">
      <c r="A2414" s="23" t="n"/>
      <c r="B2414" s="23" t="n"/>
      <c r="C2414" s="24" t="n"/>
      <c r="D2414" s="15" t="n"/>
      <c r="E2414" s="23" t="n"/>
      <c r="F2414" s="15" t="n"/>
      <c r="G2414" s="23" t="n"/>
      <c r="H2414" s="25" t="n"/>
      <c r="I2414" s="15" t="n"/>
      <c r="J2414" s="26">
        <f>IF($A2414="","",LEN($C2414)-LEN(SUBSTITUTE($C2414,",",""))+1)</f>
        <v/>
      </c>
      <c r="K2414" s="26">
        <f>IF($A2414="","",SUMPRODUCT(--ISNUMBER(SEARCH('Category Dictionary'!$D$5:$D$135&amp;"",$C2414)),--('Category Dictionary'!$D$5:$D$135&lt;&gt;"")))</f>
        <v/>
      </c>
      <c r="L2414" s="27">
        <f>IF($A2414="","",TRIM(IF(ISERROR(FIND(",",$C2414)),$C2414,LEFT($C2414,FIND(",",$C2414)-1))))</f>
        <v/>
      </c>
      <c r="M2414" s="28">
        <f>IF($H2414="","",DATE(YEAR($H2414),MONTH($H2414),1))</f>
        <v/>
      </c>
      <c r="N2414" s="26">
        <f>IF($H2414="","",TODAY()-$H2414)</f>
        <v/>
      </c>
      <c r="O2414" s="15" t="n"/>
      <c r="P2414" s="15" t="n"/>
      <c r="Q2414" s="15" t="n"/>
      <c r="R2414" s="25" t="n"/>
      <c r="S2414" s="26">
        <f>IF($A2414="","",AND(OR('Assignment Builder'!$B$5="",$B2414='Assignment Builder'!$B$5),OR('Assignment Builder'!$B$6="",ISNUMBER(SEARCH('Assignment Builder'!$B$6,$C2414))),OR('Assignment Builder'!$B$7="",'Assignment Builder'!$B$7=IFERROR(INDEX('Category Dictionary'!$C$5:$C$135,MATCH($L2414,'Category Dictionary'!$D$5:$D$135,0)),"")),OR('Assignment Builder'!$B$8="",$D2414='Assignment Builder'!$B$8),OR('Assignment Builder'!$B$9="",$F2414='Assignment Builder'!$B$9),OR('Assignment Builder'!$B$10="",$O2414='Assignment Builder'!$B$10),OR('Assignment Builder'!$B$11="",$H2414&gt;='Assignment Builder'!$B$11),OR('Assignment Builder'!$B$12="",N($Q2414)&lt;='Assignment Builder'!$B$12)))</f>
        <v/>
      </c>
      <c r="T2414" s="23" t="n"/>
    </row>
    <row r="2415">
      <c r="A2415" s="23" t="n"/>
      <c r="B2415" s="23" t="n"/>
      <c r="C2415" s="24" t="n"/>
      <c r="D2415" s="15" t="n"/>
      <c r="E2415" s="23" t="n"/>
      <c r="F2415" s="15" t="n"/>
      <c r="G2415" s="23" t="n"/>
      <c r="H2415" s="25" t="n"/>
      <c r="I2415" s="15" t="n"/>
      <c r="J2415" s="26">
        <f>IF($A2415="","",LEN($C2415)-LEN(SUBSTITUTE($C2415,",",""))+1)</f>
        <v/>
      </c>
      <c r="K2415" s="26">
        <f>IF($A2415="","",SUMPRODUCT(--ISNUMBER(SEARCH('Category Dictionary'!$D$5:$D$135&amp;"",$C2415)),--('Category Dictionary'!$D$5:$D$135&lt;&gt;"")))</f>
        <v/>
      </c>
      <c r="L2415" s="27">
        <f>IF($A2415="","",TRIM(IF(ISERROR(FIND(",",$C2415)),$C2415,LEFT($C2415,FIND(",",$C2415)-1))))</f>
        <v/>
      </c>
      <c r="M2415" s="28">
        <f>IF($H2415="","",DATE(YEAR($H2415),MONTH($H2415),1))</f>
        <v/>
      </c>
      <c r="N2415" s="26">
        <f>IF($H2415="","",TODAY()-$H2415)</f>
        <v/>
      </c>
      <c r="O2415" s="15" t="n"/>
      <c r="P2415" s="15" t="n"/>
      <c r="Q2415" s="15" t="n"/>
      <c r="R2415" s="25" t="n"/>
      <c r="S2415" s="26">
        <f>IF($A2415="","",AND(OR('Assignment Builder'!$B$5="",$B2415='Assignment Builder'!$B$5),OR('Assignment Builder'!$B$6="",ISNUMBER(SEARCH('Assignment Builder'!$B$6,$C2415))),OR('Assignment Builder'!$B$7="",'Assignment Builder'!$B$7=IFERROR(INDEX('Category Dictionary'!$C$5:$C$135,MATCH($L2415,'Category Dictionary'!$D$5:$D$135,0)),"")),OR('Assignment Builder'!$B$8="",$D2415='Assignment Builder'!$B$8),OR('Assignment Builder'!$B$9="",$F2415='Assignment Builder'!$B$9),OR('Assignment Builder'!$B$10="",$O2415='Assignment Builder'!$B$10),OR('Assignment Builder'!$B$11="",$H2415&gt;='Assignment Builder'!$B$11),OR('Assignment Builder'!$B$12="",N($Q2415)&lt;='Assignment Builder'!$B$12)))</f>
        <v/>
      </c>
      <c r="T2415" s="23" t="n"/>
    </row>
    <row r="2416">
      <c r="A2416" s="23" t="n"/>
      <c r="B2416" s="23" t="n"/>
      <c r="C2416" s="24" t="n"/>
      <c r="D2416" s="15" t="n"/>
      <c r="E2416" s="23" t="n"/>
      <c r="F2416" s="15" t="n"/>
      <c r="G2416" s="23" t="n"/>
      <c r="H2416" s="25" t="n"/>
      <c r="I2416" s="15" t="n"/>
      <c r="J2416" s="26">
        <f>IF($A2416="","",LEN($C2416)-LEN(SUBSTITUTE($C2416,",",""))+1)</f>
        <v/>
      </c>
      <c r="K2416" s="26">
        <f>IF($A2416="","",SUMPRODUCT(--ISNUMBER(SEARCH('Category Dictionary'!$D$5:$D$135&amp;"",$C2416)),--('Category Dictionary'!$D$5:$D$135&lt;&gt;"")))</f>
        <v/>
      </c>
      <c r="L2416" s="27">
        <f>IF($A2416="","",TRIM(IF(ISERROR(FIND(",",$C2416)),$C2416,LEFT($C2416,FIND(",",$C2416)-1))))</f>
        <v/>
      </c>
      <c r="M2416" s="28">
        <f>IF($H2416="","",DATE(YEAR($H2416),MONTH($H2416),1))</f>
        <v/>
      </c>
      <c r="N2416" s="26">
        <f>IF($H2416="","",TODAY()-$H2416)</f>
        <v/>
      </c>
      <c r="O2416" s="15" t="n"/>
      <c r="P2416" s="15" t="n"/>
      <c r="Q2416" s="15" t="n"/>
      <c r="R2416" s="25" t="n"/>
      <c r="S2416" s="26">
        <f>IF($A2416="","",AND(OR('Assignment Builder'!$B$5="",$B2416='Assignment Builder'!$B$5),OR('Assignment Builder'!$B$6="",ISNUMBER(SEARCH('Assignment Builder'!$B$6,$C2416))),OR('Assignment Builder'!$B$7="",'Assignment Builder'!$B$7=IFERROR(INDEX('Category Dictionary'!$C$5:$C$135,MATCH($L2416,'Category Dictionary'!$D$5:$D$135,0)),"")),OR('Assignment Builder'!$B$8="",$D2416='Assignment Builder'!$B$8),OR('Assignment Builder'!$B$9="",$F2416='Assignment Builder'!$B$9),OR('Assignment Builder'!$B$10="",$O2416='Assignment Builder'!$B$10),OR('Assignment Builder'!$B$11="",$H2416&gt;='Assignment Builder'!$B$11),OR('Assignment Builder'!$B$12="",N($Q2416)&lt;='Assignment Builder'!$B$12)))</f>
        <v/>
      </c>
      <c r="T2416" s="23" t="n"/>
    </row>
    <row r="2417">
      <c r="A2417" s="23" t="n"/>
      <c r="B2417" s="23" t="n"/>
      <c r="C2417" s="24" t="n"/>
      <c r="D2417" s="15" t="n"/>
      <c r="E2417" s="23" t="n"/>
      <c r="F2417" s="15" t="n"/>
      <c r="G2417" s="23" t="n"/>
      <c r="H2417" s="25" t="n"/>
      <c r="I2417" s="15" t="n"/>
      <c r="J2417" s="26">
        <f>IF($A2417="","",LEN($C2417)-LEN(SUBSTITUTE($C2417,",",""))+1)</f>
        <v/>
      </c>
      <c r="K2417" s="26">
        <f>IF($A2417="","",SUMPRODUCT(--ISNUMBER(SEARCH('Category Dictionary'!$D$5:$D$135&amp;"",$C2417)),--('Category Dictionary'!$D$5:$D$135&lt;&gt;"")))</f>
        <v/>
      </c>
      <c r="L2417" s="27">
        <f>IF($A2417="","",TRIM(IF(ISERROR(FIND(",",$C2417)),$C2417,LEFT($C2417,FIND(",",$C2417)-1))))</f>
        <v/>
      </c>
      <c r="M2417" s="28">
        <f>IF($H2417="","",DATE(YEAR($H2417),MONTH($H2417),1))</f>
        <v/>
      </c>
      <c r="N2417" s="26">
        <f>IF($H2417="","",TODAY()-$H2417)</f>
        <v/>
      </c>
      <c r="O2417" s="15" t="n"/>
      <c r="P2417" s="15" t="n"/>
      <c r="Q2417" s="15" t="n"/>
      <c r="R2417" s="25" t="n"/>
      <c r="S2417" s="26">
        <f>IF($A2417="","",AND(OR('Assignment Builder'!$B$5="",$B2417='Assignment Builder'!$B$5),OR('Assignment Builder'!$B$6="",ISNUMBER(SEARCH('Assignment Builder'!$B$6,$C2417))),OR('Assignment Builder'!$B$7="",'Assignment Builder'!$B$7=IFERROR(INDEX('Category Dictionary'!$C$5:$C$135,MATCH($L2417,'Category Dictionary'!$D$5:$D$135,0)),"")),OR('Assignment Builder'!$B$8="",$D2417='Assignment Builder'!$B$8),OR('Assignment Builder'!$B$9="",$F2417='Assignment Builder'!$B$9),OR('Assignment Builder'!$B$10="",$O2417='Assignment Builder'!$B$10),OR('Assignment Builder'!$B$11="",$H2417&gt;='Assignment Builder'!$B$11),OR('Assignment Builder'!$B$12="",N($Q2417)&lt;='Assignment Builder'!$B$12)))</f>
        <v/>
      </c>
      <c r="T2417" s="23" t="n"/>
    </row>
    <row r="2418">
      <c r="A2418" s="23" t="n"/>
      <c r="B2418" s="23" t="n"/>
      <c r="C2418" s="24" t="n"/>
      <c r="D2418" s="15" t="n"/>
      <c r="E2418" s="23" t="n"/>
      <c r="F2418" s="15" t="n"/>
      <c r="G2418" s="23" t="n"/>
      <c r="H2418" s="25" t="n"/>
      <c r="I2418" s="15" t="n"/>
      <c r="J2418" s="26">
        <f>IF($A2418="","",LEN($C2418)-LEN(SUBSTITUTE($C2418,",",""))+1)</f>
        <v/>
      </c>
      <c r="K2418" s="26">
        <f>IF($A2418="","",SUMPRODUCT(--ISNUMBER(SEARCH('Category Dictionary'!$D$5:$D$135&amp;"",$C2418)),--('Category Dictionary'!$D$5:$D$135&lt;&gt;"")))</f>
        <v/>
      </c>
      <c r="L2418" s="27">
        <f>IF($A2418="","",TRIM(IF(ISERROR(FIND(",",$C2418)),$C2418,LEFT($C2418,FIND(",",$C2418)-1))))</f>
        <v/>
      </c>
      <c r="M2418" s="28">
        <f>IF($H2418="","",DATE(YEAR($H2418),MONTH($H2418),1))</f>
        <v/>
      </c>
      <c r="N2418" s="26">
        <f>IF($H2418="","",TODAY()-$H2418)</f>
        <v/>
      </c>
      <c r="O2418" s="15" t="n"/>
      <c r="P2418" s="15" t="n"/>
      <c r="Q2418" s="15" t="n"/>
      <c r="R2418" s="25" t="n"/>
      <c r="S2418" s="26">
        <f>IF($A2418="","",AND(OR('Assignment Builder'!$B$5="",$B2418='Assignment Builder'!$B$5),OR('Assignment Builder'!$B$6="",ISNUMBER(SEARCH('Assignment Builder'!$B$6,$C2418))),OR('Assignment Builder'!$B$7="",'Assignment Builder'!$B$7=IFERROR(INDEX('Category Dictionary'!$C$5:$C$135,MATCH($L2418,'Category Dictionary'!$D$5:$D$135,0)),"")),OR('Assignment Builder'!$B$8="",$D2418='Assignment Builder'!$B$8),OR('Assignment Builder'!$B$9="",$F2418='Assignment Builder'!$B$9),OR('Assignment Builder'!$B$10="",$O2418='Assignment Builder'!$B$10),OR('Assignment Builder'!$B$11="",$H2418&gt;='Assignment Builder'!$B$11),OR('Assignment Builder'!$B$12="",N($Q2418)&lt;='Assignment Builder'!$B$12)))</f>
        <v/>
      </c>
      <c r="T2418" s="23" t="n"/>
    </row>
    <row r="2419">
      <c r="A2419" s="23" t="n"/>
      <c r="B2419" s="23" t="n"/>
      <c r="C2419" s="24" t="n"/>
      <c r="D2419" s="15" t="n"/>
      <c r="E2419" s="23" t="n"/>
      <c r="F2419" s="15" t="n"/>
      <c r="G2419" s="23" t="n"/>
      <c r="H2419" s="25" t="n"/>
      <c r="I2419" s="15" t="n"/>
      <c r="J2419" s="26">
        <f>IF($A2419="","",LEN($C2419)-LEN(SUBSTITUTE($C2419,",",""))+1)</f>
        <v/>
      </c>
      <c r="K2419" s="26">
        <f>IF($A2419="","",SUMPRODUCT(--ISNUMBER(SEARCH('Category Dictionary'!$D$5:$D$135&amp;"",$C2419)),--('Category Dictionary'!$D$5:$D$135&lt;&gt;"")))</f>
        <v/>
      </c>
      <c r="L2419" s="27">
        <f>IF($A2419="","",TRIM(IF(ISERROR(FIND(",",$C2419)),$C2419,LEFT($C2419,FIND(",",$C2419)-1))))</f>
        <v/>
      </c>
      <c r="M2419" s="28">
        <f>IF($H2419="","",DATE(YEAR($H2419),MONTH($H2419),1))</f>
        <v/>
      </c>
      <c r="N2419" s="26">
        <f>IF($H2419="","",TODAY()-$H2419)</f>
        <v/>
      </c>
      <c r="O2419" s="15" t="n"/>
      <c r="P2419" s="15" t="n"/>
      <c r="Q2419" s="15" t="n"/>
      <c r="R2419" s="25" t="n"/>
      <c r="S2419" s="26">
        <f>IF($A2419="","",AND(OR('Assignment Builder'!$B$5="",$B2419='Assignment Builder'!$B$5),OR('Assignment Builder'!$B$6="",ISNUMBER(SEARCH('Assignment Builder'!$B$6,$C2419))),OR('Assignment Builder'!$B$7="",'Assignment Builder'!$B$7=IFERROR(INDEX('Category Dictionary'!$C$5:$C$135,MATCH($L2419,'Category Dictionary'!$D$5:$D$135,0)),"")),OR('Assignment Builder'!$B$8="",$D2419='Assignment Builder'!$B$8),OR('Assignment Builder'!$B$9="",$F2419='Assignment Builder'!$B$9),OR('Assignment Builder'!$B$10="",$O2419='Assignment Builder'!$B$10),OR('Assignment Builder'!$B$11="",$H2419&gt;='Assignment Builder'!$B$11),OR('Assignment Builder'!$B$12="",N($Q2419)&lt;='Assignment Builder'!$B$12)))</f>
        <v/>
      </c>
      <c r="T2419" s="23" t="n"/>
    </row>
    <row r="2420">
      <c r="A2420" s="23" t="n"/>
      <c r="B2420" s="23" t="n"/>
      <c r="C2420" s="24" t="n"/>
      <c r="D2420" s="15" t="n"/>
      <c r="E2420" s="23" t="n"/>
      <c r="F2420" s="15" t="n"/>
      <c r="G2420" s="23" t="n"/>
      <c r="H2420" s="25" t="n"/>
      <c r="I2420" s="15" t="n"/>
      <c r="J2420" s="26">
        <f>IF($A2420="","",LEN($C2420)-LEN(SUBSTITUTE($C2420,",",""))+1)</f>
        <v/>
      </c>
      <c r="K2420" s="26">
        <f>IF($A2420="","",SUMPRODUCT(--ISNUMBER(SEARCH('Category Dictionary'!$D$5:$D$135&amp;"",$C2420)),--('Category Dictionary'!$D$5:$D$135&lt;&gt;"")))</f>
        <v/>
      </c>
      <c r="L2420" s="27">
        <f>IF($A2420="","",TRIM(IF(ISERROR(FIND(",",$C2420)),$C2420,LEFT($C2420,FIND(",",$C2420)-1))))</f>
        <v/>
      </c>
      <c r="M2420" s="28">
        <f>IF($H2420="","",DATE(YEAR($H2420),MONTH($H2420),1))</f>
        <v/>
      </c>
      <c r="N2420" s="26">
        <f>IF($H2420="","",TODAY()-$H2420)</f>
        <v/>
      </c>
      <c r="O2420" s="15" t="n"/>
      <c r="P2420" s="15" t="n"/>
      <c r="Q2420" s="15" t="n"/>
      <c r="R2420" s="25" t="n"/>
      <c r="S2420" s="26">
        <f>IF($A2420="","",AND(OR('Assignment Builder'!$B$5="",$B2420='Assignment Builder'!$B$5),OR('Assignment Builder'!$B$6="",ISNUMBER(SEARCH('Assignment Builder'!$B$6,$C2420))),OR('Assignment Builder'!$B$7="",'Assignment Builder'!$B$7=IFERROR(INDEX('Category Dictionary'!$C$5:$C$135,MATCH($L2420,'Category Dictionary'!$D$5:$D$135,0)),"")),OR('Assignment Builder'!$B$8="",$D2420='Assignment Builder'!$B$8),OR('Assignment Builder'!$B$9="",$F2420='Assignment Builder'!$B$9),OR('Assignment Builder'!$B$10="",$O2420='Assignment Builder'!$B$10),OR('Assignment Builder'!$B$11="",$H2420&gt;='Assignment Builder'!$B$11),OR('Assignment Builder'!$B$12="",N($Q2420)&lt;='Assignment Builder'!$B$12)))</f>
        <v/>
      </c>
      <c r="T2420" s="23" t="n"/>
    </row>
    <row r="2421">
      <c r="A2421" s="23" t="n"/>
      <c r="B2421" s="23" t="n"/>
      <c r="C2421" s="24" t="n"/>
      <c r="D2421" s="15" t="n"/>
      <c r="E2421" s="23" t="n"/>
      <c r="F2421" s="15" t="n"/>
      <c r="G2421" s="23" t="n"/>
      <c r="H2421" s="25" t="n"/>
      <c r="I2421" s="15" t="n"/>
      <c r="J2421" s="26">
        <f>IF($A2421="","",LEN($C2421)-LEN(SUBSTITUTE($C2421,",",""))+1)</f>
        <v/>
      </c>
      <c r="K2421" s="26">
        <f>IF($A2421="","",SUMPRODUCT(--ISNUMBER(SEARCH('Category Dictionary'!$D$5:$D$135&amp;"",$C2421)),--('Category Dictionary'!$D$5:$D$135&lt;&gt;"")))</f>
        <v/>
      </c>
      <c r="L2421" s="27">
        <f>IF($A2421="","",TRIM(IF(ISERROR(FIND(",",$C2421)),$C2421,LEFT($C2421,FIND(",",$C2421)-1))))</f>
        <v/>
      </c>
      <c r="M2421" s="28">
        <f>IF($H2421="","",DATE(YEAR($H2421),MONTH($H2421),1))</f>
        <v/>
      </c>
      <c r="N2421" s="26">
        <f>IF($H2421="","",TODAY()-$H2421)</f>
        <v/>
      </c>
      <c r="O2421" s="15" t="n"/>
      <c r="P2421" s="15" t="n"/>
      <c r="Q2421" s="15" t="n"/>
      <c r="R2421" s="25" t="n"/>
      <c r="S2421" s="26">
        <f>IF($A2421="","",AND(OR('Assignment Builder'!$B$5="",$B2421='Assignment Builder'!$B$5),OR('Assignment Builder'!$B$6="",ISNUMBER(SEARCH('Assignment Builder'!$B$6,$C2421))),OR('Assignment Builder'!$B$7="",'Assignment Builder'!$B$7=IFERROR(INDEX('Category Dictionary'!$C$5:$C$135,MATCH($L2421,'Category Dictionary'!$D$5:$D$135,0)),"")),OR('Assignment Builder'!$B$8="",$D2421='Assignment Builder'!$B$8),OR('Assignment Builder'!$B$9="",$F2421='Assignment Builder'!$B$9),OR('Assignment Builder'!$B$10="",$O2421='Assignment Builder'!$B$10),OR('Assignment Builder'!$B$11="",$H2421&gt;='Assignment Builder'!$B$11),OR('Assignment Builder'!$B$12="",N($Q2421)&lt;='Assignment Builder'!$B$12)))</f>
        <v/>
      </c>
      <c r="T2421" s="23" t="n"/>
    </row>
    <row r="2422">
      <c r="A2422" s="23" t="n"/>
      <c r="B2422" s="23" t="n"/>
      <c r="C2422" s="24" t="n"/>
      <c r="D2422" s="15" t="n"/>
      <c r="E2422" s="23" t="n"/>
      <c r="F2422" s="15" t="n"/>
      <c r="G2422" s="23" t="n"/>
      <c r="H2422" s="25" t="n"/>
      <c r="I2422" s="15" t="n"/>
      <c r="J2422" s="26">
        <f>IF($A2422="","",LEN($C2422)-LEN(SUBSTITUTE($C2422,",",""))+1)</f>
        <v/>
      </c>
      <c r="K2422" s="26">
        <f>IF($A2422="","",SUMPRODUCT(--ISNUMBER(SEARCH('Category Dictionary'!$D$5:$D$135&amp;"",$C2422)),--('Category Dictionary'!$D$5:$D$135&lt;&gt;"")))</f>
        <v/>
      </c>
      <c r="L2422" s="27">
        <f>IF($A2422="","",TRIM(IF(ISERROR(FIND(",",$C2422)),$C2422,LEFT($C2422,FIND(",",$C2422)-1))))</f>
        <v/>
      </c>
      <c r="M2422" s="28">
        <f>IF($H2422="","",DATE(YEAR($H2422),MONTH($H2422),1))</f>
        <v/>
      </c>
      <c r="N2422" s="26">
        <f>IF($H2422="","",TODAY()-$H2422)</f>
        <v/>
      </c>
      <c r="O2422" s="15" t="n"/>
      <c r="P2422" s="15" t="n"/>
      <c r="Q2422" s="15" t="n"/>
      <c r="R2422" s="25" t="n"/>
      <c r="S2422" s="26">
        <f>IF($A2422="","",AND(OR('Assignment Builder'!$B$5="",$B2422='Assignment Builder'!$B$5),OR('Assignment Builder'!$B$6="",ISNUMBER(SEARCH('Assignment Builder'!$B$6,$C2422))),OR('Assignment Builder'!$B$7="",'Assignment Builder'!$B$7=IFERROR(INDEX('Category Dictionary'!$C$5:$C$135,MATCH($L2422,'Category Dictionary'!$D$5:$D$135,0)),"")),OR('Assignment Builder'!$B$8="",$D2422='Assignment Builder'!$B$8),OR('Assignment Builder'!$B$9="",$F2422='Assignment Builder'!$B$9),OR('Assignment Builder'!$B$10="",$O2422='Assignment Builder'!$B$10),OR('Assignment Builder'!$B$11="",$H2422&gt;='Assignment Builder'!$B$11),OR('Assignment Builder'!$B$12="",N($Q2422)&lt;='Assignment Builder'!$B$12)))</f>
        <v/>
      </c>
      <c r="T2422" s="23" t="n"/>
    </row>
    <row r="2423">
      <c r="A2423" s="23" t="n"/>
      <c r="B2423" s="23" t="n"/>
      <c r="C2423" s="24" t="n"/>
      <c r="D2423" s="15" t="n"/>
      <c r="E2423" s="23" t="n"/>
      <c r="F2423" s="15" t="n"/>
      <c r="G2423" s="23" t="n"/>
      <c r="H2423" s="25" t="n"/>
      <c r="I2423" s="15" t="n"/>
      <c r="J2423" s="26">
        <f>IF($A2423="","",LEN($C2423)-LEN(SUBSTITUTE($C2423,",",""))+1)</f>
        <v/>
      </c>
      <c r="K2423" s="26">
        <f>IF($A2423="","",SUMPRODUCT(--ISNUMBER(SEARCH('Category Dictionary'!$D$5:$D$135&amp;"",$C2423)),--('Category Dictionary'!$D$5:$D$135&lt;&gt;"")))</f>
        <v/>
      </c>
      <c r="L2423" s="27">
        <f>IF($A2423="","",TRIM(IF(ISERROR(FIND(",",$C2423)),$C2423,LEFT($C2423,FIND(",",$C2423)-1))))</f>
        <v/>
      </c>
      <c r="M2423" s="28">
        <f>IF($H2423="","",DATE(YEAR($H2423),MONTH($H2423),1))</f>
        <v/>
      </c>
      <c r="N2423" s="26">
        <f>IF($H2423="","",TODAY()-$H2423)</f>
        <v/>
      </c>
      <c r="O2423" s="15" t="n"/>
      <c r="P2423" s="15" t="n"/>
      <c r="Q2423" s="15" t="n"/>
      <c r="R2423" s="25" t="n"/>
      <c r="S2423" s="26">
        <f>IF($A2423="","",AND(OR('Assignment Builder'!$B$5="",$B2423='Assignment Builder'!$B$5),OR('Assignment Builder'!$B$6="",ISNUMBER(SEARCH('Assignment Builder'!$B$6,$C2423))),OR('Assignment Builder'!$B$7="",'Assignment Builder'!$B$7=IFERROR(INDEX('Category Dictionary'!$C$5:$C$135,MATCH($L2423,'Category Dictionary'!$D$5:$D$135,0)),"")),OR('Assignment Builder'!$B$8="",$D2423='Assignment Builder'!$B$8),OR('Assignment Builder'!$B$9="",$F2423='Assignment Builder'!$B$9),OR('Assignment Builder'!$B$10="",$O2423='Assignment Builder'!$B$10),OR('Assignment Builder'!$B$11="",$H2423&gt;='Assignment Builder'!$B$11),OR('Assignment Builder'!$B$12="",N($Q2423)&lt;='Assignment Builder'!$B$12)))</f>
        <v/>
      </c>
      <c r="T2423" s="23" t="n"/>
    </row>
    <row r="2424">
      <c r="A2424" s="23" t="n"/>
      <c r="B2424" s="23" t="n"/>
      <c r="C2424" s="24" t="n"/>
      <c r="D2424" s="15" t="n"/>
      <c r="E2424" s="23" t="n"/>
      <c r="F2424" s="15" t="n"/>
      <c r="G2424" s="23" t="n"/>
      <c r="H2424" s="25" t="n"/>
      <c r="I2424" s="15" t="n"/>
      <c r="J2424" s="26">
        <f>IF($A2424="","",LEN($C2424)-LEN(SUBSTITUTE($C2424,",",""))+1)</f>
        <v/>
      </c>
      <c r="K2424" s="26">
        <f>IF($A2424="","",SUMPRODUCT(--ISNUMBER(SEARCH('Category Dictionary'!$D$5:$D$135&amp;"",$C2424)),--('Category Dictionary'!$D$5:$D$135&lt;&gt;"")))</f>
        <v/>
      </c>
      <c r="L2424" s="27">
        <f>IF($A2424="","",TRIM(IF(ISERROR(FIND(",",$C2424)),$C2424,LEFT($C2424,FIND(",",$C2424)-1))))</f>
        <v/>
      </c>
      <c r="M2424" s="28">
        <f>IF($H2424="","",DATE(YEAR($H2424),MONTH($H2424),1))</f>
        <v/>
      </c>
      <c r="N2424" s="26">
        <f>IF($H2424="","",TODAY()-$H2424)</f>
        <v/>
      </c>
      <c r="O2424" s="15" t="n"/>
      <c r="P2424" s="15" t="n"/>
      <c r="Q2424" s="15" t="n"/>
      <c r="R2424" s="25" t="n"/>
      <c r="S2424" s="26">
        <f>IF($A2424="","",AND(OR('Assignment Builder'!$B$5="",$B2424='Assignment Builder'!$B$5),OR('Assignment Builder'!$B$6="",ISNUMBER(SEARCH('Assignment Builder'!$B$6,$C2424))),OR('Assignment Builder'!$B$7="",'Assignment Builder'!$B$7=IFERROR(INDEX('Category Dictionary'!$C$5:$C$135,MATCH($L2424,'Category Dictionary'!$D$5:$D$135,0)),"")),OR('Assignment Builder'!$B$8="",$D2424='Assignment Builder'!$B$8),OR('Assignment Builder'!$B$9="",$F2424='Assignment Builder'!$B$9),OR('Assignment Builder'!$B$10="",$O2424='Assignment Builder'!$B$10),OR('Assignment Builder'!$B$11="",$H2424&gt;='Assignment Builder'!$B$11),OR('Assignment Builder'!$B$12="",N($Q2424)&lt;='Assignment Builder'!$B$12)))</f>
        <v/>
      </c>
      <c r="T2424" s="23" t="n"/>
    </row>
    <row r="2425">
      <c r="A2425" s="23" t="n"/>
      <c r="B2425" s="23" t="n"/>
      <c r="C2425" s="24" t="n"/>
      <c r="D2425" s="15" t="n"/>
      <c r="E2425" s="23" t="n"/>
      <c r="F2425" s="15" t="n"/>
      <c r="G2425" s="23" t="n"/>
      <c r="H2425" s="25" t="n"/>
      <c r="I2425" s="15" t="n"/>
      <c r="J2425" s="26">
        <f>IF($A2425="","",LEN($C2425)-LEN(SUBSTITUTE($C2425,",",""))+1)</f>
        <v/>
      </c>
      <c r="K2425" s="26">
        <f>IF($A2425="","",SUMPRODUCT(--ISNUMBER(SEARCH('Category Dictionary'!$D$5:$D$135&amp;"",$C2425)),--('Category Dictionary'!$D$5:$D$135&lt;&gt;"")))</f>
        <v/>
      </c>
      <c r="L2425" s="27">
        <f>IF($A2425="","",TRIM(IF(ISERROR(FIND(",",$C2425)),$C2425,LEFT($C2425,FIND(",",$C2425)-1))))</f>
        <v/>
      </c>
      <c r="M2425" s="28">
        <f>IF($H2425="","",DATE(YEAR($H2425),MONTH($H2425),1))</f>
        <v/>
      </c>
      <c r="N2425" s="26">
        <f>IF($H2425="","",TODAY()-$H2425)</f>
        <v/>
      </c>
      <c r="O2425" s="15" t="n"/>
      <c r="P2425" s="15" t="n"/>
      <c r="Q2425" s="15" t="n"/>
      <c r="R2425" s="25" t="n"/>
      <c r="S2425" s="26">
        <f>IF($A2425="","",AND(OR('Assignment Builder'!$B$5="",$B2425='Assignment Builder'!$B$5),OR('Assignment Builder'!$B$6="",ISNUMBER(SEARCH('Assignment Builder'!$B$6,$C2425))),OR('Assignment Builder'!$B$7="",'Assignment Builder'!$B$7=IFERROR(INDEX('Category Dictionary'!$C$5:$C$135,MATCH($L2425,'Category Dictionary'!$D$5:$D$135,0)),"")),OR('Assignment Builder'!$B$8="",$D2425='Assignment Builder'!$B$8),OR('Assignment Builder'!$B$9="",$F2425='Assignment Builder'!$B$9),OR('Assignment Builder'!$B$10="",$O2425='Assignment Builder'!$B$10),OR('Assignment Builder'!$B$11="",$H2425&gt;='Assignment Builder'!$B$11),OR('Assignment Builder'!$B$12="",N($Q2425)&lt;='Assignment Builder'!$B$12)))</f>
        <v/>
      </c>
      <c r="T2425" s="23" t="n"/>
    </row>
    <row r="2426">
      <c r="A2426" s="23" t="n"/>
      <c r="B2426" s="23" t="n"/>
      <c r="C2426" s="24" t="n"/>
      <c r="D2426" s="15" t="n"/>
      <c r="E2426" s="23" t="n"/>
      <c r="F2426" s="15" t="n"/>
      <c r="G2426" s="23" t="n"/>
      <c r="H2426" s="25" t="n"/>
      <c r="I2426" s="15" t="n"/>
      <c r="J2426" s="26">
        <f>IF($A2426="","",LEN($C2426)-LEN(SUBSTITUTE($C2426,",",""))+1)</f>
        <v/>
      </c>
      <c r="K2426" s="26">
        <f>IF($A2426="","",SUMPRODUCT(--ISNUMBER(SEARCH('Category Dictionary'!$D$5:$D$135&amp;"",$C2426)),--('Category Dictionary'!$D$5:$D$135&lt;&gt;"")))</f>
        <v/>
      </c>
      <c r="L2426" s="27">
        <f>IF($A2426="","",TRIM(IF(ISERROR(FIND(",",$C2426)),$C2426,LEFT($C2426,FIND(",",$C2426)-1))))</f>
        <v/>
      </c>
      <c r="M2426" s="28">
        <f>IF($H2426="","",DATE(YEAR($H2426),MONTH($H2426),1))</f>
        <v/>
      </c>
      <c r="N2426" s="26">
        <f>IF($H2426="","",TODAY()-$H2426)</f>
        <v/>
      </c>
      <c r="O2426" s="15" t="n"/>
      <c r="P2426" s="15" t="n"/>
      <c r="Q2426" s="15" t="n"/>
      <c r="R2426" s="25" t="n"/>
      <c r="S2426" s="26">
        <f>IF($A2426="","",AND(OR('Assignment Builder'!$B$5="",$B2426='Assignment Builder'!$B$5),OR('Assignment Builder'!$B$6="",ISNUMBER(SEARCH('Assignment Builder'!$B$6,$C2426))),OR('Assignment Builder'!$B$7="",'Assignment Builder'!$B$7=IFERROR(INDEX('Category Dictionary'!$C$5:$C$135,MATCH($L2426,'Category Dictionary'!$D$5:$D$135,0)),"")),OR('Assignment Builder'!$B$8="",$D2426='Assignment Builder'!$B$8),OR('Assignment Builder'!$B$9="",$F2426='Assignment Builder'!$B$9),OR('Assignment Builder'!$B$10="",$O2426='Assignment Builder'!$B$10),OR('Assignment Builder'!$B$11="",$H2426&gt;='Assignment Builder'!$B$11),OR('Assignment Builder'!$B$12="",N($Q2426)&lt;='Assignment Builder'!$B$12)))</f>
        <v/>
      </c>
      <c r="T2426" s="23" t="n"/>
    </row>
    <row r="2427">
      <c r="A2427" s="23" t="n"/>
      <c r="B2427" s="23" t="n"/>
      <c r="C2427" s="24" t="n"/>
      <c r="D2427" s="15" t="n"/>
      <c r="E2427" s="23" t="n"/>
      <c r="F2427" s="15" t="n"/>
      <c r="G2427" s="23" t="n"/>
      <c r="H2427" s="25" t="n"/>
      <c r="I2427" s="15" t="n"/>
      <c r="J2427" s="26">
        <f>IF($A2427="","",LEN($C2427)-LEN(SUBSTITUTE($C2427,",",""))+1)</f>
        <v/>
      </c>
      <c r="K2427" s="26">
        <f>IF($A2427="","",SUMPRODUCT(--ISNUMBER(SEARCH('Category Dictionary'!$D$5:$D$135&amp;"",$C2427)),--('Category Dictionary'!$D$5:$D$135&lt;&gt;"")))</f>
        <v/>
      </c>
      <c r="L2427" s="27">
        <f>IF($A2427="","",TRIM(IF(ISERROR(FIND(",",$C2427)),$C2427,LEFT($C2427,FIND(",",$C2427)-1))))</f>
        <v/>
      </c>
      <c r="M2427" s="28">
        <f>IF($H2427="","",DATE(YEAR($H2427),MONTH($H2427),1))</f>
        <v/>
      </c>
      <c r="N2427" s="26">
        <f>IF($H2427="","",TODAY()-$H2427)</f>
        <v/>
      </c>
      <c r="O2427" s="15" t="n"/>
      <c r="P2427" s="15" t="n"/>
      <c r="Q2427" s="15" t="n"/>
      <c r="R2427" s="25" t="n"/>
      <c r="S2427" s="26">
        <f>IF($A2427="","",AND(OR('Assignment Builder'!$B$5="",$B2427='Assignment Builder'!$B$5),OR('Assignment Builder'!$B$6="",ISNUMBER(SEARCH('Assignment Builder'!$B$6,$C2427))),OR('Assignment Builder'!$B$7="",'Assignment Builder'!$B$7=IFERROR(INDEX('Category Dictionary'!$C$5:$C$135,MATCH($L2427,'Category Dictionary'!$D$5:$D$135,0)),"")),OR('Assignment Builder'!$B$8="",$D2427='Assignment Builder'!$B$8),OR('Assignment Builder'!$B$9="",$F2427='Assignment Builder'!$B$9),OR('Assignment Builder'!$B$10="",$O2427='Assignment Builder'!$B$10),OR('Assignment Builder'!$B$11="",$H2427&gt;='Assignment Builder'!$B$11),OR('Assignment Builder'!$B$12="",N($Q2427)&lt;='Assignment Builder'!$B$12)))</f>
        <v/>
      </c>
      <c r="T2427" s="23" t="n"/>
    </row>
    <row r="2428">
      <c r="A2428" s="23" t="n"/>
      <c r="B2428" s="23" t="n"/>
      <c r="C2428" s="24" t="n"/>
      <c r="D2428" s="15" t="n"/>
      <c r="E2428" s="23" t="n"/>
      <c r="F2428" s="15" t="n"/>
      <c r="G2428" s="23" t="n"/>
      <c r="H2428" s="25" t="n"/>
      <c r="I2428" s="15" t="n"/>
      <c r="J2428" s="26">
        <f>IF($A2428="","",LEN($C2428)-LEN(SUBSTITUTE($C2428,",",""))+1)</f>
        <v/>
      </c>
      <c r="K2428" s="26">
        <f>IF($A2428="","",SUMPRODUCT(--ISNUMBER(SEARCH('Category Dictionary'!$D$5:$D$135&amp;"",$C2428)),--('Category Dictionary'!$D$5:$D$135&lt;&gt;"")))</f>
        <v/>
      </c>
      <c r="L2428" s="27">
        <f>IF($A2428="","",TRIM(IF(ISERROR(FIND(",",$C2428)),$C2428,LEFT($C2428,FIND(",",$C2428)-1))))</f>
        <v/>
      </c>
      <c r="M2428" s="28">
        <f>IF($H2428="","",DATE(YEAR($H2428),MONTH($H2428),1))</f>
        <v/>
      </c>
      <c r="N2428" s="26">
        <f>IF($H2428="","",TODAY()-$H2428)</f>
        <v/>
      </c>
      <c r="O2428" s="15" t="n"/>
      <c r="P2428" s="15" t="n"/>
      <c r="Q2428" s="15" t="n"/>
      <c r="R2428" s="25" t="n"/>
      <c r="S2428" s="26">
        <f>IF($A2428="","",AND(OR('Assignment Builder'!$B$5="",$B2428='Assignment Builder'!$B$5),OR('Assignment Builder'!$B$6="",ISNUMBER(SEARCH('Assignment Builder'!$B$6,$C2428))),OR('Assignment Builder'!$B$7="",'Assignment Builder'!$B$7=IFERROR(INDEX('Category Dictionary'!$C$5:$C$135,MATCH($L2428,'Category Dictionary'!$D$5:$D$135,0)),"")),OR('Assignment Builder'!$B$8="",$D2428='Assignment Builder'!$B$8),OR('Assignment Builder'!$B$9="",$F2428='Assignment Builder'!$B$9),OR('Assignment Builder'!$B$10="",$O2428='Assignment Builder'!$B$10),OR('Assignment Builder'!$B$11="",$H2428&gt;='Assignment Builder'!$B$11),OR('Assignment Builder'!$B$12="",N($Q2428)&lt;='Assignment Builder'!$B$12)))</f>
        <v/>
      </c>
      <c r="T2428" s="23" t="n"/>
    </row>
    <row r="2429">
      <c r="A2429" s="23" t="n"/>
      <c r="B2429" s="23" t="n"/>
      <c r="C2429" s="24" t="n"/>
      <c r="D2429" s="15" t="n"/>
      <c r="E2429" s="23" t="n"/>
      <c r="F2429" s="15" t="n"/>
      <c r="G2429" s="23" t="n"/>
      <c r="H2429" s="25" t="n"/>
      <c r="I2429" s="15" t="n"/>
      <c r="J2429" s="26">
        <f>IF($A2429="","",LEN($C2429)-LEN(SUBSTITUTE($C2429,",",""))+1)</f>
        <v/>
      </c>
      <c r="K2429" s="26">
        <f>IF($A2429="","",SUMPRODUCT(--ISNUMBER(SEARCH('Category Dictionary'!$D$5:$D$135&amp;"",$C2429)),--('Category Dictionary'!$D$5:$D$135&lt;&gt;"")))</f>
        <v/>
      </c>
      <c r="L2429" s="27">
        <f>IF($A2429="","",TRIM(IF(ISERROR(FIND(",",$C2429)),$C2429,LEFT($C2429,FIND(",",$C2429)-1))))</f>
        <v/>
      </c>
      <c r="M2429" s="28">
        <f>IF($H2429="","",DATE(YEAR($H2429),MONTH($H2429),1))</f>
        <v/>
      </c>
      <c r="N2429" s="26">
        <f>IF($H2429="","",TODAY()-$H2429)</f>
        <v/>
      </c>
      <c r="O2429" s="15" t="n"/>
      <c r="P2429" s="15" t="n"/>
      <c r="Q2429" s="15" t="n"/>
      <c r="R2429" s="25" t="n"/>
      <c r="S2429" s="26">
        <f>IF($A2429="","",AND(OR('Assignment Builder'!$B$5="",$B2429='Assignment Builder'!$B$5),OR('Assignment Builder'!$B$6="",ISNUMBER(SEARCH('Assignment Builder'!$B$6,$C2429))),OR('Assignment Builder'!$B$7="",'Assignment Builder'!$B$7=IFERROR(INDEX('Category Dictionary'!$C$5:$C$135,MATCH($L2429,'Category Dictionary'!$D$5:$D$135,0)),"")),OR('Assignment Builder'!$B$8="",$D2429='Assignment Builder'!$B$8),OR('Assignment Builder'!$B$9="",$F2429='Assignment Builder'!$B$9),OR('Assignment Builder'!$B$10="",$O2429='Assignment Builder'!$B$10),OR('Assignment Builder'!$B$11="",$H2429&gt;='Assignment Builder'!$B$11),OR('Assignment Builder'!$B$12="",N($Q2429)&lt;='Assignment Builder'!$B$12)))</f>
        <v/>
      </c>
      <c r="T2429" s="23" t="n"/>
    </row>
    <row r="2430">
      <c r="A2430" s="23" t="n"/>
      <c r="B2430" s="23" t="n"/>
      <c r="C2430" s="24" t="n"/>
      <c r="D2430" s="15" t="n"/>
      <c r="E2430" s="23" t="n"/>
      <c r="F2430" s="15" t="n"/>
      <c r="G2430" s="23" t="n"/>
      <c r="H2430" s="25" t="n"/>
      <c r="I2430" s="15" t="n"/>
      <c r="J2430" s="26">
        <f>IF($A2430="","",LEN($C2430)-LEN(SUBSTITUTE($C2430,",",""))+1)</f>
        <v/>
      </c>
      <c r="K2430" s="26">
        <f>IF($A2430="","",SUMPRODUCT(--ISNUMBER(SEARCH('Category Dictionary'!$D$5:$D$135&amp;"",$C2430)),--('Category Dictionary'!$D$5:$D$135&lt;&gt;"")))</f>
        <v/>
      </c>
      <c r="L2430" s="27">
        <f>IF($A2430="","",TRIM(IF(ISERROR(FIND(",",$C2430)),$C2430,LEFT($C2430,FIND(",",$C2430)-1))))</f>
        <v/>
      </c>
      <c r="M2430" s="28">
        <f>IF($H2430="","",DATE(YEAR($H2430),MONTH($H2430),1))</f>
        <v/>
      </c>
      <c r="N2430" s="26">
        <f>IF($H2430="","",TODAY()-$H2430)</f>
        <v/>
      </c>
      <c r="O2430" s="15" t="n"/>
      <c r="P2430" s="15" t="n"/>
      <c r="Q2430" s="15" t="n"/>
      <c r="R2430" s="25" t="n"/>
      <c r="S2430" s="26">
        <f>IF($A2430="","",AND(OR('Assignment Builder'!$B$5="",$B2430='Assignment Builder'!$B$5),OR('Assignment Builder'!$B$6="",ISNUMBER(SEARCH('Assignment Builder'!$B$6,$C2430))),OR('Assignment Builder'!$B$7="",'Assignment Builder'!$B$7=IFERROR(INDEX('Category Dictionary'!$C$5:$C$135,MATCH($L2430,'Category Dictionary'!$D$5:$D$135,0)),"")),OR('Assignment Builder'!$B$8="",$D2430='Assignment Builder'!$B$8),OR('Assignment Builder'!$B$9="",$F2430='Assignment Builder'!$B$9),OR('Assignment Builder'!$B$10="",$O2430='Assignment Builder'!$B$10),OR('Assignment Builder'!$B$11="",$H2430&gt;='Assignment Builder'!$B$11),OR('Assignment Builder'!$B$12="",N($Q2430)&lt;='Assignment Builder'!$B$12)))</f>
        <v/>
      </c>
      <c r="T2430" s="23" t="n"/>
    </row>
    <row r="2431">
      <c r="A2431" s="23" t="n"/>
      <c r="B2431" s="23" t="n"/>
      <c r="C2431" s="24" t="n"/>
      <c r="D2431" s="15" t="n"/>
      <c r="E2431" s="23" t="n"/>
      <c r="F2431" s="15" t="n"/>
      <c r="G2431" s="23" t="n"/>
      <c r="H2431" s="25" t="n"/>
      <c r="I2431" s="15" t="n"/>
      <c r="J2431" s="26">
        <f>IF($A2431="","",LEN($C2431)-LEN(SUBSTITUTE($C2431,",",""))+1)</f>
        <v/>
      </c>
      <c r="K2431" s="26">
        <f>IF($A2431="","",SUMPRODUCT(--ISNUMBER(SEARCH('Category Dictionary'!$D$5:$D$135&amp;"",$C2431)),--('Category Dictionary'!$D$5:$D$135&lt;&gt;"")))</f>
        <v/>
      </c>
      <c r="L2431" s="27">
        <f>IF($A2431="","",TRIM(IF(ISERROR(FIND(",",$C2431)),$C2431,LEFT($C2431,FIND(",",$C2431)-1))))</f>
        <v/>
      </c>
      <c r="M2431" s="28">
        <f>IF($H2431="","",DATE(YEAR($H2431),MONTH($H2431),1))</f>
        <v/>
      </c>
      <c r="N2431" s="26">
        <f>IF($H2431="","",TODAY()-$H2431)</f>
        <v/>
      </c>
      <c r="O2431" s="15" t="n"/>
      <c r="P2431" s="15" t="n"/>
      <c r="Q2431" s="15" t="n"/>
      <c r="R2431" s="25" t="n"/>
      <c r="S2431" s="26">
        <f>IF($A2431="","",AND(OR('Assignment Builder'!$B$5="",$B2431='Assignment Builder'!$B$5),OR('Assignment Builder'!$B$6="",ISNUMBER(SEARCH('Assignment Builder'!$B$6,$C2431))),OR('Assignment Builder'!$B$7="",'Assignment Builder'!$B$7=IFERROR(INDEX('Category Dictionary'!$C$5:$C$135,MATCH($L2431,'Category Dictionary'!$D$5:$D$135,0)),"")),OR('Assignment Builder'!$B$8="",$D2431='Assignment Builder'!$B$8),OR('Assignment Builder'!$B$9="",$F2431='Assignment Builder'!$B$9),OR('Assignment Builder'!$B$10="",$O2431='Assignment Builder'!$B$10),OR('Assignment Builder'!$B$11="",$H2431&gt;='Assignment Builder'!$B$11),OR('Assignment Builder'!$B$12="",N($Q2431)&lt;='Assignment Builder'!$B$12)))</f>
        <v/>
      </c>
      <c r="T2431" s="23" t="n"/>
    </row>
    <row r="2432">
      <c r="A2432" s="23" t="n"/>
      <c r="B2432" s="23" t="n"/>
      <c r="C2432" s="24" t="n"/>
      <c r="D2432" s="15" t="n"/>
      <c r="E2432" s="23" t="n"/>
      <c r="F2432" s="15" t="n"/>
      <c r="G2432" s="23" t="n"/>
      <c r="H2432" s="25" t="n"/>
      <c r="I2432" s="15" t="n"/>
      <c r="J2432" s="26">
        <f>IF($A2432="","",LEN($C2432)-LEN(SUBSTITUTE($C2432,",",""))+1)</f>
        <v/>
      </c>
      <c r="K2432" s="26">
        <f>IF($A2432="","",SUMPRODUCT(--ISNUMBER(SEARCH('Category Dictionary'!$D$5:$D$135&amp;"",$C2432)),--('Category Dictionary'!$D$5:$D$135&lt;&gt;"")))</f>
        <v/>
      </c>
      <c r="L2432" s="27">
        <f>IF($A2432="","",TRIM(IF(ISERROR(FIND(",",$C2432)),$C2432,LEFT($C2432,FIND(",",$C2432)-1))))</f>
        <v/>
      </c>
      <c r="M2432" s="28">
        <f>IF($H2432="","",DATE(YEAR($H2432),MONTH($H2432),1))</f>
        <v/>
      </c>
      <c r="N2432" s="26">
        <f>IF($H2432="","",TODAY()-$H2432)</f>
        <v/>
      </c>
      <c r="O2432" s="15" t="n"/>
      <c r="P2432" s="15" t="n"/>
      <c r="Q2432" s="15" t="n"/>
      <c r="R2432" s="25" t="n"/>
      <c r="S2432" s="26">
        <f>IF($A2432="","",AND(OR('Assignment Builder'!$B$5="",$B2432='Assignment Builder'!$B$5),OR('Assignment Builder'!$B$6="",ISNUMBER(SEARCH('Assignment Builder'!$B$6,$C2432))),OR('Assignment Builder'!$B$7="",'Assignment Builder'!$B$7=IFERROR(INDEX('Category Dictionary'!$C$5:$C$135,MATCH($L2432,'Category Dictionary'!$D$5:$D$135,0)),"")),OR('Assignment Builder'!$B$8="",$D2432='Assignment Builder'!$B$8),OR('Assignment Builder'!$B$9="",$F2432='Assignment Builder'!$B$9),OR('Assignment Builder'!$B$10="",$O2432='Assignment Builder'!$B$10),OR('Assignment Builder'!$B$11="",$H2432&gt;='Assignment Builder'!$B$11),OR('Assignment Builder'!$B$12="",N($Q2432)&lt;='Assignment Builder'!$B$12)))</f>
        <v/>
      </c>
      <c r="T2432" s="23" t="n"/>
    </row>
    <row r="2433">
      <c r="A2433" s="23" t="n"/>
      <c r="B2433" s="23" t="n"/>
      <c r="C2433" s="24" t="n"/>
      <c r="D2433" s="15" t="n"/>
      <c r="E2433" s="23" t="n"/>
      <c r="F2433" s="15" t="n"/>
      <c r="G2433" s="23" t="n"/>
      <c r="H2433" s="25" t="n"/>
      <c r="I2433" s="15" t="n"/>
      <c r="J2433" s="26">
        <f>IF($A2433="","",LEN($C2433)-LEN(SUBSTITUTE($C2433,",",""))+1)</f>
        <v/>
      </c>
      <c r="K2433" s="26">
        <f>IF($A2433="","",SUMPRODUCT(--ISNUMBER(SEARCH('Category Dictionary'!$D$5:$D$135&amp;"",$C2433)),--('Category Dictionary'!$D$5:$D$135&lt;&gt;"")))</f>
        <v/>
      </c>
      <c r="L2433" s="27">
        <f>IF($A2433="","",TRIM(IF(ISERROR(FIND(",",$C2433)),$C2433,LEFT($C2433,FIND(",",$C2433)-1))))</f>
        <v/>
      </c>
      <c r="M2433" s="28">
        <f>IF($H2433="","",DATE(YEAR($H2433),MONTH($H2433),1))</f>
        <v/>
      </c>
      <c r="N2433" s="26">
        <f>IF($H2433="","",TODAY()-$H2433)</f>
        <v/>
      </c>
      <c r="O2433" s="15" t="n"/>
      <c r="P2433" s="15" t="n"/>
      <c r="Q2433" s="15" t="n"/>
      <c r="R2433" s="25" t="n"/>
      <c r="S2433" s="26">
        <f>IF($A2433="","",AND(OR('Assignment Builder'!$B$5="",$B2433='Assignment Builder'!$B$5),OR('Assignment Builder'!$B$6="",ISNUMBER(SEARCH('Assignment Builder'!$B$6,$C2433))),OR('Assignment Builder'!$B$7="",'Assignment Builder'!$B$7=IFERROR(INDEX('Category Dictionary'!$C$5:$C$135,MATCH($L2433,'Category Dictionary'!$D$5:$D$135,0)),"")),OR('Assignment Builder'!$B$8="",$D2433='Assignment Builder'!$B$8),OR('Assignment Builder'!$B$9="",$F2433='Assignment Builder'!$B$9),OR('Assignment Builder'!$B$10="",$O2433='Assignment Builder'!$B$10),OR('Assignment Builder'!$B$11="",$H2433&gt;='Assignment Builder'!$B$11),OR('Assignment Builder'!$B$12="",N($Q2433)&lt;='Assignment Builder'!$B$12)))</f>
        <v/>
      </c>
      <c r="T2433" s="23" t="n"/>
    </row>
    <row r="2434">
      <c r="A2434" s="23" t="n"/>
      <c r="B2434" s="23" t="n"/>
      <c r="C2434" s="24" t="n"/>
      <c r="D2434" s="15" t="n"/>
      <c r="E2434" s="23" t="n"/>
      <c r="F2434" s="15" t="n"/>
      <c r="G2434" s="23" t="n"/>
      <c r="H2434" s="25" t="n"/>
      <c r="I2434" s="15" t="n"/>
      <c r="J2434" s="26">
        <f>IF($A2434="","",LEN($C2434)-LEN(SUBSTITUTE($C2434,",",""))+1)</f>
        <v/>
      </c>
      <c r="K2434" s="26">
        <f>IF($A2434="","",SUMPRODUCT(--ISNUMBER(SEARCH('Category Dictionary'!$D$5:$D$135&amp;"",$C2434)),--('Category Dictionary'!$D$5:$D$135&lt;&gt;"")))</f>
        <v/>
      </c>
      <c r="L2434" s="27">
        <f>IF($A2434="","",TRIM(IF(ISERROR(FIND(",",$C2434)),$C2434,LEFT($C2434,FIND(",",$C2434)-1))))</f>
        <v/>
      </c>
      <c r="M2434" s="28">
        <f>IF($H2434="","",DATE(YEAR($H2434),MONTH($H2434),1))</f>
        <v/>
      </c>
      <c r="N2434" s="26">
        <f>IF($H2434="","",TODAY()-$H2434)</f>
        <v/>
      </c>
      <c r="O2434" s="15" t="n"/>
      <c r="P2434" s="15" t="n"/>
      <c r="Q2434" s="15" t="n"/>
      <c r="R2434" s="25" t="n"/>
      <c r="S2434" s="26">
        <f>IF($A2434="","",AND(OR('Assignment Builder'!$B$5="",$B2434='Assignment Builder'!$B$5),OR('Assignment Builder'!$B$6="",ISNUMBER(SEARCH('Assignment Builder'!$B$6,$C2434))),OR('Assignment Builder'!$B$7="",'Assignment Builder'!$B$7=IFERROR(INDEX('Category Dictionary'!$C$5:$C$135,MATCH($L2434,'Category Dictionary'!$D$5:$D$135,0)),"")),OR('Assignment Builder'!$B$8="",$D2434='Assignment Builder'!$B$8),OR('Assignment Builder'!$B$9="",$F2434='Assignment Builder'!$B$9),OR('Assignment Builder'!$B$10="",$O2434='Assignment Builder'!$B$10),OR('Assignment Builder'!$B$11="",$H2434&gt;='Assignment Builder'!$B$11),OR('Assignment Builder'!$B$12="",N($Q2434)&lt;='Assignment Builder'!$B$12)))</f>
        <v/>
      </c>
      <c r="T2434" s="23" t="n"/>
    </row>
    <row r="2435">
      <c r="A2435" s="23" t="n"/>
      <c r="B2435" s="23" t="n"/>
      <c r="C2435" s="24" t="n"/>
      <c r="D2435" s="15" t="n"/>
      <c r="E2435" s="23" t="n"/>
      <c r="F2435" s="15" t="n"/>
      <c r="G2435" s="23" t="n"/>
      <c r="H2435" s="25" t="n"/>
      <c r="I2435" s="15" t="n"/>
      <c r="J2435" s="26">
        <f>IF($A2435="","",LEN($C2435)-LEN(SUBSTITUTE($C2435,",",""))+1)</f>
        <v/>
      </c>
      <c r="K2435" s="26">
        <f>IF($A2435="","",SUMPRODUCT(--ISNUMBER(SEARCH('Category Dictionary'!$D$5:$D$135&amp;"",$C2435)),--('Category Dictionary'!$D$5:$D$135&lt;&gt;"")))</f>
        <v/>
      </c>
      <c r="L2435" s="27">
        <f>IF($A2435="","",TRIM(IF(ISERROR(FIND(",",$C2435)),$C2435,LEFT($C2435,FIND(",",$C2435)-1))))</f>
        <v/>
      </c>
      <c r="M2435" s="28">
        <f>IF($H2435="","",DATE(YEAR($H2435),MONTH($H2435),1))</f>
        <v/>
      </c>
      <c r="N2435" s="26">
        <f>IF($H2435="","",TODAY()-$H2435)</f>
        <v/>
      </c>
      <c r="O2435" s="15" t="n"/>
      <c r="P2435" s="15" t="n"/>
      <c r="Q2435" s="15" t="n"/>
      <c r="R2435" s="25" t="n"/>
      <c r="S2435" s="26">
        <f>IF($A2435="","",AND(OR('Assignment Builder'!$B$5="",$B2435='Assignment Builder'!$B$5),OR('Assignment Builder'!$B$6="",ISNUMBER(SEARCH('Assignment Builder'!$B$6,$C2435))),OR('Assignment Builder'!$B$7="",'Assignment Builder'!$B$7=IFERROR(INDEX('Category Dictionary'!$C$5:$C$135,MATCH($L2435,'Category Dictionary'!$D$5:$D$135,0)),"")),OR('Assignment Builder'!$B$8="",$D2435='Assignment Builder'!$B$8),OR('Assignment Builder'!$B$9="",$F2435='Assignment Builder'!$B$9),OR('Assignment Builder'!$B$10="",$O2435='Assignment Builder'!$B$10),OR('Assignment Builder'!$B$11="",$H2435&gt;='Assignment Builder'!$B$11),OR('Assignment Builder'!$B$12="",N($Q2435)&lt;='Assignment Builder'!$B$12)))</f>
        <v/>
      </c>
      <c r="T2435" s="23" t="n"/>
    </row>
    <row r="2436">
      <c r="A2436" s="23" t="n"/>
      <c r="B2436" s="23" t="n"/>
      <c r="C2436" s="24" t="n"/>
      <c r="D2436" s="15" t="n"/>
      <c r="E2436" s="23" t="n"/>
      <c r="F2436" s="15" t="n"/>
      <c r="G2436" s="23" t="n"/>
      <c r="H2436" s="25" t="n"/>
      <c r="I2436" s="15" t="n"/>
      <c r="J2436" s="26">
        <f>IF($A2436="","",LEN($C2436)-LEN(SUBSTITUTE($C2436,",",""))+1)</f>
        <v/>
      </c>
      <c r="K2436" s="26">
        <f>IF($A2436="","",SUMPRODUCT(--ISNUMBER(SEARCH('Category Dictionary'!$D$5:$D$135&amp;"",$C2436)),--('Category Dictionary'!$D$5:$D$135&lt;&gt;"")))</f>
        <v/>
      </c>
      <c r="L2436" s="27">
        <f>IF($A2436="","",TRIM(IF(ISERROR(FIND(",",$C2436)),$C2436,LEFT($C2436,FIND(",",$C2436)-1))))</f>
        <v/>
      </c>
      <c r="M2436" s="28">
        <f>IF($H2436="","",DATE(YEAR($H2436),MONTH($H2436),1))</f>
        <v/>
      </c>
      <c r="N2436" s="26">
        <f>IF($H2436="","",TODAY()-$H2436)</f>
        <v/>
      </c>
      <c r="O2436" s="15" t="n"/>
      <c r="P2436" s="15" t="n"/>
      <c r="Q2436" s="15" t="n"/>
      <c r="R2436" s="25" t="n"/>
      <c r="S2436" s="26">
        <f>IF($A2436="","",AND(OR('Assignment Builder'!$B$5="",$B2436='Assignment Builder'!$B$5),OR('Assignment Builder'!$B$6="",ISNUMBER(SEARCH('Assignment Builder'!$B$6,$C2436))),OR('Assignment Builder'!$B$7="",'Assignment Builder'!$B$7=IFERROR(INDEX('Category Dictionary'!$C$5:$C$135,MATCH($L2436,'Category Dictionary'!$D$5:$D$135,0)),"")),OR('Assignment Builder'!$B$8="",$D2436='Assignment Builder'!$B$8),OR('Assignment Builder'!$B$9="",$F2436='Assignment Builder'!$B$9),OR('Assignment Builder'!$B$10="",$O2436='Assignment Builder'!$B$10),OR('Assignment Builder'!$B$11="",$H2436&gt;='Assignment Builder'!$B$11),OR('Assignment Builder'!$B$12="",N($Q2436)&lt;='Assignment Builder'!$B$12)))</f>
        <v/>
      </c>
      <c r="T2436" s="23" t="n"/>
    </row>
    <row r="2437">
      <c r="A2437" s="23" t="n"/>
      <c r="B2437" s="23" t="n"/>
      <c r="C2437" s="24" t="n"/>
      <c r="D2437" s="15" t="n"/>
      <c r="E2437" s="23" t="n"/>
      <c r="F2437" s="15" t="n"/>
      <c r="G2437" s="23" t="n"/>
      <c r="H2437" s="25" t="n"/>
      <c r="I2437" s="15" t="n"/>
      <c r="J2437" s="26">
        <f>IF($A2437="","",LEN($C2437)-LEN(SUBSTITUTE($C2437,",",""))+1)</f>
        <v/>
      </c>
      <c r="K2437" s="26">
        <f>IF($A2437="","",SUMPRODUCT(--ISNUMBER(SEARCH('Category Dictionary'!$D$5:$D$135&amp;"",$C2437)),--('Category Dictionary'!$D$5:$D$135&lt;&gt;"")))</f>
        <v/>
      </c>
      <c r="L2437" s="27">
        <f>IF($A2437="","",TRIM(IF(ISERROR(FIND(",",$C2437)),$C2437,LEFT($C2437,FIND(",",$C2437)-1))))</f>
        <v/>
      </c>
      <c r="M2437" s="28">
        <f>IF($H2437="","",DATE(YEAR($H2437),MONTH($H2437),1))</f>
        <v/>
      </c>
      <c r="N2437" s="26">
        <f>IF($H2437="","",TODAY()-$H2437)</f>
        <v/>
      </c>
      <c r="O2437" s="15" t="n"/>
      <c r="P2437" s="15" t="n"/>
      <c r="Q2437" s="15" t="n"/>
      <c r="R2437" s="25" t="n"/>
      <c r="S2437" s="26">
        <f>IF($A2437="","",AND(OR('Assignment Builder'!$B$5="",$B2437='Assignment Builder'!$B$5),OR('Assignment Builder'!$B$6="",ISNUMBER(SEARCH('Assignment Builder'!$B$6,$C2437))),OR('Assignment Builder'!$B$7="",'Assignment Builder'!$B$7=IFERROR(INDEX('Category Dictionary'!$C$5:$C$135,MATCH($L2437,'Category Dictionary'!$D$5:$D$135,0)),"")),OR('Assignment Builder'!$B$8="",$D2437='Assignment Builder'!$B$8),OR('Assignment Builder'!$B$9="",$F2437='Assignment Builder'!$B$9),OR('Assignment Builder'!$B$10="",$O2437='Assignment Builder'!$B$10),OR('Assignment Builder'!$B$11="",$H2437&gt;='Assignment Builder'!$B$11),OR('Assignment Builder'!$B$12="",N($Q2437)&lt;='Assignment Builder'!$B$12)))</f>
        <v/>
      </c>
      <c r="T2437" s="23" t="n"/>
    </row>
    <row r="2438">
      <c r="A2438" s="23" t="n"/>
      <c r="B2438" s="23" t="n"/>
      <c r="C2438" s="24" t="n"/>
      <c r="D2438" s="15" t="n"/>
      <c r="E2438" s="23" t="n"/>
      <c r="F2438" s="15" t="n"/>
      <c r="G2438" s="23" t="n"/>
      <c r="H2438" s="25" t="n"/>
      <c r="I2438" s="15" t="n"/>
      <c r="J2438" s="26">
        <f>IF($A2438="","",LEN($C2438)-LEN(SUBSTITUTE($C2438,",",""))+1)</f>
        <v/>
      </c>
      <c r="K2438" s="26">
        <f>IF($A2438="","",SUMPRODUCT(--ISNUMBER(SEARCH('Category Dictionary'!$D$5:$D$135&amp;"",$C2438)),--('Category Dictionary'!$D$5:$D$135&lt;&gt;"")))</f>
        <v/>
      </c>
      <c r="L2438" s="27">
        <f>IF($A2438="","",TRIM(IF(ISERROR(FIND(",",$C2438)),$C2438,LEFT($C2438,FIND(",",$C2438)-1))))</f>
        <v/>
      </c>
      <c r="M2438" s="28">
        <f>IF($H2438="","",DATE(YEAR($H2438),MONTH($H2438),1))</f>
        <v/>
      </c>
      <c r="N2438" s="26">
        <f>IF($H2438="","",TODAY()-$H2438)</f>
        <v/>
      </c>
      <c r="O2438" s="15" t="n"/>
      <c r="P2438" s="15" t="n"/>
      <c r="Q2438" s="15" t="n"/>
      <c r="R2438" s="25" t="n"/>
      <c r="S2438" s="26">
        <f>IF($A2438="","",AND(OR('Assignment Builder'!$B$5="",$B2438='Assignment Builder'!$B$5),OR('Assignment Builder'!$B$6="",ISNUMBER(SEARCH('Assignment Builder'!$B$6,$C2438))),OR('Assignment Builder'!$B$7="",'Assignment Builder'!$B$7=IFERROR(INDEX('Category Dictionary'!$C$5:$C$135,MATCH($L2438,'Category Dictionary'!$D$5:$D$135,0)),"")),OR('Assignment Builder'!$B$8="",$D2438='Assignment Builder'!$B$8),OR('Assignment Builder'!$B$9="",$F2438='Assignment Builder'!$B$9),OR('Assignment Builder'!$B$10="",$O2438='Assignment Builder'!$B$10),OR('Assignment Builder'!$B$11="",$H2438&gt;='Assignment Builder'!$B$11),OR('Assignment Builder'!$B$12="",N($Q2438)&lt;='Assignment Builder'!$B$12)))</f>
        <v/>
      </c>
      <c r="T2438" s="23" t="n"/>
    </row>
    <row r="2439">
      <c r="A2439" s="23" t="n"/>
      <c r="B2439" s="23" t="n"/>
      <c r="C2439" s="24" t="n"/>
      <c r="D2439" s="15" t="n"/>
      <c r="E2439" s="23" t="n"/>
      <c r="F2439" s="15" t="n"/>
      <c r="G2439" s="23" t="n"/>
      <c r="H2439" s="25" t="n"/>
      <c r="I2439" s="15" t="n"/>
      <c r="J2439" s="26">
        <f>IF($A2439="","",LEN($C2439)-LEN(SUBSTITUTE($C2439,",",""))+1)</f>
        <v/>
      </c>
      <c r="K2439" s="26">
        <f>IF($A2439="","",SUMPRODUCT(--ISNUMBER(SEARCH('Category Dictionary'!$D$5:$D$135&amp;"",$C2439)),--('Category Dictionary'!$D$5:$D$135&lt;&gt;"")))</f>
        <v/>
      </c>
      <c r="L2439" s="27">
        <f>IF($A2439="","",TRIM(IF(ISERROR(FIND(",",$C2439)),$C2439,LEFT($C2439,FIND(",",$C2439)-1))))</f>
        <v/>
      </c>
      <c r="M2439" s="28">
        <f>IF($H2439="","",DATE(YEAR($H2439),MONTH($H2439),1))</f>
        <v/>
      </c>
      <c r="N2439" s="26">
        <f>IF($H2439="","",TODAY()-$H2439)</f>
        <v/>
      </c>
      <c r="O2439" s="15" t="n"/>
      <c r="P2439" s="15" t="n"/>
      <c r="Q2439" s="15" t="n"/>
      <c r="R2439" s="25" t="n"/>
      <c r="S2439" s="26">
        <f>IF($A2439="","",AND(OR('Assignment Builder'!$B$5="",$B2439='Assignment Builder'!$B$5),OR('Assignment Builder'!$B$6="",ISNUMBER(SEARCH('Assignment Builder'!$B$6,$C2439))),OR('Assignment Builder'!$B$7="",'Assignment Builder'!$B$7=IFERROR(INDEX('Category Dictionary'!$C$5:$C$135,MATCH($L2439,'Category Dictionary'!$D$5:$D$135,0)),"")),OR('Assignment Builder'!$B$8="",$D2439='Assignment Builder'!$B$8),OR('Assignment Builder'!$B$9="",$F2439='Assignment Builder'!$B$9),OR('Assignment Builder'!$B$10="",$O2439='Assignment Builder'!$B$10),OR('Assignment Builder'!$B$11="",$H2439&gt;='Assignment Builder'!$B$11),OR('Assignment Builder'!$B$12="",N($Q2439)&lt;='Assignment Builder'!$B$12)))</f>
        <v/>
      </c>
      <c r="T2439" s="23" t="n"/>
    </row>
    <row r="2440">
      <c r="A2440" s="23" t="n"/>
      <c r="B2440" s="23" t="n"/>
      <c r="C2440" s="24" t="n"/>
      <c r="D2440" s="15" t="n"/>
      <c r="E2440" s="23" t="n"/>
      <c r="F2440" s="15" t="n"/>
      <c r="G2440" s="23" t="n"/>
      <c r="H2440" s="25" t="n"/>
      <c r="I2440" s="15" t="n"/>
      <c r="J2440" s="26">
        <f>IF($A2440="","",LEN($C2440)-LEN(SUBSTITUTE($C2440,",",""))+1)</f>
        <v/>
      </c>
      <c r="K2440" s="26">
        <f>IF($A2440="","",SUMPRODUCT(--ISNUMBER(SEARCH('Category Dictionary'!$D$5:$D$135&amp;"",$C2440)),--('Category Dictionary'!$D$5:$D$135&lt;&gt;"")))</f>
        <v/>
      </c>
      <c r="L2440" s="27">
        <f>IF($A2440="","",TRIM(IF(ISERROR(FIND(",",$C2440)),$C2440,LEFT($C2440,FIND(",",$C2440)-1))))</f>
        <v/>
      </c>
      <c r="M2440" s="28">
        <f>IF($H2440="","",DATE(YEAR($H2440),MONTH($H2440),1))</f>
        <v/>
      </c>
      <c r="N2440" s="26">
        <f>IF($H2440="","",TODAY()-$H2440)</f>
        <v/>
      </c>
      <c r="O2440" s="15" t="n"/>
      <c r="P2440" s="15" t="n"/>
      <c r="Q2440" s="15" t="n"/>
      <c r="R2440" s="25" t="n"/>
      <c r="S2440" s="26">
        <f>IF($A2440="","",AND(OR('Assignment Builder'!$B$5="",$B2440='Assignment Builder'!$B$5),OR('Assignment Builder'!$B$6="",ISNUMBER(SEARCH('Assignment Builder'!$B$6,$C2440))),OR('Assignment Builder'!$B$7="",'Assignment Builder'!$B$7=IFERROR(INDEX('Category Dictionary'!$C$5:$C$135,MATCH($L2440,'Category Dictionary'!$D$5:$D$135,0)),"")),OR('Assignment Builder'!$B$8="",$D2440='Assignment Builder'!$B$8),OR('Assignment Builder'!$B$9="",$F2440='Assignment Builder'!$B$9),OR('Assignment Builder'!$B$10="",$O2440='Assignment Builder'!$B$10),OR('Assignment Builder'!$B$11="",$H2440&gt;='Assignment Builder'!$B$11),OR('Assignment Builder'!$B$12="",N($Q2440)&lt;='Assignment Builder'!$B$12)))</f>
        <v/>
      </c>
      <c r="T2440" s="23" t="n"/>
    </row>
    <row r="2441">
      <c r="A2441" s="23" t="n"/>
      <c r="B2441" s="23" t="n"/>
      <c r="C2441" s="24" t="n"/>
      <c r="D2441" s="15" t="n"/>
      <c r="E2441" s="23" t="n"/>
      <c r="F2441" s="15" t="n"/>
      <c r="G2441" s="23" t="n"/>
      <c r="H2441" s="25" t="n"/>
      <c r="I2441" s="15" t="n"/>
      <c r="J2441" s="26">
        <f>IF($A2441="","",LEN($C2441)-LEN(SUBSTITUTE($C2441,",",""))+1)</f>
        <v/>
      </c>
      <c r="K2441" s="26">
        <f>IF($A2441="","",SUMPRODUCT(--ISNUMBER(SEARCH('Category Dictionary'!$D$5:$D$135&amp;"",$C2441)),--('Category Dictionary'!$D$5:$D$135&lt;&gt;"")))</f>
        <v/>
      </c>
      <c r="L2441" s="27">
        <f>IF($A2441="","",TRIM(IF(ISERROR(FIND(",",$C2441)),$C2441,LEFT($C2441,FIND(",",$C2441)-1))))</f>
        <v/>
      </c>
      <c r="M2441" s="28">
        <f>IF($H2441="","",DATE(YEAR($H2441),MONTH($H2441),1))</f>
        <v/>
      </c>
      <c r="N2441" s="26">
        <f>IF($H2441="","",TODAY()-$H2441)</f>
        <v/>
      </c>
      <c r="O2441" s="15" t="n"/>
      <c r="P2441" s="15" t="n"/>
      <c r="Q2441" s="15" t="n"/>
      <c r="R2441" s="25" t="n"/>
      <c r="S2441" s="26">
        <f>IF($A2441="","",AND(OR('Assignment Builder'!$B$5="",$B2441='Assignment Builder'!$B$5),OR('Assignment Builder'!$B$6="",ISNUMBER(SEARCH('Assignment Builder'!$B$6,$C2441))),OR('Assignment Builder'!$B$7="",'Assignment Builder'!$B$7=IFERROR(INDEX('Category Dictionary'!$C$5:$C$135,MATCH($L2441,'Category Dictionary'!$D$5:$D$135,0)),"")),OR('Assignment Builder'!$B$8="",$D2441='Assignment Builder'!$B$8),OR('Assignment Builder'!$B$9="",$F2441='Assignment Builder'!$B$9),OR('Assignment Builder'!$B$10="",$O2441='Assignment Builder'!$B$10),OR('Assignment Builder'!$B$11="",$H2441&gt;='Assignment Builder'!$B$11),OR('Assignment Builder'!$B$12="",N($Q2441)&lt;='Assignment Builder'!$B$12)))</f>
        <v/>
      </c>
      <c r="T2441" s="23" t="n"/>
    </row>
    <row r="2442">
      <c r="A2442" s="23" t="n"/>
      <c r="B2442" s="23" t="n"/>
      <c r="C2442" s="24" t="n"/>
      <c r="D2442" s="15" t="n"/>
      <c r="E2442" s="23" t="n"/>
      <c r="F2442" s="15" t="n"/>
      <c r="G2442" s="23" t="n"/>
      <c r="H2442" s="25" t="n"/>
      <c r="I2442" s="15" t="n"/>
      <c r="J2442" s="26">
        <f>IF($A2442="","",LEN($C2442)-LEN(SUBSTITUTE($C2442,",",""))+1)</f>
        <v/>
      </c>
      <c r="K2442" s="26">
        <f>IF($A2442="","",SUMPRODUCT(--ISNUMBER(SEARCH('Category Dictionary'!$D$5:$D$135&amp;"",$C2442)),--('Category Dictionary'!$D$5:$D$135&lt;&gt;"")))</f>
        <v/>
      </c>
      <c r="L2442" s="27">
        <f>IF($A2442="","",TRIM(IF(ISERROR(FIND(",",$C2442)),$C2442,LEFT($C2442,FIND(",",$C2442)-1))))</f>
        <v/>
      </c>
      <c r="M2442" s="28">
        <f>IF($H2442="","",DATE(YEAR($H2442),MONTH($H2442),1))</f>
        <v/>
      </c>
      <c r="N2442" s="26">
        <f>IF($H2442="","",TODAY()-$H2442)</f>
        <v/>
      </c>
      <c r="O2442" s="15" t="n"/>
      <c r="P2442" s="15" t="n"/>
      <c r="Q2442" s="15" t="n"/>
      <c r="R2442" s="25" t="n"/>
      <c r="S2442" s="26">
        <f>IF($A2442="","",AND(OR('Assignment Builder'!$B$5="",$B2442='Assignment Builder'!$B$5),OR('Assignment Builder'!$B$6="",ISNUMBER(SEARCH('Assignment Builder'!$B$6,$C2442))),OR('Assignment Builder'!$B$7="",'Assignment Builder'!$B$7=IFERROR(INDEX('Category Dictionary'!$C$5:$C$135,MATCH($L2442,'Category Dictionary'!$D$5:$D$135,0)),"")),OR('Assignment Builder'!$B$8="",$D2442='Assignment Builder'!$B$8),OR('Assignment Builder'!$B$9="",$F2442='Assignment Builder'!$B$9),OR('Assignment Builder'!$B$10="",$O2442='Assignment Builder'!$B$10),OR('Assignment Builder'!$B$11="",$H2442&gt;='Assignment Builder'!$B$11),OR('Assignment Builder'!$B$12="",N($Q2442)&lt;='Assignment Builder'!$B$12)))</f>
        <v/>
      </c>
      <c r="T2442" s="23" t="n"/>
    </row>
    <row r="2443">
      <c r="A2443" s="23" t="n"/>
      <c r="B2443" s="23" t="n"/>
      <c r="C2443" s="24" t="n"/>
      <c r="D2443" s="15" t="n"/>
      <c r="E2443" s="23" t="n"/>
      <c r="F2443" s="15" t="n"/>
      <c r="G2443" s="23" t="n"/>
      <c r="H2443" s="25" t="n"/>
      <c r="I2443" s="15" t="n"/>
      <c r="J2443" s="26">
        <f>IF($A2443="","",LEN($C2443)-LEN(SUBSTITUTE($C2443,",",""))+1)</f>
        <v/>
      </c>
      <c r="K2443" s="26">
        <f>IF($A2443="","",SUMPRODUCT(--ISNUMBER(SEARCH('Category Dictionary'!$D$5:$D$135&amp;"",$C2443)),--('Category Dictionary'!$D$5:$D$135&lt;&gt;"")))</f>
        <v/>
      </c>
      <c r="L2443" s="27">
        <f>IF($A2443="","",TRIM(IF(ISERROR(FIND(",",$C2443)),$C2443,LEFT($C2443,FIND(",",$C2443)-1))))</f>
        <v/>
      </c>
      <c r="M2443" s="28">
        <f>IF($H2443="","",DATE(YEAR($H2443),MONTH($H2443),1))</f>
        <v/>
      </c>
      <c r="N2443" s="26">
        <f>IF($H2443="","",TODAY()-$H2443)</f>
        <v/>
      </c>
      <c r="O2443" s="15" t="n"/>
      <c r="P2443" s="15" t="n"/>
      <c r="Q2443" s="15" t="n"/>
      <c r="R2443" s="25" t="n"/>
      <c r="S2443" s="26">
        <f>IF($A2443="","",AND(OR('Assignment Builder'!$B$5="",$B2443='Assignment Builder'!$B$5),OR('Assignment Builder'!$B$6="",ISNUMBER(SEARCH('Assignment Builder'!$B$6,$C2443))),OR('Assignment Builder'!$B$7="",'Assignment Builder'!$B$7=IFERROR(INDEX('Category Dictionary'!$C$5:$C$135,MATCH($L2443,'Category Dictionary'!$D$5:$D$135,0)),"")),OR('Assignment Builder'!$B$8="",$D2443='Assignment Builder'!$B$8),OR('Assignment Builder'!$B$9="",$F2443='Assignment Builder'!$B$9),OR('Assignment Builder'!$B$10="",$O2443='Assignment Builder'!$B$10),OR('Assignment Builder'!$B$11="",$H2443&gt;='Assignment Builder'!$B$11),OR('Assignment Builder'!$B$12="",N($Q2443)&lt;='Assignment Builder'!$B$12)))</f>
        <v/>
      </c>
      <c r="T2443" s="23" t="n"/>
    </row>
    <row r="2444">
      <c r="A2444" s="23" t="n"/>
      <c r="B2444" s="23" t="n"/>
      <c r="C2444" s="24" t="n"/>
      <c r="D2444" s="15" t="n"/>
      <c r="E2444" s="23" t="n"/>
      <c r="F2444" s="15" t="n"/>
      <c r="G2444" s="23" t="n"/>
      <c r="H2444" s="25" t="n"/>
      <c r="I2444" s="15" t="n"/>
      <c r="J2444" s="26">
        <f>IF($A2444="","",LEN($C2444)-LEN(SUBSTITUTE($C2444,",",""))+1)</f>
        <v/>
      </c>
      <c r="K2444" s="26">
        <f>IF($A2444="","",SUMPRODUCT(--ISNUMBER(SEARCH('Category Dictionary'!$D$5:$D$135&amp;"",$C2444)),--('Category Dictionary'!$D$5:$D$135&lt;&gt;"")))</f>
        <v/>
      </c>
      <c r="L2444" s="27">
        <f>IF($A2444="","",TRIM(IF(ISERROR(FIND(",",$C2444)),$C2444,LEFT($C2444,FIND(",",$C2444)-1))))</f>
        <v/>
      </c>
      <c r="M2444" s="28">
        <f>IF($H2444="","",DATE(YEAR($H2444),MONTH($H2444),1))</f>
        <v/>
      </c>
      <c r="N2444" s="26">
        <f>IF($H2444="","",TODAY()-$H2444)</f>
        <v/>
      </c>
      <c r="O2444" s="15" t="n"/>
      <c r="P2444" s="15" t="n"/>
      <c r="Q2444" s="15" t="n"/>
      <c r="R2444" s="25" t="n"/>
      <c r="S2444" s="26">
        <f>IF($A2444="","",AND(OR('Assignment Builder'!$B$5="",$B2444='Assignment Builder'!$B$5),OR('Assignment Builder'!$B$6="",ISNUMBER(SEARCH('Assignment Builder'!$B$6,$C2444))),OR('Assignment Builder'!$B$7="",'Assignment Builder'!$B$7=IFERROR(INDEX('Category Dictionary'!$C$5:$C$135,MATCH($L2444,'Category Dictionary'!$D$5:$D$135,0)),"")),OR('Assignment Builder'!$B$8="",$D2444='Assignment Builder'!$B$8),OR('Assignment Builder'!$B$9="",$F2444='Assignment Builder'!$B$9),OR('Assignment Builder'!$B$10="",$O2444='Assignment Builder'!$B$10),OR('Assignment Builder'!$B$11="",$H2444&gt;='Assignment Builder'!$B$11),OR('Assignment Builder'!$B$12="",N($Q2444)&lt;='Assignment Builder'!$B$12)))</f>
        <v/>
      </c>
      <c r="T2444" s="23" t="n"/>
    </row>
    <row r="2445">
      <c r="A2445" s="23" t="n"/>
      <c r="B2445" s="23" t="n"/>
      <c r="C2445" s="24" t="n"/>
      <c r="D2445" s="15" t="n"/>
      <c r="E2445" s="23" t="n"/>
      <c r="F2445" s="15" t="n"/>
      <c r="G2445" s="23" t="n"/>
      <c r="H2445" s="25" t="n"/>
      <c r="I2445" s="15" t="n"/>
      <c r="J2445" s="26">
        <f>IF($A2445="","",LEN($C2445)-LEN(SUBSTITUTE($C2445,",",""))+1)</f>
        <v/>
      </c>
      <c r="K2445" s="26">
        <f>IF($A2445="","",SUMPRODUCT(--ISNUMBER(SEARCH('Category Dictionary'!$D$5:$D$135&amp;"",$C2445)),--('Category Dictionary'!$D$5:$D$135&lt;&gt;"")))</f>
        <v/>
      </c>
      <c r="L2445" s="27">
        <f>IF($A2445="","",TRIM(IF(ISERROR(FIND(",",$C2445)),$C2445,LEFT($C2445,FIND(",",$C2445)-1))))</f>
        <v/>
      </c>
      <c r="M2445" s="28">
        <f>IF($H2445="","",DATE(YEAR($H2445),MONTH($H2445),1))</f>
        <v/>
      </c>
      <c r="N2445" s="26">
        <f>IF($H2445="","",TODAY()-$H2445)</f>
        <v/>
      </c>
      <c r="O2445" s="15" t="n"/>
      <c r="P2445" s="15" t="n"/>
      <c r="Q2445" s="15" t="n"/>
      <c r="R2445" s="25" t="n"/>
      <c r="S2445" s="26">
        <f>IF($A2445="","",AND(OR('Assignment Builder'!$B$5="",$B2445='Assignment Builder'!$B$5),OR('Assignment Builder'!$B$6="",ISNUMBER(SEARCH('Assignment Builder'!$B$6,$C2445))),OR('Assignment Builder'!$B$7="",'Assignment Builder'!$B$7=IFERROR(INDEX('Category Dictionary'!$C$5:$C$135,MATCH($L2445,'Category Dictionary'!$D$5:$D$135,0)),"")),OR('Assignment Builder'!$B$8="",$D2445='Assignment Builder'!$B$8),OR('Assignment Builder'!$B$9="",$F2445='Assignment Builder'!$B$9),OR('Assignment Builder'!$B$10="",$O2445='Assignment Builder'!$B$10),OR('Assignment Builder'!$B$11="",$H2445&gt;='Assignment Builder'!$B$11),OR('Assignment Builder'!$B$12="",N($Q2445)&lt;='Assignment Builder'!$B$12)))</f>
        <v/>
      </c>
      <c r="T2445" s="23" t="n"/>
    </row>
    <row r="2446">
      <c r="A2446" s="23" t="n"/>
      <c r="B2446" s="23" t="n"/>
      <c r="C2446" s="24" t="n"/>
      <c r="D2446" s="15" t="n"/>
      <c r="E2446" s="23" t="n"/>
      <c r="F2446" s="15" t="n"/>
      <c r="G2446" s="23" t="n"/>
      <c r="H2446" s="25" t="n"/>
      <c r="I2446" s="15" t="n"/>
      <c r="J2446" s="26">
        <f>IF($A2446="","",LEN($C2446)-LEN(SUBSTITUTE($C2446,",",""))+1)</f>
        <v/>
      </c>
      <c r="K2446" s="26">
        <f>IF($A2446="","",SUMPRODUCT(--ISNUMBER(SEARCH('Category Dictionary'!$D$5:$D$135&amp;"",$C2446)),--('Category Dictionary'!$D$5:$D$135&lt;&gt;"")))</f>
        <v/>
      </c>
      <c r="L2446" s="27">
        <f>IF($A2446="","",TRIM(IF(ISERROR(FIND(",",$C2446)),$C2446,LEFT($C2446,FIND(",",$C2446)-1))))</f>
        <v/>
      </c>
      <c r="M2446" s="28">
        <f>IF($H2446="","",DATE(YEAR($H2446),MONTH($H2446),1))</f>
        <v/>
      </c>
      <c r="N2446" s="26">
        <f>IF($H2446="","",TODAY()-$H2446)</f>
        <v/>
      </c>
      <c r="O2446" s="15" t="n"/>
      <c r="P2446" s="15" t="n"/>
      <c r="Q2446" s="15" t="n"/>
      <c r="R2446" s="25" t="n"/>
      <c r="S2446" s="26">
        <f>IF($A2446="","",AND(OR('Assignment Builder'!$B$5="",$B2446='Assignment Builder'!$B$5),OR('Assignment Builder'!$B$6="",ISNUMBER(SEARCH('Assignment Builder'!$B$6,$C2446))),OR('Assignment Builder'!$B$7="",'Assignment Builder'!$B$7=IFERROR(INDEX('Category Dictionary'!$C$5:$C$135,MATCH($L2446,'Category Dictionary'!$D$5:$D$135,0)),"")),OR('Assignment Builder'!$B$8="",$D2446='Assignment Builder'!$B$8),OR('Assignment Builder'!$B$9="",$F2446='Assignment Builder'!$B$9),OR('Assignment Builder'!$B$10="",$O2446='Assignment Builder'!$B$10),OR('Assignment Builder'!$B$11="",$H2446&gt;='Assignment Builder'!$B$11),OR('Assignment Builder'!$B$12="",N($Q2446)&lt;='Assignment Builder'!$B$12)))</f>
        <v/>
      </c>
      <c r="T2446" s="23" t="n"/>
    </row>
    <row r="2447">
      <c r="A2447" s="23" t="n"/>
      <c r="B2447" s="23" t="n"/>
      <c r="C2447" s="24" t="n"/>
      <c r="D2447" s="15" t="n"/>
      <c r="E2447" s="23" t="n"/>
      <c r="F2447" s="15" t="n"/>
      <c r="G2447" s="23" t="n"/>
      <c r="H2447" s="25" t="n"/>
      <c r="I2447" s="15" t="n"/>
      <c r="J2447" s="26">
        <f>IF($A2447="","",LEN($C2447)-LEN(SUBSTITUTE($C2447,",",""))+1)</f>
        <v/>
      </c>
      <c r="K2447" s="26">
        <f>IF($A2447="","",SUMPRODUCT(--ISNUMBER(SEARCH('Category Dictionary'!$D$5:$D$135&amp;"",$C2447)),--('Category Dictionary'!$D$5:$D$135&lt;&gt;"")))</f>
        <v/>
      </c>
      <c r="L2447" s="27">
        <f>IF($A2447="","",TRIM(IF(ISERROR(FIND(",",$C2447)),$C2447,LEFT($C2447,FIND(",",$C2447)-1))))</f>
        <v/>
      </c>
      <c r="M2447" s="28">
        <f>IF($H2447="","",DATE(YEAR($H2447),MONTH($H2447),1))</f>
        <v/>
      </c>
      <c r="N2447" s="26">
        <f>IF($H2447="","",TODAY()-$H2447)</f>
        <v/>
      </c>
      <c r="O2447" s="15" t="n"/>
      <c r="P2447" s="15" t="n"/>
      <c r="Q2447" s="15" t="n"/>
      <c r="R2447" s="25" t="n"/>
      <c r="S2447" s="26">
        <f>IF($A2447="","",AND(OR('Assignment Builder'!$B$5="",$B2447='Assignment Builder'!$B$5),OR('Assignment Builder'!$B$6="",ISNUMBER(SEARCH('Assignment Builder'!$B$6,$C2447))),OR('Assignment Builder'!$B$7="",'Assignment Builder'!$B$7=IFERROR(INDEX('Category Dictionary'!$C$5:$C$135,MATCH($L2447,'Category Dictionary'!$D$5:$D$135,0)),"")),OR('Assignment Builder'!$B$8="",$D2447='Assignment Builder'!$B$8),OR('Assignment Builder'!$B$9="",$F2447='Assignment Builder'!$B$9),OR('Assignment Builder'!$B$10="",$O2447='Assignment Builder'!$B$10),OR('Assignment Builder'!$B$11="",$H2447&gt;='Assignment Builder'!$B$11),OR('Assignment Builder'!$B$12="",N($Q2447)&lt;='Assignment Builder'!$B$12)))</f>
        <v/>
      </c>
      <c r="T2447" s="23" t="n"/>
    </row>
    <row r="2448">
      <c r="A2448" s="23" t="n"/>
      <c r="B2448" s="23" t="n"/>
      <c r="C2448" s="24" t="n"/>
      <c r="D2448" s="15" t="n"/>
      <c r="E2448" s="23" t="n"/>
      <c r="F2448" s="15" t="n"/>
      <c r="G2448" s="23" t="n"/>
      <c r="H2448" s="25" t="n"/>
      <c r="I2448" s="15" t="n"/>
      <c r="J2448" s="26">
        <f>IF($A2448="","",LEN($C2448)-LEN(SUBSTITUTE($C2448,",",""))+1)</f>
        <v/>
      </c>
      <c r="K2448" s="26">
        <f>IF($A2448="","",SUMPRODUCT(--ISNUMBER(SEARCH('Category Dictionary'!$D$5:$D$135&amp;"",$C2448)),--('Category Dictionary'!$D$5:$D$135&lt;&gt;"")))</f>
        <v/>
      </c>
      <c r="L2448" s="27">
        <f>IF($A2448="","",TRIM(IF(ISERROR(FIND(",",$C2448)),$C2448,LEFT($C2448,FIND(",",$C2448)-1))))</f>
        <v/>
      </c>
      <c r="M2448" s="28">
        <f>IF($H2448="","",DATE(YEAR($H2448),MONTH($H2448),1))</f>
        <v/>
      </c>
      <c r="N2448" s="26">
        <f>IF($H2448="","",TODAY()-$H2448)</f>
        <v/>
      </c>
      <c r="O2448" s="15" t="n"/>
      <c r="P2448" s="15" t="n"/>
      <c r="Q2448" s="15" t="n"/>
      <c r="R2448" s="25" t="n"/>
      <c r="S2448" s="26">
        <f>IF($A2448="","",AND(OR('Assignment Builder'!$B$5="",$B2448='Assignment Builder'!$B$5),OR('Assignment Builder'!$B$6="",ISNUMBER(SEARCH('Assignment Builder'!$B$6,$C2448))),OR('Assignment Builder'!$B$7="",'Assignment Builder'!$B$7=IFERROR(INDEX('Category Dictionary'!$C$5:$C$135,MATCH($L2448,'Category Dictionary'!$D$5:$D$135,0)),"")),OR('Assignment Builder'!$B$8="",$D2448='Assignment Builder'!$B$8),OR('Assignment Builder'!$B$9="",$F2448='Assignment Builder'!$B$9),OR('Assignment Builder'!$B$10="",$O2448='Assignment Builder'!$B$10),OR('Assignment Builder'!$B$11="",$H2448&gt;='Assignment Builder'!$B$11),OR('Assignment Builder'!$B$12="",N($Q2448)&lt;='Assignment Builder'!$B$12)))</f>
        <v/>
      </c>
      <c r="T2448" s="23" t="n"/>
    </row>
    <row r="2449">
      <c r="A2449" s="23" t="n"/>
      <c r="B2449" s="23" t="n"/>
      <c r="C2449" s="24" t="n"/>
      <c r="D2449" s="15" t="n"/>
      <c r="E2449" s="23" t="n"/>
      <c r="F2449" s="15" t="n"/>
      <c r="G2449" s="23" t="n"/>
      <c r="H2449" s="25" t="n"/>
      <c r="I2449" s="15" t="n"/>
      <c r="J2449" s="26">
        <f>IF($A2449="","",LEN($C2449)-LEN(SUBSTITUTE($C2449,",",""))+1)</f>
        <v/>
      </c>
      <c r="K2449" s="26">
        <f>IF($A2449="","",SUMPRODUCT(--ISNUMBER(SEARCH('Category Dictionary'!$D$5:$D$135&amp;"",$C2449)),--('Category Dictionary'!$D$5:$D$135&lt;&gt;"")))</f>
        <v/>
      </c>
      <c r="L2449" s="27">
        <f>IF($A2449="","",TRIM(IF(ISERROR(FIND(",",$C2449)),$C2449,LEFT($C2449,FIND(",",$C2449)-1))))</f>
        <v/>
      </c>
      <c r="M2449" s="28">
        <f>IF($H2449="","",DATE(YEAR($H2449),MONTH($H2449),1))</f>
        <v/>
      </c>
      <c r="N2449" s="26">
        <f>IF($H2449="","",TODAY()-$H2449)</f>
        <v/>
      </c>
      <c r="O2449" s="15" t="n"/>
      <c r="P2449" s="15" t="n"/>
      <c r="Q2449" s="15" t="n"/>
      <c r="R2449" s="25" t="n"/>
      <c r="S2449" s="26">
        <f>IF($A2449="","",AND(OR('Assignment Builder'!$B$5="",$B2449='Assignment Builder'!$B$5),OR('Assignment Builder'!$B$6="",ISNUMBER(SEARCH('Assignment Builder'!$B$6,$C2449))),OR('Assignment Builder'!$B$7="",'Assignment Builder'!$B$7=IFERROR(INDEX('Category Dictionary'!$C$5:$C$135,MATCH($L2449,'Category Dictionary'!$D$5:$D$135,0)),"")),OR('Assignment Builder'!$B$8="",$D2449='Assignment Builder'!$B$8),OR('Assignment Builder'!$B$9="",$F2449='Assignment Builder'!$B$9),OR('Assignment Builder'!$B$10="",$O2449='Assignment Builder'!$B$10),OR('Assignment Builder'!$B$11="",$H2449&gt;='Assignment Builder'!$B$11),OR('Assignment Builder'!$B$12="",N($Q2449)&lt;='Assignment Builder'!$B$12)))</f>
        <v/>
      </c>
      <c r="T2449" s="23" t="n"/>
    </row>
    <row r="2450">
      <c r="A2450" s="23" t="n"/>
      <c r="B2450" s="23" t="n"/>
      <c r="C2450" s="24" t="n"/>
      <c r="D2450" s="15" t="n"/>
      <c r="E2450" s="23" t="n"/>
      <c r="F2450" s="15" t="n"/>
      <c r="G2450" s="23" t="n"/>
      <c r="H2450" s="25" t="n"/>
      <c r="I2450" s="15" t="n"/>
      <c r="J2450" s="26">
        <f>IF($A2450="","",LEN($C2450)-LEN(SUBSTITUTE($C2450,",",""))+1)</f>
        <v/>
      </c>
      <c r="K2450" s="26">
        <f>IF($A2450="","",SUMPRODUCT(--ISNUMBER(SEARCH('Category Dictionary'!$D$5:$D$135&amp;"",$C2450)),--('Category Dictionary'!$D$5:$D$135&lt;&gt;"")))</f>
        <v/>
      </c>
      <c r="L2450" s="27">
        <f>IF($A2450="","",TRIM(IF(ISERROR(FIND(",",$C2450)),$C2450,LEFT($C2450,FIND(",",$C2450)-1))))</f>
        <v/>
      </c>
      <c r="M2450" s="28">
        <f>IF($H2450="","",DATE(YEAR($H2450),MONTH($H2450),1))</f>
        <v/>
      </c>
      <c r="N2450" s="26">
        <f>IF($H2450="","",TODAY()-$H2450)</f>
        <v/>
      </c>
      <c r="O2450" s="15" t="n"/>
      <c r="P2450" s="15" t="n"/>
      <c r="Q2450" s="15" t="n"/>
      <c r="R2450" s="25" t="n"/>
      <c r="S2450" s="26">
        <f>IF($A2450="","",AND(OR('Assignment Builder'!$B$5="",$B2450='Assignment Builder'!$B$5),OR('Assignment Builder'!$B$6="",ISNUMBER(SEARCH('Assignment Builder'!$B$6,$C2450))),OR('Assignment Builder'!$B$7="",'Assignment Builder'!$B$7=IFERROR(INDEX('Category Dictionary'!$C$5:$C$135,MATCH($L2450,'Category Dictionary'!$D$5:$D$135,0)),"")),OR('Assignment Builder'!$B$8="",$D2450='Assignment Builder'!$B$8),OR('Assignment Builder'!$B$9="",$F2450='Assignment Builder'!$B$9),OR('Assignment Builder'!$B$10="",$O2450='Assignment Builder'!$B$10),OR('Assignment Builder'!$B$11="",$H2450&gt;='Assignment Builder'!$B$11),OR('Assignment Builder'!$B$12="",N($Q2450)&lt;='Assignment Builder'!$B$12)))</f>
        <v/>
      </c>
      <c r="T2450" s="23" t="n"/>
    </row>
    <row r="2451">
      <c r="A2451" s="23" t="n"/>
      <c r="B2451" s="23" t="n"/>
      <c r="C2451" s="24" t="n"/>
      <c r="D2451" s="15" t="n"/>
      <c r="E2451" s="23" t="n"/>
      <c r="F2451" s="15" t="n"/>
      <c r="G2451" s="23" t="n"/>
      <c r="H2451" s="25" t="n"/>
      <c r="I2451" s="15" t="n"/>
      <c r="J2451" s="26">
        <f>IF($A2451="","",LEN($C2451)-LEN(SUBSTITUTE($C2451,",",""))+1)</f>
        <v/>
      </c>
      <c r="K2451" s="26">
        <f>IF($A2451="","",SUMPRODUCT(--ISNUMBER(SEARCH('Category Dictionary'!$D$5:$D$135&amp;"",$C2451)),--('Category Dictionary'!$D$5:$D$135&lt;&gt;"")))</f>
        <v/>
      </c>
      <c r="L2451" s="27">
        <f>IF($A2451="","",TRIM(IF(ISERROR(FIND(",",$C2451)),$C2451,LEFT($C2451,FIND(",",$C2451)-1))))</f>
        <v/>
      </c>
      <c r="M2451" s="28">
        <f>IF($H2451="","",DATE(YEAR($H2451),MONTH($H2451),1))</f>
        <v/>
      </c>
      <c r="N2451" s="26">
        <f>IF($H2451="","",TODAY()-$H2451)</f>
        <v/>
      </c>
      <c r="O2451" s="15" t="n"/>
      <c r="P2451" s="15" t="n"/>
      <c r="Q2451" s="15" t="n"/>
      <c r="R2451" s="25" t="n"/>
      <c r="S2451" s="26">
        <f>IF($A2451="","",AND(OR('Assignment Builder'!$B$5="",$B2451='Assignment Builder'!$B$5),OR('Assignment Builder'!$B$6="",ISNUMBER(SEARCH('Assignment Builder'!$B$6,$C2451))),OR('Assignment Builder'!$B$7="",'Assignment Builder'!$B$7=IFERROR(INDEX('Category Dictionary'!$C$5:$C$135,MATCH($L2451,'Category Dictionary'!$D$5:$D$135,0)),"")),OR('Assignment Builder'!$B$8="",$D2451='Assignment Builder'!$B$8),OR('Assignment Builder'!$B$9="",$F2451='Assignment Builder'!$B$9),OR('Assignment Builder'!$B$10="",$O2451='Assignment Builder'!$B$10),OR('Assignment Builder'!$B$11="",$H2451&gt;='Assignment Builder'!$B$11),OR('Assignment Builder'!$B$12="",N($Q2451)&lt;='Assignment Builder'!$B$12)))</f>
        <v/>
      </c>
      <c r="T2451" s="23" t="n"/>
    </row>
    <row r="2452">
      <c r="A2452" s="23" t="n"/>
      <c r="B2452" s="23" t="n"/>
      <c r="C2452" s="24" t="n"/>
      <c r="D2452" s="15" t="n"/>
      <c r="E2452" s="23" t="n"/>
      <c r="F2452" s="15" t="n"/>
      <c r="G2452" s="23" t="n"/>
      <c r="H2452" s="25" t="n"/>
      <c r="I2452" s="15" t="n"/>
      <c r="J2452" s="26">
        <f>IF($A2452="","",LEN($C2452)-LEN(SUBSTITUTE($C2452,",",""))+1)</f>
        <v/>
      </c>
      <c r="K2452" s="26">
        <f>IF($A2452="","",SUMPRODUCT(--ISNUMBER(SEARCH('Category Dictionary'!$D$5:$D$135&amp;"",$C2452)),--('Category Dictionary'!$D$5:$D$135&lt;&gt;"")))</f>
        <v/>
      </c>
      <c r="L2452" s="27">
        <f>IF($A2452="","",TRIM(IF(ISERROR(FIND(",",$C2452)),$C2452,LEFT($C2452,FIND(",",$C2452)-1))))</f>
        <v/>
      </c>
      <c r="M2452" s="28">
        <f>IF($H2452="","",DATE(YEAR($H2452),MONTH($H2452),1))</f>
        <v/>
      </c>
      <c r="N2452" s="26">
        <f>IF($H2452="","",TODAY()-$H2452)</f>
        <v/>
      </c>
      <c r="O2452" s="15" t="n"/>
      <c r="P2452" s="15" t="n"/>
      <c r="Q2452" s="15" t="n"/>
      <c r="R2452" s="25" t="n"/>
      <c r="S2452" s="26">
        <f>IF($A2452="","",AND(OR('Assignment Builder'!$B$5="",$B2452='Assignment Builder'!$B$5),OR('Assignment Builder'!$B$6="",ISNUMBER(SEARCH('Assignment Builder'!$B$6,$C2452))),OR('Assignment Builder'!$B$7="",'Assignment Builder'!$B$7=IFERROR(INDEX('Category Dictionary'!$C$5:$C$135,MATCH($L2452,'Category Dictionary'!$D$5:$D$135,0)),"")),OR('Assignment Builder'!$B$8="",$D2452='Assignment Builder'!$B$8),OR('Assignment Builder'!$B$9="",$F2452='Assignment Builder'!$B$9),OR('Assignment Builder'!$B$10="",$O2452='Assignment Builder'!$B$10),OR('Assignment Builder'!$B$11="",$H2452&gt;='Assignment Builder'!$B$11),OR('Assignment Builder'!$B$12="",N($Q2452)&lt;='Assignment Builder'!$B$12)))</f>
        <v/>
      </c>
      <c r="T2452" s="23" t="n"/>
    </row>
    <row r="2453">
      <c r="A2453" s="23" t="n"/>
      <c r="B2453" s="23" t="n"/>
      <c r="C2453" s="24" t="n"/>
      <c r="D2453" s="15" t="n"/>
      <c r="E2453" s="23" t="n"/>
      <c r="F2453" s="15" t="n"/>
      <c r="G2453" s="23" t="n"/>
      <c r="H2453" s="25" t="n"/>
      <c r="I2453" s="15" t="n"/>
      <c r="J2453" s="26">
        <f>IF($A2453="","",LEN($C2453)-LEN(SUBSTITUTE($C2453,",",""))+1)</f>
        <v/>
      </c>
      <c r="K2453" s="26">
        <f>IF($A2453="","",SUMPRODUCT(--ISNUMBER(SEARCH('Category Dictionary'!$D$5:$D$135&amp;"",$C2453)),--('Category Dictionary'!$D$5:$D$135&lt;&gt;"")))</f>
        <v/>
      </c>
      <c r="L2453" s="27">
        <f>IF($A2453="","",TRIM(IF(ISERROR(FIND(",",$C2453)),$C2453,LEFT($C2453,FIND(",",$C2453)-1))))</f>
        <v/>
      </c>
      <c r="M2453" s="28">
        <f>IF($H2453="","",DATE(YEAR($H2453),MONTH($H2453),1))</f>
        <v/>
      </c>
      <c r="N2453" s="26">
        <f>IF($H2453="","",TODAY()-$H2453)</f>
        <v/>
      </c>
      <c r="O2453" s="15" t="n"/>
      <c r="P2453" s="15" t="n"/>
      <c r="Q2453" s="15" t="n"/>
      <c r="R2453" s="25" t="n"/>
      <c r="S2453" s="26">
        <f>IF($A2453="","",AND(OR('Assignment Builder'!$B$5="",$B2453='Assignment Builder'!$B$5),OR('Assignment Builder'!$B$6="",ISNUMBER(SEARCH('Assignment Builder'!$B$6,$C2453))),OR('Assignment Builder'!$B$7="",'Assignment Builder'!$B$7=IFERROR(INDEX('Category Dictionary'!$C$5:$C$135,MATCH($L2453,'Category Dictionary'!$D$5:$D$135,0)),"")),OR('Assignment Builder'!$B$8="",$D2453='Assignment Builder'!$B$8),OR('Assignment Builder'!$B$9="",$F2453='Assignment Builder'!$B$9),OR('Assignment Builder'!$B$10="",$O2453='Assignment Builder'!$B$10),OR('Assignment Builder'!$B$11="",$H2453&gt;='Assignment Builder'!$B$11),OR('Assignment Builder'!$B$12="",N($Q2453)&lt;='Assignment Builder'!$B$12)))</f>
        <v/>
      </c>
      <c r="T2453" s="23" t="n"/>
    </row>
    <row r="2454">
      <c r="A2454" s="23" t="n"/>
      <c r="B2454" s="23" t="n"/>
      <c r="C2454" s="24" t="n"/>
      <c r="D2454" s="15" t="n"/>
      <c r="E2454" s="23" t="n"/>
      <c r="F2454" s="15" t="n"/>
      <c r="G2454" s="23" t="n"/>
      <c r="H2454" s="25" t="n"/>
      <c r="I2454" s="15" t="n"/>
      <c r="J2454" s="26">
        <f>IF($A2454="","",LEN($C2454)-LEN(SUBSTITUTE($C2454,",",""))+1)</f>
        <v/>
      </c>
      <c r="K2454" s="26">
        <f>IF($A2454="","",SUMPRODUCT(--ISNUMBER(SEARCH('Category Dictionary'!$D$5:$D$135&amp;"",$C2454)),--('Category Dictionary'!$D$5:$D$135&lt;&gt;"")))</f>
        <v/>
      </c>
      <c r="L2454" s="27">
        <f>IF($A2454="","",TRIM(IF(ISERROR(FIND(",",$C2454)),$C2454,LEFT($C2454,FIND(",",$C2454)-1))))</f>
        <v/>
      </c>
      <c r="M2454" s="28">
        <f>IF($H2454="","",DATE(YEAR($H2454),MONTH($H2454),1))</f>
        <v/>
      </c>
      <c r="N2454" s="26">
        <f>IF($H2454="","",TODAY()-$H2454)</f>
        <v/>
      </c>
      <c r="O2454" s="15" t="n"/>
      <c r="P2454" s="15" t="n"/>
      <c r="Q2454" s="15" t="n"/>
      <c r="R2454" s="25" t="n"/>
      <c r="S2454" s="26">
        <f>IF($A2454="","",AND(OR('Assignment Builder'!$B$5="",$B2454='Assignment Builder'!$B$5),OR('Assignment Builder'!$B$6="",ISNUMBER(SEARCH('Assignment Builder'!$B$6,$C2454))),OR('Assignment Builder'!$B$7="",'Assignment Builder'!$B$7=IFERROR(INDEX('Category Dictionary'!$C$5:$C$135,MATCH($L2454,'Category Dictionary'!$D$5:$D$135,0)),"")),OR('Assignment Builder'!$B$8="",$D2454='Assignment Builder'!$B$8),OR('Assignment Builder'!$B$9="",$F2454='Assignment Builder'!$B$9),OR('Assignment Builder'!$B$10="",$O2454='Assignment Builder'!$B$10),OR('Assignment Builder'!$B$11="",$H2454&gt;='Assignment Builder'!$B$11),OR('Assignment Builder'!$B$12="",N($Q2454)&lt;='Assignment Builder'!$B$12)))</f>
        <v/>
      </c>
      <c r="T2454" s="23" t="n"/>
    </row>
    <row r="2455">
      <c r="A2455" s="23" t="n"/>
      <c r="B2455" s="23" t="n"/>
      <c r="C2455" s="24" t="n"/>
      <c r="D2455" s="15" t="n"/>
      <c r="E2455" s="23" t="n"/>
      <c r="F2455" s="15" t="n"/>
      <c r="G2455" s="23" t="n"/>
      <c r="H2455" s="25" t="n"/>
      <c r="I2455" s="15" t="n"/>
      <c r="J2455" s="26">
        <f>IF($A2455="","",LEN($C2455)-LEN(SUBSTITUTE($C2455,",",""))+1)</f>
        <v/>
      </c>
      <c r="K2455" s="26">
        <f>IF($A2455="","",SUMPRODUCT(--ISNUMBER(SEARCH('Category Dictionary'!$D$5:$D$135&amp;"",$C2455)),--('Category Dictionary'!$D$5:$D$135&lt;&gt;"")))</f>
        <v/>
      </c>
      <c r="L2455" s="27">
        <f>IF($A2455="","",TRIM(IF(ISERROR(FIND(",",$C2455)),$C2455,LEFT($C2455,FIND(",",$C2455)-1))))</f>
        <v/>
      </c>
      <c r="M2455" s="28">
        <f>IF($H2455="","",DATE(YEAR($H2455),MONTH($H2455),1))</f>
        <v/>
      </c>
      <c r="N2455" s="26">
        <f>IF($H2455="","",TODAY()-$H2455)</f>
        <v/>
      </c>
      <c r="O2455" s="15" t="n"/>
      <c r="P2455" s="15" t="n"/>
      <c r="Q2455" s="15" t="n"/>
      <c r="R2455" s="25" t="n"/>
      <c r="S2455" s="26">
        <f>IF($A2455="","",AND(OR('Assignment Builder'!$B$5="",$B2455='Assignment Builder'!$B$5),OR('Assignment Builder'!$B$6="",ISNUMBER(SEARCH('Assignment Builder'!$B$6,$C2455))),OR('Assignment Builder'!$B$7="",'Assignment Builder'!$B$7=IFERROR(INDEX('Category Dictionary'!$C$5:$C$135,MATCH($L2455,'Category Dictionary'!$D$5:$D$135,0)),"")),OR('Assignment Builder'!$B$8="",$D2455='Assignment Builder'!$B$8),OR('Assignment Builder'!$B$9="",$F2455='Assignment Builder'!$B$9),OR('Assignment Builder'!$B$10="",$O2455='Assignment Builder'!$B$10),OR('Assignment Builder'!$B$11="",$H2455&gt;='Assignment Builder'!$B$11),OR('Assignment Builder'!$B$12="",N($Q2455)&lt;='Assignment Builder'!$B$12)))</f>
        <v/>
      </c>
      <c r="T2455" s="23" t="n"/>
    </row>
    <row r="2456">
      <c r="A2456" s="23" t="n"/>
      <c r="B2456" s="23" t="n"/>
      <c r="C2456" s="24" t="n"/>
      <c r="D2456" s="15" t="n"/>
      <c r="E2456" s="23" t="n"/>
      <c r="F2456" s="15" t="n"/>
      <c r="G2456" s="23" t="n"/>
      <c r="H2456" s="25" t="n"/>
      <c r="I2456" s="15" t="n"/>
      <c r="J2456" s="26">
        <f>IF($A2456="","",LEN($C2456)-LEN(SUBSTITUTE($C2456,",",""))+1)</f>
        <v/>
      </c>
      <c r="K2456" s="26">
        <f>IF($A2456="","",SUMPRODUCT(--ISNUMBER(SEARCH('Category Dictionary'!$D$5:$D$135&amp;"",$C2456)),--('Category Dictionary'!$D$5:$D$135&lt;&gt;"")))</f>
        <v/>
      </c>
      <c r="L2456" s="27">
        <f>IF($A2456="","",TRIM(IF(ISERROR(FIND(",",$C2456)),$C2456,LEFT($C2456,FIND(",",$C2456)-1))))</f>
        <v/>
      </c>
      <c r="M2456" s="28">
        <f>IF($H2456="","",DATE(YEAR($H2456),MONTH($H2456),1))</f>
        <v/>
      </c>
      <c r="N2456" s="26">
        <f>IF($H2456="","",TODAY()-$H2456)</f>
        <v/>
      </c>
      <c r="O2456" s="15" t="n"/>
      <c r="P2456" s="15" t="n"/>
      <c r="Q2456" s="15" t="n"/>
      <c r="R2456" s="25" t="n"/>
      <c r="S2456" s="26">
        <f>IF($A2456="","",AND(OR('Assignment Builder'!$B$5="",$B2456='Assignment Builder'!$B$5),OR('Assignment Builder'!$B$6="",ISNUMBER(SEARCH('Assignment Builder'!$B$6,$C2456))),OR('Assignment Builder'!$B$7="",'Assignment Builder'!$B$7=IFERROR(INDEX('Category Dictionary'!$C$5:$C$135,MATCH($L2456,'Category Dictionary'!$D$5:$D$135,0)),"")),OR('Assignment Builder'!$B$8="",$D2456='Assignment Builder'!$B$8),OR('Assignment Builder'!$B$9="",$F2456='Assignment Builder'!$B$9),OR('Assignment Builder'!$B$10="",$O2456='Assignment Builder'!$B$10),OR('Assignment Builder'!$B$11="",$H2456&gt;='Assignment Builder'!$B$11),OR('Assignment Builder'!$B$12="",N($Q2456)&lt;='Assignment Builder'!$B$12)))</f>
        <v/>
      </c>
      <c r="T2456" s="23" t="n"/>
    </row>
    <row r="2457">
      <c r="A2457" s="23" t="n"/>
      <c r="B2457" s="23" t="n"/>
      <c r="C2457" s="24" t="n"/>
      <c r="D2457" s="15" t="n"/>
      <c r="E2457" s="23" t="n"/>
      <c r="F2457" s="15" t="n"/>
      <c r="G2457" s="23" t="n"/>
      <c r="H2457" s="25" t="n"/>
      <c r="I2457" s="15" t="n"/>
      <c r="J2457" s="26">
        <f>IF($A2457="","",LEN($C2457)-LEN(SUBSTITUTE($C2457,",",""))+1)</f>
        <v/>
      </c>
      <c r="K2457" s="26">
        <f>IF($A2457="","",SUMPRODUCT(--ISNUMBER(SEARCH('Category Dictionary'!$D$5:$D$135&amp;"",$C2457)),--('Category Dictionary'!$D$5:$D$135&lt;&gt;"")))</f>
        <v/>
      </c>
      <c r="L2457" s="27">
        <f>IF($A2457="","",TRIM(IF(ISERROR(FIND(",",$C2457)),$C2457,LEFT($C2457,FIND(",",$C2457)-1))))</f>
        <v/>
      </c>
      <c r="M2457" s="28">
        <f>IF($H2457="","",DATE(YEAR($H2457),MONTH($H2457),1))</f>
        <v/>
      </c>
      <c r="N2457" s="26">
        <f>IF($H2457="","",TODAY()-$H2457)</f>
        <v/>
      </c>
      <c r="O2457" s="15" t="n"/>
      <c r="P2457" s="15" t="n"/>
      <c r="Q2457" s="15" t="n"/>
      <c r="R2457" s="25" t="n"/>
      <c r="S2457" s="26">
        <f>IF($A2457="","",AND(OR('Assignment Builder'!$B$5="",$B2457='Assignment Builder'!$B$5),OR('Assignment Builder'!$B$6="",ISNUMBER(SEARCH('Assignment Builder'!$B$6,$C2457))),OR('Assignment Builder'!$B$7="",'Assignment Builder'!$B$7=IFERROR(INDEX('Category Dictionary'!$C$5:$C$135,MATCH($L2457,'Category Dictionary'!$D$5:$D$135,0)),"")),OR('Assignment Builder'!$B$8="",$D2457='Assignment Builder'!$B$8),OR('Assignment Builder'!$B$9="",$F2457='Assignment Builder'!$B$9),OR('Assignment Builder'!$B$10="",$O2457='Assignment Builder'!$B$10),OR('Assignment Builder'!$B$11="",$H2457&gt;='Assignment Builder'!$B$11),OR('Assignment Builder'!$B$12="",N($Q2457)&lt;='Assignment Builder'!$B$12)))</f>
        <v/>
      </c>
      <c r="T2457" s="23" t="n"/>
    </row>
    <row r="2458">
      <c r="A2458" s="23" t="n"/>
      <c r="B2458" s="23" t="n"/>
      <c r="C2458" s="24" t="n"/>
      <c r="D2458" s="15" t="n"/>
      <c r="E2458" s="23" t="n"/>
      <c r="F2458" s="15" t="n"/>
      <c r="G2458" s="23" t="n"/>
      <c r="H2458" s="25" t="n"/>
      <c r="I2458" s="15" t="n"/>
      <c r="J2458" s="26">
        <f>IF($A2458="","",LEN($C2458)-LEN(SUBSTITUTE($C2458,",",""))+1)</f>
        <v/>
      </c>
      <c r="K2458" s="26">
        <f>IF($A2458="","",SUMPRODUCT(--ISNUMBER(SEARCH('Category Dictionary'!$D$5:$D$135&amp;"",$C2458)),--('Category Dictionary'!$D$5:$D$135&lt;&gt;"")))</f>
        <v/>
      </c>
      <c r="L2458" s="27">
        <f>IF($A2458="","",TRIM(IF(ISERROR(FIND(",",$C2458)),$C2458,LEFT($C2458,FIND(",",$C2458)-1))))</f>
        <v/>
      </c>
      <c r="M2458" s="28">
        <f>IF($H2458="","",DATE(YEAR($H2458),MONTH($H2458),1))</f>
        <v/>
      </c>
      <c r="N2458" s="26">
        <f>IF($H2458="","",TODAY()-$H2458)</f>
        <v/>
      </c>
      <c r="O2458" s="15" t="n"/>
      <c r="P2458" s="15" t="n"/>
      <c r="Q2458" s="15" t="n"/>
      <c r="R2458" s="25" t="n"/>
      <c r="S2458" s="26">
        <f>IF($A2458="","",AND(OR('Assignment Builder'!$B$5="",$B2458='Assignment Builder'!$B$5),OR('Assignment Builder'!$B$6="",ISNUMBER(SEARCH('Assignment Builder'!$B$6,$C2458))),OR('Assignment Builder'!$B$7="",'Assignment Builder'!$B$7=IFERROR(INDEX('Category Dictionary'!$C$5:$C$135,MATCH($L2458,'Category Dictionary'!$D$5:$D$135,0)),"")),OR('Assignment Builder'!$B$8="",$D2458='Assignment Builder'!$B$8),OR('Assignment Builder'!$B$9="",$F2458='Assignment Builder'!$B$9),OR('Assignment Builder'!$B$10="",$O2458='Assignment Builder'!$B$10),OR('Assignment Builder'!$B$11="",$H2458&gt;='Assignment Builder'!$B$11),OR('Assignment Builder'!$B$12="",N($Q2458)&lt;='Assignment Builder'!$B$12)))</f>
        <v/>
      </c>
      <c r="T2458" s="23" t="n"/>
    </row>
    <row r="2459">
      <c r="A2459" s="23" t="n"/>
      <c r="B2459" s="23" t="n"/>
      <c r="C2459" s="24" t="n"/>
      <c r="D2459" s="15" t="n"/>
      <c r="E2459" s="23" t="n"/>
      <c r="F2459" s="15" t="n"/>
      <c r="G2459" s="23" t="n"/>
      <c r="H2459" s="25" t="n"/>
      <c r="I2459" s="15" t="n"/>
      <c r="J2459" s="26">
        <f>IF($A2459="","",LEN($C2459)-LEN(SUBSTITUTE($C2459,",",""))+1)</f>
        <v/>
      </c>
      <c r="K2459" s="26">
        <f>IF($A2459="","",SUMPRODUCT(--ISNUMBER(SEARCH('Category Dictionary'!$D$5:$D$135&amp;"",$C2459)),--('Category Dictionary'!$D$5:$D$135&lt;&gt;"")))</f>
        <v/>
      </c>
      <c r="L2459" s="27">
        <f>IF($A2459="","",TRIM(IF(ISERROR(FIND(",",$C2459)),$C2459,LEFT($C2459,FIND(",",$C2459)-1))))</f>
        <v/>
      </c>
      <c r="M2459" s="28">
        <f>IF($H2459="","",DATE(YEAR($H2459),MONTH($H2459),1))</f>
        <v/>
      </c>
      <c r="N2459" s="26">
        <f>IF($H2459="","",TODAY()-$H2459)</f>
        <v/>
      </c>
      <c r="O2459" s="15" t="n"/>
      <c r="P2459" s="15" t="n"/>
      <c r="Q2459" s="15" t="n"/>
      <c r="R2459" s="25" t="n"/>
      <c r="S2459" s="26">
        <f>IF($A2459="","",AND(OR('Assignment Builder'!$B$5="",$B2459='Assignment Builder'!$B$5),OR('Assignment Builder'!$B$6="",ISNUMBER(SEARCH('Assignment Builder'!$B$6,$C2459))),OR('Assignment Builder'!$B$7="",'Assignment Builder'!$B$7=IFERROR(INDEX('Category Dictionary'!$C$5:$C$135,MATCH($L2459,'Category Dictionary'!$D$5:$D$135,0)),"")),OR('Assignment Builder'!$B$8="",$D2459='Assignment Builder'!$B$8),OR('Assignment Builder'!$B$9="",$F2459='Assignment Builder'!$B$9),OR('Assignment Builder'!$B$10="",$O2459='Assignment Builder'!$B$10),OR('Assignment Builder'!$B$11="",$H2459&gt;='Assignment Builder'!$B$11),OR('Assignment Builder'!$B$12="",N($Q2459)&lt;='Assignment Builder'!$B$12)))</f>
        <v/>
      </c>
      <c r="T2459" s="23" t="n"/>
    </row>
    <row r="2460">
      <c r="A2460" s="23" t="n"/>
      <c r="B2460" s="23" t="n"/>
      <c r="C2460" s="24" t="n"/>
      <c r="D2460" s="15" t="n"/>
      <c r="E2460" s="23" t="n"/>
      <c r="F2460" s="15" t="n"/>
      <c r="G2460" s="23" t="n"/>
      <c r="H2460" s="25" t="n"/>
      <c r="I2460" s="15" t="n"/>
      <c r="J2460" s="26">
        <f>IF($A2460="","",LEN($C2460)-LEN(SUBSTITUTE($C2460,",",""))+1)</f>
        <v/>
      </c>
      <c r="K2460" s="26">
        <f>IF($A2460="","",SUMPRODUCT(--ISNUMBER(SEARCH('Category Dictionary'!$D$5:$D$135&amp;"",$C2460)),--('Category Dictionary'!$D$5:$D$135&lt;&gt;"")))</f>
        <v/>
      </c>
      <c r="L2460" s="27">
        <f>IF($A2460="","",TRIM(IF(ISERROR(FIND(",",$C2460)),$C2460,LEFT($C2460,FIND(",",$C2460)-1))))</f>
        <v/>
      </c>
      <c r="M2460" s="28">
        <f>IF($H2460="","",DATE(YEAR($H2460),MONTH($H2460),1))</f>
        <v/>
      </c>
      <c r="N2460" s="26">
        <f>IF($H2460="","",TODAY()-$H2460)</f>
        <v/>
      </c>
      <c r="O2460" s="15" t="n"/>
      <c r="P2460" s="15" t="n"/>
      <c r="Q2460" s="15" t="n"/>
      <c r="R2460" s="25" t="n"/>
      <c r="S2460" s="26">
        <f>IF($A2460="","",AND(OR('Assignment Builder'!$B$5="",$B2460='Assignment Builder'!$B$5),OR('Assignment Builder'!$B$6="",ISNUMBER(SEARCH('Assignment Builder'!$B$6,$C2460))),OR('Assignment Builder'!$B$7="",'Assignment Builder'!$B$7=IFERROR(INDEX('Category Dictionary'!$C$5:$C$135,MATCH($L2460,'Category Dictionary'!$D$5:$D$135,0)),"")),OR('Assignment Builder'!$B$8="",$D2460='Assignment Builder'!$B$8),OR('Assignment Builder'!$B$9="",$F2460='Assignment Builder'!$B$9),OR('Assignment Builder'!$B$10="",$O2460='Assignment Builder'!$B$10),OR('Assignment Builder'!$B$11="",$H2460&gt;='Assignment Builder'!$B$11),OR('Assignment Builder'!$B$12="",N($Q2460)&lt;='Assignment Builder'!$B$12)))</f>
        <v/>
      </c>
      <c r="T2460" s="23" t="n"/>
    </row>
    <row r="2461">
      <c r="A2461" s="23" t="n"/>
      <c r="B2461" s="23" t="n"/>
      <c r="C2461" s="24" t="n"/>
      <c r="D2461" s="15" t="n"/>
      <c r="E2461" s="23" t="n"/>
      <c r="F2461" s="15" t="n"/>
      <c r="G2461" s="23" t="n"/>
      <c r="H2461" s="25" t="n"/>
      <c r="I2461" s="15" t="n"/>
      <c r="J2461" s="26">
        <f>IF($A2461="","",LEN($C2461)-LEN(SUBSTITUTE($C2461,",",""))+1)</f>
        <v/>
      </c>
      <c r="K2461" s="26">
        <f>IF($A2461="","",SUMPRODUCT(--ISNUMBER(SEARCH('Category Dictionary'!$D$5:$D$135&amp;"",$C2461)),--('Category Dictionary'!$D$5:$D$135&lt;&gt;"")))</f>
        <v/>
      </c>
      <c r="L2461" s="27">
        <f>IF($A2461="","",TRIM(IF(ISERROR(FIND(",",$C2461)),$C2461,LEFT($C2461,FIND(",",$C2461)-1))))</f>
        <v/>
      </c>
      <c r="M2461" s="28">
        <f>IF($H2461="","",DATE(YEAR($H2461),MONTH($H2461),1))</f>
        <v/>
      </c>
      <c r="N2461" s="26">
        <f>IF($H2461="","",TODAY()-$H2461)</f>
        <v/>
      </c>
      <c r="O2461" s="15" t="n"/>
      <c r="P2461" s="15" t="n"/>
      <c r="Q2461" s="15" t="n"/>
      <c r="R2461" s="25" t="n"/>
      <c r="S2461" s="26">
        <f>IF($A2461="","",AND(OR('Assignment Builder'!$B$5="",$B2461='Assignment Builder'!$B$5),OR('Assignment Builder'!$B$6="",ISNUMBER(SEARCH('Assignment Builder'!$B$6,$C2461))),OR('Assignment Builder'!$B$7="",'Assignment Builder'!$B$7=IFERROR(INDEX('Category Dictionary'!$C$5:$C$135,MATCH($L2461,'Category Dictionary'!$D$5:$D$135,0)),"")),OR('Assignment Builder'!$B$8="",$D2461='Assignment Builder'!$B$8),OR('Assignment Builder'!$B$9="",$F2461='Assignment Builder'!$B$9),OR('Assignment Builder'!$B$10="",$O2461='Assignment Builder'!$B$10),OR('Assignment Builder'!$B$11="",$H2461&gt;='Assignment Builder'!$B$11),OR('Assignment Builder'!$B$12="",N($Q2461)&lt;='Assignment Builder'!$B$12)))</f>
        <v/>
      </c>
      <c r="T2461" s="23" t="n"/>
    </row>
    <row r="2462">
      <c r="A2462" s="23" t="n"/>
      <c r="B2462" s="23" t="n"/>
      <c r="C2462" s="24" t="n"/>
      <c r="D2462" s="15" t="n"/>
      <c r="E2462" s="23" t="n"/>
      <c r="F2462" s="15" t="n"/>
      <c r="G2462" s="23" t="n"/>
      <c r="H2462" s="25" t="n"/>
      <c r="I2462" s="15" t="n"/>
      <c r="J2462" s="26">
        <f>IF($A2462="","",LEN($C2462)-LEN(SUBSTITUTE($C2462,",",""))+1)</f>
        <v/>
      </c>
      <c r="K2462" s="26">
        <f>IF($A2462="","",SUMPRODUCT(--ISNUMBER(SEARCH('Category Dictionary'!$D$5:$D$135&amp;"",$C2462)),--('Category Dictionary'!$D$5:$D$135&lt;&gt;"")))</f>
        <v/>
      </c>
      <c r="L2462" s="27">
        <f>IF($A2462="","",TRIM(IF(ISERROR(FIND(",",$C2462)),$C2462,LEFT($C2462,FIND(",",$C2462)-1))))</f>
        <v/>
      </c>
      <c r="M2462" s="28">
        <f>IF($H2462="","",DATE(YEAR($H2462),MONTH($H2462),1))</f>
        <v/>
      </c>
      <c r="N2462" s="26">
        <f>IF($H2462="","",TODAY()-$H2462)</f>
        <v/>
      </c>
      <c r="O2462" s="15" t="n"/>
      <c r="P2462" s="15" t="n"/>
      <c r="Q2462" s="15" t="n"/>
      <c r="R2462" s="25" t="n"/>
      <c r="S2462" s="26">
        <f>IF($A2462="","",AND(OR('Assignment Builder'!$B$5="",$B2462='Assignment Builder'!$B$5),OR('Assignment Builder'!$B$6="",ISNUMBER(SEARCH('Assignment Builder'!$B$6,$C2462))),OR('Assignment Builder'!$B$7="",'Assignment Builder'!$B$7=IFERROR(INDEX('Category Dictionary'!$C$5:$C$135,MATCH($L2462,'Category Dictionary'!$D$5:$D$135,0)),"")),OR('Assignment Builder'!$B$8="",$D2462='Assignment Builder'!$B$8),OR('Assignment Builder'!$B$9="",$F2462='Assignment Builder'!$B$9),OR('Assignment Builder'!$B$10="",$O2462='Assignment Builder'!$B$10),OR('Assignment Builder'!$B$11="",$H2462&gt;='Assignment Builder'!$B$11),OR('Assignment Builder'!$B$12="",N($Q2462)&lt;='Assignment Builder'!$B$12)))</f>
        <v/>
      </c>
      <c r="T2462" s="23" t="n"/>
    </row>
    <row r="2463">
      <c r="A2463" s="23" t="n"/>
      <c r="B2463" s="23" t="n"/>
      <c r="C2463" s="24" t="n"/>
      <c r="D2463" s="15" t="n"/>
      <c r="E2463" s="23" t="n"/>
      <c r="F2463" s="15" t="n"/>
      <c r="G2463" s="23" t="n"/>
      <c r="H2463" s="25" t="n"/>
      <c r="I2463" s="15" t="n"/>
      <c r="J2463" s="26">
        <f>IF($A2463="","",LEN($C2463)-LEN(SUBSTITUTE($C2463,",",""))+1)</f>
        <v/>
      </c>
      <c r="K2463" s="26">
        <f>IF($A2463="","",SUMPRODUCT(--ISNUMBER(SEARCH('Category Dictionary'!$D$5:$D$135&amp;"",$C2463)),--('Category Dictionary'!$D$5:$D$135&lt;&gt;"")))</f>
        <v/>
      </c>
      <c r="L2463" s="27">
        <f>IF($A2463="","",TRIM(IF(ISERROR(FIND(",",$C2463)),$C2463,LEFT($C2463,FIND(",",$C2463)-1))))</f>
        <v/>
      </c>
      <c r="M2463" s="28">
        <f>IF($H2463="","",DATE(YEAR($H2463),MONTH($H2463),1))</f>
        <v/>
      </c>
      <c r="N2463" s="26">
        <f>IF($H2463="","",TODAY()-$H2463)</f>
        <v/>
      </c>
      <c r="O2463" s="15" t="n"/>
      <c r="P2463" s="15" t="n"/>
      <c r="Q2463" s="15" t="n"/>
      <c r="R2463" s="25" t="n"/>
      <c r="S2463" s="26">
        <f>IF($A2463="","",AND(OR('Assignment Builder'!$B$5="",$B2463='Assignment Builder'!$B$5),OR('Assignment Builder'!$B$6="",ISNUMBER(SEARCH('Assignment Builder'!$B$6,$C2463))),OR('Assignment Builder'!$B$7="",'Assignment Builder'!$B$7=IFERROR(INDEX('Category Dictionary'!$C$5:$C$135,MATCH($L2463,'Category Dictionary'!$D$5:$D$135,0)),"")),OR('Assignment Builder'!$B$8="",$D2463='Assignment Builder'!$B$8),OR('Assignment Builder'!$B$9="",$F2463='Assignment Builder'!$B$9),OR('Assignment Builder'!$B$10="",$O2463='Assignment Builder'!$B$10),OR('Assignment Builder'!$B$11="",$H2463&gt;='Assignment Builder'!$B$11),OR('Assignment Builder'!$B$12="",N($Q2463)&lt;='Assignment Builder'!$B$12)))</f>
        <v/>
      </c>
      <c r="T2463" s="23" t="n"/>
    </row>
    <row r="2464">
      <c r="A2464" s="23" t="n"/>
      <c r="B2464" s="23" t="n"/>
      <c r="C2464" s="24" t="n"/>
      <c r="D2464" s="15" t="n"/>
      <c r="E2464" s="23" t="n"/>
      <c r="F2464" s="15" t="n"/>
      <c r="G2464" s="23" t="n"/>
      <c r="H2464" s="25" t="n"/>
      <c r="I2464" s="15" t="n"/>
      <c r="J2464" s="26">
        <f>IF($A2464="","",LEN($C2464)-LEN(SUBSTITUTE($C2464,",",""))+1)</f>
        <v/>
      </c>
      <c r="K2464" s="26">
        <f>IF($A2464="","",SUMPRODUCT(--ISNUMBER(SEARCH('Category Dictionary'!$D$5:$D$135&amp;"",$C2464)),--('Category Dictionary'!$D$5:$D$135&lt;&gt;"")))</f>
        <v/>
      </c>
      <c r="L2464" s="27">
        <f>IF($A2464="","",TRIM(IF(ISERROR(FIND(",",$C2464)),$C2464,LEFT($C2464,FIND(",",$C2464)-1))))</f>
        <v/>
      </c>
      <c r="M2464" s="28">
        <f>IF($H2464="","",DATE(YEAR($H2464),MONTH($H2464),1))</f>
        <v/>
      </c>
      <c r="N2464" s="26">
        <f>IF($H2464="","",TODAY()-$H2464)</f>
        <v/>
      </c>
      <c r="O2464" s="15" t="n"/>
      <c r="P2464" s="15" t="n"/>
      <c r="Q2464" s="15" t="n"/>
      <c r="R2464" s="25" t="n"/>
      <c r="S2464" s="26">
        <f>IF($A2464="","",AND(OR('Assignment Builder'!$B$5="",$B2464='Assignment Builder'!$B$5),OR('Assignment Builder'!$B$6="",ISNUMBER(SEARCH('Assignment Builder'!$B$6,$C2464))),OR('Assignment Builder'!$B$7="",'Assignment Builder'!$B$7=IFERROR(INDEX('Category Dictionary'!$C$5:$C$135,MATCH($L2464,'Category Dictionary'!$D$5:$D$135,0)),"")),OR('Assignment Builder'!$B$8="",$D2464='Assignment Builder'!$B$8),OR('Assignment Builder'!$B$9="",$F2464='Assignment Builder'!$B$9),OR('Assignment Builder'!$B$10="",$O2464='Assignment Builder'!$B$10),OR('Assignment Builder'!$B$11="",$H2464&gt;='Assignment Builder'!$B$11),OR('Assignment Builder'!$B$12="",N($Q2464)&lt;='Assignment Builder'!$B$12)))</f>
        <v/>
      </c>
      <c r="T2464" s="23" t="n"/>
    </row>
    <row r="2465">
      <c r="A2465" s="23" t="n"/>
      <c r="B2465" s="23" t="n"/>
      <c r="C2465" s="24" t="n"/>
      <c r="D2465" s="15" t="n"/>
      <c r="E2465" s="23" t="n"/>
      <c r="F2465" s="15" t="n"/>
      <c r="G2465" s="23" t="n"/>
      <c r="H2465" s="25" t="n"/>
      <c r="I2465" s="15" t="n"/>
      <c r="J2465" s="26">
        <f>IF($A2465="","",LEN($C2465)-LEN(SUBSTITUTE($C2465,",",""))+1)</f>
        <v/>
      </c>
      <c r="K2465" s="26">
        <f>IF($A2465="","",SUMPRODUCT(--ISNUMBER(SEARCH('Category Dictionary'!$D$5:$D$135&amp;"",$C2465)),--('Category Dictionary'!$D$5:$D$135&lt;&gt;"")))</f>
        <v/>
      </c>
      <c r="L2465" s="27">
        <f>IF($A2465="","",TRIM(IF(ISERROR(FIND(",",$C2465)),$C2465,LEFT($C2465,FIND(",",$C2465)-1))))</f>
        <v/>
      </c>
      <c r="M2465" s="28">
        <f>IF($H2465="","",DATE(YEAR($H2465),MONTH($H2465),1))</f>
        <v/>
      </c>
      <c r="N2465" s="26">
        <f>IF($H2465="","",TODAY()-$H2465)</f>
        <v/>
      </c>
      <c r="O2465" s="15" t="n"/>
      <c r="P2465" s="15" t="n"/>
      <c r="Q2465" s="15" t="n"/>
      <c r="R2465" s="25" t="n"/>
      <c r="S2465" s="26">
        <f>IF($A2465="","",AND(OR('Assignment Builder'!$B$5="",$B2465='Assignment Builder'!$B$5),OR('Assignment Builder'!$B$6="",ISNUMBER(SEARCH('Assignment Builder'!$B$6,$C2465))),OR('Assignment Builder'!$B$7="",'Assignment Builder'!$B$7=IFERROR(INDEX('Category Dictionary'!$C$5:$C$135,MATCH($L2465,'Category Dictionary'!$D$5:$D$135,0)),"")),OR('Assignment Builder'!$B$8="",$D2465='Assignment Builder'!$B$8),OR('Assignment Builder'!$B$9="",$F2465='Assignment Builder'!$B$9),OR('Assignment Builder'!$B$10="",$O2465='Assignment Builder'!$B$10),OR('Assignment Builder'!$B$11="",$H2465&gt;='Assignment Builder'!$B$11),OR('Assignment Builder'!$B$12="",N($Q2465)&lt;='Assignment Builder'!$B$12)))</f>
        <v/>
      </c>
      <c r="T2465" s="23" t="n"/>
    </row>
    <row r="2466">
      <c r="A2466" s="23" t="n"/>
      <c r="B2466" s="23" t="n"/>
      <c r="C2466" s="24" t="n"/>
      <c r="D2466" s="15" t="n"/>
      <c r="E2466" s="23" t="n"/>
      <c r="F2466" s="15" t="n"/>
      <c r="G2466" s="23" t="n"/>
      <c r="H2466" s="25" t="n"/>
      <c r="I2466" s="15" t="n"/>
      <c r="J2466" s="26">
        <f>IF($A2466="","",LEN($C2466)-LEN(SUBSTITUTE($C2466,",",""))+1)</f>
        <v/>
      </c>
      <c r="K2466" s="26">
        <f>IF($A2466="","",SUMPRODUCT(--ISNUMBER(SEARCH('Category Dictionary'!$D$5:$D$135&amp;"",$C2466)),--('Category Dictionary'!$D$5:$D$135&lt;&gt;"")))</f>
        <v/>
      </c>
      <c r="L2466" s="27">
        <f>IF($A2466="","",TRIM(IF(ISERROR(FIND(",",$C2466)),$C2466,LEFT($C2466,FIND(",",$C2466)-1))))</f>
        <v/>
      </c>
      <c r="M2466" s="28">
        <f>IF($H2466="","",DATE(YEAR($H2466),MONTH($H2466),1))</f>
        <v/>
      </c>
      <c r="N2466" s="26">
        <f>IF($H2466="","",TODAY()-$H2466)</f>
        <v/>
      </c>
      <c r="O2466" s="15" t="n"/>
      <c r="P2466" s="15" t="n"/>
      <c r="Q2466" s="15" t="n"/>
      <c r="R2466" s="25" t="n"/>
      <c r="S2466" s="26">
        <f>IF($A2466="","",AND(OR('Assignment Builder'!$B$5="",$B2466='Assignment Builder'!$B$5),OR('Assignment Builder'!$B$6="",ISNUMBER(SEARCH('Assignment Builder'!$B$6,$C2466))),OR('Assignment Builder'!$B$7="",'Assignment Builder'!$B$7=IFERROR(INDEX('Category Dictionary'!$C$5:$C$135,MATCH($L2466,'Category Dictionary'!$D$5:$D$135,0)),"")),OR('Assignment Builder'!$B$8="",$D2466='Assignment Builder'!$B$8),OR('Assignment Builder'!$B$9="",$F2466='Assignment Builder'!$B$9),OR('Assignment Builder'!$B$10="",$O2466='Assignment Builder'!$B$10),OR('Assignment Builder'!$B$11="",$H2466&gt;='Assignment Builder'!$B$11),OR('Assignment Builder'!$B$12="",N($Q2466)&lt;='Assignment Builder'!$B$12)))</f>
        <v/>
      </c>
      <c r="T2466" s="23" t="n"/>
    </row>
    <row r="2467">
      <c r="A2467" s="23" t="n"/>
      <c r="B2467" s="23" t="n"/>
      <c r="C2467" s="24" t="n"/>
      <c r="D2467" s="15" t="n"/>
      <c r="E2467" s="23" t="n"/>
      <c r="F2467" s="15" t="n"/>
      <c r="G2467" s="23" t="n"/>
      <c r="H2467" s="25" t="n"/>
      <c r="I2467" s="15" t="n"/>
      <c r="J2467" s="26">
        <f>IF($A2467="","",LEN($C2467)-LEN(SUBSTITUTE($C2467,",",""))+1)</f>
        <v/>
      </c>
      <c r="K2467" s="26">
        <f>IF($A2467="","",SUMPRODUCT(--ISNUMBER(SEARCH('Category Dictionary'!$D$5:$D$135&amp;"",$C2467)),--('Category Dictionary'!$D$5:$D$135&lt;&gt;"")))</f>
        <v/>
      </c>
      <c r="L2467" s="27">
        <f>IF($A2467="","",TRIM(IF(ISERROR(FIND(",",$C2467)),$C2467,LEFT($C2467,FIND(",",$C2467)-1))))</f>
        <v/>
      </c>
      <c r="M2467" s="28">
        <f>IF($H2467="","",DATE(YEAR($H2467),MONTH($H2467),1))</f>
        <v/>
      </c>
      <c r="N2467" s="26">
        <f>IF($H2467="","",TODAY()-$H2467)</f>
        <v/>
      </c>
      <c r="O2467" s="15" t="n"/>
      <c r="P2467" s="15" t="n"/>
      <c r="Q2467" s="15" t="n"/>
      <c r="R2467" s="25" t="n"/>
      <c r="S2467" s="26">
        <f>IF($A2467="","",AND(OR('Assignment Builder'!$B$5="",$B2467='Assignment Builder'!$B$5),OR('Assignment Builder'!$B$6="",ISNUMBER(SEARCH('Assignment Builder'!$B$6,$C2467))),OR('Assignment Builder'!$B$7="",'Assignment Builder'!$B$7=IFERROR(INDEX('Category Dictionary'!$C$5:$C$135,MATCH($L2467,'Category Dictionary'!$D$5:$D$135,0)),"")),OR('Assignment Builder'!$B$8="",$D2467='Assignment Builder'!$B$8),OR('Assignment Builder'!$B$9="",$F2467='Assignment Builder'!$B$9),OR('Assignment Builder'!$B$10="",$O2467='Assignment Builder'!$B$10),OR('Assignment Builder'!$B$11="",$H2467&gt;='Assignment Builder'!$B$11),OR('Assignment Builder'!$B$12="",N($Q2467)&lt;='Assignment Builder'!$B$12)))</f>
        <v/>
      </c>
      <c r="T2467" s="23" t="n"/>
    </row>
    <row r="2468">
      <c r="A2468" s="23" t="n"/>
      <c r="B2468" s="23" t="n"/>
      <c r="C2468" s="24" t="n"/>
      <c r="D2468" s="15" t="n"/>
      <c r="E2468" s="23" t="n"/>
      <c r="F2468" s="15" t="n"/>
      <c r="G2468" s="23" t="n"/>
      <c r="H2468" s="25" t="n"/>
      <c r="I2468" s="15" t="n"/>
      <c r="J2468" s="26">
        <f>IF($A2468="","",LEN($C2468)-LEN(SUBSTITUTE($C2468,",",""))+1)</f>
        <v/>
      </c>
      <c r="K2468" s="26">
        <f>IF($A2468="","",SUMPRODUCT(--ISNUMBER(SEARCH('Category Dictionary'!$D$5:$D$135&amp;"",$C2468)),--('Category Dictionary'!$D$5:$D$135&lt;&gt;"")))</f>
        <v/>
      </c>
      <c r="L2468" s="27">
        <f>IF($A2468="","",TRIM(IF(ISERROR(FIND(",",$C2468)),$C2468,LEFT($C2468,FIND(",",$C2468)-1))))</f>
        <v/>
      </c>
      <c r="M2468" s="28">
        <f>IF($H2468="","",DATE(YEAR($H2468),MONTH($H2468),1))</f>
        <v/>
      </c>
      <c r="N2468" s="26">
        <f>IF($H2468="","",TODAY()-$H2468)</f>
        <v/>
      </c>
      <c r="O2468" s="15" t="n"/>
      <c r="P2468" s="15" t="n"/>
      <c r="Q2468" s="15" t="n"/>
      <c r="R2468" s="25" t="n"/>
      <c r="S2468" s="26">
        <f>IF($A2468="","",AND(OR('Assignment Builder'!$B$5="",$B2468='Assignment Builder'!$B$5),OR('Assignment Builder'!$B$6="",ISNUMBER(SEARCH('Assignment Builder'!$B$6,$C2468))),OR('Assignment Builder'!$B$7="",'Assignment Builder'!$B$7=IFERROR(INDEX('Category Dictionary'!$C$5:$C$135,MATCH($L2468,'Category Dictionary'!$D$5:$D$135,0)),"")),OR('Assignment Builder'!$B$8="",$D2468='Assignment Builder'!$B$8),OR('Assignment Builder'!$B$9="",$F2468='Assignment Builder'!$B$9),OR('Assignment Builder'!$B$10="",$O2468='Assignment Builder'!$B$10),OR('Assignment Builder'!$B$11="",$H2468&gt;='Assignment Builder'!$B$11),OR('Assignment Builder'!$B$12="",N($Q2468)&lt;='Assignment Builder'!$B$12)))</f>
        <v/>
      </c>
      <c r="T2468" s="23" t="n"/>
    </row>
    <row r="2469">
      <c r="A2469" s="23" t="n"/>
      <c r="B2469" s="23" t="n"/>
      <c r="C2469" s="24" t="n"/>
      <c r="D2469" s="15" t="n"/>
      <c r="E2469" s="23" t="n"/>
      <c r="F2469" s="15" t="n"/>
      <c r="G2469" s="23" t="n"/>
      <c r="H2469" s="25" t="n"/>
      <c r="I2469" s="15" t="n"/>
      <c r="J2469" s="26">
        <f>IF($A2469="","",LEN($C2469)-LEN(SUBSTITUTE($C2469,",",""))+1)</f>
        <v/>
      </c>
      <c r="K2469" s="26">
        <f>IF($A2469="","",SUMPRODUCT(--ISNUMBER(SEARCH('Category Dictionary'!$D$5:$D$135&amp;"",$C2469)),--('Category Dictionary'!$D$5:$D$135&lt;&gt;"")))</f>
        <v/>
      </c>
      <c r="L2469" s="27">
        <f>IF($A2469="","",TRIM(IF(ISERROR(FIND(",",$C2469)),$C2469,LEFT($C2469,FIND(",",$C2469)-1))))</f>
        <v/>
      </c>
      <c r="M2469" s="28">
        <f>IF($H2469="","",DATE(YEAR($H2469),MONTH($H2469),1))</f>
        <v/>
      </c>
      <c r="N2469" s="26">
        <f>IF($H2469="","",TODAY()-$H2469)</f>
        <v/>
      </c>
      <c r="O2469" s="15" t="n"/>
      <c r="P2469" s="15" t="n"/>
      <c r="Q2469" s="15" t="n"/>
      <c r="R2469" s="25" t="n"/>
      <c r="S2469" s="26">
        <f>IF($A2469="","",AND(OR('Assignment Builder'!$B$5="",$B2469='Assignment Builder'!$B$5),OR('Assignment Builder'!$B$6="",ISNUMBER(SEARCH('Assignment Builder'!$B$6,$C2469))),OR('Assignment Builder'!$B$7="",'Assignment Builder'!$B$7=IFERROR(INDEX('Category Dictionary'!$C$5:$C$135,MATCH($L2469,'Category Dictionary'!$D$5:$D$135,0)),"")),OR('Assignment Builder'!$B$8="",$D2469='Assignment Builder'!$B$8),OR('Assignment Builder'!$B$9="",$F2469='Assignment Builder'!$B$9),OR('Assignment Builder'!$B$10="",$O2469='Assignment Builder'!$B$10),OR('Assignment Builder'!$B$11="",$H2469&gt;='Assignment Builder'!$B$11),OR('Assignment Builder'!$B$12="",N($Q2469)&lt;='Assignment Builder'!$B$12)))</f>
        <v/>
      </c>
      <c r="T2469" s="23" t="n"/>
    </row>
    <row r="2470">
      <c r="A2470" s="23" t="n"/>
      <c r="B2470" s="23" t="n"/>
      <c r="C2470" s="24" t="n"/>
      <c r="D2470" s="15" t="n"/>
      <c r="E2470" s="23" t="n"/>
      <c r="F2470" s="15" t="n"/>
      <c r="G2470" s="23" t="n"/>
      <c r="H2470" s="25" t="n"/>
      <c r="I2470" s="15" t="n"/>
      <c r="J2470" s="26">
        <f>IF($A2470="","",LEN($C2470)-LEN(SUBSTITUTE($C2470,",",""))+1)</f>
        <v/>
      </c>
      <c r="K2470" s="26">
        <f>IF($A2470="","",SUMPRODUCT(--ISNUMBER(SEARCH('Category Dictionary'!$D$5:$D$135&amp;"",$C2470)),--('Category Dictionary'!$D$5:$D$135&lt;&gt;"")))</f>
        <v/>
      </c>
      <c r="L2470" s="27">
        <f>IF($A2470="","",TRIM(IF(ISERROR(FIND(",",$C2470)),$C2470,LEFT($C2470,FIND(",",$C2470)-1))))</f>
        <v/>
      </c>
      <c r="M2470" s="28">
        <f>IF($H2470="","",DATE(YEAR($H2470),MONTH($H2470),1))</f>
        <v/>
      </c>
      <c r="N2470" s="26">
        <f>IF($H2470="","",TODAY()-$H2470)</f>
        <v/>
      </c>
      <c r="O2470" s="15" t="n"/>
      <c r="P2470" s="15" t="n"/>
      <c r="Q2470" s="15" t="n"/>
      <c r="R2470" s="25" t="n"/>
      <c r="S2470" s="26">
        <f>IF($A2470="","",AND(OR('Assignment Builder'!$B$5="",$B2470='Assignment Builder'!$B$5),OR('Assignment Builder'!$B$6="",ISNUMBER(SEARCH('Assignment Builder'!$B$6,$C2470))),OR('Assignment Builder'!$B$7="",'Assignment Builder'!$B$7=IFERROR(INDEX('Category Dictionary'!$C$5:$C$135,MATCH($L2470,'Category Dictionary'!$D$5:$D$135,0)),"")),OR('Assignment Builder'!$B$8="",$D2470='Assignment Builder'!$B$8),OR('Assignment Builder'!$B$9="",$F2470='Assignment Builder'!$B$9),OR('Assignment Builder'!$B$10="",$O2470='Assignment Builder'!$B$10),OR('Assignment Builder'!$B$11="",$H2470&gt;='Assignment Builder'!$B$11),OR('Assignment Builder'!$B$12="",N($Q2470)&lt;='Assignment Builder'!$B$12)))</f>
        <v/>
      </c>
      <c r="T2470" s="23" t="n"/>
    </row>
    <row r="2471">
      <c r="A2471" s="23" t="n"/>
      <c r="B2471" s="23" t="n"/>
      <c r="C2471" s="24" t="n"/>
      <c r="D2471" s="15" t="n"/>
      <c r="E2471" s="23" t="n"/>
      <c r="F2471" s="15" t="n"/>
      <c r="G2471" s="23" t="n"/>
      <c r="H2471" s="25" t="n"/>
      <c r="I2471" s="15" t="n"/>
      <c r="J2471" s="26">
        <f>IF($A2471="","",LEN($C2471)-LEN(SUBSTITUTE($C2471,",",""))+1)</f>
        <v/>
      </c>
      <c r="K2471" s="26">
        <f>IF($A2471="","",SUMPRODUCT(--ISNUMBER(SEARCH('Category Dictionary'!$D$5:$D$135&amp;"",$C2471)),--('Category Dictionary'!$D$5:$D$135&lt;&gt;"")))</f>
        <v/>
      </c>
      <c r="L2471" s="27">
        <f>IF($A2471="","",TRIM(IF(ISERROR(FIND(",",$C2471)),$C2471,LEFT($C2471,FIND(",",$C2471)-1))))</f>
        <v/>
      </c>
      <c r="M2471" s="28">
        <f>IF($H2471="","",DATE(YEAR($H2471),MONTH($H2471),1))</f>
        <v/>
      </c>
      <c r="N2471" s="26">
        <f>IF($H2471="","",TODAY()-$H2471)</f>
        <v/>
      </c>
      <c r="O2471" s="15" t="n"/>
      <c r="P2471" s="15" t="n"/>
      <c r="Q2471" s="15" t="n"/>
      <c r="R2471" s="25" t="n"/>
      <c r="S2471" s="26">
        <f>IF($A2471="","",AND(OR('Assignment Builder'!$B$5="",$B2471='Assignment Builder'!$B$5),OR('Assignment Builder'!$B$6="",ISNUMBER(SEARCH('Assignment Builder'!$B$6,$C2471))),OR('Assignment Builder'!$B$7="",'Assignment Builder'!$B$7=IFERROR(INDEX('Category Dictionary'!$C$5:$C$135,MATCH($L2471,'Category Dictionary'!$D$5:$D$135,0)),"")),OR('Assignment Builder'!$B$8="",$D2471='Assignment Builder'!$B$8),OR('Assignment Builder'!$B$9="",$F2471='Assignment Builder'!$B$9),OR('Assignment Builder'!$B$10="",$O2471='Assignment Builder'!$B$10),OR('Assignment Builder'!$B$11="",$H2471&gt;='Assignment Builder'!$B$11),OR('Assignment Builder'!$B$12="",N($Q2471)&lt;='Assignment Builder'!$B$12)))</f>
        <v/>
      </c>
      <c r="T2471" s="23" t="n"/>
    </row>
    <row r="2472">
      <c r="A2472" s="23" t="n"/>
      <c r="B2472" s="23" t="n"/>
      <c r="C2472" s="24" t="n"/>
      <c r="D2472" s="15" t="n"/>
      <c r="E2472" s="23" t="n"/>
      <c r="F2472" s="15" t="n"/>
      <c r="G2472" s="23" t="n"/>
      <c r="H2472" s="25" t="n"/>
      <c r="I2472" s="15" t="n"/>
      <c r="J2472" s="26">
        <f>IF($A2472="","",LEN($C2472)-LEN(SUBSTITUTE($C2472,",",""))+1)</f>
        <v/>
      </c>
      <c r="K2472" s="26">
        <f>IF($A2472="","",SUMPRODUCT(--ISNUMBER(SEARCH('Category Dictionary'!$D$5:$D$135&amp;"",$C2472)),--('Category Dictionary'!$D$5:$D$135&lt;&gt;"")))</f>
        <v/>
      </c>
      <c r="L2472" s="27">
        <f>IF($A2472="","",TRIM(IF(ISERROR(FIND(",",$C2472)),$C2472,LEFT($C2472,FIND(",",$C2472)-1))))</f>
        <v/>
      </c>
      <c r="M2472" s="28">
        <f>IF($H2472="","",DATE(YEAR($H2472),MONTH($H2472),1))</f>
        <v/>
      </c>
      <c r="N2472" s="26">
        <f>IF($H2472="","",TODAY()-$H2472)</f>
        <v/>
      </c>
      <c r="O2472" s="15" t="n"/>
      <c r="P2472" s="15" t="n"/>
      <c r="Q2472" s="15" t="n"/>
      <c r="R2472" s="25" t="n"/>
      <c r="S2472" s="26">
        <f>IF($A2472="","",AND(OR('Assignment Builder'!$B$5="",$B2472='Assignment Builder'!$B$5),OR('Assignment Builder'!$B$6="",ISNUMBER(SEARCH('Assignment Builder'!$B$6,$C2472))),OR('Assignment Builder'!$B$7="",'Assignment Builder'!$B$7=IFERROR(INDEX('Category Dictionary'!$C$5:$C$135,MATCH($L2472,'Category Dictionary'!$D$5:$D$135,0)),"")),OR('Assignment Builder'!$B$8="",$D2472='Assignment Builder'!$B$8),OR('Assignment Builder'!$B$9="",$F2472='Assignment Builder'!$B$9),OR('Assignment Builder'!$B$10="",$O2472='Assignment Builder'!$B$10),OR('Assignment Builder'!$B$11="",$H2472&gt;='Assignment Builder'!$B$11),OR('Assignment Builder'!$B$12="",N($Q2472)&lt;='Assignment Builder'!$B$12)))</f>
        <v/>
      </c>
      <c r="T2472" s="23" t="n"/>
    </row>
    <row r="2473">
      <c r="A2473" s="23" t="n"/>
      <c r="B2473" s="23" t="n"/>
      <c r="C2473" s="24" t="n"/>
      <c r="D2473" s="15" t="n"/>
      <c r="E2473" s="23" t="n"/>
      <c r="F2473" s="15" t="n"/>
      <c r="G2473" s="23" t="n"/>
      <c r="H2473" s="25" t="n"/>
      <c r="I2473" s="15" t="n"/>
      <c r="J2473" s="26">
        <f>IF($A2473="","",LEN($C2473)-LEN(SUBSTITUTE($C2473,",",""))+1)</f>
        <v/>
      </c>
      <c r="K2473" s="26">
        <f>IF($A2473="","",SUMPRODUCT(--ISNUMBER(SEARCH('Category Dictionary'!$D$5:$D$135&amp;"",$C2473)),--('Category Dictionary'!$D$5:$D$135&lt;&gt;"")))</f>
        <v/>
      </c>
      <c r="L2473" s="27">
        <f>IF($A2473="","",TRIM(IF(ISERROR(FIND(",",$C2473)),$C2473,LEFT($C2473,FIND(",",$C2473)-1))))</f>
        <v/>
      </c>
      <c r="M2473" s="28">
        <f>IF($H2473="","",DATE(YEAR($H2473),MONTH($H2473),1))</f>
        <v/>
      </c>
      <c r="N2473" s="26">
        <f>IF($H2473="","",TODAY()-$H2473)</f>
        <v/>
      </c>
      <c r="O2473" s="15" t="n"/>
      <c r="P2473" s="15" t="n"/>
      <c r="Q2473" s="15" t="n"/>
      <c r="R2473" s="25" t="n"/>
      <c r="S2473" s="26">
        <f>IF($A2473="","",AND(OR('Assignment Builder'!$B$5="",$B2473='Assignment Builder'!$B$5),OR('Assignment Builder'!$B$6="",ISNUMBER(SEARCH('Assignment Builder'!$B$6,$C2473))),OR('Assignment Builder'!$B$7="",'Assignment Builder'!$B$7=IFERROR(INDEX('Category Dictionary'!$C$5:$C$135,MATCH($L2473,'Category Dictionary'!$D$5:$D$135,0)),"")),OR('Assignment Builder'!$B$8="",$D2473='Assignment Builder'!$B$8),OR('Assignment Builder'!$B$9="",$F2473='Assignment Builder'!$B$9),OR('Assignment Builder'!$B$10="",$O2473='Assignment Builder'!$B$10),OR('Assignment Builder'!$B$11="",$H2473&gt;='Assignment Builder'!$B$11),OR('Assignment Builder'!$B$12="",N($Q2473)&lt;='Assignment Builder'!$B$12)))</f>
        <v/>
      </c>
      <c r="T2473" s="23" t="n"/>
    </row>
    <row r="2474">
      <c r="A2474" s="23" t="n"/>
      <c r="B2474" s="23" t="n"/>
      <c r="C2474" s="24" t="n"/>
      <c r="D2474" s="15" t="n"/>
      <c r="E2474" s="23" t="n"/>
      <c r="F2474" s="15" t="n"/>
      <c r="G2474" s="23" t="n"/>
      <c r="H2474" s="25" t="n"/>
      <c r="I2474" s="15" t="n"/>
      <c r="J2474" s="26">
        <f>IF($A2474="","",LEN($C2474)-LEN(SUBSTITUTE($C2474,",",""))+1)</f>
        <v/>
      </c>
      <c r="K2474" s="26">
        <f>IF($A2474="","",SUMPRODUCT(--ISNUMBER(SEARCH('Category Dictionary'!$D$5:$D$135&amp;"",$C2474)),--('Category Dictionary'!$D$5:$D$135&lt;&gt;"")))</f>
        <v/>
      </c>
      <c r="L2474" s="27">
        <f>IF($A2474="","",TRIM(IF(ISERROR(FIND(",",$C2474)),$C2474,LEFT($C2474,FIND(",",$C2474)-1))))</f>
        <v/>
      </c>
      <c r="M2474" s="28">
        <f>IF($H2474="","",DATE(YEAR($H2474),MONTH($H2474),1))</f>
        <v/>
      </c>
      <c r="N2474" s="26">
        <f>IF($H2474="","",TODAY()-$H2474)</f>
        <v/>
      </c>
      <c r="O2474" s="15" t="n"/>
      <c r="P2474" s="15" t="n"/>
      <c r="Q2474" s="15" t="n"/>
      <c r="R2474" s="25" t="n"/>
      <c r="S2474" s="26">
        <f>IF($A2474="","",AND(OR('Assignment Builder'!$B$5="",$B2474='Assignment Builder'!$B$5),OR('Assignment Builder'!$B$6="",ISNUMBER(SEARCH('Assignment Builder'!$B$6,$C2474))),OR('Assignment Builder'!$B$7="",'Assignment Builder'!$B$7=IFERROR(INDEX('Category Dictionary'!$C$5:$C$135,MATCH($L2474,'Category Dictionary'!$D$5:$D$135,0)),"")),OR('Assignment Builder'!$B$8="",$D2474='Assignment Builder'!$B$8),OR('Assignment Builder'!$B$9="",$F2474='Assignment Builder'!$B$9),OR('Assignment Builder'!$B$10="",$O2474='Assignment Builder'!$B$10),OR('Assignment Builder'!$B$11="",$H2474&gt;='Assignment Builder'!$B$11),OR('Assignment Builder'!$B$12="",N($Q2474)&lt;='Assignment Builder'!$B$12)))</f>
        <v/>
      </c>
      <c r="T2474" s="23" t="n"/>
    </row>
    <row r="2475">
      <c r="A2475" s="23" t="n"/>
      <c r="B2475" s="23" t="n"/>
      <c r="C2475" s="24" t="n"/>
      <c r="D2475" s="15" t="n"/>
      <c r="E2475" s="23" t="n"/>
      <c r="F2475" s="15" t="n"/>
      <c r="G2475" s="23" t="n"/>
      <c r="H2475" s="25" t="n"/>
      <c r="I2475" s="15" t="n"/>
      <c r="J2475" s="26">
        <f>IF($A2475="","",LEN($C2475)-LEN(SUBSTITUTE($C2475,",",""))+1)</f>
        <v/>
      </c>
      <c r="K2475" s="26">
        <f>IF($A2475="","",SUMPRODUCT(--ISNUMBER(SEARCH('Category Dictionary'!$D$5:$D$135&amp;"",$C2475)),--('Category Dictionary'!$D$5:$D$135&lt;&gt;"")))</f>
        <v/>
      </c>
      <c r="L2475" s="27">
        <f>IF($A2475="","",TRIM(IF(ISERROR(FIND(",",$C2475)),$C2475,LEFT($C2475,FIND(",",$C2475)-1))))</f>
        <v/>
      </c>
      <c r="M2475" s="28">
        <f>IF($H2475="","",DATE(YEAR($H2475),MONTH($H2475),1))</f>
        <v/>
      </c>
      <c r="N2475" s="26">
        <f>IF($H2475="","",TODAY()-$H2475)</f>
        <v/>
      </c>
      <c r="O2475" s="15" t="n"/>
      <c r="P2475" s="15" t="n"/>
      <c r="Q2475" s="15" t="n"/>
      <c r="R2475" s="25" t="n"/>
      <c r="S2475" s="26">
        <f>IF($A2475="","",AND(OR('Assignment Builder'!$B$5="",$B2475='Assignment Builder'!$B$5),OR('Assignment Builder'!$B$6="",ISNUMBER(SEARCH('Assignment Builder'!$B$6,$C2475))),OR('Assignment Builder'!$B$7="",'Assignment Builder'!$B$7=IFERROR(INDEX('Category Dictionary'!$C$5:$C$135,MATCH($L2475,'Category Dictionary'!$D$5:$D$135,0)),"")),OR('Assignment Builder'!$B$8="",$D2475='Assignment Builder'!$B$8),OR('Assignment Builder'!$B$9="",$F2475='Assignment Builder'!$B$9),OR('Assignment Builder'!$B$10="",$O2475='Assignment Builder'!$B$10),OR('Assignment Builder'!$B$11="",$H2475&gt;='Assignment Builder'!$B$11),OR('Assignment Builder'!$B$12="",N($Q2475)&lt;='Assignment Builder'!$B$12)))</f>
        <v/>
      </c>
      <c r="T2475" s="23" t="n"/>
    </row>
    <row r="2476">
      <c r="A2476" s="23" t="n"/>
      <c r="B2476" s="23" t="n"/>
      <c r="C2476" s="24" t="n"/>
      <c r="D2476" s="15" t="n"/>
      <c r="E2476" s="23" t="n"/>
      <c r="F2476" s="15" t="n"/>
      <c r="G2476" s="23" t="n"/>
      <c r="H2476" s="25" t="n"/>
      <c r="I2476" s="15" t="n"/>
      <c r="J2476" s="26">
        <f>IF($A2476="","",LEN($C2476)-LEN(SUBSTITUTE($C2476,",",""))+1)</f>
        <v/>
      </c>
      <c r="K2476" s="26">
        <f>IF($A2476="","",SUMPRODUCT(--ISNUMBER(SEARCH('Category Dictionary'!$D$5:$D$135&amp;"",$C2476)),--('Category Dictionary'!$D$5:$D$135&lt;&gt;"")))</f>
        <v/>
      </c>
      <c r="L2476" s="27">
        <f>IF($A2476="","",TRIM(IF(ISERROR(FIND(",",$C2476)),$C2476,LEFT($C2476,FIND(",",$C2476)-1))))</f>
        <v/>
      </c>
      <c r="M2476" s="28">
        <f>IF($H2476="","",DATE(YEAR($H2476),MONTH($H2476),1))</f>
        <v/>
      </c>
      <c r="N2476" s="26">
        <f>IF($H2476="","",TODAY()-$H2476)</f>
        <v/>
      </c>
      <c r="O2476" s="15" t="n"/>
      <c r="P2476" s="15" t="n"/>
      <c r="Q2476" s="15" t="n"/>
      <c r="R2476" s="25" t="n"/>
      <c r="S2476" s="26">
        <f>IF($A2476="","",AND(OR('Assignment Builder'!$B$5="",$B2476='Assignment Builder'!$B$5),OR('Assignment Builder'!$B$6="",ISNUMBER(SEARCH('Assignment Builder'!$B$6,$C2476))),OR('Assignment Builder'!$B$7="",'Assignment Builder'!$B$7=IFERROR(INDEX('Category Dictionary'!$C$5:$C$135,MATCH($L2476,'Category Dictionary'!$D$5:$D$135,0)),"")),OR('Assignment Builder'!$B$8="",$D2476='Assignment Builder'!$B$8),OR('Assignment Builder'!$B$9="",$F2476='Assignment Builder'!$B$9),OR('Assignment Builder'!$B$10="",$O2476='Assignment Builder'!$B$10),OR('Assignment Builder'!$B$11="",$H2476&gt;='Assignment Builder'!$B$11),OR('Assignment Builder'!$B$12="",N($Q2476)&lt;='Assignment Builder'!$B$12)))</f>
        <v/>
      </c>
      <c r="T2476" s="23" t="n"/>
    </row>
    <row r="2477">
      <c r="A2477" s="23" t="n"/>
      <c r="B2477" s="23" t="n"/>
      <c r="C2477" s="24" t="n"/>
      <c r="D2477" s="15" t="n"/>
      <c r="E2477" s="23" t="n"/>
      <c r="F2477" s="15" t="n"/>
      <c r="G2477" s="23" t="n"/>
      <c r="H2477" s="25" t="n"/>
      <c r="I2477" s="15" t="n"/>
      <c r="J2477" s="26">
        <f>IF($A2477="","",LEN($C2477)-LEN(SUBSTITUTE($C2477,",",""))+1)</f>
        <v/>
      </c>
      <c r="K2477" s="26">
        <f>IF($A2477="","",SUMPRODUCT(--ISNUMBER(SEARCH('Category Dictionary'!$D$5:$D$135&amp;"",$C2477)),--('Category Dictionary'!$D$5:$D$135&lt;&gt;"")))</f>
        <v/>
      </c>
      <c r="L2477" s="27">
        <f>IF($A2477="","",TRIM(IF(ISERROR(FIND(",",$C2477)),$C2477,LEFT($C2477,FIND(",",$C2477)-1))))</f>
        <v/>
      </c>
      <c r="M2477" s="28">
        <f>IF($H2477="","",DATE(YEAR($H2477),MONTH($H2477),1))</f>
        <v/>
      </c>
      <c r="N2477" s="26">
        <f>IF($H2477="","",TODAY()-$H2477)</f>
        <v/>
      </c>
      <c r="O2477" s="15" t="n"/>
      <c r="P2477" s="15" t="n"/>
      <c r="Q2477" s="15" t="n"/>
      <c r="R2477" s="25" t="n"/>
      <c r="S2477" s="26">
        <f>IF($A2477="","",AND(OR('Assignment Builder'!$B$5="",$B2477='Assignment Builder'!$B$5),OR('Assignment Builder'!$B$6="",ISNUMBER(SEARCH('Assignment Builder'!$B$6,$C2477))),OR('Assignment Builder'!$B$7="",'Assignment Builder'!$B$7=IFERROR(INDEX('Category Dictionary'!$C$5:$C$135,MATCH($L2477,'Category Dictionary'!$D$5:$D$135,0)),"")),OR('Assignment Builder'!$B$8="",$D2477='Assignment Builder'!$B$8),OR('Assignment Builder'!$B$9="",$F2477='Assignment Builder'!$B$9),OR('Assignment Builder'!$B$10="",$O2477='Assignment Builder'!$B$10),OR('Assignment Builder'!$B$11="",$H2477&gt;='Assignment Builder'!$B$11),OR('Assignment Builder'!$B$12="",N($Q2477)&lt;='Assignment Builder'!$B$12)))</f>
        <v/>
      </c>
      <c r="T2477" s="23" t="n"/>
    </row>
    <row r="2478">
      <c r="A2478" s="23" t="n"/>
      <c r="B2478" s="23" t="n"/>
      <c r="C2478" s="24" t="n"/>
      <c r="D2478" s="15" t="n"/>
      <c r="E2478" s="23" t="n"/>
      <c r="F2478" s="15" t="n"/>
      <c r="G2478" s="23" t="n"/>
      <c r="H2478" s="25" t="n"/>
      <c r="I2478" s="15" t="n"/>
      <c r="J2478" s="26">
        <f>IF($A2478="","",LEN($C2478)-LEN(SUBSTITUTE($C2478,",",""))+1)</f>
        <v/>
      </c>
      <c r="K2478" s="26">
        <f>IF($A2478="","",SUMPRODUCT(--ISNUMBER(SEARCH('Category Dictionary'!$D$5:$D$135&amp;"",$C2478)),--('Category Dictionary'!$D$5:$D$135&lt;&gt;"")))</f>
        <v/>
      </c>
      <c r="L2478" s="27">
        <f>IF($A2478="","",TRIM(IF(ISERROR(FIND(",",$C2478)),$C2478,LEFT($C2478,FIND(",",$C2478)-1))))</f>
        <v/>
      </c>
      <c r="M2478" s="28">
        <f>IF($H2478="","",DATE(YEAR($H2478),MONTH($H2478),1))</f>
        <v/>
      </c>
      <c r="N2478" s="26">
        <f>IF($H2478="","",TODAY()-$H2478)</f>
        <v/>
      </c>
      <c r="O2478" s="15" t="n"/>
      <c r="P2478" s="15" t="n"/>
      <c r="Q2478" s="15" t="n"/>
      <c r="R2478" s="25" t="n"/>
      <c r="S2478" s="26">
        <f>IF($A2478="","",AND(OR('Assignment Builder'!$B$5="",$B2478='Assignment Builder'!$B$5),OR('Assignment Builder'!$B$6="",ISNUMBER(SEARCH('Assignment Builder'!$B$6,$C2478))),OR('Assignment Builder'!$B$7="",'Assignment Builder'!$B$7=IFERROR(INDEX('Category Dictionary'!$C$5:$C$135,MATCH($L2478,'Category Dictionary'!$D$5:$D$135,0)),"")),OR('Assignment Builder'!$B$8="",$D2478='Assignment Builder'!$B$8),OR('Assignment Builder'!$B$9="",$F2478='Assignment Builder'!$B$9),OR('Assignment Builder'!$B$10="",$O2478='Assignment Builder'!$B$10),OR('Assignment Builder'!$B$11="",$H2478&gt;='Assignment Builder'!$B$11),OR('Assignment Builder'!$B$12="",N($Q2478)&lt;='Assignment Builder'!$B$12)))</f>
        <v/>
      </c>
      <c r="T2478" s="23" t="n"/>
    </row>
    <row r="2479">
      <c r="A2479" s="23" t="n"/>
      <c r="B2479" s="23" t="n"/>
      <c r="C2479" s="24" t="n"/>
      <c r="D2479" s="15" t="n"/>
      <c r="E2479" s="23" t="n"/>
      <c r="F2479" s="15" t="n"/>
      <c r="G2479" s="23" t="n"/>
      <c r="H2479" s="25" t="n"/>
      <c r="I2479" s="15" t="n"/>
      <c r="J2479" s="26">
        <f>IF($A2479="","",LEN($C2479)-LEN(SUBSTITUTE($C2479,",",""))+1)</f>
        <v/>
      </c>
      <c r="K2479" s="26">
        <f>IF($A2479="","",SUMPRODUCT(--ISNUMBER(SEARCH('Category Dictionary'!$D$5:$D$135&amp;"",$C2479)),--('Category Dictionary'!$D$5:$D$135&lt;&gt;"")))</f>
        <v/>
      </c>
      <c r="L2479" s="27">
        <f>IF($A2479="","",TRIM(IF(ISERROR(FIND(",",$C2479)),$C2479,LEFT($C2479,FIND(",",$C2479)-1))))</f>
        <v/>
      </c>
      <c r="M2479" s="28">
        <f>IF($H2479="","",DATE(YEAR($H2479),MONTH($H2479),1))</f>
        <v/>
      </c>
      <c r="N2479" s="26">
        <f>IF($H2479="","",TODAY()-$H2479)</f>
        <v/>
      </c>
      <c r="O2479" s="15" t="n"/>
      <c r="P2479" s="15" t="n"/>
      <c r="Q2479" s="15" t="n"/>
      <c r="R2479" s="25" t="n"/>
      <c r="S2479" s="26">
        <f>IF($A2479="","",AND(OR('Assignment Builder'!$B$5="",$B2479='Assignment Builder'!$B$5),OR('Assignment Builder'!$B$6="",ISNUMBER(SEARCH('Assignment Builder'!$B$6,$C2479))),OR('Assignment Builder'!$B$7="",'Assignment Builder'!$B$7=IFERROR(INDEX('Category Dictionary'!$C$5:$C$135,MATCH($L2479,'Category Dictionary'!$D$5:$D$135,0)),"")),OR('Assignment Builder'!$B$8="",$D2479='Assignment Builder'!$B$8),OR('Assignment Builder'!$B$9="",$F2479='Assignment Builder'!$B$9),OR('Assignment Builder'!$B$10="",$O2479='Assignment Builder'!$B$10),OR('Assignment Builder'!$B$11="",$H2479&gt;='Assignment Builder'!$B$11),OR('Assignment Builder'!$B$12="",N($Q2479)&lt;='Assignment Builder'!$B$12)))</f>
        <v/>
      </c>
      <c r="T2479" s="23" t="n"/>
    </row>
    <row r="2480">
      <c r="A2480" s="23" t="n"/>
      <c r="B2480" s="23" t="n"/>
      <c r="C2480" s="24" t="n"/>
      <c r="D2480" s="15" t="n"/>
      <c r="E2480" s="23" t="n"/>
      <c r="F2480" s="15" t="n"/>
      <c r="G2480" s="23" t="n"/>
      <c r="H2480" s="25" t="n"/>
      <c r="I2480" s="15" t="n"/>
      <c r="J2480" s="26">
        <f>IF($A2480="","",LEN($C2480)-LEN(SUBSTITUTE($C2480,",",""))+1)</f>
        <v/>
      </c>
      <c r="K2480" s="26">
        <f>IF($A2480="","",SUMPRODUCT(--ISNUMBER(SEARCH('Category Dictionary'!$D$5:$D$135&amp;"",$C2480)),--('Category Dictionary'!$D$5:$D$135&lt;&gt;"")))</f>
        <v/>
      </c>
      <c r="L2480" s="27">
        <f>IF($A2480="","",TRIM(IF(ISERROR(FIND(",",$C2480)),$C2480,LEFT($C2480,FIND(",",$C2480)-1))))</f>
        <v/>
      </c>
      <c r="M2480" s="28">
        <f>IF($H2480="","",DATE(YEAR($H2480),MONTH($H2480),1))</f>
        <v/>
      </c>
      <c r="N2480" s="26">
        <f>IF($H2480="","",TODAY()-$H2480)</f>
        <v/>
      </c>
      <c r="O2480" s="15" t="n"/>
      <c r="P2480" s="15" t="n"/>
      <c r="Q2480" s="15" t="n"/>
      <c r="R2480" s="25" t="n"/>
      <c r="S2480" s="26">
        <f>IF($A2480="","",AND(OR('Assignment Builder'!$B$5="",$B2480='Assignment Builder'!$B$5),OR('Assignment Builder'!$B$6="",ISNUMBER(SEARCH('Assignment Builder'!$B$6,$C2480))),OR('Assignment Builder'!$B$7="",'Assignment Builder'!$B$7=IFERROR(INDEX('Category Dictionary'!$C$5:$C$135,MATCH($L2480,'Category Dictionary'!$D$5:$D$135,0)),"")),OR('Assignment Builder'!$B$8="",$D2480='Assignment Builder'!$B$8),OR('Assignment Builder'!$B$9="",$F2480='Assignment Builder'!$B$9),OR('Assignment Builder'!$B$10="",$O2480='Assignment Builder'!$B$10),OR('Assignment Builder'!$B$11="",$H2480&gt;='Assignment Builder'!$B$11),OR('Assignment Builder'!$B$12="",N($Q2480)&lt;='Assignment Builder'!$B$12)))</f>
        <v/>
      </c>
      <c r="T2480" s="23" t="n"/>
    </row>
    <row r="2481">
      <c r="A2481" s="23" t="n"/>
      <c r="B2481" s="23" t="n"/>
      <c r="C2481" s="24" t="n"/>
      <c r="D2481" s="15" t="n"/>
      <c r="E2481" s="23" t="n"/>
      <c r="F2481" s="15" t="n"/>
      <c r="G2481" s="23" t="n"/>
      <c r="H2481" s="25" t="n"/>
      <c r="I2481" s="15" t="n"/>
      <c r="J2481" s="26">
        <f>IF($A2481="","",LEN($C2481)-LEN(SUBSTITUTE($C2481,",",""))+1)</f>
        <v/>
      </c>
      <c r="K2481" s="26">
        <f>IF($A2481="","",SUMPRODUCT(--ISNUMBER(SEARCH('Category Dictionary'!$D$5:$D$135&amp;"",$C2481)),--('Category Dictionary'!$D$5:$D$135&lt;&gt;"")))</f>
        <v/>
      </c>
      <c r="L2481" s="27">
        <f>IF($A2481="","",TRIM(IF(ISERROR(FIND(",",$C2481)),$C2481,LEFT($C2481,FIND(",",$C2481)-1))))</f>
        <v/>
      </c>
      <c r="M2481" s="28">
        <f>IF($H2481="","",DATE(YEAR($H2481),MONTH($H2481),1))</f>
        <v/>
      </c>
      <c r="N2481" s="26">
        <f>IF($H2481="","",TODAY()-$H2481)</f>
        <v/>
      </c>
      <c r="O2481" s="15" t="n"/>
      <c r="P2481" s="15" t="n"/>
      <c r="Q2481" s="15" t="n"/>
      <c r="R2481" s="25" t="n"/>
      <c r="S2481" s="26">
        <f>IF($A2481="","",AND(OR('Assignment Builder'!$B$5="",$B2481='Assignment Builder'!$B$5),OR('Assignment Builder'!$B$6="",ISNUMBER(SEARCH('Assignment Builder'!$B$6,$C2481))),OR('Assignment Builder'!$B$7="",'Assignment Builder'!$B$7=IFERROR(INDEX('Category Dictionary'!$C$5:$C$135,MATCH($L2481,'Category Dictionary'!$D$5:$D$135,0)),"")),OR('Assignment Builder'!$B$8="",$D2481='Assignment Builder'!$B$8),OR('Assignment Builder'!$B$9="",$F2481='Assignment Builder'!$B$9),OR('Assignment Builder'!$B$10="",$O2481='Assignment Builder'!$B$10),OR('Assignment Builder'!$B$11="",$H2481&gt;='Assignment Builder'!$B$11),OR('Assignment Builder'!$B$12="",N($Q2481)&lt;='Assignment Builder'!$B$12)))</f>
        <v/>
      </c>
      <c r="T2481" s="23" t="n"/>
    </row>
    <row r="2482">
      <c r="A2482" s="23" t="n"/>
      <c r="B2482" s="23" t="n"/>
      <c r="C2482" s="24" t="n"/>
      <c r="D2482" s="15" t="n"/>
      <c r="E2482" s="23" t="n"/>
      <c r="F2482" s="15" t="n"/>
      <c r="G2482" s="23" t="n"/>
      <c r="H2482" s="25" t="n"/>
      <c r="I2482" s="15" t="n"/>
      <c r="J2482" s="26">
        <f>IF($A2482="","",LEN($C2482)-LEN(SUBSTITUTE($C2482,",",""))+1)</f>
        <v/>
      </c>
      <c r="K2482" s="26">
        <f>IF($A2482="","",SUMPRODUCT(--ISNUMBER(SEARCH('Category Dictionary'!$D$5:$D$135&amp;"",$C2482)),--('Category Dictionary'!$D$5:$D$135&lt;&gt;"")))</f>
        <v/>
      </c>
      <c r="L2482" s="27">
        <f>IF($A2482="","",TRIM(IF(ISERROR(FIND(",",$C2482)),$C2482,LEFT($C2482,FIND(",",$C2482)-1))))</f>
        <v/>
      </c>
      <c r="M2482" s="28">
        <f>IF($H2482="","",DATE(YEAR($H2482),MONTH($H2482),1))</f>
        <v/>
      </c>
      <c r="N2482" s="26">
        <f>IF($H2482="","",TODAY()-$H2482)</f>
        <v/>
      </c>
      <c r="O2482" s="15" t="n"/>
      <c r="P2482" s="15" t="n"/>
      <c r="Q2482" s="15" t="n"/>
      <c r="R2482" s="25" t="n"/>
      <c r="S2482" s="26">
        <f>IF($A2482="","",AND(OR('Assignment Builder'!$B$5="",$B2482='Assignment Builder'!$B$5),OR('Assignment Builder'!$B$6="",ISNUMBER(SEARCH('Assignment Builder'!$B$6,$C2482))),OR('Assignment Builder'!$B$7="",'Assignment Builder'!$B$7=IFERROR(INDEX('Category Dictionary'!$C$5:$C$135,MATCH($L2482,'Category Dictionary'!$D$5:$D$135,0)),"")),OR('Assignment Builder'!$B$8="",$D2482='Assignment Builder'!$B$8),OR('Assignment Builder'!$B$9="",$F2482='Assignment Builder'!$B$9),OR('Assignment Builder'!$B$10="",$O2482='Assignment Builder'!$B$10),OR('Assignment Builder'!$B$11="",$H2482&gt;='Assignment Builder'!$B$11),OR('Assignment Builder'!$B$12="",N($Q2482)&lt;='Assignment Builder'!$B$12)))</f>
        <v/>
      </c>
      <c r="T2482" s="23" t="n"/>
    </row>
    <row r="2483">
      <c r="A2483" s="23" t="n"/>
      <c r="B2483" s="23" t="n"/>
      <c r="C2483" s="24" t="n"/>
      <c r="D2483" s="15" t="n"/>
      <c r="E2483" s="23" t="n"/>
      <c r="F2483" s="15" t="n"/>
      <c r="G2483" s="23" t="n"/>
      <c r="H2483" s="25" t="n"/>
      <c r="I2483" s="15" t="n"/>
      <c r="J2483" s="26">
        <f>IF($A2483="","",LEN($C2483)-LEN(SUBSTITUTE($C2483,",",""))+1)</f>
        <v/>
      </c>
      <c r="K2483" s="26">
        <f>IF($A2483="","",SUMPRODUCT(--ISNUMBER(SEARCH('Category Dictionary'!$D$5:$D$135&amp;"",$C2483)),--('Category Dictionary'!$D$5:$D$135&lt;&gt;"")))</f>
        <v/>
      </c>
      <c r="L2483" s="27">
        <f>IF($A2483="","",TRIM(IF(ISERROR(FIND(",",$C2483)),$C2483,LEFT($C2483,FIND(",",$C2483)-1))))</f>
        <v/>
      </c>
      <c r="M2483" s="28">
        <f>IF($H2483="","",DATE(YEAR($H2483),MONTH($H2483),1))</f>
        <v/>
      </c>
      <c r="N2483" s="26">
        <f>IF($H2483="","",TODAY()-$H2483)</f>
        <v/>
      </c>
      <c r="O2483" s="15" t="n"/>
      <c r="P2483" s="15" t="n"/>
      <c r="Q2483" s="15" t="n"/>
      <c r="R2483" s="25" t="n"/>
      <c r="S2483" s="26">
        <f>IF($A2483="","",AND(OR('Assignment Builder'!$B$5="",$B2483='Assignment Builder'!$B$5),OR('Assignment Builder'!$B$6="",ISNUMBER(SEARCH('Assignment Builder'!$B$6,$C2483))),OR('Assignment Builder'!$B$7="",'Assignment Builder'!$B$7=IFERROR(INDEX('Category Dictionary'!$C$5:$C$135,MATCH($L2483,'Category Dictionary'!$D$5:$D$135,0)),"")),OR('Assignment Builder'!$B$8="",$D2483='Assignment Builder'!$B$8),OR('Assignment Builder'!$B$9="",$F2483='Assignment Builder'!$B$9),OR('Assignment Builder'!$B$10="",$O2483='Assignment Builder'!$B$10),OR('Assignment Builder'!$B$11="",$H2483&gt;='Assignment Builder'!$B$11),OR('Assignment Builder'!$B$12="",N($Q2483)&lt;='Assignment Builder'!$B$12)))</f>
        <v/>
      </c>
      <c r="T2483" s="23" t="n"/>
    </row>
    <row r="2484">
      <c r="A2484" s="23" t="n"/>
      <c r="B2484" s="23" t="n"/>
      <c r="C2484" s="24" t="n"/>
      <c r="D2484" s="15" t="n"/>
      <c r="E2484" s="23" t="n"/>
      <c r="F2484" s="15" t="n"/>
      <c r="G2484" s="23" t="n"/>
      <c r="H2484" s="25" t="n"/>
      <c r="I2484" s="15" t="n"/>
      <c r="J2484" s="26">
        <f>IF($A2484="","",LEN($C2484)-LEN(SUBSTITUTE($C2484,",",""))+1)</f>
        <v/>
      </c>
      <c r="K2484" s="26">
        <f>IF($A2484="","",SUMPRODUCT(--ISNUMBER(SEARCH('Category Dictionary'!$D$5:$D$135&amp;"",$C2484)),--('Category Dictionary'!$D$5:$D$135&lt;&gt;"")))</f>
        <v/>
      </c>
      <c r="L2484" s="27">
        <f>IF($A2484="","",TRIM(IF(ISERROR(FIND(",",$C2484)),$C2484,LEFT($C2484,FIND(",",$C2484)-1))))</f>
        <v/>
      </c>
      <c r="M2484" s="28">
        <f>IF($H2484="","",DATE(YEAR($H2484),MONTH($H2484),1))</f>
        <v/>
      </c>
      <c r="N2484" s="26">
        <f>IF($H2484="","",TODAY()-$H2484)</f>
        <v/>
      </c>
      <c r="O2484" s="15" t="n"/>
      <c r="P2484" s="15" t="n"/>
      <c r="Q2484" s="15" t="n"/>
      <c r="R2484" s="25" t="n"/>
      <c r="S2484" s="26">
        <f>IF($A2484="","",AND(OR('Assignment Builder'!$B$5="",$B2484='Assignment Builder'!$B$5),OR('Assignment Builder'!$B$6="",ISNUMBER(SEARCH('Assignment Builder'!$B$6,$C2484))),OR('Assignment Builder'!$B$7="",'Assignment Builder'!$B$7=IFERROR(INDEX('Category Dictionary'!$C$5:$C$135,MATCH($L2484,'Category Dictionary'!$D$5:$D$135,0)),"")),OR('Assignment Builder'!$B$8="",$D2484='Assignment Builder'!$B$8),OR('Assignment Builder'!$B$9="",$F2484='Assignment Builder'!$B$9),OR('Assignment Builder'!$B$10="",$O2484='Assignment Builder'!$B$10),OR('Assignment Builder'!$B$11="",$H2484&gt;='Assignment Builder'!$B$11),OR('Assignment Builder'!$B$12="",N($Q2484)&lt;='Assignment Builder'!$B$12)))</f>
        <v/>
      </c>
      <c r="T2484" s="23" t="n"/>
    </row>
    <row r="2485">
      <c r="A2485" s="23" t="n"/>
      <c r="B2485" s="23" t="n"/>
      <c r="C2485" s="24" t="n"/>
      <c r="D2485" s="15" t="n"/>
      <c r="E2485" s="23" t="n"/>
      <c r="F2485" s="15" t="n"/>
      <c r="G2485" s="23" t="n"/>
      <c r="H2485" s="25" t="n"/>
      <c r="I2485" s="15" t="n"/>
      <c r="J2485" s="26">
        <f>IF($A2485="","",LEN($C2485)-LEN(SUBSTITUTE($C2485,",",""))+1)</f>
        <v/>
      </c>
      <c r="K2485" s="26">
        <f>IF($A2485="","",SUMPRODUCT(--ISNUMBER(SEARCH('Category Dictionary'!$D$5:$D$135&amp;"",$C2485)),--('Category Dictionary'!$D$5:$D$135&lt;&gt;"")))</f>
        <v/>
      </c>
      <c r="L2485" s="27">
        <f>IF($A2485="","",TRIM(IF(ISERROR(FIND(",",$C2485)),$C2485,LEFT($C2485,FIND(",",$C2485)-1))))</f>
        <v/>
      </c>
      <c r="M2485" s="28">
        <f>IF($H2485="","",DATE(YEAR($H2485),MONTH($H2485),1))</f>
        <v/>
      </c>
      <c r="N2485" s="26">
        <f>IF($H2485="","",TODAY()-$H2485)</f>
        <v/>
      </c>
      <c r="O2485" s="15" t="n"/>
      <c r="P2485" s="15" t="n"/>
      <c r="Q2485" s="15" t="n"/>
      <c r="R2485" s="25" t="n"/>
      <c r="S2485" s="26">
        <f>IF($A2485="","",AND(OR('Assignment Builder'!$B$5="",$B2485='Assignment Builder'!$B$5),OR('Assignment Builder'!$B$6="",ISNUMBER(SEARCH('Assignment Builder'!$B$6,$C2485))),OR('Assignment Builder'!$B$7="",'Assignment Builder'!$B$7=IFERROR(INDEX('Category Dictionary'!$C$5:$C$135,MATCH($L2485,'Category Dictionary'!$D$5:$D$135,0)),"")),OR('Assignment Builder'!$B$8="",$D2485='Assignment Builder'!$B$8),OR('Assignment Builder'!$B$9="",$F2485='Assignment Builder'!$B$9),OR('Assignment Builder'!$B$10="",$O2485='Assignment Builder'!$B$10),OR('Assignment Builder'!$B$11="",$H2485&gt;='Assignment Builder'!$B$11),OR('Assignment Builder'!$B$12="",N($Q2485)&lt;='Assignment Builder'!$B$12)))</f>
        <v/>
      </c>
      <c r="T2485" s="23" t="n"/>
    </row>
    <row r="2486">
      <c r="A2486" s="23" t="n"/>
      <c r="B2486" s="23" t="n"/>
      <c r="C2486" s="24" t="n"/>
      <c r="D2486" s="15" t="n"/>
      <c r="E2486" s="23" t="n"/>
      <c r="F2486" s="15" t="n"/>
      <c r="G2486" s="23" t="n"/>
      <c r="H2486" s="25" t="n"/>
      <c r="I2486" s="15" t="n"/>
      <c r="J2486" s="26">
        <f>IF($A2486="","",LEN($C2486)-LEN(SUBSTITUTE($C2486,",",""))+1)</f>
        <v/>
      </c>
      <c r="K2486" s="26">
        <f>IF($A2486="","",SUMPRODUCT(--ISNUMBER(SEARCH('Category Dictionary'!$D$5:$D$135&amp;"",$C2486)),--('Category Dictionary'!$D$5:$D$135&lt;&gt;"")))</f>
        <v/>
      </c>
      <c r="L2486" s="27">
        <f>IF($A2486="","",TRIM(IF(ISERROR(FIND(",",$C2486)),$C2486,LEFT($C2486,FIND(",",$C2486)-1))))</f>
        <v/>
      </c>
      <c r="M2486" s="28">
        <f>IF($H2486="","",DATE(YEAR($H2486),MONTH($H2486),1))</f>
        <v/>
      </c>
      <c r="N2486" s="26">
        <f>IF($H2486="","",TODAY()-$H2486)</f>
        <v/>
      </c>
      <c r="O2486" s="15" t="n"/>
      <c r="P2486" s="15" t="n"/>
      <c r="Q2486" s="15" t="n"/>
      <c r="R2486" s="25" t="n"/>
      <c r="S2486" s="26">
        <f>IF($A2486="","",AND(OR('Assignment Builder'!$B$5="",$B2486='Assignment Builder'!$B$5),OR('Assignment Builder'!$B$6="",ISNUMBER(SEARCH('Assignment Builder'!$B$6,$C2486))),OR('Assignment Builder'!$B$7="",'Assignment Builder'!$B$7=IFERROR(INDEX('Category Dictionary'!$C$5:$C$135,MATCH($L2486,'Category Dictionary'!$D$5:$D$135,0)),"")),OR('Assignment Builder'!$B$8="",$D2486='Assignment Builder'!$B$8),OR('Assignment Builder'!$B$9="",$F2486='Assignment Builder'!$B$9),OR('Assignment Builder'!$B$10="",$O2486='Assignment Builder'!$B$10),OR('Assignment Builder'!$B$11="",$H2486&gt;='Assignment Builder'!$B$11),OR('Assignment Builder'!$B$12="",N($Q2486)&lt;='Assignment Builder'!$B$12)))</f>
        <v/>
      </c>
      <c r="T2486" s="23" t="n"/>
    </row>
    <row r="2487">
      <c r="A2487" s="23" t="n"/>
      <c r="B2487" s="23" t="n"/>
      <c r="C2487" s="24" t="n"/>
      <c r="D2487" s="15" t="n"/>
      <c r="E2487" s="23" t="n"/>
      <c r="F2487" s="15" t="n"/>
      <c r="G2487" s="23" t="n"/>
      <c r="H2487" s="25" t="n"/>
      <c r="I2487" s="15" t="n"/>
      <c r="J2487" s="26">
        <f>IF($A2487="","",LEN($C2487)-LEN(SUBSTITUTE($C2487,",",""))+1)</f>
        <v/>
      </c>
      <c r="K2487" s="26">
        <f>IF($A2487="","",SUMPRODUCT(--ISNUMBER(SEARCH('Category Dictionary'!$D$5:$D$135&amp;"",$C2487)),--('Category Dictionary'!$D$5:$D$135&lt;&gt;"")))</f>
        <v/>
      </c>
      <c r="L2487" s="27">
        <f>IF($A2487="","",TRIM(IF(ISERROR(FIND(",",$C2487)),$C2487,LEFT($C2487,FIND(",",$C2487)-1))))</f>
        <v/>
      </c>
      <c r="M2487" s="28">
        <f>IF($H2487="","",DATE(YEAR($H2487),MONTH($H2487),1))</f>
        <v/>
      </c>
      <c r="N2487" s="26">
        <f>IF($H2487="","",TODAY()-$H2487)</f>
        <v/>
      </c>
      <c r="O2487" s="15" t="n"/>
      <c r="P2487" s="15" t="n"/>
      <c r="Q2487" s="15" t="n"/>
      <c r="R2487" s="25" t="n"/>
      <c r="S2487" s="26">
        <f>IF($A2487="","",AND(OR('Assignment Builder'!$B$5="",$B2487='Assignment Builder'!$B$5),OR('Assignment Builder'!$B$6="",ISNUMBER(SEARCH('Assignment Builder'!$B$6,$C2487))),OR('Assignment Builder'!$B$7="",'Assignment Builder'!$B$7=IFERROR(INDEX('Category Dictionary'!$C$5:$C$135,MATCH($L2487,'Category Dictionary'!$D$5:$D$135,0)),"")),OR('Assignment Builder'!$B$8="",$D2487='Assignment Builder'!$B$8),OR('Assignment Builder'!$B$9="",$F2487='Assignment Builder'!$B$9),OR('Assignment Builder'!$B$10="",$O2487='Assignment Builder'!$B$10),OR('Assignment Builder'!$B$11="",$H2487&gt;='Assignment Builder'!$B$11),OR('Assignment Builder'!$B$12="",N($Q2487)&lt;='Assignment Builder'!$B$12)))</f>
        <v/>
      </c>
      <c r="T2487" s="23" t="n"/>
    </row>
    <row r="2488">
      <c r="A2488" s="23" t="n"/>
      <c r="B2488" s="23" t="n"/>
      <c r="C2488" s="24" t="n"/>
      <c r="D2488" s="15" t="n"/>
      <c r="E2488" s="23" t="n"/>
      <c r="F2488" s="15" t="n"/>
      <c r="G2488" s="23" t="n"/>
      <c r="H2488" s="25" t="n"/>
      <c r="I2488" s="15" t="n"/>
      <c r="J2488" s="26">
        <f>IF($A2488="","",LEN($C2488)-LEN(SUBSTITUTE($C2488,",",""))+1)</f>
        <v/>
      </c>
      <c r="K2488" s="26">
        <f>IF($A2488="","",SUMPRODUCT(--ISNUMBER(SEARCH('Category Dictionary'!$D$5:$D$135&amp;"",$C2488)),--('Category Dictionary'!$D$5:$D$135&lt;&gt;"")))</f>
        <v/>
      </c>
      <c r="L2488" s="27">
        <f>IF($A2488="","",TRIM(IF(ISERROR(FIND(",",$C2488)),$C2488,LEFT($C2488,FIND(",",$C2488)-1))))</f>
        <v/>
      </c>
      <c r="M2488" s="28">
        <f>IF($H2488="","",DATE(YEAR($H2488),MONTH($H2488),1))</f>
        <v/>
      </c>
      <c r="N2488" s="26">
        <f>IF($H2488="","",TODAY()-$H2488)</f>
        <v/>
      </c>
      <c r="O2488" s="15" t="n"/>
      <c r="P2488" s="15" t="n"/>
      <c r="Q2488" s="15" t="n"/>
      <c r="R2488" s="25" t="n"/>
      <c r="S2488" s="26">
        <f>IF($A2488="","",AND(OR('Assignment Builder'!$B$5="",$B2488='Assignment Builder'!$B$5),OR('Assignment Builder'!$B$6="",ISNUMBER(SEARCH('Assignment Builder'!$B$6,$C2488))),OR('Assignment Builder'!$B$7="",'Assignment Builder'!$B$7=IFERROR(INDEX('Category Dictionary'!$C$5:$C$135,MATCH($L2488,'Category Dictionary'!$D$5:$D$135,0)),"")),OR('Assignment Builder'!$B$8="",$D2488='Assignment Builder'!$B$8),OR('Assignment Builder'!$B$9="",$F2488='Assignment Builder'!$B$9),OR('Assignment Builder'!$B$10="",$O2488='Assignment Builder'!$B$10),OR('Assignment Builder'!$B$11="",$H2488&gt;='Assignment Builder'!$B$11),OR('Assignment Builder'!$B$12="",N($Q2488)&lt;='Assignment Builder'!$B$12)))</f>
        <v/>
      </c>
      <c r="T2488" s="23" t="n"/>
    </row>
    <row r="2489">
      <c r="A2489" s="23" t="n"/>
      <c r="B2489" s="23" t="n"/>
      <c r="C2489" s="24" t="n"/>
      <c r="D2489" s="15" t="n"/>
      <c r="E2489" s="23" t="n"/>
      <c r="F2489" s="15" t="n"/>
      <c r="G2489" s="23" t="n"/>
      <c r="H2489" s="25" t="n"/>
      <c r="I2489" s="15" t="n"/>
      <c r="J2489" s="26">
        <f>IF($A2489="","",LEN($C2489)-LEN(SUBSTITUTE($C2489,",",""))+1)</f>
        <v/>
      </c>
      <c r="K2489" s="26">
        <f>IF($A2489="","",SUMPRODUCT(--ISNUMBER(SEARCH('Category Dictionary'!$D$5:$D$135&amp;"",$C2489)),--('Category Dictionary'!$D$5:$D$135&lt;&gt;"")))</f>
        <v/>
      </c>
      <c r="L2489" s="27">
        <f>IF($A2489="","",TRIM(IF(ISERROR(FIND(",",$C2489)),$C2489,LEFT($C2489,FIND(",",$C2489)-1))))</f>
        <v/>
      </c>
      <c r="M2489" s="28">
        <f>IF($H2489="","",DATE(YEAR($H2489),MONTH($H2489),1))</f>
        <v/>
      </c>
      <c r="N2489" s="26">
        <f>IF($H2489="","",TODAY()-$H2489)</f>
        <v/>
      </c>
      <c r="O2489" s="15" t="n"/>
      <c r="P2489" s="15" t="n"/>
      <c r="Q2489" s="15" t="n"/>
      <c r="R2489" s="25" t="n"/>
      <c r="S2489" s="26">
        <f>IF($A2489="","",AND(OR('Assignment Builder'!$B$5="",$B2489='Assignment Builder'!$B$5),OR('Assignment Builder'!$B$6="",ISNUMBER(SEARCH('Assignment Builder'!$B$6,$C2489))),OR('Assignment Builder'!$B$7="",'Assignment Builder'!$B$7=IFERROR(INDEX('Category Dictionary'!$C$5:$C$135,MATCH($L2489,'Category Dictionary'!$D$5:$D$135,0)),"")),OR('Assignment Builder'!$B$8="",$D2489='Assignment Builder'!$B$8),OR('Assignment Builder'!$B$9="",$F2489='Assignment Builder'!$B$9),OR('Assignment Builder'!$B$10="",$O2489='Assignment Builder'!$B$10),OR('Assignment Builder'!$B$11="",$H2489&gt;='Assignment Builder'!$B$11),OR('Assignment Builder'!$B$12="",N($Q2489)&lt;='Assignment Builder'!$B$12)))</f>
        <v/>
      </c>
      <c r="T2489" s="23" t="n"/>
    </row>
    <row r="2490">
      <c r="A2490" s="23" t="n"/>
      <c r="B2490" s="23" t="n"/>
      <c r="C2490" s="24" t="n"/>
      <c r="D2490" s="15" t="n"/>
      <c r="E2490" s="23" t="n"/>
      <c r="F2490" s="15" t="n"/>
      <c r="G2490" s="23" t="n"/>
      <c r="H2490" s="25" t="n"/>
      <c r="I2490" s="15" t="n"/>
      <c r="J2490" s="26">
        <f>IF($A2490="","",LEN($C2490)-LEN(SUBSTITUTE($C2490,",",""))+1)</f>
        <v/>
      </c>
      <c r="K2490" s="26">
        <f>IF($A2490="","",SUMPRODUCT(--ISNUMBER(SEARCH('Category Dictionary'!$D$5:$D$135&amp;"",$C2490)),--('Category Dictionary'!$D$5:$D$135&lt;&gt;"")))</f>
        <v/>
      </c>
      <c r="L2490" s="27">
        <f>IF($A2490="","",TRIM(IF(ISERROR(FIND(",",$C2490)),$C2490,LEFT($C2490,FIND(",",$C2490)-1))))</f>
        <v/>
      </c>
      <c r="M2490" s="28">
        <f>IF($H2490="","",DATE(YEAR($H2490),MONTH($H2490),1))</f>
        <v/>
      </c>
      <c r="N2490" s="26">
        <f>IF($H2490="","",TODAY()-$H2490)</f>
        <v/>
      </c>
      <c r="O2490" s="15" t="n"/>
      <c r="P2490" s="15" t="n"/>
      <c r="Q2490" s="15" t="n"/>
      <c r="R2490" s="25" t="n"/>
      <c r="S2490" s="26">
        <f>IF($A2490="","",AND(OR('Assignment Builder'!$B$5="",$B2490='Assignment Builder'!$B$5),OR('Assignment Builder'!$B$6="",ISNUMBER(SEARCH('Assignment Builder'!$B$6,$C2490))),OR('Assignment Builder'!$B$7="",'Assignment Builder'!$B$7=IFERROR(INDEX('Category Dictionary'!$C$5:$C$135,MATCH($L2490,'Category Dictionary'!$D$5:$D$135,0)),"")),OR('Assignment Builder'!$B$8="",$D2490='Assignment Builder'!$B$8),OR('Assignment Builder'!$B$9="",$F2490='Assignment Builder'!$B$9),OR('Assignment Builder'!$B$10="",$O2490='Assignment Builder'!$B$10),OR('Assignment Builder'!$B$11="",$H2490&gt;='Assignment Builder'!$B$11),OR('Assignment Builder'!$B$12="",N($Q2490)&lt;='Assignment Builder'!$B$12)))</f>
        <v/>
      </c>
      <c r="T2490" s="23" t="n"/>
    </row>
    <row r="2491">
      <c r="A2491" s="23" t="n"/>
      <c r="B2491" s="23" t="n"/>
      <c r="C2491" s="24" t="n"/>
      <c r="D2491" s="15" t="n"/>
      <c r="E2491" s="23" t="n"/>
      <c r="F2491" s="15" t="n"/>
      <c r="G2491" s="23" t="n"/>
      <c r="H2491" s="25" t="n"/>
      <c r="I2491" s="15" t="n"/>
      <c r="J2491" s="26">
        <f>IF($A2491="","",LEN($C2491)-LEN(SUBSTITUTE($C2491,",",""))+1)</f>
        <v/>
      </c>
      <c r="K2491" s="26">
        <f>IF($A2491="","",SUMPRODUCT(--ISNUMBER(SEARCH('Category Dictionary'!$D$5:$D$135&amp;"",$C2491)),--('Category Dictionary'!$D$5:$D$135&lt;&gt;"")))</f>
        <v/>
      </c>
      <c r="L2491" s="27">
        <f>IF($A2491="","",TRIM(IF(ISERROR(FIND(",",$C2491)),$C2491,LEFT($C2491,FIND(",",$C2491)-1))))</f>
        <v/>
      </c>
      <c r="M2491" s="28">
        <f>IF($H2491="","",DATE(YEAR($H2491),MONTH($H2491),1))</f>
        <v/>
      </c>
      <c r="N2491" s="26">
        <f>IF($H2491="","",TODAY()-$H2491)</f>
        <v/>
      </c>
      <c r="O2491" s="15" t="n"/>
      <c r="P2491" s="15" t="n"/>
      <c r="Q2491" s="15" t="n"/>
      <c r="R2491" s="25" t="n"/>
      <c r="S2491" s="26">
        <f>IF($A2491="","",AND(OR('Assignment Builder'!$B$5="",$B2491='Assignment Builder'!$B$5),OR('Assignment Builder'!$B$6="",ISNUMBER(SEARCH('Assignment Builder'!$B$6,$C2491))),OR('Assignment Builder'!$B$7="",'Assignment Builder'!$B$7=IFERROR(INDEX('Category Dictionary'!$C$5:$C$135,MATCH($L2491,'Category Dictionary'!$D$5:$D$135,0)),"")),OR('Assignment Builder'!$B$8="",$D2491='Assignment Builder'!$B$8),OR('Assignment Builder'!$B$9="",$F2491='Assignment Builder'!$B$9),OR('Assignment Builder'!$B$10="",$O2491='Assignment Builder'!$B$10),OR('Assignment Builder'!$B$11="",$H2491&gt;='Assignment Builder'!$B$11),OR('Assignment Builder'!$B$12="",N($Q2491)&lt;='Assignment Builder'!$B$12)))</f>
        <v/>
      </c>
      <c r="T2491" s="23" t="n"/>
    </row>
    <row r="2492">
      <c r="A2492" s="23" t="n"/>
      <c r="B2492" s="23" t="n"/>
      <c r="C2492" s="24" t="n"/>
      <c r="D2492" s="15" t="n"/>
      <c r="E2492" s="23" t="n"/>
      <c r="F2492" s="15" t="n"/>
      <c r="G2492" s="23" t="n"/>
      <c r="H2492" s="25" t="n"/>
      <c r="I2492" s="15" t="n"/>
      <c r="J2492" s="26">
        <f>IF($A2492="","",LEN($C2492)-LEN(SUBSTITUTE($C2492,",",""))+1)</f>
        <v/>
      </c>
      <c r="K2492" s="26">
        <f>IF($A2492="","",SUMPRODUCT(--ISNUMBER(SEARCH('Category Dictionary'!$D$5:$D$135&amp;"",$C2492)),--('Category Dictionary'!$D$5:$D$135&lt;&gt;"")))</f>
        <v/>
      </c>
      <c r="L2492" s="27">
        <f>IF($A2492="","",TRIM(IF(ISERROR(FIND(",",$C2492)),$C2492,LEFT($C2492,FIND(",",$C2492)-1))))</f>
        <v/>
      </c>
      <c r="M2492" s="28">
        <f>IF($H2492="","",DATE(YEAR($H2492),MONTH($H2492),1))</f>
        <v/>
      </c>
      <c r="N2492" s="26">
        <f>IF($H2492="","",TODAY()-$H2492)</f>
        <v/>
      </c>
      <c r="O2492" s="15" t="n"/>
      <c r="P2492" s="15" t="n"/>
      <c r="Q2492" s="15" t="n"/>
      <c r="R2492" s="25" t="n"/>
      <c r="S2492" s="26">
        <f>IF($A2492="","",AND(OR('Assignment Builder'!$B$5="",$B2492='Assignment Builder'!$B$5),OR('Assignment Builder'!$B$6="",ISNUMBER(SEARCH('Assignment Builder'!$B$6,$C2492))),OR('Assignment Builder'!$B$7="",'Assignment Builder'!$B$7=IFERROR(INDEX('Category Dictionary'!$C$5:$C$135,MATCH($L2492,'Category Dictionary'!$D$5:$D$135,0)),"")),OR('Assignment Builder'!$B$8="",$D2492='Assignment Builder'!$B$8),OR('Assignment Builder'!$B$9="",$F2492='Assignment Builder'!$B$9),OR('Assignment Builder'!$B$10="",$O2492='Assignment Builder'!$B$10),OR('Assignment Builder'!$B$11="",$H2492&gt;='Assignment Builder'!$B$11),OR('Assignment Builder'!$B$12="",N($Q2492)&lt;='Assignment Builder'!$B$12)))</f>
        <v/>
      </c>
      <c r="T2492" s="23" t="n"/>
    </row>
    <row r="2493">
      <c r="A2493" s="23" t="n"/>
      <c r="B2493" s="23" t="n"/>
      <c r="C2493" s="24" t="n"/>
      <c r="D2493" s="15" t="n"/>
      <c r="E2493" s="23" t="n"/>
      <c r="F2493" s="15" t="n"/>
      <c r="G2493" s="23" t="n"/>
      <c r="H2493" s="25" t="n"/>
      <c r="I2493" s="15" t="n"/>
      <c r="J2493" s="26">
        <f>IF($A2493="","",LEN($C2493)-LEN(SUBSTITUTE($C2493,",",""))+1)</f>
        <v/>
      </c>
      <c r="K2493" s="26">
        <f>IF($A2493="","",SUMPRODUCT(--ISNUMBER(SEARCH('Category Dictionary'!$D$5:$D$135&amp;"",$C2493)),--('Category Dictionary'!$D$5:$D$135&lt;&gt;"")))</f>
        <v/>
      </c>
      <c r="L2493" s="27">
        <f>IF($A2493="","",TRIM(IF(ISERROR(FIND(",",$C2493)),$C2493,LEFT($C2493,FIND(",",$C2493)-1))))</f>
        <v/>
      </c>
      <c r="M2493" s="28">
        <f>IF($H2493="","",DATE(YEAR($H2493),MONTH($H2493),1))</f>
        <v/>
      </c>
      <c r="N2493" s="26">
        <f>IF($H2493="","",TODAY()-$H2493)</f>
        <v/>
      </c>
      <c r="O2493" s="15" t="n"/>
      <c r="P2493" s="15" t="n"/>
      <c r="Q2493" s="15" t="n"/>
      <c r="R2493" s="25" t="n"/>
      <c r="S2493" s="26">
        <f>IF($A2493="","",AND(OR('Assignment Builder'!$B$5="",$B2493='Assignment Builder'!$B$5),OR('Assignment Builder'!$B$6="",ISNUMBER(SEARCH('Assignment Builder'!$B$6,$C2493))),OR('Assignment Builder'!$B$7="",'Assignment Builder'!$B$7=IFERROR(INDEX('Category Dictionary'!$C$5:$C$135,MATCH($L2493,'Category Dictionary'!$D$5:$D$135,0)),"")),OR('Assignment Builder'!$B$8="",$D2493='Assignment Builder'!$B$8),OR('Assignment Builder'!$B$9="",$F2493='Assignment Builder'!$B$9),OR('Assignment Builder'!$B$10="",$O2493='Assignment Builder'!$B$10),OR('Assignment Builder'!$B$11="",$H2493&gt;='Assignment Builder'!$B$11),OR('Assignment Builder'!$B$12="",N($Q2493)&lt;='Assignment Builder'!$B$12)))</f>
        <v/>
      </c>
      <c r="T2493" s="23" t="n"/>
    </row>
    <row r="2494">
      <c r="A2494" s="23" t="n"/>
      <c r="B2494" s="23" t="n"/>
      <c r="C2494" s="24" t="n"/>
      <c r="D2494" s="15" t="n"/>
      <c r="E2494" s="23" t="n"/>
      <c r="F2494" s="15" t="n"/>
      <c r="G2494" s="23" t="n"/>
      <c r="H2494" s="25" t="n"/>
      <c r="I2494" s="15" t="n"/>
      <c r="J2494" s="26">
        <f>IF($A2494="","",LEN($C2494)-LEN(SUBSTITUTE($C2494,",",""))+1)</f>
        <v/>
      </c>
      <c r="K2494" s="26">
        <f>IF($A2494="","",SUMPRODUCT(--ISNUMBER(SEARCH('Category Dictionary'!$D$5:$D$135&amp;"",$C2494)),--('Category Dictionary'!$D$5:$D$135&lt;&gt;"")))</f>
        <v/>
      </c>
      <c r="L2494" s="27">
        <f>IF($A2494="","",TRIM(IF(ISERROR(FIND(",",$C2494)),$C2494,LEFT($C2494,FIND(",",$C2494)-1))))</f>
        <v/>
      </c>
      <c r="M2494" s="28">
        <f>IF($H2494="","",DATE(YEAR($H2494),MONTH($H2494),1))</f>
        <v/>
      </c>
      <c r="N2494" s="26">
        <f>IF($H2494="","",TODAY()-$H2494)</f>
        <v/>
      </c>
      <c r="O2494" s="15" t="n"/>
      <c r="P2494" s="15" t="n"/>
      <c r="Q2494" s="15" t="n"/>
      <c r="R2494" s="25" t="n"/>
      <c r="S2494" s="26">
        <f>IF($A2494="","",AND(OR('Assignment Builder'!$B$5="",$B2494='Assignment Builder'!$B$5),OR('Assignment Builder'!$B$6="",ISNUMBER(SEARCH('Assignment Builder'!$B$6,$C2494))),OR('Assignment Builder'!$B$7="",'Assignment Builder'!$B$7=IFERROR(INDEX('Category Dictionary'!$C$5:$C$135,MATCH($L2494,'Category Dictionary'!$D$5:$D$135,0)),"")),OR('Assignment Builder'!$B$8="",$D2494='Assignment Builder'!$B$8),OR('Assignment Builder'!$B$9="",$F2494='Assignment Builder'!$B$9),OR('Assignment Builder'!$B$10="",$O2494='Assignment Builder'!$B$10),OR('Assignment Builder'!$B$11="",$H2494&gt;='Assignment Builder'!$B$11),OR('Assignment Builder'!$B$12="",N($Q2494)&lt;='Assignment Builder'!$B$12)))</f>
        <v/>
      </c>
      <c r="T2494" s="23" t="n"/>
    </row>
    <row r="2495">
      <c r="A2495" s="23" t="n"/>
      <c r="B2495" s="23" t="n"/>
      <c r="C2495" s="24" t="n"/>
      <c r="D2495" s="15" t="n"/>
      <c r="E2495" s="23" t="n"/>
      <c r="F2495" s="15" t="n"/>
      <c r="G2495" s="23" t="n"/>
      <c r="H2495" s="25" t="n"/>
      <c r="I2495" s="15" t="n"/>
      <c r="J2495" s="26">
        <f>IF($A2495="","",LEN($C2495)-LEN(SUBSTITUTE($C2495,",",""))+1)</f>
        <v/>
      </c>
      <c r="K2495" s="26">
        <f>IF($A2495="","",SUMPRODUCT(--ISNUMBER(SEARCH('Category Dictionary'!$D$5:$D$135&amp;"",$C2495)),--('Category Dictionary'!$D$5:$D$135&lt;&gt;"")))</f>
        <v/>
      </c>
      <c r="L2495" s="27">
        <f>IF($A2495="","",TRIM(IF(ISERROR(FIND(",",$C2495)),$C2495,LEFT($C2495,FIND(",",$C2495)-1))))</f>
        <v/>
      </c>
      <c r="M2495" s="28">
        <f>IF($H2495="","",DATE(YEAR($H2495),MONTH($H2495),1))</f>
        <v/>
      </c>
      <c r="N2495" s="26">
        <f>IF($H2495="","",TODAY()-$H2495)</f>
        <v/>
      </c>
      <c r="O2495" s="15" t="n"/>
      <c r="P2495" s="15" t="n"/>
      <c r="Q2495" s="15" t="n"/>
      <c r="R2495" s="25" t="n"/>
      <c r="S2495" s="26">
        <f>IF($A2495="","",AND(OR('Assignment Builder'!$B$5="",$B2495='Assignment Builder'!$B$5),OR('Assignment Builder'!$B$6="",ISNUMBER(SEARCH('Assignment Builder'!$B$6,$C2495))),OR('Assignment Builder'!$B$7="",'Assignment Builder'!$B$7=IFERROR(INDEX('Category Dictionary'!$C$5:$C$135,MATCH($L2495,'Category Dictionary'!$D$5:$D$135,0)),"")),OR('Assignment Builder'!$B$8="",$D2495='Assignment Builder'!$B$8),OR('Assignment Builder'!$B$9="",$F2495='Assignment Builder'!$B$9),OR('Assignment Builder'!$B$10="",$O2495='Assignment Builder'!$B$10),OR('Assignment Builder'!$B$11="",$H2495&gt;='Assignment Builder'!$B$11),OR('Assignment Builder'!$B$12="",N($Q2495)&lt;='Assignment Builder'!$B$12)))</f>
        <v/>
      </c>
      <c r="T2495" s="23" t="n"/>
    </row>
    <row r="2496">
      <c r="A2496" s="23" t="n"/>
      <c r="B2496" s="23" t="n"/>
      <c r="C2496" s="24" t="n"/>
      <c r="D2496" s="15" t="n"/>
      <c r="E2496" s="23" t="n"/>
      <c r="F2496" s="15" t="n"/>
      <c r="G2496" s="23" t="n"/>
      <c r="H2496" s="25" t="n"/>
      <c r="I2496" s="15" t="n"/>
      <c r="J2496" s="26">
        <f>IF($A2496="","",LEN($C2496)-LEN(SUBSTITUTE($C2496,",",""))+1)</f>
        <v/>
      </c>
      <c r="K2496" s="26">
        <f>IF($A2496="","",SUMPRODUCT(--ISNUMBER(SEARCH('Category Dictionary'!$D$5:$D$135&amp;"",$C2496)),--('Category Dictionary'!$D$5:$D$135&lt;&gt;"")))</f>
        <v/>
      </c>
      <c r="L2496" s="27">
        <f>IF($A2496="","",TRIM(IF(ISERROR(FIND(",",$C2496)),$C2496,LEFT($C2496,FIND(",",$C2496)-1))))</f>
        <v/>
      </c>
      <c r="M2496" s="28">
        <f>IF($H2496="","",DATE(YEAR($H2496),MONTH($H2496),1))</f>
        <v/>
      </c>
      <c r="N2496" s="26">
        <f>IF($H2496="","",TODAY()-$H2496)</f>
        <v/>
      </c>
      <c r="O2496" s="15" t="n"/>
      <c r="P2496" s="15" t="n"/>
      <c r="Q2496" s="15" t="n"/>
      <c r="R2496" s="25" t="n"/>
      <c r="S2496" s="26">
        <f>IF($A2496="","",AND(OR('Assignment Builder'!$B$5="",$B2496='Assignment Builder'!$B$5),OR('Assignment Builder'!$B$6="",ISNUMBER(SEARCH('Assignment Builder'!$B$6,$C2496))),OR('Assignment Builder'!$B$7="",'Assignment Builder'!$B$7=IFERROR(INDEX('Category Dictionary'!$C$5:$C$135,MATCH($L2496,'Category Dictionary'!$D$5:$D$135,0)),"")),OR('Assignment Builder'!$B$8="",$D2496='Assignment Builder'!$B$8),OR('Assignment Builder'!$B$9="",$F2496='Assignment Builder'!$B$9),OR('Assignment Builder'!$B$10="",$O2496='Assignment Builder'!$B$10),OR('Assignment Builder'!$B$11="",$H2496&gt;='Assignment Builder'!$B$11),OR('Assignment Builder'!$B$12="",N($Q2496)&lt;='Assignment Builder'!$B$12)))</f>
        <v/>
      </c>
      <c r="T2496" s="23" t="n"/>
    </row>
    <row r="2497">
      <c r="A2497" s="23" t="n"/>
      <c r="B2497" s="23" t="n"/>
      <c r="C2497" s="24" t="n"/>
      <c r="D2497" s="15" t="n"/>
      <c r="E2497" s="23" t="n"/>
      <c r="F2497" s="15" t="n"/>
      <c r="G2497" s="23" t="n"/>
      <c r="H2497" s="25" t="n"/>
      <c r="I2497" s="15" t="n"/>
      <c r="J2497" s="26">
        <f>IF($A2497="","",LEN($C2497)-LEN(SUBSTITUTE($C2497,",",""))+1)</f>
        <v/>
      </c>
      <c r="K2497" s="26">
        <f>IF($A2497="","",SUMPRODUCT(--ISNUMBER(SEARCH('Category Dictionary'!$D$5:$D$135&amp;"",$C2497)),--('Category Dictionary'!$D$5:$D$135&lt;&gt;"")))</f>
        <v/>
      </c>
      <c r="L2497" s="27">
        <f>IF($A2497="","",TRIM(IF(ISERROR(FIND(",",$C2497)),$C2497,LEFT($C2497,FIND(",",$C2497)-1))))</f>
        <v/>
      </c>
      <c r="M2497" s="28">
        <f>IF($H2497="","",DATE(YEAR($H2497),MONTH($H2497),1))</f>
        <v/>
      </c>
      <c r="N2497" s="26">
        <f>IF($H2497="","",TODAY()-$H2497)</f>
        <v/>
      </c>
      <c r="O2497" s="15" t="n"/>
      <c r="P2497" s="15" t="n"/>
      <c r="Q2497" s="15" t="n"/>
      <c r="R2497" s="25" t="n"/>
      <c r="S2497" s="26">
        <f>IF($A2497="","",AND(OR('Assignment Builder'!$B$5="",$B2497='Assignment Builder'!$B$5),OR('Assignment Builder'!$B$6="",ISNUMBER(SEARCH('Assignment Builder'!$B$6,$C2497))),OR('Assignment Builder'!$B$7="",'Assignment Builder'!$B$7=IFERROR(INDEX('Category Dictionary'!$C$5:$C$135,MATCH($L2497,'Category Dictionary'!$D$5:$D$135,0)),"")),OR('Assignment Builder'!$B$8="",$D2497='Assignment Builder'!$B$8),OR('Assignment Builder'!$B$9="",$F2497='Assignment Builder'!$B$9),OR('Assignment Builder'!$B$10="",$O2497='Assignment Builder'!$B$10),OR('Assignment Builder'!$B$11="",$H2497&gt;='Assignment Builder'!$B$11),OR('Assignment Builder'!$B$12="",N($Q2497)&lt;='Assignment Builder'!$B$12)))</f>
        <v/>
      </c>
      <c r="T2497" s="23" t="n"/>
    </row>
    <row r="2498">
      <c r="A2498" s="23" t="n"/>
      <c r="B2498" s="23" t="n"/>
      <c r="C2498" s="24" t="n"/>
      <c r="D2498" s="15" t="n"/>
      <c r="E2498" s="23" t="n"/>
      <c r="F2498" s="15" t="n"/>
      <c r="G2498" s="23" t="n"/>
      <c r="H2498" s="25" t="n"/>
      <c r="I2498" s="15" t="n"/>
      <c r="J2498" s="26">
        <f>IF($A2498="","",LEN($C2498)-LEN(SUBSTITUTE($C2498,",",""))+1)</f>
        <v/>
      </c>
      <c r="K2498" s="26">
        <f>IF($A2498="","",SUMPRODUCT(--ISNUMBER(SEARCH('Category Dictionary'!$D$5:$D$135&amp;"",$C2498)),--('Category Dictionary'!$D$5:$D$135&lt;&gt;"")))</f>
        <v/>
      </c>
      <c r="L2498" s="27">
        <f>IF($A2498="","",TRIM(IF(ISERROR(FIND(",",$C2498)),$C2498,LEFT($C2498,FIND(",",$C2498)-1))))</f>
        <v/>
      </c>
      <c r="M2498" s="28">
        <f>IF($H2498="","",DATE(YEAR($H2498),MONTH($H2498),1))</f>
        <v/>
      </c>
      <c r="N2498" s="26">
        <f>IF($H2498="","",TODAY()-$H2498)</f>
        <v/>
      </c>
      <c r="O2498" s="15" t="n"/>
      <c r="P2498" s="15" t="n"/>
      <c r="Q2498" s="15" t="n"/>
      <c r="R2498" s="25" t="n"/>
      <c r="S2498" s="26">
        <f>IF($A2498="","",AND(OR('Assignment Builder'!$B$5="",$B2498='Assignment Builder'!$B$5),OR('Assignment Builder'!$B$6="",ISNUMBER(SEARCH('Assignment Builder'!$B$6,$C2498))),OR('Assignment Builder'!$B$7="",'Assignment Builder'!$B$7=IFERROR(INDEX('Category Dictionary'!$C$5:$C$135,MATCH($L2498,'Category Dictionary'!$D$5:$D$135,0)),"")),OR('Assignment Builder'!$B$8="",$D2498='Assignment Builder'!$B$8),OR('Assignment Builder'!$B$9="",$F2498='Assignment Builder'!$B$9),OR('Assignment Builder'!$B$10="",$O2498='Assignment Builder'!$B$10),OR('Assignment Builder'!$B$11="",$H2498&gt;='Assignment Builder'!$B$11),OR('Assignment Builder'!$B$12="",N($Q2498)&lt;='Assignment Builder'!$B$12)))</f>
        <v/>
      </c>
      <c r="T2498" s="23" t="n"/>
    </row>
    <row r="2499">
      <c r="A2499" s="23" t="n"/>
      <c r="B2499" s="23" t="n"/>
      <c r="C2499" s="24" t="n"/>
      <c r="D2499" s="15" t="n"/>
      <c r="E2499" s="23" t="n"/>
      <c r="F2499" s="15" t="n"/>
      <c r="G2499" s="23" t="n"/>
      <c r="H2499" s="25" t="n"/>
      <c r="I2499" s="15" t="n"/>
      <c r="J2499" s="26">
        <f>IF($A2499="","",LEN($C2499)-LEN(SUBSTITUTE($C2499,",",""))+1)</f>
        <v/>
      </c>
      <c r="K2499" s="26">
        <f>IF($A2499="","",SUMPRODUCT(--ISNUMBER(SEARCH('Category Dictionary'!$D$5:$D$135&amp;"",$C2499)),--('Category Dictionary'!$D$5:$D$135&lt;&gt;"")))</f>
        <v/>
      </c>
      <c r="L2499" s="27">
        <f>IF($A2499="","",TRIM(IF(ISERROR(FIND(",",$C2499)),$C2499,LEFT($C2499,FIND(",",$C2499)-1))))</f>
        <v/>
      </c>
      <c r="M2499" s="28">
        <f>IF($H2499="","",DATE(YEAR($H2499),MONTH($H2499),1))</f>
        <v/>
      </c>
      <c r="N2499" s="26">
        <f>IF($H2499="","",TODAY()-$H2499)</f>
        <v/>
      </c>
      <c r="O2499" s="15" t="n"/>
      <c r="P2499" s="15" t="n"/>
      <c r="Q2499" s="15" t="n"/>
      <c r="R2499" s="25" t="n"/>
      <c r="S2499" s="26">
        <f>IF($A2499="","",AND(OR('Assignment Builder'!$B$5="",$B2499='Assignment Builder'!$B$5),OR('Assignment Builder'!$B$6="",ISNUMBER(SEARCH('Assignment Builder'!$B$6,$C2499))),OR('Assignment Builder'!$B$7="",'Assignment Builder'!$B$7=IFERROR(INDEX('Category Dictionary'!$C$5:$C$135,MATCH($L2499,'Category Dictionary'!$D$5:$D$135,0)),"")),OR('Assignment Builder'!$B$8="",$D2499='Assignment Builder'!$B$8),OR('Assignment Builder'!$B$9="",$F2499='Assignment Builder'!$B$9),OR('Assignment Builder'!$B$10="",$O2499='Assignment Builder'!$B$10),OR('Assignment Builder'!$B$11="",$H2499&gt;='Assignment Builder'!$B$11),OR('Assignment Builder'!$B$12="",N($Q2499)&lt;='Assignment Builder'!$B$12)))</f>
        <v/>
      </c>
      <c r="T2499" s="23" t="n"/>
    </row>
    <row r="2500">
      <c r="A2500" s="23" t="n"/>
      <c r="B2500" s="23" t="n"/>
      <c r="C2500" s="24" t="n"/>
      <c r="D2500" s="15" t="n"/>
      <c r="E2500" s="23" t="n"/>
      <c r="F2500" s="15" t="n"/>
      <c r="G2500" s="23" t="n"/>
      <c r="H2500" s="25" t="n"/>
      <c r="I2500" s="15" t="n"/>
      <c r="J2500" s="26">
        <f>IF($A2500="","",LEN($C2500)-LEN(SUBSTITUTE($C2500,",",""))+1)</f>
        <v/>
      </c>
      <c r="K2500" s="26">
        <f>IF($A2500="","",SUMPRODUCT(--ISNUMBER(SEARCH('Category Dictionary'!$D$5:$D$135&amp;"",$C2500)),--('Category Dictionary'!$D$5:$D$135&lt;&gt;"")))</f>
        <v/>
      </c>
      <c r="L2500" s="27">
        <f>IF($A2500="","",TRIM(IF(ISERROR(FIND(",",$C2500)),$C2500,LEFT($C2500,FIND(",",$C2500)-1))))</f>
        <v/>
      </c>
      <c r="M2500" s="28">
        <f>IF($H2500="","",DATE(YEAR($H2500),MONTH($H2500),1))</f>
        <v/>
      </c>
      <c r="N2500" s="26">
        <f>IF($H2500="","",TODAY()-$H2500)</f>
        <v/>
      </c>
      <c r="O2500" s="15" t="n"/>
      <c r="P2500" s="15" t="n"/>
      <c r="Q2500" s="15" t="n"/>
      <c r="R2500" s="25" t="n"/>
      <c r="S2500" s="26">
        <f>IF($A2500="","",AND(OR('Assignment Builder'!$B$5="",$B2500='Assignment Builder'!$B$5),OR('Assignment Builder'!$B$6="",ISNUMBER(SEARCH('Assignment Builder'!$B$6,$C2500))),OR('Assignment Builder'!$B$7="",'Assignment Builder'!$B$7=IFERROR(INDEX('Category Dictionary'!$C$5:$C$135,MATCH($L2500,'Category Dictionary'!$D$5:$D$135,0)),"")),OR('Assignment Builder'!$B$8="",$D2500='Assignment Builder'!$B$8),OR('Assignment Builder'!$B$9="",$F2500='Assignment Builder'!$B$9),OR('Assignment Builder'!$B$10="",$O2500='Assignment Builder'!$B$10),OR('Assignment Builder'!$B$11="",$H2500&gt;='Assignment Builder'!$B$11),OR('Assignment Builder'!$B$12="",N($Q2500)&lt;='Assignment Builder'!$B$12)))</f>
        <v/>
      </c>
      <c r="T2500" s="23" t="n"/>
    </row>
    <row r="2501">
      <c r="A2501" s="23" t="n"/>
      <c r="B2501" s="23" t="n"/>
      <c r="C2501" s="24" t="n"/>
      <c r="D2501" s="15" t="n"/>
      <c r="E2501" s="23" t="n"/>
      <c r="F2501" s="15" t="n"/>
      <c r="G2501" s="23" t="n"/>
      <c r="H2501" s="25" t="n"/>
      <c r="I2501" s="15" t="n"/>
      <c r="J2501" s="26">
        <f>IF($A2501="","",LEN($C2501)-LEN(SUBSTITUTE($C2501,",",""))+1)</f>
        <v/>
      </c>
      <c r="K2501" s="26">
        <f>IF($A2501="","",SUMPRODUCT(--ISNUMBER(SEARCH('Category Dictionary'!$D$5:$D$135&amp;"",$C2501)),--('Category Dictionary'!$D$5:$D$135&lt;&gt;"")))</f>
        <v/>
      </c>
      <c r="L2501" s="27">
        <f>IF($A2501="","",TRIM(IF(ISERROR(FIND(",",$C2501)),$C2501,LEFT($C2501,FIND(",",$C2501)-1))))</f>
        <v/>
      </c>
      <c r="M2501" s="28">
        <f>IF($H2501="","",DATE(YEAR($H2501),MONTH($H2501),1))</f>
        <v/>
      </c>
      <c r="N2501" s="26">
        <f>IF($H2501="","",TODAY()-$H2501)</f>
        <v/>
      </c>
      <c r="O2501" s="15" t="n"/>
      <c r="P2501" s="15" t="n"/>
      <c r="Q2501" s="15" t="n"/>
      <c r="R2501" s="25" t="n"/>
      <c r="S2501" s="26">
        <f>IF($A2501="","",AND(OR('Assignment Builder'!$B$5="",$B2501='Assignment Builder'!$B$5),OR('Assignment Builder'!$B$6="",ISNUMBER(SEARCH('Assignment Builder'!$B$6,$C2501))),OR('Assignment Builder'!$B$7="",'Assignment Builder'!$B$7=IFERROR(INDEX('Category Dictionary'!$C$5:$C$135,MATCH($L2501,'Category Dictionary'!$D$5:$D$135,0)),"")),OR('Assignment Builder'!$B$8="",$D2501='Assignment Builder'!$B$8),OR('Assignment Builder'!$B$9="",$F2501='Assignment Builder'!$B$9),OR('Assignment Builder'!$B$10="",$O2501='Assignment Builder'!$B$10),OR('Assignment Builder'!$B$11="",$H2501&gt;='Assignment Builder'!$B$11),OR('Assignment Builder'!$B$12="",N($Q2501)&lt;='Assignment Builder'!$B$12)))</f>
        <v/>
      </c>
      <c r="T2501" s="23" t="n"/>
    </row>
    <row r="2502">
      <c r="A2502" s="23" t="n"/>
      <c r="B2502" s="23" t="n"/>
      <c r="C2502" s="24" t="n"/>
      <c r="D2502" s="15" t="n"/>
      <c r="E2502" s="23" t="n"/>
      <c r="F2502" s="15" t="n"/>
      <c r="G2502" s="23" t="n"/>
      <c r="H2502" s="25" t="n"/>
      <c r="I2502" s="15" t="n"/>
      <c r="J2502" s="26">
        <f>IF($A2502="","",LEN($C2502)-LEN(SUBSTITUTE($C2502,",",""))+1)</f>
        <v/>
      </c>
      <c r="K2502" s="26">
        <f>IF($A2502="","",SUMPRODUCT(--ISNUMBER(SEARCH('Category Dictionary'!$D$5:$D$135&amp;"",$C2502)),--('Category Dictionary'!$D$5:$D$135&lt;&gt;"")))</f>
        <v/>
      </c>
      <c r="L2502" s="27">
        <f>IF($A2502="","",TRIM(IF(ISERROR(FIND(",",$C2502)),$C2502,LEFT($C2502,FIND(",",$C2502)-1))))</f>
        <v/>
      </c>
      <c r="M2502" s="28">
        <f>IF($H2502="","",DATE(YEAR($H2502),MONTH($H2502),1))</f>
        <v/>
      </c>
      <c r="N2502" s="26">
        <f>IF($H2502="","",TODAY()-$H2502)</f>
        <v/>
      </c>
      <c r="O2502" s="15" t="n"/>
      <c r="P2502" s="15" t="n"/>
      <c r="Q2502" s="15" t="n"/>
      <c r="R2502" s="25" t="n"/>
      <c r="S2502" s="26">
        <f>IF($A2502="","",AND(OR('Assignment Builder'!$B$5="",$B2502='Assignment Builder'!$B$5),OR('Assignment Builder'!$B$6="",ISNUMBER(SEARCH('Assignment Builder'!$B$6,$C2502))),OR('Assignment Builder'!$B$7="",'Assignment Builder'!$B$7=IFERROR(INDEX('Category Dictionary'!$C$5:$C$135,MATCH($L2502,'Category Dictionary'!$D$5:$D$135,0)),"")),OR('Assignment Builder'!$B$8="",$D2502='Assignment Builder'!$B$8),OR('Assignment Builder'!$B$9="",$F2502='Assignment Builder'!$B$9),OR('Assignment Builder'!$B$10="",$O2502='Assignment Builder'!$B$10),OR('Assignment Builder'!$B$11="",$H2502&gt;='Assignment Builder'!$B$11),OR('Assignment Builder'!$B$12="",N($Q2502)&lt;='Assignment Builder'!$B$12)))</f>
        <v/>
      </c>
      <c r="T2502" s="23" t="n"/>
    </row>
    <row r="2503">
      <c r="A2503" s="23" t="n"/>
      <c r="B2503" s="23" t="n"/>
      <c r="C2503" s="24" t="n"/>
      <c r="D2503" s="15" t="n"/>
      <c r="E2503" s="23" t="n"/>
      <c r="F2503" s="15" t="n"/>
      <c r="G2503" s="23" t="n"/>
      <c r="H2503" s="25" t="n"/>
      <c r="I2503" s="15" t="n"/>
      <c r="J2503" s="26">
        <f>IF($A2503="","",LEN($C2503)-LEN(SUBSTITUTE($C2503,",",""))+1)</f>
        <v/>
      </c>
      <c r="K2503" s="26">
        <f>IF($A2503="","",SUMPRODUCT(--ISNUMBER(SEARCH('Category Dictionary'!$D$5:$D$135&amp;"",$C2503)),--('Category Dictionary'!$D$5:$D$135&lt;&gt;"")))</f>
        <v/>
      </c>
      <c r="L2503" s="27">
        <f>IF($A2503="","",TRIM(IF(ISERROR(FIND(",",$C2503)),$C2503,LEFT($C2503,FIND(",",$C2503)-1))))</f>
        <v/>
      </c>
      <c r="M2503" s="28">
        <f>IF($H2503="","",DATE(YEAR($H2503),MONTH($H2503),1))</f>
        <v/>
      </c>
      <c r="N2503" s="26">
        <f>IF($H2503="","",TODAY()-$H2503)</f>
        <v/>
      </c>
      <c r="O2503" s="15" t="n"/>
      <c r="P2503" s="15" t="n"/>
      <c r="Q2503" s="15" t="n"/>
      <c r="R2503" s="25" t="n"/>
      <c r="S2503" s="26">
        <f>IF($A2503="","",AND(OR('Assignment Builder'!$B$5="",$B2503='Assignment Builder'!$B$5),OR('Assignment Builder'!$B$6="",ISNUMBER(SEARCH('Assignment Builder'!$B$6,$C2503))),OR('Assignment Builder'!$B$7="",'Assignment Builder'!$B$7=IFERROR(INDEX('Category Dictionary'!$C$5:$C$135,MATCH($L2503,'Category Dictionary'!$D$5:$D$135,0)),"")),OR('Assignment Builder'!$B$8="",$D2503='Assignment Builder'!$B$8),OR('Assignment Builder'!$B$9="",$F2503='Assignment Builder'!$B$9),OR('Assignment Builder'!$B$10="",$O2503='Assignment Builder'!$B$10),OR('Assignment Builder'!$B$11="",$H2503&gt;='Assignment Builder'!$B$11),OR('Assignment Builder'!$B$12="",N($Q2503)&lt;='Assignment Builder'!$B$12)))</f>
        <v/>
      </c>
      <c r="T2503" s="23" t="n"/>
    </row>
    <row r="2504">
      <c r="A2504" s="23" t="n"/>
      <c r="B2504" s="23" t="n"/>
      <c r="C2504" s="24" t="n"/>
      <c r="D2504" s="15" t="n"/>
      <c r="E2504" s="23" t="n"/>
      <c r="F2504" s="15" t="n"/>
      <c r="G2504" s="23" t="n"/>
      <c r="H2504" s="25" t="n"/>
      <c r="I2504" s="15" t="n"/>
      <c r="J2504" s="26">
        <f>IF($A2504="","",LEN($C2504)-LEN(SUBSTITUTE($C2504,",",""))+1)</f>
        <v/>
      </c>
      <c r="K2504" s="26">
        <f>IF($A2504="","",SUMPRODUCT(--ISNUMBER(SEARCH('Category Dictionary'!$D$5:$D$135&amp;"",$C2504)),--('Category Dictionary'!$D$5:$D$135&lt;&gt;"")))</f>
        <v/>
      </c>
      <c r="L2504" s="27">
        <f>IF($A2504="","",TRIM(IF(ISERROR(FIND(",",$C2504)),$C2504,LEFT($C2504,FIND(",",$C2504)-1))))</f>
        <v/>
      </c>
      <c r="M2504" s="28">
        <f>IF($H2504="","",DATE(YEAR($H2504),MONTH($H2504),1))</f>
        <v/>
      </c>
      <c r="N2504" s="26">
        <f>IF($H2504="","",TODAY()-$H2504)</f>
        <v/>
      </c>
      <c r="O2504" s="15" t="n"/>
      <c r="P2504" s="15" t="n"/>
      <c r="Q2504" s="15" t="n"/>
      <c r="R2504" s="25" t="n"/>
      <c r="S2504" s="26">
        <f>IF($A2504="","",AND(OR('Assignment Builder'!$B$5="",$B2504='Assignment Builder'!$B$5),OR('Assignment Builder'!$B$6="",ISNUMBER(SEARCH('Assignment Builder'!$B$6,$C2504))),OR('Assignment Builder'!$B$7="",'Assignment Builder'!$B$7=IFERROR(INDEX('Category Dictionary'!$C$5:$C$135,MATCH($L2504,'Category Dictionary'!$D$5:$D$135,0)),"")),OR('Assignment Builder'!$B$8="",$D2504='Assignment Builder'!$B$8),OR('Assignment Builder'!$B$9="",$F2504='Assignment Builder'!$B$9),OR('Assignment Builder'!$B$10="",$O2504='Assignment Builder'!$B$10),OR('Assignment Builder'!$B$11="",$H2504&gt;='Assignment Builder'!$B$11),OR('Assignment Builder'!$B$12="",N($Q2504)&lt;='Assignment Builder'!$B$12)))</f>
        <v/>
      </c>
      <c r="T2504" s="23" t="n"/>
    </row>
    <row r="2505">
      <c r="A2505" s="23" t="n"/>
      <c r="B2505" s="23" t="n"/>
      <c r="C2505" s="24" t="n"/>
      <c r="D2505" s="15" t="n"/>
      <c r="E2505" s="23" t="n"/>
      <c r="F2505" s="15" t="n"/>
      <c r="G2505" s="23" t="n"/>
      <c r="H2505" s="25" t="n"/>
      <c r="I2505" s="15" t="n"/>
      <c r="J2505" s="26">
        <f>IF($A2505="","",LEN($C2505)-LEN(SUBSTITUTE($C2505,",",""))+1)</f>
        <v/>
      </c>
      <c r="K2505" s="26">
        <f>IF($A2505="","",SUMPRODUCT(--ISNUMBER(SEARCH('Category Dictionary'!$D$5:$D$135&amp;"",$C2505)),--('Category Dictionary'!$D$5:$D$135&lt;&gt;"")))</f>
        <v/>
      </c>
      <c r="L2505" s="27">
        <f>IF($A2505="","",TRIM(IF(ISERROR(FIND(",",$C2505)),$C2505,LEFT($C2505,FIND(",",$C2505)-1))))</f>
        <v/>
      </c>
      <c r="M2505" s="28">
        <f>IF($H2505="","",DATE(YEAR($H2505),MONTH($H2505),1))</f>
        <v/>
      </c>
      <c r="N2505" s="26">
        <f>IF($H2505="","",TODAY()-$H2505)</f>
        <v/>
      </c>
      <c r="O2505" s="15" t="n"/>
      <c r="P2505" s="15" t="n"/>
      <c r="Q2505" s="15" t="n"/>
      <c r="R2505" s="25" t="n"/>
      <c r="S2505" s="26">
        <f>IF($A2505="","",AND(OR('Assignment Builder'!$B$5="",$B2505='Assignment Builder'!$B$5),OR('Assignment Builder'!$B$6="",ISNUMBER(SEARCH('Assignment Builder'!$B$6,$C2505))),OR('Assignment Builder'!$B$7="",'Assignment Builder'!$B$7=IFERROR(INDEX('Category Dictionary'!$C$5:$C$135,MATCH($L2505,'Category Dictionary'!$D$5:$D$135,0)),"")),OR('Assignment Builder'!$B$8="",$D2505='Assignment Builder'!$B$8),OR('Assignment Builder'!$B$9="",$F2505='Assignment Builder'!$B$9),OR('Assignment Builder'!$B$10="",$O2505='Assignment Builder'!$B$10),OR('Assignment Builder'!$B$11="",$H2505&gt;='Assignment Builder'!$B$11),OR('Assignment Builder'!$B$12="",N($Q2505)&lt;='Assignment Builder'!$B$12)))</f>
        <v/>
      </c>
      <c r="T2505" s="23" t="n"/>
    </row>
    <row r="2506">
      <c r="A2506" s="23" t="n"/>
      <c r="B2506" s="23" t="n"/>
      <c r="C2506" s="24" t="n"/>
      <c r="D2506" s="15" t="n"/>
      <c r="E2506" s="23" t="n"/>
      <c r="F2506" s="15" t="n"/>
      <c r="G2506" s="23" t="n"/>
      <c r="H2506" s="25" t="n"/>
      <c r="I2506" s="15" t="n"/>
      <c r="J2506" s="26">
        <f>IF($A2506="","",LEN($C2506)-LEN(SUBSTITUTE($C2506,",",""))+1)</f>
        <v/>
      </c>
      <c r="K2506" s="26">
        <f>IF($A2506="","",SUMPRODUCT(--ISNUMBER(SEARCH('Category Dictionary'!$D$5:$D$135&amp;"",$C2506)),--('Category Dictionary'!$D$5:$D$135&lt;&gt;"")))</f>
        <v/>
      </c>
      <c r="L2506" s="27">
        <f>IF($A2506="","",TRIM(IF(ISERROR(FIND(",",$C2506)),$C2506,LEFT($C2506,FIND(",",$C2506)-1))))</f>
        <v/>
      </c>
      <c r="M2506" s="28">
        <f>IF($H2506="","",DATE(YEAR($H2506),MONTH($H2506),1))</f>
        <v/>
      </c>
      <c r="N2506" s="26">
        <f>IF($H2506="","",TODAY()-$H2506)</f>
        <v/>
      </c>
      <c r="O2506" s="15" t="n"/>
      <c r="P2506" s="15" t="n"/>
      <c r="Q2506" s="15" t="n"/>
      <c r="R2506" s="25" t="n"/>
      <c r="S2506" s="26">
        <f>IF($A2506="","",AND(OR('Assignment Builder'!$B$5="",$B2506='Assignment Builder'!$B$5),OR('Assignment Builder'!$B$6="",ISNUMBER(SEARCH('Assignment Builder'!$B$6,$C2506))),OR('Assignment Builder'!$B$7="",'Assignment Builder'!$B$7=IFERROR(INDEX('Category Dictionary'!$C$5:$C$135,MATCH($L2506,'Category Dictionary'!$D$5:$D$135,0)),"")),OR('Assignment Builder'!$B$8="",$D2506='Assignment Builder'!$B$8),OR('Assignment Builder'!$B$9="",$F2506='Assignment Builder'!$B$9),OR('Assignment Builder'!$B$10="",$O2506='Assignment Builder'!$B$10),OR('Assignment Builder'!$B$11="",$H2506&gt;='Assignment Builder'!$B$11),OR('Assignment Builder'!$B$12="",N($Q2506)&lt;='Assignment Builder'!$B$12)))</f>
        <v/>
      </c>
      <c r="T2506" s="23" t="n"/>
    </row>
    <row r="2507">
      <c r="A2507" s="23" t="n"/>
      <c r="B2507" s="23" t="n"/>
      <c r="C2507" s="24" t="n"/>
      <c r="D2507" s="15" t="n"/>
      <c r="E2507" s="23" t="n"/>
      <c r="F2507" s="15" t="n"/>
      <c r="G2507" s="23" t="n"/>
      <c r="H2507" s="25" t="n"/>
      <c r="I2507" s="15" t="n"/>
      <c r="J2507" s="26">
        <f>IF($A2507="","",LEN($C2507)-LEN(SUBSTITUTE($C2507,",",""))+1)</f>
        <v/>
      </c>
      <c r="K2507" s="26">
        <f>IF($A2507="","",SUMPRODUCT(--ISNUMBER(SEARCH('Category Dictionary'!$D$5:$D$135&amp;"",$C2507)),--('Category Dictionary'!$D$5:$D$135&lt;&gt;"")))</f>
        <v/>
      </c>
      <c r="L2507" s="27">
        <f>IF($A2507="","",TRIM(IF(ISERROR(FIND(",",$C2507)),$C2507,LEFT($C2507,FIND(",",$C2507)-1))))</f>
        <v/>
      </c>
      <c r="M2507" s="28">
        <f>IF($H2507="","",DATE(YEAR($H2507),MONTH($H2507),1))</f>
        <v/>
      </c>
      <c r="N2507" s="26">
        <f>IF($H2507="","",TODAY()-$H2507)</f>
        <v/>
      </c>
      <c r="O2507" s="15" t="n"/>
      <c r="P2507" s="15" t="n"/>
      <c r="Q2507" s="15" t="n"/>
      <c r="R2507" s="25" t="n"/>
      <c r="S2507" s="26">
        <f>IF($A2507="","",AND(OR('Assignment Builder'!$B$5="",$B2507='Assignment Builder'!$B$5),OR('Assignment Builder'!$B$6="",ISNUMBER(SEARCH('Assignment Builder'!$B$6,$C2507))),OR('Assignment Builder'!$B$7="",'Assignment Builder'!$B$7=IFERROR(INDEX('Category Dictionary'!$C$5:$C$135,MATCH($L2507,'Category Dictionary'!$D$5:$D$135,0)),"")),OR('Assignment Builder'!$B$8="",$D2507='Assignment Builder'!$B$8),OR('Assignment Builder'!$B$9="",$F2507='Assignment Builder'!$B$9),OR('Assignment Builder'!$B$10="",$O2507='Assignment Builder'!$B$10),OR('Assignment Builder'!$B$11="",$H2507&gt;='Assignment Builder'!$B$11),OR('Assignment Builder'!$B$12="",N($Q2507)&lt;='Assignment Builder'!$B$12)))</f>
        <v/>
      </c>
      <c r="T2507" s="23" t="n"/>
    </row>
    <row r="2508">
      <c r="A2508" s="23" t="n"/>
      <c r="B2508" s="23" t="n"/>
      <c r="C2508" s="24" t="n"/>
      <c r="D2508" s="15" t="n"/>
      <c r="E2508" s="23" t="n"/>
      <c r="F2508" s="15" t="n"/>
      <c r="G2508" s="23" t="n"/>
      <c r="H2508" s="25" t="n"/>
      <c r="I2508" s="15" t="n"/>
      <c r="J2508" s="26">
        <f>IF($A2508="","",LEN($C2508)-LEN(SUBSTITUTE($C2508,",",""))+1)</f>
        <v/>
      </c>
      <c r="K2508" s="26">
        <f>IF($A2508="","",SUMPRODUCT(--ISNUMBER(SEARCH('Category Dictionary'!$D$5:$D$135&amp;"",$C2508)),--('Category Dictionary'!$D$5:$D$135&lt;&gt;"")))</f>
        <v/>
      </c>
      <c r="L2508" s="27">
        <f>IF($A2508="","",TRIM(IF(ISERROR(FIND(",",$C2508)),$C2508,LEFT($C2508,FIND(",",$C2508)-1))))</f>
        <v/>
      </c>
      <c r="M2508" s="28">
        <f>IF($H2508="","",DATE(YEAR($H2508),MONTH($H2508),1))</f>
        <v/>
      </c>
      <c r="N2508" s="26">
        <f>IF($H2508="","",TODAY()-$H2508)</f>
        <v/>
      </c>
      <c r="O2508" s="15" t="n"/>
      <c r="P2508" s="15" t="n"/>
      <c r="Q2508" s="15" t="n"/>
      <c r="R2508" s="25" t="n"/>
      <c r="S2508" s="26">
        <f>IF($A2508="","",AND(OR('Assignment Builder'!$B$5="",$B2508='Assignment Builder'!$B$5),OR('Assignment Builder'!$B$6="",ISNUMBER(SEARCH('Assignment Builder'!$B$6,$C2508))),OR('Assignment Builder'!$B$7="",'Assignment Builder'!$B$7=IFERROR(INDEX('Category Dictionary'!$C$5:$C$135,MATCH($L2508,'Category Dictionary'!$D$5:$D$135,0)),"")),OR('Assignment Builder'!$B$8="",$D2508='Assignment Builder'!$B$8),OR('Assignment Builder'!$B$9="",$F2508='Assignment Builder'!$B$9),OR('Assignment Builder'!$B$10="",$O2508='Assignment Builder'!$B$10),OR('Assignment Builder'!$B$11="",$H2508&gt;='Assignment Builder'!$B$11),OR('Assignment Builder'!$B$12="",N($Q2508)&lt;='Assignment Builder'!$B$12)))</f>
        <v/>
      </c>
      <c r="T2508" s="23" t="n"/>
    </row>
    <row r="2509">
      <c r="A2509" s="23" t="n"/>
      <c r="B2509" s="23" t="n"/>
      <c r="C2509" s="24" t="n"/>
      <c r="D2509" s="15" t="n"/>
      <c r="E2509" s="23" t="n"/>
      <c r="F2509" s="15" t="n"/>
      <c r="G2509" s="23" t="n"/>
      <c r="H2509" s="25" t="n"/>
      <c r="I2509" s="15" t="n"/>
      <c r="J2509" s="26">
        <f>IF($A2509="","",LEN($C2509)-LEN(SUBSTITUTE($C2509,",",""))+1)</f>
        <v/>
      </c>
      <c r="K2509" s="26">
        <f>IF($A2509="","",SUMPRODUCT(--ISNUMBER(SEARCH('Category Dictionary'!$D$5:$D$135&amp;"",$C2509)),--('Category Dictionary'!$D$5:$D$135&lt;&gt;"")))</f>
        <v/>
      </c>
      <c r="L2509" s="27">
        <f>IF($A2509="","",TRIM(IF(ISERROR(FIND(",",$C2509)),$C2509,LEFT($C2509,FIND(",",$C2509)-1))))</f>
        <v/>
      </c>
      <c r="M2509" s="28">
        <f>IF($H2509="","",DATE(YEAR($H2509),MONTH($H2509),1))</f>
        <v/>
      </c>
      <c r="N2509" s="26">
        <f>IF($H2509="","",TODAY()-$H2509)</f>
        <v/>
      </c>
      <c r="O2509" s="15" t="n"/>
      <c r="P2509" s="15" t="n"/>
      <c r="Q2509" s="15" t="n"/>
      <c r="R2509" s="25" t="n"/>
      <c r="S2509" s="26">
        <f>IF($A2509="","",AND(OR('Assignment Builder'!$B$5="",$B2509='Assignment Builder'!$B$5),OR('Assignment Builder'!$B$6="",ISNUMBER(SEARCH('Assignment Builder'!$B$6,$C2509))),OR('Assignment Builder'!$B$7="",'Assignment Builder'!$B$7=IFERROR(INDEX('Category Dictionary'!$C$5:$C$135,MATCH($L2509,'Category Dictionary'!$D$5:$D$135,0)),"")),OR('Assignment Builder'!$B$8="",$D2509='Assignment Builder'!$B$8),OR('Assignment Builder'!$B$9="",$F2509='Assignment Builder'!$B$9),OR('Assignment Builder'!$B$10="",$O2509='Assignment Builder'!$B$10),OR('Assignment Builder'!$B$11="",$H2509&gt;='Assignment Builder'!$B$11),OR('Assignment Builder'!$B$12="",N($Q2509)&lt;='Assignment Builder'!$B$12)))</f>
        <v/>
      </c>
      <c r="T2509" s="23" t="n"/>
    </row>
    <row r="2510">
      <c r="A2510" s="23" t="n"/>
      <c r="B2510" s="23" t="n"/>
      <c r="C2510" s="24" t="n"/>
      <c r="D2510" s="15" t="n"/>
      <c r="E2510" s="23" t="n"/>
      <c r="F2510" s="15" t="n"/>
      <c r="G2510" s="23" t="n"/>
      <c r="H2510" s="25" t="n"/>
      <c r="I2510" s="15" t="n"/>
      <c r="J2510" s="26">
        <f>IF($A2510="","",LEN($C2510)-LEN(SUBSTITUTE($C2510,",",""))+1)</f>
        <v/>
      </c>
      <c r="K2510" s="26">
        <f>IF($A2510="","",SUMPRODUCT(--ISNUMBER(SEARCH('Category Dictionary'!$D$5:$D$135&amp;"",$C2510)),--('Category Dictionary'!$D$5:$D$135&lt;&gt;"")))</f>
        <v/>
      </c>
      <c r="L2510" s="27">
        <f>IF($A2510="","",TRIM(IF(ISERROR(FIND(",",$C2510)),$C2510,LEFT($C2510,FIND(",",$C2510)-1))))</f>
        <v/>
      </c>
      <c r="M2510" s="28">
        <f>IF($H2510="","",DATE(YEAR($H2510),MONTH($H2510),1))</f>
        <v/>
      </c>
      <c r="N2510" s="26">
        <f>IF($H2510="","",TODAY()-$H2510)</f>
        <v/>
      </c>
      <c r="O2510" s="15" t="n"/>
      <c r="P2510" s="15" t="n"/>
      <c r="Q2510" s="15" t="n"/>
      <c r="R2510" s="25" t="n"/>
      <c r="S2510" s="26">
        <f>IF($A2510="","",AND(OR('Assignment Builder'!$B$5="",$B2510='Assignment Builder'!$B$5),OR('Assignment Builder'!$B$6="",ISNUMBER(SEARCH('Assignment Builder'!$B$6,$C2510))),OR('Assignment Builder'!$B$7="",'Assignment Builder'!$B$7=IFERROR(INDEX('Category Dictionary'!$C$5:$C$135,MATCH($L2510,'Category Dictionary'!$D$5:$D$135,0)),"")),OR('Assignment Builder'!$B$8="",$D2510='Assignment Builder'!$B$8),OR('Assignment Builder'!$B$9="",$F2510='Assignment Builder'!$B$9),OR('Assignment Builder'!$B$10="",$O2510='Assignment Builder'!$B$10),OR('Assignment Builder'!$B$11="",$H2510&gt;='Assignment Builder'!$B$11),OR('Assignment Builder'!$B$12="",N($Q2510)&lt;='Assignment Builder'!$B$12)))</f>
        <v/>
      </c>
      <c r="T2510" s="23" t="n"/>
    </row>
    <row r="2511">
      <c r="A2511" s="23" t="n"/>
      <c r="B2511" s="23" t="n"/>
      <c r="C2511" s="24" t="n"/>
      <c r="D2511" s="15" t="n"/>
      <c r="E2511" s="23" t="n"/>
      <c r="F2511" s="15" t="n"/>
      <c r="G2511" s="23" t="n"/>
      <c r="H2511" s="25" t="n"/>
      <c r="I2511" s="15" t="n"/>
      <c r="J2511" s="26">
        <f>IF($A2511="","",LEN($C2511)-LEN(SUBSTITUTE($C2511,",",""))+1)</f>
        <v/>
      </c>
      <c r="K2511" s="26">
        <f>IF($A2511="","",SUMPRODUCT(--ISNUMBER(SEARCH('Category Dictionary'!$D$5:$D$135&amp;"",$C2511)),--('Category Dictionary'!$D$5:$D$135&lt;&gt;"")))</f>
        <v/>
      </c>
      <c r="L2511" s="27">
        <f>IF($A2511="","",TRIM(IF(ISERROR(FIND(",",$C2511)),$C2511,LEFT($C2511,FIND(",",$C2511)-1))))</f>
        <v/>
      </c>
      <c r="M2511" s="28">
        <f>IF($H2511="","",DATE(YEAR($H2511),MONTH($H2511),1))</f>
        <v/>
      </c>
      <c r="N2511" s="26">
        <f>IF($H2511="","",TODAY()-$H2511)</f>
        <v/>
      </c>
      <c r="O2511" s="15" t="n"/>
      <c r="P2511" s="15" t="n"/>
      <c r="Q2511" s="15" t="n"/>
      <c r="R2511" s="25" t="n"/>
      <c r="S2511" s="26">
        <f>IF($A2511="","",AND(OR('Assignment Builder'!$B$5="",$B2511='Assignment Builder'!$B$5),OR('Assignment Builder'!$B$6="",ISNUMBER(SEARCH('Assignment Builder'!$B$6,$C2511))),OR('Assignment Builder'!$B$7="",'Assignment Builder'!$B$7=IFERROR(INDEX('Category Dictionary'!$C$5:$C$135,MATCH($L2511,'Category Dictionary'!$D$5:$D$135,0)),"")),OR('Assignment Builder'!$B$8="",$D2511='Assignment Builder'!$B$8),OR('Assignment Builder'!$B$9="",$F2511='Assignment Builder'!$B$9),OR('Assignment Builder'!$B$10="",$O2511='Assignment Builder'!$B$10),OR('Assignment Builder'!$B$11="",$H2511&gt;='Assignment Builder'!$B$11),OR('Assignment Builder'!$B$12="",N($Q2511)&lt;='Assignment Builder'!$B$12)))</f>
        <v/>
      </c>
      <c r="T2511" s="23" t="n"/>
    </row>
    <row r="2512">
      <c r="A2512" s="23" t="n"/>
      <c r="B2512" s="23" t="n"/>
      <c r="C2512" s="24" t="n"/>
      <c r="D2512" s="15" t="n"/>
      <c r="E2512" s="23" t="n"/>
      <c r="F2512" s="15" t="n"/>
      <c r="G2512" s="23" t="n"/>
      <c r="H2512" s="25" t="n"/>
      <c r="I2512" s="15" t="n"/>
      <c r="J2512" s="26">
        <f>IF($A2512="","",LEN($C2512)-LEN(SUBSTITUTE($C2512,",",""))+1)</f>
        <v/>
      </c>
      <c r="K2512" s="26">
        <f>IF($A2512="","",SUMPRODUCT(--ISNUMBER(SEARCH('Category Dictionary'!$D$5:$D$135&amp;"",$C2512)),--('Category Dictionary'!$D$5:$D$135&lt;&gt;"")))</f>
        <v/>
      </c>
      <c r="L2512" s="27">
        <f>IF($A2512="","",TRIM(IF(ISERROR(FIND(",",$C2512)),$C2512,LEFT($C2512,FIND(",",$C2512)-1))))</f>
        <v/>
      </c>
      <c r="M2512" s="28">
        <f>IF($H2512="","",DATE(YEAR($H2512),MONTH($H2512),1))</f>
        <v/>
      </c>
      <c r="N2512" s="26">
        <f>IF($H2512="","",TODAY()-$H2512)</f>
        <v/>
      </c>
      <c r="O2512" s="15" t="n"/>
      <c r="P2512" s="15" t="n"/>
      <c r="Q2512" s="15" t="n"/>
      <c r="R2512" s="25" t="n"/>
      <c r="S2512" s="26">
        <f>IF($A2512="","",AND(OR('Assignment Builder'!$B$5="",$B2512='Assignment Builder'!$B$5),OR('Assignment Builder'!$B$6="",ISNUMBER(SEARCH('Assignment Builder'!$B$6,$C2512))),OR('Assignment Builder'!$B$7="",'Assignment Builder'!$B$7=IFERROR(INDEX('Category Dictionary'!$C$5:$C$135,MATCH($L2512,'Category Dictionary'!$D$5:$D$135,0)),"")),OR('Assignment Builder'!$B$8="",$D2512='Assignment Builder'!$B$8),OR('Assignment Builder'!$B$9="",$F2512='Assignment Builder'!$B$9),OR('Assignment Builder'!$B$10="",$O2512='Assignment Builder'!$B$10),OR('Assignment Builder'!$B$11="",$H2512&gt;='Assignment Builder'!$B$11),OR('Assignment Builder'!$B$12="",N($Q2512)&lt;='Assignment Builder'!$B$12)))</f>
        <v/>
      </c>
      <c r="T2512" s="23" t="n"/>
    </row>
    <row r="2513">
      <c r="A2513" s="23" t="n"/>
      <c r="B2513" s="23" t="n"/>
      <c r="C2513" s="24" t="n"/>
      <c r="D2513" s="15" t="n"/>
      <c r="E2513" s="23" t="n"/>
      <c r="F2513" s="15" t="n"/>
      <c r="G2513" s="23" t="n"/>
      <c r="H2513" s="25" t="n"/>
      <c r="I2513" s="15" t="n"/>
      <c r="J2513" s="26">
        <f>IF($A2513="","",LEN($C2513)-LEN(SUBSTITUTE($C2513,",",""))+1)</f>
        <v/>
      </c>
      <c r="K2513" s="26">
        <f>IF($A2513="","",SUMPRODUCT(--ISNUMBER(SEARCH('Category Dictionary'!$D$5:$D$135&amp;"",$C2513)),--('Category Dictionary'!$D$5:$D$135&lt;&gt;"")))</f>
        <v/>
      </c>
      <c r="L2513" s="27">
        <f>IF($A2513="","",TRIM(IF(ISERROR(FIND(",",$C2513)),$C2513,LEFT($C2513,FIND(",",$C2513)-1))))</f>
        <v/>
      </c>
      <c r="M2513" s="28">
        <f>IF($H2513="","",DATE(YEAR($H2513),MONTH($H2513),1))</f>
        <v/>
      </c>
      <c r="N2513" s="26">
        <f>IF($H2513="","",TODAY()-$H2513)</f>
        <v/>
      </c>
      <c r="O2513" s="15" t="n"/>
      <c r="P2513" s="15" t="n"/>
      <c r="Q2513" s="15" t="n"/>
      <c r="R2513" s="25" t="n"/>
      <c r="S2513" s="26">
        <f>IF($A2513="","",AND(OR('Assignment Builder'!$B$5="",$B2513='Assignment Builder'!$B$5),OR('Assignment Builder'!$B$6="",ISNUMBER(SEARCH('Assignment Builder'!$B$6,$C2513))),OR('Assignment Builder'!$B$7="",'Assignment Builder'!$B$7=IFERROR(INDEX('Category Dictionary'!$C$5:$C$135,MATCH($L2513,'Category Dictionary'!$D$5:$D$135,0)),"")),OR('Assignment Builder'!$B$8="",$D2513='Assignment Builder'!$B$8),OR('Assignment Builder'!$B$9="",$F2513='Assignment Builder'!$B$9),OR('Assignment Builder'!$B$10="",$O2513='Assignment Builder'!$B$10),OR('Assignment Builder'!$B$11="",$H2513&gt;='Assignment Builder'!$B$11),OR('Assignment Builder'!$B$12="",N($Q2513)&lt;='Assignment Builder'!$B$12)))</f>
        <v/>
      </c>
      <c r="T2513" s="23" t="n"/>
    </row>
    <row r="2514">
      <c r="A2514" s="23" t="n"/>
      <c r="B2514" s="23" t="n"/>
      <c r="C2514" s="24" t="n"/>
      <c r="D2514" s="15" t="n"/>
      <c r="E2514" s="23" t="n"/>
      <c r="F2514" s="15" t="n"/>
      <c r="G2514" s="23" t="n"/>
      <c r="H2514" s="25" t="n"/>
      <c r="I2514" s="15" t="n"/>
      <c r="J2514" s="26">
        <f>IF($A2514="","",LEN($C2514)-LEN(SUBSTITUTE($C2514,",",""))+1)</f>
        <v/>
      </c>
      <c r="K2514" s="26">
        <f>IF($A2514="","",SUMPRODUCT(--ISNUMBER(SEARCH('Category Dictionary'!$D$5:$D$135&amp;"",$C2514)),--('Category Dictionary'!$D$5:$D$135&lt;&gt;"")))</f>
        <v/>
      </c>
      <c r="L2514" s="27">
        <f>IF($A2514="","",TRIM(IF(ISERROR(FIND(",",$C2514)),$C2514,LEFT($C2514,FIND(",",$C2514)-1))))</f>
        <v/>
      </c>
      <c r="M2514" s="28">
        <f>IF($H2514="","",DATE(YEAR($H2514),MONTH($H2514),1))</f>
        <v/>
      </c>
      <c r="N2514" s="26">
        <f>IF($H2514="","",TODAY()-$H2514)</f>
        <v/>
      </c>
      <c r="O2514" s="15" t="n"/>
      <c r="P2514" s="15" t="n"/>
      <c r="Q2514" s="15" t="n"/>
      <c r="R2514" s="25" t="n"/>
      <c r="S2514" s="26">
        <f>IF($A2514="","",AND(OR('Assignment Builder'!$B$5="",$B2514='Assignment Builder'!$B$5),OR('Assignment Builder'!$B$6="",ISNUMBER(SEARCH('Assignment Builder'!$B$6,$C2514))),OR('Assignment Builder'!$B$7="",'Assignment Builder'!$B$7=IFERROR(INDEX('Category Dictionary'!$C$5:$C$135,MATCH($L2514,'Category Dictionary'!$D$5:$D$135,0)),"")),OR('Assignment Builder'!$B$8="",$D2514='Assignment Builder'!$B$8),OR('Assignment Builder'!$B$9="",$F2514='Assignment Builder'!$B$9),OR('Assignment Builder'!$B$10="",$O2514='Assignment Builder'!$B$10),OR('Assignment Builder'!$B$11="",$H2514&gt;='Assignment Builder'!$B$11),OR('Assignment Builder'!$B$12="",N($Q2514)&lt;='Assignment Builder'!$B$12)))</f>
        <v/>
      </c>
      <c r="T2514" s="23" t="n"/>
    </row>
    <row r="2515">
      <c r="A2515" s="23" t="n"/>
      <c r="B2515" s="23" t="n"/>
      <c r="C2515" s="24" t="n"/>
      <c r="D2515" s="15" t="n"/>
      <c r="E2515" s="23" t="n"/>
      <c r="F2515" s="15" t="n"/>
      <c r="G2515" s="23" t="n"/>
      <c r="H2515" s="25" t="n"/>
      <c r="I2515" s="15" t="n"/>
      <c r="J2515" s="26">
        <f>IF($A2515="","",LEN($C2515)-LEN(SUBSTITUTE($C2515,",",""))+1)</f>
        <v/>
      </c>
      <c r="K2515" s="26">
        <f>IF($A2515="","",SUMPRODUCT(--ISNUMBER(SEARCH('Category Dictionary'!$D$5:$D$135&amp;"",$C2515)),--('Category Dictionary'!$D$5:$D$135&lt;&gt;"")))</f>
        <v/>
      </c>
      <c r="L2515" s="27">
        <f>IF($A2515="","",TRIM(IF(ISERROR(FIND(",",$C2515)),$C2515,LEFT($C2515,FIND(",",$C2515)-1))))</f>
        <v/>
      </c>
      <c r="M2515" s="28">
        <f>IF($H2515="","",DATE(YEAR($H2515),MONTH($H2515),1))</f>
        <v/>
      </c>
      <c r="N2515" s="26">
        <f>IF($H2515="","",TODAY()-$H2515)</f>
        <v/>
      </c>
      <c r="O2515" s="15" t="n"/>
      <c r="P2515" s="15" t="n"/>
      <c r="Q2515" s="15" t="n"/>
      <c r="R2515" s="25" t="n"/>
      <c r="S2515" s="26">
        <f>IF($A2515="","",AND(OR('Assignment Builder'!$B$5="",$B2515='Assignment Builder'!$B$5),OR('Assignment Builder'!$B$6="",ISNUMBER(SEARCH('Assignment Builder'!$B$6,$C2515))),OR('Assignment Builder'!$B$7="",'Assignment Builder'!$B$7=IFERROR(INDEX('Category Dictionary'!$C$5:$C$135,MATCH($L2515,'Category Dictionary'!$D$5:$D$135,0)),"")),OR('Assignment Builder'!$B$8="",$D2515='Assignment Builder'!$B$8),OR('Assignment Builder'!$B$9="",$F2515='Assignment Builder'!$B$9),OR('Assignment Builder'!$B$10="",$O2515='Assignment Builder'!$B$10),OR('Assignment Builder'!$B$11="",$H2515&gt;='Assignment Builder'!$B$11),OR('Assignment Builder'!$B$12="",N($Q2515)&lt;='Assignment Builder'!$B$12)))</f>
        <v/>
      </c>
      <c r="T2515" s="23" t="n"/>
    </row>
    <row r="2516">
      <c r="A2516" s="23" t="n"/>
      <c r="B2516" s="23" t="n"/>
      <c r="C2516" s="24" t="n"/>
      <c r="D2516" s="15" t="n"/>
      <c r="E2516" s="23" t="n"/>
      <c r="F2516" s="15" t="n"/>
      <c r="G2516" s="23" t="n"/>
      <c r="H2516" s="25" t="n"/>
      <c r="I2516" s="15" t="n"/>
      <c r="J2516" s="26">
        <f>IF($A2516="","",LEN($C2516)-LEN(SUBSTITUTE($C2516,",",""))+1)</f>
        <v/>
      </c>
      <c r="K2516" s="26">
        <f>IF($A2516="","",SUMPRODUCT(--ISNUMBER(SEARCH('Category Dictionary'!$D$5:$D$135&amp;"",$C2516)),--('Category Dictionary'!$D$5:$D$135&lt;&gt;"")))</f>
        <v/>
      </c>
      <c r="L2516" s="27">
        <f>IF($A2516="","",TRIM(IF(ISERROR(FIND(",",$C2516)),$C2516,LEFT($C2516,FIND(",",$C2516)-1))))</f>
        <v/>
      </c>
      <c r="M2516" s="28">
        <f>IF($H2516="","",DATE(YEAR($H2516),MONTH($H2516),1))</f>
        <v/>
      </c>
      <c r="N2516" s="26">
        <f>IF($H2516="","",TODAY()-$H2516)</f>
        <v/>
      </c>
      <c r="O2516" s="15" t="n"/>
      <c r="P2516" s="15" t="n"/>
      <c r="Q2516" s="15" t="n"/>
      <c r="R2516" s="25" t="n"/>
      <c r="S2516" s="26">
        <f>IF($A2516="","",AND(OR('Assignment Builder'!$B$5="",$B2516='Assignment Builder'!$B$5),OR('Assignment Builder'!$B$6="",ISNUMBER(SEARCH('Assignment Builder'!$B$6,$C2516))),OR('Assignment Builder'!$B$7="",'Assignment Builder'!$B$7=IFERROR(INDEX('Category Dictionary'!$C$5:$C$135,MATCH($L2516,'Category Dictionary'!$D$5:$D$135,0)),"")),OR('Assignment Builder'!$B$8="",$D2516='Assignment Builder'!$B$8),OR('Assignment Builder'!$B$9="",$F2516='Assignment Builder'!$B$9),OR('Assignment Builder'!$B$10="",$O2516='Assignment Builder'!$B$10),OR('Assignment Builder'!$B$11="",$H2516&gt;='Assignment Builder'!$B$11),OR('Assignment Builder'!$B$12="",N($Q2516)&lt;='Assignment Builder'!$B$12)))</f>
        <v/>
      </c>
      <c r="T2516" s="23" t="n"/>
    </row>
    <row r="2517">
      <c r="A2517" s="23" t="n"/>
      <c r="B2517" s="23" t="n"/>
      <c r="C2517" s="24" t="n"/>
      <c r="D2517" s="15" t="n"/>
      <c r="E2517" s="23" t="n"/>
      <c r="F2517" s="15" t="n"/>
      <c r="G2517" s="23" t="n"/>
      <c r="H2517" s="25" t="n"/>
      <c r="I2517" s="15" t="n"/>
      <c r="J2517" s="26">
        <f>IF($A2517="","",LEN($C2517)-LEN(SUBSTITUTE($C2517,",",""))+1)</f>
        <v/>
      </c>
      <c r="K2517" s="26">
        <f>IF($A2517="","",SUMPRODUCT(--ISNUMBER(SEARCH('Category Dictionary'!$D$5:$D$135&amp;"",$C2517)),--('Category Dictionary'!$D$5:$D$135&lt;&gt;"")))</f>
        <v/>
      </c>
      <c r="L2517" s="27">
        <f>IF($A2517="","",TRIM(IF(ISERROR(FIND(",",$C2517)),$C2517,LEFT($C2517,FIND(",",$C2517)-1))))</f>
        <v/>
      </c>
      <c r="M2517" s="28">
        <f>IF($H2517="","",DATE(YEAR($H2517),MONTH($H2517),1))</f>
        <v/>
      </c>
      <c r="N2517" s="26">
        <f>IF($H2517="","",TODAY()-$H2517)</f>
        <v/>
      </c>
      <c r="O2517" s="15" t="n"/>
      <c r="P2517" s="15" t="n"/>
      <c r="Q2517" s="15" t="n"/>
      <c r="R2517" s="25" t="n"/>
      <c r="S2517" s="26">
        <f>IF($A2517="","",AND(OR('Assignment Builder'!$B$5="",$B2517='Assignment Builder'!$B$5),OR('Assignment Builder'!$B$6="",ISNUMBER(SEARCH('Assignment Builder'!$B$6,$C2517))),OR('Assignment Builder'!$B$7="",'Assignment Builder'!$B$7=IFERROR(INDEX('Category Dictionary'!$C$5:$C$135,MATCH($L2517,'Category Dictionary'!$D$5:$D$135,0)),"")),OR('Assignment Builder'!$B$8="",$D2517='Assignment Builder'!$B$8),OR('Assignment Builder'!$B$9="",$F2517='Assignment Builder'!$B$9),OR('Assignment Builder'!$B$10="",$O2517='Assignment Builder'!$B$10),OR('Assignment Builder'!$B$11="",$H2517&gt;='Assignment Builder'!$B$11),OR('Assignment Builder'!$B$12="",N($Q2517)&lt;='Assignment Builder'!$B$12)))</f>
        <v/>
      </c>
      <c r="T2517" s="23" t="n"/>
    </row>
    <row r="2518">
      <c r="A2518" s="23" t="n"/>
      <c r="B2518" s="23" t="n"/>
      <c r="C2518" s="24" t="n"/>
      <c r="D2518" s="15" t="n"/>
      <c r="E2518" s="23" t="n"/>
      <c r="F2518" s="15" t="n"/>
      <c r="G2518" s="23" t="n"/>
      <c r="H2518" s="25" t="n"/>
      <c r="I2518" s="15" t="n"/>
      <c r="J2518" s="26">
        <f>IF($A2518="","",LEN($C2518)-LEN(SUBSTITUTE($C2518,",",""))+1)</f>
        <v/>
      </c>
      <c r="K2518" s="26">
        <f>IF($A2518="","",SUMPRODUCT(--ISNUMBER(SEARCH('Category Dictionary'!$D$5:$D$135&amp;"",$C2518)),--('Category Dictionary'!$D$5:$D$135&lt;&gt;"")))</f>
        <v/>
      </c>
      <c r="L2518" s="27">
        <f>IF($A2518="","",TRIM(IF(ISERROR(FIND(",",$C2518)),$C2518,LEFT($C2518,FIND(",",$C2518)-1))))</f>
        <v/>
      </c>
      <c r="M2518" s="28">
        <f>IF($H2518="","",DATE(YEAR($H2518),MONTH($H2518),1))</f>
        <v/>
      </c>
      <c r="N2518" s="26">
        <f>IF($H2518="","",TODAY()-$H2518)</f>
        <v/>
      </c>
      <c r="O2518" s="15" t="n"/>
      <c r="P2518" s="15" t="n"/>
      <c r="Q2518" s="15" t="n"/>
      <c r="R2518" s="25" t="n"/>
      <c r="S2518" s="26">
        <f>IF($A2518="","",AND(OR('Assignment Builder'!$B$5="",$B2518='Assignment Builder'!$B$5),OR('Assignment Builder'!$B$6="",ISNUMBER(SEARCH('Assignment Builder'!$B$6,$C2518))),OR('Assignment Builder'!$B$7="",'Assignment Builder'!$B$7=IFERROR(INDEX('Category Dictionary'!$C$5:$C$135,MATCH($L2518,'Category Dictionary'!$D$5:$D$135,0)),"")),OR('Assignment Builder'!$B$8="",$D2518='Assignment Builder'!$B$8),OR('Assignment Builder'!$B$9="",$F2518='Assignment Builder'!$B$9),OR('Assignment Builder'!$B$10="",$O2518='Assignment Builder'!$B$10),OR('Assignment Builder'!$B$11="",$H2518&gt;='Assignment Builder'!$B$11),OR('Assignment Builder'!$B$12="",N($Q2518)&lt;='Assignment Builder'!$B$12)))</f>
        <v/>
      </c>
      <c r="T2518" s="23" t="n"/>
    </row>
    <row r="2519">
      <c r="A2519" s="23" t="n"/>
      <c r="B2519" s="23" t="n"/>
      <c r="C2519" s="24" t="n"/>
      <c r="D2519" s="15" t="n"/>
      <c r="E2519" s="23" t="n"/>
      <c r="F2519" s="15" t="n"/>
      <c r="G2519" s="23" t="n"/>
      <c r="H2519" s="25" t="n"/>
      <c r="I2519" s="15" t="n"/>
      <c r="J2519" s="26">
        <f>IF($A2519="","",LEN($C2519)-LEN(SUBSTITUTE($C2519,",",""))+1)</f>
        <v/>
      </c>
      <c r="K2519" s="26">
        <f>IF($A2519="","",SUMPRODUCT(--ISNUMBER(SEARCH('Category Dictionary'!$D$5:$D$135&amp;"",$C2519)),--('Category Dictionary'!$D$5:$D$135&lt;&gt;"")))</f>
        <v/>
      </c>
      <c r="L2519" s="27">
        <f>IF($A2519="","",TRIM(IF(ISERROR(FIND(",",$C2519)),$C2519,LEFT($C2519,FIND(",",$C2519)-1))))</f>
        <v/>
      </c>
      <c r="M2519" s="28">
        <f>IF($H2519="","",DATE(YEAR($H2519),MONTH($H2519),1))</f>
        <v/>
      </c>
      <c r="N2519" s="26">
        <f>IF($H2519="","",TODAY()-$H2519)</f>
        <v/>
      </c>
      <c r="O2519" s="15" t="n"/>
      <c r="P2519" s="15" t="n"/>
      <c r="Q2519" s="15" t="n"/>
      <c r="R2519" s="25" t="n"/>
      <c r="S2519" s="26">
        <f>IF($A2519="","",AND(OR('Assignment Builder'!$B$5="",$B2519='Assignment Builder'!$B$5),OR('Assignment Builder'!$B$6="",ISNUMBER(SEARCH('Assignment Builder'!$B$6,$C2519))),OR('Assignment Builder'!$B$7="",'Assignment Builder'!$B$7=IFERROR(INDEX('Category Dictionary'!$C$5:$C$135,MATCH($L2519,'Category Dictionary'!$D$5:$D$135,0)),"")),OR('Assignment Builder'!$B$8="",$D2519='Assignment Builder'!$B$8),OR('Assignment Builder'!$B$9="",$F2519='Assignment Builder'!$B$9),OR('Assignment Builder'!$B$10="",$O2519='Assignment Builder'!$B$10),OR('Assignment Builder'!$B$11="",$H2519&gt;='Assignment Builder'!$B$11),OR('Assignment Builder'!$B$12="",N($Q2519)&lt;='Assignment Builder'!$B$12)))</f>
        <v/>
      </c>
      <c r="T2519" s="23" t="n"/>
    </row>
    <row r="2520">
      <c r="A2520" s="23" t="n"/>
      <c r="B2520" s="23" t="n"/>
      <c r="C2520" s="24" t="n"/>
      <c r="D2520" s="15" t="n"/>
      <c r="E2520" s="23" t="n"/>
      <c r="F2520" s="15" t="n"/>
      <c r="G2520" s="23" t="n"/>
      <c r="H2520" s="25" t="n"/>
      <c r="I2520" s="15" t="n"/>
      <c r="J2520" s="26">
        <f>IF($A2520="","",LEN($C2520)-LEN(SUBSTITUTE($C2520,",",""))+1)</f>
        <v/>
      </c>
      <c r="K2520" s="26">
        <f>IF($A2520="","",SUMPRODUCT(--ISNUMBER(SEARCH('Category Dictionary'!$D$5:$D$135&amp;"",$C2520)),--('Category Dictionary'!$D$5:$D$135&lt;&gt;"")))</f>
        <v/>
      </c>
      <c r="L2520" s="27">
        <f>IF($A2520="","",TRIM(IF(ISERROR(FIND(",",$C2520)),$C2520,LEFT($C2520,FIND(",",$C2520)-1))))</f>
        <v/>
      </c>
      <c r="M2520" s="28">
        <f>IF($H2520="","",DATE(YEAR($H2520),MONTH($H2520),1))</f>
        <v/>
      </c>
      <c r="N2520" s="26">
        <f>IF($H2520="","",TODAY()-$H2520)</f>
        <v/>
      </c>
      <c r="O2520" s="15" t="n"/>
      <c r="P2520" s="15" t="n"/>
      <c r="Q2520" s="15" t="n"/>
      <c r="R2520" s="25" t="n"/>
      <c r="S2520" s="26">
        <f>IF($A2520="","",AND(OR('Assignment Builder'!$B$5="",$B2520='Assignment Builder'!$B$5),OR('Assignment Builder'!$B$6="",ISNUMBER(SEARCH('Assignment Builder'!$B$6,$C2520))),OR('Assignment Builder'!$B$7="",'Assignment Builder'!$B$7=IFERROR(INDEX('Category Dictionary'!$C$5:$C$135,MATCH($L2520,'Category Dictionary'!$D$5:$D$135,0)),"")),OR('Assignment Builder'!$B$8="",$D2520='Assignment Builder'!$B$8),OR('Assignment Builder'!$B$9="",$F2520='Assignment Builder'!$B$9),OR('Assignment Builder'!$B$10="",$O2520='Assignment Builder'!$B$10),OR('Assignment Builder'!$B$11="",$H2520&gt;='Assignment Builder'!$B$11),OR('Assignment Builder'!$B$12="",N($Q2520)&lt;='Assignment Builder'!$B$12)))</f>
        <v/>
      </c>
      <c r="T2520" s="23" t="n"/>
    </row>
    <row r="2521">
      <c r="A2521" s="23" t="n"/>
      <c r="B2521" s="23" t="n"/>
      <c r="C2521" s="24" t="n"/>
      <c r="D2521" s="15" t="n"/>
      <c r="E2521" s="23" t="n"/>
      <c r="F2521" s="15" t="n"/>
      <c r="G2521" s="23" t="n"/>
      <c r="H2521" s="25" t="n"/>
      <c r="I2521" s="15" t="n"/>
      <c r="J2521" s="26">
        <f>IF($A2521="","",LEN($C2521)-LEN(SUBSTITUTE($C2521,",",""))+1)</f>
        <v/>
      </c>
      <c r="K2521" s="26">
        <f>IF($A2521="","",SUMPRODUCT(--ISNUMBER(SEARCH('Category Dictionary'!$D$5:$D$135&amp;"",$C2521)),--('Category Dictionary'!$D$5:$D$135&lt;&gt;"")))</f>
        <v/>
      </c>
      <c r="L2521" s="27">
        <f>IF($A2521="","",TRIM(IF(ISERROR(FIND(",",$C2521)),$C2521,LEFT($C2521,FIND(",",$C2521)-1))))</f>
        <v/>
      </c>
      <c r="M2521" s="28">
        <f>IF($H2521="","",DATE(YEAR($H2521),MONTH($H2521),1))</f>
        <v/>
      </c>
      <c r="N2521" s="26">
        <f>IF($H2521="","",TODAY()-$H2521)</f>
        <v/>
      </c>
      <c r="O2521" s="15" t="n"/>
      <c r="P2521" s="15" t="n"/>
      <c r="Q2521" s="15" t="n"/>
      <c r="R2521" s="25" t="n"/>
      <c r="S2521" s="26">
        <f>IF($A2521="","",AND(OR('Assignment Builder'!$B$5="",$B2521='Assignment Builder'!$B$5),OR('Assignment Builder'!$B$6="",ISNUMBER(SEARCH('Assignment Builder'!$B$6,$C2521))),OR('Assignment Builder'!$B$7="",'Assignment Builder'!$B$7=IFERROR(INDEX('Category Dictionary'!$C$5:$C$135,MATCH($L2521,'Category Dictionary'!$D$5:$D$135,0)),"")),OR('Assignment Builder'!$B$8="",$D2521='Assignment Builder'!$B$8),OR('Assignment Builder'!$B$9="",$F2521='Assignment Builder'!$B$9),OR('Assignment Builder'!$B$10="",$O2521='Assignment Builder'!$B$10),OR('Assignment Builder'!$B$11="",$H2521&gt;='Assignment Builder'!$B$11),OR('Assignment Builder'!$B$12="",N($Q2521)&lt;='Assignment Builder'!$B$12)))</f>
        <v/>
      </c>
      <c r="T2521" s="23" t="n"/>
    </row>
    <row r="2522">
      <c r="A2522" s="23" t="n"/>
      <c r="B2522" s="23" t="n"/>
      <c r="C2522" s="24" t="n"/>
      <c r="D2522" s="15" t="n"/>
      <c r="E2522" s="23" t="n"/>
      <c r="F2522" s="15" t="n"/>
      <c r="G2522" s="23" t="n"/>
      <c r="H2522" s="25" t="n"/>
      <c r="I2522" s="15" t="n"/>
      <c r="J2522" s="26">
        <f>IF($A2522="","",LEN($C2522)-LEN(SUBSTITUTE($C2522,",",""))+1)</f>
        <v/>
      </c>
      <c r="K2522" s="26">
        <f>IF($A2522="","",SUMPRODUCT(--ISNUMBER(SEARCH('Category Dictionary'!$D$5:$D$135&amp;"",$C2522)),--('Category Dictionary'!$D$5:$D$135&lt;&gt;"")))</f>
        <v/>
      </c>
      <c r="L2522" s="27">
        <f>IF($A2522="","",TRIM(IF(ISERROR(FIND(",",$C2522)),$C2522,LEFT($C2522,FIND(",",$C2522)-1))))</f>
        <v/>
      </c>
      <c r="M2522" s="28">
        <f>IF($H2522="","",DATE(YEAR($H2522),MONTH($H2522),1))</f>
        <v/>
      </c>
      <c r="N2522" s="26">
        <f>IF($H2522="","",TODAY()-$H2522)</f>
        <v/>
      </c>
      <c r="O2522" s="15" t="n"/>
      <c r="P2522" s="15" t="n"/>
      <c r="Q2522" s="15" t="n"/>
      <c r="R2522" s="25" t="n"/>
      <c r="S2522" s="26">
        <f>IF($A2522="","",AND(OR('Assignment Builder'!$B$5="",$B2522='Assignment Builder'!$B$5),OR('Assignment Builder'!$B$6="",ISNUMBER(SEARCH('Assignment Builder'!$B$6,$C2522))),OR('Assignment Builder'!$B$7="",'Assignment Builder'!$B$7=IFERROR(INDEX('Category Dictionary'!$C$5:$C$135,MATCH($L2522,'Category Dictionary'!$D$5:$D$135,0)),"")),OR('Assignment Builder'!$B$8="",$D2522='Assignment Builder'!$B$8),OR('Assignment Builder'!$B$9="",$F2522='Assignment Builder'!$B$9),OR('Assignment Builder'!$B$10="",$O2522='Assignment Builder'!$B$10),OR('Assignment Builder'!$B$11="",$H2522&gt;='Assignment Builder'!$B$11),OR('Assignment Builder'!$B$12="",N($Q2522)&lt;='Assignment Builder'!$B$12)))</f>
        <v/>
      </c>
      <c r="T2522" s="23" t="n"/>
    </row>
    <row r="2523">
      <c r="A2523" s="23" t="n"/>
      <c r="B2523" s="23" t="n"/>
      <c r="C2523" s="24" t="n"/>
      <c r="D2523" s="15" t="n"/>
      <c r="E2523" s="23" t="n"/>
      <c r="F2523" s="15" t="n"/>
      <c r="G2523" s="23" t="n"/>
      <c r="H2523" s="25" t="n"/>
      <c r="I2523" s="15" t="n"/>
      <c r="J2523" s="26">
        <f>IF($A2523="","",LEN($C2523)-LEN(SUBSTITUTE($C2523,",",""))+1)</f>
        <v/>
      </c>
      <c r="K2523" s="26">
        <f>IF($A2523="","",SUMPRODUCT(--ISNUMBER(SEARCH('Category Dictionary'!$D$5:$D$135&amp;"",$C2523)),--('Category Dictionary'!$D$5:$D$135&lt;&gt;"")))</f>
        <v/>
      </c>
      <c r="L2523" s="27">
        <f>IF($A2523="","",TRIM(IF(ISERROR(FIND(",",$C2523)),$C2523,LEFT($C2523,FIND(",",$C2523)-1))))</f>
        <v/>
      </c>
      <c r="M2523" s="28">
        <f>IF($H2523="","",DATE(YEAR($H2523),MONTH($H2523),1))</f>
        <v/>
      </c>
      <c r="N2523" s="26">
        <f>IF($H2523="","",TODAY()-$H2523)</f>
        <v/>
      </c>
      <c r="O2523" s="15" t="n"/>
      <c r="P2523" s="15" t="n"/>
      <c r="Q2523" s="15" t="n"/>
      <c r="R2523" s="25" t="n"/>
      <c r="S2523" s="26">
        <f>IF($A2523="","",AND(OR('Assignment Builder'!$B$5="",$B2523='Assignment Builder'!$B$5),OR('Assignment Builder'!$B$6="",ISNUMBER(SEARCH('Assignment Builder'!$B$6,$C2523))),OR('Assignment Builder'!$B$7="",'Assignment Builder'!$B$7=IFERROR(INDEX('Category Dictionary'!$C$5:$C$135,MATCH($L2523,'Category Dictionary'!$D$5:$D$135,0)),"")),OR('Assignment Builder'!$B$8="",$D2523='Assignment Builder'!$B$8),OR('Assignment Builder'!$B$9="",$F2523='Assignment Builder'!$B$9),OR('Assignment Builder'!$B$10="",$O2523='Assignment Builder'!$B$10),OR('Assignment Builder'!$B$11="",$H2523&gt;='Assignment Builder'!$B$11),OR('Assignment Builder'!$B$12="",N($Q2523)&lt;='Assignment Builder'!$B$12)))</f>
        <v/>
      </c>
      <c r="T2523" s="23" t="n"/>
    </row>
    <row r="2524">
      <c r="A2524" s="23" t="n"/>
      <c r="B2524" s="23" t="n"/>
      <c r="C2524" s="24" t="n"/>
      <c r="D2524" s="15" t="n"/>
      <c r="E2524" s="23" t="n"/>
      <c r="F2524" s="15" t="n"/>
      <c r="G2524" s="23" t="n"/>
      <c r="H2524" s="25" t="n"/>
      <c r="I2524" s="15" t="n"/>
      <c r="J2524" s="26">
        <f>IF($A2524="","",LEN($C2524)-LEN(SUBSTITUTE($C2524,",",""))+1)</f>
        <v/>
      </c>
      <c r="K2524" s="26">
        <f>IF($A2524="","",SUMPRODUCT(--ISNUMBER(SEARCH('Category Dictionary'!$D$5:$D$135&amp;"",$C2524)),--('Category Dictionary'!$D$5:$D$135&lt;&gt;"")))</f>
        <v/>
      </c>
      <c r="L2524" s="27">
        <f>IF($A2524="","",TRIM(IF(ISERROR(FIND(",",$C2524)),$C2524,LEFT($C2524,FIND(",",$C2524)-1))))</f>
        <v/>
      </c>
      <c r="M2524" s="28">
        <f>IF($H2524="","",DATE(YEAR($H2524),MONTH($H2524),1))</f>
        <v/>
      </c>
      <c r="N2524" s="26">
        <f>IF($H2524="","",TODAY()-$H2524)</f>
        <v/>
      </c>
      <c r="O2524" s="15" t="n"/>
      <c r="P2524" s="15" t="n"/>
      <c r="Q2524" s="15" t="n"/>
      <c r="R2524" s="25" t="n"/>
      <c r="S2524" s="26">
        <f>IF($A2524="","",AND(OR('Assignment Builder'!$B$5="",$B2524='Assignment Builder'!$B$5),OR('Assignment Builder'!$B$6="",ISNUMBER(SEARCH('Assignment Builder'!$B$6,$C2524))),OR('Assignment Builder'!$B$7="",'Assignment Builder'!$B$7=IFERROR(INDEX('Category Dictionary'!$C$5:$C$135,MATCH($L2524,'Category Dictionary'!$D$5:$D$135,0)),"")),OR('Assignment Builder'!$B$8="",$D2524='Assignment Builder'!$B$8),OR('Assignment Builder'!$B$9="",$F2524='Assignment Builder'!$B$9),OR('Assignment Builder'!$B$10="",$O2524='Assignment Builder'!$B$10),OR('Assignment Builder'!$B$11="",$H2524&gt;='Assignment Builder'!$B$11),OR('Assignment Builder'!$B$12="",N($Q2524)&lt;='Assignment Builder'!$B$12)))</f>
        <v/>
      </c>
      <c r="T2524" s="23" t="n"/>
    </row>
    <row r="2525">
      <c r="A2525" s="23" t="n"/>
      <c r="B2525" s="23" t="n"/>
      <c r="C2525" s="24" t="n"/>
      <c r="D2525" s="15" t="n"/>
      <c r="E2525" s="23" t="n"/>
      <c r="F2525" s="15" t="n"/>
      <c r="G2525" s="23" t="n"/>
      <c r="H2525" s="25" t="n"/>
      <c r="I2525" s="15" t="n"/>
      <c r="J2525" s="26">
        <f>IF($A2525="","",LEN($C2525)-LEN(SUBSTITUTE($C2525,",",""))+1)</f>
        <v/>
      </c>
      <c r="K2525" s="26">
        <f>IF($A2525="","",SUMPRODUCT(--ISNUMBER(SEARCH('Category Dictionary'!$D$5:$D$135&amp;"",$C2525)),--('Category Dictionary'!$D$5:$D$135&lt;&gt;"")))</f>
        <v/>
      </c>
      <c r="L2525" s="27">
        <f>IF($A2525="","",TRIM(IF(ISERROR(FIND(",",$C2525)),$C2525,LEFT($C2525,FIND(",",$C2525)-1))))</f>
        <v/>
      </c>
      <c r="M2525" s="28">
        <f>IF($H2525="","",DATE(YEAR($H2525),MONTH($H2525),1))</f>
        <v/>
      </c>
      <c r="N2525" s="26">
        <f>IF($H2525="","",TODAY()-$H2525)</f>
        <v/>
      </c>
      <c r="O2525" s="15" t="n"/>
      <c r="P2525" s="15" t="n"/>
      <c r="Q2525" s="15" t="n"/>
      <c r="R2525" s="25" t="n"/>
      <c r="S2525" s="26">
        <f>IF($A2525="","",AND(OR('Assignment Builder'!$B$5="",$B2525='Assignment Builder'!$B$5),OR('Assignment Builder'!$B$6="",ISNUMBER(SEARCH('Assignment Builder'!$B$6,$C2525))),OR('Assignment Builder'!$B$7="",'Assignment Builder'!$B$7=IFERROR(INDEX('Category Dictionary'!$C$5:$C$135,MATCH($L2525,'Category Dictionary'!$D$5:$D$135,0)),"")),OR('Assignment Builder'!$B$8="",$D2525='Assignment Builder'!$B$8),OR('Assignment Builder'!$B$9="",$F2525='Assignment Builder'!$B$9),OR('Assignment Builder'!$B$10="",$O2525='Assignment Builder'!$B$10),OR('Assignment Builder'!$B$11="",$H2525&gt;='Assignment Builder'!$B$11),OR('Assignment Builder'!$B$12="",N($Q2525)&lt;='Assignment Builder'!$B$12)))</f>
        <v/>
      </c>
      <c r="T2525" s="23" t="n"/>
    </row>
    <row r="2526">
      <c r="A2526" s="23" t="n"/>
      <c r="B2526" s="23" t="n"/>
      <c r="C2526" s="24" t="n"/>
      <c r="D2526" s="15" t="n"/>
      <c r="E2526" s="23" t="n"/>
      <c r="F2526" s="15" t="n"/>
      <c r="G2526" s="23" t="n"/>
      <c r="H2526" s="25" t="n"/>
      <c r="I2526" s="15" t="n"/>
      <c r="J2526" s="26">
        <f>IF($A2526="","",LEN($C2526)-LEN(SUBSTITUTE($C2526,",",""))+1)</f>
        <v/>
      </c>
      <c r="K2526" s="26">
        <f>IF($A2526="","",SUMPRODUCT(--ISNUMBER(SEARCH('Category Dictionary'!$D$5:$D$135&amp;"",$C2526)),--('Category Dictionary'!$D$5:$D$135&lt;&gt;"")))</f>
        <v/>
      </c>
      <c r="L2526" s="27">
        <f>IF($A2526="","",TRIM(IF(ISERROR(FIND(",",$C2526)),$C2526,LEFT($C2526,FIND(",",$C2526)-1))))</f>
        <v/>
      </c>
      <c r="M2526" s="28">
        <f>IF($H2526="","",DATE(YEAR($H2526),MONTH($H2526),1))</f>
        <v/>
      </c>
      <c r="N2526" s="26">
        <f>IF($H2526="","",TODAY()-$H2526)</f>
        <v/>
      </c>
      <c r="O2526" s="15" t="n"/>
      <c r="P2526" s="15" t="n"/>
      <c r="Q2526" s="15" t="n"/>
      <c r="R2526" s="25" t="n"/>
      <c r="S2526" s="26">
        <f>IF($A2526="","",AND(OR('Assignment Builder'!$B$5="",$B2526='Assignment Builder'!$B$5),OR('Assignment Builder'!$B$6="",ISNUMBER(SEARCH('Assignment Builder'!$B$6,$C2526))),OR('Assignment Builder'!$B$7="",'Assignment Builder'!$B$7=IFERROR(INDEX('Category Dictionary'!$C$5:$C$135,MATCH($L2526,'Category Dictionary'!$D$5:$D$135,0)),"")),OR('Assignment Builder'!$B$8="",$D2526='Assignment Builder'!$B$8),OR('Assignment Builder'!$B$9="",$F2526='Assignment Builder'!$B$9),OR('Assignment Builder'!$B$10="",$O2526='Assignment Builder'!$B$10),OR('Assignment Builder'!$B$11="",$H2526&gt;='Assignment Builder'!$B$11),OR('Assignment Builder'!$B$12="",N($Q2526)&lt;='Assignment Builder'!$B$12)))</f>
        <v/>
      </c>
      <c r="T2526" s="23" t="n"/>
    </row>
    <row r="2527">
      <c r="A2527" s="23" t="n"/>
      <c r="B2527" s="23" t="n"/>
      <c r="C2527" s="24" t="n"/>
      <c r="D2527" s="15" t="n"/>
      <c r="E2527" s="23" t="n"/>
      <c r="F2527" s="15" t="n"/>
      <c r="G2527" s="23" t="n"/>
      <c r="H2527" s="25" t="n"/>
      <c r="I2527" s="15" t="n"/>
      <c r="J2527" s="26">
        <f>IF($A2527="","",LEN($C2527)-LEN(SUBSTITUTE($C2527,",",""))+1)</f>
        <v/>
      </c>
      <c r="K2527" s="26">
        <f>IF($A2527="","",SUMPRODUCT(--ISNUMBER(SEARCH('Category Dictionary'!$D$5:$D$135&amp;"",$C2527)),--('Category Dictionary'!$D$5:$D$135&lt;&gt;"")))</f>
        <v/>
      </c>
      <c r="L2527" s="27">
        <f>IF($A2527="","",TRIM(IF(ISERROR(FIND(",",$C2527)),$C2527,LEFT($C2527,FIND(",",$C2527)-1))))</f>
        <v/>
      </c>
      <c r="M2527" s="28">
        <f>IF($H2527="","",DATE(YEAR($H2527),MONTH($H2527),1))</f>
        <v/>
      </c>
      <c r="N2527" s="26">
        <f>IF($H2527="","",TODAY()-$H2527)</f>
        <v/>
      </c>
      <c r="O2527" s="15" t="n"/>
      <c r="P2527" s="15" t="n"/>
      <c r="Q2527" s="15" t="n"/>
      <c r="R2527" s="25" t="n"/>
      <c r="S2527" s="26">
        <f>IF($A2527="","",AND(OR('Assignment Builder'!$B$5="",$B2527='Assignment Builder'!$B$5),OR('Assignment Builder'!$B$6="",ISNUMBER(SEARCH('Assignment Builder'!$B$6,$C2527))),OR('Assignment Builder'!$B$7="",'Assignment Builder'!$B$7=IFERROR(INDEX('Category Dictionary'!$C$5:$C$135,MATCH($L2527,'Category Dictionary'!$D$5:$D$135,0)),"")),OR('Assignment Builder'!$B$8="",$D2527='Assignment Builder'!$B$8),OR('Assignment Builder'!$B$9="",$F2527='Assignment Builder'!$B$9),OR('Assignment Builder'!$B$10="",$O2527='Assignment Builder'!$B$10),OR('Assignment Builder'!$B$11="",$H2527&gt;='Assignment Builder'!$B$11),OR('Assignment Builder'!$B$12="",N($Q2527)&lt;='Assignment Builder'!$B$12)))</f>
        <v/>
      </c>
      <c r="T2527" s="23" t="n"/>
    </row>
    <row r="2528">
      <c r="A2528" s="23" t="n"/>
      <c r="B2528" s="23" t="n"/>
      <c r="C2528" s="24" t="n"/>
      <c r="D2528" s="15" t="n"/>
      <c r="E2528" s="23" t="n"/>
      <c r="F2528" s="15" t="n"/>
      <c r="G2528" s="23" t="n"/>
      <c r="H2528" s="25" t="n"/>
      <c r="I2528" s="15" t="n"/>
      <c r="J2528" s="26">
        <f>IF($A2528="","",LEN($C2528)-LEN(SUBSTITUTE($C2528,",",""))+1)</f>
        <v/>
      </c>
      <c r="K2528" s="26">
        <f>IF($A2528="","",SUMPRODUCT(--ISNUMBER(SEARCH('Category Dictionary'!$D$5:$D$135&amp;"",$C2528)),--('Category Dictionary'!$D$5:$D$135&lt;&gt;"")))</f>
        <v/>
      </c>
      <c r="L2528" s="27">
        <f>IF($A2528="","",TRIM(IF(ISERROR(FIND(",",$C2528)),$C2528,LEFT($C2528,FIND(",",$C2528)-1))))</f>
        <v/>
      </c>
      <c r="M2528" s="28">
        <f>IF($H2528="","",DATE(YEAR($H2528),MONTH($H2528),1))</f>
        <v/>
      </c>
      <c r="N2528" s="26">
        <f>IF($H2528="","",TODAY()-$H2528)</f>
        <v/>
      </c>
      <c r="O2528" s="15" t="n"/>
      <c r="P2528" s="15" t="n"/>
      <c r="Q2528" s="15" t="n"/>
      <c r="R2528" s="25" t="n"/>
      <c r="S2528" s="26">
        <f>IF($A2528="","",AND(OR('Assignment Builder'!$B$5="",$B2528='Assignment Builder'!$B$5),OR('Assignment Builder'!$B$6="",ISNUMBER(SEARCH('Assignment Builder'!$B$6,$C2528))),OR('Assignment Builder'!$B$7="",'Assignment Builder'!$B$7=IFERROR(INDEX('Category Dictionary'!$C$5:$C$135,MATCH($L2528,'Category Dictionary'!$D$5:$D$135,0)),"")),OR('Assignment Builder'!$B$8="",$D2528='Assignment Builder'!$B$8),OR('Assignment Builder'!$B$9="",$F2528='Assignment Builder'!$B$9),OR('Assignment Builder'!$B$10="",$O2528='Assignment Builder'!$B$10),OR('Assignment Builder'!$B$11="",$H2528&gt;='Assignment Builder'!$B$11),OR('Assignment Builder'!$B$12="",N($Q2528)&lt;='Assignment Builder'!$B$12)))</f>
        <v/>
      </c>
      <c r="T2528" s="23" t="n"/>
    </row>
    <row r="2529">
      <c r="A2529" s="23" t="n"/>
      <c r="B2529" s="23" t="n"/>
      <c r="C2529" s="24" t="n"/>
      <c r="D2529" s="15" t="n"/>
      <c r="E2529" s="23" t="n"/>
      <c r="F2529" s="15" t="n"/>
      <c r="G2529" s="23" t="n"/>
      <c r="H2529" s="25" t="n"/>
      <c r="I2529" s="15" t="n"/>
      <c r="J2529" s="26">
        <f>IF($A2529="","",LEN($C2529)-LEN(SUBSTITUTE($C2529,",",""))+1)</f>
        <v/>
      </c>
      <c r="K2529" s="26">
        <f>IF($A2529="","",SUMPRODUCT(--ISNUMBER(SEARCH('Category Dictionary'!$D$5:$D$135&amp;"",$C2529)),--('Category Dictionary'!$D$5:$D$135&lt;&gt;"")))</f>
        <v/>
      </c>
      <c r="L2529" s="27">
        <f>IF($A2529="","",TRIM(IF(ISERROR(FIND(",",$C2529)),$C2529,LEFT($C2529,FIND(",",$C2529)-1))))</f>
        <v/>
      </c>
      <c r="M2529" s="28">
        <f>IF($H2529="","",DATE(YEAR($H2529),MONTH($H2529),1))</f>
        <v/>
      </c>
      <c r="N2529" s="26">
        <f>IF($H2529="","",TODAY()-$H2529)</f>
        <v/>
      </c>
      <c r="O2529" s="15" t="n"/>
      <c r="P2529" s="15" t="n"/>
      <c r="Q2529" s="15" t="n"/>
      <c r="R2529" s="25" t="n"/>
      <c r="S2529" s="26">
        <f>IF($A2529="","",AND(OR('Assignment Builder'!$B$5="",$B2529='Assignment Builder'!$B$5),OR('Assignment Builder'!$B$6="",ISNUMBER(SEARCH('Assignment Builder'!$B$6,$C2529))),OR('Assignment Builder'!$B$7="",'Assignment Builder'!$B$7=IFERROR(INDEX('Category Dictionary'!$C$5:$C$135,MATCH($L2529,'Category Dictionary'!$D$5:$D$135,0)),"")),OR('Assignment Builder'!$B$8="",$D2529='Assignment Builder'!$B$8),OR('Assignment Builder'!$B$9="",$F2529='Assignment Builder'!$B$9),OR('Assignment Builder'!$B$10="",$O2529='Assignment Builder'!$B$10),OR('Assignment Builder'!$B$11="",$H2529&gt;='Assignment Builder'!$B$11),OR('Assignment Builder'!$B$12="",N($Q2529)&lt;='Assignment Builder'!$B$12)))</f>
        <v/>
      </c>
      <c r="T2529" s="23" t="n"/>
    </row>
    <row r="2530">
      <c r="A2530" s="23" t="n"/>
      <c r="B2530" s="23" t="n"/>
      <c r="C2530" s="24" t="n"/>
      <c r="D2530" s="15" t="n"/>
      <c r="E2530" s="23" t="n"/>
      <c r="F2530" s="15" t="n"/>
      <c r="G2530" s="23" t="n"/>
      <c r="H2530" s="25" t="n"/>
      <c r="I2530" s="15" t="n"/>
      <c r="J2530" s="26">
        <f>IF($A2530="","",LEN($C2530)-LEN(SUBSTITUTE($C2530,",",""))+1)</f>
        <v/>
      </c>
      <c r="K2530" s="26">
        <f>IF($A2530="","",SUMPRODUCT(--ISNUMBER(SEARCH('Category Dictionary'!$D$5:$D$135&amp;"",$C2530)),--('Category Dictionary'!$D$5:$D$135&lt;&gt;"")))</f>
        <v/>
      </c>
      <c r="L2530" s="27">
        <f>IF($A2530="","",TRIM(IF(ISERROR(FIND(",",$C2530)),$C2530,LEFT($C2530,FIND(",",$C2530)-1))))</f>
        <v/>
      </c>
      <c r="M2530" s="28">
        <f>IF($H2530="","",DATE(YEAR($H2530),MONTH($H2530),1))</f>
        <v/>
      </c>
      <c r="N2530" s="26">
        <f>IF($H2530="","",TODAY()-$H2530)</f>
        <v/>
      </c>
      <c r="O2530" s="15" t="n"/>
      <c r="P2530" s="15" t="n"/>
      <c r="Q2530" s="15" t="n"/>
      <c r="R2530" s="25" t="n"/>
      <c r="S2530" s="26">
        <f>IF($A2530="","",AND(OR('Assignment Builder'!$B$5="",$B2530='Assignment Builder'!$B$5),OR('Assignment Builder'!$B$6="",ISNUMBER(SEARCH('Assignment Builder'!$B$6,$C2530))),OR('Assignment Builder'!$B$7="",'Assignment Builder'!$B$7=IFERROR(INDEX('Category Dictionary'!$C$5:$C$135,MATCH($L2530,'Category Dictionary'!$D$5:$D$135,0)),"")),OR('Assignment Builder'!$B$8="",$D2530='Assignment Builder'!$B$8),OR('Assignment Builder'!$B$9="",$F2530='Assignment Builder'!$B$9),OR('Assignment Builder'!$B$10="",$O2530='Assignment Builder'!$B$10),OR('Assignment Builder'!$B$11="",$H2530&gt;='Assignment Builder'!$B$11),OR('Assignment Builder'!$B$12="",N($Q2530)&lt;='Assignment Builder'!$B$12)))</f>
        <v/>
      </c>
      <c r="T2530" s="23" t="n"/>
    </row>
    <row r="2531">
      <c r="A2531" s="23" t="n"/>
      <c r="B2531" s="23" t="n"/>
      <c r="C2531" s="24" t="n"/>
      <c r="D2531" s="15" t="n"/>
      <c r="E2531" s="23" t="n"/>
      <c r="F2531" s="15" t="n"/>
      <c r="G2531" s="23" t="n"/>
      <c r="H2531" s="25" t="n"/>
      <c r="I2531" s="15" t="n"/>
      <c r="J2531" s="26">
        <f>IF($A2531="","",LEN($C2531)-LEN(SUBSTITUTE($C2531,",",""))+1)</f>
        <v/>
      </c>
      <c r="K2531" s="26">
        <f>IF($A2531="","",SUMPRODUCT(--ISNUMBER(SEARCH('Category Dictionary'!$D$5:$D$135&amp;"",$C2531)),--('Category Dictionary'!$D$5:$D$135&lt;&gt;"")))</f>
        <v/>
      </c>
      <c r="L2531" s="27">
        <f>IF($A2531="","",TRIM(IF(ISERROR(FIND(",",$C2531)),$C2531,LEFT($C2531,FIND(",",$C2531)-1))))</f>
        <v/>
      </c>
      <c r="M2531" s="28">
        <f>IF($H2531="","",DATE(YEAR($H2531),MONTH($H2531),1))</f>
        <v/>
      </c>
      <c r="N2531" s="26">
        <f>IF($H2531="","",TODAY()-$H2531)</f>
        <v/>
      </c>
      <c r="O2531" s="15" t="n"/>
      <c r="P2531" s="15" t="n"/>
      <c r="Q2531" s="15" t="n"/>
      <c r="R2531" s="25" t="n"/>
      <c r="S2531" s="26">
        <f>IF($A2531="","",AND(OR('Assignment Builder'!$B$5="",$B2531='Assignment Builder'!$B$5),OR('Assignment Builder'!$B$6="",ISNUMBER(SEARCH('Assignment Builder'!$B$6,$C2531))),OR('Assignment Builder'!$B$7="",'Assignment Builder'!$B$7=IFERROR(INDEX('Category Dictionary'!$C$5:$C$135,MATCH($L2531,'Category Dictionary'!$D$5:$D$135,0)),"")),OR('Assignment Builder'!$B$8="",$D2531='Assignment Builder'!$B$8),OR('Assignment Builder'!$B$9="",$F2531='Assignment Builder'!$B$9),OR('Assignment Builder'!$B$10="",$O2531='Assignment Builder'!$B$10),OR('Assignment Builder'!$B$11="",$H2531&gt;='Assignment Builder'!$B$11),OR('Assignment Builder'!$B$12="",N($Q2531)&lt;='Assignment Builder'!$B$12)))</f>
        <v/>
      </c>
      <c r="T2531" s="23" t="n"/>
    </row>
    <row r="2532">
      <c r="A2532" s="23" t="n"/>
      <c r="B2532" s="23" t="n"/>
      <c r="C2532" s="24" t="n"/>
      <c r="D2532" s="15" t="n"/>
      <c r="E2532" s="23" t="n"/>
      <c r="F2532" s="15" t="n"/>
      <c r="G2532" s="23" t="n"/>
      <c r="H2532" s="25" t="n"/>
      <c r="I2532" s="15" t="n"/>
      <c r="J2532" s="26">
        <f>IF($A2532="","",LEN($C2532)-LEN(SUBSTITUTE($C2532,",",""))+1)</f>
        <v/>
      </c>
      <c r="K2532" s="26">
        <f>IF($A2532="","",SUMPRODUCT(--ISNUMBER(SEARCH('Category Dictionary'!$D$5:$D$135&amp;"",$C2532)),--('Category Dictionary'!$D$5:$D$135&lt;&gt;"")))</f>
        <v/>
      </c>
      <c r="L2532" s="27">
        <f>IF($A2532="","",TRIM(IF(ISERROR(FIND(",",$C2532)),$C2532,LEFT($C2532,FIND(",",$C2532)-1))))</f>
        <v/>
      </c>
      <c r="M2532" s="28">
        <f>IF($H2532="","",DATE(YEAR($H2532),MONTH($H2532),1))</f>
        <v/>
      </c>
      <c r="N2532" s="26">
        <f>IF($H2532="","",TODAY()-$H2532)</f>
        <v/>
      </c>
      <c r="O2532" s="15" t="n"/>
      <c r="P2532" s="15" t="n"/>
      <c r="Q2532" s="15" t="n"/>
      <c r="R2532" s="25" t="n"/>
      <c r="S2532" s="26">
        <f>IF($A2532="","",AND(OR('Assignment Builder'!$B$5="",$B2532='Assignment Builder'!$B$5),OR('Assignment Builder'!$B$6="",ISNUMBER(SEARCH('Assignment Builder'!$B$6,$C2532))),OR('Assignment Builder'!$B$7="",'Assignment Builder'!$B$7=IFERROR(INDEX('Category Dictionary'!$C$5:$C$135,MATCH($L2532,'Category Dictionary'!$D$5:$D$135,0)),"")),OR('Assignment Builder'!$B$8="",$D2532='Assignment Builder'!$B$8),OR('Assignment Builder'!$B$9="",$F2532='Assignment Builder'!$B$9),OR('Assignment Builder'!$B$10="",$O2532='Assignment Builder'!$B$10),OR('Assignment Builder'!$B$11="",$H2532&gt;='Assignment Builder'!$B$11),OR('Assignment Builder'!$B$12="",N($Q2532)&lt;='Assignment Builder'!$B$12)))</f>
        <v/>
      </c>
      <c r="T2532" s="23" t="n"/>
    </row>
    <row r="2533">
      <c r="A2533" s="23" t="n"/>
      <c r="B2533" s="23" t="n"/>
      <c r="C2533" s="24" t="n"/>
      <c r="D2533" s="15" t="n"/>
      <c r="E2533" s="23" t="n"/>
      <c r="F2533" s="15" t="n"/>
      <c r="G2533" s="23" t="n"/>
      <c r="H2533" s="25" t="n"/>
      <c r="I2533" s="15" t="n"/>
      <c r="J2533" s="26">
        <f>IF($A2533="","",LEN($C2533)-LEN(SUBSTITUTE($C2533,",",""))+1)</f>
        <v/>
      </c>
      <c r="K2533" s="26">
        <f>IF($A2533="","",SUMPRODUCT(--ISNUMBER(SEARCH('Category Dictionary'!$D$5:$D$135&amp;"",$C2533)),--('Category Dictionary'!$D$5:$D$135&lt;&gt;"")))</f>
        <v/>
      </c>
      <c r="L2533" s="27">
        <f>IF($A2533="","",TRIM(IF(ISERROR(FIND(",",$C2533)),$C2533,LEFT($C2533,FIND(",",$C2533)-1))))</f>
        <v/>
      </c>
      <c r="M2533" s="28">
        <f>IF($H2533="","",DATE(YEAR($H2533),MONTH($H2533),1))</f>
        <v/>
      </c>
      <c r="N2533" s="26">
        <f>IF($H2533="","",TODAY()-$H2533)</f>
        <v/>
      </c>
      <c r="O2533" s="15" t="n"/>
      <c r="P2533" s="15" t="n"/>
      <c r="Q2533" s="15" t="n"/>
      <c r="R2533" s="25" t="n"/>
      <c r="S2533" s="26">
        <f>IF($A2533="","",AND(OR('Assignment Builder'!$B$5="",$B2533='Assignment Builder'!$B$5),OR('Assignment Builder'!$B$6="",ISNUMBER(SEARCH('Assignment Builder'!$B$6,$C2533))),OR('Assignment Builder'!$B$7="",'Assignment Builder'!$B$7=IFERROR(INDEX('Category Dictionary'!$C$5:$C$135,MATCH($L2533,'Category Dictionary'!$D$5:$D$135,0)),"")),OR('Assignment Builder'!$B$8="",$D2533='Assignment Builder'!$B$8),OR('Assignment Builder'!$B$9="",$F2533='Assignment Builder'!$B$9),OR('Assignment Builder'!$B$10="",$O2533='Assignment Builder'!$B$10),OR('Assignment Builder'!$B$11="",$H2533&gt;='Assignment Builder'!$B$11),OR('Assignment Builder'!$B$12="",N($Q2533)&lt;='Assignment Builder'!$B$12)))</f>
        <v/>
      </c>
      <c r="T2533" s="23" t="n"/>
    </row>
    <row r="2534">
      <c r="A2534" s="23" t="n"/>
      <c r="B2534" s="23" t="n"/>
      <c r="C2534" s="24" t="n"/>
      <c r="D2534" s="15" t="n"/>
      <c r="E2534" s="23" t="n"/>
      <c r="F2534" s="15" t="n"/>
      <c r="G2534" s="23" t="n"/>
      <c r="H2534" s="25" t="n"/>
      <c r="I2534" s="15" t="n"/>
      <c r="J2534" s="26">
        <f>IF($A2534="","",LEN($C2534)-LEN(SUBSTITUTE($C2534,",",""))+1)</f>
        <v/>
      </c>
      <c r="K2534" s="26">
        <f>IF($A2534="","",SUMPRODUCT(--ISNUMBER(SEARCH('Category Dictionary'!$D$5:$D$135&amp;"",$C2534)),--('Category Dictionary'!$D$5:$D$135&lt;&gt;"")))</f>
        <v/>
      </c>
      <c r="L2534" s="27">
        <f>IF($A2534="","",TRIM(IF(ISERROR(FIND(",",$C2534)),$C2534,LEFT($C2534,FIND(",",$C2534)-1))))</f>
        <v/>
      </c>
      <c r="M2534" s="28">
        <f>IF($H2534="","",DATE(YEAR($H2534),MONTH($H2534),1))</f>
        <v/>
      </c>
      <c r="N2534" s="26">
        <f>IF($H2534="","",TODAY()-$H2534)</f>
        <v/>
      </c>
      <c r="O2534" s="15" t="n"/>
      <c r="P2534" s="15" t="n"/>
      <c r="Q2534" s="15" t="n"/>
      <c r="R2534" s="25" t="n"/>
      <c r="S2534" s="26">
        <f>IF($A2534="","",AND(OR('Assignment Builder'!$B$5="",$B2534='Assignment Builder'!$B$5),OR('Assignment Builder'!$B$6="",ISNUMBER(SEARCH('Assignment Builder'!$B$6,$C2534))),OR('Assignment Builder'!$B$7="",'Assignment Builder'!$B$7=IFERROR(INDEX('Category Dictionary'!$C$5:$C$135,MATCH($L2534,'Category Dictionary'!$D$5:$D$135,0)),"")),OR('Assignment Builder'!$B$8="",$D2534='Assignment Builder'!$B$8),OR('Assignment Builder'!$B$9="",$F2534='Assignment Builder'!$B$9),OR('Assignment Builder'!$B$10="",$O2534='Assignment Builder'!$B$10),OR('Assignment Builder'!$B$11="",$H2534&gt;='Assignment Builder'!$B$11),OR('Assignment Builder'!$B$12="",N($Q2534)&lt;='Assignment Builder'!$B$12)))</f>
        <v/>
      </c>
      <c r="T2534" s="23" t="n"/>
    </row>
    <row r="2535">
      <c r="A2535" s="23" t="n"/>
      <c r="B2535" s="23" t="n"/>
      <c r="C2535" s="24" t="n"/>
      <c r="D2535" s="15" t="n"/>
      <c r="E2535" s="23" t="n"/>
      <c r="F2535" s="15" t="n"/>
      <c r="G2535" s="23" t="n"/>
      <c r="H2535" s="25" t="n"/>
      <c r="I2535" s="15" t="n"/>
      <c r="J2535" s="26">
        <f>IF($A2535="","",LEN($C2535)-LEN(SUBSTITUTE($C2535,",",""))+1)</f>
        <v/>
      </c>
      <c r="K2535" s="26">
        <f>IF($A2535="","",SUMPRODUCT(--ISNUMBER(SEARCH('Category Dictionary'!$D$5:$D$135&amp;"",$C2535)),--('Category Dictionary'!$D$5:$D$135&lt;&gt;"")))</f>
        <v/>
      </c>
      <c r="L2535" s="27">
        <f>IF($A2535="","",TRIM(IF(ISERROR(FIND(",",$C2535)),$C2535,LEFT($C2535,FIND(",",$C2535)-1))))</f>
        <v/>
      </c>
      <c r="M2535" s="28">
        <f>IF($H2535="","",DATE(YEAR($H2535),MONTH($H2535),1))</f>
        <v/>
      </c>
      <c r="N2535" s="26">
        <f>IF($H2535="","",TODAY()-$H2535)</f>
        <v/>
      </c>
      <c r="O2535" s="15" t="n"/>
      <c r="P2535" s="15" t="n"/>
      <c r="Q2535" s="15" t="n"/>
      <c r="R2535" s="25" t="n"/>
      <c r="S2535" s="26">
        <f>IF($A2535="","",AND(OR('Assignment Builder'!$B$5="",$B2535='Assignment Builder'!$B$5),OR('Assignment Builder'!$B$6="",ISNUMBER(SEARCH('Assignment Builder'!$B$6,$C2535))),OR('Assignment Builder'!$B$7="",'Assignment Builder'!$B$7=IFERROR(INDEX('Category Dictionary'!$C$5:$C$135,MATCH($L2535,'Category Dictionary'!$D$5:$D$135,0)),"")),OR('Assignment Builder'!$B$8="",$D2535='Assignment Builder'!$B$8),OR('Assignment Builder'!$B$9="",$F2535='Assignment Builder'!$B$9),OR('Assignment Builder'!$B$10="",$O2535='Assignment Builder'!$B$10),OR('Assignment Builder'!$B$11="",$H2535&gt;='Assignment Builder'!$B$11),OR('Assignment Builder'!$B$12="",N($Q2535)&lt;='Assignment Builder'!$B$12)))</f>
        <v/>
      </c>
      <c r="T2535" s="23" t="n"/>
    </row>
    <row r="2536">
      <c r="A2536" s="23" t="n"/>
      <c r="B2536" s="23" t="n"/>
      <c r="C2536" s="24" t="n"/>
      <c r="D2536" s="15" t="n"/>
      <c r="E2536" s="23" t="n"/>
      <c r="F2536" s="15" t="n"/>
      <c r="G2536" s="23" t="n"/>
      <c r="H2536" s="25" t="n"/>
      <c r="I2536" s="15" t="n"/>
      <c r="J2536" s="26">
        <f>IF($A2536="","",LEN($C2536)-LEN(SUBSTITUTE($C2536,",",""))+1)</f>
        <v/>
      </c>
      <c r="K2536" s="26">
        <f>IF($A2536="","",SUMPRODUCT(--ISNUMBER(SEARCH('Category Dictionary'!$D$5:$D$135&amp;"",$C2536)),--('Category Dictionary'!$D$5:$D$135&lt;&gt;"")))</f>
        <v/>
      </c>
      <c r="L2536" s="27">
        <f>IF($A2536="","",TRIM(IF(ISERROR(FIND(",",$C2536)),$C2536,LEFT($C2536,FIND(",",$C2536)-1))))</f>
        <v/>
      </c>
      <c r="M2536" s="28">
        <f>IF($H2536="","",DATE(YEAR($H2536),MONTH($H2536),1))</f>
        <v/>
      </c>
      <c r="N2536" s="26">
        <f>IF($H2536="","",TODAY()-$H2536)</f>
        <v/>
      </c>
      <c r="O2536" s="15" t="n"/>
      <c r="P2536" s="15" t="n"/>
      <c r="Q2536" s="15" t="n"/>
      <c r="R2536" s="25" t="n"/>
      <c r="S2536" s="26">
        <f>IF($A2536="","",AND(OR('Assignment Builder'!$B$5="",$B2536='Assignment Builder'!$B$5),OR('Assignment Builder'!$B$6="",ISNUMBER(SEARCH('Assignment Builder'!$B$6,$C2536))),OR('Assignment Builder'!$B$7="",'Assignment Builder'!$B$7=IFERROR(INDEX('Category Dictionary'!$C$5:$C$135,MATCH($L2536,'Category Dictionary'!$D$5:$D$135,0)),"")),OR('Assignment Builder'!$B$8="",$D2536='Assignment Builder'!$B$8),OR('Assignment Builder'!$B$9="",$F2536='Assignment Builder'!$B$9),OR('Assignment Builder'!$B$10="",$O2536='Assignment Builder'!$B$10),OR('Assignment Builder'!$B$11="",$H2536&gt;='Assignment Builder'!$B$11),OR('Assignment Builder'!$B$12="",N($Q2536)&lt;='Assignment Builder'!$B$12)))</f>
        <v/>
      </c>
      <c r="T2536" s="23" t="n"/>
    </row>
    <row r="2537">
      <c r="A2537" s="23" t="n"/>
      <c r="B2537" s="23" t="n"/>
      <c r="C2537" s="24" t="n"/>
      <c r="D2537" s="15" t="n"/>
      <c r="E2537" s="23" t="n"/>
      <c r="F2537" s="15" t="n"/>
      <c r="G2537" s="23" t="n"/>
      <c r="H2537" s="25" t="n"/>
      <c r="I2537" s="15" t="n"/>
      <c r="J2537" s="26">
        <f>IF($A2537="","",LEN($C2537)-LEN(SUBSTITUTE($C2537,",",""))+1)</f>
        <v/>
      </c>
      <c r="K2537" s="26">
        <f>IF($A2537="","",SUMPRODUCT(--ISNUMBER(SEARCH('Category Dictionary'!$D$5:$D$135&amp;"",$C2537)),--('Category Dictionary'!$D$5:$D$135&lt;&gt;"")))</f>
        <v/>
      </c>
      <c r="L2537" s="27">
        <f>IF($A2537="","",TRIM(IF(ISERROR(FIND(",",$C2537)),$C2537,LEFT($C2537,FIND(",",$C2537)-1))))</f>
        <v/>
      </c>
      <c r="M2537" s="28">
        <f>IF($H2537="","",DATE(YEAR($H2537),MONTH($H2537),1))</f>
        <v/>
      </c>
      <c r="N2537" s="26">
        <f>IF($H2537="","",TODAY()-$H2537)</f>
        <v/>
      </c>
      <c r="O2537" s="15" t="n"/>
      <c r="P2537" s="15" t="n"/>
      <c r="Q2537" s="15" t="n"/>
      <c r="R2537" s="25" t="n"/>
      <c r="S2537" s="26">
        <f>IF($A2537="","",AND(OR('Assignment Builder'!$B$5="",$B2537='Assignment Builder'!$B$5),OR('Assignment Builder'!$B$6="",ISNUMBER(SEARCH('Assignment Builder'!$B$6,$C2537))),OR('Assignment Builder'!$B$7="",'Assignment Builder'!$B$7=IFERROR(INDEX('Category Dictionary'!$C$5:$C$135,MATCH($L2537,'Category Dictionary'!$D$5:$D$135,0)),"")),OR('Assignment Builder'!$B$8="",$D2537='Assignment Builder'!$B$8),OR('Assignment Builder'!$B$9="",$F2537='Assignment Builder'!$B$9),OR('Assignment Builder'!$B$10="",$O2537='Assignment Builder'!$B$10),OR('Assignment Builder'!$B$11="",$H2537&gt;='Assignment Builder'!$B$11),OR('Assignment Builder'!$B$12="",N($Q2537)&lt;='Assignment Builder'!$B$12)))</f>
        <v/>
      </c>
      <c r="T2537" s="23" t="n"/>
    </row>
    <row r="2538">
      <c r="A2538" s="23" t="n"/>
      <c r="B2538" s="23" t="n"/>
      <c r="C2538" s="24" t="n"/>
      <c r="D2538" s="15" t="n"/>
      <c r="E2538" s="23" t="n"/>
      <c r="F2538" s="15" t="n"/>
      <c r="G2538" s="23" t="n"/>
      <c r="H2538" s="25" t="n"/>
      <c r="I2538" s="15" t="n"/>
      <c r="J2538" s="26">
        <f>IF($A2538="","",LEN($C2538)-LEN(SUBSTITUTE($C2538,",",""))+1)</f>
        <v/>
      </c>
      <c r="K2538" s="26">
        <f>IF($A2538="","",SUMPRODUCT(--ISNUMBER(SEARCH('Category Dictionary'!$D$5:$D$135&amp;"",$C2538)),--('Category Dictionary'!$D$5:$D$135&lt;&gt;"")))</f>
        <v/>
      </c>
      <c r="L2538" s="27">
        <f>IF($A2538="","",TRIM(IF(ISERROR(FIND(",",$C2538)),$C2538,LEFT($C2538,FIND(",",$C2538)-1))))</f>
        <v/>
      </c>
      <c r="M2538" s="28">
        <f>IF($H2538="","",DATE(YEAR($H2538),MONTH($H2538),1))</f>
        <v/>
      </c>
      <c r="N2538" s="26">
        <f>IF($H2538="","",TODAY()-$H2538)</f>
        <v/>
      </c>
      <c r="O2538" s="15" t="n"/>
      <c r="P2538" s="15" t="n"/>
      <c r="Q2538" s="15" t="n"/>
      <c r="R2538" s="25" t="n"/>
      <c r="S2538" s="26">
        <f>IF($A2538="","",AND(OR('Assignment Builder'!$B$5="",$B2538='Assignment Builder'!$B$5),OR('Assignment Builder'!$B$6="",ISNUMBER(SEARCH('Assignment Builder'!$B$6,$C2538))),OR('Assignment Builder'!$B$7="",'Assignment Builder'!$B$7=IFERROR(INDEX('Category Dictionary'!$C$5:$C$135,MATCH($L2538,'Category Dictionary'!$D$5:$D$135,0)),"")),OR('Assignment Builder'!$B$8="",$D2538='Assignment Builder'!$B$8),OR('Assignment Builder'!$B$9="",$F2538='Assignment Builder'!$B$9),OR('Assignment Builder'!$B$10="",$O2538='Assignment Builder'!$B$10),OR('Assignment Builder'!$B$11="",$H2538&gt;='Assignment Builder'!$B$11),OR('Assignment Builder'!$B$12="",N($Q2538)&lt;='Assignment Builder'!$B$12)))</f>
        <v/>
      </c>
      <c r="T2538" s="23" t="n"/>
    </row>
    <row r="2539">
      <c r="A2539" s="23" t="n"/>
      <c r="B2539" s="23" t="n"/>
      <c r="C2539" s="24" t="n"/>
      <c r="D2539" s="15" t="n"/>
      <c r="E2539" s="23" t="n"/>
      <c r="F2539" s="15" t="n"/>
      <c r="G2539" s="23" t="n"/>
      <c r="H2539" s="25" t="n"/>
      <c r="I2539" s="15" t="n"/>
      <c r="J2539" s="26">
        <f>IF($A2539="","",LEN($C2539)-LEN(SUBSTITUTE($C2539,",",""))+1)</f>
        <v/>
      </c>
      <c r="K2539" s="26">
        <f>IF($A2539="","",SUMPRODUCT(--ISNUMBER(SEARCH('Category Dictionary'!$D$5:$D$135&amp;"",$C2539)),--('Category Dictionary'!$D$5:$D$135&lt;&gt;"")))</f>
        <v/>
      </c>
      <c r="L2539" s="27">
        <f>IF($A2539="","",TRIM(IF(ISERROR(FIND(",",$C2539)),$C2539,LEFT($C2539,FIND(",",$C2539)-1))))</f>
        <v/>
      </c>
      <c r="M2539" s="28">
        <f>IF($H2539="","",DATE(YEAR($H2539),MONTH($H2539),1))</f>
        <v/>
      </c>
      <c r="N2539" s="26">
        <f>IF($H2539="","",TODAY()-$H2539)</f>
        <v/>
      </c>
      <c r="O2539" s="15" t="n"/>
      <c r="P2539" s="15" t="n"/>
      <c r="Q2539" s="15" t="n"/>
      <c r="R2539" s="25" t="n"/>
      <c r="S2539" s="26">
        <f>IF($A2539="","",AND(OR('Assignment Builder'!$B$5="",$B2539='Assignment Builder'!$B$5),OR('Assignment Builder'!$B$6="",ISNUMBER(SEARCH('Assignment Builder'!$B$6,$C2539))),OR('Assignment Builder'!$B$7="",'Assignment Builder'!$B$7=IFERROR(INDEX('Category Dictionary'!$C$5:$C$135,MATCH($L2539,'Category Dictionary'!$D$5:$D$135,0)),"")),OR('Assignment Builder'!$B$8="",$D2539='Assignment Builder'!$B$8),OR('Assignment Builder'!$B$9="",$F2539='Assignment Builder'!$B$9),OR('Assignment Builder'!$B$10="",$O2539='Assignment Builder'!$B$10),OR('Assignment Builder'!$B$11="",$H2539&gt;='Assignment Builder'!$B$11),OR('Assignment Builder'!$B$12="",N($Q2539)&lt;='Assignment Builder'!$B$12)))</f>
        <v/>
      </c>
      <c r="T2539" s="23" t="n"/>
    </row>
    <row r="2540">
      <c r="A2540" s="23" t="n"/>
      <c r="B2540" s="23" t="n"/>
      <c r="C2540" s="24" t="n"/>
      <c r="D2540" s="15" t="n"/>
      <c r="E2540" s="23" t="n"/>
      <c r="F2540" s="15" t="n"/>
      <c r="G2540" s="23" t="n"/>
      <c r="H2540" s="25" t="n"/>
      <c r="I2540" s="15" t="n"/>
      <c r="J2540" s="26">
        <f>IF($A2540="","",LEN($C2540)-LEN(SUBSTITUTE($C2540,",",""))+1)</f>
        <v/>
      </c>
      <c r="K2540" s="26">
        <f>IF($A2540="","",SUMPRODUCT(--ISNUMBER(SEARCH('Category Dictionary'!$D$5:$D$135&amp;"",$C2540)),--('Category Dictionary'!$D$5:$D$135&lt;&gt;"")))</f>
        <v/>
      </c>
      <c r="L2540" s="27">
        <f>IF($A2540="","",TRIM(IF(ISERROR(FIND(",",$C2540)),$C2540,LEFT($C2540,FIND(",",$C2540)-1))))</f>
        <v/>
      </c>
      <c r="M2540" s="28">
        <f>IF($H2540="","",DATE(YEAR($H2540),MONTH($H2540),1))</f>
        <v/>
      </c>
      <c r="N2540" s="26">
        <f>IF($H2540="","",TODAY()-$H2540)</f>
        <v/>
      </c>
      <c r="O2540" s="15" t="n"/>
      <c r="P2540" s="15" t="n"/>
      <c r="Q2540" s="15" t="n"/>
      <c r="R2540" s="25" t="n"/>
      <c r="S2540" s="26">
        <f>IF($A2540="","",AND(OR('Assignment Builder'!$B$5="",$B2540='Assignment Builder'!$B$5),OR('Assignment Builder'!$B$6="",ISNUMBER(SEARCH('Assignment Builder'!$B$6,$C2540))),OR('Assignment Builder'!$B$7="",'Assignment Builder'!$B$7=IFERROR(INDEX('Category Dictionary'!$C$5:$C$135,MATCH($L2540,'Category Dictionary'!$D$5:$D$135,0)),"")),OR('Assignment Builder'!$B$8="",$D2540='Assignment Builder'!$B$8),OR('Assignment Builder'!$B$9="",$F2540='Assignment Builder'!$B$9),OR('Assignment Builder'!$B$10="",$O2540='Assignment Builder'!$B$10),OR('Assignment Builder'!$B$11="",$H2540&gt;='Assignment Builder'!$B$11),OR('Assignment Builder'!$B$12="",N($Q2540)&lt;='Assignment Builder'!$B$12)))</f>
        <v/>
      </c>
      <c r="T2540" s="23" t="n"/>
    </row>
    <row r="2541">
      <c r="A2541" s="23" t="n"/>
      <c r="B2541" s="23" t="n"/>
      <c r="C2541" s="24" t="n"/>
      <c r="D2541" s="15" t="n"/>
      <c r="E2541" s="23" t="n"/>
      <c r="F2541" s="15" t="n"/>
      <c r="G2541" s="23" t="n"/>
      <c r="H2541" s="25" t="n"/>
      <c r="I2541" s="15" t="n"/>
      <c r="J2541" s="26">
        <f>IF($A2541="","",LEN($C2541)-LEN(SUBSTITUTE($C2541,",",""))+1)</f>
        <v/>
      </c>
      <c r="K2541" s="26">
        <f>IF($A2541="","",SUMPRODUCT(--ISNUMBER(SEARCH('Category Dictionary'!$D$5:$D$135&amp;"",$C2541)),--('Category Dictionary'!$D$5:$D$135&lt;&gt;"")))</f>
        <v/>
      </c>
      <c r="L2541" s="27">
        <f>IF($A2541="","",TRIM(IF(ISERROR(FIND(",",$C2541)),$C2541,LEFT($C2541,FIND(",",$C2541)-1))))</f>
        <v/>
      </c>
      <c r="M2541" s="28">
        <f>IF($H2541="","",DATE(YEAR($H2541),MONTH($H2541),1))</f>
        <v/>
      </c>
      <c r="N2541" s="26">
        <f>IF($H2541="","",TODAY()-$H2541)</f>
        <v/>
      </c>
      <c r="O2541" s="15" t="n"/>
      <c r="P2541" s="15" t="n"/>
      <c r="Q2541" s="15" t="n"/>
      <c r="R2541" s="25" t="n"/>
      <c r="S2541" s="26">
        <f>IF($A2541="","",AND(OR('Assignment Builder'!$B$5="",$B2541='Assignment Builder'!$B$5),OR('Assignment Builder'!$B$6="",ISNUMBER(SEARCH('Assignment Builder'!$B$6,$C2541))),OR('Assignment Builder'!$B$7="",'Assignment Builder'!$B$7=IFERROR(INDEX('Category Dictionary'!$C$5:$C$135,MATCH($L2541,'Category Dictionary'!$D$5:$D$135,0)),"")),OR('Assignment Builder'!$B$8="",$D2541='Assignment Builder'!$B$8),OR('Assignment Builder'!$B$9="",$F2541='Assignment Builder'!$B$9),OR('Assignment Builder'!$B$10="",$O2541='Assignment Builder'!$B$10),OR('Assignment Builder'!$B$11="",$H2541&gt;='Assignment Builder'!$B$11),OR('Assignment Builder'!$B$12="",N($Q2541)&lt;='Assignment Builder'!$B$12)))</f>
        <v/>
      </c>
      <c r="T2541" s="23" t="n"/>
    </row>
    <row r="2542">
      <c r="A2542" s="23" t="n"/>
      <c r="B2542" s="23" t="n"/>
      <c r="C2542" s="24" t="n"/>
      <c r="D2542" s="15" t="n"/>
      <c r="E2542" s="23" t="n"/>
      <c r="F2542" s="15" t="n"/>
      <c r="G2542" s="23" t="n"/>
      <c r="H2542" s="25" t="n"/>
      <c r="I2542" s="15" t="n"/>
      <c r="J2542" s="26">
        <f>IF($A2542="","",LEN($C2542)-LEN(SUBSTITUTE($C2542,",",""))+1)</f>
        <v/>
      </c>
      <c r="K2542" s="26">
        <f>IF($A2542="","",SUMPRODUCT(--ISNUMBER(SEARCH('Category Dictionary'!$D$5:$D$135&amp;"",$C2542)),--('Category Dictionary'!$D$5:$D$135&lt;&gt;"")))</f>
        <v/>
      </c>
      <c r="L2542" s="27">
        <f>IF($A2542="","",TRIM(IF(ISERROR(FIND(",",$C2542)),$C2542,LEFT($C2542,FIND(",",$C2542)-1))))</f>
        <v/>
      </c>
      <c r="M2542" s="28">
        <f>IF($H2542="","",DATE(YEAR($H2542),MONTH($H2542),1))</f>
        <v/>
      </c>
      <c r="N2542" s="26">
        <f>IF($H2542="","",TODAY()-$H2542)</f>
        <v/>
      </c>
      <c r="O2542" s="15" t="n"/>
      <c r="P2542" s="15" t="n"/>
      <c r="Q2542" s="15" t="n"/>
      <c r="R2542" s="25" t="n"/>
      <c r="S2542" s="26">
        <f>IF($A2542="","",AND(OR('Assignment Builder'!$B$5="",$B2542='Assignment Builder'!$B$5),OR('Assignment Builder'!$B$6="",ISNUMBER(SEARCH('Assignment Builder'!$B$6,$C2542))),OR('Assignment Builder'!$B$7="",'Assignment Builder'!$B$7=IFERROR(INDEX('Category Dictionary'!$C$5:$C$135,MATCH($L2542,'Category Dictionary'!$D$5:$D$135,0)),"")),OR('Assignment Builder'!$B$8="",$D2542='Assignment Builder'!$B$8),OR('Assignment Builder'!$B$9="",$F2542='Assignment Builder'!$B$9),OR('Assignment Builder'!$B$10="",$O2542='Assignment Builder'!$B$10),OR('Assignment Builder'!$B$11="",$H2542&gt;='Assignment Builder'!$B$11),OR('Assignment Builder'!$B$12="",N($Q2542)&lt;='Assignment Builder'!$B$12)))</f>
        <v/>
      </c>
      <c r="T2542" s="23" t="n"/>
    </row>
    <row r="2543">
      <c r="A2543" s="23" t="n"/>
      <c r="B2543" s="23" t="n"/>
      <c r="C2543" s="24" t="n"/>
      <c r="D2543" s="15" t="n"/>
      <c r="E2543" s="23" t="n"/>
      <c r="F2543" s="15" t="n"/>
      <c r="G2543" s="23" t="n"/>
      <c r="H2543" s="25" t="n"/>
      <c r="I2543" s="15" t="n"/>
      <c r="J2543" s="26">
        <f>IF($A2543="","",LEN($C2543)-LEN(SUBSTITUTE($C2543,",",""))+1)</f>
        <v/>
      </c>
      <c r="K2543" s="26">
        <f>IF($A2543="","",SUMPRODUCT(--ISNUMBER(SEARCH('Category Dictionary'!$D$5:$D$135&amp;"",$C2543)),--('Category Dictionary'!$D$5:$D$135&lt;&gt;"")))</f>
        <v/>
      </c>
      <c r="L2543" s="27">
        <f>IF($A2543="","",TRIM(IF(ISERROR(FIND(",",$C2543)),$C2543,LEFT($C2543,FIND(",",$C2543)-1))))</f>
        <v/>
      </c>
      <c r="M2543" s="28">
        <f>IF($H2543="","",DATE(YEAR($H2543),MONTH($H2543),1))</f>
        <v/>
      </c>
      <c r="N2543" s="26">
        <f>IF($H2543="","",TODAY()-$H2543)</f>
        <v/>
      </c>
      <c r="O2543" s="15" t="n"/>
      <c r="P2543" s="15" t="n"/>
      <c r="Q2543" s="15" t="n"/>
      <c r="R2543" s="25" t="n"/>
      <c r="S2543" s="26">
        <f>IF($A2543="","",AND(OR('Assignment Builder'!$B$5="",$B2543='Assignment Builder'!$B$5),OR('Assignment Builder'!$B$6="",ISNUMBER(SEARCH('Assignment Builder'!$B$6,$C2543))),OR('Assignment Builder'!$B$7="",'Assignment Builder'!$B$7=IFERROR(INDEX('Category Dictionary'!$C$5:$C$135,MATCH($L2543,'Category Dictionary'!$D$5:$D$135,0)),"")),OR('Assignment Builder'!$B$8="",$D2543='Assignment Builder'!$B$8),OR('Assignment Builder'!$B$9="",$F2543='Assignment Builder'!$B$9),OR('Assignment Builder'!$B$10="",$O2543='Assignment Builder'!$B$10),OR('Assignment Builder'!$B$11="",$H2543&gt;='Assignment Builder'!$B$11),OR('Assignment Builder'!$B$12="",N($Q2543)&lt;='Assignment Builder'!$B$12)))</f>
        <v/>
      </c>
      <c r="T2543" s="23" t="n"/>
    </row>
    <row r="2544">
      <c r="A2544" s="23" t="n"/>
      <c r="B2544" s="23" t="n"/>
      <c r="C2544" s="24" t="n"/>
      <c r="D2544" s="15" t="n"/>
      <c r="E2544" s="23" t="n"/>
      <c r="F2544" s="15" t="n"/>
      <c r="G2544" s="23" t="n"/>
      <c r="H2544" s="25" t="n"/>
      <c r="I2544" s="15" t="n"/>
      <c r="J2544" s="26">
        <f>IF($A2544="","",LEN($C2544)-LEN(SUBSTITUTE($C2544,",",""))+1)</f>
        <v/>
      </c>
      <c r="K2544" s="26">
        <f>IF($A2544="","",SUMPRODUCT(--ISNUMBER(SEARCH('Category Dictionary'!$D$5:$D$135&amp;"",$C2544)),--('Category Dictionary'!$D$5:$D$135&lt;&gt;"")))</f>
        <v/>
      </c>
      <c r="L2544" s="27">
        <f>IF($A2544="","",TRIM(IF(ISERROR(FIND(",",$C2544)),$C2544,LEFT($C2544,FIND(",",$C2544)-1))))</f>
        <v/>
      </c>
      <c r="M2544" s="28">
        <f>IF($H2544="","",DATE(YEAR($H2544),MONTH($H2544),1))</f>
        <v/>
      </c>
      <c r="N2544" s="26">
        <f>IF($H2544="","",TODAY()-$H2544)</f>
        <v/>
      </c>
      <c r="O2544" s="15" t="n"/>
      <c r="P2544" s="15" t="n"/>
      <c r="Q2544" s="15" t="n"/>
      <c r="R2544" s="25" t="n"/>
      <c r="S2544" s="26">
        <f>IF($A2544="","",AND(OR('Assignment Builder'!$B$5="",$B2544='Assignment Builder'!$B$5),OR('Assignment Builder'!$B$6="",ISNUMBER(SEARCH('Assignment Builder'!$B$6,$C2544))),OR('Assignment Builder'!$B$7="",'Assignment Builder'!$B$7=IFERROR(INDEX('Category Dictionary'!$C$5:$C$135,MATCH($L2544,'Category Dictionary'!$D$5:$D$135,0)),"")),OR('Assignment Builder'!$B$8="",$D2544='Assignment Builder'!$B$8),OR('Assignment Builder'!$B$9="",$F2544='Assignment Builder'!$B$9),OR('Assignment Builder'!$B$10="",$O2544='Assignment Builder'!$B$10),OR('Assignment Builder'!$B$11="",$H2544&gt;='Assignment Builder'!$B$11),OR('Assignment Builder'!$B$12="",N($Q2544)&lt;='Assignment Builder'!$B$12)))</f>
        <v/>
      </c>
      <c r="T2544" s="23" t="n"/>
    </row>
    <row r="2545">
      <c r="A2545" s="23" t="n"/>
      <c r="B2545" s="23" t="n"/>
      <c r="C2545" s="24" t="n"/>
      <c r="D2545" s="15" t="n"/>
      <c r="E2545" s="23" t="n"/>
      <c r="F2545" s="15" t="n"/>
      <c r="G2545" s="23" t="n"/>
      <c r="H2545" s="25" t="n"/>
      <c r="I2545" s="15" t="n"/>
      <c r="J2545" s="26">
        <f>IF($A2545="","",LEN($C2545)-LEN(SUBSTITUTE($C2545,",",""))+1)</f>
        <v/>
      </c>
      <c r="K2545" s="26">
        <f>IF($A2545="","",SUMPRODUCT(--ISNUMBER(SEARCH('Category Dictionary'!$D$5:$D$135&amp;"",$C2545)),--('Category Dictionary'!$D$5:$D$135&lt;&gt;"")))</f>
        <v/>
      </c>
      <c r="L2545" s="27">
        <f>IF($A2545="","",TRIM(IF(ISERROR(FIND(",",$C2545)),$C2545,LEFT($C2545,FIND(",",$C2545)-1))))</f>
        <v/>
      </c>
      <c r="M2545" s="28">
        <f>IF($H2545="","",DATE(YEAR($H2545),MONTH($H2545),1))</f>
        <v/>
      </c>
      <c r="N2545" s="26">
        <f>IF($H2545="","",TODAY()-$H2545)</f>
        <v/>
      </c>
      <c r="O2545" s="15" t="n"/>
      <c r="P2545" s="15" t="n"/>
      <c r="Q2545" s="15" t="n"/>
      <c r="R2545" s="25" t="n"/>
      <c r="S2545" s="26">
        <f>IF($A2545="","",AND(OR('Assignment Builder'!$B$5="",$B2545='Assignment Builder'!$B$5),OR('Assignment Builder'!$B$6="",ISNUMBER(SEARCH('Assignment Builder'!$B$6,$C2545))),OR('Assignment Builder'!$B$7="",'Assignment Builder'!$B$7=IFERROR(INDEX('Category Dictionary'!$C$5:$C$135,MATCH($L2545,'Category Dictionary'!$D$5:$D$135,0)),"")),OR('Assignment Builder'!$B$8="",$D2545='Assignment Builder'!$B$8),OR('Assignment Builder'!$B$9="",$F2545='Assignment Builder'!$B$9),OR('Assignment Builder'!$B$10="",$O2545='Assignment Builder'!$B$10),OR('Assignment Builder'!$B$11="",$H2545&gt;='Assignment Builder'!$B$11),OR('Assignment Builder'!$B$12="",N($Q2545)&lt;='Assignment Builder'!$B$12)))</f>
        <v/>
      </c>
      <c r="T2545" s="23" t="n"/>
    </row>
    <row r="2546">
      <c r="A2546" s="23" t="n"/>
      <c r="B2546" s="23" t="n"/>
      <c r="C2546" s="24" t="n"/>
      <c r="D2546" s="15" t="n"/>
      <c r="E2546" s="23" t="n"/>
      <c r="F2546" s="15" t="n"/>
      <c r="G2546" s="23" t="n"/>
      <c r="H2546" s="25" t="n"/>
      <c r="I2546" s="15" t="n"/>
      <c r="J2546" s="26">
        <f>IF($A2546="","",LEN($C2546)-LEN(SUBSTITUTE($C2546,",",""))+1)</f>
        <v/>
      </c>
      <c r="K2546" s="26">
        <f>IF($A2546="","",SUMPRODUCT(--ISNUMBER(SEARCH('Category Dictionary'!$D$5:$D$135&amp;"",$C2546)),--('Category Dictionary'!$D$5:$D$135&lt;&gt;"")))</f>
        <v/>
      </c>
      <c r="L2546" s="27">
        <f>IF($A2546="","",TRIM(IF(ISERROR(FIND(",",$C2546)),$C2546,LEFT($C2546,FIND(",",$C2546)-1))))</f>
        <v/>
      </c>
      <c r="M2546" s="28">
        <f>IF($H2546="","",DATE(YEAR($H2546),MONTH($H2546),1))</f>
        <v/>
      </c>
      <c r="N2546" s="26">
        <f>IF($H2546="","",TODAY()-$H2546)</f>
        <v/>
      </c>
      <c r="O2546" s="15" t="n"/>
      <c r="P2546" s="15" t="n"/>
      <c r="Q2546" s="15" t="n"/>
      <c r="R2546" s="25" t="n"/>
      <c r="S2546" s="26">
        <f>IF($A2546="","",AND(OR('Assignment Builder'!$B$5="",$B2546='Assignment Builder'!$B$5),OR('Assignment Builder'!$B$6="",ISNUMBER(SEARCH('Assignment Builder'!$B$6,$C2546))),OR('Assignment Builder'!$B$7="",'Assignment Builder'!$B$7=IFERROR(INDEX('Category Dictionary'!$C$5:$C$135,MATCH($L2546,'Category Dictionary'!$D$5:$D$135,0)),"")),OR('Assignment Builder'!$B$8="",$D2546='Assignment Builder'!$B$8),OR('Assignment Builder'!$B$9="",$F2546='Assignment Builder'!$B$9),OR('Assignment Builder'!$B$10="",$O2546='Assignment Builder'!$B$10),OR('Assignment Builder'!$B$11="",$H2546&gt;='Assignment Builder'!$B$11),OR('Assignment Builder'!$B$12="",N($Q2546)&lt;='Assignment Builder'!$B$12)))</f>
        <v/>
      </c>
      <c r="T2546" s="23" t="n"/>
    </row>
    <row r="2547">
      <c r="A2547" s="23" t="n"/>
      <c r="B2547" s="23" t="n"/>
      <c r="C2547" s="24" t="n"/>
      <c r="D2547" s="15" t="n"/>
      <c r="E2547" s="23" t="n"/>
      <c r="F2547" s="15" t="n"/>
      <c r="G2547" s="23" t="n"/>
      <c r="H2547" s="25" t="n"/>
      <c r="I2547" s="15" t="n"/>
      <c r="J2547" s="26">
        <f>IF($A2547="","",LEN($C2547)-LEN(SUBSTITUTE($C2547,",",""))+1)</f>
        <v/>
      </c>
      <c r="K2547" s="26">
        <f>IF($A2547="","",SUMPRODUCT(--ISNUMBER(SEARCH('Category Dictionary'!$D$5:$D$135&amp;"",$C2547)),--('Category Dictionary'!$D$5:$D$135&lt;&gt;"")))</f>
        <v/>
      </c>
      <c r="L2547" s="27">
        <f>IF($A2547="","",TRIM(IF(ISERROR(FIND(",",$C2547)),$C2547,LEFT($C2547,FIND(",",$C2547)-1))))</f>
        <v/>
      </c>
      <c r="M2547" s="28">
        <f>IF($H2547="","",DATE(YEAR($H2547),MONTH($H2547),1))</f>
        <v/>
      </c>
      <c r="N2547" s="26">
        <f>IF($H2547="","",TODAY()-$H2547)</f>
        <v/>
      </c>
      <c r="O2547" s="15" t="n"/>
      <c r="P2547" s="15" t="n"/>
      <c r="Q2547" s="15" t="n"/>
      <c r="R2547" s="25" t="n"/>
      <c r="S2547" s="26">
        <f>IF($A2547="","",AND(OR('Assignment Builder'!$B$5="",$B2547='Assignment Builder'!$B$5),OR('Assignment Builder'!$B$6="",ISNUMBER(SEARCH('Assignment Builder'!$B$6,$C2547))),OR('Assignment Builder'!$B$7="",'Assignment Builder'!$B$7=IFERROR(INDEX('Category Dictionary'!$C$5:$C$135,MATCH($L2547,'Category Dictionary'!$D$5:$D$135,0)),"")),OR('Assignment Builder'!$B$8="",$D2547='Assignment Builder'!$B$8),OR('Assignment Builder'!$B$9="",$F2547='Assignment Builder'!$B$9),OR('Assignment Builder'!$B$10="",$O2547='Assignment Builder'!$B$10),OR('Assignment Builder'!$B$11="",$H2547&gt;='Assignment Builder'!$B$11),OR('Assignment Builder'!$B$12="",N($Q2547)&lt;='Assignment Builder'!$B$12)))</f>
        <v/>
      </c>
      <c r="T2547" s="23" t="n"/>
    </row>
    <row r="2548">
      <c r="A2548" s="23" t="n"/>
      <c r="B2548" s="23" t="n"/>
      <c r="C2548" s="24" t="n"/>
      <c r="D2548" s="15" t="n"/>
      <c r="E2548" s="23" t="n"/>
      <c r="F2548" s="15" t="n"/>
      <c r="G2548" s="23" t="n"/>
      <c r="H2548" s="25" t="n"/>
      <c r="I2548" s="15" t="n"/>
      <c r="J2548" s="26">
        <f>IF($A2548="","",LEN($C2548)-LEN(SUBSTITUTE($C2548,",",""))+1)</f>
        <v/>
      </c>
      <c r="K2548" s="26">
        <f>IF($A2548="","",SUMPRODUCT(--ISNUMBER(SEARCH('Category Dictionary'!$D$5:$D$135&amp;"",$C2548)),--('Category Dictionary'!$D$5:$D$135&lt;&gt;"")))</f>
        <v/>
      </c>
      <c r="L2548" s="27">
        <f>IF($A2548="","",TRIM(IF(ISERROR(FIND(",",$C2548)),$C2548,LEFT($C2548,FIND(",",$C2548)-1))))</f>
        <v/>
      </c>
      <c r="M2548" s="28">
        <f>IF($H2548="","",DATE(YEAR($H2548),MONTH($H2548),1))</f>
        <v/>
      </c>
      <c r="N2548" s="26">
        <f>IF($H2548="","",TODAY()-$H2548)</f>
        <v/>
      </c>
      <c r="O2548" s="15" t="n"/>
      <c r="P2548" s="15" t="n"/>
      <c r="Q2548" s="15" t="n"/>
      <c r="R2548" s="25" t="n"/>
      <c r="S2548" s="26">
        <f>IF($A2548="","",AND(OR('Assignment Builder'!$B$5="",$B2548='Assignment Builder'!$B$5),OR('Assignment Builder'!$B$6="",ISNUMBER(SEARCH('Assignment Builder'!$B$6,$C2548))),OR('Assignment Builder'!$B$7="",'Assignment Builder'!$B$7=IFERROR(INDEX('Category Dictionary'!$C$5:$C$135,MATCH($L2548,'Category Dictionary'!$D$5:$D$135,0)),"")),OR('Assignment Builder'!$B$8="",$D2548='Assignment Builder'!$B$8),OR('Assignment Builder'!$B$9="",$F2548='Assignment Builder'!$B$9),OR('Assignment Builder'!$B$10="",$O2548='Assignment Builder'!$B$10),OR('Assignment Builder'!$B$11="",$H2548&gt;='Assignment Builder'!$B$11),OR('Assignment Builder'!$B$12="",N($Q2548)&lt;='Assignment Builder'!$B$12)))</f>
        <v/>
      </c>
      <c r="T2548" s="23" t="n"/>
    </row>
    <row r="2549">
      <c r="A2549" s="23" t="n"/>
      <c r="B2549" s="23" t="n"/>
      <c r="C2549" s="24" t="n"/>
      <c r="D2549" s="15" t="n"/>
      <c r="E2549" s="23" t="n"/>
      <c r="F2549" s="15" t="n"/>
      <c r="G2549" s="23" t="n"/>
      <c r="H2549" s="25" t="n"/>
      <c r="I2549" s="15" t="n"/>
      <c r="J2549" s="26">
        <f>IF($A2549="","",LEN($C2549)-LEN(SUBSTITUTE($C2549,",",""))+1)</f>
        <v/>
      </c>
      <c r="K2549" s="26">
        <f>IF($A2549="","",SUMPRODUCT(--ISNUMBER(SEARCH('Category Dictionary'!$D$5:$D$135&amp;"",$C2549)),--('Category Dictionary'!$D$5:$D$135&lt;&gt;"")))</f>
        <v/>
      </c>
      <c r="L2549" s="27">
        <f>IF($A2549="","",TRIM(IF(ISERROR(FIND(",",$C2549)),$C2549,LEFT($C2549,FIND(",",$C2549)-1))))</f>
        <v/>
      </c>
      <c r="M2549" s="28">
        <f>IF($H2549="","",DATE(YEAR($H2549),MONTH($H2549),1))</f>
        <v/>
      </c>
      <c r="N2549" s="26">
        <f>IF($H2549="","",TODAY()-$H2549)</f>
        <v/>
      </c>
      <c r="O2549" s="15" t="n"/>
      <c r="P2549" s="15" t="n"/>
      <c r="Q2549" s="15" t="n"/>
      <c r="R2549" s="25" t="n"/>
      <c r="S2549" s="26">
        <f>IF($A2549="","",AND(OR('Assignment Builder'!$B$5="",$B2549='Assignment Builder'!$B$5),OR('Assignment Builder'!$B$6="",ISNUMBER(SEARCH('Assignment Builder'!$B$6,$C2549))),OR('Assignment Builder'!$B$7="",'Assignment Builder'!$B$7=IFERROR(INDEX('Category Dictionary'!$C$5:$C$135,MATCH($L2549,'Category Dictionary'!$D$5:$D$135,0)),"")),OR('Assignment Builder'!$B$8="",$D2549='Assignment Builder'!$B$8),OR('Assignment Builder'!$B$9="",$F2549='Assignment Builder'!$B$9),OR('Assignment Builder'!$B$10="",$O2549='Assignment Builder'!$B$10),OR('Assignment Builder'!$B$11="",$H2549&gt;='Assignment Builder'!$B$11),OR('Assignment Builder'!$B$12="",N($Q2549)&lt;='Assignment Builder'!$B$12)))</f>
        <v/>
      </c>
      <c r="T2549" s="23" t="n"/>
    </row>
    <row r="2550">
      <c r="A2550" s="23" t="n"/>
      <c r="B2550" s="23" t="n"/>
      <c r="C2550" s="24" t="n"/>
      <c r="D2550" s="15" t="n"/>
      <c r="E2550" s="23" t="n"/>
      <c r="F2550" s="15" t="n"/>
      <c r="G2550" s="23" t="n"/>
      <c r="H2550" s="25" t="n"/>
      <c r="I2550" s="15" t="n"/>
      <c r="J2550" s="26">
        <f>IF($A2550="","",LEN($C2550)-LEN(SUBSTITUTE($C2550,",",""))+1)</f>
        <v/>
      </c>
      <c r="K2550" s="26">
        <f>IF($A2550="","",SUMPRODUCT(--ISNUMBER(SEARCH('Category Dictionary'!$D$5:$D$135&amp;"",$C2550)),--('Category Dictionary'!$D$5:$D$135&lt;&gt;"")))</f>
        <v/>
      </c>
      <c r="L2550" s="27">
        <f>IF($A2550="","",TRIM(IF(ISERROR(FIND(",",$C2550)),$C2550,LEFT($C2550,FIND(",",$C2550)-1))))</f>
        <v/>
      </c>
      <c r="M2550" s="28">
        <f>IF($H2550="","",DATE(YEAR($H2550),MONTH($H2550),1))</f>
        <v/>
      </c>
      <c r="N2550" s="26">
        <f>IF($H2550="","",TODAY()-$H2550)</f>
        <v/>
      </c>
      <c r="O2550" s="15" t="n"/>
      <c r="P2550" s="15" t="n"/>
      <c r="Q2550" s="15" t="n"/>
      <c r="R2550" s="25" t="n"/>
      <c r="S2550" s="26">
        <f>IF($A2550="","",AND(OR('Assignment Builder'!$B$5="",$B2550='Assignment Builder'!$B$5),OR('Assignment Builder'!$B$6="",ISNUMBER(SEARCH('Assignment Builder'!$B$6,$C2550))),OR('Assignment Builder'!$B$7="",'Assignment Builder'!$B$7=IFERROR(INDEX('Category Dictionary'!$C$5:$C$135,MATCH($L2550,'Category Dictionary'!$D$5:$D$135,0)),"")),OR('Assignment Builder'!$B$8="",$D2550='Assignment Builder'!$B$8),OR('Assignment Builder'!$B$9="",$F2550='Assignment Builder'!$B$9),OR('Assignment Builder'!$B$10="",$O2550='Assignment Builder'!$B$10),OR('Assignment Builder'!$B$11="",$H2550&gt;='Assignment Builder'!$B$11),OR('Assignment Builder'!$B$12="",N($Q2550)&lt;='Assignment Builder'!$B$12)))</f>
        <v/>
      </c>
      <c r="T2550" s="23" t="n"/>
    </row>
    <row r="2551">
      <c r="A2551" s="23" t="n"/>
      <c r="B2551" s="23" t="n"/>
      <c r="C2551" s="24" t="n"/>
      <c r="D2551" s="15" t="n"/>
      <c r="E2551" s="23" t="n"/>
      <c r="F2551" s="15" t="n"/>
      <c r="G2551" s="23" t="n"/>
      <c r="H2551" s="25" t="n"/>
      <c r="I2551" s="15" t="n"/>
      <c r="J2551" s="26">
        <f>IF($A2551="","",LEN($C2551)-LEN(SUBSTITUTE($C2551,",",""))+1)</f>
        <v/>
      </c>
      <c r="K2551" s="26">
        <f>IF($A2551="","",SUMPRODUCT(--ISNUMBER(SEARCH('Category Dictionary'!$D$5:$D$135&amp;"",$C2551)),--('Category Dictionary'!$D$5:$D$135&lt;&gt;"")))</f>
        <v/>
      </c>
      <c r="L2551" s="27">
        <f>IF($A2551="","",TRIM(IF(ISERROR(FIND(",",$C2551)),$C2551,LEFT($C2551,FIND(",",$C2551)-1))))</f>
        <v/>
      </c>
      <c r="M2551" s="28">
        <f>IF($H2551="","",DATE(YEAR($H2551),MONTH($H2551),1))</f>
        <v/>
      </c>
      <c r="N2551" s="26">
        <f>IF($H2551="","",TODAY()-$H2551)</f>
        <v/>
      </c>
      <c r="O2551" s="15" t="n"/>
      <c r="P2551" s="15" t="n"/>
      <c r="Q2551" s="15" t="n"/>
      <c r="R2551" s="25" t="n"/>
      <c r="S2551" s="26">
        <f>IF($A2551="","",AND(OR('Assignment Builder'!$B$5="",$B2551='Assignment Builder'!$B$5),OR('Assignment Builder'!$B$6="",ISNUMBER(SEARCH('Assignment Builder'!$B$6,$C2551))),OR('Assignment Builder'!$B$7="",'Assignment Builder'!$B$7=IFERROR(INDEX('Category Dictionary'!$C$5:$C$135,MATCH($L2551,'Category Dictionary'!$D$5:$D$135,0)),"")),OR('Assignment Builder'!$B$8="",$D2551='Assignment Builder'!$B$8),OR('Assignment Builder'!$B$9="",$F2551='Assignment Builder'!$B$9),OR('Assignment Builder'!$B$10="",$O2551='Assignment Builder'!$B$10),OR('Assignment Builder'!$B$11="",$H2551&gt;='Assignment Builder'!$B$11),OR('Assignment Builder'!$B$12="",N($Q2551)&lt;='Assignment Builder'!$B$12)))</f>
        <v/>
      </c>
      <c r="T2551" s="23" t="n"/>
    </row>
    <row r="2552">
      <c r="A2552" s="23" t="n"/>
      <c r="B2552" s="23" t="n"/>
      <c r="C2552" s="24" t="n"/>
      <c r="D2552" s="15" t="n"/>
      <c r="E2552" s="23" t="n"/>
      <c r="F2552" s="15" t="n"/>
      <c r="G2552" s="23" t="n"/>
      <c r="H2552" s="25" t="n"/>
      <c r="I2552" s="15" t="n"/>
      <c r="J2552" s="26">
        <f>IF($A2552="","",LEN($C2552)-LEN(SUBSTITUTE($C2552,",",""))+1)</f>
        <v/>
      </c>
      <c r="K2552" s="26">
        <f>IF($A2552="","",SUMPRODUCT(--ISNUMBER(SEARCH('Category Dictionary'!$D$5:$D$135&amp;"",$C2552)),--('Category Dictionary'!$D$5:$D$135&lt;&gt;"")))</f>
        <v/>
      </c>
      <c r="L2552" s="27">
        <f>IF($A2552="","",TRIM(IF(ISERROR(FIND(",",$C2552)),$C2552,LEFT($C2552,FIND(",",$C2552)-1))))</f>
        <v/>
      </c>
      <c r="M2552" s="28">
        <f>IF($H2552="","",DATE(YEAR($H2552),MONTH($H2552),1))</f>
        <v/>
      </c>
      <c r="N2552" s="26">
        <f>IF($H2552="","",TODAY()-$H2552)</f>
        <v/>
      </c>
      <c r="O2552" s="15" t="n"/>
      <c r="P2552" s="15" t="n"/>
      <c r="Q2552" s="15" t="n"/>
      <c r="R2552" s="25" t="n"/>
      <c r="S2552" s="26">
        <f>IF($A2552="","",AND(OR('Assignment Builder'!$B$5="",$B2552='Assignment Builder'!$B$5),OR('Assignment Builder'!$B$6="",ISNUMBER(SEARCH('Assignment Builder'!$B$6,$C2552))),OR('Assignment Builder'!$B$7="",'Assignment Builder'!$B$7=IFERROR(INDEX('Category Dictionary'!$C$5:$C$135,MATCH($L2552,'Category Dictionary'!$D$5:$D$135,0)),"")),OR('Assignment Builder'!$B$8="",$D2552='Assignment Builder'!$B$8),OR('Assignment Builder'!$B$9="",$F2552='Assignment Builder'!$B$9),OR('Assignment Builder'!$B$10="",$O2552='Assignment Builder'!$B$10),OR('Assignment Builder'!$B$11="",$H2552&gt;='Assignment Builder'!$B$11),OR('Assignment Builder'!$B$12="",N($Q2552)&lt;='Assignment Builder'!$B$12)))</f>
        <v/>
      </c>
      <c r="T2552" s="23" t="n"/>
    </row>
    <row r="2553">
      <c r="A2553" s="23" t="n"/>
      <c r="B2553" s="23" t="n"/>
      <c r="C2553" s="24" t="n"/>
      <c r="D2553" s="15" t="n"/>
      <c r="E2553" s="23" t="n"/>
      <c r="F2553" s="15" t="n"/>
      <c r="G2553" s="23" t="n"/>
      <c r="H2553" s="25" t="n"/>
      <c r="I2553" s="15" t="n"/>
      <c r="J2553" s="26">
        <f>IF($A2553="","",LEN($C2553)-LEN(SUBSTITUTE($C2553,",",""))+1)</f>
        <v/>
      </c>
      <c r="K2553" s="26">
        <f>IF($A2553="","",SUMPRODUCT(--ISNUMBER(SEARCH('Category Dictionary'!$D$5:$D$135&amp;"",$C2553)),--('Category Dictionary'!$D$5:$D$135&lt;&gt;"")))</f>
        <v/>
      </c>
      <c r="L2553" s="27">
        <f>IF($A2553="","",TRIM(IF(ISERROR(FIND(",",$C2553)),$C2553,LEFT($C2553,FIND(",",$C2553)-1))))</f>
        <v/>
      </c>
      <c r="M2553" s="28">
        <f>IF($H2553="","",DATE(YEAR($H2553),MONTH($H2553),1))</f>
        <v/>
      </c>
      <c r="N2553" s="26">
        <f>IF($H2553="","",TODAY()-$H2553)</f>
        <v/>
      </c>
      <c r="O2553" s="15" t="n"/>
      <c r="P2553" s="15" t="n"/>
      <c r="Q2553" s="15" t="n"/>
      <c r="R2553" s="25" t="n"/>
      <c r="S2553" s="26">
        <f>IF($A2553="","",AND(OR('Assignment Builder'!$B$5="",$B2553='Assignment Builder'!$B$5),OR('Assignment Builder'!$B$6="",ISNUMBER(SEARCH('Assignment Builder'!$B$6,$C2553))),OR('Assignment Builder'!$B$7="",'Assignment Builder'!$B$7=IFERROR(INDEX('Category Dictionary'!$C$5:$C$135,MATCH($L2553,'Category Dictionary'!$D$5:$D$135,0)),"")),OR('Assignment Builder'!$B$8="",$D2553='Assignment Builder'!$B$8),OR('Assignment Builder'!$B$9="",$F2553='Assignment Builder'!$B$9),OR('Assignment Builder'!$B$10="",$O2553='Assignment Builder'!$B$10),OR('Assignment Builder'!$B$11="",$H2553&gt;='Assignment Builder'!$B$11),OR('Assignment Builder'!$B$12="",N($Q2553)&lt;='Assignment Builder'!$B$12)))</f>
        <v/>
      </c>
      <c r="T2553" s="23" t="n"/>
    </row>
    <row r="2554">
      <c r="A2554" s="23" t="n"/>
      <c r="B2554" s="23" t="n"/>
      <c r="C2554" s="24" t="n"/>
      <c r="D2554" s="15" t="n"/>
      <c r="E2554" s="23" t="n"/>
      <c r="F2554" s="15" t="n"/>
      <c r="G2554" s="23" t="n"/>
      <c r="H2554" s="25" t="n"/>
      <c r="I2554" s="15" t="n"/>
      <c r="J2554" s="26">
        <f>IF($A2554="","",LEN($C2554)-LEN(SUBSTITUTE($C2554,",",""))+1)</f>
        <v/>
      </c>
      <c r="K2554" s="26">
        <f>IF($A2554="","",SUMPRODUCT(--ISNUMBER(SEARCH('Category Dictionary'!$D$5:$D$135&amp;"",$C2554)),--('Category Dictionary'!$D$5:$D$135&lt;&gt;"")))</f>
        <v/>
      </c>
      <c r="L2554" s="27">
        <f>IF($A2554="","",TRIM(IF(ISERROR(FIND(",",$C2554)),$C2554,LEFT($C2554,FIND(",",$C2554)-1))))</f>
        <v/>
      </c>
      <c r="M2554" s="28">
        <f>IF($H2554="","",DATE(YEAR($H2554),MONTH($H2554),1))</f>
        <v/>
      </c>
      <c r="N2554" s="26">
        <f>IF($H2554="","",TODAY()-$H2554)</f>
        <v/>
      </c>
      <c r="O2554" s="15" t="n"/>
      <c r="P2554" s="15" t="n"/>
      <c r="Q2554" s="15" t="n"/>
      <c r="R2554" s="25" t="n"/>
      <c r="S2554" s="26">
        <f>IF($A2554="","",AND(OR('Assignment Builder'!$B$5="",$B2554='Assignment Builder'!$B$5),OR('Assignment Builder'!$B$6="",ISNUMBER(SEARCH('Assignment Builder'!$B$6,$C2554))),OR('Assignment Builder'!$B$7="",'Assignment Builder'!$B$7=IFERROR(INDEX('Category Dictionary'!$C$5:$C$135,MATCH($L2554,'Category Dictionary'!$D$5:$D$135,0)),"")),OR('Assignment Builder'!$B$8="",$D2554='Assignment Builder'!$B$8),OR('Assignment Builder'!$B$9="",$F2554='Assignment Builder'!$B$9),OR('Assignment Builder'!$B$10="",$O2554='Assignment Builder'!$B$10),OR('Assignment Builder'!$B$11="",$H2554&gt;='Assignment Builder'!$B$11),OR('Assignment Builder'!$B$12="",N($Q2554)&lt;='Assignment Builder'!$B$12)))</f>
        <v/>
      </c>
      <c r="T2554" s="23" t="n"/>
    </row>
    <row r="2555">
      <c r="A2555" s="23" t="n"/>
      <c r="B2555" s="23" t="n"/>
      <c r="C2555" s="24" t="n"/>
      <c r="D2555" s="15" t="n"/>
      <c r="E2555" s="23" t="n"/>
      <c r="F2555" s="15" t="n"/>
      <c r="G2555" s="23" t="n"/>
      <c r="H2555" s="25" t="n"/>
      <c r="I2555" s="15" t="n"/>
      <c r="J2555" s="26">
        <f>IF($A2555="","",LEN($C2555)-LEN(SUBSTITUTE($C2555,",",""))+1)</f>
        <v/>
      </c>
      <c r="K2555" s="26">
        <f>IF($A2555="","",SUMPRODUCT(--ISNUMBER(SEARCH('Category Dictionary'!$D$5:$D$135&amp;"",$C2555)),--('Category Dictionary'!$D$5:$D$135&lt;&gt;"")))</f>
        <v/>
      </c>
      <c r="L2555" s="27">
        <f>IF($A2555="","",TRIM(IF(ISERROR(FIND(",",$C2555)),$C2555,LEFT($C2555,FIND(",",$C2555)-1))))</f>
        <v/>
      </c>
      <c r="M2555" s="28">
        <f>IF($H2555="","",DATE(YEAR($H2555),MONTH($H2555),1))</f>
        <v/>
      </c>
      <c r="N2555" s="26">
        <f>IF($H2555="","",TODAY()-$H2555)</f>
        <v/>
      </c>
      <c r="O2555" s="15" t="n"/>
      <c r="P2555" s="15" t="n"/>
      <c r="Q2555" s="15" t="n"/>
      <c r="R2555" s="25" t="n"/>
      <c r="S2555" s="26">
        <f>IF($A2555="","",AND(OR('Assignment Builder'!$B$5="",$B2555='Assignment Builder'!$B$5),OR('Assignment Builder'!$B$6="",ISNUMBER(SEARCH('Assignment Builder'!$B$6,$C2555))),OR('Assignment Builder'!$B$7="",'Assignment Builder'!$B$7=IFERROR(INDEX('Category Dictionary'!$C$5:$C$135,MATCH($L2555,'Category Dictionary'!$D$5:$D$135,0)),"")),OR('Assignment Builder'!$B$8="",$D2555='Assignment Builder'!$B$8),OR('Assignment Builder'!$B$9="",$F2555='Assignment Builder'!$B$9),OR('Assignment Builder'!$B$10="",$O2555='Assignment Builder'!$B$10),OR('Assignment Builder'!$B$11="",$H2555&gt;='Assignment Builder'!$B$11),OR('Assignment Builder'!$B$12="",N($Q2555)&lt;='Assignment Builder'!$B$12)))</f>
        <v/>
      </c>
      <c r="T2555" s="23" t="n"/>
    </row>
    <row r="2556">
      <c r="A2556" s="23" t="n"/>
      <c r="B2556" s="23" t="n"/>
      <c r="C2556" s="24" t="n"/>
      <c r="D2556" s="15" t="n"/>
      <c r="E2556" s="23" t="n"/>
      <c r="F2556" s="15" t="n"/>
      <c r="G2556" s="23" t="n"/>
      <c r="H2556" s="25" t="n"/>
      <c r="I2556" s="15" t="n"/>
      <c r="J2556" s="26">
        <f>IF($A2556="","",LEN($C2556)-LEN(SUBSTITUTE($C2556,",",""))+1)</f>
        <v/>
      </c>
      <c r="K2556" s="26">
        <f>IF($A2556="","",SUMPRODUCT(--ISNUMBER(SEARCH('Category Dictionary'!$D$5:$D$135&amp;"",$C2556)),--('Category Dictionary'!$D$5:$D$135&lt;&gt;"")))</f>
        <v/>
      </c>
      <c r="L2556" s="27">
        <f>IF($A2556="","",TRIM(IF(ISERROR(FIND(",",$C2556)),$C2556,LEFT($C2556,FIND(",",$C2556)-1))))</f>
        <v/>
      </c>
      <c r="M2556" s="28">
        <f>IF($H2556="","",DATE(YEAR($H2556),MONTH($H2556),1))</f>
        <v/>
      </c>
      <c r="N2556" s="26">
        <f>IF($H2556="","",TODAY()-$H2556)</f>
        <v/>
      </c>
      <c r="O2556" s="15" t="n"/>
      <c r="P2556" s="15" t="n"/>
      <c r="Q2556" s="15" t="n"/>
      <c r="R2556" s="25" t="n"/>
      <c r="S2556" s="26">
        <f>IF($A2556="","",AND(OR('Assignment Builder'!$B$5="",$B2556='Assignment Builder'!$B$5),OR('Assignment Builder'!$B$6="",ISNUMBER(SEARCH('Assignment Builder'!$B$6,$C2556))),OR('Assignment Builder'!$B$7="",'Assignment Builder'!$B$7=IFERROR(INDEX('Category Dictionary'!$C$5:$C$135,MATCH($L2556,'Category Dictionary'!$D$5:$D$135,0)),"")),OR('Assignment Builder'!$B$8="",$D2556='Assignment Builder'!$B$8),OR('Assignment Builder'!$B$9="",$F2556='Assignment Builder'!$B$9),OR('Assignment Builder'!$B$10="",$O2556='Assignment Builder'!$B$10),OR('Assignment Builder'!$B$11="",$H2556&gt;='Assignment Builder'!$B$11),OR('Assignment Builder'!$B$12="",N($Q2556)&lt;='Assignment Builder'!$B$12)))</f>
        <v/>
      </c>
      <c r="T2556" s="23" t="n"/>
    </row>
    <row r="2557">
      <c r="A2557" s="23" t="n"/>
      <c r="B2557" s="23" t="n"/>
      <c r="C2557" s="24" t="n"/>
      <c r="D2557" s="15" t="n"/>
      <c r="E2557" s="23" t="n"/>
      <c r="F2557" s="15" t="n"/>
      <c r="G2557" s="23" t="n"/>
      <c r="H2557" s="25" t="n"/>
      <c r="I2557" s="15" t="n"/>
      <c r="J2557" s="26">
        <f>IF($A2557="","",LEN($C2557)-LEN(SUBSTITUTE($C2557,",",""))+1)</f>
        <v/>
      </c>
      <c r="K2557" s="26">
        <f>IF($A2557="","",SUMPRODUCT(--ISNUMBER(SEARCH('Category Dictionary'!$D$5:$D$135&amp;"",$C2557)),--('Category Dictionary'!$D$5:$D$135&lt;&gt;"")))</f>
        <v/>
      </c>
      <c r="L2557" s="27">
        <f>IF($A2557="","",TRIM(IF(ISERROR(FIND(",",$C2557)),$C2557,LEFT($C2557,FIND(",",$C2557)-1))))</f>
        <v/>
      </c>
      <c r="M2557" s="28">
        <f>IF($H2557="","",DATE(YEAR($H2557),MONTH($H2557),1))</f>
        <v/>
      </c>
      <c r="N2557" s="26">
        <f>IF($H2557="","",TODAY()-$H2557)</f>
        <v/>
      </c>
      <c r="O2557" s="15" t="n"/>
      <c r="P2557" s="15" t="n"/>
      <c r="Q2557" s="15" t="n"/>
      <c r="R2557" s="25" t="n"/>
      <c r="S2557" s="26">
        <f>IF($A2557="","",AND(OR('Assignment Builder'!$B$5="",$B2557='Assignment Builder'!$B$5),OR('Assignment Builder'!$B$6="",ISNUMBER(SEARCH('Assignment Builder'!$B$6,$C2557))),OR('Assignment Builder'!$B$7="",'Assignment Builder'!$B$7=IFERROR(INDEX('Category Dictionary'!$C$5:$C$135,MATCH($L2557,'Category Dictionary'!$D$5:$D$135,0)),"")),OR('Assignment Builder'!$B$8="",$D2557='Assignment Builder'!$B$8),OR('Assignment Builder'!$B$9="",$F2557='Assignment Builder'!$B$9),OR('Assignment Builder'!$B$10="",$O2557='Assignment Builder'!$B$10),OR('Assignment Builder'!$B$11="",$H2557&gt;='Assignment Builder'!$B$11),OR('Assignment Builder'!$B$12="",N($Q2557)&lt;='Assignment Builder'!$B$12)))</f>
        <v/>
      </c>
      <c r="T2557" s="23" t="n"/>
    </row>
    <row r="2558">
      <c r="A2558" s="23" t="n"/>
      <c r="B2558" s="23" t="n"/>
      <c r="C2558" s="24" t="n"/>
      <c r="D2558" s="15" t="n"/>
      <c r="E2558" s="23" t="n"/>
      <c r="F2558" s="15" t="n"/>
      <c r="G2558" s="23" t="n"/>
      <c r="H2558" s="25" t="n"/>
      <c r="I2558" s="15" t="n"/>
      <c r="J2558" s="26">
        <f>IF($A2558="","",LEN($C2558)-LEN(SUBSTITUTE($C2558,",",""))+1)</f>
        <v/>
      </c>
      <c r="K2558" s="26">
        <f>IF($A2558="","",SUMPRODUCT(--ISNUMBER(SEARCH('Category Dictionary'!$D$5:$D$135&amp;"",$C2558)),--('Category Dictionary'!$D$5:$D$135&lt;&gt;"")))</f>
        <v/>
      </c>
      <c r="L2558" s="27">
        <f>IF($A2558="","",TRIM(IF(ISERROR(FIND(",",$C2558)),$C2558,LEFT($C2558,FIND(",",$C2558)-1))))</f>
        <v/>
      </c>
      <c r="M2558" s="28">
        <f>IF($H2558="","",DATE(YEAR($H2558),MONTH($H2558),1))</f>
        <v/>
      </c>
      <c r="N2558" s="26">
        <f>IF($H2558="","",TODAY()-$H2558)</f>
        <v/>
      </c>
      <c r="O2558" s="15" t="n"/>
      <c r="P2558" s="15" t="n"/>
      <c r="Q2558" s="15" t="n"/>
      <c r="R2558" s="25" t="n"/>
      <c r="S2558" s="26">
        <f>IF($A2558="","",AND(OR('Assignment Builder'!$B$5="",$B2558='Assignment Builder'!$B$5),OR('Assignment Builder'!$B$6="",ISNUMBER(SEARCH('Assignment Builder'!$B$6,$C2558))),OR('Assignment Builder'!$B$7="",'Assignment Builder'!$B$7=IFERROR(INDEX('Category Dictionary'!$C$5:$C$135,MATCH($L2558,'Category Dictionary'!$D$5:$D$135,0)),"")),OR('Assignment Builder'!$B$8="",$D2558='Assignment Builder'!$B$8),OR('Assignment Builder'!$B$9="",$F2558='Assignment Builder'!$B$9),OR('Assignment Builder'!$B$10="",$O2558='Assignment Builder'!$B$10),OR('Assignment Builder'!$B$11="",$H2558&gt;='Assignment Builder'!$B$11),OR('Assignment Builder'!$B$12="",N($Q2558)&lt;='Assignment Builder'!$B$12)))</f>
        <v/>
      </c>
      <c r="T2558" s="23" t="n"/>
    </row>
    <row r="2559">
      <c r="A2559" s="23" t="n"/>
      <c r="B2559" s="23" t="n"/>
      <c r="C2559" s="24" t="n"/>
      <c r="D2559" s="15" t="n"/>
      <c r="E2559" s="23" t="n"/>
      <c r="F2559" s="15" t="n"/>
      <c r="G2559" s="23" t="n"/>
      <c r="H2559" s="25" t="n"/>
      <c r="I2559" s="15" t="n"/>
      <c r="J2559" s="26">
        <f>IF($A2559="","",LEN($C2559)-LEN(SUBSTITUTE($C2559,",",""))+1)</f>
        <v/>
      </c>
      <c r="K2559" s="26">
        <f>IF($A2559="","",SUMPRODUCT(--ISNUMBER(SEARCH('Category Dictionary'!$D$5:$D$135&amp;"",$C2559)),--('Category Dictionary'!$D$5:$D$135&lt;&gt;"")))</f>
        <v/>
      </c>
      <c r="L2559" s="27">
        <f>IF($A2559="","",TRIM(IF(ISERROR(FIND(",",$C2559)),$C2559,LEFT($C2559,FIND(",",$C2559)-1))))</f>
        <v/>
      </c>
      <c r="M2559" s="28">
        <f>IF($H2559="","",DATE(YEAR($H2559),MONTH($H2559),1))</f>
        <v/>
      </c>
      <c r="N2559" s="26">
        <f>IF($H2559="","",TODAY()-$H2559)</f>
        <v/>
      </c>
      <c r="O2559" s="15" t="n"/>
      <c r="P2559" s="15" t="n"/>
      <c r="Q2559" s="15" t="n"/>
      <c r="R2559" s="25" t="n"/>
      <c r="S2559" s="26">
        <f>IF($A2559="","",AND(OR('Assignment Builder'!$B$5="",$B2559='Assignment Builder'!$B$5),OR('Assignment Builder'!$B$6="",ISNUMBER(SEARCH('Assignment Builder'!$B$6,$C2559))),OR('Assignment Builder'!$B$7="",'Assignment Builder'!$B$7=IFERROR(INDEX('Category Dictionary'!$C$5:$C$135,MATCH($L2559,'Category Dictionary'!$D$5:$D$135,0)),"")),OR('Assignment Builder'!$B$8="",$D2559='Assignment Builder'!$B$8),OR('Assignment Builder'!$B$9="",$F2559='Assignment Builder'!$B$9),OR('Assignment Builder'!$B$10="",$O2559='Assignment Builder'!$B$10),OR('Assignment Builder'!$B$11="",$H2559&gt;='Assignment Builder'!$B$11),OR('Assignment Builder'!$B$12="",N($Q2559)&lt;='Assignment Builder'!$B$12)))</f>
        <v/>
      </c>
      <c r="T2559" s="23" t="n"/>
    </row>
    <row r="2560">
      <c r="A2560" s="23" t="n"/>
      <c r="B2560" s="23" t="n"/>
      <c r="C2560" s="24" t="n"/>
      <c r="D2560" s="15" t="n"/>
      <c r="E2560" s="23" t="n"/>
      <c r="F2560" s="15" t="n"/>
      <c r="G2560" s="23" t="n"/>
      <c r="H2560" s="25" t="n"/>
      <c r="I2560" s="15" t="n"/>
      <c r="J2560" s="26">
        <f>IF($A2560="","",LEN($C2560)-LEN(SUBSTITUTE($C2560,",",""))+1)</f>
        <v/>
      </c>
      <c r="K2560" s="26">
        <f>IF($A2560="","",SUMPRODUCT(--ISNUMBER(SEARCH('Category Dictionary'!$D$5:$D$135&amp;"",$C2560)),--('Category Dictionary'!$D$5:$D$135&lt;&gt;"")))</f>
        <v/>
      </c>
      <c r="L2560" s="27">
        <f>IF($A2560="","",TRIM(IF(ISERROR(FIND(",",$C2560)),$C2560,LEFT($C2560,FIND(",",$C2560)-1))))</f>
        <v/>
      </c>
      <c r="M2560" s="28">
        <f>IF($H2560="","",DATE(YEAR($H2560),MONTH($H2560),1))</f>
        <v/>
      </c>
      <c r="N2560" s="26">
        <f>IF($H2560="","",TODAY()-$H2560)</f>
        <v/>
      </c>
      <c r="O2560" s="15" t="n"/>
      <c r="P2560" s="15" t="n"/>
      <c r="Q2560" s="15" t="n"/>
      <c r="R2560" s="25" t="n"/>
      <c r="S2560" s="26">
        <f>IF($A2560="","",AND(OR('Assignment Builder'!$B$5="",$B2560='Assignment Builder'!$B$5),OR('Assignment Builder'!$B$6="",ISNUMBER(SEARCH('Assignment Builder'!$B$6,$C2560))),OR('Assignment Builder'!$B$7="",'Assignment Builder'!$B$7=IFERROR(INDEX('Category Dictionary'!$C$5:$C$135,MATCH($L2560,'Category Dictionary'!$D$5:$D$135,0)),"")),OR('Assignment Builder'!$B$8="",$D2560='Assignment Builder'!$B$8),OR('Assignment Builder'!$B$9="",$F2560='Assignment Builder'!$B$9),OR('Assignment Builder'!$B$10="",$O2560='Assignment Builder'!$B$10),OR('Assignment Builder'!$B$11="",$H2560&gt;='Assignment Builder'!$B$11),OR('Assignment Builder'!$B$12="",N($Q2560)&lt;='Assignment Builder'!$B$12)))</f>
        <v/>
      </c>
      <c r="T2560" s="23" t="n"/>
    </row>
    <row r="2561">
      <c r="A2561" s="23" t="n"/>
      <c r="B2561" s="23" t="n"/>
      <c r="C2561" s="24" t="n"/>
      <c r="D2561" s="15" t="n"/>
      <c r="E2561" s="23" t="n"/>
      <c r="F2561" s="15" t="n"/>
      <c r="G2561" s="23" t="n"/>
      <c r="H2561" s="25" t="n"/>
      <c r="I2561" s="15" t="n"/>
      <c r="J2561" s="26">
        <f>IF($A2561="","",LEN($C2561)-LEN(SUBSTITUTE($C2561,",",""))+1)</f>
        <v/>
      </c>
      <c r="K2561" s="26">
        <f>IF($A2561="","",SUMPRODUCT(--ISNUMBER(SEARCH('Category Dictionary'!$D$5:$D$135&amp;"",$C2561)),--('Category Dictionary'!$D$5:$D$135&lt;&gt;"")))</f>
        <v/>
      </c>
      <c r="L2561" s="27">
        <f>IF($A2561="","",TRIM(IF(ISERROR(FIND(",",$C2561)),$C2561,LEFT($C2561,FIND(",",$C2561)-1))))</f>
        <v/>
      </c>
      <c r="M2561" s="28">
        <f>IF($H2561="","",DATE(YEAR($H2561),MONTH($H2561),1))</f>
        <v/>
      </c>
      <c r="N2561" s="26">
        <f>IF($H2561="","",TODAY()-$H2561)</f>
        <v/>
      </c>
      <c r="O2561" s="15" t="n"/>
      <c r="P2561" s="15" t="n"/>
      <c r="Q2561" s="15" t="n"/>
      <c r="R2561" s="25" t="n"/>
      <c r="S2561" s="26">
        <f>IF($A2561="","",AND(OR('Assignment Builder'!$B$5="",$B2561='Assignment Builder'!$B$5),OR('Assignment Builder'!$B$6="",ISNUMBER(SEARCH('Assignment Builder'!$B$6,$C2561))),OR('Assignment Builder'!$B$7="",'Assignment Builder'!$B$7=IFERROR(INDEX('Category Dictionary'!$C$5:$C$135,MATCH($L2561,'Category Dictionary'!$D$5:$D$135,0)),"")),OR('Assignment Builder'!$B$8="",$D2561='Assignment Builder'!$B$8),OR('Assignment Builder'!$B$9="",$F2561='Assignment Builder'!$B$9),OR('Assignment Builder'!$B$10="",$O2561='Assignment Builder'!$B$10),OR('Assignment Builder'!$B$11="",$H2561&gt;='Assignment Builder'!$B$11),OR('Assignment Builder'!$B$12="",N($Q2561)&lt;='Assignment Builder'!$B$12)))</f>
        <v/>
      </c>
      <c r="T2561" s="23" t="n"/>
    </row>
    <row r="2562">
      <c r="A2562" s="23" t="n"/>
      <c r="B2562" s="23" t="n"/>
      <c r="C2562" s="24" t="n"/>
      <c r="D2562" s="15" t="n"/>
      <c r="E2562" s="23" t="n"/>
      <c r="F2562" s="15" t="n"/>
      <c r="G2562" s="23" t="n"/>
      <c r="H2562" s="25" t="n"/>
      <c r="I2562" s="15" t="n"/>
      <c r="J2562" s="26">
        <f>IF($A2562="","",LEN($C2562)-LEN(SUBSTITUTE($C2562,",",""))+1)</f>
        <v/>
      </c>
      <c r="K2562" s="26">
        <f>IF($A2562="","",SUMPRODUCT(--ISNUMBER(SEARCH('Category Dictionary'!$D$5:$D$135&amp;"",$C2562)),--('Category Dictionary'!$D$5:$D$135&lt;&gt;"")))</f>
        <v/>
      </c>
      <c r="L2562" s="27">
        <f>IF($A2562="","",TRIM(IF(ISERROR(FIND(",",$C2562)),$C2562,LEFT($C2562,FIND(",",$C2562)-1))))</f>
        <v/>
      </c>
      <c r="M2562" s="28">
        <f>IF($H2562="","",DATE(YEAR($H2562),MONTH($H2562),1))</f>
        <v/>
      </c>
      <c r="N2562" s="26">
        <f>IF($H2562="","",TODAY()-$H2562)</f>
        <v/>
      </c>
      <c r="O2562" s="15" t="n"/>
      <c r="P2562" s="15" t="n"/>
      <c r="Q2562" s="15" t="n"/>
      <c r="R2562" s="25" t="n"/>
      <c r="S2562" s="26">
        <f>IF($A2562="","",AND(OR('Assignment Builder'!$B$5="",$B2562='Assignment Builder'!$B$5),OR('Assignment Builder'!$B$6="",ISNUMBER(SEARCH('Assignment Builder'!$B$6,$C2562))),OR('Assignment Builder'!$B$7="",'Assignment Builder'!$B$7=IFERROR(INDEX('Category Dictionary'!$C$5:$C$135,MATCH($L2562,'Category Dictionary'!$D$5:$D$135,0)),"")),OR('Assignment Builder'!$B$8="",$D2562='Assignment Builder'!$B$8),OR('Assignment Builder'!$B$9="",$F2562='Assignment Builder'!$B$9),OR('Assignment Builder'!$B$10="",$O2562='Assignment Builder'!$B$10),OR('Assignment Builder'!$B$11="",$H2562&gt;='Assignment Builder'!$B$11),OR('Assignment Builder'!$B$12="",N($Q2562)&lt;='Assignment Builder'!$B$12)))</f>
        <v/>
      </c>
      <c r="T2562" s="23" t="n"/>
    </row>
    <row r="2563">
      <c r="A2563" s="23" t="n"/>
      <c r="B2563" s="23" t="n"/>
      <c r="C2563" s="24" t="n"/>
      <c r="D2563" s="15" t="n"/>
      <c r="E2563" s="23" t="n"/>
      <c r="F2563" s="15" t="n"/>
      <c r="G2563" s="23" t="n"/>
      <c r="H2563" s="25" t="n"/>
      <c r="I2563" s="15" t="n"/>
      <c r="J2563" s="26">
        <f>IF($A2563="","",LEN($C2563)-LEN(SUBSTITUTE($C2563,",",""))+1)</f>
        <v/>
      </c>
      <c r="K2563" s="26">
        <f>IF($A2563="","",SUMPRODUCT(--ISNUMBER(SEARCH('Category Dictionary'!$D$5:$D$135&amp;"",$C2563)),--('Category Dictionary'!$D$5:$D$135&lt;&gt;"")))</f>
        <v/>
      </c>
      <c r="L2563" s="27">
        <f>IF($A2563="","",TRIM(IF(ISERROR(FIND(",",$C2563)),$C2563,LEFT($C2563,FIND(",",$C2563)-1))))</f>
        <v/>
      </c>
      <c r="M2563" s="28">
        <f>IF($H2563="","",DATE(YEAR($H2563),MONTH($H2563),1))</f>
        <v/>
      </c>
      <c r="N2563" s="26">
        <f>IF($H2563="","",TODAY()-$H2563)</f>
        <v/>
      </c>
      <c r="O2563" s="15" t="n"/>
      <c r="P2563" s="15" t="n"/>
      <c r="Q2563" s="15" t="n"/>
      <c r="R2563" s="25" t="n"/>
      <c r="S2563" s="26">
        <f>IF($A2563="","",AND(OR('Assignment Builder'!$B$5="",$B2563='Assignment Builder'!$B$5),OR('Assignment Builder'!$B$6="",ISNUMBER(SEARCH('Assignment Builder'!$B$6,$C2563))),OR('Assignment Builder'!$B$7="",'Assignment Builder'!$B$7=IFERROR(INDEX('Category Dictionary'!$C$5:$C$135,MATCH($L2563,'Category Dictionary'!$D$5:$D$135,0)),"")),OR('Assignment Builder'!$B$8="",$D2563='Assignment Builder'!$B$8),OR('Assignment Builder'!$B$9="",$F2563='Assignment Builder'!$B$9),OR('Assignment Builder'!$B$10="",$O2563='Assignment Builder'!$B$10),OR('Assignment Builder'!$B$11="",$H2563&gt;='Assignment Builder'!$B$11),OR('Assignment Builder'!$B$12="",N($Q2563)&lt;='Assignment Builder'!$B$12)))</f>
        <v/>
      </c>
      <c r="T2563" s="23" t="n"/>
    </row>
    <row r="2564">
      <c r="A2564" s="23" t="n"/>
      <c r="B2564" s="23" t="n"/>
      <c r="C2564" s="24" t="n"/>
      <c r="D2564" s="15" t="n"/>
      <c r="E2564" s="23" t="n"/>
      <c r="F2564" s="15" t="n"/>
      <c r="G2564" s="23" t="n"/>
      <c r="H2564" s="25" t="n"/>
      <c r="I2564" s="15" t="n"/>
      <c r="J2564" s="26">
        <f>IF($A2564="","",LEN($C2564)-LEN(SUBSTITUTE($C2564,",",""))+1)</f>
        <v/>
      </c>
      <c r="K2564" s="26">
        <f>IF($A2564="","",SUMPRODUCT(--ISNUMBER(SEARCH('Category Dictionary'!$D$5:$D$135&amp;"",$C2564)),--('Category Dictionary'!$D$5:$D$135&lt;&gt;"")))</f>
        <v/>
      </c>
      <c r="L2564" s="27">
        <f>IF($A2564="","",TRIM(IF(ISERROR(FIND(",",$C2564)),$C2564,LEFT($C2564,FIND(",",$C2564)-1))))</f>
        <v/>
      </c>
      <c r="M2564" s="28">
        <f>IF($H2564="","",DATE(YEAR($H2564),MONTH($H2564),1))</f>
        <v/>
      </c>
      <c r="N2564" s="26">
        <f>IF($H2564="","",TODAY()-$H2564)</f>
        <v/>
      </c>
      <c r="O2564" s="15" t="n"/>
      <c r="P2564" s="15" t="n"/>
      <c r="Q2564" s="15" t="n"/>
      <c r="R2564" s="25" t="n"/>
      <c r="S2564" s="26">
        <f>IF($A2564="","",AND(OR('Assignment Builder'!$B$5="",$B2564='Assignment Builder'!$B$5),OR('Assignment Builder'!$B$6="",ISNUMBER(SEARCH('Assignment Builder'!$B$6,$C2564))),OR('Assignment Builder'!$B$7="",'Assignment Builder'!$B$7=IFERROR(INDEX('Category Dictionary'!$C$5:$C$135,MATCH($L2564,'Category Dictionary'!$D$5:$D$135,0)),"")),OR('Assignment Builder'!$B$8="",$D2564='Assignment Builder'!$B$8),OR('Assignment Builder'!$B$9="",$F2564='Assignment Builder'!$B$9),OR('Assignment Builder'!$B$10="",$O2564='Assignment Builder'!$B$10),OR('Assignment Builder'!$B$11="",$H2564&gt;='Assignment Builder'!$B$11),OR('Assignment Builder'!$B$12="",N($Q2564)&lt;='Assignment Builder'!$B$12)))</f>
        <v/>
      </c>
      <c r="T2564" s="23" t="n"/>
    </row>
    <row r="2565">
      <c r="A2565" s="23" t="n"/>
      <c r="B2565" s="23" t="n"/>
      <c r="C2565" s="24" t="n"/>
      <c r="D2565" s="15" t="n"/>
      <c r="E2565" s="23" t="n"/>
      <c r="F2565" s="15" t="n"/>
      <c r="G2565" s="23" t="n"/>
      <c r="H2565" s="25" t="n"/>
      <c r="I2565" s="15" t="n"/>
      <c r="J2565" s="26">
        <f>IF($A2565="","",LEN($C2565)-LEN(SUBSTITUTE($C2565,",",""))+1)</f>
        <v/>
      </c>
      <c r="K2565" s="26">
        <f>IF($A2565="","",SUMPRODUCT(--ISNUMBER(SEARCH('Category Dictionary'!$D$5:$D$135&amp;"",$C2565)),--('Category Dictionary'!$D$5:$D$135&lt;&gt;"")))</f>
        <v/>
      </c>
      <c r="L2565" s="27">
        <f>IF($A2565="","",TRIM(IF(ISERROR(FIND(",",$C2565)),$C2565,LEFT($C2565,FIND(",",$C2565)-1))))</f>
        <v/>
      </c>
      <c r="M2565" s="28">
        <f>IF($H2565="","",DATE(YEAR($H2565),MONTH($H2565),1))</f>
        <v/>
      </c>
      <c r="N2565" s="26">
        <f>IF($H2565="","",TODAY()-$H2565)</f>
        <v/>
      </c>
      <c r="O2565" s="15" t="n"/>
      <c r="P2565" s="15" t="n"/>
      <c r="Q2565" s="15" t="n"/>
      <c r="R2565" s="25" t="n"/>
      <c r="S2565" s="26">
        <f>IF($A2565="","",AND(OR('Assignment Builder'!$B$5="",$B2565='Assignment Builder'!$B$5),OR('Assignment Builder'!$B$6="",ISNUMBER(SEARCH('Assignment Builder'!$B$6,$C2565))),OR('Assignment Builder'!$B$7="",'Assignment Builder'!$B$7=IFERROR(INDEX('Category Dictionary'!$C$5:$C$135,MATCH($L2565,'Category Dictionary'!$D$5:$D$135,0)),"")),OR('Assignment Builder'!$B$8="",$D2565='Assignment Builder'!$B$8),OR('Assignment Builder'!$B$9="",$F2565='Assignment Builder'!$B$9),OR('Assignment Builder'!$B$10="",$O2565='Assignment Builder'!$B$10),OR('Assignment Builder'!$B$11="",$H2565&gt;='Assignment Builder'!$B$11),OR('Assignment Builder'!$B$12="",N($Q2565)&lt;='Assignment Builder'!$B$12)))</f>
        <v/>
      </c>
      <c r="T2565" s="23" t="n"/>
    </row>
    <row r="2566">
      <c r="A2566" s="23" t="n"/>
      <c r="B2566" s="23" t="n"/>
      <c r="C2566" s="24" t="n"/>
      <c r="D2566" s="15" t="n"/>
      <c r="E2566" s="23" t="n"/>
      <c r="F2566" s="15" t="n"/>
      <c r="G2566" s="23" t="n"/>
      <c r="H2566" s="25" t="n"/>
      <c r="I2566" s="15" t="n"/>
      <c r="J2566" s="26">
        <f>IF($A2566="","",LEN($C2566)-LEN(SUBSTITUTE($C2566,",",""))+1)</f>
        <v/>
      </c>
      <c r="K2566" s="26">
        <f>IF($A2566="","",SUMPRODUCT(--ISNUMBER(SEARCH('Category Dictionary'!$D$5:$D$135&amp;"",$C2566)),--('Category Dictionary'!$D$5:$D$135&lt;&gt;"")))</f>
        <v/>
      </c>
      <c r="L2566" s="27">
        <f>IF($A2566="","",TRIM(IF(ISERROR(FIND(",",$C2566)),$C2566,LEFT($C2566,FIND(",",$C2566)-1))))</f>
        <v/>
      </c>
      <c r="M2566" s="28">
        <f>IF($H2566="","",DATE(YEAR($H2566),MONTH($H2566),1))</f>
        <v/>
      </c>
      <c r="N2566" s="26">
        <f>IF($H2566="","",TODAY()-$H2566)</f>
        <v/>
      </c>
      <c r="O2566" s="15" t="n"/>
      <c r="P2566" s="15" t="n"/>
      <c r="Q2566" s="15" t="n"/>
      <c r="R2566" s="25" t="n"/>
      <c r="S2566" s="26">
        <f>IF($A2566="","",AND(OR('Assignment Builder'!$B$5="",$B2566='Assignment Builder'!$B$5),OR('Assignment Builder'!$B$6="",ISNUMBER(SEARCH('Assignment Builder'!$B$6,$C2566))),OR('Assignment Builder'!$B$7="",'Assignment Builder'!$B$7=IFERROR(INDEX('Category Dictionary'!$C$5:$C$135,MATCH($L2566,'Category Dictionary'!$D$5:$D$135,0)),"")),OR('Assignment Builder'!$B$8="",$D2566='Assignment Builder'!$B$8),OR('Assignment Builder'!$B$9="",$F2566='Assignment Builder'!$B$9),OR('Assignment Builder'!$B$10="",$O2566='Assignment Builder'!$B$10),OR('Assignment Builder'!$B$11="",$H2566&gt;='Assignment Builder'!$B$11),OR('Assignment Builder'!$B$12="",N($Q2566)&lt;='Assignment Builder'!$B$12)))</f>
        <v/>
      </c>
      <c r="T2566" s="23" t="n"/>
    </row>
    <row r="2567">
      <c r="A2567" s="23" t="n"/>
      <c r="B2567" s="23" t="n"/>
      <c r="C2567" s="24" t="n"/>
      <c r="D2567" s="15" t="n"/>
      <c r="E2567" s="23" t="n"/>
      <c r="F2567" s="15" t="n"/>
      <c r="G2567" s="23" t="n"/>
      <c r="H2567" s="25" t="n"/>
      <c r="I2567" s="15" t="n"/>
      <c r="J2567" s="26">
        <f>IF($A2567="","",LEN($C2567)-LEN(SUBSTITUTE($C2567,",",""))+1)</f>
        <v/>
      </c>
      <c r="K2567" s="26">
        <f>IF($A2567="","",SUMPRODUCT(--ISNUMBER(SEARCH('Category Dictionary'!$D$5:$D$135&amp;"",$C2567)),--('Category Dictionary'!$D$5:$D$135&lt;&gt;"")))</f>
        <v/>
      </c>
      <c r="L2567" s="27">
        <f>IF($A2567="","",TRIM(IF(ISERROR(FIND(",",$C2567)),$C2567,LEFT($C2567,FIND(",",$C2567)-1))))</f>
        <v/>
      </c>
      <c r="M2567" s="28">
        <f>IF($H2567="","",DATE(YEAR($H2567),MONTH($H2567),1))</f>
        <v/>
      </c>
      <c r="N2567" s="26">
        <f>IF($H2567="","",TODAY()-$H2567)</f>
        <v/>
      </c>
      <c r="O2567" s="15" t="n"/>
      <c r="P2567" s="15" t="n"/>
      <c r="Q2567" s="15" t="n"/>
      <c r="R2567" s="25" t="n"/>
      <c r="S2567" s="26">
        <f>IF($A2567="","",AND(OR('Assignment Builder'!$B$5="",$B2567='Assignment Builder'!$B$5),OR('Assignment Builder'!$B$6="",ISNUMBER(SEARCH('Assignment Builder'!$B$6,$C2567))),OR('Assignment Builder'!$B$7="",'Assignment Builder'!$B$7=IFERROR(INDEX('Category Dictionary'!$C$5:$C$135,MATCH($L2567,'Category Dictionary'!$D$5:$D$135,0)),"")),OR('Assignment Builder'!$B$8="",$D2567='Assignment Builder'!$B$8),OR('Assignment Builder'!$B$9="",$F2567='Assignment Builder'!$B$9),OR('Assignment Builder'!$B$10="",$O2567='Assignment Builder'!$B$10),OR('Assignment Builder'!$B$11="",$H2567&gt;='Assignment Builder'!$B$11),OR('Assignment Builder'!$B$12="",N($Q2567)&lt;='Assignment Builder'!$B$12)))</f>
        <v/>
      </c>
      <c r="T2567" s="23" t="n"/>
    </row>
    <row r="2568">
      <c r="A2568" s="23" t="n"/>
      <c r="B2568" s="23" t="n"/>
      <c r="C2568" s="24" t="n"/>
      <c r="D2568" s="15" t="n"/>
      <c r="E2568" s="23" t="n"/>
      <c r="F2568" s="15" t="n"/>
      <c r="G2568" s="23" t="n"/>
      <c r="H2568" s="25" t="n"/>
      <c r="I2568" s="15" t="n"/>
      <c r="J2568" s="26">
        <f>IF($A2568="","",LEN($C2568)-LEN(SUBSTITUTE($C2568,",",""))+1)</f>
        <v/>
      </c>
      <c r="K2568" s="26">
        <f>IF($A2568="","",SUMPRODUCT(--ISNUMBER(SEARCH('Category Dictionary'!$D$5:$D$135&amp;"",$C2568)),--('Category Dictionary'!$D$5:$D$135&lt;&gt;"")))</f>
        <v/>
      </c>
      <c r="L2568" s="27">
        <f>IF($A2568="","",TRIM(IF(ISERROR(FIND(",",$C2568)),$C2568,LEFT($C2568,FIND(",",$C2568)-1))))</f>
        <v/>
      </c>
      <c r="M2568" s="28">
        <f>IF($H2568="","",DATE(YEAR($H2568),MONTH($H2568),1))</f>
        <v/>
      </c>
      <c r="N2568" s="26">
        <f>IF($H2568="","",TODAY()-$H2568)</f>
        <v/>
      </c>
      <c r="O2568" s="15" t="n"/>
      <c r="P2568" s="15" t="n"/>
      <c r="Q2568" s="15" t="n"/>
      <c r="R2568" s="25" t="n"/>
      <c r="S2568" s="26">
        <f>IF($A2568="","",AND(OR('Assignment Builder'!$B$5="",$B2568='Assignment Builder'!$B$5),OR('Assignment Builder'!$B$6="",ISNUMBER(SEARCH('Assignment Builder'!$B$6,$C2568))),OR('Assignment Builder'!$B$7="",'Assignment Builder'!$B$7=IFERROR(INDEX('Category Dictionary'!$C$5:$C$135,MATCH($L2568,'Category Dictionary'!$D$5:$D$135,0)),"")),OR('Assignment Builder'!$B$8="",$D2568='Assignment Builder'!$B$8),OR('Assignment Builder'!$B$9="",$F2568='Assignment Builder'!$B$9),OR('Assignment Builder'!$B$10="",$O2568='Assignment Builder'!$B$10),OR('Assignment Builder'!$B$11="",$H2568&gt;='Assignment Builder'!$B$11),OR('Assignment Builder'!$B$12="",N($Q2568)&lt;='Assignment Builder'!$B$12)))</f>
        <v/>
      </c>
      <c r="T2568" s="23" t="n"/>
    </row>
    <row r="2569">
      <c r="A2569" s="23" t="n"/>
      <c r="B2569" s="23" t="n"/>
      <c r="C2569" s="24" t="n"/>
      <c r="D2569" s="15" t="n"/>
      <c r="E2569" s="23" t="n"/>
      <c r="F2569" s="15" t="n"/>
      <c r="G2569" s="23" t="n"/>
      <c r="H2569" s="25" t="n"/>
      <c r="I2569" s="15" t="n"/>
      <c r="J2569" s="26">
        <f>IF($A2569="","",LEN($C2569)-LEN(SUBSTITUTE($C2569,",",""))+1)</f>
        <v/>
      </c>
      <c r="K2569" s="26">
        <f>IF($A2569="","",SUMPRODUCT(--ISNUMBER(SEARCH('Category Dictionary'!$D$5:$D$135&amp;"",$C2569)),--('Category Dictionary'!$D$5:$D$135&lt;&gt;"")))</f>
        <v/>
      </c>
      <c r="L2569" s="27">
        <f>IF($A2569="","",TRIM(IF(ISERROR(FIND(",",$C2569)),$C2569,LEFT($C2569,FIND(",",$C2569)-1))))</f>
        <v/>
      </c>
      <c r="M2569" s="28">
        <f>IF($H2569="","",DATE(YEAR($H2569),MONTH($H2569),1))</f>
        <v/>
      </c>
      <c r="N2569" s="26">
        <f>IF($H2569="","",TODAY()-$H2569)</f>
        <v/>
      </c>
      <c r="O2569" s="15" t="n"/>
      <c r="P2569" s="15" t="n"/>
      <c r="Q2569" s="15" t="n"/>
      <c r="R2569" s="25" t="n"/>
      <c r="S2569" s="26">
        <f>IF($A2569="","",AND(OR('Assignment Builder'!$B$5="",$B2569='Assignment Builder'!$B$5),OR('Assignment Builder'!$B$6="",ISNUMBER(SEARCH('Assignment Builder'!$B$6,$C2569))),OR('Assignment Builder'!$B$7="",'Assignment Builder'!$B$7=IFERROR(INDEX('Category Dictionary'!$C$5:$C$135,MATCH($L2569,'Category Dictionary'!$D$5:$D$135,0)),"")),OR('Assignment Builder'!$B$8="",$D2569='Assignment Builder'!$B$8),OR('Assignment Builder'!$B$9="",$F2569='Assignment Builder'!$B$9),OR('Assignment Builder'!$B$10="",$O2569='Assignment Builder'!$B$10),OR('Assignment Builder'!$B$11="",$H2569&gt;='Assignment Builder'!$B$11),OR('Assignment Builder'!$B$12="",N($Q2569)&lt;='Assignment Builder'!$B$12)))</f>
        <v/>
      </c>
      <c r="T2569" s="23" t="n"/>
    </row>
    <row r="2570">
      <c r="A2570" s="23" t="n"/>
      <c r="B2570" s="23" t="n"/>
      <c r="C2570" s="24" t="n"/>
      <c r="D2570" s="15" t="n"/>
      <c r="E2570" s="23" t="n"/>
      <c r="F2570" s="15" t="n"/>
      <c r="G2570" s="23" t="n"/>
      <c r="H2570" s="25" t="n"/>
      <c r="I2570" s="15" t="n"/>
      <c r="J2570" s="26">
        <f>IF($A2570="","",LEN($C2570)-LEN(SUBSTITUTE($C2570,",",""))+1)</f>
        <v/>
      </c>
      <c r="K2570" s="26">
        <f>IF($A2570="","",SUMPRODUCT(--ISNUMBER(SEARCH('Category Dictionary'!$D$5:$D$135&amp;"",$C2570)),--('Category Dictionary'!$D$5:$D$135&lt;&gt;"")))</f>
        <v/>
      </c>
      <c r="L2570" s="27">
        <f>IF($A2570="","",TRIM(IF(ISERROR(FIND(",",$C2570)),$C2570,LEFT($C2570,FIND(",",$C2570)-1))))</f>
        <v/>
      </c>
      <c r="M2570" s="28">
        <f>IF($H2570="","",DATE(YEAR($H2570),MONTH($H2570),1))</f>
        <v/>
      </c>
      <c r="N2570" s="26">
        <f>IF($H2570="","",TODAY()-$H2570)</f>
        <v/>
      </c>
      <c r="O2570" s="15" t="n"/>
      <c r="P2570" s="15" t="n"/>
      <c r="Q2570" s="15" t="n"/>
      <c r="R2570" s="25" t="n"/>
      <c r="S2570" s="26">
        <f>IF($A2570="","",AND(OR('Assignment Builder'!$B$5="",$B2570='Assignment Builder'!$B$5),OR('Assignment Builder'!$B$6="",ISNUMBER(SEARCH('Assignment Builder'!$B$6,$C2570))),OR('Assignment Builder'!$B$7="",'Assignment Builder'!$B$7=IFERROR(INDEX('Category Dictionary'!$C$5:$C$135,MATCH($L2570,'Category Dictionary'!$D$5:$D$135,0)),"")),OR('Assignment Builder'!$B$8="",$D2570='Assignment Builder'!$B$8),OR('Assignment Builder'!$B$9="",$F2570='Assignment Builder'!$B$9),OR('Assignment Builder'!$B$10="",$O2570='Assignment Builder'!$B$10),OR('Assignment Builder'!$B$11="",$H2570&gt;='Assignment Builder'!$B$11),OR('Assignment Builder'!$B$12="",N($Q2570)&lt;='Assignment Builder'!$B$12)))</f>
        <v/>
      </c>
      <c r="T2570" s="23" t="n"/>
    </row>
    <row r="2571">
      <c r="A2571" s="23" t="n"/>
      <c r="B2571" s="23" t="n"/>
      <c r="C2571" s="24" t="n"/>
      <c r="D2571" s="15" t="n"/>
      <c r="E2571" s="23" t="n"/>
      <c r="F2571" s="15" t="n"/>
      <c r="G2571" s="23" t="n"/>
      <c r="H2571" s="25" t="n"/>
      <c r="I2571" s="15" t="n"/>
      <c r="J2571" s="26">
        <f>IF($A2571="","",LEN($C2571)-LEN(SUBSTITUTE($C2571,",",""))+1)</f>
        <v/>
      </c>
      <c r="K2571" s="26">
        <f>IF($A2571="","",SUMPRODUCT(--ISNUMBER(SEARCH('Category Dictionary'!$D$5:$D$135&amp;"",$C2571)),--('Category Dictionary'!$D$5:$D$135&lt;&gt;"")))</f>
        <v/>
      </c>
      <c r="L2571" s="27">
        <f>IF($A2571="","",TRIM(IF(ISERROR(FIND(",",$C2571)),$C2571,LEFT($C2571,FIND(",",$C2571)-1))))</f>
        <v/>
      </c>
      <c r="M2571" s="28">
        <f>IF($H2571="","",DATE(YEAR($H2571),MONTH($H2571),1))</f>
        <v/>
      </c>
      <c r="N2571" s="26">
        <f>IF($H2571="","",TODAY()-$H2571)</f>
        <v/>
      </c>
      <c r="O2571" s="15" t="n"/>
      <c r="P2571" s="15" t="n"/>
      <c r="Q2571" s="15" t="n"/>
      <c r="R2571" s="25" t="n"/>
      <c r="S2571" s="26">
        <f>IF($A2571="","",AND(OR('Assignment Builder'!$B$5="",$B2571='Assignment Builder'!$B$5),OR('Assignment Builder'!$B$6="",ISNUMBER(SEARCH('Assignment Builder'!$B$6,$C2571))),OR('Assignment Builder'!$B$7="",'Assignment Builder'!$B$7=IFERROR(INDEX('Category Dictionary'!$C$5:$C$135,MATCH($L2571,'Category Dictionary'!$D$5:$D$135,0)),"")),OR('Assignment Builder'!$B$8="",$D2571='Assignment Builder'!$B$8),OR('Assignment Builder'!$B$9="",$F2571='Assignment Builder'!$B$9),OR('Assignment Builder'!$B$10="",$O2571='Assignment Builder'!$B$10),OR('Assignment Builder'!$B$11="",$H2571&gt;='Assignment Builder'!$B$11),OR('Assignment Builder'!$B$12="",N($Q2571)&lt;='Assignment Builder'!$B$12)))</f>
        <v/>
      </c>
      <c r="T2571" s="23" t="n"/>
    </row>
    <row r="2572">
      <c r="A2572" s="23" t="n"/>
      <c r="B2572" s="23" t="n"/>
      <c r="C2572" s="24" t="n"/>
      <c r="D2572" s="15" t="n"/>
      <c r="E2572" s="23" t="n"/>
      <c r="F2572" s="15" t="n"/>
      <c r="G2572" s="23" t="n"/>
      <c r="H2572" s="25" t="n"/>
      <c r="I2572" s="15" t="n"/>
      <c r="J2572" s="26">
        <f>IF($A2572="","",LEN($C2572)-LEN(SUBSTITUTE($C2572,",",""))+1)</f>
        <v/>
      </c>
      <c r="K2572" s="26">
        <f>IF($A2572="","",SUMPRODUCT(--ISNUMBER(SEARCH('Category Dictionary'!$D$5:$D$135&amp;"",$C2572)),--('Category Dictionary'!$D$5:$D$135&lt;&gt;"")))</f>
        <v/>
      </c>
      <c r="L2572" s="27">
        <f>IF($A2572="","",TRIM(IF(ISERROR(FIND(",",$C2572)),$C2572,LEFT($C2572,FIND(",",$C2572)-1))))</f>
        <v/>
      </c>
      <c r="M2572" s="28">
        <f>IF($H2572="","",DATE(YEAR($H2572),MONTH($H2572),1))</f>
        <v/>
      </c>
      <c r="N2572" s="26">
        <f>IF($H2572="","",TODAY()-$H2572)</f>
        <v/>
      </c>
      <c r="O2572" s="15" t="n"/>
      <c r="P2572" s="15" t="n"/>
      <c r="Q2572" s="15" t="n"/>
      <c r="R2572" s="25" t="n"/>
      <c r="S2572" s="26">
        <f>IF($A2572="","",AND(OR('Assignment Builder'!$B$5="",$B2572='Assignment Builder'!$B$5),OR('Assignment Builder'!$B$6="",ISNUMBER(SEARCH('Assignment Builder'!$B$6,$C2572))),OR('Assignment Builder'!$B$7="",'Assignment Builder'!$B$7=IFERROR(INDEX('Category Dictionary'!$C$5:$C$135,MATCH($L2572,'Category Dictionary'!$D$5:$D$135,0)),"")),OR('Assignment Builder'!$B$8="",$D2572='Assignment Builder'!$B$8),OR('Assignment Builder'!$B$9="",$F2572='Assignment Builder'!$B$9),OR('Assignment Builder'!$B$10="",$O2572='Assignment Builder'!$B$10),OR('Assignment Builder'!$B$11="",$H2572&gt;='Assignment Builder'!$B$11),OR('Assignment Builder'!$B$12="",N($Q2572)&lt;='Assignment Builder'!$B$12)))</f>
        <v/>
      </c>
      <c r="T2572" s="23" t="n"/>
    </row>
    <row r="2573">
      <c r="A2573" s="23" t="n"/>
      <c r="B2573" s="23" t="n"/>
      <c r="C2573" s="24" t="n"/>
      <c r="D2573" s="15" t="n"/>
      <c r="E2573" s="23" t="n"/>
      <c r="F2573" s="15" t="n"/>
      <c r="G2573" s="23" t="n"/>
      <c r="H2573" s="25" t="n"/>
      <c r="I2573" s="15" t="n"/>
      <c r="J2573" s="26">
        <f>IF($A2573="","",LEN($C2573)-LEN(SUBSTITUTE($C2573,",",""))+1)</f>
        <v/>
      </c>
      <c r="K2573" s="26">
        <f>IF($A2573="","",SUMPRODUCT(--ISNUMBER(SEARCH('Category Dictionary'!$D$5:$D$135&amp;"",$C2573)),--('Category Dictionary'!$D$5:$D$135&lt;&gt;"")))</f>
        <v/>
      </c>
      <c r="L2573" s="27">
        <f>IF($A2573="","",TRIM(IF(ISERROR(FIND(",",$C2573)),$C2573,LEFT($C2573,FIND(",",$C2573)-1))))</f>
        <v/>
      </c>
      <c r="M2573" s="28">
        <f>IF($H2573="","",DATE(YEAR($H2573),MONTH($H2573),1))</f>
        <v/>
      </c>
      <c r="N2573" s="26">
        <f>IF($H2573="","",TODAY()-$H2573)</f>
        <v/>
      </c>
      <c r="O2573" s="15" t="n"/>
      <c r="P2573" s="15" t="n"/>
      <c r="Q2573" s="15" t="n"/>
      <c r="R2573" s="25" t="n"/>
      <c r="S2573" s="26">
        <f>IF($A2573="","",AND(OR('Assignment Builder'!$B$5="",$B2573='Assignment Builder'!$B$5),OR('Assignment Builder'!$B$6="",ISNUMBER(SEARCH('Assignment Builder'!$B$6,$C2573))),OR('Assignment Builder'!$B$7="",'Assignment Builder'!$B$7=IFERROR(INDEX('Category Dictionary'!$C$5:$C$135,MATCH($L2573,'Category Dictionary'!$D$5:$D$135,0)),"")),OR('Assignment Builder'!$B$8="",$D2573='Assignment Builder'!$B$8),OR('Assignment Builder'!$B$9="",$F2573='Assignment Builder'!$B$9),OR('Assignment Builder'!$B$10="",$O2573='Assignment Builder'!$B$10),OR('Assignment Builder'!$B$11="",$H2573&gt;='Assignment Builder'!$B$11),OR('Assignment Builder'!$B$12="",N($Q2573)&lt;='Assignment Builder'!$B$12)))</f>
        <v/>
      </c>
      <c r="T2573" s="23" t="n"/>
    </row>
    <row r="2574">
      <c r="A2574" s="23" t="n"/>
      <c r="B2574" s="23" t="n"/>
      <c r="C2574" s="24" t="n"/>
      <c r="D2574" s="15" t="n"/>
      <c r="E2574" s="23" t="n"/>
      <c r="F2574" s="15" t="n"/>
      <c r="G2574" s="23" t="n"/>
      <c r="H2574" s="25" t="n"/>
      <c r="I2574" s="15" t="n"/>
      <c r="J2574" s="26">
        <f>IF($A2574="","",LEN($C2574)-LEN(SUBSTITUTE($C2574,",",""))+1)</f>
        <v/>
      </c>
      <c r="K2574" s="26">
        <f>IF($A2574="","",SUMPRODUCT(--ISNUMBER(SEARCH('Category Dictionary'!$D$5:$D$135&amp;"",$C2574)),--('Category Dictionary'!$D$5:$D$135&lt;&gt;"")))</f>
        <v/>
      </c>
      <c r="L2574" s="27">
        <f>IF($A2574="","",TRIM(IF(ISERROR(FIND(",",$C2574)),$C2574,LEFT($C2574,FIND(",",$C2574)-1))))</f>
        <v/>
      </c>
      <c r="M2574" s="28">
        <f>IF($H2574="","",DATE(YEAR($H2574),MONTH($H2574),1))</f>
        <v/>
      </c>
      <c r="N2574" s="26">
        <f>IF($H2574="","",TODAY()-$H2574)</f>
        <v/>
      </c>
      <c r="O2574" s="15" t="n"/>
      <c r="P2574" s="15" t="n"/>
      <c r="Q2574" s="15" t="n"/>
      <c r="R2574" s="25" t="n"/>
      <c r="S2574" s="26">
        <f>IF($A2574="","",AND(OR('Assignment Builder'!$B$5="",$B2574='Assignment Builder'!$B$5),OR('Assignment Builder'!$B$6="",ISNUMBER(SEARCH('Assignment Builder'!$B$6,$C2574))),OR('Assignment Builder'!$B$7="",'Assignment Builder'!$B$7=IFERROR(INDEX('Category Dictionary'!$C$5:$C$135,MATCH($L2574,'Category Dictionary'!$D$5:$D$135,0)),"")),OR('Assignment Builder'!$B$8="",$D2574='Assignment Builder'!$B$8),OR('Assignment Builder'!$B$9="",$F2574='Assignment Builder'!$B$9),OR('Assignment Builder'!$B$10="",$O2574='Assignment Builder'!$B$10),OR('Assignment Builder'!$B$11="",$H2574&gt;='Assignment Builder'!$B$11),OR('Assignment Builder'!$B$12="",N($Q2574)&lt;='Assignment Builder'!$B$12)))</f>
        <v/>
      </c>
      <c r="T2574" s="23" t="n"/>
    </row>
    <row r="2575">
      <c r="A2575" s="23" t="n"/>
      <c r="B2575" s="23" t="n"/>
      <c r="C2575" s="24" t="n"/>
      <c r="D2575" s="15" t="n"/>
      <c r="E2575" s="23" t="n"/>
      <c r="F2575" s="15" t="n"/>
      <c r="G2575" s="23" t="n"/>
      <c r="H2575" s="25" t="n"/>
      <c r="I2575" s="15" t="n"/>
      <c r="J2575" s="26">
        <f>IF($A2575="","",LEN($C2575)-LEN(SUBSTITUTE($C2575,",",""))+1)</f>
        <v/>
      </c>
      <c r="K2575" s="26">
        <f>IF($A2575="","",SUMPRODUCT(--ISNUMBER(SEARCH('Category Dictionary'!$D$5:$D$135&amp;"",$C2575)),--('Category Dictionary'!$D$5:$D$135&lt;&gt;"")))</f>
        <v/>
      </c>
      <c r="L2575" s="27">
        <f>IF($A2575="","",TRIM(IF(ISERROR(FIND(",",$C2575)),$C2575,LEFT($C2575,FIND(",",$C2575)-1))))</f>
        <v/>
      </c>
      <c r="M2575" s="28">
        <f>IF($H2575="","",DATE(YEAR($H2575),MONTH($H2575),1))</f>
        <v/>
      </c>
      <c r="N2575" s="26">
        <f>IF($H2575="","",TODAY()-$H2575)</f>
        <v/>
      </c>
      <c r="O2575" s="15" t="n"/>
      <c r="P2575" s="15" t="n"/>
      <c r="Q2575" s="15" t="n"/>
      <c r="R2575" s="25" t="n"/>
      <c r="S2575" s="26">
        <f>IF($A2575="","",AND(OR('Assignment Builder'!$B$5="",$B2575='Assignment Builder'!$B$5),OR('Assignment Builder'!$B$6="",ISNUMBER(SEARCH('Assignment Builder'!$B$6,$C2575))),OR('Assignment Builder'!$B$7="",'Assignment Builder'!$B$7=IFERROR(INDEX('Category Dictionary'!$C$5:$C$135,MATCH($L2575,'Category Dictionary'!$D$5:$D$135,0)),"")),OR('Assignment Builder'!$B$8="",$D2575='Assignment Builder'!$B$8),OR('Assignment Builder'!$B$9="",$F2575='Assignment Builder'!$B$9),OR('Assignment Builder'!$B$10="",$O2575='Assignment Builder'!$B$10),OR('Assignment Builder'!$B$11="",$H2575&gt;='Assignment Builder'!$B$11),OR('Assignment Builder'!$B$12="",N($Q2575)&lt;='Assignment Builder'!$B$12)))</f>
        <v/>
      </c>
      <c r="T2575" s="23" t="n"/>
    </row>
    <row r="2576">
      <c r="A2576" s="23" t="n"/>
      <c r="B2576" s="23" t="n"/>
      <c r="C2576" s="24" t="n"/>
      <c r="D2576" s="15" t="n"/>
      <c r="E2576" s="23" t="n"/>
      <c r="F2576" s="15" t="n"/>
      <c r="G2576" s="23" t="n"/>
      <c r="H2576" s="25" t="n"/>
      <c r="I2576" s="15" t="n"/>
      <c r="J2576" s="26">
        <f>IF($A2576="","",LEN($C2576)-LEN(SUBSTITUTE($C2576,",",""))+1)</f>
        <v/>
      </c>
      <c r="K2576" s="26">
        <f>IF($A2576="","",SUMPRODUCT(--ISNUMBER(SEARCH('Category Dictionary'!$D$5:$D$135&amp;"",$C2576)),--('Category Dictionary'!$D$5:$D$135&lt;&gt;"")))</f>
        <v/>
      </c>
      <c r="L2576" s="27">
        <f>IF($A2576="","",TRIM(IF(ISERROR(FIND(",",$C2576)),$C2576,LEFT($C2576,FIND(",",$C2576)-1))))</f>
        <v/>
      </c>
      <c r="M2576" s="28">
        <f>IF($H2576="","",DATE(YEAR($H2576),MONTH($H2576),1))</f>
        <v/>
      </c>
      <c r="N2576" s="26">
        <f>IF($H2576="","",TODAY()-$H2576)</f>
        <v/>
      </c>
      <c r="O2576" s="15" t="n"/>
      <c r="P2576" s="15" t="n"/>
      <c r="Q2576" s="15" t="n"/>
      <c r="R2576" s="25" t="n"/>
      <c r="S2576" s="26">
        <f>IF($A2576="","",AND(OR('Assignment Builder'!$B$5="",$B2576='Assignment Builder'!$B$5),OR('Assignment Builder'!$B$6="",ISNUMBER(SEARCH('Assignment Builder'!$B$6,$C2576))),OR('Assignment Builder'!$B$7="",'Assignment Builder'!$B$7=IFERROR(INDEX('Category Dictionary'!$C$5:$C$135,MATCH($L2576,'Category Dictionary'!$D$5:$D$135,0)),"")),OR('Assignment Builder'!$B$8="",$D2576='Assignment Builder'!$B$8),OR('Assignment Builder'!$B$9="",$F2576='Assignment Builder'!$B$9),OR('Assignment Builder'!$B$10="",$O2576='Assignment Builder'!$B$10),OR('Assignment Builder'!$B$11="",$H2576&gt;='Assignment Builder'!$B$11),OR('Assignment Builder'!$B$12="",N($Q2576)&lt;='Assignment Builder'!$B$12)))</f>
        <v/>
      </c>
      <c r="T2576" s="23" t="n"/>
    </row>
    <row r="2577">
      <c r="A2577" s="23" t="n"/>
      <c r="B2577" s="23" t="n"/>
      <c r="C2577" s="24" t="n"/>
      <c r="D2577" s="15" t="n"/>
      <c r="E2577" s="23" t="n"/>
      <c r="F2577" s="15" t="n"/>
      <c r="G2577" s="23" t="n"/>
      <c r="H2577" s="25" t="n"/>
      <c r="I2577" s="15" t="n"/>
      <c r="J2577" s="26">
        <f>IF($A2577="","",LEN($C2577)-LEN(SUBSTITUTE($C2577,",",""))+1)</f>
        <v/>
      </c>
      <c r="K2577" s="26">
        <f>IF($A2577="","",SUMPRODUCT(--ISNUMBER(SEARCH('Category Dictionary'!$D$5:$D$135&amp;"",$C2577)),--('Category Dictionary'!$D$5:$D$135&lt;&gt;"")))</f>
        <v/>
      </c>
      <c r="L2577" s="27">
        <f>IF($A2577="","",TRIM(IF(ISERROR(FIND(",",$C2577)),$C2577,LEFT($C2577,FIND(",",$C2577)-1))))</f>
        <v/>
      </c>
      <c r="M2577" s="28">
        <f>IF($H2577="","",DATE(YEAR($H2577),MONTH($H2577),1))</f>
        <v/>
      </c>
      <c r="N2577" s="26">
        <f>IF($H2577="","",TODAY()-$H2577)</f>
        <v/>
      </c>
      <c r="O2577" s="15" t="n"/>
      <c r="P2577" s="15" t="n"/>
      <c r="Q2577" s="15" t="n"/>
      <c r="R2577" s="25" t="n"/>
      <c r="S2577" s="26">
        <f>IF($A2577="","",AND(OR('Assignment Builder'!$B$5="",$B2577='Assignment Builder'!$B$5),OR('Assignment Builder'!$B$6="",ISNUMBER(SEARCH('Assignment Builder'!$B$6,$C2577))),OR('Assignment Builder'!$B$7="",'Assignment Builder'!$B$7=IFERROR(INDEX('Category Dictionary'!$C$5:$C$135,MATCH($L2577,'Category Dictionary'!$D$5:$D$135,0)),"")),OR('Assignment Builder'!$B$8="",$D2577='Assignment Builder'!$B$8),OR('Assignment Builder'!$B$9="",$F2577='Assignment Builder'!$B$9),OR('Assignment Builder'!$B$10="",$O2577='Assignment Builder'!$B$10),OR('Assignment Builder'!$B$11="",$H2577&gt;='Assignment Builder'!$B$11),OR('Assignment Builder'!$B$12="",N($Q2577)&lt;='Assignment Builder'!$B$12)))</f>
        <v/>
      </c>
      <c r="T2577" s="23" t="n"/>
    </row>
    <row r="2578">
      <c r="A2578" s="23" t="n"/>
      <c r="B2578" s="23" t="n"/>
      <c r="C2578" s="24" t="n"/>
      <c r="D2578" s="15" t="n"/>
      <c r="E2578" s="23" t="n"/>
      <c r="F2578" s="15" t="n"/>
      <c r="G2578" s="23" t="n"/>
      <c r="H2578" s="25" t="n"/>
      <c r="I2578" s="15" t="n"/>
      <c r="J2578" s="26">
        <f>IF($A2578="","",LEN($C2578)-LEN(SUBSTITUTE($C2578,",",""))+1)</f>
        <v/>
      </c>
      <c r="K2578" s="26">
        <f>IF($A2578="","",SUMPRODUCT(--ISNUMBER(SEARCH('Category Dictionary'!$D$5:$D$135&amp;"",$C2578)),--('Category Dictionary'!$D$5:$D$135&lt;&gt;"")))</f>
        <v/>
      </c>
      <c r="L2578" s="27">
        <f>IF($A2578="","",TRIM(IF(ISERROR(FIND(",",$C2578)),$C2578,LEFT($C2578,FIND(",",$C2578)-1))))</f>
        <v/>
      </c>
      <c r="M2578" s="28">
        <f>IF($H2578="","",DATE(YEAR($H2578),MONTH($H2578),1))</f>
        <v/>
      </c>
      <c r="N2578" s="26">
        <f>IF($H2578="","",TODAY()-$H2578)</f>
        <v/>
      </c>
      <c r="O2578" s="15" t="n"/>
      <c r="P2578" s="15" t="n"/>
      <c r="Q2578" s="15" t="n"/>
      <c r="R2578" s="25" t="n"/>
      <c r="S2578" s="26">
        <f>IF($A2578="","",AND(OR('Assignment Builder'!$B$5="",$B2578='Assignment Builder'!$B$5),OR('Assignment Builder'!$B$6="",ISNUMBER(SEARCH('Assignment Builder'!$B$6,$C2578))),OR('Assignment Builder'!$B$7="",'Assignment Builder'!$B$7=IFERROR(INDEX('Category Dictionary'!$C$5:$C$135,MATCH($L2578,'Category Dictionary'!$D$5:$D$135,0)),"")),OR('Assignment Builder'!$B$8="",$D2578='Assignment Builder'!$B$8),OR('Assignment Builder'!$B$9="",$F2578='Assignment Builder'!$B$9),OR('Assignment Builder'!$B$10="",$O2578='Assignment Builder'!$B$10),OR('Assignment Builder'!$B$11="",$H2578&gt;='Assignment Builder'!$B$11),OR('Assignment Builder'!$B$12="",N($Q2578)&lt;='Assignment Builder'!$B$12)))</f>
        <v/>
      </c>
      <c r="T2578" s="23" t="n"/>
    </row>
    <row r="2579">
      <c r="A2579" s="23" t="n"/>
      <c r="B2579" s="23" t="n"/>
      <c r="C2579" s="24" t="n"/>
      <c r="D2579" s="15" t="n"/>
      <c r="E2579" s="23" t="n"/>
      <c r="F2579" s="15" t="n"/>
      <c r="G2579" s="23" t="n"/>
      <c r="H2579" s="25" t="n"/>
      <c r="I2579" s="15" t="n"/>
      <c r="J2579" s="26">
        <f>IF($A2579="","",LEN($C2579)-LEN(SUBSTITUTE($C2579,",",""))+1)</f>
        <v/>
      </c>
      <c r="K2579" s="26">
        <f>IF($A2579="","",SUMPRODUCT(--ISNUMBER(SEARCH('Category Dictionary'!$D$5:$D$135&amp;"",$C2579)),--('Category Dictionary'!$D$5:$D$135&lt;&gt;"")))</f>
        <v/>
      </c>
      <c r="L2579" s="27">
        <f>IF($A2579="","",TRIM(IF(ISERROR(FIND(",",$C2579)),$C2579,LEFT($C2579,FIND(",",$C2579)-1))))</f>
        <v/>
      </c>
      <c r="M2579" s="28">
        <f>IF($H2579="","",DATE(YEAR($H2579),MONTH($H2579),1))</f>
        <v/>
      </c>
      <c r="N2579" s="26">
        <f>IF($H2579="","",TODAY()-$H2579)</f>
        <v/>
      </c>
      <c r="O2579" s="15" t="n"/>
      <c r="P2579" s="15" t="n"/>
      <c r="Q2579" s="15" t="n"/>
      <c r="R2579" s="25" t="n"/>
      <c r="S2579" s="26">
        <f>IF($A2579="","",AND(OR('Assignment Builder'!$B$5="",$B2579='Assignment Builder'!$B$5),OR('Assignment Builder'!$B$6="",ISNUMBER(SEARCH('Assignment Builder'!$B$6,$C2579))),OR('Assignment Builder'!$B$7="",'Assignment Builder'!$B$7=IFERROR(INDEX('Category Dictionary'!$C$5:$C$135,MATCH($L2579,'Category Dictionary'!$D$5:$D$135,0)),"")),OR('Assignment Builder'!$B$8="",$D2579='Assignment Builder'!$B$8),OR('Assignment Builder'!$B$9="",$F2579='Assignment Builder'!$B$9),OR('Assignment Builder'!$B$10="",$O2579='Assignment Builder'!$B$10),OR('Assignment Builder'!$B$11="",$H2579&gt;='Assignment Builder'!$B$11),OR('Assignment Builder'!$B$12="",N($Q2579)&lt;='Assignment Builder'!$B$12)))</f>
        <v/>
      </c>
      <c r="T2579" s="23" t="n"/>
    </row>
    <row r="2580">
      <c r="A2580" s="23" t="n"/>
      <c r="B2580" s="23" t="n"/>
      <c r="C2580" s="24" t="n"/>
      <c r="D2580" s="15" t="n"/>
      <c r="E2580" s="23" t="n"/>
      <c r="F2580" s="15" t="n"/>
      <c r="G2580" s="23" t="n"/>
      <c r="H2580" s="25" t="n"/>
      <c r="I2580" s="15" t="n"/>
      <c r="J2580" s="26">
        <f>IF($A2580="","",LEN($C2580)-LEN(SUBSTITUTE($C2580,",",""))+1)</f>
        <v/>
      </c>
      <c r="K2580" s="26">
        <f>IF($A2580="","",SUMPRODUCT(--ISNUMBER(SEARCH('Category Dictionary'!$D$5:$D$135&amp;"",$C2580)),--('Category Dictionary'!$D$5:$D$135&lt;&gt;"")))</f>
        <v/>
      </c>
      <c r="L2580" s="27">
        <f>IF($A2580="","",TRIM(IF(ISERROR(FIND(",",$C2580)),$C2580,LEFT($C2580,FIND(",",$C2580)-1))))</f>
        <v/>
      </c>
      <c r="M2580" s="28">
        <f>IF($H2580="","",DATE(YEAR($H2580),MONTH($H2580),1))</f>
        <v/>
      </c>
      <c r="N2580" s="26">
        <f>IF($H2580="","",TODAY()-$H2580)</f>
        <v/>
      </c>
      <c r="O2580" s="15" t="n"/>
      <c r="P2580" s="15" t="n"/>
      <c r="Q2580" s="15" t="n"/>
      <c r="R2580" s="25" t="n"/>
      <c r="S2580" s="26">
        <f>IF($A2580="","",AND(OR('Assignment Builder'!$B$5="",$B2580='Assignment Builder'!$B$5),OR('Assignment Builder'!$B$6="",ISNUMBER(SEARCH('Assignment Builder'!$B$6,$C2580))),OR('Assignment Builder'!$B$7="",'Assignment Builder'!$B$7=IFERROR(INDEX('Category Dictionary'!$C$5:$C$135,MATCH($L2580,'Category Dictionary'!$D$5:$D$135,0)),"")),OR('Assignment Builder'!$B$8="",$D2580='Assignment Builder'!$B$8),OR('Assignment Builder'!$B$9="",$F2580='Assignment Builder'!$B$9),OR('Assignment Builder'!$B$10="",$O2580='Assignment Builder'!$B$10),OR('Assignment Builder'!$B$11="",$H2580&gt;='Assignment Builder'!$B$11),OR('Assignment Builder'!$B$12="",N($Q2580)&lt;='Assignment Builder'!$B$12)))</f>
        <v/>
      </c>
      <c r="T2580" s="23" t="n"/>
    </row>
    <row r="2581">
      <c r="A2581" s="23" t="n"/>
      <c r="B2581" s="23" t="n"/>
      <c r="C2581" s="24" t="n"/>
      <c r="D2581" s="15" t="n"/>
      <c r="E2581" s="23" t="n"/>
      <c r="F2581" s="15" t="n"/>
      <c r="G2581" s="23" t="n"/>
      <c r="H2581" s="25" t="n"/>
      <c r="I2581" s="15" t="n"/>
      <c r="J2581" s="26">
        <f>IF($A2581="","",LEN($C2581)-LEN(SUBSTITUTE($C2581,",",""))+1)</f>
        <v/>
      </c>
      <c r="K2581" s="26">
        <f>IF($A2581="","",SUMPRODUCT(--ISNUMBER(SEARCH('Category Dictionary'!$D$5:$D$135&amp;"",$C2581)),--('Category Dictionary'!$D$5:$D$135&lt;&gt;"")))</f>
        <v/>
      </c>
      <c r="L2581" s="27">
        <f>IF($A2581="","",TRIM(IF(ISERROR(FIND(",",$C2581)),$C2581,LEFT($C2581,FIND(",",$C2581)-1))))</f>
        <v/>
      </c>
      <c r="M2581" s="28">
        <f>IF($H2581="","",DATE(YEAR($H2581),MONTH($H2581),1))</f>
        <v/>
      </c>
      <c r="N2581" s="26">
        <f>IF($H2581="","",TODAY()-$H2581)</f>
        <v/>
      </c>
      <c r="O2581" s="15" t="n"/>
      <c r="P2581" s="15" t="n"/>
      <c r="Q2581" s="15" t="n"/>
      <c r="R2581" s="25" t="n"/>
      <c r="S2581" s="26">
        <f>IF($A2581="","",AND(OR('Assignment Builder'!$B$5="",$B2581='Assignment Builder'!$B$5),OR('Assignment Builder'!$B$6="",ISNUMBER(SEARCH('Assignment Builder'!$B$6,$C2581))),OR('Assignment Builder'!$B$7="",'Assignment Builder'!$B$7=IFERROR(INDEX('Category Dictionary'!$C$5:$C$135,MATCH($L2581,'Category Dictionary'!$D$5:$D$135,0)),"")),OR('Assignment Builder'!$B$8="",$D2581='Assignment Builder'!$B$8),OR('Assignment Builder'!$B$9="",$F2581='Assignment Builder'!$B$9),OR('Assignment Builder'!$B$10="",$O2581='Assignment Builder'!$B$10),OR('Assignment Builder'!$B$11="",$H2581&gt;='Assignment Builder'!$B$11),OR('Assignment Builder'!$B$12="",N($Q2581)&lt;='Assignment Builder'!$B$12)))</f>
        <v/>
      </c>
      <c r="T2581" s="23" t="n"/>
    </row>
    <row r="2582">
      <c r="A2582" s="23" t="n"/>
      <c r="B2582" s="23" t="n"/>
      <c r="C2582" s="24" t="n"/>
      <c r="D2582" s="15" t="n"/>
      <c r="E2582" s="23" t="n"/>
      <c r="F2582" s="15" t="n"/>
      <c r="G2582" s="23" t="n"/>
      <c r="H2582" s="25" t="n"/>
      <c r="I2582" s="15" t="n"/>
      <c r="J2582" s="26">
        <f>IF($A2582="","",LEN($C2582)-LEN(SUBSTITUTE($C2582,",",""))+1)</f>
        <v/>
      </c>
      <c r="K2582" s="26">
        <f>IF($A2582="","",SUMPRODUCT(--ISNUMBER(SEARCH('Category Dictionary'!$D$5:$D$135&amp;"",$C2582)),--('Category Dictionary'!$D$5:$D$135&lt;&gt;"")))</f>
        <v/>
      </c>
      <c r="L2582" s="27">
        <f>IF($A2582="","",TRIM(IF(ISERROR(FIND(",",$C2582)),$C2582,LEFT($C2582,FIND(",",$C2582)-1))))</f>
        <v/>
      </c>
      <c r="M2582" s="28">
        <f>IF($H2582="","",DATE(YEAR($H2582),MONTH($H2582),1))</f>
        <v/>
      </c>
      <c r="N2582" s="26">
        <f>IF($H2582="","",TODAY()-$H2582)</f>
        <v/>
      </c>
      <c r="O2582" s="15" t="n"/>
      <c r="P2582" s="15" t="n"/>
      <c r="Q2582" s="15" t="n"/>
      <c r="R2582" s="25" t="n"/>
      <c r="S2582" s="26">
        <f>IF($A2582="","",AND(OR('Assignment Builder'!$B$5="",$B2582='Assignment Builder'!$B$5),OR('Assignment Builder'!$B$6="",ISNUMBER(SEARCH('Assignment Builder'!$B$6,$C2582))),OR('Assignment Builder'!$B$7="",'Assignment Builder'!$B$7=IFERROR(INDEX('Category Dictionary'!$C$5:$C$135,MATCH($L2582,'Category Dictionary'!$D$5:$D$135,0)),"")),OR('Assignment Builder'!$B$8="",$D2582='Assignment Builder'!$B$8),OR('Assignment Builder'!$B$9="",$F2582='Assignment Builder'!$B$9),OR('Assignment Builder'!$B$10="",$O2582='Assignment Builder'!$B$10),OR('Assignment Builder'!$B$11="",$H2582&gt;='Assignment Builder'!$B$11),OR('Assignment Builder'!$B$12="",N($Q2582)&lt;='Assignment Builder'!$B$12)))</f>
        <v/>
      </c>
      <c r="T2582" s="23" t="n"/>
    </row>
    <row r="2583">
      <c r="A2583" s="23" t="n"/>
      <c r="B2583" s="23" t="n"/>
      <c r="C2583" s="24" t="n"/>
      <c r="D2583" s="15" t="n"/>
      <c r="E2583" s="23" t="n"/>
      <c r="F2583" s="15" t="n"/>
      <c r="G2583" s="23" t="n"/>
      <c r="H2583" s="25" t="n"/>
      <c r="I2583" s="15" t="n"/>
      <c r="J2583" s="26">
        <f>IF($A2583="","",LEN($C2583)-LEN(SUBSTITUTE($C2583,",",""))+1)</f>
        <v/>
      </c>
      <c r="K2583" s="26">
        <f>IF($A2583="","",SUMPRODUCT(--ISNUMBER(SEARCH('Category Dictionary'!$D$5:$D$135&amp;"",$C2583)),--('Category Dictionary'!$D$5:$D$135&lt;&gt;"")))</f>
        <v/>
      </c>
      <c r="L2583" s="27">
        <f>IF($A2583="","",TRIM(IF(ISERROR(FIND(",",$C2583)),$C2583,LEFT($C2583,FIND(",",$C2583)-1))))</f>
        <v/>
      </c>
      <c r="M2583" s="28">
        <f>IF($H2583="","",DATE(YEAR($H2583),MONTH($H2583),1))</f>
        <v/>
      </c>
      <c r="N2583" s="26">
        <f>IF($H2583="","",TODAY()-$H2583)</f>
        <v/>
      </c>
      <c r="O2583" s="15" t="n"/>
      <c r="P2583" s="15" t="n"/>
      <c r="Q2583" s="15" t="n"/>
      <c r="R2583" s="25" t="n"/>
      <c r="S2583" s="26">
        <f>IF($A2583="","",AND(OR('Assignment Builder'!$B$5="",$B2583='Assignment Builder'!$B$5),OR('Assignment Builder'!$B$6="",ISNUMBER(SEARCH('Assignment Builder'!$B$6,$C2583))),OR('Assignment Builder'!$B$7="",'Assignment Builder'!$B$7=IFERROR(INDEX('Category Dictionary'!$C$5:$C$135,MATCH($L2583,'Category Dictionary'!$D$5:$D$135,0)),"")),OR('Assignment Builder'!$B$8="",$D2583='Assignment Builder'!$B$8),OR('Assignment Builder'!$B$9="",$F2583='Assignment Builder'!$B$9),OR('Assignment Builder'!$B$10="",$O2583='Assignment Builder'!$B$10),OR('Assignment Builder'!$B$11="",$H2583&gt;='Assignment Builder'!$B$11),OR('Assignment Builder'!$B$12="",N($Q2583)&lt;='Assignment Builder'!$B$12)))</f>
        <v/>
      </c>
      <c r="T2583" s="23" t="n"/>
    </row>
    <row r="2584">
      <c r="A2584" s="23" t="n"/>
      <c r="B2584" s="23" t="n"/>
      <c r="C2584" s="24" t="n"/>
      <c r="D2584" s="15" t="n"/>
      <c r="E2584" s="23" t="n"/>
      <c r="F2584" s="15" t="n"/>
      <c r="G2584" s="23" t="n"/>
      <c r="H2584" s="25" t="n"/>
      <c r="I2584" s="15" t="n"/>
      <c r="J2584" s="26">
        <f>IF($A2584="","",LEN($C2584)-LEN(SUBSTITUTE($C2584,",",""))+1)</f>
        <v/>
      </c>
      <c r="K2584" s="26">
        <f>IF($A2584="","",SUMPRODUCT(--ISNUMBER(SEARCH('Category Dictionary'!$D$5:$D$135&amp;"",$C2584)),--('Category Dictionary'!$D$5:$D$135&lt;&gt;"")))</f>
        <v/>
      </c>
      <c r="L2584" s="27">
        <f>IF($A2584="","",TRIM(IF(ISERROR(FIND(",",$C2584)),$C2584,LEFT($C2584,FIND(",",$C2584)-1))))</f>
        <v/>
      </c>
      <c r="M2584" s="28">
        <f>IF($H2584="","",DATE(YEAR($H2584),MONTH($H2584),1))</f>
        <v/>
      </c>
      <c r="N2584" s="26">
        <f>IF($H2584="","",TODAY()-$H2584)</f>
        <v/>
      </c>
      <c r="O2584" s="15" t="n"/>
      <c r="P2584" s="15" t="n"/>
      <c r="Q2584" s="15" t="n"/>
      <c r="R2584" s="25" t="n"/>
      <c r="S2584" s="26">
        <f>IF($A2584="","",AND(OR('Assignment Builder'!$B$5="",$B2584='Assignment Builder'!$B$5),OR('Assignment Builder'!$B$6="",ISNUMBER(SEARCH('Assignment Builder'!$B$6,$C2584))),OR('Assignment Builder'!$B$7="",'Assignment Builder'!$B$7=IFERROR(INDEX('Category Dictionary'!$C$5:$C$135,MATCH($L2584,'Category Dictionary'!$D$5:$D$135,0)),"")),OR('Assignment Builder'!$B$8="",$D2584='Assignment Builder'!$B$8),OR('Assignment Builder'!$B$9="",$F2584='Assignment Builder'!$B$9),OR('Assignment Builder'!$B$10="",$O2584='Assignment Builder'!$B$10),OR('Assignment Builder'!$B$11="",$H2584&gt;='Assignment Builder'!$B$11),OR('Assignment Builder'!$B$12="",N($Q2584)&lt;='Assignment Builder'!$B$12)))</f>
        <v/>
      </c>
      <c r="T2584" s="23" t="n"/>
    </row>
    <row r="2585">
      <c r="A2585" s="23" t="n"/>
      <c r="B2585" s="23" t="n"/>
      <c r="C2585" s="24" t="n"/>
      <c r="D2585" s="15" t="n"/>
      <c r="E2585" s="23" t="n"/>
      <c r="F2585" s="15" t="n"/>
      <c r="G2585" s="23" t="n"/>
      <c r="H2585" s="25" t="n"/>
      <c r="I2585" s="15" t="n"/>
      <c r="J2585" s="26">
        <f>IF($A2585="","",LEN($C2585)-LEN(SUBSTITUTE($C2585,",",""))+1)</f>
        <v/>
      </c>
      <c r="K2585" s="26">
        <f>IF($A2585="","",SUMPRODUCT(--ISNUMBER(SEARCH('Category Dictionary'!$D$5:$D$135&amp;"",$C2585)),--('Category Dictionary'!$D$5:$D$135&lt;&gt;"")))</f>
        <v/>
      </c>
      <c r="L2585" s="27">
        <f>IF($A2585="","",TRIM(IF(ISERROR(FIND(",",$C2585)),$C2585,LEFT($C2585,FIND(",",$C2585)-1))))</f>
        <v/>
      </c>
      <c r="M2585" s="28">
        <f>IF($H2585="","",DATE(YEAR($H2585),MONTH($H2585),1))</f>
        <v/>
      </c>
      <c r="N2585" s="26">
        <f>IF($H2585="","",TODAY()-$H2585)</f>
        <v/>
      </c>
      <c r="O2585" s="15" t="n"/>
      <c r="P2585" s="15" t="n"/>
      <c r="Q2585" s="15" t="n"/>
      <c r="R2585" s="25" t="n"/>
      <c r="S2585" s="26">
        <f>IF($A2585="","",AND(OR('Assignment Builder'!$B$5="",$B2585='Assignment Builder'!$B$5),OR('Assignment Builder'!$B$6="",ISNUMBER(SEARCH('Assignment Builder'!$B$6,$C2585))),OR('Assignment Builder'!$B$7="",'Assignment Builder'!$B$7=IFERROR(INDEX('Category Dictionary'!$C$5:$C$135,MATCH($L2585,'Category Dictionary'!$D$5:$D$135,0)),"")),OR('Assignment Builder'!$B$8="",$D2585='Assignment Builder'!$B$8),OR('Assignment Builder'!$B$9="",$F2585='Assignment Builder'!$B$9),OR('Assignment Builder'!$B$10="",$O2585='Assignment Builder'!$B$10),OR('Assignment Builder'!$B$11="",$H2585&gt;='Assignment Builder'!$B$11),OR('Assignment Builder'!$B$12="",N($Q2585)&lt;='Assignment Builder'!$B$12)))</f>
        <v/>
      </c>
      <c r="T2585" s="23" t="n"/>
    </row>
    <row r="2586">
      <c r="A2586" s="23" t="n"/>
      <c r="B2586" s="23" t="n"/>
      <c r="C2586" s="24" t="n"/>
      <c r="D2586" s="15" t="n"/>
      <c r="E2586" s="23" t="n"/>
      <c r="F2586" s="15" t="n"/>
      <c r="G2586" s="23" t="n"/>
      <c r="H2586" s="25" t="n"/>
      <c r="I2586" s="15" t="n"/>
      <c r="J2586" s="26">
        <f>IF($A2586="","",LEN($C2586)-LEN(SUBSTITUTE($C2586,",",""))+1)</f>
        <v/>
      </c>
      <c r="K2586" s="26">
        <f>IF($A2586="","",SUMPRODUCT(--ISNUMBER(SEARCH('Category Dictionary'!$D$5:$D$135&amp;"",$C2586)),--('Category Dictionary'!$D$5:$D$135&lt;&gt;"")))</f>
        <v/>
      </c>
      <c r="L2586" s="27">
        <f>IF($A2586="","",TRIM(IF(ISERROR(FIND(",",$C2586)),$C2586,LEFT($C2586,FIND(",",$C2586)-1))))</f>
        <v/>
      </c>
      <c r="M2586" s="28">
        <f>IF($H2586="","",DATE(YEAR($H2586),MONTH($H2586),1))</f>
        <v/>
      </c>
      <c r="N2586" s="26">
        <f>IF($H2586="","",TODAY()-$H2586)</f>
        <v/>
      </c>
      <c r="O2586" s="15" t="n"/>
      <c r="P2586" s="15" t="n"/>
      <c r="Q2586" s="15" t="n"/>
      <c r="R2586" s="25" t="n"/>
      <c r="S2586" s="26">
        <f>IF($A2586="","",AND(OR('Assignment Builder'!$B$5="",$B2586='Assignment Builder'!$B$5),OR('Assignment Builder'!$B$6="",ISNUMBER(SEARCH('Assignment Builder'!$B$6,$C2586))),OR('Assignment Builder'!$B$7="",'Assignment Builder'!$B$7=IFERROR(INDEX('Category Dictionary'!$C$5:$C$135,MATCH($L2586,'Category Dictionary'!$D$5:$D$135,0)),"")),OR('Assignment Builder'!$B$8="",$D2586='Assignment Builder'!$B$8),OR('Assignment Builder'!$B$9="",$F2586='Assignment Builder'!$B$9),OR('Assignment Builder'!$B$10="",$O2586='Assignment Builder'!$B$10),OR('Assignment Builder'!$B$11="",$H2586&gt;='Assignment Builder'!$B$11),OR('Assignment Builder'!$B$12="",N($Q2586)&lt;='Assignment Builder'!$B$12)))</f>
        <v/>
      </c>
      <c r="T2586" s="23" t="n"/>
    </row>
    <row r="2587">
      <c r="A2587" s="23" t="n"/>
      <c r="B2587" s="23" t="n"/>
      <c r="C2587" s="24" t="n"/>
      <c r="D2587" s="15" t="n"/>
      <c r="E2587" s="23" t="n"/>
      <c r="F2587" s="15" t="n"/>
      <c r="G2587" s="23" t="n"/>
      <c r="H2587" s="25" t="n"/>
      <c r="I2587" s="15" t="n"/>
      <c r="J2587" s="26">
        <f>IF($A2587="","",LEN($C2587)-LEN(SUBSTITUTE($C2587,",",""))+1)</f>
        <v/>
      </c>
      <c r="K2587" s="26">
        <f>IF($A2587="","",SUMPRODUCT(--ISNUMBER(SEARCH('Category Dictionary'!$D$5:$D$135&amp;"",$C2587)),--('Category Dictionary'!$D$5:$D$135&lt;&gt;"")))</f>
        <v/>
      </c>
      <c r="L2587" s="27">
        <f>IF($A2587="","",TRIM(IF(ISERROR(FIND(",",$C2587)),$C2587,LEFT($C2587,FIND(",",$C2587)-1))))</f>
        <v/>
      </c>
      <c r="M2587" s="28">
        <f>IF($H2587="","",DATE(YEAR($H2587),MONTH($H2587),1))</f>
        <v/>
      </c>
      <c r="N2587" s="26">
        <f>IF($H2587="","",TODAY()-$H2587)</f>
        <v/>
      </c>
      <c r="O2587" s="15" t="n"/>
      <c r="P2587" s="15" t="n"/>
      <c r="Q2587" s="15" t="n"/>
      <c r="R2587" s="25" t="n"/>
      <c r="S2587" s="26">
        <f>IF($A2587="","",AND(OR('Assignment Builder'!$B$5="",$B2587='Assignment Builder'!$B$5),OR('Assignment Builder'!$B$6="",ISNUMBER(SEARCH('Assignment Builder'!$B$6,$C2587))),OR('Assignment Builder'!$B$7="",'Assignment Builder'!$B$7=IFERROR(INDEX('Category Dictionary'!$C$5:$C$135,MATCH($L2587,'Category Dictionary'!$D$5:$D$135,0)),"")),OR('Assignment Builder'!$B$8="",$D2587='Assignment Builder'!$B$8),OR('Assignment Builder'!$B$9="",$F2587='Assignment Builder'!$B$9),OR('Assignment Builder'!$B$10="",$O2587='Assignment Builder'!$B$10),OR('Assignment Builder'!$B$11="",$H2587&gt;='Assignment Builder'!$B$11),OR('Assignment Builder'!$B$12="",N($Q2587)&lt;='Assignment Builder'!$B$12)))</f>
        <v/>
      </c>
      <c r="T2587" s="23" t="n"/>
    </row>
    <row r="2588">
      <c r="A2588" s="23" t="n"/>
      <c r="B2588" s="23" t="n"/>
      <c r="C2588" s="24" t="n"/>
      <c r="D2588" s="15" t="n"/>
      <c r="E2588" s="23" t="n"/>
      <c r="F2588" s="15" t="n"/>
      <c r="G2588" s="23" t="n"/>
      <c r="H2588" s="25" t="n"/>
      <c r="I2588" s="15" t="n"/>
      <c r="J2588" s="26">
        <f>IF($A2588="","",LEN($C2588)-LEN(SUBSTITUTE($C2588,",",""))+1)</f>
        <v/>
      </c>
      <c r="K2588" s="26">
        <f>IF($A2588="","",SUMPRODUCT(--ISNUMBER(SEARCH('Category Dictionary'!$D$5:$D$135&amp;"",$C2588)),--('Category Dictionary'!$D$5:$D$135&lt;&gt;"")))</f>
        <v/>
      </c>
      <c r="L2588" s="27">
        <f>IF($A2588="","",TRIM(IF(ISERROR(FIND(",",$C2588)),$C2588,LEFT($C2588,FIND(",",$C2588)-1))))</f>
        <v/>
      </c>
      <c r="M2588" s="28">
        <f>IF($H2588="","",DATE(YEAR($H2588),MONTH($H2588),1))</f>
        <v/>
      </c>
      <c r="N2588" s="26">
        <f>IF($H2588="","",TODAY()-$H2588)</f>
        <v/>
      </c>
      <c r="O2588" s="15" t="n"/>
      <c r="P2588" s="15" t="n"/>
      <c r="Q2588" s="15" t="n"/>
      <c r="R2588" s="25" t="n"/>
      <c r="S2588" s="26">
        <f>IF($A2588="","",AND(OR('Assignment Builder'!$B$5="",$B2588='Assignment Builder'!$B$5),OR('Assignment Builder'!$B$6="",ISNUMBER(SEARCH('Assignment Builder'!$B$6,$C2588))),OR('Assignment Builder'!$B$7="",'Assignment Builder'!$B$7=IFERROR(INDEX('Category Dictionary'!$C$5:$C$135,MATCH($L2588,'Category Dictionary'!$D$5:$D$135,0)),"")),OR('Assignment Builder'!$B$8="",$D2588='Assignment Builder'!$B$8),OR('Assignment Builder'!$B$9="",$F2588='Assignment Builder'!$B$9),OR('Assignment Builder'!$B$10="",$O2588='Assignment Builder'!$B$10),OR('Assignment Builder'!$B$11="",$H2588&gt;='Assignment Builder'!$B$11),OR('Assignment Builder'!$B$12="",N($Q2588)&lt;='Assignment Builder'!$B$12)))</f>
        <v/>
      </c>
      <c r="T2588" s="23" t="n"/>
    </row>
    <row r="2589">
      <c r="A2589" s="23" t="n"/>
      <c r="B2589" s="23" t="n"/>
      <c r="C2589" s="24" t="n"/>
      <c r="D2589" s="15" t="n"/>
      <c r="E2589" s="23" t="n"/>
      <c r="F2589" s="15" t="n"/>
      <c r="G2589" s="23" t="n"/>
      <c r="H2589" s="25" t="n"/>
      <c r="I2589" s="15" t="n"/>
      <c r="J2589" s="26">
        <f>IF($A2589="","",LEN($C2589)-LEN(SUBSTITUTE($C2589,",",""))+1)</f>
        <v/>
      </c>
      <c r="K2589" s="26">
        <f>IF($A2589="","",SUMPRODUCT(--ISNUMBER(SEARCH('Category Dictionary'!$D$5:$D$135&amp;"",$C2589)),--('Category Dictionary'!$D$5:$D$135&lt;&gt;"")))</f>
        <v/>
      </c>
      <c r="L2589" s="27">
        <f>IF($A2589="","",TRIM(IF(ISERROR(FIND(",",$C2589)),$C2589,LEFT($C2589,FIND(",",$C2589)-1))))</f>
        <v/>
      </c>
      <c r="M2589" s="28">
        <f>IF($H2589="","",DATE(YEAR($H2589),MONTH($H2589),1))</f>
        <v/>
      </c>
      <c r="N2589" s="26">
        <f>IF($H2589="","",TODAY()-$H2589)</f>
        <v/>
      </c>
      <c r="O2589" s="15" t="n"/>
      <c r="P2589" s="15" t="n"/>
      <c r="Q2589" s="15" t="n"/>
      <c r="R2589" s="25" t="n"/>
      <c r="S2589" s="26">
        <f>IF($A2589="","",AND(OR('Assignment Builder'!$B$5="",$B2589='Assignment Builder'!$B$5),OR('Assignment Builder'!$B$6="",ISNUMBER(SEARCH('Assignment Builder'!$B$6,$C2589))),OR('Assignment Builder'!$B$7="",'Assignment Builder'!$B$7=IFERROR(INDEX('Category Dictionary'!$C$5:$C$135,MATCH($L2589,'Category Dictionary'!$D$5:$D$135,0)),"")),OR('Assignment Builder'!$B$8="",$D2589='Assignment Builder'!$B$8),OR('Assignment Builder'!$B$9="",$F2589='Assignment Builder'!$B$9),OR('Assignment Builder'!$B$10="",$O2589='Assignment Builder'!$B$10),OR('Assignment Builder'!$B$11="",$H2589&gt;='Assignment Builder'!$B$11),OR('Assignment Builder'!$B$12="",N($Q2589)&lt;='Assignment Builder'!$B$12)))</f>
        <v/>
      </c>
      <c r="T2589" s="23" t="n"/>
    </row>
    <row r="2590">
      <c r="A2590" s="23" t="n"/>
      <c r="B2590" s="23" t="n"/>
      <c r="C2590" s="24" t="n"/>
      <c r="D2590" s="15" t="n"/>
      <c r="E2590" s="23" t="n"/>
      <c r="F2590" s="15" t="n"/>
      <c r="G2590" s="23" t="n"/>
      <c r="H2590" s="25" t="n"/>
      <c r="I2590" s="15" t="n"/>
      <c r="J2590" s="26">
        <f>IF($A2590="","",LEN($C2590)-LEN(SUBSTITUTE($C2590,",",""))+1)</f>
        <v/>
      </c>
      <c r="K2590" s="26">
        <f>IF($A2590="","",SUMPRODUCT(--ISNUMBER(SEARCH('Category Dictionary'!$D$5:$D$135&amp;"",$C2590)),--('Category Dictionary'!$D$5:$D$135&lt;&gt;"")))</f>
        <v/>
      </c>
      <c r="L2590" s="27">
        <f>IF($A2590="","",TRIM(IF(ISERROR(FIND(",",$C2590)),$C2590,LEFT($C2590,FIND(",",$C2590)-1))))</f>
        <v/>
      </c>
      <c r="M2590" s="28">
        <f>IF($H2590="","",DATE(YEAR($H2590),MONTH($H2590),1))</f>
        <v/>
      </c>
      <c r="N2590" s="26">
        <f>IF($H2590="","",TODAY()-$H2590)</f>
        <v/>
      </c>
      <c r="O2590" s="15" t="n"/>
      <c r="P2590" s="15" t="n"/>
      <c r="Q2590" s="15" t="n"/>
      <c r="R2590" s="25" t="n"/>
      <c r="S2590" s="26">
        <f>IF($A2590="","",AND(OR('Assignment Builder'!$B$5="",$B2590='Assignment Builder'!$B$5),OR('Assignment Builder'!$B$6="",ISNUMBER(SEARCH('Assignment Builder'!$B$6,$C2590))),OR('Assignment Builder'!$B$7="",'Assignment Builder'!$B$7=IFERROR(INDEX('Category Dictionary'!$C$5:$C$135,MATCH($L2590,'Category Dictionary'!$D$5:$D$135,0)),"")),OR('Assignment Builder'!$B$8="",$D2590='Assignment Builder'!$B$8),OR('Assignment Builder'!$B$9="",$F2590='Assignment Builder'!$B$9),OR('Assignment Builder'!$B$10="",$O2590='Assignment Builder'!$B$10),OR('Assignment Builder'!$B$11="",$H2590&gt;='Assignment Builder'!$B$11),OR('Assignment Builder'!$B$12="",N($Q2590)&lt;='Assignment Builder'!$B$12)))</f>
        <v/>
      </c>
      <c r="T2590" s="23" t="n"/>
    </row>
    <row r="2591">
      <c r="A2591" s="23" t="n"/>
      <c r="B2591" s="23" t="n"/>
      <c r="C2591" s="24" t="n"/>
      <c r="D2591" s="15" t="n"/>
      <c r="E2591" s="23" t="n"/>
      <c r="F2591" s="15" t="n"/>
      <c r="G2591" s="23" t="n"/>
      <c r="H2591" s="25" t="n"/>
      <c r="I2591" s="15" t="n"/>
      <c r="J2591" s="26">
        <f>IF($A2591="","",LEN($C2591)-LEN(SUBSTITUTE($C2591,",",""))+1)</f>
        <v/>
      </c>
      <c r="K2591" s="26">
        <f>IF($A2591="","",SUMPRODUCT(--ISNUMBER(SEARCH('Category Dictionary'!$D$5:$D$135&amp;"",$C2591)),--('Category Dictionary'!$D$5:$D$135&lt;&gt;"")))</f>
        <v/>
      </c>
      <c r="L2591" s="27">
        <f>IF($A2591="","",TRIM(IF(ISERROR(FIND(",",$C2591)),$C2591,LEFT($C2591,FIND(",",$C2591)-1))))</f>
        <v/>
      </c>
      <c r="M2591" s="28">
        <f>IF($H2591="","",DATE(YEAR($H2591),MONTH($H2591),1))</f>
        <v/>
      </c>
      <c r="N2591" s="26">
        <f>IF($H2591="","",TODAY()-$H2591)</f>
        <v/>
      </c>
      <c r="O2591" s="15" t="n"/>
      <c r="P2591" s="15" t="n"/>
      <c r="Q2591" s="15" t="n"/>
      <c r="R2591" s="25" t="n"/>
      <c r="S2591" s="26">
        <f>IF($A2591="","",AND(OR('Assignment Builder'!$B$5="",$B2591='Assignment Builder'!$B$5),OR('Assignment Builder'!$B$6="",ISNUMBER(SEARCH('Assignment Builder'!$B$6,$C2591))),OR('Assignment Builder'!$B$7="",'Assignment Builder'!$B$7=IFERROR(INDEX('Category Dictionary'!$C$5:$C$135,MATCH($L2591,'Category Dictionary'!$D$5:$D$135,0)),"")),OR('Assignment Builder'!$B$8="",$D2591='Assignment Builder'!$B$8),OR('Assignment Builder'!$B$9="",$F2591='Assignment Builder'!$B$9),OR('Assignment Builder'!$B$10="",$O2591='Assignment Builder'!$B$10),OR('Assignment Builder'!$B$11="",$H2591&gt;='Assignment Builder'!$B$11),OR('Assignment Builder'!$B$12="",N($Q2591)&lt;='Assignment Builder'!$B$12)))</f>
        <v/>
      </c>
      <c r="T2591" s="23" t="n"/>
    </row>
    <row r="2592">
      <c r="A2592" s="23" t="n"/>
      <c r="B2592" s="23" t="n"/>
      <c r="C2592" s="24" t="n"/>
      <c r="D2592" s="15" t="n"/>
      <c r="E2592" s="23" t="n"/>
      <c r="F2592" s="15" t="n"/>
      <c r="G2592" s="23" t="n"/>
      <c r="H2592" s="25" t="n"/>
      <c r="I2592" s="15" t="n"/>
      <c r="J2592" s="26">
        <f>IF($A2592="","",LEN($C2592)-LEN(SUBSTITUTE($C2592,",",""))+1)</f>
        <v/>
      </c>
      <c r="K2592" s="26">
        <f>IF($A2592="","",SUMPRODUCT(--ISNUMBER(SEARCH('Category Dictionary'!$D$5:$D$135&amp;"",$C2592)),--('Category Dictionary'!$D$5:$D$135&lt;&gt;"")))</f>
        <v/>
      </c>
      <c r="L2592" s="27">
        <f>IF($A2592="","",TRIM(IF(ISERROR(FIND(",",$C2592)),$C2592,LEFT($C2592,FIND(",",$C2592)-1))))</f>
        <v/>
      </c>
      <c r="M2592" s="28">
        <f>IF($H2592="","",DATE(YEAR($H2592),MONTH($H2592),1))</f>
        <v/>
      </c>
      <c r="N2592" s="26">
        <f>IF($H2592="","",TODAY()-$H2592)</f>
        <v/>
      </c>
      <c r="O2592" s="15" t="n"/>
      <c r="P2592" s="15" t="n"/>
      <c r="Q2592" s="15" t="n"/>
      <c r="R2592" s="25" t="n"/>
      <c r="S2592" s="26">
        <f>IF($A2592="","",AND(OR('Assignment Builder'!$B$5="",$B2592='Assignment Builder'!$B$5),OR('Assignment Builder'!$B$6="",ISNUMBER(SEARCH('Assignment Builder'!$B$6,$C2592))),OR('Assignment Builder'!$B$7="",'Assignment Builder'!$B$7=IFERROR(INDEX('Category Dictionary'!$C$5:$C$135,MATCH($L2592,'Category Dictionary'!$D$5:$D$135,0)),"")),OR('Assignment Builder'!$B$8="",$D2592='Assignment Builder'!$B$8),OR('Assignment Builder'!$B$9="",$F2592='Assignment Builder'!$B$9),OR('Assignment Builder'!$B$10="",$O2592='Assignment Builder'!$B$10),OR('Assignment Builder'!$B$11="",$H2592&gt;='Assignment Builder'!$B$11),OR('Assignment Builder'!$B$12="",N($Q2592)&lt;='Assignment Builder'!$B$12)))</f>
        <v/>
      </c>
      <c r="T2592" s="23" t="n"/>
    </row>
    <row r="2593">
      <c r="A2593" s="23" t="n"/>
      <c r="B2593" s="23" t="n"/>
      <c r="C2593" s="24" t="n"/>
      <c r="D2593" s="15" t="n"/>
      <c r="E2593" s="23" t="n"/>
      <c r="F2593" s="15" t="n"/>
      <c r="G2593" s="23" t="n"/>
      <c r="H2593" s="25" t="n"/>
      <c r="I2593" s="15" t="n"/>
      <c r="J2593" s="26">
        <f>IF($A2593="","",LEN($C2593)-LEN(SUBSTITUTE($C2593,",",""))+1)</f>
        <v/>
      </c>
      <c r="K2593" s="26">
        <f>IF($A2593="","",SUMPRODUCT(--ISNUMBER(SEARCH('Category Dictionary'!$D$5:$D$135&amp;"",$C2593)),--('Category Dictionary'!$D$5:$D$135&lt;&gt;"")))</f>
        <v/>
      </c>
      <c r="L2593" s="27">
        <f>IF($A2593="","",TRIM(IF(ISERROR(FIND(",",$C2593)),$C2593,LEFT($C2593,FIND(",",$C2593)-1))))</f>
        <v/>
      </c>
      <c r="M2593" s="28">
        <f>IF($H2593="","",DATE(YEAR($H2593),MONTH($H2593),1))</f>
        <v/>
      </c>
      <c r="N2593" s="26">
        <f>IF($H2593="","",TODAY()-$H2593)</f>
        <v/>
      </c>
      <c r="O2593" s="15" t="n"/>
      <c r="P2593" s="15" t="n"/>
      <c r="Q2593" s="15" t="n"/>
      <c r="R2593" s="25" t="n"/>
      <c r="S2593" s="26">
        <f>IF($A2593="","",AND(OR('Assignment Builder'!$B$5="",$B2593='Assignment Builder'!$B$5),OR('Assignment Builder'!$B$6="",ISNUMBER(SEARCH('Assignment Builder'!$B$6,$C2593))),OR('Assignment Builder'!$B$7="",'Assignment Builder'!$B$7=IFERROR(INDEX('Category Dictionary'!$C$5:$C$135,MATCH($L2593,'Category Dictionary'!$D$5:$D$135,0)),"")),OR('Assignment Builder'!$B$8="",$D2593='Assignment Builder'!$B$8),OR('Assignment Builder'!$B$9="",$F2593='Assignment Builder'!$B$9),OR('Assignment Builder'!$B$10="",$O2593='Assignment Builder'!$B$10),OR('Assignment Builder'!$B$11="",$H2593&gt;='Assignment Builder'!$B$11),OR('Assignment Builder'!$B$12="",N($Q2593)&lt;='Assignment Builder'!$B$12)))</f>
        <v/>
      </c>
      <c r="T2593" s="23" t="n"/>
    </row>
    <row r="2594">
      <c r="A2594" s="23" t="n"/>
      <c r="B2594" s="23" t="n"/>
      <c r="C2594" s="24" t="n"/>
      <c r="D2594" s="15" t="n"/>
      <c r="E2594" s="23" t="n"/>
      <c r="F2594" s="15" t="n"/>
      <c r="G2594" s="23" t="n"/>
      <c r="H2594" s="25" t="n"/>
      <c r="I2594" s="15" t="n"/>
      <c r="J2594" s="26">
        <f>IF($A2594="","",LEN($C2594)-LEN(SUBSTITUTE($C2594,",",""))+1)</f>
        <v/>
      </c>
      <c r="K2594" s="26">
        <f>IF($A2594="","",SUMPRODUCT(--ISNUMBER(SEARCH('Category Dictionary'!$D$5:$D$135&amp;"",$C2594)),--('Category Dictionary'!$D$5:$D$135&lt;&gt;"")))</f>
        <v/>
      </c>
      <c r="L2594" s="27">
        <f>IF($A2594="","",TRIM(IF(ISERROR(FIND(",",$C2594)),$C2594,LEFT($C2594,FIND(",",$C2594)-1))))</f>
        <v/>
      </c>
      <c r="M2594" s="28">
        <f>IF($H2594="","",DATE(YEAR($H2594),MONTH($H2594),1))</f>
        <v/>
      </c>
      <c r="N2594" s="26">
        <f>IF($H2594="","",TODAY()-$H2594)</f>
        <v/>
      </c>
      <c r="O2594" s="15" t="n"/>
      <c r="P2594" s="15" t="n"/>
      <c r="Q2594" s="15" t="n"/>
      <c r="R2594" s="25" t="n"/>
      <c r="S2594" s="26">
        <f>IF($A2594="","",AND(OR('Assignment Builder'!$B$5="",$B2594='Assignment Builder'!$B$5),OR('Assignment Builder'!$B$6="",ISNUMBER(SEARCH('Assignment Builder'!$B$6,$C2594))),OR('Assignment Builder'!$B$7="",'Assignment Builder'!$B$7=IFERROR(INDEX('Category Dictionary'!$C$5:$C$135,MATCH($L2594,'Category Dictionary'!$D$5:$D$135,0)),"")),OR('Assignment Builder'!$B$8="",$D2594='Assignment Builder'!$B$8),OR('Assignment Builder'!$B$9="",$F2594='Assignment Builder'!$B$9),OR('Assignment Builder'!$B$10="",$O2594='Assignment Builder'!$B$10),OR('Assignment Builder'!$B$11="",$H2594&gt;='Assignment Builder'!$B$11),OR('Assignment Builder'!$B$12="",N($Q2594)&lt;='Assignment Builder'!$B$12)))</f>
        <v/>
      </c>
      <c r="T2594" s="23" t="n"/>
    </row>
    <row r="2595">
      <c r="A2595" s="23" t="n"/>
      <c r="B2595" s="23" t="n"/>
      <c r="C2595" s="24" t="n"/>
      <c r="D2595" s="15" t="n"/>
      <c r="E2595" s="23" t="n"/>
      <c r="F2595" s="15" t="n"/>
      <c r="G2595" s="23" t="n"/>
      <c r="H2595" s="25" t="n"/>
      <c r="I2595" s="15" t="n"/>
      <c r="J2595" s="26">
        <f>IF($A2595="","",LEN($C2595)-LEN(SUBSTITUTE($C2595,",",""))+1)</f>
        <v/>
      </c>
      <c r="K2595" s="26">
        <f>IF($A2595="","",SUMPRODUCT(--ISNUMBER(SEARCH('Category Dictionary'!$D$5:$D$135&amp;"",$C2595)),--('Category Dictionary'!$D$5:$D$135&lt;&gt;"")))</f>
        <v/>
      </c>
      <c r="L2595" s="27">
        <f>IF($A2595="","",TRIM(IF(ISERROR(FIND(",",$C2595)),$C2595,LEFT($C2595,FIND(",",$C2595)-1))))</f>
        <v/>
      </c>
      <c r="M2595" s="28">
        <f>IF($H2595="","",DATE(YEAR($H2595),MONTH($H2595),1))</f>
        <v/>
      </c>
      <c r="N2595" s="26">
        <f>IF($H2595="","",TODAY()-$H2595)</f>
        <v/>
      </c>
      <c r="O2595" s="15" t="n"/>
      <c r="P2595" s="15" t="n"/>
      <c r="Q2595" s="15" t="n"/>
      <c r="R2595" s="25" t="n"/>
      <c r="S2595" s="26">
        <f>IF($A2595="","",AND(OR('Assignment Builder'!$B$5="",$B2595='Assignment Builder'!$B$5),OR('Assignment Builder'!$B$6="",ISNUMBER(SEARCH('Assignment Builder'!$B$6,$C2595))),OR('Assignment Builder'!$B$7="",'Assignment Builder'!$B$7=IFERROR(INDEX('Category Dictionary'!$C$5:$C$135,MATCH($L2595,'Category Dictionary'!$D$5:$D$135,0)),"")),OR('Assignment Builder'!$B$8="",$D2595='Assignment Builder'!$B$8),OR('Assignment Builder'!$B$9="",$F2595='Assignment Builder'!$B$9),OR('Assignment Builder'!$B$10="",$O2595='Assignment Builder'!$B$10),OR('Assignment Builder'!$B$11="",$H2595&gt;='Assignment Builder'!$B$11),OR('Assignment Builder'!$B$12="",N($Q2595)&lt;='Assignment Builder'!$B$12)))</f>
        <v/>
      </c>
      <c r="T2595" s="23" t="n"/>
    </row>
    <row r="2596">
      <c r="A2596" s="23" t="n"/>
      <c r="B2596" s="23" t="n"/>
      <c r="C2596" s="24" t="n"/>
      <c r="D2596" s="15" t="n"/>
      <c r="E2596" s="23" t="n"/>
      <c r="F2596" s="15" t="n"/>
      <c r="G2596" s="23" t="n"/>
      <c r="H2596" s="25" t="n"/>
      <c r="I2596" s="15" t="n"/>
      <c r="J2596" s="26">
        <f>IF($A2596="","",LEN($C2596)-LEN(SUBSTITUTE($C2596,",",""))+1)</f>
        <v/>
      </c>
      <c r="K2596" s="26">
        <f>IF($A2596="","",SUMPRODUCT(--ISNUMBER(SEARCH('Category Dictionary'!$D$5:$D$135&amp;"",$C2596)),--('Category Dictionary'!$D$5:$D$135&lt;&gt;"")))</f>
        <v/>
      </c>
      <c r="L2596" s="27">
        <f>IF($A2596="","",TRIM(IF(ISERROR(FIND(",",$C2596)),$C2596,LEFT($C2596,FIND(",",$C2596)-1))))</f>
        <v/>
      </c>
      <c r="M2596" s="28">
        <f>IF($H2596="","",DATE(YEAR($H2596),MONTH($H2596),1))</f>
        <v/>
      </c>
      <c r="N2596" s="26">
        <f>IF($H2596="","",TODAY()-$H2596)</f>
        <v/>
      </c>
      <c r="O2596" s="15" t="n"/>
      <c r="P2596" s="15" t="n"/>
      <c r="Q2596" s="15" t="n"/>
      <c r="R2596" s="25" t="n"/>
      <c r="S2596" s="26">
        <f>IF($A2596="","",AND(OR('Assignment Builder'!$B$5="",$B2596='Assignment Builder'!$B$5),OR('Assignment Builder'!$B$6="",ISNUMBER(SEARCH('Assignment Builder'!$B$6,$C2596))),OR('Assignment Builder'!$B$7="",'Assignment Builder'!$B$7=IFERROR(INDEX('Category Dictionary'!$C$5:$C$135,MATCH($L2596,'Category Dictionary'!$D$5:$D$135,0)),"")),OR('Assignment Builder'!$B$8="",$D2596='Assignment Builder'!$B$8),OR('Assignment Builder'!$B$9="",$F2596='Assignment Builder'!$B$9),OR('Assignment Builder'!$B$10="",$O2596='Assignment Builder'!$B$10),OR('Assignment Builder'!$B$11="",$H2596&gt;='Assignment Builder'!$B$11),OR('Assignment Builder'!$B$12="",N($Q2596)&lt;='Assignment Builder'!$B$12)))</f>
        <v/>
      </c>
      <c r="T2596" s="23" t="n"/>
    </row>
    <row r="2597">
      <c r="A2597" s="23" t="n"/>
      <c r="B2597" s="23" t="n"/>
      <c r="C2597" s="24" t="n"/>
      <c r="D2597" s="15" t="n"/>
      <c r="E2597" s="23" t="n"/>
      <c r="F2597" s="15" t="n"/>
      <c r="G2597" s="23" t="n"/>
      <c r="H2597" s="25" t="n"/>
      <c r="I2597" s="15" t="n"/>
      <c r="J2597" s="26">
        <f>IF($A2597="","",LEN($C2597)-LEN(SUBSTITUTE($C2597,",",""))+1)</f>
        <v/>
      </c>
      <c r="K2597" s="26">
        <f>IF($A2597="","",SUMPRODUCT(--ISNUMBER(SEARCH('Category Dictionary'!$D$5:$D$135&amp;"",$C2597)),--('Category Dictionary'!$D$5:$D$135&lt;&gt;"")))</f>
        <v/>
      </c>
      <c r="L2597" s="27">
        <f>IF($A2597="","",TRIM(IF(ISERROR(FIND(",",$C2597)),$C2597,LEFT($C2597,FIND(",",$C2597)-1))))</f>
        <v/>
      </c>
      <c r="M2597" s="28">
        <f>IF($H2597="","",DATE(YEAR($H2597),MONTH($H2597),1))</f>
        <v/>
      </c>
      <c r="N2597" s="26">
        <f>IF($H2597="","",TODAY()-$H2597)</f>
        <v/>
      </c>
      <c r="O2597" s="15" t="n"/>
      <c r="P2597" s="15" t="n"/>
      <c r="Q2597" s="15" t="n"/>
      <c r="R2597" s="25" t="n"/>
      <c r="S2597" s="26">
        <f>IF($A2597="","",AND(OR('Assignment Builder'!$B$5="",$B2597='Assignment Builder'!$B$5),OR('Assignment Builder'!$B$6="",ISNUMBER(SEARCH('Assignment Builder'!$B$6,$C2597))),OR('Assignment Builder'!$B$7="",'Assignment Builder'!$B$7=IFERROR(INDEX('Category Dictionary'!$C$5:$C$135,MATCH($L2597,'Category Dictionary'!$D$5:$D$135,0)),"")),OR('Assignment Builder'!$B$8="",$D2597='Assignment Builder'!$B$8),OR('Assignment Builder'!$B$9="",$F2597='Assignment Builder'!$B$9),OR('Assignment Builder'!$B$10="",$O2597='Assignment Builder'!$B$10),OR('Assignment Builder'!$B$11="",$H2597&gt;='Assignment Builder'!$B$11),OR('Assignment Builder'!$B$12="",N($Q2597)&lt;='Assignment Builder'!$B$12)))</f>
        <v/>
      </c>
      <c r="T2597" s="23" t="n"/>
    </row>
    <row r="2598">
      <c r="A2598" s="23" t="n"/>
      <c r="B2598" s="23" t="n"/>
      <c r="C2598" s="24" t="n"/>
      <c r="D2598" s="15" t="n"/>
      <c r="E2598" s="23" t="n"/>
      <c r="F2598" s="15" t="n"/>
      <c r="G2598" s="23" t="n"/>
      <c r="H2598" s="25" t="n"/>
      <c r="I2598" s="15" t="n"/>
      <c r="J2598" s="26">
        <f>IF($A2598="","",LEN($C2598)-LEN(SUBSTITUTE($C2598,",",""))+1)</f>
        <v/>
      </c>
      <c r="K2598" s="26">
        <f>IF($A2598="","",SUMPRODUCT(--ISNUMBER(SEARCH('Category Dictionary'!$D$5:$D$135&amp;"",$C2598)),--('Category Dictionary'!$D$5:$D$135&lt;&gt;"")))</f>
        <v/>
      </c>
      <c r="L2598" s="27">
        <f>IF($A2598="","",TRIM(IF(ISERROR(FIND(",",$C2598)),$C2598,LEFT($C2598,FIND(",",$C2598)-1))))</f>
        <v/>
      </c>
      <c r="M2598" s="28">
        <f>IF($H2598="","",DATE(YEAR($H2598),MONTH($H2598),1))</f>
        <v/>
      </c>
      <c r="N2598" s="26">
        <f>IF($H2598="","",TODAY()-$H2598)</f>
        <v/>
      </c>
      <c r="O2598" s="15" t="n"/>
      <c r="P2598" s="15" t="n"/>
      <c r="Q2598" s="15" t="n"/>
      <c r="R2598" s="25" t="n"/>
      <c r="S2598" s="26">
        <f>IF($A2598="","",AND(OR('Assignment Builder'!$B$5="",$B2598='Assignment Builder'!$B$5),OR('Assignment Builder'!$B$6="",ISNUMBER(SEARCH('Assignment Builder'!$B$6,$C2598))),OR('Assignment Builder'!$B$7="",'Assignment Builder'!$B$7=IFERROR(INDEX('Category Dictionary'!$C$5:$C$135,MATCH($L2598,'Category Dictionary'!$D$5:$D$135,0)),"")),OR('Assignment Builder'!$B$8="",$D2598='Assignment Builder'!$B$8),OR('Assignment Builder'!$B$9="",$F2598='Assignment Builder'!$B$9),OR('Assignment Builder'!$B$10="",$O2598='Assignment Builder'!$B$10),OR('Assignment Builder'!$B$11="",$H2598&gt;='Assignment Builder'!$B$11),OR('Assignment Builder'!$B$12="",N($Q2598)&lt;='Assignment Builder'!$B$12)))</f>
        <v/>
      </c>
      <c r="T2598" s="23" t="n"/>
    </row>
    <row r="2599">
      <c r="A2599" s="23" t="n"/>
      <c r="B2599" s="23" t="n"/>
      <c r="C2599" s="24" t="n"/>
      <c r="D2599" s="15" t="n"/>
      <c r="E2599" s="23" t="n"/>
      <c r="F2599" s="15" t="n"/>
      <c r="G2599" s="23" t="n"/>
      <c r="H2599" s="25" t="n"/>
      <c r="I2599" s="15" t="n"/>
      <c r="J2599" s="26">
        <f>IF($A2599="","",LEN($C2599)-LEN(SUBSTITUTE($C2599,",",""))+1)</f>
        <v/>
      </c>
      <c r="K2599" s="26">
        <f>IF($A2599="","",SUMPRODUCT(--ISNUMBER(SEARCH('Category Dictionary'!$D$5:$D$135&amp;"",$C2599)),--('Category Dictionary'!$D$5:$D$135&lt;&gt;"")))</f>
        <v/>
      </c>
      <c r="L2599" s="27">
        <f>IF($A2599="","",TRIM(IF(ISERROR(FIND(",",$C2599)),$C2599,LEFT($C2599,FIND(",",$C2599)-1))))</f>
        <v/>
      </c>
      <c r="M2599" s="28">
        <f>IF($H2599="","",DATE(YEAR($H2599),MONTH($H2599),1))</f>
        <v/>
      </c>
      <c r="N2599" s="26">
        <f>IF($H2599="","",TODAY()-$H2599)</f>
        <v/>
      </c>
      <c r="O2599" s="15" t="n"/>
      <c r="P2599" s="15" t="n"/>
      <c r="Q2599" s="15" t="n"/>
      <c r="R2599" s="25" t="n"/>
      <c r="S2599" s="26">
        <f>IF($A2599="","",AND(OR('Assignment Builder'!$B$5="",$B2599='Assignment Builder'!$B$5),OR('Assignment Builder'!$B$6="",ISNUMBER(SEARCH('Assignment Builder'!$B$6,$C2599))),OR('Assignment Builder'!$B$7="",'Assignment Builder'!$B$7=IFERROR(INDEX('Category Dictionary'!$C$5:$C$135,MATCH($L2599,'Category Dictionary'!$D$5:$D$135,0)),"")),OR('Assignment Builder'!$B$8="",$D2599='Assignment Builder'!$B$8),OR('Assignment Builder'!$B$9="",$F2599='Assignment Builder'!$B$9),OR('Assignment Builder'!$B$10="",$O2599='Assignment Builder'!$B$10),OR('Assignment Builder'!$B$11="",$H2599&gt;='Assignment Builder'!$B$11),OR('Assignment Builder'!$B$12="",N($Q2599)&lt;='Assignment Builder'!$B$12)))</f>
        <v/>
      </c>
      <c r="T2599" s="23" t="n"/>
    </row>
    <row r="2600">
      <c r="A2600" s="23" t="n"/>
      <c r="B2600" s="23" t="n"/>
      <c r="C2600" s="24" t="n"/>
      <c r="D2600" s="15" t="n"/>
      <c r="E2600" s="23" t="n"/>
      <c r="F2600" s="15" t="n"/>
      <c r="G2600" s="23" t="n"/>
      <c r="H2600" s="25" t="n"/>
      <c r="I2600" s="15" t="n"/>
      <c r="J2600" s="26">
        <f>IF($A2600="","",LEN($C2600)-LEN(SUBSTITUTE($C2600,",",""))+1)</f>
        <v/>
      </c>
      <c r="K2600" s="26">
        <f>IF($A2600="","",SUMPRODUCT(--ISNUMBER(SEARCH('Category Dictionary'!$D$5:$D$135&amp;"",$C2600)),--('Category Dictionary'!$D$5:$D$135&lt;&gt;"")))</f>
        <v/>
      </c>
      <c r="L2600" s="27">
        <f>IF($A2600="","",TRIM(IF(ISERROR(FIND(",",$C2600)),$C2600,LEFT($C2600,FIND(",",$C2600)-1))))</f>
        <v/>
      </c>
      <c r="M2600" s="28">
        <f>IF($H2600="","",DATE(YEAR($H2600),MONTH($H2600),1))</f>
        <v/>
      </c>
      <c r="N2600" s="26">
        <f>IF($H2600="","",TODAY()-$H2600)</f>
        <v/>
      </c>
      <c r="O2600" s="15" t="n"/>
      <c r="P2600" s="15" t="n"/>
      <c r="Q2600" s="15" t="n"/>
      <c r="R2600" s="25" t="n"/>
      <c r="S2600" s="26">
        <f>IF($A2600="","",AND(OR('Assignment Builder'!$B$5="",$B2600='Assignment Builder'!$B$5),OR('Assignment Builder'!$B$6="",ISNUMBER(SEARCH('Assignment Builder'!$B$6,$C2600))),OR('Assignment Builder'!$B$7="",'Assignment Builder'!$B$7=IFERROR(INDEX('Category Dictionary'!$C$5:$C$135,MATCH($L2600,'Category Dictionary'!$D$5:$D$135,0)),"")),OR('Assignment Builder'!$B$8="",$D2600='Assignment Builder'!$B$8),OR('Assignment Builder'!$B$9="",$F2600='Assignment Builder'!$B$9),OR('Assignment Builder'!$B$10="",$O2600='Assignment Builder'!$B$10),OR('Assignment Builder'!$B$11="",$H2600&gt;='Assignment Builder'!$B$11),OR('Assignment Builder'!$B$12="",N($Q2600)&lt;='Assignment Builder'!$B$12)))</f>
        <v/>
      </c>
      <c r="T2600" s="23" t="n"/>
    </row>
    <row r="2601">
      <c r="A2601" s="23" t="n"/>
      <c r="B2601" s="23" t="n"/>
      <c r="C2601" s="24" t="n"/>
      <c r="D2601" s="15" t="n"/>
      <c r="E2601" s="23" t="n"/>
      <c r="F2601" s="15" t="n"/>
      <c r="G2601" s="23" t="n"/>
      <c r="H2601" s="25" t="n"/>
      <c r="I2601" s="15" t="n"/>
      <c r="J2601" s="26">
        <f>IF($A2601="","",LEN($C2601)-LEN(SUBSTITUTE($C2601,",",""))+1)</f>
        <v/>
      </c>
      <c r="K2601" s="26">
        <f>IF($A2601="","",SUMPRODUCT(--ISNUMBER(SEARCH('Category Dictionary'!$D$5:$D$135&amp;"",$C2601)),--('Category Dictionary'!$D$5:$D$135&lt;&gt;"")))</f>
        <v/>
      </c>
      <c r="L2601" s="27">
        <f>IF($A2601="","",TRIM(IF(ISERROR(FIND(",",$C2601)),$C2601,LEFT($C2601,FIND(",",$C2601)-1))))</f>
        <v/>
      </c>
      <c r="M2601" s="28">
        <f>IF($H2601="","",DATE(YEAR($H2601),MONTH($H2601),1))</f>
        <v/>
      </c>
      <c r="N2601" s="26">
        <f>IF($H2601="","",TODAY()-$H2601)</f>
        <v/>
      </c>
      <c r="O2601" s="15" t="n"/>
      <c r="P2601" s="15" t="n"/>
      <c r="Q2601" s="15" t="n"/>
      <c r="R2601" s="25" t="n"/>
      <c r="S2601" s="26">
        <f>IF($A2601="","",AND(OR('Assignment Builder'!$B$5="",$B2601='Assignment Builder'!$B$5),OR('Assignment Builder'!$B$6="",ISNUMBER(SEARCH('Assignment Builder'!$B$6,$C2601))),OR('Assignment Builder'!$B$7="",'Assignment Builder'!$B$7=IFERROR(INDEX('Category Dictionary'!$C$5:$C$135,MATCH($L2601,'Category Dictionary'!$D$5:$D$135,0)),"")),OR('Assignment Builder'!$B$8="",$D2601='Assignment Builder'!$B$8),OR('Assignment Builder'!$B$9="",$F2601='Assignment Builder'!$B$9),OR('Assignment Builder'!$B$10="",$O2601='Assignment Builder'!$B$10),OR('Assignment Builder'!$B$11="",$H2601&gt;='Assignment Builder'!$B$11),OR('Assignment Builder'!$B$12="",N($Q2601)&lt;='Assignment Builder'!$B$12)))</f>
        <v/>
      </c>
      <c r="T2601" s="23" t="n"/>
    </row>
    <row r="2602">
      <c r="A2602" s="23" t="n"/>
      <c r="B2602" s="23" t="n"/>
      <c r="C2602" s="24" t="n"/>
      <c r="D2602" s="15" t="n"/>
      <c r="E2602" s="23" t="n"/>
      <c r="F2602" s="15" t="n"/>
      <c r="G2602" s="23" t="n"/>
      <c r="H2602" s="25" t="n"/>
      <c r="I2602" s="15" t="n"/>
      <c r="J2602" s="26">
        <f>IF($A2602="","",LEN($C2602)-LEN(SUBSTITUTE($C2602,",",""))+1)</f>
        <v/>
      </c>
      <c r="K2602" s="26">
        <f>IF($A2602="","",SUMPRODUCT(--ISNUMBER(SEARCH('Category Dictionary'!$D$5:$D$135&amp;"",$C2602)),--('Category Dictionary'!$D$5:$D$135&lt;&gt;"")))</f>
        <v/>
      </c>
      <c r="L2602" s="27">
        <f>IF($A2602="","",TRIM(IF(ISERROR(FIND(",",$C2602)),$C2602,LEFT($C2602,FIND(",",$C2602)-1))))</f>
        <v/>
      </c>
      <c r="M2602" s="28">
        <f>IF($H2602="","",DATE(YEAR($H2602),MONTH($H2602),1))</f>
        <v/>
      </c>
      <c r="N2602" s="26">
        <f>IF($H2602="","",TODAY()-$H2602)</f>
        <v/>
      </c>
      <c r="O2602" s="15" t="n"/>
      <c r="P2602" s="15" t="n"/>
      <c r="Q2602" s="15" t="n"/>
      <c r="R2602" s="25" t="n"/>
      <c r="S2602" s="26">
        <f>IF($A2602="","",AND(OR('Assignment Builder'!$B$5="",$B2602='Assignment Builder'!$B$5),OR('Assignment Builder'!$B$6="",ISNUMBER(SEARCH('Assignment Builder'!$B$6,$C2602))),OR('Assignment Builder'!$B$7="",'Assignment Builder'!$B$7=IFERROR(INDEX('Category Dictionary'!$C$5:$C$135,MATCH($L2602,'Category Dictionary'!$D$5:$D$135,0)),"")),OR('Assignment Builder'!$B$8="",$D2602='Assignment Builder'!$B$8),OR('Assignment Builder'!$B$9="",$F2602='Assignment Builder'!$B$9),OR('Assignment Builder'!$B$10="",$O2602='Assignment Builder'!$B$10),OR('Assignment Builder'!$B$11="",$H2602&gt;='Assignment Builder'!$B$11),OR('Assignment Builder'!$B$12="",N($Q2602)&lt;='Assignment Builder'!$B$12)))</f>
        <v/>
      </c>
      <c r="T2602" s="23" t="n"/>
    </row>
    <row r="2603">
      <c r="A2603" s="23" t="n"/>
      <c r="B2603" s="23" t="n"/>
      <c r="C2603" s="24" t="n"/>
      <c r="D2603" s="15" t="n"/>
      <c r="E2603" s="23" t="n"/>
      <c r="F2603" s="15" t="n"/>
      <c r="G2603" s="23" t="n"/>
      <c r="H2603" s="25" t="n"/>
      <c r="I2603" s="15" t="n"/>
      <c r="J2603" s="26">
        <f>IF($A2603="","",LEN($C2603)-LEN(SUBSTITUTE($C2603,",",""))+1)</f>
        <v/>
      </c>
      <c r="K2603" s="26">
        <f>IF($A2603="","",SUMPRODUCT(--ISNUMBER(SEARCH('Category Dictionary'!$D$5:$D$135&amp;"",$C2603)),--('Category Dictionary'!$D$5:$D$135&lt;&gt;"")))</f>
        <v/>
      </c>
      <c r="L2603" s="27">
        <f>IF($A2603="","",TRIM(IF(ISERROR(FIND(",",$C2603)),$C2603,LEFT($C2603,FIND(",",$C2603)-1))))</f>
        <v/>
      </c>
      <c r="M2603" s="28">
        <f>IF($H2603="","",DATE(YEAR($H2603),MONTH($H2603),1))</f>
        <v/>
      </c>
      <c r="N2603" s="26">
        <f>IF($H2603="","",TODAY()-$H2603)</f>
        <v/>
      </c>
      <c r="O2603" s="15" t="n"/>
      <c r="P2603" s="15" t="n"/>
      <c r="Q2603" s="15" t="n"/>
      <c r="R2603" s="25" t="n"/>
      <c r="S2603" s="26">
        <f>IF($A2603="","",AND(OR('Assignment Builder'!$B$5="",$B2603='Assignment Builder'!$B$5),OR('Assignment Builder'!$B$6="",ISNUMBER(SEARCH('Assignment Builder'!$B$6,$C2603))),OR('Assignment Builder'!$B$7="",'Assignment Builder'!$B$7=IFERROR(INDEX('Category Dictionary'!$C$5:$C$135,MATCH($L2603,'Category Dictionary'!$D$5:$D$135,0)),"")),OR('Assignment Builder'!$B$8="",$D2603='Assignment Builder'!$B$8),OR('Assignment Builder'!$B$9="",$F2603='Assignment Builder'!$B$9),OR('Assignment Builder'!$B$10="",$O2603='Assignment Builder'!$B$10),OR('Assignment Builder'!$B$11="",$H2603&gt;='Assignment Builder'!$B$11),OR('Assignment Builder'!$B$12="",N($Q2603)&lt;='Assignment Builder'!$B$12)))</f>
        <v/>
      </c>
      <c r="T2603" s="23" t="n"/>
    </row>
    <row r="2604">
      <c r="A2604" s="23" t="n"/>
      <c r="B2604" s="23" t="n"/>
      <c r="C2604" s="24" t="n"/>
      <c r="D2604" s="15" t="n"/>
      <c r="E2604" s="23" t="n"/>
      <c r="F2604" s="15" t="n"/>
      <c r="G2604" s="23" t="n"/>
      <c r="H2604" s="25" t="n"/>
      <c r="I2604" s="15" t="n"/>
      <c r="J2604" s="26">
        <f>IF($A2604="","",LEN($C2604)-LEN(SUBSTITUTE($C2604,",",""))+1)</f>
        <v/>
      </c>
      <c r="K2604" s="26">
        <f>IF($A2604="","",SUMPRODUCT(--ISNUMBER(SEARCH('Category Dictionary'!$D$5:$D$135&amp;"",$C2604)),--('Category Dictionary'!$D$5:$D$135&lt;&gt;"")))</f>
        <v/>
      </c>
      <c r="L2604" s="27">
        <f>IF($A2604="","",TRIM(IF(ISERROR(FIND(",",$C2604)),$C2604,LEFT($C2604,FIND(",",$C2604)-1))))</f>
        <v/>
      </c>
      <c r="M2604" s="28">
        <f>IF($H2604="","",DATE(YEAR($H2604),MONTH($H2604),1))</f>
        <v/>
      </c>
      <c r="N2604" s="26">
        <f>IF($H2604="","",TODAY()-$H2604)</f>
        <v/>
      </c>
      <c r="O2604" s="15" t="n"/>
      <c r="P2604" s="15" t="n"/>
      <c r="Q2604" s="15" t="n"/>
      <c r="R2604" s="25" t="n"/>
      <c r="S2604" s="26">
        <f>IF($A2604="","",AND(OR('Assignment Builder'!$B$5="",$B2604='Assignment Builder'!$B$5),OR('Assignment Builder'!$B$6="",ISNUMBER(SEARCH('Assignment Builder'!$B$6,$C2604))),OR('Assignment Builder'!$B$7="",'Assignment Builder'!$B$7=IFERROR(INDEX('Category Dictionary'!$C$5:$C$135,MATCH($L2604,'Category Dictionary'!$D$5:$D$135,0)),"")),OR('Assignment Builder'!$B$8="",$D2604='Assignment Builder'!$B$8),OR('Assignment Builder'!$B$9="",$F2604='Assignment Builder'!$B$9),OR('Assignment Builder'!$B$10="",$O2604='Assignment Builder'!$B$10),OR('Assignment Builder'!$B$11="",$H2604&gt;='Assignment Builder'!$B$11),OR('Assignment Builder'!$B$12="",N($Q2604)&lt;='Assignment Builder'!$B$12)))</f>
        <v/>
      </c>
      <c r="T2604" s="23" t="n"/>
    </row>
    <row r="2605">
      <c r="A2605" s="23" t="n"/>
      <c r="B2605" s="23" t="n"/>
      <c r="C2605" s="24" t="n"/>
      <c r="D2605" s="15" t="n"/>
      <c r="E2605" s="23" t="n"/>
      <c r="F2605" s="15" t="n"/>
      <c r="G2605" s="23" t="n"/>
      <c r="H2605" s="25" t="n"/>
      <c r="I2605" s="15" t="n"/>
      <c r="J2605" s="26">
        <f>IF($A2605="","",LEN($C2605)-LEN(SUBSTITUTE($C2605,",",""))+1)</f>
        <v/>
      </c>
      <c r="K2605" s="26">
        <f>IF($A2605="","",SUMPRODUCT(--ISNUMBER(SEARCH('Category Dictionary'!$D$5:$D$135&amp;"",$C2605)),--('Category Dictionary'!$D$5:$D$135&lt;&gt;"")))</f>
        <v/>
      </c>
      <c r="L2605" s="27">
        <f>IF($A2605="","",TRIM(IF(ISERROR(FIND(",",$C2605)),$C2605,LEFT($C2605,FIND(",",$C2605)-1))))</f>
        <v/>
      </c>
      <c r="M2605" s="28">
        <f>IF($H2605="","",DATE(YEAR($H2605),MONTH($H2605),1))</f>
        <v/>
      </c>
      <c r="N2605" s="26">
        <f>IF($H2605="","",TODAY()-$H2605)</f>
        <v/>
      </c>
      <c r="O2605" s="15" t="n"/>
      <c r="P2605" s="15" t="n"/>
      <c r="Q2605" s="15" t="n"/>
      <c r="R2605" s="25" t="n"/>
      <c r="S2605" s="26">
        <f>IF($A2605="","",AND(OR('Assignment Builder'!$B$5="",$B2605='Assignment Builder'!$B$5),OR('Assignment Builder'!$B$6="",ISNUMBER(SEARCH('Assignment Builder'!$B$6,$C2605))),OR('Assignment Builder'!$B$7="",'Assignment Builder'!$B$7=IFERROR(INDEX('Category Dictionary'!$C$5:$C$135,MATCH($L2605,'Category Dictionary'!$D$5:$D$135,0)),"")),OR('Assignment Builder'!$B$8="",$D2605='Assignment Builder'!$B$8),OR('Assignment Builder'!$B$9="",$F2605='Assignment Builder'!$B$9),OR('Assignment Builder'!$B$10="",$O2605='Assignment Builder'!$B$10),OR('Assignment Builder'!$B$11="",$H2605&gt;='Assignment Builder'!$B$11),OR('Assignment Builder'!$B$12="",N($Q2605)&lt;='Assignment Builder'!$B$12)))</f>
        <v/>
      </c>
      <c r="T2605" s="23" t="n"/>
    </row>
    <row r="2606">
      <c r="A2606" s="23" t="n"/>
      <c r="B2606" s="23" t="n"/>
      <c r="C2606" s="24" t="n"/>
      <c r="D2606" s="15" t="n"/>
      <c r="E2606" s="23" t="n"/>
      <c r="F2606" s="15" t="n"/>
      <c r="G2606" s="23" t="n"/>
      <c r="H2606" s="25" t="n"/>
      <c r="I2606" s="15" t="n"/>
      <c r="J2606" s="26">
        <f>IF($A2606="","",LEN($C2606)-LEN(SUBSTITUTE($C2606,",",""))+1)</f>
        <v/>
      </c>
      <c r="K2606" s="26">
        <f>IF($A2606="","",SUMPRODUCT(--ISNUMBER(SEARCH('Category Dictionary'!$D$5:$D$135&amp;"",$C2606)),--('Category Dictionary'!$D$5:$D$135&lt;&gt;"")))</f>
        <v/>
      </c>
      <c r="L2606" s="27">
        <f>IF($A2606="","",TRIM(IF(ISERROR(FIND(",",$C2606)),$C2606,LEFT($C2606,FIND(",",$C2606)-1))))</f>
        <v/>
      </c>
      <c r="M2606" s="28">
        <f>IF($H2606="","",DATE(YEAR($H2606),MONTH($H2606),1))</f>
        <v/>
      </c>
      <c r="N2606" s="26">
        <f>IF($H2606="","",TODAY()-$H2606)</f>
        <v/>
      </c>
      <c r="O2606" s="15" t="n"/>
      <c r="P2606" s="15" t="n"/>
      <c r="Q2606" s="15" t="n"/>
      <c r="R2606" s="25" t="n"/>
      <c r="S2606" s="26">
        <f>IF($A2606="","",AND(OR('Assignment Builder'!$B$5="",$B2606='Assignment Builder'!$B$5),OR('Assignment Builder'!$B$6="",ISNUMBER(SEARCH('Assignment Builder'!$B$6,$C2606))),OR('Assignment Builder'!$B$7="",'Assignment Builder'!$B$7=IFERROR(INDEX('Category Dictionary'!$C$5:$C$135,MATCH($L2606,'Category Dictionary'!$D$5:$D$135,0)),"")),OR('Assignment Builder'!$B$8="",$D2606='Assignment Builder'!$B$8),OR('Assignment Builder'!$B$9="",$F2606='Assignment Builder'!$B$9),OR('Assignment Builder'!$B$10="",$O2606='Assignment Builder'!$B$10),OR('Assignment Builder'!$B$11="",$H2606&gt;='Assignment Builder'!$B$11),OR('Assignment Builder'!$B$12="",N($Q2606)&lt;='Assignment Builder'!$B$12)))</f>
        <v/>
      </c>
      <c r="T2606" s="23" t="n"/>
    </row>
    <row r="2607">
      <c r="A2607" s="23" t="n"/>
      <c r="B2607" s="23" t="n"/>
      <c r="C2607" s="24" t="n"/>
      <c r="D2607" s="15" t="n"/>
      <c r="E2607" s="23" t="n"/>
      <c r="F2607" s="15" t="n"/>
      <c r="G2607" s="23" t="n"/>
      <c r="H2607" s="25" t="n"/>
      <c r="I2607" s="15" t="n"/>
      <c r="J2607" s="26">
        <f>IF($A2607="","",LEN($C2607)-LEN(SUBSTITUTE($C2607,",",""))+1)</f>
        <v/>
      </c>
      <c r="K2607" s="26">
        <f>IF($A2607="","",SUMPRODUCT(--ISNUMBER(SEARCH('Category Dictionary'!$D$5:$D$135&amp;"",$C2607)),--('Category Dictionary'!$D$5:$D$135&lt;&gt;"")))</f>
        <v/>
      </c>
      <c r="L2607" s="27">
        <f>IF($A2607="","",TRIM(IF(ISERROR(FIND(",",$C2607)),$C2607,LEFT($C2607,FIND(",",$C2607)-1))))</f>
        <v/>
      </c>
      <c r="M2607" s="28">
        <f>IF($H2607="","",DATE(YEAR($H2607),MONTH($H2607),1))</f>
        <v/>
      </c>
      <c r="N2607" s="26">
        <f>IF($H2607="","",TODAY()-$H2607)</f>
        <v/>
      </c>
      <c r="O2607" s="15" t="n"/>
      <c r="P2607" s="15" t="n"/>
      <c r="Q2607" s="15" t="n"/>
      <c r="R2607" s="25" t="n"/>
      <c r="S2607" s="26">
        <f>IF($A2607="","",AND(OR('Assignment Builder'!$B$5="",$B2607='Assignment Builder'!$B$5),OR('Assignment Builder'!$B$6="",ISNUMBER(SEARCH('Assignment Builder'!$B$6,$C2607))),OR('Assignment Builder'!$B$7="",'Assignment Builder'!$B$7=IFERROR(INDEX('Category Dictionary'!$C$5:$C$135,MATCH($L2607,'Category Dictionary'!$D$5:$D$135,0)),"")),OR('Assignment Builder'!$B$8="",$D2607='Assignment Builder'!$B$8),OR('Assignment Builder'!$B$9="",$F2607='Assignment Builder'!$B$9),OR('Assignment Builder'!$B$10="",$O2607='Assignment Builder'!$B$10),OR('Assignment Builder'!$B$11="",$H2607&gt;='Assignment Builder'!$B$11),OR('Assignment Builder'!$B$12="",N($Q2607)&lt;='Assignment Builder'!$B$12)))</f>
        <v/>
      </c>
      <c r="T2607" s="23" t="n"/>
    </row>
    <row r="2608">
      <c r="A2608" s="23" t="n"/>
      <c r="B2608" s="23" t="n"/>
      <c r="C2608" s="24" t="n"/>
      <c r="D2608" s="15" t="n"/>
      <c r="E2608" s="23" t="n"/>
      <c r="F2608" s="15" t="n"/>
      <c r="G2608" s="23" t="n"/>
      <c r="H2608" s="25" t="n"/>
      <c r="I2608" s="15" t="n"/>
      <c r="J2608" s="26">
        <f>IF($A2608="","",LEN($C2608)-LEN(SUBSTITUTE($C2608,",",""))+1)</f>
        <v/>
      </c>
      <c r="K2608" s="26">
        <f>IF($A2608="","",SUMPRODUCT(--ISNUMBER(SEARCH('Category Dictionary'!$D$5:$D$135&amp;"",$C2608)),--('Category Dictionary'!$D$5:$D$135&lt;&gt;"")))</f>
        <v/>
      </c>
      <c r="L2608" s="27">
        <f>IF($A2608="","",TRIM(IF(ISERROR(FIND(",",$C2608)),$C2608,LEFT($C2608,FIND(",",$C2608)-1))))</f>
        <v/>
      </c>
      <c r="M2608" s="28">
        <f>IF($H2608="","",DATE(YEAR($H2608),MONTH($H2608),1))</f>
        <v/>
      </c>
      <c r="N2608" s="26">
        <f>IF($H2608="","",TODAY()-$H2608)</f>
        <v/>
      </c>
      <c r="O2608" s="15" t="n"/>
      <c r="P2608" s="15" t="n"/>
      <c r="Q2608" s="15" t="n"/>
      <c r="R2608" s="25" t="n"/>
      <c r="S2608" s="26">
        <f>IF($A2608="","",AND(OR('Assignment Builder'!$B$5="",$B2608='Assignment Builder'!$B$5),OR('Assignment Builder'!$B$6="",ISNUMBER(SEARCH('Assignment Builder'!$B$6,$C2608))),OR('Assignment Builder'!$B$7="",'Assignment Builder'!$B$7=IFERROR(INDEX('Category Dictionary'!$C$5:$C$135,MATCH($L2608,'Category Dictionary'!$D$5:$D$135,0)),"")),OR('Assignment Builder'!$B$8="",$D2608='Assignment Builder'!$B$8),OR('Assignment Builder'!$B$9="",$F2608='Assignment Builder'!$B$9),OR('Assignment Builder'!$B$10="",$O2608='Assignment Builder'!$B$10),OR('Assignment Builder'!$B$11="",$H2608&gt;='Assignment Builder'!$B$11),OR('Assignment Builder'!$B$12="",N($Q2608)&lt;='Assignment Builder'!$B$12)))</f>
        <v/>
      </c>
      <c r="T2608" s="23" t="n"/>
    </row>
    <row r="2609">
      <c r="A2609" s="23" t="n"/>
      <c r="B2609" s="23" t="n"/>
      <c r="C2609" s="24" t="n"/>
      <c r="D2609" s="15" t="n"/>
      <c r="E2609" s="23" t="n"/>
      <c r="F2609" s="15" t="n"/>
      <c r="G2609" s="23" t="n"/>
      <c r="H2609" s="25" t="n"/>
      <c r="I2609" s="15" t="n"/>
      <c r="J2609" s="26">
        <f>IF($A2609="","",LEN($C2609)-LEN(SUBSTITUTE($C2609,",",""))+1)</f>
        <v/>
      </c>
      <c r="K2609" s="26">
        <f>IF($A2609="","",SUMPRODUCT(--ISNUMBER(SEARCH('Category Dictionary'!$D$5:$D$135&amp;"",$C2609)),--('Category Dictionary'!$D$5:$D$135&lt;&gt;"")))</f>
        <v/>
      </c>
      <c r="L2609" s="27">
        <f>IF($A2609="","",TRIM(IF(ISERROR(FIND(",",$C2609)),$C2609,LEFT($C2609,FIND(",",$C2609)-1))))</f>
        <v/>
      </c>
      <c r="M2609" s="28">
        <f>IF($H2609="","",DATE(YEAR($H2609),MONTH($H2609),1))</f>
        <v/>
      </c>
      <c r="N2609" s="26">
        <f>IF($H2609="","",TODAY()-$H2609)</f>
        <v/>
      </c>
      <c r="O2609" s="15" t="n"/>
      <c r="P2609" s="15" t="n"/>
      <c r="Q2609" s="15" t="n"/>
      <c r="R2609" s="25" t="n"/>
      <c r="S2609" s="26">
        <f>IF($A2609="","",AND(OR('Assignment Builder'!$B$5="",$B2609='Assignment Builder'!$B$5),OR('Assignment Builder'!$B$6="",ISNUMBER(SEARCH('Assignment Builder'!$B$6,$C2609))),OR('Assignment Builder'!$B$7="",'Assignment Builder'!$B$7=IFERROR(INDEX('Category Dictionary'!$C$5:$C$135,MATCH($L2609,'Category Dictionary'!$D$5:$D$135,0)),"")),OR('Assignment Builder'!$B$8="",$D2609='Assignment Builder'!$B$8),OR('Assignment Builder'!$B$9="",$F2609='Assignment Builder'!$B$9),OR('Assignment Builder'!$B$10="",$O2609='Assignment Builder'!$B$10),OR('Assignment Builder'!$B$11="",$H2609&gt;='Assignment Builder'!$B$11),OR('Assignment Builder'!$B$12="",N($Q2609)&lt;='Assignment Builder'!$B$12)))</f>
        <v/>
      </c>
      <c r="T2609" s="23" t="n"/>
    </row>
    <row r="2610">
      <c r="A2610" s="23" t="n"/>
      <c r="B2610" s="23" t="n"/>
      <c r="C2610" s="24" t="n"/>
      <c r="D2610" s="15" t="n"/>
      <c r="E2610" s="23" t="n"/>
      <c r="F2610" s="15" t="n"/>
      <c r="G2610" s="23" t="n"/>
      <c r="H2610" s="25" t="n"/>
      <c r="I2610" s="15" t="n"/>
      <c r="J2610" s="26">
        <f>IF($A2610="","",LEN($C2610)-LEN(SUBSTITUTE($C2610,",",""))+1)</f>
        <v/>
      </c>
      <c r="K2610" s="26">
        <f>IF($A2610="","",SUMPRODUCT(--ISNUMBER(SEARCH('Category Dictionary'!$D$5:$D$135&amp;"",$C2610)),--('Category Dictionary'!$D$5:$D$135&lt;&gt;"")))</f>
        <v/>
      </c>
      <c r="L2610" s="27">
        <f>IF($A2610="","",TRIM(IF(ISERROR(FIND(",",$C2610)),$C2610,LEFT($C2610,FIND(",",$C2610)-1))))</f>
        <v/>
      </c>
      <c r="M2610" s="28">
        <f>IF($H2610="","",DATE(YEAR($H2610),MONTH($H2610),1))</f>
        <v/>
      </c>
      <c r="N2610" s="26">
        <f>IF($H2610="","",TODAY()-$H2610)</f>
        <v/>
      </c>
      <c r="O2610" s="15" t="n"/>
      <c r="P2610" s="15" t="n"/>
      <c r="Q2610" s="15" t="n"/>
      <c r="R2610" s="25" t="n"/>
      <c r="S2610" s="26">
        <f>IF($A2610="","",AND(OR('Assignment Builder'!$B$5="",$B2610='Assignment Builder'!$B$5),OR('Assignment Builder'!$B$6="",ISNUMBER(SEARCH('Assignment Builder'!$B$6,$C2610))),OR('Assignment Builder'!$B$7="",'Assignment Builder'!$B$7=IFERROR(INDEX('Category Dictionary'!$C$5:$C$135,MATCH($L2610,'Category Dictionary'!$D$5:$D$135,0)),"")),OR('Assignment Builder'!$B$8="",$D2610='Assignment Builder'!$B$8),OR('Assignment Builder'!$B$9="",$F2610='Assignment Builder'!$B$9),OR('Assignment Builder'!$B$10="",$O2610='Assignment Builder'!$B$10),OR('Assignment Builder'!$B$11="",$H2610&gt;='Assignment Builder'!$B$11),OR('Assignment Builder'!$B$12="",N($Q2610)&lt;='Assignment Builder'!$B$12)))</f>
        <v/>
      </c>
      <c r="T2610" s="23" t="n"/>
    </row>
    <row r="2611">
      <c r="A2611" s="23" t="n"/>
      <c r="B2611" s="23" t="n"/>
      <c r="C2611" s="24" t="n"/>
      <c r="D2611" s="15" t="n"/>
      <c r="E2611" s="23" t="n"/>
      <c r="F2611" s="15" t="n"/>
      <c r="G2611" s="23" t="n"/>
      <c r="H2611" s="25" t="n"/>
      <c r="I2611" s="15" t="n"/>
      <c r="J2611" s="26">
        <f>IF($A2611="","",LEN($C2611)-LEN(SUBSTITUTE($C2611,",",""))+1)</f>
        <v/>
      </c>
      <c r="K2611" s="26">
        <f>IF($A2611="","",SUMPRODUCT(--ISNUMBER(SEARCH('Category Dictionary'!$D$5:$D$135&amp;"",$C2611)),--('Category Dictionary'!$D$5:$D$135&lt;&gt;"")))</f>
        <v/>
      </c>
      <c r="L2611" s="27">
        <f>IF($A2611="","",TRIM(IF(ISERROR(FIND(",",$C2611)),$C2611,LEFT($C2611,FIND(",",$C2611)-1))))</f>
        <v/>
      </c>
      <c r="M2611" s="28">
        <f>IF($H2611="","",DATE(YEAR($H2611),MONTH($H2611),1))</f>
        <v/>
      </c>
      <c r="N2611" s="26">
        <f>IF($H2611="","",TODAY()-$H2611)</f>
        <v/>
      </c>
      <c r="O2611" s="15" t="n"/>
      <c r="P2611" s="15" t="n"/>
      <c r="Q2611" s="15" t="n"/>
      <c r="R2611" s="25" t="n"/>
      <c r="S2611" s="26">
        <f>IF($A2611="","",AND(OR('Assignment Builder'!$B$5="",$B2611='Assignment Builder'!$B$5),OR('Assignment Builder'!$B$6="",ISNUMBER(SEARCH('Assignment Builder'!$B$6,$C2611))),OR('Assignment Builder'!$B$7="",'Assignment Builder'!$B$7=IFERROR(INDEX('Category Dictionary'!$C$5:$C$135,MATCH($L2611,'Category Dictionary'!$D$5:$D$135,0)),"")),OR('Assignment Builder'!$B$8="",$D2611='Assignment Builder'!$B$8),OR('Assignment Builder'!$B$9="",$F2611='Assignment Builder'!$B$9),OR('Assignment Builder'!$B$10="",$O2611='Assignment Builder'!$B$10),OR('Assignment Builder'!$B$11="",$H2611&gt;='Assignment Builder'!$B$11),OR('Assignment Builder'!$B$12="",N($Q2611)&lt;='Assignment Builder'!$B$12)))</f>
        <v/>
      </c>
      <c r="T2611" s="23" t="n"/>
    </row>
    <row r="2612">
      <c r="A2612" s="23" t="n"/>
      <c r="B2612" s="23" t="n"/>
      <c r="C2612" s="24" t="n"/>
      <c r="D2612" s="15" t="n"/>
      <c r="E2612" s="23" t="n"/>
      <c r="F2612" s="15" t="n"/>
      <c r="G2612" s="23" t="n"/>
      <c r="H2612" s="25" t="n"/>
      <c r="I2612" s="15" t="n"/>
      <c r="J2612" s="26">
        <f>IF($A2612="","",LEN($C2612)-LEN(SUBSTITUTE($C2612,",",""))+1)</f>
        <v/>
      </c>
      <c r="K2612" s="26">
        <f>IF($A2612="","",SUMPRODUCT(--ISNUMBER(SEARCH('Category Dictionary'!$D$5:$D$135&amp;"",$C2612)),--('Category Dictionary'!$D$5:$D$135&lt;&gt;"")))</f>
        <v/>
      </c>
      <c r="L2612" s="27">
        <f>IF($A2612="","",TRIM(IF(ISERROR(FIND(",",$C2612)),$C2612,LEFT($C2612,FIND(",",$C2612)-1))))</f>
        <v/>
      </c>
      <c r="M2612" s="28">
        <f>IF($H2612="","",DATE(YEAR($H2612),MONTH($H2612),1))</f>
        <v/>
      </c>
      <c r="N2612" s="26">
        <f>IF($H2612="","",TODAY()-$H2612)</f>
        <v/>
      </c>
      <c r="O2612" s="15" t="n"/>
      <c r="P2612" s="15" t="n"/>
      <c r="Q2612" s="15" t="n"/>
      <c r="R2612" s="25" t="n"/>
      <c r="S2612" s="26">
        <f>IF($A2612="","",AND(OR('Assignment Builder'!$B$5="",$B2612='Assignment Builder'!$B$5),OR('Assignment Builder'!$B$6="",ISNUMBER(SEARCH('Assignment Builder'!$B$6,$C2612))),OR('Assignment Builder'!$B$7="",'Assignment Builder'!$B$7=IFERROR(INDEX('Category Dictionary'!$C$5:$C$135,MATCH($L2612,'Category Dictionary'!$D$5:$D$135,0)),"")),OR('Assignment Builder'!$B$8="",$D2612='Assignment Builder'!$B$8),OR('Assignment Builder'!$B$9="",$F2612='Assignment Builder'!$B$9),OR('Assignment Builder'!$B$10="",$O2612='Assignment Builder'!$B$10),OR('Assignment Builder'!$B$11="",$H2612&gt;='Assignment Builder'!$B$11),OR('Assignment Builder'!$B$12="",N($Q2612)&lt;='Assignment Builder'!$B$12)))</f>
        <v/>
      </c>
      <c r="T2612" s="23" t="n"/>
    </row>
    <row r="2613">
      <c r="A2613" s="23" t="n"/>
      <c r="B2613" s="23" t="n"/>
      <c r="C2613" s="24" t="n"/>
      <c r="D2613" s="15" t="n"/>
      <c r="E2613" s="23" t="n"/>
      <c r="F2613" s="15" t="n"/>
      <c r="G2613" s="23" t="n"/>
      <c r="H2613" s="25" t="n"/>
      <c r="I2613" s="15" t="n"/>
      <c r="J2613" s="26">
        <f>IF($A2613="","",LEN($C2613)-LEN(SUBSTITUTE($C2613,",",""))+1)</f>
        <v/>
      </c>
      <c r="K2613" s="26">
        <f>IF($A2613="","",SUMPRODUCT(--ISNUMBER(SEARCH('Category Dictionary'!$D$5:$D$135&amp;"",$C2613)),--('Category Dictionary'!$D$5:$D$135&lt;&gt;"")))</f>
        <v/>
      </c>
      <c r="L2613" s="27">
        <f>IF($A2613="","",TRIM(IF(ISERROR(FIND(",",$C2613)),$C2613,LEFT($C2613,FIND(",",$C2613)-1))))</f>
        <v/>
      </c>
      <c r="M2613" s="28">
        <f>IF($H2613="","",DATE(YEAR($H2613),MONTH($H2613),1))</f>
        <v/>
      </c>
      <c r="N2613" s="26">
        <f>IF($H2613="","",TODAY()-$H2613)</f>
        <v/>
      </c>
      <c r="O2613" s="15" t="n"/>
      <c r="P2613" s="15" t="n"/>
      <c r="Q2613" s="15" t="n"/>
      <c r="R2613" s="25" t="n"/>
      <c r="S2613" s="26">
        <f>IF($A2613="","",AND(OR('Assignment Builder'!$B$5="",$B2613='Assignment Builder'!$B$5),OR('Assignment Builder'!$B$6="",ISNUMBER(SEARCH('Assignment Builder'!$B$6,$C2613))),OR('Assignment Builder'!$B$7="",'Assignment Builder'!$B$7=IFERROR(INDEX('Category Dictionary'!$C$5:$C$135,MATCH($L2613,'Category Dictionary'!$D$5:$D$135,0)),"")),OR('Assignment Builder'!$B$8="",$D2613='Assignment Builder'!$B$8),OR('Assignment Builder'!$B$9="",$F2613='Assignment Builder'!$B$9),OR('Assignment Builder'!$B$10="",$O2613='Assignment Builder'!$B$10),OR('Assignment Builder'!$B$11="",$H2613&gt;='Assignment Builder'!$B$11),OR('Assignment Builder'!$B$12="",N($Q2613)&lt;='Assignment Builder'!$B$12)))</f>
        <v/>
      </c>
      <c r="T2613" s="23" t="n"/>
    </row>
    <row r="2614">
      <c r="A2614" s="23" t="n"/>
      <c r="B2614" s="23" t="n"/>
      <c r="C2614" s="24" t="n"/>
      <c r="D2614" s="15" t="n"/>
      <c r="E2614" s="23" t="n"/>
      <c r="F2614" s="15" t="n"/>
      <c r="G2614" s="23" t="n"/>
      <c r="H2614" s="25" t="n"/>
      <c r="I2614" s="15" t="n"/>
      <c r="J2614" s="26">
        <f>IF($A2614="","",LEN($C2614)-LEN(SUBSTITUTE($C2614,",",""))+1)</f>
        <v/>
      </c>
      <c r="K2614" s="26">
        <f>IF($A2614="","",SUMPRODUCT(--ISNUMBER(SEARCH('Category Dictionary'!$D$5:$D$135&amp;"",$C2614)),--('Category Dictionary'!$D$5:$D$135&lt;&gt;"")))</f>
        <v/>
      </c>
      <c r="L2614" s="27">
        <f>IF($A2614="","",TRIM(IF(ISERROR(FIND(",",$C2614)),$C2614,LEFT($C2614,FIND(",",$C2614)-1))))</f>
        <v/>
      </c>
      <c r="M2614" s="28">
        <f>IF($H2614="","",DATE(YEAR($H2614),MONTH($H2614),1))</f>
        <v/>
      </c>
      <c r="N2614" s="26">
        <f>IF($H2614="","",TODAY()-$H2614)</f>
        <v/>
      </c>
      <c r="O2614" s="15" t="n"/>
      <c r="P2614" s="15" t="n"/>
      <c r="Q2614" s="15" t="n"/>
      <c r="R2614" s="25" t="n"/>
      <c r="S2614" s="26">
        <f>IF($A2614="","",AND(OR('Assignment Builder'!$B$5="",$B2614='Assignment Builder'!$B$5),OR('Assignment Builder'!$B$6="",ISNUMBER(SEARCH('Assignment Builder'!$B$6,$C2614))),OR('Assignment Builder'!$B$7="",'Assignment Builder'!$B$7=IFERROR(INDEX('Category Dictionary'!$C$5:$C$135,MATCH($L2614,'Category Dictionary'!$D$5:$D$135,0)),"")),OR('Assignment Builder'!$B$8="",$D2614='Assignment Builder'!$B$8),OR('Assignment Builder'!$B$9="",$F2614='Assignment Builder'!$B$9),OR('Assignment Builder'!$B$10="",$O2614='Assignment Builder'!$B$10),OR('Assignment Builder'!$B$11="",$H2614&gt;='Assignment Builder'!$B$11),OR('Assignment Builder'!$B$12="",N($Q2614)&lt;='Assignment Builder'!$B$12)))</f>
        <v/>
      </c>
      <c r="T2614" s="23" t="n"/>
    </row>
    <row r="2615">
      <c r="A2615" s="23" t="n"/>
      <c r="B2615" s="23" t="n"/>
      <c r="C2615" s="24" t="n"/>
      <c r="D2615" s="15" t="n"/>
      <c r="E2615" s="23" t="n"/>
      <c r="F2615" s="15" t="n"/>
      <c r="G2615" s="23" t="n"/>
      <c r="H2615" s="25" t="n"/>
      <c r="I2615" s="15" t="n"/>
      <c r="J2615" s="26">
        <f>IF($A2615="","",LEN($C2615)-LEN(SUBSTITUTE($C2615,",",""))+1)</f>
        <v/>
      </c>
      <c r="K2615" s="26">
        <f>IF($A2615="","",SUMPRODUCT(--ISNUMBER(SEARCH('Category Dictionary'!$D$5:$D$135&amp;"",$C2615)),--('Category Dictionary'!$D$5:$D$135&lt;&gt;"")))</f>
        <v/>
      </c>
      <c r="L2615" s="27">
        <f>IF($A2615="","",TRIM(IF(ISERROR(FIND(",",$C2615)),$C2615,LEFT($C2615,FIND(",",$C2615)-1))))</f>
        <v/>
      </c>
      <c r="M2615" s="28">
        <f>IF($H2615="","",DATE(YEAR($H2615),MONTH($H2615),1))</f>
        <v/>
      </c>
      <c r="N2615" s="26">
        <f>IF($H2615="","",TODAY()-$H2615)</f>
        <v/>
      </c>
      <c r="O2615" s="15" t="n"/>
      <c r="P2615" s="15" t="n"/>
      <c r="Q2615" s="15" t="n"/>
      <c r="R2615" s="25" t="n"/>
      <c r="S2615" s="26">
        <f>IF($A2615="","",AND(OR('Assignment Builder'!$B$5="",$B2615='Assignment Builder'!$B$5),OR('Assignment Builder'!$B$6="",ISNUMBER(SEARCH('Assignment Builder'!$B$6,$C2615))),OR('Assignment Builder'!$B$7="",'Assignment Builder'!$B$7=IFERROR(INDEX('Category Dictionary'!$C$5:$C$135,MATCH($L2615,'Category Dictionary'!$D$5:$D$135,0)),"")),OR('Assignment Builder'!$B$8="",$D2615='Assignment Builder'!$B$8),OR('Assignment Builder'!$B$9="",$F2615='Assignment Builder'!$B$9),OR('Assignment Builder'!$B$10="",$O2615='Assignment Builder'!$B$10),OR('Assignment Builder'!$B$11="",$H2615&gt;='Assignment Builder'!$B$11),OR('Assignment Builder'!$B$12="",N($Q2615)&lt;='Assignment Builder'!$B$12)))</f>
        <v/>
      </c>
      <c r="T2615" s="23" t="n"/>
    </row>
    <row r="2616">
      <c r="A2616" s="23" t="n"/>
      <c r="B2616" s="23" t="n"/>
      <c r="C2616" s="24" t="n"/>
      <c r="D2616" s="15" t="n"/>
      <c r="E2616" s="23" t="n"/>
      <c r="F2616" s="15" t="n"/>
      <c r="G2616" s="23" t="n"/>
      <c r="H2616" s="25" t="n"/>
      <c r="I2616" s="15" t="n"/>
      <c r="J2616" s="26">
        <f>IF($A2616="","",LEN($C2616)-LEN(SUBSTITUTE($C2616,",",""))+1)</f>
        <v/>
      </c>
      <c r="K2616" s="26">
        <f>IF($A2616="","",SUMPRODUCT(--ISNUMBER(SEARCH('Category Dictionary'!$D$5:$D$135&amp;"",$C2616)),--('Category Dictionary'!$D$5:$D$135&lt;&gt;"")))</f>
        <v/>
      </c>
      <c r="L2616" s="27">
        <f>IF($A2616="","",TRIM(IF(ISERROR(FIND(",",$C2616)),$C2616,LEFT($C2616,FIND(",",$C2616)-1))))</f>
        <v/>
      </c>
      <c r="M2616" s="28">
        <f>IF($H2616="","",DATE(YEAR($H2616),MONTH($H2616),1))</f>
        <v/>
      </c>
      <c r="N2616" s="26">
        <f>IF($H2616="","",TODAY()-$H2616)</f>
        <v/>
      </c>
      <c r="O2616" s="15" t="n"/>
      <c r="P2616" s="15" t="n"/>
      <c r="Q2616" s="15" t="n"/>
      <c r="R2616" s="25" t="n"/>
      <c r="S2616" s="26">
        <f>IF($A2616="","",AND(OR('Assignment Builder'!$B$5="",$B2616='Assignment Builder'!$B$5),OR('Assignment Builder'!$B$6="",ISNUMBER(SEARCH('Assignment Builder'!$B$6,$C2616))),OR('Assignment Builder'!$B$7="",'Assignment Builder'!$B$7=IFERROR(INDEX('Category Dictionary'!$C$5:$C$135,MATCH($L2616,'Category Dictionary'!$D$5:$D$135,0)),"")),OR('Assignment Builder'!$B$8="",$D2616='Assignment Builder'!$B$8),OR('Assignment Builder'!$B$9="",$F2616='Assignment Builder'!$B$9),OR('Assignment Builder'!$B$10="",$O2616='Assignment Builder'!$B$10),OR('Assignment Builder'!$B$11="",$H2616&gt;='Assignment Builder'!$B$11),OR('Assignment Builder'!$B$12="",N($Q2616)&lt;='Assignment Builder'!$B$12)))</f>
        <v/>
      </c>
      <c r="T2616" s="23" t="n"/>
    </row>
    <row r="2617">
      <c r="A2617" s="23" t="n"/>
      <c r="B2617" s="23" t="n"/>
      <c r="C2617" s="24" t="n"/>
      <c r="D2617" s="15" t="n"/>
      <c r="E2617" s="23" t="n"/>
      <c r="F2617" s="15" t="n"/>
      <c r="G2617" s="23" t="n"/>
      <c r="H2617" s="25" t="n"/>
      <c r="I2617" s="15" t="n"/>
      <c r="J2617" s="26">
        <f>IF($A2617="","",LEN($C2617)-LEN(SUBSTITUTE($C2617,",",""))+1)</f>
        <v/>
      </c>
      <c r="K2617" s="26">
        <f>IF($A2617="","",SUMPRODUCT(--ISNUMBER(SEARCH('Category Dictionary'!$D$5:$D$135&amp;"",$C2617)),--('Category Dictionary'!$D$5:$D$135&lt;&gt;"")))</f>
        <v/>
      </c>
      <c r="L2617" s="27">
        <f>IF($A2617="","",TRIM(IF(ISERROR(FIND(",",$C2617)),$C2617,LEFT($C2617,FIND(",",$C2617)-1))))</f>
        <v/>
      </c>
      <c r="M2617" s="28">
        <f>IF($H2617="","",DATE(YEAR($H2617),MONTH($H2617),1))</f>
        <v/>
      </c>
      <c r="N2617" s="26">
        <f>IF($H2617="","",TODAY()-$H2617)</f>
        <v/>
      </c>
      <c r="O2617" s="15" t="n"/>
      <c r="P2617" s="15" t="n"/>
      <c r="Q2617" s="15" t="n"/>
      <c r="R2617" s="25" t="n"/>
      <c r="S2617" s="26">
        <f>IF($A2617="","",AND(OR('Assignment Builder'!$B$5="",$B2617='Assignment Builder'!$B$5),OR('Assignment Builder'!$B$6="",ISNUMBER(SEARCH('Assignment Builder'!$B$6,$C2617))),OR('Assignment Builder'!$B$7="",'Assignment Builder'!$B$7=IFERROR(INDEX('Category Dictionary'!$C$5:$C$135,MATCH($L2617,'Category Dictionary'!$D$5:$D$135,0)),"")),OR('Assignment Builder'!$B$8="",$D2617='Assignment Builder'!$B$8),OR('Assignment Builder'!$B$9="",$F2617='Assignment Builder'!$B$9),OR('Assignment Builder'!$B$10="",$O2617='Assignment Builder'!$B$10),OR('Assignment Builder'!$B$11="",$H2617&gt;='Assignment Builder'!$B$11),OR('Assignment Builder'!$B$12="",N($Q2617)&lt;='Assignment Builder'!$B$12)))</f>
        <v/>
      </c>
      <c r="T2617" s="23" t="n"/>
    </row>
    <row r="2618">
      <c r="A2618" s="23" t="n"/>
      <c r="B2618" s="23" t="n"/>
      <c r="C2618" s="24" t="n"/>
      <c r="D2618" s="15" t="n"/>
      <c r="E2618" s="23" t="n"/>
      <c r="F2618" s="15" t="n"/>
      <c r="G2618" s="23" t="n"/>
      <c r="H2618" s="25" t="n"/>
      <c r="I2618" s="15" t="n"/>
      <c r="J2618" s="26">
        <f>IF($A2618="","",LEN($C2618)-LEN(SUBSTITUTE($C2618,",",""))+1)</f>
        <v/>
      </c>
      <c r="K2618" s="26">
        <f>IF($A2618="","",SUMPRODUCT(--ISNUMBER(SEARCH('Category Dictionary'!$D$5:$D$135&amp;"",$C2618)),--('Category Dictionary'!$D$5:$D$135&lt;&gt;"")))</f>
        <v/>
      </c>
      <c r="L2618" s="27">
        <f>IF($A2618="","",TRIM(IF(ISERROR(FIND(",",$C2618)),$C2618,LEFT($C2618,FIND(",",$C2618)-1))))</f>
        <v/>
      </c>
      <c r="M2618" s="28">
        <f>IF($H2618="","",DATE(YEAR($H2618),MONTH($H2618),1))</f>
        <v/>
      </c>
      <c r="N2618" s="26">
        <f>IF($H2618="","",TODAY()-$H2618)</f>
        <v/>
      </c>
      <c r="O2618" s="15" t="n"/>
      <c r="P2618" s="15" t="n"/>
      <c r="Q2618" s="15" t="n"/>
      <c r="R2618" s="25" t="n"/>
      <c r="S2618" s="26">
        <f>IF($A2618="","",AND(OR('Assignment Builder'!$B$5="",$B2618='Assignment Builder'!$B$5),OR('Assignment Builder'!$B$6="",ISNUMBER(SEARCH('Assignment Builder'!$B$6,$C2618))),OR('Assignment Builder'!$B$7="",'Assignment Builder'!$B$7=IFERROR(INDEX('Category Dictionary'!$C$5:$C$135,MATCH($L2618,'Category Dictionary'!$D$5:$D$135,0)),"")),OR('Assignment Builder'!$B$8="",$D2618='Assignment Builder'!$B$8),OR('Assignment Builder'!$B$9="",$F2618='Assignment Builder'!$B$9),OR('Assignment Builder'!$B$10="",$O2618='Assignment Builder'!$B$10),OR('Assignment Builder'!$B$11="",$H2618&gt;='Assignment Builder'!$B$11),OR('Assignment Builder'!$B$12="",N($Q2618)&lt;='Assignment Builder'!$B$12)))</f>
        <v/>
      </c>
      <c r="T2618" s="23" t="n"/>
    </row>
    <row r="2619">
      <c r="A2619" s="23" t="n"/>
      <c r="B2619" s="23" t="n"/>
      <c r="C2619" s="24" t="n"/>
      <c r="D2619" s="15" t="n"/>
      <c r="E2619" s="23" t="n"/>
      <c r="F2619" s="15" t="n"/>
      <c r="G2619" s="23" t="n"/>
      <c r="H2619" s="25" t="n"/>
      <c r="I2619" s="15" t="n"/>
      <c r="J2619" s="26">
        <f>IF($A2619="","",LEN($C2619)-LEN(SUBSTITUTE($C2619,",",""))+1)</f>
        <v/>
      </c>
      <c r="K2619" s="26">
        <f>IF($A2619="","",SUMPRODUCT(--ISNUMBER(SEARCH('Category Dictionary'!$D$5:$D$135&amp;"",$C2619)),--('Category Dictionary'!$D$5:$D$135&lt;&gt;"")))</f>
        <v/>
      </c>
      <c r="L2619" s="27">
        <f>IF($A2619="","",TRIM(IF(ISERROR(FIND(",",$C2619)),$C2619,LEFT($C2619,FIND(",",$C2619)-1))))</f>
        <v/>
      </c>
      <c r="M2619" s="28">
        <f>IF($H2619="","",DATE(YEAR($H2619),MONTH($H2619),1))</f>
        <v/>
      </c>
      <c r="N2619" s="26">
        <f>IF($H2619="","",TODAY()-$H2619)</f>
        <v/>
      </c>
      <c r="O2619" s="15" t="n"/>
      <c r="P2619" s="15" t="n"/>
      <c r="Q2619" s="15" t="n"/>
      <c r="R2619" s="25" t="n"/>
      <c r="S2619" s="26">
        <f>IF($A2619="","",AND(OR('Assignment Builder'!$B$5="",$B2619='Assignment Builder'!$B$5),OR('Assignment Builder'!$B$6="",ISNUMBER(SEARCH('Assignment Builder'!$B$6,$C2619))),OR('Assignment Builder'!$B$7="",'Assignment Builder'!$B$7=IFERROR(INDEX('Category Dictionary'!$C$5:$C$135,MATCH($L2619,'Category Dictionary'!$D$5:$D$135,0)),"")),OR('Assignment Builder'!$B$8="",$D2619='Assignment Builder'!$B$8),OR('Assignment Builder'!$B$9="",$F2619='Assignment Builder'!$B$9),OR('Assignment Builder'!$B$10="",$O2619='Assignment Builder'!$B$10),OR('Assignment Builder'!$B$11="",$H2619&gt;='Assignment Builder'!$B$11),OR('Assignment Builder'!$B$12="",N($Q2619)&lt;='Assignment Builder'!$B$12)))</f>
        <v/>
      </c>
      <c r="T2619" s="23" t="n"/>
    </row>
    <row r="2620">
      <c r="A2620" s="23" t="n"/>
      <c r="B2620" s="23" t="n"/>
      <c r="C2620" s="24" t="n"/>
      <c r="D2620" s="15" t="n"/>
      <c r="E2620" s="23" t="n"/>
      <c r="F2620" s="15" t="n"/>
      <c r="G2620" s="23" t="n"/>
      <c r="H2620" s="25" t="n"/>
      <c r="I2620" s="15" t="n"/>
      <c r="J2620" s="26">
        <f>IF($A2620="","",LEN($C2620)-LEN(SUBSTITUTE($C2620,",",""))+1)</f>
        <v/>
      </c>
      <c r="K2620" s="26">
        <f>IF($A2620="","",SUMPRODUCT(--ISNUMBER(SEARCH('Category Dictionary'!$D$5:$D$135&amp;"",$C2620)),--('Category Dictionary'!$D$5:$D$135&lt;&gt;"")))</f>
        <v/>
      </c>
      <c r="L2620" s="27">
        <f>IF($A2620="","",TRIM(IF(ISERROR(FIND(",",$C2620)),$C2620,LEFT($C2620,FIND(",",$C2620)-1))))</f>
        <v/>
      </c>
      <c r="M2620" s="28">
        <f>IF($H2620="","",DATE(YEAR($H2620),MONTH($H2620),1))</f>
        <v/>
      </c>
      <c r="N2620" s="26">
        <f>IF($H2620="","",TODAY()-$H2620)</f>
        <v/>
      </c>
      <c r="O2620" s="15" t="n"/>
      <c r="P2620" s="15" t="n"/>
      <c r="Q2620" s="15" t="n"/>
      <c r="R2620" s="25" t="n"/>
      <c r="S2620" s="26">
        <f>IF($A2620="","",AND(OR('Assignment Builder'!$B$5="",$B2620='Assignment Builder'!$B$5),OR('Assignment Builder'!$B$6="",ISNUMBER(SEARCH('Assignment Builder'!$B$6,$C2620))),OR('Assignment Builder'!$B$7="",'Assignment Builder'!$B$7=IFERROR(INDEX('Category Dictionary'!$C$5:$C$135,MATCH($L2620,'Category Dictionary'!$D$5:$D$135,0)),"")),OR('Assignment Builder'!$B$8="",$D2620='Assignment Builder'!$B$8),OR('Assignment Builder'!$B$9="",$F2620='Assignment Builder'!$B$9),OR('Assignment Builder'!$B$10="",$O2620='Assignment Builder'!$B$10),OR('Assignment Builder'!$B$11="",$H2620&gt;='Assignment Builder'!$B$11),OR('Assignment Builder'!$B$12="",N($Q2620)&lt;='Assignment Builder'!$B$12)))</f>
        <v/>
      </c>
      <c r="T2620" s="23" t="n"/>
    </row>
    <row r="2621">
      <c r="A2621" s="23" t="n"/>
      <c r="B2621" s="23" t="n"/>
      <c r="C2621" s="24" t="n"/>
      <c r="D2621" s="15" t="n"/>
      <c r="E2621" s="23" t="n"/>
      <c r="F2621" s="15" t="n"/>
      <c r="G2621" s="23" t="n"/>
      <c r="H2621" s="25" t="n"/>
      <c r="I2621" s="15" t="n"/>
      <c r="J2621" s="26">
        <f>IF($A2621="","",LEN($C2621)-LEN(SUBSTITUTE($C2621,",",""))+1)</f>
        <v/>
      </c>
      <c r="K2621" s="26">
        <f>IF($A2621="","",SUMPRODUCT(--ISNUMBER(SEARCH('Category Dictionary'!$D$5:$D$135&amp;"",$C2621)),--('Category Dictionary'!$D$5:$D$135&lt;&gt;"")))</f>
        <v/>
      </c>
      <c r="L2621" s="27">
        <f>IF($A2621="","",TRIM(IF(ISERROR(FIND(",",$C2621)),$C2621,LEFT($C2621,FIND(",",$C2621)-1))))</f>
        <v/>
      </c>
      <c r="M2621" s="28">
        <f>IF($H2621="","",DATE(YEAR($H2621),MONTH($H2621),1))</f>
        <v/>
      </c>
      <c r="N2621" s="26">
        <f>IF($H2621="","",TODAY()-$H2621)</f>
        <v/>
      </c>
      <c r="O2621" s="15" t="n"/>
      <c r="P2621" s="15" t="n"/>
      <c r="Q2621" s="15" t="n"/>
      <c r="R2621" s="25" t="n"/>
      <c r="S2621" s="26">
        <f>IF($A2621="","",AND(OR('Assignment Builder'!$B$5="",$B2621='Assignment Builder'!$B$5),OR('Assignment Builder'!$B$6="",ISNUMBER(SEARCH('Assignment Builder'!$B$6,$C2621))),OR('Assignment Builder'!$B$7="",'Assignment Builder'!$B$7=IFERROR(INDEX('Category Dictionary'!$C$5:$C$135,MATCH($L2621,'Category Dictionary'!$D$5:$D$135,0)),"")),OR('Assignment Builder'!$B$8="",$D2621='Assignment Builder'!$B$8),OR('Assignment Builder'!$B$9="",$F2621='Assignment Builder'!$B$9),OR('Assignment Builder'!$B$10="",$O2621='Assignment Builder'!$B$10),OR('Assignment Builder'!$B$11="",$H2621&gt;='Assignment Builder'!$B$11),OR('Assignment Builder'!$B$12="",N($Q2621)&lt;='Assignment Builder'!$B$12)))</f>
        <v/>
      </c>
      <c r="T2621" s="23" t="n"/>
    </row>
    <row r="2622">
      <c r="A2622" s="23" t="n"/>
      <c r="B2622" s="23" t="n"/>
      <c r="C2622" s="24" t="n"/>
      <c r="D2622" s="15" t="n"/>
      <c r="E2622" s="23" t="n"/>
      <c r="F2622" s="15" t="n"/>
      <c r="G2622" s="23" t="n"/>
      <c r="H2622" s="25" t="n"/>
      <c r="I2622" s="15" t="n"/>
      <c r="J2622" s="26">
        <f>IF($A2622="","",LEN($C2622)-LEN(SUBSTITUTE($C2622,",",""))+1)</f>
        <v/>
      </c>
      <c r="K2622" s="26">
        <f>IF($A2622="","",SUMPRODUCT(--ISNUMBER(SEARCH('Category Dictionary'!$D$5:$D$135&amp;"",$C2622)),--('Category Dictionary'!$D$5:$D$135&lt;&gt;"")))</f>
        <v/>
      </c>
      <c r="L2622" s="27">
        <f>IF($A2622="","",TRIM(IF(ISERROR(FIND(",",$C2622)),$C2622,LEFT($C2622,FIND(",",$C2622)-1))))</f>
        <v/>
      </c>
      <c r="M2622" s="28">
        <f>IF($H2622="","",DATE(YEAR($H2622),MONTH($H2622),1))</f>
        <v/>
      </c>
      <c r="N2622" s="26">
        <f>IF($H2622="","",TODAY()-$H2622)</f>
        <v/>
      </c>
      <c r="O2622" s="15" t="n"/>
      <c r="P2622" s="15" t="n"/>
      <c r="Q2622" s="15" t="n"/>
      <c r="R2622" s="25" t="n"/>
      <c r="S2622" s="26">
        <f>IF($A2622="","",AND(OR('Assignment Builder'!$B$5="",$B2622='Assignment Builder'!$B$5),OR('Assignment Builder'!$B$6="",ISNUMBER(SEARCH('Assignment Builder'!$B$6,$C2622))),OR('Assignment Builder'!$B$7="",'Assignment Builder'!$B$7=IFERROR(INDEX('Category Dictionary'!$C$5:$C$135,MATCH($L2622,'Category Dictionary'!$D$5:$D$135,0)),"")),OR('Assignment Builder'!$B$8="",$D2622='Assignment Builder'!$B$8),OR('Assignment Builder'!$B$9="",$F2622='Assignment Builder'!$B$9),OR('Assignment Builder'!$B$10="",$O2622='Assignment Builder'!$B$10),OR('Assignment Builder'!$B$11="",$H2622&gt;='Assignment Builder'!$B$11),OR('Assignment Builder'!$B$12="",N($Q2622)&lt;='Assignment Builder'!$B$12)))</f>
        <v/>
      </c>
      <c r="T2622" s="23" t="n"/>
    </row>
    <row r="2623">
      <c r="A2623" s="23" t="n"/>
      <c r="B2623" s="23" t="n"/>
      <c r="C2623" s="24" t="n"/>
      <c r="D2623" s="15" t="n"/>
      <c r="E2623" s="23" t="n"/>
      <c r="F2623" s="15" t="n"/>
      <c r="G2623" s="23" t="n"/>
      <c r="H2623" s="25" t="n"/>
      <c r="I2623" s="15" t="n"/>
      <c r="J2623" s="26">
        <f>IF($A2623="","",LEN($C2623)-LEN(SUBSTITUTE($C2623,",",""))+1)</f>
        <v/>
      </c>
      <c r="K2623" s="26">
        <f>IF($A2623="","",SUMPRODUCT(--ISNUMBER(SEARCH('Category Dictionary'!$D$5:$D$135&amp;"",$C2623)),--('Category Dictionary'!$D$5:$D$135&lt;&gt;"")))</f>
        <v/>
      </c>
      <c r="L2623" s="27">
        <f>IF($A2623="","",TRIM(IF(ISERROR(FIND(",",$C2623)),$C2623,LEFT($C2623,FIND(",",$C2623)-1))))</f>
        <v/>
      </c>
      <c r="M2623" s="28">
        <f>IF($H2623="","",DATE(YEAR($H2623),MONTH($H2623),1))</f>
        <v/>
      </c>
      <c r="N2623" s="26">
        <f>IF($H2623="","",TODAY()-$H2623)</f>
        <v/>
      </c>
      <c r="O2623" s="15" t="n"/>
      <c r="P2623" s="15" t="n"/>
      <c r="Q2623" s="15" t="n"/>
      <c r="R2623" s="25" t="n"/>
      <c r="S2623" s="26">
        <f>IF($A2623="","",AND(OR('Assignment Builder'!$B$5="",$B2623='Assignment Builder'!$B$5),OR('Assignment Builder'!$B$6="",ISNUMBER(SEARCH('Assignment Builder'!$B$6,$C2623))),OR('Assignment Builder'!$B$7="",'Assignment Builder'!$B$7=IFERROR(INDEX('Category Dictionary'!$C$5:$C$135,MATCH($L2623,'Category Dictionary'!$D$5:$D$135,0)),"")),OR('Assignment Builder'!$B$8="",$D2623='Assignment Builder'!$B$8),OR('Assignment Builder'!$B$9="",$F2623='Assignment Builder'!$B$9),OR('Assignment Builder'!$B$10="",$O2623='Assignment Builder'!$B$10),OR('Assignment Builder'!$B$11="",$H2623&gt;='Assignment Builder'!$B$11),OR('Assignment Builder'!$B$12="",N($Q2623)&lt;='Assignment Builder'!$B$12)))</f>
        <v/>
      </c>
      <c r="T2623" s="23" t="n"/>
    </row>
    <row r="2624">
      <c r="A2624" s="23" t="n"/>
      <c r="B2624" s="23" t="n"/>
      <c r="C2624" s="24" t="n"/>
      <c r="D2624" s="15" t="n"/>
      <c r="E2624" s="23" t="n"/>
      <c r="F2624" s="15" t="n"/>
      <c r="G2624" s="23" t="n"/>
      <c r="H2624" s="25" t="n"/>
      <c r="I2624" s="15" t="n"/>
      <c r="J2624" s="26">
        <f>IF($A2624="","",LEN($C2624)-LEN(SUBSTITUTE($C2624,",",""))+1)</f>
        <v/>
      </c>
      <c r="K2624" s="26">
        <f>IF($A2624="","",SUMPRODUCT(--ISNUMBER(SEARCH('Category Dictionary'!$D$5:$D$135&amp;"",$C2624)),--('Category Dictionary'!$D$5:$D$135&lt;&gt;"")))</f>
        <v/>
      </c>
      <c r="L2624" s="27">
        <f>IF($A2624="","",TRIM(IF(ISERROR(FIND(",",$C2624)),$C2624,LEFT($C2624,FIND(",",$C2624)-1))))</f>
        <v/>
      </c>
      <c r="M2624" s="28">
        <f>IF($H2624="","",DATE(YEAR($H2624),MONTH($H2624),1))</f>
        <v/>
      </c>
      <c r="N2624" s="26">
        <f>IF($H2624="","",TODAY()-$H2624)</f>
        <v/>
      </c>
      <c r="O2624" s="15" t="n"/>
      <c r="P2624" s="15" t="n"/>
      <c r="Q2624" s="15" t="n"/>
      <c r="R2624" s="25" t="n"/>
      <c r="S2624" s="26">
        <f>IF($A2624="","",AND(OR('Assignment Builder'!$B$5="",$B2624='Assignment Builder'!$B$5),OR('Assignment Builder'!$B$6="",ISNUMBER(SEARCH('Assignment Builder'!$B$6,$C2624))),OR('Assignment Builder'!$B$7="",'Assignment Builder'!$B$7=IFERROR(INDEX('Category Dictionary'!$C$5:$C$135,MATCH($L2624,'Category Dictionary'!$D$5:$D$135,0)),"")),OR('Assignment Builder'!$B$8="",$D2624='Assignment Builder'!$B$8),OR('Assignment Builder'!$B$9="",$F2624='Assignment Builder'!$B$9),OR('Assignment Builder'!$B$10="",$O2624='Assignment Builder'!$B$10),OR('Assignment Builder'!$B$11="",$H2624&gt;='Assignment Builder'!$B$11),OR('Assignment Builder'!$B$12="",N($Q2624)&lt;='Assignment Builder'!$B$12)))</f>
        <v/>
      </c>
      <c r="T2624" s="23" t="n"/>
    </row>
    <row r="2625">
      <c r="A2625" s="23" t="n"/>
      <c r="B2625" s="23" t="n"/>
      <c r="C2625" s="24" t="n"/>
      <c r="D2625" s="15" t="n"/>
      <c r="E2625" s="23" t="n"/>
      <c r="F2625" s="15" t="n"/>
      <c r="G2625" s="23" t="n"/>
      <c r="H2625" s="25" t="n"/>
      <c r="I2625" s="15" t="n"/>
      <c r="J2625" s="26">
        <f>IF($A2625="","",LEN($C2625)-LEN(SUBSTITUTE($C2625,",",""))+1)</f>
        <v/>
      </c>
      <c r="K2625" s="26">
        <f>IF($A2625="","",SUMPRODUCT(--ISNUMBER(SEARCH('Category Dictionary'!$D$5:$D$135&amp;"",$C2625)),--('Category Dictionary'!$D$5:$D$135&lt;&gt;"")))</f>
        <v/>
      </c>
      <c r="L2625" s="27">
        <f>IF($A2625="","",TRIM(IF(ISERROR(FIND(",",$C2625)),$C2625,LEFT($C2625,FIND(",",$C2625)-1))))</f>
        <v/>
      </c>
      <c r="M2625" s="28">
        <f>IF($H2625="","",DATE(YEAR($H2625),MONTH($H2625),1))</f>
        <v/>
      </c>
      <c r="N2625" s="26">
        <f>IF($H2625="","",TODAY()-$H2625)</f>
        <v/>
      </c>
      <c r="O2625" s="15" t="n"/>
      <c r="P2625" s="15" t="n"/>
      <c r="Q2625" s="15" t="n"/>
      <c r="R2625" s="25" t="n"/>
      <c r="S2625" s="26">
        <f>IF($A2625="","",AND(OR('Assignment Builder'!$B$5="",$B2625='Assignment Builder'!$B$5),OR('Assignment Builder'!$B$6="",ISNUMBER(SEARCH('Assignment Builder'!$B$6,$C2625))),OR('Assignment Builder'!$B$7="",'Assignment Builder'!$B$7=IFERROR(INDEX('Category Dictionary'!$C$5:$C$135,MATCH($L2625,'Category Dictionary'!$D$5:$D$135,0)),"")),OR('Assignment Builder'!$B$8="",$D2625='Assignment Builder'!$B$8),OR('Assignment Builder'!$B$9="",$F2625='Assignment Builder'!$B$9),OR('Assignment Builder'!$B$10="",$O2625='Assignment Builder'!$B$10),OR('Assignment Builder'!$B$11="",$H2625&gt;='Assignment Builder'!$B$11),OR('Assignment Builder'!$B$12="",N($Q2625)&lt;='Assignment Builder'!$B$12)))</f>
        <v/>
      </c>
      <c r="T2625" s="23" t="n"/>
    </row>
    <row r="2626">
      <c r="A2626" s="23" t="n"/>
      <c r="B2626" s="23" t="n"/>
      <c r="C2626" s="24" t="n"/>
      <c r="D2626" s="15" t="n"/>
      <c r="E2626" s="23" t="n"/>
      <c r="F2626" s="15" t="n"/>
      <c r="G2626" s="23" t="n"/>
      <c r="H2626" s="25" t="n"/>
      <c r="I2626" s="15" t="n"/>
      <c r="J2626" s="26">
        <f>IF($A2626="","",LEN($C2626)-LEN(SUBSTITUTE($C2626,",",""))+1)</f>
        <v/>
      </c>
      <c r="K2626" s="26">
        <f>IF($A2626="","",SUMPRODUCT(--ISNUMBER(SEARCH('Category Dictionary'!$D$5:$D$135&amp;"",$C2626)),--('Category Dictionary'!$D$5:$D$135&lt;&gt;"")))</f>
        <v/>
      </c>
      <c r="L2626" s="27">
        <f>IF($A2626="","",TRIM(IF(ISERROR(FIND(",",$C2626)),$C2626,LEFT($C2626,FIND(",",$C2626)-1))))</f>
        <v/>
      </c>
      <c r="M2626" s="28">
        <f>IF($H2626="","",DATE(YEAR($H2626),MONTH($H2626),1))</f>
        <v/>
      </c>
      <c r="N2626" s="26">
        <f>IF($H2626="","",TODAY()-$H2626)</f>
        <v/>
      </c>
      <c r="O2626" s="15" t="n"/>
      <c r="P2626" s="15" t="n"/>
      <c r="Q2626" s="15" t="n"/>
      <c r="R2626" s="25" t="n"/>
      <c r="S2626" s="26">
        <f>IF($A2626="","",AND(OR('Assignment Builder'!$B$5="",$B2626='Assignment Builder'!$B$5),OR('Assignment Builder'!$B$6="",ISNUMBER(SEARCH('Assignment Builder'!$B$6,$C2626))),OR('Assignment Builder'!$B$7="",'Assignment Builder'!$B$7=IFERROR(INDEX('Category Dictionary'!$C$5:$C$135,MATCH($L2626,'Category Dictionary'!$D$5:$D$135,0)),"")),OR('Assignment Builder'!$B$8="",$D2626='Assignment Builder'!$B$8),OR('Assignment Builder'!$B$9="",$F2626='Assignment Builder'!$B$9),OR('Assignment Builder'!$B$10="",$O2626='Assignment Builder'!$B$10),OR('Assignment Builder'!$B$11="",$H2626&gt;='Assignment Builder'!$B$11),OR('Assignment Builder'!$B$12="",N($Q2626)&lt;='Assignment Builder'!$B$12)))</f>
        <v/>
      </c>
      <c r="T2626" s="23" t="n"/>
    </row>
    <row r="2627">
      <c r="A2627" s="23" t="n"/>
      <c r="B2627" s="23" t="n"/>
      <c r="C2627" s="24" t="n"/>
      <c r="D2627" s="15" t="n"/>
      <c r="E2627" s="23" t="n"/>
      <c r="F2627" s="15" t="n"/>
      <c r="G2627" s="23" t="n"/>
      <c r="H2627" s="25" t="n"/>
      <c r="I2627" s="15" t="n"/>
      <c r="J2627" s="26">
        <f>IF($A2627="","",LEN($C2627)-LEN(SUBSTITUTE($C2627,",",""))+1)</f>
        <v/>
      </c>
      <c r="K2627" s="26">
        <f>IF($A2627="","",SUMPRODUCT(--ISNUMBER(SEARCH('Category Dictionary'!$D$5:$D$135&amp;"",$C2627)),--('Category Dictionary'!$D$5:$D$135&lt;&gt;"")))</f>
        <v/>
      </c>
      <c r="L2627" s="27">
        <f>IF($A2627="","",TRIM(IF(ISERROR(FIND(",",$C2627)),$C2627,LEFT($C2627,FIND(",",$C2627)-1))))</f>
        <v/>
      </c>
      <c r="M2627" s="28">
        <f>IF($H2627="","",DATE(YEAR($H2627),MONTH($H2627),1))</f>
        <v/>
      </c>
      <c r="N2627" s="26">
        <f>IF($H2627="","",TODAY()-$H2627)</f>
        <v/>
      </c>
      <c r="O2627" s="15" t="n"/>
      <c r="P2627" s="15" t="n"/>
      <c r="Q2627" s="15" t="n"/>
      <c r="R2627" s="25" t="n"/>
      <c r="S2627" s="26">
        <f>IF($A2627="","",AND(OR('Assignment Builder'!$B$5="",$B2627='Assignment Builder'!$B$5),OR('Assignment Builder'!$B$6="",ISNUMBER(SEARCH('Assignment Builder'!$B$6,$C2627))),OR('Assignment Builder'!$B$7="",'Assignment Builder'!$B$7=IFERROR(INDEX('Category Dictionary'!$C$5:$C$135,MATCH($L2627,'Category Dictionary'!$D$5:$D$135,0)),"")),OR('Assignment Builder'!$B$8="",$D2627='Assignment Builder'!$B$8),OR('Assignment Builder'!$B$9="",$F2627='Assignment Builder'!$B$9),OR('Assignment Builder'!$B$10="",$O2627='Assignment Builder'!$B$10),OR('Assignment Builder'!$B$11="",$H2627&gt;='Assignment Builder'!$B$11),OR('Assignment Builder'!$B$12="",N($Q2627)&lt;='Assignment Builder'!$B$12)))</f>
        <v/>
      </c>
      <c r="T2627" s="23" t="n"/>
    </row>
    <row r="2628">
      <c r="A2628" s="23" t="n"/>
      <c r="B2628" s="23" t="n"/>
      <c r="C2628" s="24" t="n"/>
      <c r="D2628" s="15" t="n"/>
      <c r="E2628" s="23" t="n"/>
      <c r="F2628" s="15" t="n"/>
      <c r="G2628" s="23" t="n"/>
      <c r="H2628" s="25" t="n"/>
      <c r="I2628" s="15" t="n"/>
      <c r="J2628" s="26">
        <f>IF($A2628="","",LEN($C2628)-LEN(SUBSTITUTE($C2628,",",""))+1)</f>
        <v/>
      </c>
      <c r="K2628" s="26">
        <f>IF($A2628="","",SUMPRODUCT(--ISNUMBER(SEARCH('Category Dictionary'!$D$5:$D$135&amp;"",$C2628)),--('Category Dictionary'!$D$5:$D$135&lt;&gt;"")))</f>
        <v/>
      </c>
      <c r="L2628" s="27">
        <f>IF($A2628="","",TRIM(IF(ISERROR(FIND(",",$C2628)),$C2628,LEFT($C2628,FIND(",",$C2628)-1))))</f>
        <v/>
      </c>
      <c r="M2628" s="28">
        <f>IF($H2628="","",DATE(YEAR($H2628),MONTH($H2628),1))</f>
        <v/>
      </c>
      <c r="N2628" s="26">
        <f>IF($H2628="","",TODAY()-$H2628)</f>
        <v/>
      </c>
      <c r="O2628" s="15" t="n"/>
      <c r="P2628" s="15" t="n"/>
      <c r="Q2628" s="15" t="n"/>
      <c r="R2628" s="25" t="n"/>
      <c r="S2628" s="26">
        <f>IF($A2628="","",AND(OR('Assignment Builder'!$B$5="",$B2628='Assignment Builder'!$B$5),OR('Assignment Builder'!$B$6="",ISNUMBER(SEARCH('Assignment Builder'!$B$6,$C2628))),OR('Assignment Builder'!$B$7="",'Assignment Builder'!$B$7=IFERROR(INDEX('Category Dictionary'!$C$5:$C$135,MATCH($L2628,'Category Dictionary'!$D$5:$D$135,0)),"")),OR('Assignment Builder'!$B$8="",$D2628='Assignment Builder'!$B$8),OR('Assignment Builder'!$B$9="",$F2628='Assignment Builder'!$B$9),OR('Assignment Builder'!$B$10="",$O2628='Assignment Builder'!$B$10),OR('Assignment Builder'!$B$11="",$H2628&gt;='Assignment Builder'!$B$11),OR('Assignment Builder'!$B$12="",N($Q2628)&lt;='Assignment Builder'!$B$12)))</f>
        <v/>
      </c>
      <c r="T2628" s="23" t="n"/>
    </row>
    <row r="2629">
      <c r="A2629" s="23" t="n"/>
      <c r="B2629" s="23" t="n"/>
      <c r="C2629" s="24" t="n"/>
      <c r="D2629" s="15" t="n"/>
      <c r="E2629" s="23" t="n"/>
      <c r="F2629" s="15" t="n"/>
      <c r="G2629" s="23" t="n"/>
      <c r="H2629" s="25" t="n"/>
      <c r="I2629" s="15" t="n"/>
      <c r="J2629" s="26">
        <f>IF($A2629="","",LEN($C2629)-LEN(SUBSTITUTE($C2629,",",""))+1)</f>
        <v/>
      </c>
      <c r="K2629" s="26">
        <f>IF($A2629="","",SUMPRODUCT(--ISNUMBER(SEARCH('Category Dictionary'!$D$5:$D$135&amp;"",$C2629)),--('Category Dictionary'!$D$5:$D$135&lt;&gt;"")))</f>
        <v/>
      </c>
      <c r="L2629" s="27">
        <f>IF($A2629="","",TRIM(IF(ISERROR(FIND(",",$C2629)),$C2629,LEFT($C2629,FIND(",",$C2629)-1))))</f>
        <v/>
      </c>
      <c r="M2629" s="28">
        <f>IF($H2629="","",DATE(YEAR($H2629),MONTH($H2629),1))</f>
        <v/>
      </c>
      <c r="N2629" s="26">
        <f>IF($H2629="","",TODAY()-$H2629)</f>
        <v/>
      </c>
      <c r="O2629" s="15" t="n"/>
      <c r="P2629" s="15" t="n"/>
      <c r="Q2629" s="15" t="n"/>
      <c r="R2629" s="25" t="n"/>
      <c r="S2629" s="26">
        <f>IF($A2629="","",AND(OR('Assignment Builder'!$B$5="",$B2629='Assignment Builder'!$B$5),OR('Assignment Builder'!$B$6="",ISNUMBER(SEARCH('Assignment Builder'!$B$6,$C2629))),OR('Assignment Builder'!$B$7="",'Assignment Builder'!$B$7=IFERROR(INDEX('Category Dictionary'!$C$5:$C$135,MATCH($L2629,'Category Dictionary'!$D$5:$D$135,0)),"")),OR('Assignment Builder'!$B$8="",$D2629='Assignment Builder'!$B$8),OR('Assignment Builder'!$B$9="",$F2629='Assignment Builder'!$B$9),OR('Assignment Builder'!$B$10="",$O2629='Assignment Builder'!$B$10),OR('Assignment Builder'!$B$11="",$H2629&gt;='Assignment Builder'!$B$11),OR('Assignment Builder'!$B$12="",N($Q2629)&lt;='Assignment Builder'!$B$12)))</f>
        <v/>
      </c>
      <c r="T2629" s="23" t="n"/>
    </row>
    <row r="2630">
      <c r="A2630" s="23" t="n"/>
      <c r="B2630" s="23" t="n"/>
      <c r="C2630" s="24" t="n"/>
      <c r="D2630" s="15" t="n"/>
      <c r="E2630" s="23" t="n"/>
      <c r="F2630" s="15" t="n"/>
      <c r="G2630" s="23" t="n"/>
      <c r="H2630" s="25" t="n"/>
      <c r="I2630" s="15" t="n"/>
      <c r="J2630" s="26">
        <f>IF($A2630="","",LEN($C2630)-LEN(SUBSTITUTE($C2630,",",""))+1)</f>
        <v/>
      </c>
      <c r="K2630" s="26">
        <f>IF($A2630="","",SUMPRODUCT(--ISNUMBER(SEARCH('Category Dictionary'!$D$5:$D$135&amp;"",$C2630)),--('Category Dictionary'!$D$5:$D$135&lt;&gt;"")))</f>
        <v/>
      </c>
      <c r="L2630" s="27">
        <f>IF($A2630="","",TRIM(IF(ISERROR(FIND(",",$C2630)),$C2630,LEFT($C2630,FIND(",",$C2630)-1))))</f>
        <v/>
      </c>
      <c r="M2630" s="28">
        <f>IF($H2630="","",DATE(YEAR($H2630),MONTH($H2630),1))</f>
        <v/>
      </c>
      <c r="N2630" s="26">
        <f>IF($H2630="","",TODAY()-$H2630)</f>
        <v/>
      </c>
      <c r="O2630" s="15" t="n"/>
      <c r="P2630" s="15" t="n"/>
      <c r="Q2630" s="15" t="n"/>
      <c r="R2630" s="25" t="n"/>
      <c r="S2630" s="26">
        <f>IF($A2630="","",AND(OR('Assignment Builder'!$B$5="",$B2630='Assignment Builder'!$B$5),OR('Assignment Builder'!$B$6="",ISNUMBER(SEARCH('Assignment Builder'!$B$6,$C2630))),OR('Assignment Builder'!$B$7="",'Assignment Builder'!$B$7=IFERROR(INDEX('Category Dictionary'!$C$5:$C$135,MATCH($L2630,'Category Dictionary'!$D$5:$D$135,0)),"")),OR('Assignment Builder'!$B$8="",$D2630='Assignment Builder'!$B$8),OR('Assignment Builder'!$B$9="",$F2630='Assignment Builder'!$B$9),OR('Assignment Builder'!$B$10="",$O2630='Assignment Builder'!$B$10),OR('Assignment Builder'!$B$11="",$H2630&gt;='Assignment Builder'!$B$11),OR('Assignment Builder'!$B$12="",N($Q2630)&lt;='Assignment Builder'!$B$12)))</f>
        <v/>
      </c>
      <c r="T2630" s="23" t="n"/>
    </row>
    <row r="2631">
      <c r="A2631" s="23" t="n"/>
      <c r="B2631" s="23" t="n"/>
      <c r="C2631" s="24" t="n"/>
      <c r="D2631" s="15" t="n"/>
      <c r="E2631" s="23" t="n"/>
      <c r="F2631" s="15" t="n"/>
      <c r="G2631" s="23" t="n"/>
      <c r="H2631" s="25" t="n"/>
      <c r="I2631" s="15" t="n"/>
      <c r="J2631" s="26">
        <f>IF($A2631="","",LEN($C2631)-LEN(SUBSTITUTE($C2631,",",""))+1)</f>
        <v/>
      </c>
      <c r="K2631" s="26">
        <f>IF($A2631="","",SUMPRODUCT(--ISNUMBER(SEARCH('Category Dictionary'!$D$5:$D$135&amp;"",$C2631)),--('Category Dictionary'!$D$5:$D$135&lt;&gt;"")))</f>
        <v/>
      </c>
      <c r="L2631" s="27">
        <f>IF($A2631="","",TRIM(IF(ISERROR(FIND(",",$C2631)),$C2631,LEFT($C2631,FIND(",",$C2631)-1))))</f>
        <v/>
      </c>
      <c r="M2631" s="28">
        <f>IF($H2631="","",DATE(YEAR($H2631),MONTH($H2631),1))</f>
        <v/>
      </c>
      <c r="N2631" s="26">
        <f>IF($H2631="","",TODAY()-$H2631)</f>
        <v/>
      </c>
      <c r="O2631" s="15" t="n"/>
      <c r="P2631" s="15" t="n"/>
      <c r="Q2631" s="15" t="n"/>
      <c r="R2631" s="25" t="n"/>
      <c r="S2631" s="26">
        <f>IF($A2631="","",AND(OR('Assignment Builder'!$B$5="",$B2631='Assignment Builder'!$B$5),OR('Assignment Builder'!$B$6="",ISNUMBER(SEARCH('Assignment Builder'!$B$6,$C2631))),OR('Assignment Builder'!$B$7="",'Assignment Builder'!$B$7=IFERROR(INDEX('Category Dictionary'!$C$5:$C$135,MATCH($L2631,'Category Dictionary'!$D$5:$D$135,0)),"")),OR('Assignment Builder'!$B$8="",$D2631='Assignment Builder'!$B$8),OR('Assignment Builder'!$B$9="",$F2631='Assignment Builder'!$B$9),OR('Assignment Builder'!$B$10="",$O2631='Assignment Builder'!$B$10),OR('Assignment Builder'!$B$11="",$H2631&gt;='Assignment Builder'!$B$11),OR('Assignment Builder'!$B$12="",N($Q2631)&lt;='Assignment Builder'!$B$12)))</f>
        <v/>
      </c>
      <c r="T2631" s="23" t="n"/>
    </row>
    <row r="2632">
      <c r="A2632" s="23" t="n"/>
      <c r="B2632" s="23" t="n"/>
      <c r="C2632" s="24" t="n"/>
      <c r="D2632" s="15" t="n"/>
      <c r="E2632" s="23" t="n"/>
      <c r="F2632" s="15" t="n"/>
      <c r="G2632" s="23" t="n"/>
      <c r="H2632" s="25" t="n"/>
      <c r="I2632" s="15" t="n"/>
      <c r="J2632" s="26">
        <f>IF($A2632="","",LEN($C2632)-LEN(SUBSTITUTE($C2632,",",""))+1)</f>
        <v/>
      </c>
      <c r="K2632" s="26">
        <f>IF($A2632="","",SUMPRODUCT(--ISNUMBER(SEARCH('Category Dictionary'!$D$5:$D$135&amp;"",$C2632)),--('Category Dictionary'!$D$5:$D$135&lt;&gt;"")))</f>
        <v/>
      </c>
      <c r="L2632" s="27">
        <f>IF($A2632="","",TRIM(IF(ISERROR(FIND(",",$C2632)),$C2632,LEFT($C2632,FIND(",",$C2632)-1))))</f>
        <v/>
      </c>
      <c r="M2632" s="28">
        <f>IF($H2632="","",DATE(YEAR($H2632),MONTH($H2632),1))</f>
        <v/>
      </c>
      <c r="N2632" s="26">
        <f>IF($H2632="","",TODAY()-$H2632)</f>
        <v/>
      </c>
      <c r="O2632" s="15" t="n"/>
      <c r="P2632" s="15" t="n"/>
      <c r="Q2632" s="15" t="n"/>
      <c r="R2632" s="25" t="n"/>
      <c r="S2632" s="26">
        <f>IF($A2632="","",AND(OR('Assignment Builder'!$B$5="",$B2632='Assignment Builder'!$B$5),OR('Assignment Builder'!$B$6="",ISNUMBER(SEARCH('Assignment Builder'!$B$6,$C2632))),OR('Assignment Builder'!$B$7="",'Assignment Builder'!$B$7=IFERROR(INDEX('Category Dictionary'!$C$5:$C$135,MATCH($L2632,'Category Dictionary'!$D$5:$D$135,0)),"")),OR('Assignment Builder'!$B$8="",$D2632='Assignment Builder'!$B$8),OR('Assignment Builder'!$B$9="",$F2632='Assignment Builder'!$B$9),OR('Assignment Builder'!$B$10="",$O2632='Assignment Builder'!$B$10),OR('Assignment Builder'!$B$11="",$H2632&gt;='Assignment Builder'!$B$11),OR('Assignment Builder'!$B$12="",N($Q2632)&lt;='Assignment Builder'!$B$12)))</f>
        <v/>
      </c>
      <c r="T2632" s="23" t="n"/>
    </row>
    <row r="2633">
      <c r="A2633" s="23" t="n"/>
      <c r="B2633" s="23" t="n"/>
      <c r="C2633" s="24" t="n"/>
      <c r="D2633" s="15" t="n"/>
      <c r="E2633" s="23" t="n"/>
      <c r="F2633" s="15" t="n"/>
      <c r="G2633" s="23" t="n"/>
      <c r="H2633" s="25" t="n"/>
      <c r="I2633" s="15" t="n"/>
      <c r="J2633" s="26">
        <f>IF($A2633="","",LEN($C2633)-LEN(SUBSTITUTE($C2633,",",""))+1)</f>
        <v/>
      </c>
      <c r="K2633" s="26">
        <f>IF($A2633="","",SUMPRODUCT(--ISNUMBER(SEARCH('Category Dictionary'!$D$5:$D$135&amp;"",$C2633)),--('Category Dictionary'!$D$5:$D$135&lt;&gt;"")))</f>
        <v/>
      </c>
      <c r="L2633" s="27">
        <f>IF($A2633="","",TRIM(IF(ISERROR(FIND(",",$C2633)),$C2633,LEFT($C2633,FIND(",",$C2633)-1))))</f>
        <v/>
      </c>
      <c r="M2633" s="28">
        <f>IF($H2633="","",DATE(YEAR($H2633),MONTH($H2633),1))</f>
        <v/>
      </c>
      <c r="N2633" s="26">
        <f>IF($H2633="","",TODAY()-$H2633)</f>
        <v/>
      </c>
      <c r="O2633" s="15" t="n"/>
      <c r="P2633" s="15" t="n"/>
      <c r="Q2633" s="15" t="n"/>
      <c r="R2633" s="25" t="n"/>
      <c r="S2633" s="26">
        <f>IF($A2633="","",AND(OR('Assignment Builder'!$B$5="",$B2633='Assignment Builder'!$B$5),OR('Assignment Builder'!$B$6="",ISNUMBER(SEARCH('Assignment Builder'!$B$6,$C2633))),OR('Assignment Builder'!$B$7="",'Assignment Builder'!$B$7=IFERROR(INDEX('Category Dictionary'!$C$5:$C$135,MATCH($L2633,'Category Dictionary'!$D$5:$D$135,0)),"")),OR('Assignment Builder'!$B$8="",$D2633='Assignment Builder'!$B$8),OR('Assignment Builder'!$B$9="",$F2633='Assignment Builder'!$B$9),OR('Assignment Builder'!$B$10="",$O2633='Assignment Builder'!$B$10),OR('Assignment Builder'!$B$11="",$H2633&gt;='Assignment Builder'!$B$11),OR('Assignment Builder'!$B$12="",N($Q2633)&lt;='Assignment Builder'!$B$12)))</f>
        <v/>
      </c>
      <c r="T2633" s="23" t="n"/>
    </row>
    <row r="2634">
      <c r="A2634" s="23" t="n"/>
      <c r="B2634" s="23" t="n"/>
      <c r="C2634" s="24" t="n"/>
      <c r="D2634" s="15" t="n"/>
      <c r="E2634" s="23" t="n"/>
      <c r="F2634" s="15" t="n"/>
      <c r="G2634" s="23" t="n"/>
      <c r="H2634" s="25" t="n"/>
      <c r="I2634" s="15" t="n"/>
      <c r="J2634" s="26">
        <f>IF($A2634="","",LEN($C2634)-LEN(SUBSTITUTE($C2634,",",""))+1)</f>
        <v/>
      </c>
      <c r="K2634" s="26">
        <f>IF($A2634="","",SUMPRODUCT(--ISNUMBER(SEARCH('Category Dictionary'!$D$5:$D$135&amp;"",$C2634)),--('Category Dictionary'!$D$5:$D$135&lt;&gt;"")))</f>
        <v/>
      </c>
      <c r="L2634" s="27">
        <f>IF($A2634="","",TRIM(IF(ISERROR(FIND(",",$C2634)),$C2634,LEFT($C2634,FIND(",",$C2634)-1))))</f>
        <v/>
      </c>
      <c r="M2634" s="28">
        <f>IF($H2634="","",DATE(YEAR($H2634),MONTH($H2634),1))</f>
        <v/>
      </c>
      <c r="N2634" s="26">
        <f>IF($H2634="","",TODAY()-$H2634)</f>
        <v/>
      </c>
      <c r="O2634" s="15" t="n"/>
      <c r="P2634" s="15" t="n"/>
      <c r="Q2634" s="15" t="n"/>
      <c r="R2634" s="25" t="n"/>
      <c r="S2634" s="26">
        <f>IF($A2634="","",AND(OR('Assignment Builder'!$B$5="",$B2634='Assignment Builder'!$B$5),OR('Assignment Builder'!$B$6="",ISNUMBER(SEARCH('Assignment Builder'!$B$6,$C2634))),OR('Assignment Builder'!$B$7="",'Assignment Builder'!$B$7=IFERROR(INDEX('Category Dictionary'!$C$5:$C$135,MATCH($L2634,'Category Dictionary'!$D$5:$D$135,0)),"")),OR('Assignment Builder'!$B$8="",$D2634='Assignment Builder'!$B$8),OR('Assignment Builder'!$B$9="",$F2634='Assignment Builder'!$B$9),OR('Assignment Builder'!$B$10="",$O2634='Assignment Builder'!$B$10),OR('Assignment Builder'!$B$11="",$H2634&gt;='Assignment Builder'!$B$11),OR('Assignment Builder'!$B$12="",N($Q2634)&lt;='Assignment Builder'!$B$12)))</f>
        <v/>
      </c>
      <c r="T2634" s="23" t="n"/>
    </row>
    <row r="2635">
      <c r="A2635" s="23" t="n"/>
      <c r="B2635" s="23" t="n"/>
      <c r="C2635" s="24" t="n"/>
      <c r="D2635" s="15" t="n"/>
      <c r="E2635" s="23" t="n"/>
      <c r="F2635" s="15" t="n"/>
      <c r="G2635" s="23" t="n"/>
      <c r="H2635" s="25" t="n"/>
      <c r="I2635" s="15" t="n"/>
      <c r="J2635" s="26">
        <f>IF($A2635="","",LEN($C2635)-LEN(SUBSTITUTE($C2635,",",""))+1)</f>
        <v/>
      </c>
      <c r="K2635" s="26">
        <f>IF($A2635="","",SUMPRODUCT(--ISNUMBER(SEARCH('Category Dictionary'!$D$5:$D$135&amp;"",$C2635)),--('Category Dictionary'!$D$5:$D$135&lt;&gt;"")))</f>
        <v/>
      </c>
      <c r="L2635" s="27">
        <f>IF($A2635="","",TRIM(IF(ISERROR(FIND(",",$C2635)),$C2635,LEFT($C2635,FIND(",",$C2635)-1))))</f>
        <v/>
      </c>
      <c r="M2635" s="28">
        <f>IF($H2635="","",DATE(YEAR($H2635),MONTH($H2635),1))</f>
        <v/>
      </c>
      <c r="N2635" s="26">
        <f>IF($H2635="","",TODAY()-$H2635)</f>
        <v/>
      </c>
      <c r="O2635" s="15" t="n"/>
      <c r="P2635" s="15" t="n"/>
      <c r="Q2635" s="15" t="n"/>
      <c r="R2635" s="25" t="n"/>
      <c r="S2635" s="26">
        <f>IF($A2635="","",AND(OR('Assignment Builder'!$B$5="",$B2635='Assignment Builder'!$B$5),OR('Assignment Builder'!$B$6="",ISNUMBER(SEARCH('Assignment Builder'!$B$6,$C2635))),OR('Assignment Builder'!$B$7="",'Assignment Builder'!$B$7=IFERROR(INDEX('Category Dictionary'!$C$5:$C$135,MATCH($L2635,'Category Dictionary'!$D$5:$D$135,0)),"")),OR('Assignment Builder'!$B$8="",$D2635='Assignment Builder'!$B$8),OR('Assignment Builder'!$B$9="",$F2635='Assignment Builder'!$B$9),OR('Assignment Builder'!$B$10="",$O2635='Assignment Builder'!$B$10),OR('Assignment Builder'!$B$11="",$H2635&gt;='Assignment Builder'!$B$11),OR('Assignment Builder'!$B$12="",N($Q2635)&lt;='Assignment Builder'!$B$12)))</f>
        <v/>
      </c>
      <c r="T2635" s="23" t="n"/>
    </row>
    <row r="2636">
      <c r="A2636" s="23" t="n"/>
      <c r="B2636" s="23" t="n"/>
      <c r="C2636" s="24" t="n"/>
      <c r="D2636" s="15" t="n"/>
      <c r="E2636" s="23" t="n"/>
      <c r="F2636" s="15" t="n"/>
      <c r="G2636" s="23" t="n"/>
      <c r="H2636" s="25" t="n"/>
      <c r="I2636" s="15" t="n"/>
      <c r="J2636" s="26">
        <f>IF($A2636="","",LEN($C2636)-LEN(SUBSTITUTE($C2636,",",""))+1)</f>
        <v/>
      </c>
      <c r="K2636" s="26">
        <f>IF($A2636="","",SUMPRODUCT(--ISNUMBER(SEARCH('Category Dictionary'!$D$5:$D$135&amp;"",$C2636)),--('Category Dictionary'!$D$5:$D$135&lt;&gt;"")))</f>
        <v/>
      </c>
      <c r="L2636" s="27">
        <f>IF($A2636="","",TRIM(IF(ISERROR(FIND(",",$C2636)),$C2636,LEFT($C2636,FIND(",",$C2636)-1))))</f>
        <v/>
      </c>
      <c r="M2636" s="28">
        <f>IF($H2636="","",DATE(YEAR($H2636),MONTH($H2636),1))</f>
        <v/>
      </c>
      <c r="N2636" s="26">
        <f>IF($H2636="","",TODAY()-$H2636)</f>
        <v/>
      </c>
      <c r="O2636" s="15" t="n"/>
      <c r="P2636" s="15" t="n"/>
      <c r="Q2636" s="15" t="n"/>
      <c r="R2636" s="25" t="n"/>
      <c r="S2636" s="26">
        <f>IF($A2636="","",AND(OR('Assignment Builder'!$B$5="",$B2636='Assignment Builder'!$B$5),OR('Assignment Builder'!$B$6="",ISNUMBER(SEARCH('Assignment Builder'!$B$6,$C2636))),OR('Assignment Builder'!$B$7="",'Assignment Builder'!$B$7=IFERROR(INDEX('Category Dictionary'!$C$5:$C$135,MATCH($L2636,'Category Dictionary'!$D$5:$D$135,0)),"")),OR('Assignment Builder'!$B$8="",$D2636='Assignment Builder'!$B$8),OR('Assignment Builder'!$B$9="",$F2636='Assignment Builder'!$B$9),OR('Assignment Builder'!$B$10="",$O2636='Assignment Builder'!$B$10),OR('Assignment Builder'!$B$11="",$H2636&gt;='Assignment Builder'!$B$11),OR('Assignment Builder'!$B$12="",N($Q2636)&lt;='Assignment Builder'!$B$12)))</f>
        <v/>
      </c>
      <c r="T2636" s="23" t="n"/>
    </row>
    <row r="2637">
      <c r="A2637" s="23" t="n"/>
      <c r="B2637" s="23" t="n"/>
      <c r="C2637" s="24" t="n"/>
      <c r="D2637" s="15" t="n"/>
      <c r="E2637" s="23" t="n"/>
      <c r="F2637" s="15" t="n"/>
      <c r="G2637" s="23" t="n"/>
      <c r="H2637" s="25" t="n"/>
      <c r="I2637" s="15" t="n"/>
      <c r="J2637" s="26">
        <f>IF($A2637="","",LEN($C2637)-LEN(SUBSTITUTE($C2637,",",""))+1)</f>
        <v/>
      </c>
      <c r="K2637" s="26">
        <f>IF($A2637="","",SUMPRODUCT(--ISNUMBER(SEARCH('Category Dictionary'!$D$5:$D$135&amp;"",$C2637)),--('Category Dictionary'!$D$5:$D$135&lt;&gt;"")))</f>
        <v/>
      </c>
      <c r="L2637" s="27">
        <f>IF($A2637="","",TRIM(IF(ISERROR(FIND(",",$C2637)),$C2637,LEFT($C2637,FIND(",",$C2637)-1))))</f>
        <v/>
      </c>
      <c r="M2637" s="28">
        <f>IF($H2637="","",DATE(YEAR($H2637),MONTH($H2637),1))</f>
        <v/>
      </c>
      <c r="N2637" s="26">
        <f>IF($H2637="","",TODAY()-$H2637)</f>
        <v/>
      </c>
      <c r="O2637" s="15" t="n"/>
      <c r="P2637" s="15" t="n"/>
      <c r="Q2637" s="15" t="n"/>
      <c r="R2637" s="25" t="n"/>
      <c r="S2637" s="26">
        <f>IF($A2637="","",AND(OR('Assignment Builder'!$B$5="",$B2637='Assignment Builder'!$B$5),OR('Assignment Builder'!$B$6="",ISNUMBER(SEARCH('Assignment Builder'!$B$6,$C2637))),OR('Assignment Builder'!$B$7="",'Assignment Builder'!$B$7=IFERROR(INDEX('Category Dictionary'!$C$5:$C$135,MATCH($L2637,'Category Dictionary'!$D$5:$D$135,0)),"")),OR('Assignment Builder'!$B$8="",$D2637='Assignment Builder'!$B$8),OR('Assignment Builder'!$B$9="",$F2637='Assignment Builder'!$B$9),OR('Assignment Builder'!$B$10="",$O2637='Assignment Builder'!$B$10),OR('Assignment Builder'!$B$11="",$H2637&gt;='Assignment Builder'!$B$11),OR('Assignment Builder'!$B$12="",N($Q2637)&lt;='Assignment Builder'!$B$12)))</f>
        <v/>
      </c>
      <c r="T2637" s="23" t="n"/>
    </row>
    <row r="2638">
      <c r="A2638" s="23" t="n"/>
      <c r="B2638" s="23" t="n"/>
      <c r="C2638" s="24" t="n"/>
      <c r="D2638" s="15" t="n"/>
      <c r="E2638" s="23" t="n"/>
      <c r="F2638" s="15" t="n"/>
      <c r="G2638" s="23" t="n"/>
      <c r="H2638" s="25" t="n"/>
      <c r="I2638" s="15" t="n"/>
      <c r="J2638" s="26">
        <f>IF($A2638="","",LEN($C2638)-LEN(SUBSTITUTE($C2638,",",""))+1)</f>
        <v/>
      </c>
      <c r="K2638" s="26">
        <f>IF($A2638="","",SUMPRODUCT(--ISNUMBER(SEARCH('Category Dictionary'!$D$5:$D$135&amp;"",$C2638)),--('Category Dictionary'!$D$5:$D$135&lt;&gt;"")))</f>
        <v/>
      </c>
      <c r="L2638" s="27">
        <f>IF($A2638="","",TRIM(IF(ISERROR(FIND(",",$C2638)),$C2638,LEFT($C2638,FIND(",",$C2638)-1))))</f>
        <v/>
      </c>
      <c r="M2638" s="28">
        <f>IF($H2638="","",DATE(YEAR($H2638),MONTH($H2638),1))</f>
        <v/>
      </c>
      <c r="N2638" s="26">
        <f>IF($H2638="","",TODAY()-$H2638)</f>
        <v/>
      </c>
      <c r="O2638" s="15" t="n"/>
      <c r="P2638" s="15" t="n"/>
      <c r="Q2638" s="15" t="n"/>
      <c r="R2638" s="25" t="n"/>
      <c r="S2638" s="26">
        <f>IF($A2638="","",AND(OR('Assignment Builder'!$B$5="",$B2638='Assignment Builder'!$B$5),OR('Assignment Builder'!$B$6="",ISNUMBER(SEARCH('Assignment Builder'!$B$6,$C2638))),OR('Assignment Builder'!$B$7="",'Assignment Builder'!$B$7=IFERROR(INDEX('Category Dictionary'!$C$5:$C$135,MATCH($L2638,'Category Dictionary'!$D$5:$D$135,0)),"")),OR('Assignment Builder'!$B$8="",$D2638='Assignment Builder'!$B$8),OR('Assignment Builder'!$B$9="",$F2638='Assignment Builder'!$B$9),OR('Assignment Builder'!$B$10="",$O2638='Assignment Builder'!$B$10),OR('Assignment Builder'!$B$11="",$H2638&gt;='Assignment Builder'!$B$11),OR('Assignment Builder'!$B$12="",N($Q2638)&lt;='Assignment Builder'!$B$12)))</f>
        <v/>
      </c>
      <c r="T2638" s="23" t="n"/>
    </row>
    <row r="2639">
      <c r="A2639" s="23" t="n"/>
      <c r="B2639" s="23" t="n"/>
      <c r="C2639" s="24" t="n"/>
      <c r="D2639" s="15" t="n"/>
      <c r="E2639" s="23" t="n"/>
      <c r="F2639" s="15" t="n"/>
      <c r="G2639" s="23" t="n"/>
      <c r="H2639" s="25" t="n"/>
      <c r="I2639" s="15" t="n"/>
      <c r="J2639" s="26">
        <f>IF($A2639="","",LEN($C2639)-LEN(SUBSTITUTE($C2639,",",""))+1)</f>
        <v/>
      </c>
      <c r="K2639" s="26">
        <f>IF($A2639="","",SUMPRODUCT(--ISNUMBER(SEARCH('Category Dictionary'!$D$5:$D$135&amp;"",$C2639)),--('Category Dictionary'!$D$5:$D$135&lt;&gt;"")))</f>
        <v/>
      </c>
      <c r="L2639" s="27">
        <f>IF($A2639="","",TRIM(IF(ISERROR(FIND(",",$C2639)),$C2639,LEFT($C2639,FIND(",",$C2639)-1))))</f>
        <v/>
      </c>
      <c r="M2639" s="28">
        <f>IF($H2639="","",DATE(YEAR($H2639),MONTH($H2639),1))</f>
        <v/>
      </c>
      <c r="N2639" s="26">
        <f>IF($H2639="","",TODAY()-$H2639)</f>
        <v/>
      </c>
      <c r="O2639" s="15" t="n"/>
      <c r="P2639" s="15" t="n"/>
      <c r="Q2639" s="15" t="n"/>
      <c r="R2639" s="25" t="n"/>
      <c r="S2639" s="26">
        <f>IF($A2639="","",AND(OR('Assignment Builder'!$B$5="",$B2639='Assignment Builder'!$B$5),OR('Assignment Builder'!$B$6="",ISNUMBER(SEARCH('Assignment Builder'!$B$6,$C2639))),OR('Assignment Builder'!$B$7="",'Assignment Builder'!$B$7=IFERROR(INDEX('Category Dictionary'!$C$5:$C$135,MATCH($L2639,'Category Dictionary'!$D$5:$D$135,0)),"")),OR('Assignment Builder'!$B$8="",$D2639='Assignment Builder'!$B$8),OR('Assignment Builder'!$B$9="",$F2639='Assignment Builder'!$B$9),OR('Assignment Builder'!$B$10="",$O2639='Assignment Builder'!$B$10),OR('Assignment Builder'!$B$11="",$H2639&gt;='Assignment Builder'!$B$11),OR('Assignment Builder'!$B$12="",N($Q2639)&lt;='Assignment Builder'!$B$12)))</f>
        <v/>
      </c>
      <c r="T2639" s="23" t="n"/>
    </row>
    <row r="2640">
      <c r="A2640" s="23" t="n"/>
      <c r="B2640" s="23" t="n"/>
      <c r="C2640" s="24" t="n"/>
      <c r="D2640" s="15" t="n"/>
      <c r="E2640" s="23" t="n"/>
      <c r="F2640" s="15" t="n"/>
      <c r="G2640" s="23" t="n"/>
      <c r="H2640" s="25" t="n"/>
      <c r="I2640" s="15" t="n"/>
      <c r="J2640" s="26">
        <f>IF($A2640="","",LEN($C2640)-LEN(SUBSTITUTE($C2640,",",""))+1)</f>
        <v/>
      </c>
      <c r="K2640" s="26">
        <f>IF($A2640="","",SUMPRODUCT(--ISNUMBER(SEARCH('Category Dictionary'!$D$5:$D$135&amp;"",$C2640)),--('Category Dictionary'!$D$5:$D$135&lt;&gt;"")))</f>
        <v/>
      </c>
      <c r="L2640" s="27">
        <f>IF($A2640="","",TRIM(IF(ISERROR(FIND(",",$C2640)),$C2640,LEFT($C2640,FIND(",",$C2640)-1))))</f>
        <v/>
      </c>
      <c r="M2640" s="28">
        <f>IF($H2640="","",DATE(YEAR($H2640),MONTH($H2640),1))</f>
        <v/>
      </c>
      <c r="N2640" s="26">
        <f>IF($H2640="","",TODAY()-$H2640)</f>
        <v/>
      </c>
      <c r="O2640" s="15" t="n"/>
      <c r="P2640" s="15" t="n"/>
      <c r="Q2640" s="15" t="n"/>
      <c r="R2640" s="25" t="n"/>
      <c r="S2640" s="26">
        <f>IF($A2640="","",AND(OR('Assignment Builder'!$B$5="",$B2640='Assignment Builder'!$B$5),OR('Assignment Builder'!$B$6="",ISNUMBER(SEARCH('Assignment Builder'!$B$6,$C2640))),OR('Assignment Builder'!$B$7="",'Assignment Builder'!$B$7=IFERROR(INDEX('Category Dictionary'!$C$5:$C$135,MATCH($L2640,'Category Dictionary'!$D$5:$D$135,0)),"")),OR('Assignment Builder'!$B$8="",$D2640='Assignment Builder'!$B$8),OR('Assignment Builder'!$B$9="",$F2640='Assignment Builder'!$B$9),OR('Assignment Builder'!$B$10="",$O2640='Assignment Builder'!$B$10),OR('Assignment Builder'!$B$11="",$H2640&gt;='Assignment Builder'!$B$11),OR('Assignment Builder'!$B$12="",N($Q2640)&lt;='Assignment Builder'!$B$12)))</f>
        <v/>
      </c>
      <c r="T2640" s="23" t="n"/>
    </row>
    <row r="2641">
      <c r="A2641" s="23" t="n"/>
      <c r="B2641" s="23" t="n"/>
      <c r="C2641" s="24" t="n"/>
      <c r="D2641" s="15" t="n"/>
      <c r="E2641" s="23" t="n"/>
      <c r="F2641" s="15" t="n"/>
      <c r="G2641" s="23" t="n"/>
      <c r="H2641" s="25" t="n"/>
      <c r="I2641" s="15" t="n"/>
      <c r="J2641" s="26">
        <f>IF($A2641="","",LEN($C2641)-LEN(SUBSTITUTE($C2641,",",""))+1)</f>
        <v/>
      </c>
      <c r="K2641" s="26">
        <f>IF($A2641="","",SUMPRODUCT(--ISNUMBER(SEARCH('Category Dictionary'!$D$5:$D$135&amp;"",$C2641)),--('Category Dictionary'!$D$5:$D$135&lt;&gt;"")))</f>
        <v/>
      </c>
      <c r="L2641" s="27">
        <f>IF($A2641="","",TRIM(IF(ISERROR(FIND(",",$C2641)),$C2641,LEFT($C2641,FIND(",",$C2641)-1))))</f>
        <v/>
      </c>
      <c r="M2641" s="28">
        <f>IF($H2641="","",DATE(YEAR($H2641),MONTH($H2641),1))</f>
        <v/>
      </c>
      <c r="N2641" s="26">
        <f>IF($H2641="","",TODAY()-$H2641)</f>
        <v/>
      </c>
      <c r="O2641" s="15" t="n"/>
      <c r="P2641" s="15" t="n"/>
      <c r="Q2641" s="15" t="n"/>
      <c r="R2641" s="25" t="n"/>
      <c r="S2641" s="26">
        <f>IF($A2641="","",AND(OR('Assignment Builder'!$B$5="",$B2641='Assignment Builder'!$B$5),OR('Assignment Builder'!$B$6="",ISNUMBER(SEARCH('Assignment Builder'!$B$6,$C2641))),OR('Assignment Builder'!$B$7="",'Assignment Builder'!$B$7=IFERROR(INDEX('Category Dictionary'!$C$5:$C$135,MATCH($L2641,'Category Dictionary'!$D$5:$D$135,0)),"")),OR('Assignment Builder'!$B$8="",$D2641='Assignment Builder'!$B$8),OR('Assignment Builder'!$B$9="",$F2641='Assignment Builder'!$B$9),OR('Assignment Builder'!$B$10="",$O2641='Assignment Builder'!$B$10),OR('Assignment Builder'!$B$11="",$H2641&gt;='Assignment Builder'!$B$11),OR('Assignment Builder'!$B$12="",N($Q2641)&lt;='Assignment Builder'!$B$12)))</f>
        <v/>
      </c>
      <c r="T2641" s="23" t="n"/>
    </row>
    <row r="2642">
      <c r="A2642" s="23" t="n"/>
      <c r="B2642" s="23" t="n"/>
      <c r="C2642" s="24" t="n"/>
      <c r="D2642" s="15" t="n"/>
      <c r="E2642" s="23" t="n"/>
      <c r="F2642" s="15" t="n"/>
      <c r="G2642" s="23" t="n"/>
      <c r="H2642" s="25" t="n"/>
      <c r="I2642" s="15" t="n"/>
      <c r="J2642" s="26">
        <f>IF($A2642="","",LEN($C2642)-LEN(SUBSTITUTE($C2642,",",""))+1)</f>
        <v/>
      </c>
      <c r="K2642" s="26">
        <f>IF($A2642="","",SUMPRODUCT(--ISNUMBER(SEARCH('Category Dictionary'!$D$5:$D$135&amp;"",$C2642)),--('Category Dictionary'!$D$5:$D$135&lt;&gt;"")))</f>
        <v/>
      </c>
      <c r="L2642" s="27">
        <f>IF($A2642="","",TRIM(IF(ISERROR(FIND(",",$C2642)),$C2642,LEFT($C2642,FIND(",",$C2642)-1))))</f>
        <v/>
      </c>
      <c r="M2642" s="28">
        <f>IF($H2642="","",DATE(YEAR($H2642),MONTH($H2642),1))</f>
        <v/>
      </c>
      <c r="N2642" s="26">
        <f>IF($H2642="","",TODAY()-$H2642)</f>
        <v/>
      </c>
      <c r="O2642" s="15" t="n"/>
      <c r="P2642" s="15" t="n"/>
      <c r="Q2642" s="15" t="n"/>
      <c r="R2642" s="25" t="n"/>
      <c r="S2642" s="26">
        <f>IF($A2642="","",AND(OR('Assignment Builder'!$B$5="",$B2642='Assignment Builder'!$B$5),OR('Assignment Builder'!$B$6="",ISNUMBER(SEARCH('Assignment Builder'!$B$6,$C2642))),OR('Assignment Builder'!$B$7="",'Assignment Builder'!$B$7=IFERROR(INDEX('Category Dictionary'!$C$5:$C$135,MATCH($L2642,'Category Dictionary'!$D$5:$D$135,0)),"")),OR('Assignment Builder'!$B$8="",$D2642='Assignment Builder'!$B$8),OR('Assignment Builder'!$B$9="",$F2642='Assignment Builder'!$B$9),OR('Assignment Builder'!$B$10="",$O2642='Assignment Builder'!$B$10),OR('Assignment Builder'!$B$11="",$H2642&gt;='Assignment Builder'!$B$11),OR('Assignment Builder'!$B$12="",N($Q2642)&lt;='Assignment Builder'!$B$12)))</f>
        <v/>
      </c>
      <c r="T2642" s="23" t="n"/>
    </row>
    <row r="2643">
      <c r="A2643" s="23" t="n"/>
      <c r="B2643" s="23" t="n"/>
      <c r="C2643" s="24" t="n"/>
      <c r="D2643" s="15" t="n"/>
      <c r="E2643" s="23" t="n"/>
      <c r="F2643" s="15" t="n"/>
      <c r="G2643" s="23" t="n"/>
      <c r="H2643" s="25" t="n"/>
      <c r="I2643" s="15" t="n"/>
      <c r="J2643" s="26">
        <f>IF($A2643="","",LEN($C2643)-LEN(SUBSTITUTE($C2643,",",""))+1)</f>
        <v/>
      </c>
      <c r="K2643" s="26">
        <f>IF($A2643="","",SUMPRODUCT(--ISNUMBER(SEARCH('Category Dictionary'!$D$5:$D$135&amp;"",$C2643)),--('Category Dictionary'!$D$5:$D$135&lt;&gt;"")))</f>
        <v/>
      </c>
      <c r="L2643" s="27">
        <f>IF($A2643="","",TRIM(IF(ISERROR(FIND(",",$C2643)),$C2643,LEFT($C2643,FIND(",",$C2643)-1))))</f>
        <v/>
      </c>
      <c r="M2643" s="28">
        <f>IF($H2643="","",DATE(YEAR($H2643),MONTH($H2643),1))</f>
        <v/>
      </c>
      <c r="N2643" s="26">
        <f>IF($H2643="","",TODAY()-$H2643)</f>
        <v/>
      </c>
      <c r="O2643" s="15" t="n"/>
      <c r="P2643" s="15" t="n"/>
      <c r="Q2643" s="15" t="n"/>
      <c r="R2643" s="25" t="n"/>
      <c r="S2643" s="26">
        <f>IF($A2643="","",AND(OR('Assignment Builder'!$B$5="",$B2643='Assignment Builder'!$B$5),OR('Assignment Builder'!$B$6="",ISNUMBER(SEARCH('Assignment Builder'!$B$6,$C2643))),OR('Assignment Builder'!$B$7="",'Assignment Builder'!$B$7=IFERROR(INDEX('Category Dictionary'!$C$5:$C$135,MATCH($L2643,'Category Dictionary'!$D$5:$D$135,0)),"")),OR('Assignment Builder'!$B$8="",$D2643='Assignment Builder'!$B$8),OR('Assignment Builder'!$B$9="",$F2643='Assignment Builder'!$B$9),OR('Assignment Builder'!$B$10="",$O2643='Assignment Builder'!$B$10),OR('Assignment Builder'!$B$11="",$H2643&gt;='Assignment Builder'!$B$11),OR('Assignment Builder'!$B$12="",N($Q2643)&lt;='Assignment Builder'!$B$12)))</f>
        <v/>
      </c>
      <c r="T2643" s="23" t="n"/>
    </row>
    <row r="2644">
      <c r="A2644" s="23" t="n"/>
      <c r="B2644" s="23" t="n"/>
      <c r="C2644" s="24" t="n"/>
      <c r="D2644" s="15" t="n"/>
      <c r="E2644" s="23" t="n"/>
      <c r="F2644" s="15" t="n"/>
      <c r="G2644" s="23" t="n"/>
      <c r="H2644" s="25" t="n"/>
      <c r="I2644" s="15" t="n"/>
      <c r="J2644" s="26">
        <f>IF($A2644="","",LEN($C2644)-LEN(SUBSTITUTE($C2644,",",""))+1)</f>
        <v/>
      </c>
      <c r="K2644" s="26">
        <f>IF($A2644="","",SUMPRODUCT(--ISNUMBER(SEARCH('Category Dictionary'!$D$5:$D$135&amp;"",$C2644)),--('Category Dictionary'!$D$5:$D$135&lt;&gt;"")))</f>
        <v/>
      </c>
      <c r="L2644" s="27">
        <f>IF($A2644="","",TRIM(IF(ISERROR(FIND(",",$C2644)),$C2644,LEFT($C2644,FIND(",",$C2644)-1))))</f>
        <v/>
      </c>
      <c r="M2644" s="28">
        <f>IF($H2644="","",DATE(YEAR($H2644),MONTH($H2644),1))</f>
        <v/>
      </c>
      <c r="N2644" s="26">
        <f>IF($H2644="","",TODAY()-$H2644)</f>
        <v/>
      </c>
      <c r="O2644" s="15" t="n"/>
      <c r="P2644" s="15" t="n"/>
      <c r="Q2644" s="15" t="n"/>
      <c r="R2644" s="25" t="n"/>
      <c r="S2644" s="26">
        <f>IF($A2644="","",AND(OR('Assignment Builder'!$B$5="",$B2644='Assignment Builder'!$B$5),OR('Assignment Builder'!$B$6="",ISNUMBER(SEARCH('Assignment Builder'!$B$6,$C2644))),OR('Assignment Builder'!$B$7="",'Assignment Builder'!$B$7=IFERROR(INDEX('Category Dictionary'!$C$5:$C$135,MATCH($L2644,'Category Dictionary'!$D$5:$D$135,0)),"")),OR('Assignment Builder'!$B$8="",$D2644='Assignment Builder'!$B$8),OR('Assignment Builder'!$B$9="",$F2644='Assignment Builder'!$B$9),OR('Assignment Builder'!$B$10="",$O2644='Assignment Builder'!$B$10),OR('Assignment Builder'!$B$11="",$H2644&gt;='Assignment Builder'!$B$11),OR('Assignment Builder'!$B$12="",N($Q2644)&lt;='Assignment Builder'!$B$12)))</f>
        <v/>
      </c>
      <c r="T2644" s="23" t="n"/>
    </row>
    <row r="2645">
      <c r="A2645" s="23" t="n"/>
      <c r="B2645" s="23" t="n"/>
      <c r="C2645" s="24" t="n"/>
      <c r="D2645" s="15" t="n"/>
      <c r="E2645" s="23" t="n"/>
      <c r="F2645" s="15" t="n"/>
      <c r="G2645" s="23" t="n"/>
      <c r="H2645" s="25" t="n"/>
      <c r="I2645" s="15" t="n"/>
      <c r="J2645" s="26">
        <f>IF($A2645="","",LEN($C2645)-LEN(SUBSTITUTE($C2645,",",""))+1)</f>
        <v/>
      </c>
      <c r="K2645" s="26">
        <f>IF($A2645="","",SUMPRODUCT(--ISNUMBER(SEARCH('Category Dictionary'!$D$5:$D$135&amp;"",$C2645)),--('Category Dictionary'!$D$5:$D$135&lt;&gt;"")))</f>
        <v/>
      </c>
      <c r="L2645" s="27">
        <f>IF($A2645="","",TRIM(IF(ISERROR(FIND(",",$C2645)),$C2645,LEFT($C2645,FIND(",",$C2645)-1))))</f>
        <v/>
      </c>
      <c r="M2645" s="28">
        <f>IF($H2645="","",DATE(YEAR($H2645),MONTH($H2645),1))</f>
        <v/>
      </c>
      <c r="N2645" s="26">
        <f>IF($H2645="","",TODAY()-$H2645)</f>
        <v/>
      </c>
      <c r="O2645" s="15" t="n"/>
      <c r="P2645" s="15" t="n"/>
      <c r="Q2645" s="15" t="n"/>
      <c r="R2645" s="25" t="n"/>
      <c r="S2645" s="26">
        <f>IF($A2645="","",AND(OR('Assignment Builder'!$B$5="",$B2645='Assignment Builder'!$B$5),OR('Assignment Builder'!$B$6="",ISNUMBER(SEARCH('Assignment Builder'!$B$6,$C2645))),OR('Assignment Builder'!$B$7="",'Assignment Builder'!$B$7=IFERROR(INDEX('Category Dictionary'!$C$5:$C$135,MATCH($L2645,'Category Dictionary'!$D$5:$D$135,0)),"")),OR('Assignment Builder'!$B$8="",$D2645='Assignment Builder'!$B$8),OR('Assignment Builder'!$B$9="",$F2645='Assignment Builder'!$B$9),OR('Assignment Builder'!$B$10="",$O2645='Assignment Builder'!$B$10),OR('Assignment Builder'!$B$11="",$H2645&gt;='Assignment Builder'!$B$11),OR('Assignment Builder'!$B$12="",N($Q2645)&lt;='Assignment Builder'!$B$12)))</f>
        <v/>
      </c>
      <c r="T2645" s="23" t="n"/>
    </row>
    <row r="2646">
      <c r="A2646" s="23" t="n"/>
      <c r="B2646" s="23" t="n"/>
      <c r="C2646" s="24" t="n"/>
      <c r="D2646" s="15" t="n"/>
      <c r="E2646" s="23" t="n"/>
      <c r="F2646" s="15" t="n"/>
      <c r="G2646" s="23" t="n"/>
      <c r="H2646" s="25" t="n"/>
      <c r="I2646" s="15" t="n"/>
      <c r="J2646" s="26">
        <f>IF($A2646="","",LEN($C2646)-LEN(SUBSTITUTE($C2646,",",""))+1)</f>
        <v/>
      </c>
      <c r="K2646" s="26">
        <f>IF($A2646="","",SUMPRODUCT(--ISNUMBER(SEARCH('Category Dictionary'!$D$5:$D$135&amp;"",$C2646)),--('Category Dictionary'!$D$5:$D$135&lt;&gt;"")))</f>
        <v/>
      </c>
      <c r="L2646" s="27">
        <f>IF($A2646="","",TRIM(IF(ISERROR(FIND(",",$C2646)),$C2646,LEFT($C2646,FIND(",",$C2646)-1))))</f>
        <v/>
      </c>
      <c r="M2646" s="28">
        <f>IF($H2646="","",DATE(YEAR($H2646),MONTH($H2646),1))</f>
        <v/>
      </c>
      <c r="N2646" s="26">
        <f>IF($H2646="","",TODAY()-$H2646)</f>
        <v/>
      </c>
      <c r="O2646" s="15" t="n"/>
      <c r="P2646" s="15" t="n"/>
      <c r="Q2646" s="15" t="n"/>
      <c r="R2646" s="25" t="n"/>
      <c r="S2646" s="26">
        <f>IF($A2646="","",AND(OR('Assignment Builder'!$B$5="",$B2646='Assignment Builder'!$B$5),OR('Assignment Builder'!$B$6="",ISNUMBER(SEARCH('Assignment Builder'!$B$6,$C2646))),OR('Assignment Builder'!$B$7="",'Assignment Builder'!$B$7=IFERROR(INDEX('Category Dictionary'!$C$5:$C$135,MATCH($L2646,'Category Dictionary'!$D$5:$D$135,0)),"")),OR('Assignment Builder'!$B$8="",$D2646='Assignment Builder'!$B$8),OR('Assignment Builder'!$B$9="",$F2646='Assignment Builder'!$B$9),OR('Assignment Builder'!$B$10="",$O2646='Assignment Builder'!$B$10),OR('Assignment Builder'!$B$11="",$H2646&gt;='Assignment Builder'!$B$11),OR('Assignment Builder'!$B$12="",N($Q2646)&lt;='Assignment Builder'!$B$12)))</f>
        <v/>
      </c>
      <c r="T2646" s="23" t="n"/>
    </row>
    <row r="2647">
      <c r="A2647" s="23" t="n"/>
      <c r="B2647" s="23" t="n"/>
      <c r="C2647" s="24" t="n"/>
      <c r="D2647" s="15" t="n"/>
      <c r="E2647" s="23" t="n"/>
      <c r="F2647" s="15" t="n"/>
      <c r="G2647" s="23" t="n"/>
      <c r="H2647" s="25" t="n"/>
      <c r="I2647" s="15" t="n"/>
      <c r="J2647" s="26">
        <f>IF($A2647="","",LEN($C2647)-LEN(SUBSTITUTE($C2647,",",""))+1)</f>
        <v/>
      </c>
      <c r="K2647" s="26">
        <f>IF($A2647="","",SUMPRODUCT(--ISNUMBER(SEARCH('Category Dictionary'!$D$5:$D$135&amp;"",$C2647)),--('Category Dictionary'!$D$5:$D$135&lt;&gt;"")))</f>
        <v/>
      </c>
      <c r="L2647" s="27">
        <f>IF($A2647="","",TRIM(IF(ISERROR(FIND(",",$C2647)),$C2647,LEFT($C2647,FIND(",",$C2647)-1))))</f>
        <v/>
      </c>
      <c r="M2647" s="28">
        <f>IF($H2647="","",DATE(YEAR($H2647),MONTH($H2647),1))</f>
        <v/>
      </c>
      <c r="N2647" s="26">
        <f>IF($H2647="","",TODAY()-$H2647)</f>
        <v/>
      </c>
      <c r="O2647" s="15" t="n"/>
      <c r="P2647" s="15" t="n"/>
      <c r="Q2647" s="15" t="n"/>
      <c r="R2647" s="25" t="n"/>
      <c r="S2647" s="26">
        <f>IF($A2647="","",AND(OR('Assignment Builder'!$B$5="",$B2647='Assignment Builder'!$B$5),OR('Assignment Builder'!$B$6="",ISNUMBER(SEARCH('Assignment Builder'!$B$6,$C2647))),OR('Assignment Builder'!$B$7="",'Assignment Builder'!$B$7=IFERROR(INDEX('Category Dictionary'!$C$5:$C$135,MATCH($L2647,'Category Dictionary'!$D$5:$D$135,0)),"")),OR('Assignment Builder'!$B$8="",$D2647='Assignment Builder'!$B$8),OR('Assignment Builder'!$B$9="",$F2647='Assignment Builder'!$B$9),OR('Assignment Builder'!$B$10="",$O2647='Assignment Builder'!$B$10),OR('Assignment Builder'!$B$11="",$H2647&gt;='Assignment Builder'!$B$11),OR('Assignment Builder'!$B$12="",N($Q2647)&lt;='Assignment Builder'!$B$12)))</f>
        <v/>
      </c>
      <c r="T2647" s="23" t="n"/>
    </row>
    <row r="2648">
      <c r="A2648" s="23" t="n"/>
      <c r="B2648" s="23" t="n"/>
      <c r="C2648" s="24" t="n"/>
      <c r="D2648" s="15" t="n"/>
      <c r="E2648" s="23" t="n"/>
      <c r="F2648" s="15" t="n"/>
      <c r="G2648" s="23" t="n"/>
      <c r="H2648" s="25" t="n"/>
      <c r="I2648" s="15" t="n"/>
      <c r="J2648" s="26">
        <f>IF($A2648="","",LEN($C2648)-LEN(SUBSTITUTE($C2648,",",""))+1)</f>
        <v/>
      </c>
      <c r="K2648" s="26">
        <f>IF($A2648="","",SUMPRODUCT(--ISNUMBER(SEARCH('Category Dictionary'!$D$5:$D$135&amp;"",$C2648)),--('Category Dictionary'!$D$5:$D$135&lt;&gt;"")))</f>
        <v/>
      </c>
      <c r="L2648" s="27">
        <f>IF($A2648="","",TRIM(IF(ISERROR(FIND(",",$C2648)),$C2648,LEFT($C2648,FIND(",",$C2648)-1))))</f>
        <v/>
      </c>
      <c r="M2648" s="28">
        <f>IF($H2648="","",DATE(YEAR($H2648),MONTH($H2648),1))</f>
        <v/>
      </c>
      <c r="N2648" s="26">
        <f>IF($H2648="","",TODAY()-$H2648)</f>
        <v/>
      </c>
      <c r="O2648" s="15" t="n"/>
      <c r="P2648" s="15" t="n"/>
      <c r="Q2648" s="15" t="n"/>
      <c r="R2648" s="25" t="n"/>
      <c r="S2648" s="26">
        <f>IF($A2648="","",AND(OR('Assignment Builder'!$B$5="",$B2648='Assignment Builder'!$B$5),OR('Assignment Builder'!$B$6="",ISNUMBER(SEARCH('Assignment Builder'!$B$6,$C2648))),OR('Assignment Builder'!$B$7="",'Assignment Builder'!$B$7=IFERROR(INDEX('Category Dictionary'!$C$5:$C$135,MATCH($L2648,'Category Dictionary'!$D$5:$D$135,0)),"")),OR('Assignment Builder'!$B$8="",$D2648='Assignment Builder'!$B$8),OR('Assignment Builder'!$B$9="",$F2648='Assignment Builder'!$B$9),OR('Assignment Builder'!$B$10="",$O2648='Assignment Builder'!$B$10),OR('Assignment Builder'!$B$11="",$H2648&gt;='Assignment Builder'!$B$11),OR('Assignment Builder'!$B$12="",N($Q2648)&lt;='Assignment Builder'!$B$12)))</f>
        <v/>
      </c>
      <c r="T2648" s="23" t="n"/>
    </row>
    <row r="2649">
      <c r="A2649" s="23" t="n"/>
      <c r="B2649" s="23" t="n"/>
      <c r="C2649" s="24" t="n"/>
      <c r="D2649" s="15" t="n"/>
      <c r="E2649" s="23" t="n"/>
      <c r="F2649" s="15" t="n"/>
      <c r="G2649" s="23" t="n"/>
      <c r="H2649" s="25" t="n"/>
      <c r="I2649" s="15" t="n"/>
      <c r="J2649" s="26">
        <f>IF($A2649="","",LEN($C2649)-LEN(SUBSTITUTE($C2649,",",""))+1)</f>
        <v/>
      </c>
      <c r="K2649" s="26">
        <f>IF($A2649="","",SUMPRODUCT(--ISNUMBER(SEARCH('Category Dictionary'!$D$5:$D$135&amp;"",$C2649)),--('Category Dictionary'!$D$5:$D$135&lt;&gt;"")))</f>
        <v/>
      </c>
      <c r="L2649" s="27">
        <f>IF($A2649="","",TRIM(IF(ISERROR(FIND(",",$C2649)),$C2649,LEFT($C2649,FIND(",",$C2649)-1))))</f>
        <v/>
      </c>
      <c r="M2649" s="28">
        <f>IF($H2649="","",DATE(YEAR($H2649),MONTH($H2649),1))</f>
        <v/>
      </c>
      <c r="N2649" s="26">
        <f>IF($H2649="","",TODAY()-$H2649)</f>
        <v/>
      </c>
      <c r="O2649" s="15" t="n"/>
      <c r="P2649" s="15" t="n"/>
      <c r="Q2649" s="15" t="n"/>
      <c r="R2649" s="25" t="n"/>
      <c r="S2649" s="26">
        <f>IF($A2649="","",AND(OR('Assignment Builder'!$B$5="",$B2649='Assignment Builder'!$B$5),OR('Assignment Builder'!$B$6="",ISNUMBER(SEARCH('Assignment Builder'!$B$6,$C2649))),OR('Assignment Builder'!$B$7="",'Assignment Builder'!$B$7=IFERROR(INDEX('Category Dictionary'!$C$5:$C$135,MATCH($L2649,'Category Dictionary'!$D$5:$D$135,0)),"")),OR('Assignment Builder'!$B$8="",$D2649='Assignment Builder'!$B$8),OR('Assignment Builder'!$B$9="",$F2649='Assignment Builder'!$B$9),OR('Assignment Builder'!$B$10="",$O2649='Assignment Builder'!$B$10),OR('Assignment Builder'!$B$11="",$H2649&gt;='Assignment Builder'!$B$11),OR('Assignment Builder'!$B$12="",N($Q2649)&lt;='Assignment Builder'!$B$12)))</f>
        <v/>
      </c>
      <c r="T2649" s="23" t="n"/>
    </row>
    <row r="2650">
      <c r="A2650" s="23" t="n"/>
      <c r="B2650" s="23" t="n"/>
      <c r="C2650" s="24" t="n"/>
      <c r="D2650" s="15" t="n"/>
      <c r="E2650" s="23" t="n"/>
      <c r="F2650" s="15" t="n"/>
      <c r="G2650" s="23" t="n"/>
      <c r="H2650" s="25" t="n"/>
      <c r="I2650" s="15" t="n"/>
      <c r="J2650" s="26">
        <f>IF($A2650="","",LEN($C2650)-LEN(SUBSTITUTE($C2650,",",""))+1)</f>
        <v/>
      </c>
      <c r="K2650" s="26">
        <f>IF($A2650="","",SUMPRODUCT(--ISNUMBER(SEARCH('Category Dictionary'!$D$5:$D$135&amp;"",$C2650)),--('Category Dictionary'!$D$5:$D$135&lt;&gt;"")))</f>
        <v/>
      </c>
      <c r="L2650" s="27">
        <f>IF($A2650="","",TRIM(IF(ISERROR(FIND(",",$C2650)),$C2650,LEFT($C2650,FIND(",",$C2650)-1))))</f>
        <v/>
      </c>
      <c r="M2650" s="28">
        <f>IF($H2650="","",DATE(YEAR($H2650),MONTH($H2650),1))</f>
        <v/>
      </c>
      <c r="N2650" s="26">
        <f>IF($H2650="","",TODAY()-$H2650)</f>
        <v/>
      </c>
      <c r="O2650" s="15" t="n"/>
      <c r="P2650" s="15" t="n"/>
      <c r="Q2650" s="15" t="n"/>
      <c r="R2650" s="25" t="n"/>
      <c r="S2650" s="26">
        <f>IF($A2650="","",AND(OR('Assignment Builder'!$B$5="",$B2650='Assignment Builder'!$B$5),OR('Assignment Builder'!$B$6="",ISNUMBER(SEARCH('Assignment Builder'!$B$6,$C2650))),OR('Assignment Builder'!$B$7="",'Assignment Builder'!$B$7=IFERROR(INDEX('Category Dictionary'!$C$5:$C$135,MATCH($L2650,'Category Dictionary'!$D$5:$D$135,0)),"")),OR('Assignment Builder'!$B$8="",$D2650='Assignment Builder'!$B$8),OR('Assignment Builder'!$B$9="",$F2650='Assignment Builder'!$B$9),OR('Assignment Builder'!$B$10="",$O2650='Assignment Builder'!$B$10),OR('Assignment Builder'!$B$11="",$H2650&gt;='Assignment Builder'!$B$11),OR('Assignment Builder'!$B$12="",N($Q2650)&lt;='Assignment Builder'!$B$12)))</f>
        <v/>
      </c>
      <c r="T2650" s="23" t="n"/>
    </row>
    <row r="2651">
      <c r="A2651" s="23" t="n"/>
      <c r="B2651" s="23" t="n"/>
      <c r="C2651" s="24" t="n"/>
      <c r="D2651" s="15" t="n"/>
      <c r="E2651" s="23" t="n"/>
      <c r="F2651" s="15" t="n"/>
      <c r="G2651" s="23" t="n"/>
      <c r="H2651" s="25" t="n"/>
      <c r="I2651" s="15" t="n"/>
      <c r="J2651" s="26">
        <f>IF($A2651="","",LEN($C2651)-LEN(SUBSTITUTE($C2651,",",""))+1)</f>
        <v/>
      </c>
      <c r="K2651" s="26">
        <f>IF($A2651="","",SUMPRODUCT(--ISNUMBER(SEARCH('Category Dictionary'!$D$5:$D$135&amp;"",$C2651)),--('Category Dictionary'!$D$5:$D$135&lt;&gt;"")))</f>
        <v/>
      </c>
      <c r="L2651" s="27">
        <f>IF($A2651="","",TRIM(IF(ISERROR(FIND(",",$C2651)),$C2651,LEFT($C2651,FIND(",",$C2651)-1))))</f>
        <v/>
      </c>
      <c r="M2651" s="28">
        <f>IF($H2651="","",DATE(YEAR($H2651),MONTH($H2651),1))</f>
        <v/>
      </c>
      <c r="N2651" s="26">
        <f>IF($H2651="","",TODAY()-$H2651)</f>
        <v/>
      </c>
      <c r="O2651" s="15" t="n"/>
      <c r="P2651" s="15" t="n"/>
      <c r="Q2651" s="15" t="n"/>
      <c r="R2651" s="25" t="n"/>
      <c r="S2651" s="26">
        <f>IF($A2651="","",AND(OR('Assignment Builder'!$B$5="",$B2651='Assignment Builder'!$B$5),OR('Assignment Builder'!$B$6="",ISNUMBER(SEARCH('Assignment Builder'!$B$6,$C2651))),OR('Assignment Builder'!$B$7="",'Assignment Builder'!$B$7=IFERROR(INDEX('Category Dictionary'!$C$5:$C$135,MATCH($L2651,'Category Dictionary'!$D$5:$D$135,0)),"")),OR('Assignment Builder'!$B$8="",$D2651='Assignment Builder'!$B$8),OR('Assignment Builder'!$B$9="",$F2651='Assignment Builder'!$B$9),OR('Assignment Builder'!$B$10="",$O2651='Assignment Builder'!$B$10),OR('Assignment Builder'!$B$11="",$H2651&gt;='Assignment Builder'!$B$11),OR('Assignment Builder'!$B$12="",N($Q2651)&lt;='Assignment Builder'!$B$12)))</f>
        <v/>
      </c>
      <c r="T2651" s="23" t="n"/>
    </row>
    <row r="2652">
      <c r="A2652" s="23" t="n"/>
      <c r="B2652" s="23" t="n"/>
      <c r="C2652" s="24" t="n"/>
      <c r="D2652" s="15" t="n"/>
      <c r="E2652" s="23" t="n"/>
      <c r="F2652" s="15" t="n"/>
      <c r="G2652" s="23" t="n"/>
      <c r="H2652" s="25" t="n"/>
      <c r="I2652" s="15" t="n"/>
      <c r="J2652" s="26">
        <f>IF($A2652="","",LEN($C2652)-LEN(SUBSTITUTE($C2652,",",""))+1)</f>
        <v/>
      </c>
      <c r="K2652" s="26">
        <f>IF($A2652="","",SUMPRODUCT(--ISNUMBER(SEARCH('Category Dictionary'!$D$5:$D$135&amp;"",$C2652)),--('Category Dictionary'!$D$5:$D$135&lt;&gt;"")))</f>
        <v/>
      </c>
      <c r="L2652" s="27">
        <f>IF($A2652="","",TRIM(IF(ISERROR(FIND(",",$C2652)),$C2652,LEFT($C2652,FIND(",",$C2652)-1))))</f>
        <v/>
      </c>
      <c r="M2652" s="28">
        <f>IF($H2652="","",DATE(YEAR($H2652),MONTH($H2652),1))</f>
        <v/>
      </c>
      <c r="N2652" s="26">
        <f>IF($H2652="","",TODAY()-$H2652)</f>
        <v/>
      </c>
      <c r="O2652" s="15" t="n"/>
      <c r="P2652" s="15" t="n"/>
      <c r="Q2652" s="15" t="n"/>
      <c r="R2652" s="25" t="n"/>
      <c r="S2652" s="26">
        <f>IF($A2652="","",AND(OR('Assignment Builder'!$B$5="",$B2652='Assignment Builder'!$B$5),OR('Assignment Builder'!$B$6="",ISNUMBER(SEARCH('Assignment Builder'!$B$6,$C2652))),OR('Assignment Builder'!$B$7="",'Assignment Builder'!$B$7=IFERROR(INDEX('Category Dictionary'!$C$5:$C$135,MATCH($L2652,'Category Dictionary'!$D$5:$D$135,0)),"")),OR('Assignment Builder'!$B$8="",$D2652='Assignment Builder'!$B$8),OR('Assignment Builder'!$B$9="",$F2652='Assignment Builder'!$B$9),OR('Assignment Builder'!$B$10="",$O2652='Assignment Builder'!$B$10),OR('Assignment Builder'!$B$11="",$H2652&gt;='Assignment Builder'!$B$11),OR('Assignment Builder'!$B$12="",N($Q2652)&lt;='Assignment Builder'!$B$12)))</f>
        <v/>
      </c>
      <c r="T2652" s="23" t="n"/>
    </row>
    <row r="2653">
      <c r="A2653" s="23" t="n"/>
      <c r="B2653" s="23" t="n"/>
      <c r="C2653" s="24" t="n"/>
      <c r="D2653" s="15" t="n"/>
      <c r="E2653" s="23" t="n"/>
      <c r="F2653" s="15" t="n"/>
      <c r="G2653" s="23" t="n"/>
      <c r="H2653" s="25" t="n"/>
      <c r="I2653" s="15" t="n"/>
      <c r="J2653" s="26">
        <f>IF($A2653="","",LEN($C2653)-LEN(SUBSTITUTE($C2653,",",""))+1)</f>
        <v/>
      </c>
      <c r="K2653" s="26">
        <f>IF($A2653="","",SUMPRODUCT(--ISNUMBER(SEARCH('Category Dictionary'!$D$5:$D$135&amp;"",$C2653)),--('Category Dictionary'!$D$5:$D$135&lt;&gt;"")))</f>
        <v/>
      </c>
      <c r="L2653" s="27">
        <f>IF($A2653="","",TRIM(IF(ISERROR(FIND(",",$C2653)),$C2653,LEFT($C2653,FIND(",",$C2653)-1))))</f>
        <v/>
      </c>
      <c r="M2653" s="28">
        <f>IF($H2653="","",DATE(YEAR($H2653),MONTH($H2653),1))</f>
        <v/>
      </c>
      <c r="N2653" s="26">
        <f>IF($H2653="","",TODAY()-$H2653)</f>
        <v/>
      </c>
      <c r="O2653" s="15" t="n"/>
      <c r="P2653" s="15" t="n"/>
      <c r="Q2653" s="15" t="n"/>
      <c r="R2653" s="25" t="n"/>
      <c r="S2653" s="26">
        <f>IF($A2653="","",AND(OR('Assignment Builder'!$B$5="",$B2653='Assignment Builder'!$B$5),OR('Assignment Builder'!$B$6="",ISNUMBER(SEARCH('Assignment Builder'!$B$6,$C2653))),OR('Assignment Builder'!$B$7="",'Assignment Builder'!$B$7=IFERROR(INDEX('Category Dictionary'!$C$5:$C$135,MATCH($L2653,'Category Dictionary'!$D$5:$D$135,0)),"")),OR('Assignment Builder'!$B$8="",$D2653='Assignment Builder'!$B$8),OR('Assignment Builder'!$B$9="",$F2653='Assignment Builder'!$B$9),OR('Assignment Builder'!$B$10="",$O2653='Assignment Builder'!$B$10),OR('Assignment Builder'!$B$11="",$H2653&gt;='Assignment Builder'!$B$11),OR('Assignment Builder'!$B$12="",N($Q2653)&lt;='Assignment Builder'!$B$12)))</f>
        <v/>
      </c>
      <c r="T2653" s="23" t="n"/>
    </row>
    <row r="2654">
      <c r="A2654" s="23" t="n"/>
      <c r="B2654" s="23" t="n"/>
      <c r="C2654" s="24" t="n"/>
      <c r="D2654" s="15" t="n"/>
      <c r="E2654" s="23" t="n"/>
      <c r="F2654" s="15" t="n"/>
      <c r="G2654" s="23" t="n"/>
      <c r="H2654" s="25" t="n"/>
      <c r="I2654" s="15" t="n"/>
      <c r="J2654" s="26">
        <f>IF($A2654="","",LEN($C2654)-LEN(SUBSTITUTE($C2654,",",""))+1)</f>
        <v/>
      </c>
      <c r="K2654" s="26">
        <f>IF($A2654="","",SUMPRODUCT(--ISNUMBER(SEARCH('Category Dictionary'!$D$5:$D$135&amp;"",$C2654)),--('Category Dictionary'!$D$5:$D$135&lt;&gt;"")))</f>
        <v/>
      </c>
      <c r="L2654" s="27">
        <f>IF($A2654="","",TRIM(IF(ISERROR(FIND(",",$C2654)),$C2654,LEFT($C2654,FIND(",",$C2654)-1))))</f>
        <v/>
      </c>
      <c r="M2654" s="28">
        <f>IF($H2654="","",DATE(YEAR($H2654),MONTH($H2654),1))</f>
        <v/>
      </c>
      <c r="N2654" s="26">
        <f>IF($H2654="","",TODAY()-$H2654)</f>
        <v/>
      </c>
      <c r="O2654" s="15" t="n"/>
      <c r="P2654" s="15" t="n"/>
      <c r="Q2654" s="15" t="n"/>
      <c r="R2654" s="25" t="n"/>
      <c r="S2654" s="26">
        <f>IF($A2654="","",AND(OR('Assignment Builder'!$B$5="",$B2654='Assignment Builder'!$B$5),OR('Assignment Builder'!$B$6="",ISNUMBER(SEARCH('Assignment Builder'!$B$6,$C2654))),OR('Assignment Builder'!$B$7="",'Assignment Builder'!$B$7=IFERROR(INDEX('Category Dictionary'!$C$5:$C$135,MATCH($L2654,'Category Dictionary'!$D$5:$D$135,0)),"")),OR('Assignment Builder'!$B$8="",$D2654='Assignment Builder'!$B$8),OR('Assignment Builder'!$B$9="",$F2654='Assignment Builder'!$B$9),OR('Assignment Builder'!$B$10="",$O2654='Assignment Builder'!$B$10),OR('Assignment Builder'!$B$11="",$H2654&gt;='Assignment Builder'!$B$11),OR('Assignment Builder'!$B$12="",N($Q2654)&lt;='Assignment Builder'!$B$12)))</f>
        <v/>
      </c>
      <c r="T2654" s="23" t="n"/>
    </row>
    <row r="2655">
      <c r="A2655" s="23" t="n"/>
      <c r="B2655" s="23" t="n"/>
      <c r="C2655" s="24" t="n"/>
      <c r="D2655" s="15" t="n"/>
      <c r="E2655" s="23" t="n"/>
      <c r="F2655" s="15" t="n"/>
      <c r="G2655" s="23" t="n"/>
      <c r="H2655" s="25" t="n"/>
      <c r="I2655" s="15" t="n"/>
      <c r="J2655" s="26">
        <f>IF($A2655="","",LEN($C2655)-LEN(SUBSTITUTE($C2655,",",""))+1)</f>
        <v/>
      </c>
      <c r="K2655" s="26">
        <f>IF($A2655="","",SUMPRODUCT(--ISNUMBER(SEARCH('Category Dictionary'!$D$5:$D$135&amp;"",$C2655)),--('Category Dictionary'!$D$5:$D$135&lt;&gt;"")))</f>
        <v/>
      </c>
      <c r="L2655" s="27">
        <f>IF($A2655="","",TRIM(IF(ISERROR(FIND(",",$C2655)),$C2655,LEFT($C2655,FIND(",",$C2655)-1))))</f>
        <v/>
      </c>
      <c r="M2655" s="28">
        <f>IF($H2655="","",DATE(YEAR($H2655),MONTH($H2655),1))</f>
        <v/>
      </c>
      <c r="N2655" s="26">
        <f>IF($H2655="","",TODAY()-$H2655)</f>
        <v/>
      </c>
      <c r="O2655" s="15" t="n"/>
      <c r="P2655" s="15" t="n"/>
      <c r="Q2655" s="15" t="n"/>
      <c r="R2655" s="25" t="n"/>
      <c r="S2655" s="26">
        <f>IF($A2655="","",AND(OR('Assignment Builder'!$B$5="",$B2655='Assignment Builder'!$B$5),OR('Assignment Builder'!$B$6="",ISNUMBER(SEARCH('Assignment Builder'!$B$6,$C2655))),OR('Assignment Builder'!$B$7="",'Assignment Builder'!$B$7=IFERROR(INDEX('Category Dictionary'!$C$5:$C$135,MATCH($L2655,'Category Dictionary'!$D$5:$D$135,0)),"")),OR('Assignment Builder'!$B$8="",$D2655='Assignment Builder'!$B$8),OR('Assignment Builder'!$B$9="",$F2655='Assignment Builder'!$B$9),OR('Assignment Builder'!$B$10="",$O2655='Assignment Builder'!$B$10),OR('Assignment Builder'!$B$11="",$H2655&gt;='Assignment Builder'!$B$11),OR('Assignment Builder'!$B$12="",N($Q2655)&lt;='Assignment Builder'!$B$12)))</f>
        <v/>
      </c>
      <c r="T2655" s="23" t="n"/>
    </row>
    <row r="2656">
      <c r="A2656" s="23" t="n"/>
      <c r="B2656" s="23" t="n"/>
      <c r="C2656" s="24" t="n"/>
      <c r="D2656" s="15" t="n"/>
      <c r="E2656" s="23" t="n"/>
      <c r="F2656" s="15" t="n"/>
      <c r="G2656" s="23" t="n"/>
      <c r="H2656" s="25" t="n"/>
      <c r="I2656" s="15" t="n"/>
      <c r="J2656" s="26">
        <f>IF($A2656="","",LEN($C2656)-LEN(SUBSTITUTE($C2656,",",""))+1)</f>
        <v/>
      </c>
      <c r="K2656" s="26">
        <f>IF($A2656="","",SUMPRODUCT(--ISNUMBER(SEARCH('Category Dictionary'!$D$5:$D$135&amp;"",$C2656)),--('Category Dictionary'!$D$5:$D$135&lt;&gt;"")))</f>
        <v/>
      </c>
      <c r="L2656" s="27">
        <f>IF($A2656="","",TRIM(IF(ISERROR(FIND(",",$C2656)),$C2656,LEFT($C2656,FIND(",",$C2656)-1))))</f>
        <v/>
      </c>
      <c r="M2656" s="28">
        <f>IF($H2656="","",DATE(YEAR($H2656),MONTH($H2656),1))</f>
        <v/>
      </c>
      <c r="N2656" s="26">
        <f>IF($H2656="","",TODAY()-$H2656)</f>
        <v/>
      </c>
      <c r="O2656" s="15" t="n"/>
      <c r="P2656" s="15" t="n"/>
      <c r="Q2656" s="15" t="n"/>
      <c r="R2656" s="25" t="n"/>
      <c r="S2656" s="26">
        <f>IF($A2656="","",AND(OR('Assignment Builder'!$B$5="",$B2656='Assignment Builder'!$B$5),OR('Assignment Builder'!$B$6="",ISNUMBER(SEARCH('Assignment Builder'!$B$6,$C2656))),OR('Assignment Builder'!$B$7="",'Assignment Builder'!$B$7=IFERROR(INDEX('Category Dictionary'!$C$5:$C$135,MATCH($L2656,'Category Dictionary'!$D$5:$D$135,0)),"")),OR('Assignment Builder'!$B$8="",$D2656='Assignment Builder'!$B$8),OR('Assignment Builder'!$B$9="",$F2656='Assignment Builder'!$B$9),OR('Assignment Builder'!$B$10="",$O2656='Assignment Builder'!$B$10),OR('Assignment Builder'!$B$11="",$H2656&gt;='Assignment Builder'!$B$11),OR('Assignment Builder'!$B$12="",N($Q2656)&lt;='Assignment Builder'!$B$12)))</f>
        <v/>
      </c>
      <c r="T2656" s="23" t="n"/>
    </row>
    <row r="2657">
      <c r="A2657" s="23" t="n"/>
      <c r="B2657" s="23" t="n"/>
      <c r="C2657" s="24" t="n"/>
      <c r="D2657" s="15" t="n"/>
      <c r="E2657" s="23" t="n"/>
      <c r="F2657" s="15" t="n"/>
      <c r="G2657" s="23" t="n"/>
      <c r="H2657" s="25" t="n"/>
      <c r="I2657" s="15" t="n"/>
      <c r="J2657" s="26">
        <f>IF($A2657="","",LEN($C2657)-LEN(SUBSTITUTE($C2657,",",""))+1)</f>
        <v/>
      </c>
      <c r="K2657" s="26">
        <f>IF($A2657="","",SUMPRODUCT(--ISNUMBER(SEARCH('Category Dictionary'!$D$5:$D$135&amp;"",$C2657)),--('Category Dictionary'!$D$5:$D$135&lt;&gt;"")))</f>
        <v/>
      </c>
      <c r="L2657" s="27">
        <f>IF($A2657="","",TRIM(IF(ISERROR(FIND(",",$C2657)),$C2657,LEFT($C2657,FIND(",",$C2657)-1))))</f>
        <v/>
      </c>
      <c r="M2657" s="28">
        <f>IF($H2657="","",DATE(YEAR($H2657),MONTH($H2657),1))</f>
        <v/>
      </c>
      <c r="N2657" s="26">
        <f>IF($H2657="","",TODAY()-$H2657)</f>
        <v/>
      </c>
      <c r="O2657" s="15" t="n"/>
      <c r="P2657" s="15" t="n"/>
      <c r="Q2657" s="15" t="n"/>
      <c r="R2657" s="25" t="n"/>
      <c r="S2657" s="26">
        <f>IF($A2657="","",AND(OR('Assignment Builder'!$B$5="",$B2657='Assignment Builder'!$B$5),OR('Assignment Builder'!$B$6="",ISNUMBER(SEARCH('Assignment Builder'!$B$6,$C2657))),OR('Assignment Builder'!$B$7="",'Assignment Builder'!$B$7=IFERROR(INDEX('Category Dictionary'!$C$5:$C$135,MATCH($L2657,'Category Dictionary'!$D$5:$D$135,0)),"")),OR('Assignment Builder'!$B$8="",$D2657='Assignment Builder'!$B$8),OR('Assignment Builder'!$B$9="",$F2657='Assignment Builder'!$B$9),OR('Assignment Builder'!$B$10="",$O2657='Assignment Builder'!$B$10),OR('Assignment Builder'!$B$11="",$H2657&gt;='Assignment Builder'!$B$11),OR('Assignment Builder'!$B$12="",N($Q2657)&lt;='Assignment Builder'!$B$12)))</f>
        <v/>
      </c>
      <c r="T2657" s="23" t="n"/>
    </row>
    <row r="2658">
      <c r="A2658" s="23" t="n"/>
      <c r="B2658" s="23" t="n"/>
      <c r="C2658" s="24" t="n"/>
      <c r="D2658" s="15" t="n"/>
      <c r="E2658" s="23" t="n"/>
      <c r="F2658" s="15" t="n"/>
      <c r="G2658" s="23" t="n"/>
      <c r="H2658" s="25" t="n"/>
      <c r="I2658" s="15" t="n"/>
      <c r="J2658" s="26">
        <f>IF($A2658="","",LEN($C2658)-LEN(SUBSTITUTE($C2658,",",""))+1)</f>
        <v/>
      </c>
      <c r="K2658" s="26">
        <f>IF($A2658="","",SUMPRODUCT(--ISNUMBER(SEARCH('Category Dictionary'!$D$5:$D$135&amp;"",$C2658)),--('Category Dictionary'!$D$5:$D$135&lt;&gt;"")))</f>
        <v/>
      </c>
      <c r="L2658" s="27">
        <f>IF($A2658="","",TRIM(IF(ISERROR(FIND(",",$C2658)),$C2658,LEFT($C2658,FIND(",",$C2658)-1))))</f>
        <v/>
      </c>
      <c r="M2658" s="28">
        <f>IF($H2658="","",DATE(YEAR($H2658),MONTH($H2658),1))</f>
        <v/>
      </c>
      <c r="N2658" s="26">
        <f>IF($H2658="","",TODAY()-$H2658)</f>
        <v/>
      </c>
      <c r="O2658" s="15" t="n"/>
      <c r="P2658" s="15" t="n"/>
      <c r="Q2658" s="15" t="n"/>
      <c r="R2658" s="25" t="n"/>
      <c r="S2658" s="26">
        <f>IF($A2658="","",AND(OR('Assignment Builder'!$B$5="",$B2658='Assignment Builder'!$B$5),OR('Assignment Builder'!$B$6="",ISNUMBER(SEARCH('Assignment Builder'!$B$6,$C2658))),OR('Assignment Builder'!$B$7="",'Assignment Builder'!$B$7=IFERROR(INDEX('Category Dictionary'!$C$5:$C$135,MATCH($L2658,'Category Dictionary'!$D$5:$D$135,0)),"")),OR('Assignment Builder'!$B$8="",$D2658='Assignment Builder'!$B$8),OR('Assignment Builder'!$B$9="",$F2658='Assignment Builder'!$B$9),OR('Assignment Builder'!$B$10="",$O2658='Assignment Builder'!$B$10),OR('Assignment Builder'!$B$11="",$H2658&gt;='Assignment Builder'!$B$11),OR('Assignment Builder'!$B$12="",N($Q2658)&lt;='Assignment Builder'!$B$12)))</f>
        <v/>
      </c>
      <c r="T2658" s="23" t="n"/>
    </row>
    <row r="2659">
      <c r="A2659" s="23" t="n"/>
      <c r="B2659" s="23" t="n"/>
      <c r="C2659" s="24" t="n"/>
      <c r="D2659" s="15" t="n"/>
      <c r="E2659" s="23" t="n"/>
      <c r="F2659" s="15" t="n"/>
      <c r="G2659" s="23" t="n"/>
      <c r="H2659" s="25" t="n"/>
      <c r="I2659" s="15" t="n"/>
      <c r="J2659" s="26">
        <f>IF($A2659="","",LEN($C2659)-LEN(SUBSTITUTE($C2659,",",""))+1)</f>
        <v/>
      </c>
      <c r="K2659" s="26">
        <f>IF($A2659="","",SUMPRODUCT(--ISNUMBER(SEARCH('Category Dictionary'!$D$5:$D$135&amp;"",$C2659)),--('Category Dictionary'!$D$5:$D$135&lt;&gt;"")))</f>
        <v/>
      </c>
      <c r="L2659" s="27">
        <f>IF($A2659="","",TRIM(IF(ISERROR(FIND(",",$C2659)),$C2659,LEFT($C2659,FIND(",",$C2659)-1))))</f>
        <v/>
      </c>
      <c r="M2659" s="28">
        <f>IF($H2659="","",DATE(YEAR($H2659),MONTH($H2659),1))</f>
        <v/>
      </c>
      <c r="N2659" s="26">
        <f>IF($H2659="","",TODAY()-$H2659)</f>
        <v/>
      </c>
      <c r="O2659" s="15" t="n"/>
      <c r="P2659" s="15" t="n"/>
      <c r="Q2659" s="15" t="n"/>
      <c r="R2659" s="25" t="n"/>
      <c r="S2659" s="26">
        <f>IF($A2659="","",AND(OR('Assignment Builder'!$B$5="",$B2659='Assignment Builder'!$B$5),OR('Assignment Builder'!$B$6="",ISNUMBER(SEARCH('Assignment Builder'!$B$6,$C2659))),OR('Assignment Builder'!$B$7="",'Assignment Builder'!$B$7=IFERROR(INDEX('Category Dictionary'!$C$5:$C$135,MATCH($L2659,'Category Dictionary'!$D$5:$D$135,0)),"")),OR('Assignment Builder'!$B$8="",$D2659='Assignment Builder'!$B$8),OR('Assignment Builder'!$B$9="",$F2659='Assignment Builder'!$B$9),OR('Assignment Builder'!$B$10="",$O2659='Assignment Builder'!$B$10),OR('Assignment Builder'!$B$11="",$H2659&gt;='Assignment Builder'!$B$11),OR('Assignment Builder'!$B$12="",N($Q2659)&lt;='Assignment Builder'!$B$12)))</f>
        <v/>
      </c>
      <c r="T2659" s="23" t="n"/>
    </row>
    <row r="2660">
      <c r="A2660" s="23" t="n"/>
      <c r="B2660" s="23" t="n"/>
      <c r="C2660" s="24" t="n"/>
      <c r="D2660" s="15" t="n"/>
      <c r="E2660" s="23" t="n"/>
      <c r="F2660" s="15" t="n"/>
      <c r="G2660" s="23" t="n"/>
      <c r="H2660" s="25" t="n"/>
      <c r="I2660" s="15" t="n"/>
      <c r="J2660" s="26">
        <f>IF($A2660="","",LEN($C2660)-LEN(SUBSTITUTE($C2660,",",""))+1)</f>
        <v/>
      </c>
      <c r="K2660" s="26">
        <f>IF($A2660="","",SUMPRODUCT(--ISNUMBER(SEARCH('Category Dictionary'!$D$5:$D$135&amp;"",$C2660)),--('Category Dictionary'!$D$5:$D$135&lt;&gt;"")))</f>
        <v/>
      </c>
      <c r="L2660" s="27">
        <f>IF($A2660="","",TRIM(IF(ISERROR(FIND(",",$C2660)),$C2660,LEFT($C2660,FIND(",",$C2660)-1))))</f>
        <v/>
      </c>
      <c r="M2660" s="28">
        <f>IF($H2660="","",DATE(YEAR($H2660),MONTH($H2660),1))</f>
        <v/>
      </c>
      <c r="N2660" s="26">
        <f>IF($H2660="","",TODAY()-$H2660)</f>
        <v/>
      </c>
      <c r="O2660" s="15" t="n"/>
      <c r="P2660" s="15" t="n"/>
      <c r="Q2660" s="15" t="n"/>
      <c r="R2660" s="25" t="n"/>
      <c r="S2660" s="26">
        <f>IF($A2660="","",AND(OR('Assignment Builder'!$B$5="",$B2660='Assignment Builder'!$B$5),OR('Assignment Builder'!$B$6="",ISNUMBER(SEARCH('Assignment Builder'!$B$6,$C2660))),OR('Assignment Builder'!$B$7="",'Assignment Builder'!$B$7=IFERROR(INDEX('Category Dictionary'!$C$5:$C$135,MATCH($L2660,'Category Dictionary'!$D$5:$D$135,0)),"")),OR('Assignment Builder'!$B$8="",$D2660='Assignment Builder'!$B$8),OR('Assignment Builder'!$B$9="",$F2660='Assignment Builder'!$B$9),OR('Assignment Builder'!$B$10="",$O2660='Assignment Builder'!$B$10),OR('Assignment Builder'!$B$11="",$H2660&gt;='Assignment Builder'!$B$11),OR('Assignment Builder'!$B$12="",N($Q2660)&lt;='Assignment Builder'!$B$12)))</f>
        <v/>
      </c>
      <c r="T2660" s="23" t="n"/>
    </row>
    <row r="2661">
      <c r="A2661" s="23" t="n"/>
      <c r="B2661" s="23" t="n"/>
      <c r="C2661" s="24" t="n"/>
      <c r="D2661" s="15" t="n"/>
      <c r="E2661" s="23" t="n"/>
      <c r="F2661" s="15" t="n"/>
      <c r="G2661" s="23" t="n"/>
      <c r="H2661" s="25" t="n"/>
      <c r="I2661" s="15" t="n"/>
      <c r="J2661" s="26">
        <f>IF($A2661="","",LEN($C2661)-LEN(SUBSTITUTE($C2661,",",""))+1)</f>
        <v/>
      </c>
      <c r="K2661" s="26">
        <f>IF($A2661="","",SUMPRODUCT(--ISNUMBER(SEARCH('Category Dictionary'!$D$5:$D$135&amp;"",$C2661)),--('Category Dictionary'!$D$5:$D$135&lt;&gt;"")))</f>
        <v/>
      </c>
      <c r="L2661" s="27">
        <f>IF($A2661="","",TRIM(IF(ISERROR(FIND(",",$C2661)),$C2661,LEFT($C2661,FIND(",",$C2661)-1))))</f>
        <v/>
      </c>
      <c r="M2661" s="28">
        <f>IF($H2661="","",DATE(YEAR($H2661),MONTH($H2661),1))</f>
        <v/>
      </c>
      <c r="N2661" s="26">
        <f>IF($H2661="","",TODAY()-$H2661)</f>
        <v/>
      </c>
      <c r="O2661" s="15" t="n"/>
      <c r="P2661" s="15" t="n"/>
      <c r="Q2661" s="15" t="n"/>
      <c r="R2661" s="25" t="n"/>
      <c r="S2661" s="26">
        <f>IF($A2661="","",AND(OR('Assignment Builder'!$B$5="",$B2661='Assignment Builder'!$B$5),OR('Assignment Builder'!$B$6="",ISNUMBER(SEARCH('Assignment Builder'!$B$6,$C2661))),OR('Assignment Builder'!$B$7="",'Assignment Builder'!$B$7=IFERROR(INDEX('Category Dictionary'!$C$5:$C$135,MATCH($L2661,'Category Dictionary'!$D$5:$D$135,0)),"")),OR('Assignment Builder'!$B$8="",$D2661='Assignment Builder'!$B$8),OR('Assignment Builder'!$B$9="",$F2661='Assignment Builder'!$B$9),OR('Assignment Builder'!$B$10="",$O2661='Assignment Builder'!$B$10),OR('Assignment Builder'!$B$11="",$H2661&gt;='Assignment Builder'!$B$11),OR('Assignment Builder'!$B$12="",N($Q2661)&lt;='Assignment Builder'!$B$12)))</f>
        <v/>
      </c>
      <c r="T2661" s="23" t="n"/>
    </row>
    <row r="2662">
      <c r="A2662" s="23" t="n"/>
      <c r="B2662" s="23" t="n"/>
      <c r="C2662" s="24" t="n"/>
      <c r="D2662" s="15" t="n"/>
      <c r="E2662" s="23" t="n"/>
      <c r="F2662" s="15" t="n"/>
      <c r="G2662" s="23" t="n"/>
      <c r="H2662" s="25" t="n"/>
      <c r="I2662" s="15" t="n"/>
      <c r="J2662" s="26">
        <f>IF($A2662="","",LEN($C2662)-LEN(SUBSTITUTE($C2662,",",""))+1)</f>
        <v/>
      </c>
      <c r="K2662" s="26">
        <f>IF($A2662="","",SUMPRODUCT(--ISNUMBER(SEARCH('Category Dictionary'!$D$5:$D$135&amp;"",$C2662)),--('Category Dictionary'!$D$5:$D$135&lt;&gt;"")))</f>
        <v/>
      </c>
      <c r="L2662" s="27">
        <f>IF($A2662="","",TRIM(IF(ISERROR(FIND(",",$C2662)),$C2662,LEFT($C2662,FIND(",",$C2662)-1))))</f>
        <v/>
      </c>
      <c r="M2662" s="28">
        <f>IF($H2662="","",DATE(YEAR($H2662),MONTH($H2662),1))</f>
        <v/>
      </c>
      <c r="N2662" s="26">
        <f>IF($H2662="","",TODAY()-$H2662)</f>
        <v/>
      </c>
      <c r="O2662" s="15" t="n"/>
      <c r="P2662" s="15" t="n"/>
      <c r="Q2662" s="15" t="n"/>
      <c r="R2662" s="25" t="n"/>
      <c r="S2662" s="26">
        <f>IF($A2662="","",AND(OR('Assignment Builder'!$B$5="",$B2662='Assignment Builder'!$B$5),OR('Assignment Builder'!$B$6="",ISNUMBER(SEARCH('Assignment Builder'!$B$6,$C2662))),OR('Assignment Builder'!$B$7="",'Assignment Builder'!$B$7=IFERROR(INDEX('Category Dictionary'!$C$5:$C$135,MATCH($L2662,'Category Dictionary'!$D$5:$D$135,0)),"")),OR('Assignment Builder'!$B$8="",$D2662='Assignment Builder'!$B$8),OR('Assignment Builder'!$B$9="",$F2662='Assignment Builder'!$B$9),OR('Assignment Builder'!$B$10="",$O2662='Assignment Builder'!$B$10),OR('Assignment Builder'!$B$11="",$H2662&gt;='Assignment Builder'!$B$11),OR('Assignment Builder'!$B$12="",N($Q2662)&lt;='Assignment Builder'!$B$12)))</f>
        <v/>
      </c>
      <c r="T2662" s="23" t="n"/>
    </row>
    <row r="2663">
      <c r="A2663" s="23" t="n"/>
      <c r="B2663" s="23" t="n"/>
      <c r="C2663" s="24" t="n"/>
      <c r="D2663" s="15" t="n"/>
      <c r="E2663" s="23" t="n"/>
      <c r="F2663" s="15" t="n"/>
      <c r="G2663" s="23" t="n"/>
      <c r="H2663" s="25" t="n"/>
      <c r="I2663" s="15" t="n"/>
      <c r="J2663" s="26">
        <f>IF($A2663="","",LEN($C2663)-LEN(SUBSTITUTE($C2663,",",""))+1)</f>
        <v/>
      </c>
      <c r="K2663" s="26">
        <f>IF($A2663="","",SUMPRODUCT(--ISNUMBER(SEARCH('Category Dictionary'!$D$5:$D$135&amp;"",$C2663)),--('Category Dictionary'!$D$5:$D$135&lt;&gt;"")))</f>
        <v/>
      </c>
      <c r="L2663" s="27">
        <f>IF($A2663="","",TRIM(IF(ISERROR(FIND(",",$C2663)),$C2663,LEFT($C2663,FIND(",",$C2663)-1))))</f>
        <v/>
      </c>
      <c r="M2663" s="28">
        <f>IF($H2663="","",DATE(YEAR($H2663),MONTH($H2663),1))</f>
        <v/>
      </c>
      <c r="N2663" s="26">
        <f>IF($H2663="","",TODAY()-$H2663)</f>
        <v/>
      </c>
      <c r="O2663" s="15" t="n"/>
      <c r="P2663" s="15" t="n"/>
      <c r="Q2663" s="15" t="n"/>
      <c r="R2663" s="25" t="n"/>
      <c r="S2663" s="26">
        <f>IF($A2663="","",AND(OR('Assignment Builder'!$B$5="",$B2663='Assignment Builder'!$B$5),OR('Assignment Builder'!$B$6="",ISNUMBER(SEARCH('Assignment Builder'!$B$6,$C2663))),OR('Assignment Builder'!$B$7="",'Assignment Builder'!$B$7=IFERROR(INDEX('Category Dictionary'!$C$5:$C$135,MATCH($L2663,'Category Dictionary'!$D$5:$D$135,0)),"")),OR('Assignment Builder'!$B$8="",$D2663='Assignment Builder'!$B$8),OR('Assignment Builder'!$B$9="",$F2663='Assignment Builder'!$B$9),OR('Assignment Builder'!$B$10="",$O2663='Assignment Builder'!$B$10),OR('Assignment Builder'!$B$11="",$H2663&gt;='Assignment Builder'!$B$11),OR('Assignment Builder'!$B$12="",N($Q2663)&lt;='Assignment Builder'!$B$12)))</f>
        <v/>
      </c>
      <c r="T2663" s="23" t="n"/>
    </row>
    <row r="2664">
      <c r="A2664" s="23" t="n"/>
      <c r="B2664" s="23" t="n"/>
      <c r="C2664" s="24" t="n"/>
      <c r="D2664" s="15" t="n"/>
      <c r="E2664" s="23" t="n"/>
      <c r="F2664" s="15" t="n"/>
      <c r="G2664" s="23" t="n"/>
      <c r="H2664" s="25" t="n"/>
      <c r="I2664" s="15" t="n"/>
      <c r="J2664" s="26">
        <f>IF($A2664="","",LEN($C2664)-LEN(SUBSTITUTE($C2664,",",""))+1)</f>
        <v/>
      </c>
      <c r="K2664" s="26">
        <f>IF($A2664="","",SUMPRODUCT(--ISNUMBER(SEARCH('Category Dictionary'!$D$5:$D$135&amp;"",$C2664)),--('Category Dictionary'!$D$5:$D$135&lt;&gt;"")))</f>
        <v/>
      </c>
      <c r="L2664" s="27">
        <f>IF($A2664="","",TRIM(IF(ISERROR(FIND(",",$C2664)),$C2664,LEFT($C2664,FIND(",",$C2664)-1))))</f>
        <v/>
      </c>
      <c r="M2664" s="28">
        <f>IF($H2664="","",DATE(YEAR($H2664),MONTH($H2664),1))</f>
        <v/>
      </c>
      <c r="N2664" s="26">
        <f>IF($H2664="","",TODAY()-$H2664)</f>
        <v/>
      </c>
      <c r="O2664" s="15" t="n"/>
      <c r="P2664" s="15" t="n"/>
      <c r="Q2664" s="15" t="n"/>
      <c r="R2664" s="25" t="n"/>
      <c r="S2664" s="26">
        <f>IF($A2664="","",AND(OR('Assignment Builder'!$B$5="",$B2664='Assignment Builder'!$B$5),OR('Assignment Builder'!$B$6="",ISNUMBER(SEARCH('Assignment Builder'!$B$6,$C2664))),OR('Assignment Builder'!$B$7="",'Assignment Builder'!$B$7=IFERROR(INDEX('Category Dictionary'!$C$5:$C$135,MATCH($L2664,'Category Dictionary'!$D$5:$D$135,0)),"")),OR('Assignment Builder'!$B$8="",$D2664='Assignment Builder'!$B$8),OR('Assignment Builder'!$B$9="",$F2664='Assignment Builder'!$B$9),OR('Assignment Builder'!$B$10="",$O2664='Assignment Builder'!$B$10),OR('Assignment Builder'!$B$11="",$H2664&gt;='Assignment Builder'!$B$11),OR('Assignment Builder'!$B$12="",N($Q2664)&lt;='Assignment Builder'!$B$12)))</f>
        <v/>
      </c>
      <c r="T2664" s="23" t="n"/>
    </row>
    <row r="2665">
      <c r="A2665" s="23" t="n"/>
      <c r="B2665" s="23" t="n"/>
      <c r="C2665" s="24" t="n"/>
      <c r="D2665" s="15" t="n"/>
      <c r="E2665" s="23" t="n"/>
      <c r="F2665" s="15" t="n"/>
      <c r="G2665" s="23" t="n"/>
      <c r="H2665" s="25" t="n"/>
      <c r="I2665" s="15" t="n"/>
      <c r="J2665" s="26">
        <f>IF($A2665="","",LEN($C2665)-LEN(SUBSTITUTE($C2665,",",""))+1)</f>
        <v/>
      </c>
      <c r="K2665" s="26">
        <f>IF($A2665="","",SUMPRODUCT(--ISNUMBER(SEARCH('Category Dictionary'!$D$5:$D$135&amp;"",$C2665)),--('Category Dictionary'!$D$5:$D$135&lt;&gt;"")))</f>
        <v/>
      </c>
      <c r="L2665" s="27">
        <f>IF($A2665="","",TRIM(IF(ISERROR(FIND(",",$C2665)),$C2665,LEFT($C2665,FIND(",",$C2665)-1))))</f>
        <v/>
      </c>
      <c r="M2665" s="28">
        <f>IF($H2665="","",DATE(YEAR($H2665),MONTH($H2665),1))</f>
        <v/>
      </c>
      <c r="N2665" s="26">
        <f>IF($H2665="","",TODAY()-$H2665)</f>
        <v/>
      </c>
      <c r="O2665" s="15" t="n"/>
      <c r="P2665" s="15" t="n"/>
      <c r="Q2665" s="15" t="n"/>
      <c r="R2665" s="25" t="n"/>
      <c r="S2665" s="26">
        <f>IF($A2665="","",AND(OR('Assignment Builder'!$B$5="",$B2665='Assignment Builder'!$B$5),OR('Assignment Builder'!$B$6="",ISNUMBER(SEARCH('Assignment Builder'!$B$6,$C2665))),OR('Assignment Builder'!$B$7="",'Assignment Builder'!$B$7=IFERROR(INDEX('Category Dictionary'!$C$5:$C$135,MATCH($L2665,'Category Dictionary'!$D$5:$D$135,0)),"")),OR('Assignment Builder'!$B$8="",$D2665='Assignment Builder'!$B$8),OR('Assignment Builder'!$B$9="",$F2665='Assignment Builder'!$B$9),OR('Assignment Builder'!$B$10="",$O2665='Assignment Builder'!$B$10),OR('Assignment Builder'!$B$11="",$H2665&gt;='Assignment Builder'!$B$11),OR('Assignment Builder'!$B$12="",N($Q2665)&lt;='Assignment Builder'!$B$12)))</f>
        <v/>
      </c>
      <c r="T2665" s="23" t="n"/>
    </row>
    <row r="2666">
      <c r="A2666" s="23" t="n"/>
      <c r="B2666" s="23" t="n"/>
      <c r="C2666" s="24" t="n"/>
      <c r="D2666" s="15" t="n"/>
      <c r="E2666" s="23" t="n"/>
      <c r="F2666" s="15" t="n"/>
      <c r="G2666" s="23" t="n"/>
      <c r="H2666" s="25" t="n"/>
      <c r="I2666" s="15" t="n"/>
      <c r="J2666" s="26">
        <f>IF($A2666="","",LEN($C2666)-LEN(SUBSTITUTE($C2666,",",""))+1)</f>
        <v/>
      </c>
      <c r="K2666" s="26">
        <f>IF($A2666="","",SUMPRODUCT(--ISNUMBER(SEARCH('Category Dictionary'!$D$5:$D$135&amp;"",$C2666)),--('Category Dictionary'!$D$5:$D$135&lt;&gt;"")))</f>
        <v/>
      </c>
      <c r="L2666" s="27">
        <f>IF($A2666="","",TRIM(IF(ISERROR(FIND(",",$C2666)),$C2666,LEFT($C2666,FIND(",",$C2666)-1))))</f>
        <v/>
      </c>
      <c r="M2666" s="28">
        <f>IF($H2666="","",DATE(YEAR($H2666),MONTH($H2666),1))</f>
        <v/>
      </c>
      <c r="N2666" s="26">
        <f>IF($H2666="","",TODAY()-$H2666)</f>
        <v/>
      </c>
      <c r="O2666" s="15" t="n"/>
      <c r="P2666" s="15" t="n"/>
      <c r="Q2666" s="15" t="n"/>
      <c r="R2666" s="25" t="n"/>
      <c r="S2666" s="26">
        <f>IF($A2666="","",AND(OR('Assignment Builder'!$B$5="",$B2666='Assignment Builder'!$B$5),OR('Assignment Builder'!$B$6="",ISNUMBER(SEARCH('Assignment Builder'!$B$6,$C2666))),OR('Assignment Builder'!$B$7="",'Assignment Builder'!$B$7=IFERROR(INDEX('Category Dictionary'!$C$5:$C$135,MATCH($L2666,'Category Dictionary'!$D$5:$D$135,0)),"")),OR('Assignment Builder'!$B$8="",$D2666='Assignment Builder'!$B$8),OR('Assignment Builder'!$B$9="",$F2666='Assignment Builder'!$B$9),OR('Assignment Builder'!$B$10="",$O2666='Assignment Builder'!$B$10),OR('Assignment Builder'!$B$11="",$H2666&gt;='Assignment Builder'!$B$11),OR('Assignment Builder'!$B$12="",N($Q2666)&lt;='Assignment Builder'!$B$12)))</f>
        <v/>
      </c>
      <c r="T2666" s="23" t="n"/>
    </row>
    <row r="2667">
      <c r="A2667" s="23" t="n"/>
      <c r="B2667" s="23" t="n"/>
      <c r="C2667" s="24" t="n"/>
      <c r="D2667" s="15" t="n"/>
      <c r="E2667" s="23" t="n"/>
      <c r="F2667" s="15" t="n"/>
      <c r="G2667" s="23" t="n"/>
      <c r="H2667" s="25" t="n"/>
      <c r="I2667" s="15" t="n"/>
      <c r="J2667" s="26">
        <f>IF($A2667="","",LEN($C2667)-LEN(SUBSTITUTE($C2667,",",""))+1)</f>
        <v/>
      </c>
      <c r="K2667" s="26">
        <f>IF($A2667="","",SUMPRODUCT(--ISNUMBER(SEARCH('Category Dictionary'!$D$5:$D$135&amp;"",$C2667)),--('Category Dictionary'!$D$5:$D$135&lt;&gt;"")))</f>
        <v/>
      </c>
      <c r="L2667" s="27">
        <f>IF($A2667="","",TRIM(IF(ISERROR(FIND(",",$C2667)),$C2667,LEFT($C2667,FIND(",",$C2667)-1))))</f>
        <v/>
      </c>
      <c r="M2667" s="28">
        <f>IF($H2667="","",DATE(YEAR($H2667),MONTH($H2667),1))</f>
        <v/>
      </c>
      <c r="N2667" s="26">
        <f>IF($H2667="","",TODAY()-$H2667)</f>
        <v/>
      </c>
      <c r="O2667" s="15" t="n"/>
      <c r="P2667" s="15" t="n"/>
      <c r="Q2667" s="15" t="n"/>
      <c r="R2667" s="25" t="n"/>
      <c r="S2667" s="26">
        <f>IF($A2667="","",AND(OR('Assignment Builder'!$B$5="",$B2667='Assignment Builder'!$B$5),OR('Assignment Builder'!$B$6="",ISNUMBER(SEARCH('Assignment Builder'!$B$6,$C2667))),OR('Assignment Builder'!$B$7="",'Assignment Builder'!$B$7=IFERROR(INDEX('Category Dictionary'!$C$5:$C$135,MATCH($L2667,'Category Dictionary'!$D$5:$D$135,0)),"")),OR('Assignment Builder'!$B$8="",$D2667='Assignment Builder'!$B$8),OR('Assignment Builder'!$B$9="",$F2667='Assignment Builder'!$B$9),OR('Assignment Builder'!$B$10="",$O2667='Assignment Builder'!$B$10),OR('Assignment Builder'!$B$11="",$H2667&gt;='Assignment Builder'!$B$11),OR('Assignment Builder'!$B$12="",N($Q2667)&lt;='Assignment Builder'!$B$12)))</f>
        <v/>
      </c>
      <c r="T2667" s="23" t="n"/>
    </row>
    <row r="2668">
      <c r="A2668" s="23" t="n"/>
      <c r="B2668" s="23" t="n"/>
      <c r="C2668" s="24" t="n"/>
      <c r="D2668" s="15" t="n"/>
      <c r="E2668" s="23" t="n"/>
      <c r="F2668" s="15" t="n"/>
      <c r="G2668" s="23" t="n"/>
      <c r="H2668" s="25" t="n"/>
      <c r="I2668" s="15" t="n"/>
      <c r="J2668" s="26">
        <f>IF($A2668="","",LEN($C2668)-LEN(SUBSTITUTE($C2668,",",""))+1)</f>
        <v/>
      </c>
      <c r="K2668" s="26">
        <f>IF($A2668="","",SUMPRODUCT(--ISNUMBER(SEARCH('Category Dictionary'!$D$5:$D$135&amp;"",$C2668)),--('Category Dictionary'!$D$5:$D$135&lt;&gt;"")))</f>
        <v/>
      </c>
      <c r="L2668" s="27">
        <f>IF($A2668="","",TRIM(IF(ISERROR(FIND(",",$C2668)),$C2668,LEFT($C2668,FIND(",",$C2668)-1))))</f>
        <v/>
      </c>
      <c r="M2668" s="28">
        <f>IF($H2668="","",DATE(YEAR($H2668),MONTH($H2668),1))</f>
        <v/>
      </c>
      <c r="N2668" s="26">
        <f>IF($H2668="","",TODAY()-$H2668)</f>
        <v/>
      </c>
      <c r="O2668" s="15" t="n"/>
      <c r="P2668" s="15" t="n"/>
      <c r="Q2668" s="15" t="n"/>
      <c r="R2668" s="25" t="n"/>
      <c r="S2668" s="26">
        <f>IF($A2668="","",AND(OR('Assignment Builder'!$B$5="",$B2668='Assignment Builder'!$B$5),OR('Assignment Builder'!$B$6="",ISNUMBER(SEARCH('Assignment Builder'!$B$6,$C2668))),OR('Assignment Builder'!$B$7="",'Assignment Builder'!$B$7=IFERROR(INDEX('Category Dictionary'!$C$5:$C$135,MATCH($L2668,'Category Dictionary'!$D$5:$D$135,0)),"")),OR('Assignment Builder'!$B$8="",$D2668='Assignment Builder'!$B$8),OR('Assignment Builder'!$B$9="",$F2668='Assignment Builder'!$B$9),OR('Assignment Builder'!$B$10="",$O2668='Assignment Builder'!$B$10),OR('Assignment Builder'!$B$11="",$H2668&gt;='Assignment Builder'!$B$11),OR('Assignment Builder'!$B$12="",N($Q2668)&lt;='Assignment Builder'!$B$12)))</f>
        <v/>
      </c>
      <c r="T2668" s="23" t="n"/>
    </row>
    <row r="2669">
      <c r="A2669" s="23" t="n"/>
      <c r="B2669" s="23" t="n"/>
      <c r="C2669" s="24" t="n"/>
      <c r="D2669" s="15" t="n"/>
      <c r="E2669" s="23" t="n"/>
      <c r="F2669" s="15" t="n"/>
      <c r="G2669" s="23" t="n"/>
      <c r="H2669" s="25" t="n"/>
      <c r="I2669" s="15" t="n"/>
      <c r="J2669" s="26">
        <f>IF($A2669="","",LEN($C2669)-LEN(SUBSTITUTE($C2669,",",""))+1)</f>
        <v/>
      </c>
      <c r="K2669" s="26">
        <f>IF($A2669="","",SUMPRODUCT(--ISNUMBER(SEARCH('Category Dictionary'!$D$5:$D$135&amp;"",$C2669)),--('Category Dictionary'!$D$5:$D$135&lt;&gt;"")))</f>
        <v/>
      </c>
      <c r="L2669" s="27">
        <f>IF($A2669="","",TRIM(IF(ISERROR(FIND(",",$C2669)),$C2669,LEFT($C2669,FIND(",",$C2669)-1))))</f>
        <v/>
      </c>
      <c r="M2669" s="28">
        <f>IF($H2669="","",DATE(YEAR($H2669),MONTH($H2669),1))</f>
        <v/>
      </c>
      <c r="N2669" s="26">
        <f>IF($H2669="","",TODAY()-$H2669)</f>
        <v/>
      </c>
      <c r="O2669" s="15" t="n"/>
      <c r="P2669" s="15" t="n"/>
      <c r="Q2669" s="15" t="n"/>
      <c r="R2669" s="25" t="n"/>
      <c r="S2669" s="26">
        <f>IF($A2669="","",AND(OR('Assignment Builder'!$B$5="",$B2669='Assignment Builder'!$B$5),OR('Assignment Builder'!$B$6="",ISNUMBER(SEARCH('Assignment Builder'!$B$6,$C2669))),OR('Assignment Builder'!$B$7="",'Assignment Builder'!$B$7=IFERROR(INDEX('Category Dictionary'!$C$5:$C$135,MATCH($L2669,'Category Dictionary'!$D$5:$D$135,0)),"")),OR('Assignment Builder'!$B$8="",$D2669='Assignment Builder'!$B$8),OR('Assignment Builder'!$B$9="",$F2669='Assignment Builder'!$B$9),OR('Assignment Builder'!$B$10="",$O2669='Assignment Builder'!$B$10),OR('Assignment Builder'!$B$11="",$H2669&gt;='Assignment Builder'!$B$11),OR('Assignment Builder'!$B$12="",N($Q2669)&lt;='Assignment Builder'!$B$12)))</f>
        <v/>
      </c>
      <c r="T2669" s="23" t="n"/>
    </row>
    <row r="2670">
      <c r="A2670" s="23" t="n"/>
      <c r="B2670" s="23" t="n"/>
      <c r="C2670" s="24" t="n"/>
      <c r="D2670" s="15" t="n"/>
      <c r="E2670" s="23" t="n"/>
      <c r="F2670" s="15" t="n"/>
      <c r="G2670" s="23" t="n"/>
      <c r="H2670" s="25" t="n"/>
      <c r="I2670" s="15" t="n"/>
      <c r="J2670" s="26">
        <f>IF($A2670="","",LEN($C2670)-LEN(SUBSTITUTE($C2670,",",""))+1)</f>
        <v/>
      </c>
      <c r="K2670" s="26">
        <f>IF($A2670="","",SUMPRODUCT(--ISNUMBER(SEARCH('Category Dictionary'!$D$5:$D$135&amp;"",$C2670)),--('Category Dictionary'!$D$5:$D$135&lt;&gt;"")))</f>
        <v/>
      </c>
      <c r="L2670" s="27">
        <f>IF($A2670="","",TRIM(IF(ISERROR(FIND(",",$C2670)),$C2670,LEFT($C2670,FIND(",",$C2670)-1))))</f>
        <v/>
      </c>
      <c r="M2670" s="28">
        <f>IF($H2670="","",DATE(YEAR($H2670),MONTH($H2670),1))</f>
        <v/>
      </c>
      <c r="N2670" s="26">
        <f>IF($H2670="","",TODAY()-$H2670)</f>
        <v/>
      </c>
      <c r="O2670" s="15" t="n"/>
      <c r="P2670" s="15" t="n"/>
      <c r="Q2670" s="15" t="n"/>
      <c r="R2670" s="25" t="n"/>
      <c r="S2670" s="26">
        <f>IF($A2670="","",AND(OR('Assignment Builder'!$B$5="",$B2670='Assignment Builder'!$B$5),OR('Assignment Builder'!$B$6="",ISNUMBER(SEARCH('Assignment Builder'!$B$6,$C2670))),OR('Assignment Builder'!$B$7="",'Assignment Builder'!$B$7=IFERROR(INDEX('Category Dictionary'!$C$5:$C$135,MATCH($L2670,'Category Dictionary'!$D$5:$D$135,0)),"")),OR('Assignment Builder'!$B$8="",$D2670='Assignment Builder'!$B$8),OR('Assignment Builder'!$B$9="",$F2670='Assignment Builder'!$B$9),OR('Assignment Builder'!$B$10="",$O2670='Assignment Builder'!$B$10),OR('Assignment Builder'!$B$11="",$H2670&gt;='Assignment Builder'!$B$11),OR('Assignment Builder'!$B$12="",N($Q2670)&lt;='Assignment Builder'!$B$12)))</f>
        <v/>
      </c>
      <c r="T2670" s="23" t="n"/>
    </row>
    <row r="2671">
      <c r="A2671" s="23" t="n"/>
      <c r="B2671" s="23" t="n"/>
      <c r="C2671" s="24" t="n"/>
      <c r="D2671" s="15" t="n"/>
      <c r="E2671" s="23" t="n"/>
      <c r="F2671" s="15" t="n"/>
      <c r="G2671" s="23" t="n"/>
      <c r="H2671" s="25" t="n"/>
      <c r="I2671" s="15" t="n"/>
      <c r="J2671" s="26">
        <f>IF($A2671="","",LEN($C2671)-LEN(SUBSTITUTE($C2671,",",""))+1)</f>
        <v/>
      </c>
      <c r="K2671" s="26">
        <f>IF($A2671="","",SUMPRODUCT(--ISNUMBER(SEARCH('Category Dictionary'!$D$5:$D$135&amp;"",$C2671)),--('Category Dictionary'!$D$5:$D$135&lt;&gt;"")))</f>
        <v/>
      </c>
      <c r="L2671" s="27">
        <f>IF($A2671="","",TRIM(IF(ISERROR(FIND(",",$C2671)),$C2671,LEFT($C2671,FIND(",",$C2671)-1))))</f>
        <v/>
      </c>
      <c r="M2671" s="28">
        <f>IF($H2671="","",DATE(YEAR($H2671),MONTH($H2671),1))</f>
        <v/>
      </c>
      <c r="N2671" s="26">
        <f>IF($H2671="","",TODAY()-$H2671)</f>
        <v/>
      </c>
      <c r="O2671" s="15" t="n"/>
      <c r="P2671" s="15" t="n"/>
      <c r="Q2671" s="15" t="n"/>
      <c r="R2671" s="25" t="n"/>
      <c r="S2671" s="26">
        <f>IF($A2671="","",AND(OR('Assignment Builder'!$B$5="",$B2671='Assignment Builder'!$B$5),OR('Assignment Builder'!$B$6="",ISNUMBER(SEARCH('Assignment Builder'!$B$6,$C2671))),OR('Assignment Builder'!$B$7="",'Assignment Builder'!$B$7=IFERROR(INDEX('Category Dictionary'!$C$5:$C$135,MATCH($L2671,'Category Dictionary'!$D$5:$D$135,0)),"")),OR('Assignment Builder'!$B$8="",$D2671='Assignment Builder'!$B$8),OR('Assignment Builder'!$B$9="",$F2671='Assignment Builder'!$B$9),OR('Assignment Builder'!$B$10="",$O2671='Assignment Builder'!$B$10),OR('Assignment Builder'!$B$11="",$H2671&gt;='Assignment Builder'!$B$11),OR('Assignment Builder'!$B$12="",N($Q2671)&lt;='Assignment Builder'!$B$12)))</f>
        <v/>
      </c>
      <c r="T2671" s="23" t="n"/>
    </row>
    <row r="2672">
      <c r="A2672" s="23" t="n"/>
      <c r="B2672" s="23" t="n"/>
      <c r="C2672" s="24" t="n"/>
      <c r="D2672" s="15" t="n"/>
      <c r="E2672" s="23" t="n"/>
      <c r="F2672" s="15" t="n"/>
      <c r="G2672" s="23" t="n"/>
      <c r="H2672" s="25" t="n"/>
      <c r="I2672" s="15" t="n"/>
      <c r="J2672" s="26">
        <f>IF($A2672="","",LEN($C2672)-LEN(SUBSTITUTE($C2672,",",""))+1)</f>
        <v/>
      </c>
      <c r="K2672" s="26">
        <f>IF($A2672="","",SUMPRODUCT(--ISNUMBER(SEARCH('Category Dictionary'!$D$5:$D$135&amp;"",$C2672)),--('Category Dictionary'!$D$5:$D$135&lt;&gt;"")))</f>
        <v/>
      </c>
      <c r="L2672" s="27">
        <f>IF($A2672="","",TRIM(IF(ISERROR(FIND(",",$C2672)),$C2672,LEFT($C2672,FIND(",",$C2672)-1))))</f>
        <v/>
      </c>
      <c r="M2672" s="28">
        <f>IF($H2672="","",DATE(YEAR($H2672),MONTH($H2672),1))</f>
        <v/>
      </c>
      <c r="N2672" s="26">
        <f>IF($H2672="","",TODAY()-$H2672)</f>
        <v/>
      </c>
      <c r="O2672" s="15" t="n"/>
      <c r="P2672" s="15" t="n"/>
      <c r="Q2672" s="15" t="n"/>
      <c r="R2672" s="25" t="n"/>
      <c r="S2672" s="26">
        <f>IF($A2672="","",AND(OR('Assignment Builder'!$B$5="",$B2672='Assignment Builder'!$B$5),OR('Assignment Builder'!$B$6="",ISNUMBER(SEARCH('Assignment Builder'!$B$6,$C2672))),OR('Assignment Builder'!$B$7="",'Assignment Builder'!$B$7=IFERROR(INDEX('Category Dictionary'!$C$5:$C$135,MATCH($L2672,'Category Dictionary'!$D$5:$D$135,0)),"")),OR('Assignment Builder'!$B$8="",$D2672='Assignment Builder'!$B$8),OR('Assignment Builder'!$B$9="",$F2672='Assignment Builder'!$B$9),OR('Assignment Builder'!$B$10="",$O2672='Assignment Builder'!$B$10),OR('Assignment Builder'!$B$11="",$H2672&gt;='Assignment Builder'!$B$11),OR('Assignment Builder'!$B$12="",N($Q2672)&lt;='Assignment Builder'!$B$12)))</f>
        <v/>
      </c>
      <c r="T2672" s="23" t="n"/>
    </row>
    <row r="2673">
      <c r="A2673" s="23" t="n"/>
      <c r="B2673" s="23" t="n"/>
      <c r="C2673" s="24" t="n"/>
      <c r="D2673" s="15" t="n"/>
      <c r="E2673" s="23" t="n"/>
      <c r="F2673" s="15" t="n"/>
      <c r="G2673" s="23" t="n"/>
      <c r="H2673" s="25" t="n"/>
      <c r="I2673" s="15" t="n"/>
      <c r="J2673" s="26">
        <f>IF($A2673="","",LEN($C2673)-LEN(SUBSTITUTE($C2673,",",""))+1)</f>
        <v/>
      </c>
      <c r="K2673" s="26">
        <f>IF($A2673="","",SUMPRODUCT(--ISNUMBER(SEARCH('Category Dictionary'!$D$5:$D$135&amp;"",$C2673)),--('Category Dictionary'!$D$5:$D$135&lt;&gt;"")))</f>
        <v/>
      </c>
      <c r="L2673" s="27">
        <f>IF($A2673="","",TRIM(IF(ISERROR(FIND(",",$C2673)),$C2673,LEFT($C2673,FIND(",",$C2673)-1))))</f>
        <v/>
      </c>
      <c r="M2673" s="28">
        <f>IF($H2673="","",DATE(YEAR($H2673),MONTH($H2673),1))</f>
        <v/>
      </c>
      <c r="N2673" s="26">
        <f>IF($H2673="","",TODAY()-$H2673)</f>
        <v/>
      </c>
      <c r="O2673" s="15" t="n"/>
      <c r="P2673" s="15" t="n"/>
      <c r="Q2673" s="15" t="n"/>
      <c r="R2673" s="25" t="n"/>
      <c r="S2673" s="26">
        <f>IF($A2673="","",AND(OR('Assignment Builder'!$B$5="",$B2673='Assignment Builder'!$B$5),OR('Assignment Builder'!$B$6="",ISNUMBER(SEARCH('Assignment Builder'!$B$6,$C2673))),OR('Assignment Builder'!$B$7="",'Assignment Builder'!$B$7=IFERROR(INDEX('Category Dictionary'!$C$5:$C$135,MATCH($L2673,'Category Dictionary'!$D$5:$D$135,0)),"")),OR('Assignment Builder'!$B$8="",$D2673='Assignment Builder'!$B$8),OR('Assignment Builder'!$B$9="",$F2673='Assignment Builder'!$B$9),OR('Assignment Builder'!$B$10="",$O2673='Assignment Builder'!$B$10),OR('Assignment Builder'!$B$11="",$H2673&gt;='Assignment Builder'!$B$11),OR('Assignment Builder'!$B$12="",N($Q2673)&lt;='Assignment Builder'!$B$12)))</f>
        <v/>
      </c>
      <c r="T2673" s="23" t="n"/>
    </row>
    <row r="2674">
      <c r="A2674" s="23" t="n"/>
      <c r="B2674" s="23" t="n"/>
      <c r="C2674" s="24" t="n"/>
      <c r="D2674" s="15" t="n"/>
      <c r="E2674" s="23" t="n"/>
      <c r="F2674" s="15" t="n"/>
      <c r="G2674" s="23" t="n"/>
      <c r="H2674" s="25" t="n"/>
      <c r="I2674" s="15" t="n"/>
      <c r="J2674" s="26">
        <f>IF($A2674="","",LEN($C2674)-LEN(SUBSTITUTE($C2674,",",""))+1)</f>
        <v/>
      </c>
      <c r="K2674" s="26">
        <f>IF($A2674="","",SUMPRODUCT(--ISNUMBER(SEARCH('Category Dictionary'!$D$5:$D$135&amp;"",$C2674)),--('Category Dictionary'!$D$5:$D$135&lt;&gt;"")))</f>
        <v/>
      </c>
      <c r="L2674" s="27">
        <f>IF($A2674="","",TRIM(IF(ISERROR(FIND(",",$C2674)),$C2674,LEFT($C2674,FIND(",",$C2674)-1))))</f>
        <v/>
      </c>
      <c r="M2674" s="28">
        <f>IF($H2674="","",DATE(YEAR($H2674),MONTH($H2674),1))</f>
        <v/>
      </c>
      <c r="N2674" s="26">
        <f>IF($H2674="","",TODAY()-$H2674)</f>
        <v/>
      </c>
      <c r="O2674" s="15" t="n"/>
      <c r="P2674" s="15" t="n"/>
      <c r="Q2674" s="15" t="n"/>
      <c r="R2674" s="25" t="n"/>
      <c r="S2674" s="26">
        <f>IF($A2674="","",AND(OR('Assignment Builder'!$B$5="",$B2674='Assignment Builder'!$B$5),OR('Assignment Builder'!$B$6="",ISNUMBER(SEARCH('Assignment Builder'!$B$6,$C2674))),OR('Assignment Builder'!$B$7="",'Assignment Builder'!$B$7=IFERROR(INDEX('Category Dictionary'!$C$5:$C$135,MATCH($L2674,'Category Dictionary'!$D$5:$D$135,0)),"")),OR('Assignment Builder'!$B$8="",$D2674='Assignment Builder'!$B$8),OR('Assignment Builder'!$B$9="",$F2674='Assignment Builder'!$B$9),OR('Assignment Builder'!$B$10="",$O2674='Assignment Builder'!$B$10),OR('Assignment Builder'!$B$11="",$H2674&gt;='Assignment Builder'!$B$11),OR('Assignment Builder'!$B$12="",N($Q2674)&lt;='Assignment Builder'!$B$12)))</f>
        <v/>
      </c>
      <c r="T2674" s="23" t="n"/>
    </row>
    <row r="2675">
      <c r="A2675" s="23" t="n"/>
      <c r="B2675" s="23" t="n"/>
      <c r="C2675" s="24" t="n"/>
      <c r="D2675" s="15" t="n"/>
      <c r="E2675" s="23" t="n"/>
      <c r="F2675" s="15" t="n"/>
      <c r="G2675" s="23" t="n"/>
      <c r="H2675" s="25" t="n"/>
      <c r="I2675" s="15" t="n"/>
      <c r="J2675" s="26">
        <f>IF($A2675="","",LEN($C2675)-LEN(SUBSTITUTE($C2675,",",""))+1)</f>
        <v/>
      </c>
      <c r="K2675" s="26">
        <f>IF($A2675="","",SUMPRODUCT(--ISNUMBER(SEARCH('Category Dictionary'!$D$5:$D$135&amp;"",$C2675)),--('Category Dictionary'!$D$5:$D$135&lt;&gt;"")))</f>
        <v/>
      </c>
      <c r="L2675" s="27">
        <f>IF($A2675="","",TRIM(IF(ISERROR(FIND(",",$C2675)),$C2675,LEFT($C2675,FIND(",",$C2675)-1))))</f>
        <v/>
      </c>
      <c r="M2675" s="28">
        <f>IF($H2675="","",DATE(YEAR($H2675),MONTH($H2675),1))</f>
        <v/>
      </c>
      <c r="N2675" s="26">
        <f>IF($H2675="","",TODAY()-$H2675)</f>
        <v/>
      </c>
      <c r="O2675" s="15" t="n"/>
      <c r="P2675" s="15" t="n"/>
      <c r="Q2675" s="15" t="n"/>
      <c r="R2675" s="25" t="n"/>
      <c r="S2675" s="26">
        <f>IF($A2675="","",AND(OR('Assignment Builder'!$B$5="",$B2675='Assignment Builder'!$B$5),OR('Assignment Builder'!$B$6="",ISNUMBER(SEARCH('Assignment Builder'!$B$6,$C2675))),OR('Assignment Builder'!$B$7="",'Assignment Builder'!$B$7=IFERROR(INDEX('Category Dictionary'!$C$5:$C$135,MATCH($L2675,'Category Dictionary'!$D$5:$D$135,0)),"")),OR('Assignment Builder'!$B$8="",$D2675='Assignment Builder'!$B$8),OR('Assignment Builder'!$B$9="",$F2675='Assignment Builder'!$B$9),OR('Assignment Builder'!$B$10="",$O2675='Assignment Builder'!$B$10),OR('Assignment Builder'!$B$11="",$H2675&gt;='Assignment Builder'!$B$11),OR('Assignment Builder'!$B$12="",N($Q2675)&lt;='Assignment Builder'!$B$12)))</f>
        <v/>
      </c>
      <c r="T2675" s="23" t="n"/>
    </row>
    <row r="2676">
      <c r="A2676" s="23" t="n"/>
      <c r="B2676" s="23" t="n"/>
      <c r="C2676" s="24" t="n"/>
      <c r="D2676" s="15" t="n"/>
      <c r="E2676" s="23" t="n"/>
      <c r="F2676" s="15" t="n"/>
      <c r="G2676" s="23" t="n"/>
      <c r="H2676" s="25" t="n"/>
      <c r="I2676" s="15" t="n"/>
      <c r="J2676" s="26">
        <f>IF($A2676="","",LEN($C2676)-LEN(SUBSTITUTE($C2676,",",""))+1)</f>
        <v/>
      </c>
      <c r="K2676" s="26">
        <f>IF($A2676="","",SUMPRODUCT(--ISNUMBER(SEARCH('Category Dictionary'!$D$5:$D$135&amp;"",$C2676)),--('Category Dictionary'!$D$5:$D$135&lt;&gt;"")))</f>
        <v/>
      </c>
      <c r="L2676" s="27">
        <f>IF($A2676="","",TRIM(IF(ISERROR(FIND(",",$C2676)),$C2676,LEFT($C2676,FIND(",",$C2676)-1))))</f>
        <v/>
      </c>
      <c r="M2676" s="28">
        <f>IF($H2676="","",DATE(YEAR($H2676),MONTH($H2676),1))</f>
        <v/>
      </c>
      <c r="N2676" s="26">
        <f>IF($H2676="","",TODAY()-$H2676)</f>
        <v/>
      </c>
      <c r="O2676" s="15" t="n"/>
      <c r="P2676" s="15" t="n"/>
      <c r="Q2676" s="15" t="n"/>
      <c r="R2676" s="25" t="n"/>
      <c r="S2676" s="26">
        <f>IF($A2676="","",AND(OR('Assignment Builder'!$B$5="",$B2676='Assignment Builder'!$B$5),OR('Assignment Builder'!$B$6="",ISNUMBER(SEARCH('Assignment Builder'!$B$6,$C2676))),OR('Assignment Builder'!$B$7="",'Assignment Builder'!$B$7=IFERROR(INDEX('Category Dictionary'!$C$5:$C$135,MATCH($L2676,'Category Dictionary'!$D$5:$D$135,0)),"")),OR('Assignment Builder'!$B$8="",$D2676='Assignment Builder'!$B$8),OR('Assignment Builder'!$B$9="",$F2676='Assignment Builder'!$B$9),OR('Assignment Builder'!$B$10="",$O2676='Assignment Builder'!$B$10),OR('Assignment Builder'!$B$11="",$H2676&gt;='Assignment Builder'!$B$11),OR('Assignment Builder'!$B$12="",N($Q2676)&lt;='Assignment Builder'!$B$12)))</f>
        <v/>
      </c>
      <c r="T2676" s="23" t="n"/>
    </row>
    <row r="2677">
      <c r="A2677" s="23" t="n"/>
      <c r="B2677" s="23" t="n"/>
      <c r="C2677" s="24" t="n"/>
      <c r="D2677" s="15" t="n"/>
      <c r="E2677" s="23" t="n"/>
      <c r="F2677" s="15" t="n"/>
      <c r="G2677" s="23" t="n"/>
      <c r="H2677" s="25" t="n"/>
      <c r="I2677" s="15" t="n"/>
      <c r="J2677" s="26">
        <f>IF($A2677="","",LEN($C2677)-LEN(SUBSTITUTE($C2677,",",""))+1)</f>
        <v/>
      </c>
      <c r="K2677" s="26">
        <f>IF($A2677="","",SUMPRODUCT(--ISNUMBER(SEARCH('Category Dictionary'!$D$5:$D$135&amp;"",$C2677)),--('Category Dictionary'!$D$5:$D$135&lt;&gt;"")))</f>
        <v/>
      </c>
      <c r="L2677" s="27">
        <f>IF($A2677="","",TRIM(IF(ISERROR(FIND(",",$C2677)),$C2677,LEFT($C2677,FIND(",",$C2677)-1))))</f>
        <v/>
      </c>
      <c r="M2677" s="28">
        <f>IF($H2677="","",DATE(YEAR($H2677),MONTH($H2677),1))</f>
        <v/>
      </c>
      <c r="N2677" s="26">
        <f>IF($H2677="","",TODAY()-$H2677)</f>
        <v/>
      </c>
      <c r="O2677" s="15" t="n"/>
      <c r="P2677" s="15" t="n"/>
      <c r="Q2677" s="15" t="n"/>
      <c r="R2677" s="25" t="n"/>
      <c r="S2677" s="26">
        <f>IF($A2677="","",AND(OR('Assignment Builder'!$B$5="",$B2677='Assignment Builder'!$B$5),OR('Assignment Builder'!$B$6="",ISNUMBER(SEARCH('Assignment Builder'!$B$6,$C2677))),OR('Assignment Builder'!$B$7="",'Assignment Builder'!$B$7=IFERROR(INDEX('Category Dictionary'!$C$5:$C$135,MATCH($L2677,'Category Dictionary'!$D$5:$D$135,0)),"")),OR('Assignment Builder'!$B$8="",$D2677='Assignment Builder'!$B$8),OR('Assignment Builder'!$B$9="",$F2677='Assignment Builder'!$B$9),OR('Assignment Builder'!$B$10="",$O2677='Assignment Builder'!$B$10),OR('Assignment Builder'!$B$11="",$H2677&gt;='Assignment Builder'!$B$11),OR('Assignment Builder'!$B$12="",N($Q2677)&lt;='Assignment Builder'!$B$12)))</f>
        <v/>
      </c>
      <c r="T2677" s="23" t="n"/>
    </row>
    <row r="2678">
      <c r="A2678" s="23" t="n"/>
      <c r="B2678" s="23" t="n"/>
      <c r="C2678" s="24" t="n"/>
      <c r="D2678" s="15" t="n"/>
      <c r="E2678" s="23" t="n"/>
      <c r="F2678" s="15" t="n"/>
      <c r="G2678" s="23" t="n"/>
      <c r="H2678" s="25" t="n"/>
      <c r="I2678" s="15" t="n"/>
      <c r="J2678" s="26">
        <f>IF($A2678="","",LEN($C2678)-LEN(SUBSTITUTE($C2678,",",""))+1)</f>
        <v/>
      </c>
      <c r="K2678" s="26">
        <f>IF($A2678="","",SUMPRODUCT(--ISNUMBER(SEARCH('Category Dictionary'!$D$5:$D$135&amp;"",$C2678)),--('Category Dictionary'!$D$5:$D$135&lt;&gt;"")))</f>
        <v/>
      </c>
      <c r="L2678" s="27">
        <f>IF($A2678="","",TRIM(IF(ISERROR(FIND(",",$C2678)),$C2678,LEFT($C2678,FIND(",",$C2678)-1))))</f>
        <v/>
      </c>
      <c r="M2678" s="28">
        <f>IF($H2678="","",DATE(YEAR($H2678),MONTH($H2678),1))</f>
        <v/>
      </c>
      <c r="N2678" s="26">
        <f>IF($H2678="","",TODAY()-$H2678)</f>
        <v/>
      </c>
      <c r="O2678" s="15" t="n"/>
      <c r="P2678" s="15" t="n"/>
      <c r="Q2678" s="15" t="n"/>
      <c r="R2678" s="25" t="n"/>
      <c r="S2678" s="26">
        <f>IF($A2678="","",AND(OR('Assignment Builder'!$B$5="",$B2678='Assignment Builder'!$B$5),OR('Assignment Builder'!$B$6="",ISNUMBER(SEARCH('Assignment Builder'!$B$6,$C2678))),OR('Assignment Builder'!$B$7="",'Assignment Builder'!$B$7=IFERROR(INDEX('Category Dictionary'!$C$5:$C$135,MATCH($L2678,'Category Dictionary'!$D$5:$D$135,0)),"")),OR('Assignment Builder'!$B$8="",$D2678='Assignment Builder'!$B$8),OR('Assignment Builder'!$B$9="",$F2678='Assignment Builder'!$B$9),OR('Assignment Builder'!$B$10="",$O2678='Assignment Builder'!$B$10),OR('Assignment Builder'!$B$11="",$H2678&gt;='Assignment Builder'!$B$11),OR('Assignment Builder'!$B$12="",N($Q2678)&lt;='Assignment Builder'!$B$12)))</f>
        <v/>
      </c>
      <c r="T2678" s="23" t="n"/>
    </row>
    <row r="2679">
      <c r="A2679" s="23" t="n"/>
      <c r="B2679" s="23" t="n"/>
      <c r="C2679" s="24" t="n"/>
      <c r="D2679" s="15" t="n"/>
      <c r="E2679" s="23" t="n"/>
      <c r="F2679" s="15" t="n"/>
      <c r="G2679" s="23" t="n"/>
      <c r="H2679" s="25" t="n"/>
      <c r="I2679" s="15" t="n"/>
      <c r="J2679" s="26">
        <f>IF($A2679="","",LEN($C2679)-LEN(SUBSTITUTE($C2679,",",""))+1)</f>
        <v/>
      </c>
      <c r="K2679" s="26">
        <f>IF($A2679="","",SUMPRODUCT(--ISNUMBER(SEARCH('Category Dictionary'!$D$5:$D$135&amp;"",$C2679)),--('Category Dictionary'!$D$5:$D$135&lt;&gt;"")))</f>
        <v/>
      </c>
      <c r="L2679" s="27">
        <f>IF($A2679="","",TRIM(IF(ISERROR(FIND(",",$C2679)),$C2679,LEFT($C2679,FIND(",",$C2679)-1))))</f>
        <v/>
      </c>
      <c r="M2679" s="28">
        <f>IF($H2679="","",DATE(YEAR($H2679),MONTH($H2679),1))</f>
        <v/>
      </c>
      <c r="N2679" s="26">
        <f>IF($H2679="","",TODAY()-$H2679)</f>
        <v/>
      </c>
      <c r="O2679" s="15" t="n"/>
      <c r="P2679" s="15" t="n"/>
      <c r="Q2679" s="15" t="n"/>
      <c r="R2679" s="25" t="n"/>
      <c r="S2679" s="26">
        <f>IF($A2679="","",AND(OR('Assignment Builder'!$B$5="",$B2679='Assignment Builder'!$B$5),OR('Assignment Builder'!$B$6="",ISNUMBER(SEARCH('Assignment Builder'!$B$6,$C2679))),OR('Assignment Builder'!$B$7="",'Assignment Builder'!$B$7=IFERROR(INDEX('Category Dictionary'!$C$5:$C$135,MATCH($L2679,'Category Dictionary'!$D$5:$D$135,0)),"")),OR('Assignment Builder'!$B$8="",$D2679='Assignment Builder'!$B$8),OR('Assignment Builder'!$B$9="",$F2679='Assignment Builder'!$B$9),OR('Assignment Builder'!$B$10="",$O2679='Assignment Builder'!$B$10),OR('Assignment Builder'!$B$11="",$H2679&gt;='Assignment Builder'!$B$11),OR('Assignment Builder'!$B$12="",N($Q2679)&lt;='Assignment Builder'!$B$12)))</f>
        <v/>
      </c>
      <c r="T2679" s="23" t="n"/>
    </row>
    <row r="2680">
      <c r="A2680" s="23" t="n"/>
      <c r="B2680" s="23" t="n"/>
      <c r="C2680" s="24" t="n"/>
      <c r="D2680" s="15" t="n"/>
      <c r="E2680" s="23" t="n"/>
      <c r="F2680" s="15" t="n"/>
      <c r="G2680" s="23" t="n"/>
      <c r="H2680" s="25" t="n"/>
      <c r="I2680" s="15" t="n"/>
      <c r="J2680" s="26">
        <f>IF($A2680="","",LEN($C2680)-LEN(SUBSTITUTE($C2680,",",""))+1)</f>
        <v/>
      </c>
      <c r="K2680" s="26">
        <f>IF($A2680="","",SUMPRODUCT(--ISNUMBER(SEARCH('Category Dictionary'!$D$5:$D$135&amp;"",$C2680)),--('Category Dictionary'!$D$5:$D$135&lt;&gt;"")))</f>
        <v/>
      </c>
      <c r="L2680" s="27">
        <f>IF($A2680="","",TRIM(IF(ISERROR(FIND(",",$C2680)),$C2680,LEFT($C2680,FIND(",",$C2680)-1))))</f>
        <v/>
      </c>
      <c r="M2680" s="28">
        <f>IF($H2680="","",DATE(YEAR($H2680),MONTH($H2680),1))</f>
        <v/>
      </c>
      <c r="N2680" s="26">
        <f>IF($H2680="","",TODAY()-$H2680)</f>
        <v/>
      </c>
      <c r="O2680" s="15" t="n"/>
      <c r="P2680" s="15" t="n"/>
      <c r="Q2680" s="15" t="n"/>
      <c r="R2680" s="25" t="n"/>
      <c r="S2680" s="26">
        <f>IF($A2680="","",AND(OR('Assignment Builder'!$B$5="",$B2680='Assignment Builder'!$B$5),OR('Assignment Builder'!$B$6="",ISNUMBER(SEARCH('Assignment Builder'!$B$6,$C2680))),OR('Assignment Builder'!$B$7="",'Assignment Builder'!$B$7=IFERROR(INDEX('Category Dictionary'!$C$5:$C$135,MATCH($L2680,'Category Dictionary'!$D$5:$D$135,0)),"")),OR('Assignment Builder'!$B$8="",$D2680='Assignment Builder'!$B$8),OR('Assignment Builder'!$B$9="",$F2680='Assignment Builder'!$B$9),OR('Assignment Builder'!$B$10="",$O2680='Assignment Builder'!$B$10),OR('Assignment Builder'!$B$11="",$H2680&gt;='Assignment Builder'!$B$11),OR('Assignment Builder'!$B$12="",N($Q2680)&lt;='Assignment Builder'!$B$12)))</f>
        <v/>
      </c>
      <c r="T2680" s="23" t="n"/>
    </row>
    <row r="2681">
      <c r="A2681" s="23" t="n"/>
      <c r="B2681" s="23" t="n"/>
      <c r="C2681" s="24" t="n"/>
      <c r="D2681" s="15" t="n"/>
      <c r="E2681" s="23" t="n"/>
      <c r="F2681" s="15" t="n"/>
      <c r="G2681" s="23" t="n"/>
      <c r="H2681" s="25" t="n"/>
      <c r="I2681" s="15" t="n"/>
      <c r="J2681" s="26">
        <f>IF($A2681="","",LEN($C2681)-LEN(SUBSTITUTE($C2681,",",""))+1)</f>
        <v/>
      </c>
      <c r="K2681" s="26">
        <f>IF($A2681="","",SUMPRODUCT(--ISNUMBER(SEARCH('Category Dictionary'!$D$5:$D$135&amp;"",$C2681)),--('Category Dictionary'!$D$5:$D$135&lt;&gt;"")))</f>
        <v/>
      </c>
      <c r="L2681" s="27">
        <f>IF($A2681="","",TRIM(IF(ISERROR(FIND(",",$C2681)),$C2681,LEFT($C2681,FIND(",",$C2681)-1))))</f>
        <v/>
      </c>
      <c r="M2681" s="28">
        <f>IF($H2681="","",DATE(YEAR($H2681),MONTH($H2681),1))</f>
        <v/>
      </c>
      <c r="N2681" s="26">
        <f>IF($H2681="","",TODAY()-$H2681)</f>
        <v/>
      </c>
      <c r="O2681" s="15" t="n"/>
      <c r="P2681" s="15" t="n"/>
      <c r="Q2681" s="15" t="n"/>
      <c r="R2681" s="25" t="n"/>
      <c r="S2681" s="26">
        <f>IF($A2681="","",AND(OR('Assignment Builder'!$B$5="",$B2681='Assignment Builder'!$B$5),OR('Assignment Builder'!$B$6="",ISNUMBER(SEARCH('Assignment Builder'!$B$6,$C2681))),OR('Assignment Builder'!$B$7="",'Assignment Builder'!$B$7=IFERROR(INDEX('Category Dictionary'!$C$5:$C$135,MATCH($L2681,'Category Dictionary'!$D$5:$D$135,0)),"")),OR('Assignment Builder'!$B$8="",$D2681='Assignment Builder'!$B$8),OR('Assignment Builder'!$B$9="",$F2681='Assignment Builder'!$B$9),OR('Assignment Builder'!$B$10="",$O2681='Assignment Builder'!$B$10),OR('Assignment Builder'!$B$11="",$H2681&gt;='Assignment Builder'!$B$11),OR('Assignment Builder'!$B$12="",N($Q2681)&lt;='Assignment Builder'!$B$12)))</f>
        <v/>
      </c>
      <c r="T2681" s="23" t="n"/>
    </row>
    <row r="2682">
      <c r="A2682" s="23" t="n"/>
      <c r="B2682" s="23" t="n"/>
      <c r="C2682" s="24" t="n"/>
      <c r="D2682" s="15" t="n"/>
      <c r="E2682" s="23" t="n"/>
      <c r="F2682" s="15" t="n"/>
      <c r="G2682" s="23" t="n"/>
      <c r="H2682" s="25" t="n"/>
      <c r="I2682" s="15" t="n"/>
      <c r="J2682" s="26">
        <f>IF($A2682="","",LEN($C2682)-LEN(SUBSTITUTE($C2682,",",""))+1)</f>
        <v/>
      </c>
      <c r="K2682" s="26">
        <f>IF($A2682="","",SUMPRODUCT(--ISNUMBER(SEARCH('Category Dictionary'!$D$5:$D$135&amp;"",$C2682)),--('Category Dictionary'!$D$5:$D$135&lt;&gt;"")))</f>
        <v/>
      </c>
      <c r="L2682" s="27">
        <f>IF($A2682="","",TRIM(IF(ISERROR(FIND(",",$C2682)),$C2682,LEFT($C2682,FIND(",",$C2682)-1))))</f>
        <v/>
      </c>
      <c r="M2682" s="28">
        <f>IF($H2682="","",DATE(YEAR($H2682),MONTH($H2682),1))</f>
        <v/>
      </c>
      <c r="N2682" s="26">
        <f>IF($H2682="","",TODAY()-$H2682)</f>
        <v/>
      </c>
      <c r="O2682" s="15" t="n"/>
      <c r="P2682" s="15" t="n"/>
      <c r="Q2682" s="15" t="n"/>
      <c r="R2682" s="25" t="n"/>
      <c r="S2682" s="26">
        <f>IF($A2682="","",AND(OR('Assignment Builder'!$B$5="",$B2682='Assignment Builder'!$B$5),OR('Assignment Builder'!$B$6="",ISNUMBER(SEARCH('Assignment Builder'!$B$6,$C2682))),OR('Assignment Builder'!$B$7="",'Assignment Builder'!$B$7=IFERROR(INDEX('Category Dictionary'!$C$5:$C$135,MATCH($L2682,'Category Dictionary'!$D$5:$D$135,0)),"")),OR('Assignment Builder'!$B$8="",$D2682='Assignment Builder'!$B$8),OR('Assignment Builder'!$B$9="",$F2682='Assignment Builder'!$B$9),OR('Assignment Builder'!$B$10="",$O2682='Assignment Builder'!$B$10),OR('Assignment Builder'!$B$11="",$H2682&gt;='Assignment Builder'!$B$11),OR('Assignment Builder'!$B$12="",N($Q2682)&lt;='Assignment Builder'!$B$12)))</f>
        <v/>
      </c>
      <c r="T2682" s="23" t="n"/>
    </row>
    <row r="2683">
      <c r="A2683" s="23" t="n"/>
      <c r="B2683" s="23" t="n"/>
      <c r="C2683" s="24" t="n"/>
      <c r="D2683" s="15" t="n"/>
      <c r="E2683" s="23" t="n"/>
      <c r="F2683" s="15" t="n"/>
      <c r="G2683" s="23" t="n"/>
      <c r="H2683" s="25" t="n"/>
      <c r="I2683" s="15" t="n"/>
      <c r="J2683" s="26">
        <f>IF($A2683="","",LEN($C2683)-LEN(SUBSTITUTE($C2683,",",""))+1)</f>
        <v/>
      </c>
      <c r="K2683" s="26">
        <f>IF($A2683="","",SUMPRODUCT(--ISNUMBER(SEARCH('Category Dictionary'!$D$5:$D$135&amp;"",$C2683)),--('Category Dictionary'!$D$5:$D$135&lt;&gt;"")))</f>
        <v/>
      </c>
      <c r="L2683" s="27">
        <f>IF($A2683="","",TRIM(IF(ISERROR(FIND(",",$C2683)),$C2683,LEFT($C2683,FIND(",",$C2683)-1))))</f>
        <v/>
      </c>
      <c r="M2683" s="28">
        <f>IF($H2683="","",DATE(YEAR($H2683),MONTH($H2683),1))</f>
        <v/>
      </c>
      <c r="N2683" s="26">
        <f>IF($H2683="","",TODAY()-$H2683)</f>
        <v/>
      </c>
      <c r="O2683" s="15" t="n"/>
      <c r="P2683" s="15" t="n"/>
      <c r="Q2683" s="15" t="n"/>
      <c r="R2683" s="25" t="n"/>
      <c r="S2683" s="26">
        <f>IF($A2683="","",AND(OR('Assignment Builder'!$B$5="",$B2683='Assignment Builder'!$B$5),OR('Assignment Builder'!$B$6="",ISNUMBER(SEARCH('Assignment Builder'!$B$6,$C2683))),OR('Assignment Builder'!$B$7="",'Assignment Builder'!$B$7=IFERROR(INDEX('Category Dictionary'!$C$5:$C$135,MATCH($L2683,'Category Dictionary'!$D$5:$D$135,0)),"")),OR('Assignment Builder'!$B$8="",$D2683='Assignment Builder'!$B$8),OR('Assignment Builder'!$B$9="",$F2683='Assignment Builder'!$B$9),OR('Assignment Builder'!$B$10="",$O2683='Assignment Builder'!$B$10),OR('Assignment Builder'!$B$11="",$H2683&gt;='Assignment Builder'!$B$11),OR('Assignment Builder'!$B$12="",N($Q2683)&lt;='Assignment Builder'!$B$12)))</f>
        <v/>
      </c>
      <c r="T2683" s="23" t="n"/>
    </row>
    <row r="2684">
      <c r="A2684" s="23" t="n"/>
      <c r="B2684" s="23" t="n"/>
      <c r="C2684" s="24" t="n"/>
      <c r="D2684" s="15" t="n"/>
      <c r="E2684" s="23" t="n"/>
      <c r="F2684" s="15" t="n"/>
      <c r="G2684" s="23" t="n"/>
      <c r="H2684" s="25" t="n"/>
      <c r="I2684" s="15" t="n"/>
      <c r="J2684" s="26">
        <f>IF($A2684="","",LEN($C2684)-LEN(SUBSTITUTE($C2684,",",""))+1)</f>
        <v/>
      </c>
      <c r="K2684" s="26">
        <f>IF($A2684="","",SUMPRODUCT(--ISNUMBER(SEARCH('Category Dictionary'!$D$5:$D$135&amp;"",$C2684)),--('Category Dictionary'!$D$5:$D$135&lt;&gt;"")))</f>
        <v/>
      </c>
      <c r="L2684" s="27">
        <f>IF($A2684="","",TRIM(IF(ISERROR(FIND(",",$C2684)),$C2684,LEFT($C2684,FIND(",",$C2684)-1))))</f>
        <v/>
      </c>
      <c r="M2684" s="28">
        <f>IF($H2684="","",DATE(YEAR($H2684),MONTH($H2684),1))</f>
        <v/>
      </c>
      <c r="N2684" s="26">
        <f>IF($H2684="","",TODAY()-$H2684)</f>
        <v/>
      </c>
      <c r="O2684" s="15" t="n"/>
      <c r="P2684" s="15" t="n"/>
      <c r="Q2684" s="15" t="n"/>
      <c r="R2684" s="25" t="n"/>
      <c r="S2684" s="26">
        <f>IF($A2684="","",AND(OR('Assignment Builder'!$B$5="",$B2684='Assignment Builder'!$B$5),OR('Assignment Builder'!$B$6="",ISNUMBER(SEARCH('Assignment Builder'!$B$6,$C2684))),OR('Assignment Builder'!$B$7="",'Assignment Builder'!$B$7=IFERROR(INDEX('Category Dictionary'!$C$5:$C$135,MATCH($L2684,'Category Dictionary'!$D$5:$D$135,0)),"")),OR('Assignment Builder'!$B$8="",$D2684='Assignment Builder'!$B$8),OR('Assignment Builder'!$B$9="",$F2684='Assignment Builder'!$B$9),OR('Assignment Builder'!$B$10="",$O2684='Assignment Builder'!$B$10),OR('Assignment Builder'!$B$11="",$H2684&gt;='Assignment Builder'!$B$11),OR('Assignment Builder'!$B$12="",N($Q2684)&lt;='Assignment Builder'!$B$12)))</f>
        <v/>
      </c>
      <c r="T2684" s="23" t="n"/>
    </row>
    <row r="2685">
      <c r="A2685" s="23" t="n"/>
      <c r="B2685" s="23" t="n"/>
      <c r="C2685" s="24" t="n"/>
      <c r="D2685" s="15" t="n"/>
      <c r="E2685" s="23" t="n"/>
      <c r="F2685" s="15" t="n"/>
      <c r="G2685" s="23" t="n"/>
      <c r="H2685" s="25" t="n"/>
      <c r="I2685" s="15" t="n"/>
      <c r="J2685" s="26">
        <f>IF($A2685="","",LEN($C2685)-LEN(SUBSTITUTE($C2685,",",""))+1)</f>
        <v/>
      </c>
      <c r="K2685" s="26">
        <f>IF($A2685="","",SUMPRODUCT(--ISNUMBER(SEARCH('Category Dictionary'!$D$5:$D$135&amp;"",$C2685)),--('Category Dictionary'!$D$5:$D$135&lt;&gt;"")))</f>
        <v/>
      </c>
      <c r="L2685" s="27">
        <f>IF($A2685="","",TRIM(IF(ISERROR(FIND(",",$C2685)),$C2685,LEFT($C2685,FIND(",",$C2685)-1))))</f>
        <v/>
      </c>
      <c r="M2685" s="28">
        <f>IF($H2685="","",DATE(YEAR($H2685),MONTH($H2685),1))</f>
        <v/>
      </c>
      <c r="N2685" s="26">
        <f>IF($H2685="","",TODAY()-$H2685)</f>
        <v/>
      </c>
      <c r="O2685" s="15" t="n"/>
      <c r="P2685" s="15" t="n"/>
      <c r="Q2685" s="15" t="n"/>
      <c r="R2685" s="25" t="n"/>
      <c r="S2685" s="26">
        <f>IF($A2685="","",AND(OR('Assignment Builder'!$B$5="",$B2685='Assignment Builder'!$B$5),OR('Assignment Builder'!$B$6="",ISNUMBER(SEARCH('Assignment Builder'!$B$6,$C2685))),OR('Assignment Builder'!$B$7="",'Assignment Builder'!$B$7=IFERROR(INDEX('Category Dictionary'!$C$5:$C$135,MATCH($L2685,'Category Dictionary'!$D$5:$D$135,0)),"")),OR('Assignment Builder'!$B$8="",$D2685='Assignment Builder'!$B$8),OR('Assignment Builder'!$B$9="",$F2685='Assignment Builder'!$B$9),OR('Assignment Builder'!$B$10="",$O2685='Assignment Builder'!$B$10),OR('Assignment Builder'!$B$11="",$H2685&gt;='Assignment Builder'!$B$11),OR('Assignment Builder'!$B$12="",N($Q2685)&lt;='Assignment Builder'!$B$12)))</f>
        <v/>
      </c>
      <c r="T2685" s="23" t="n"/>
    </row>
    <row r="2686">
      <c r="A2686" s="23" t="n"/>
      <c r="B2686" s="23" t="n"/>
      <c r="C2686" s="24" t="n"/>
      <c r="D2686" s="15" t="n"/>
      <c r="E2686" s="23" t="n"/>
      <c r="F2686" s="15" t="n"/>
      <c r="G2686" s="23" t="n"/>
      <c r="H2686" s="25" t="n"/>
      <c r="I2686" s="15" t="n"/>
      <c r="J2686" s="26">
        <f>IF($A2686="","",LEN($C2686)-LEN(SUBSTITUTE($C2686,",",""))+1)</f>
        <v/>
      </c>
      <c r="K2686" s="26">
        <f>IF($A2686="","",SUMPRODUCT(--ISNUMBER(SEARCH('Category Dictionary'!$D$5:$D$135&amp;"",$C2686)),--('Category Dictionary'!$D$5:$D$135&lt;&gt;"")))</f>
        <v/>
      </c>
      <c r="L2686" s="27">
        <f>IF($A2686="","",TRIM(IF(ISERROR(FIND(",",$C2686)),$C2686,LEFT($C2686,FIND(",",$C2686)-1))))</f>
        <v/>
      </c>
      <c r="M2686" s="28">
        <f>IF($H2686="","",DATE(YEAR($H2686),MONTH($H2686),1))</f>
        <v/>
      </c>
      <c r="N2686" s="26">
        <f>IF($H2686="","",TODAY()-$H2686)</f>
        <v/>
      </c>
      <c r="O2686" s="15" t="n"/>
      <c r="P2686" s="15" t="n"/>
      <c r="Q2686" s="15" t="n"/>
      <c r="R2686" s="25" t="n"/>
      <c r="S2686" s="26">
        <f>IF($A2686="","",AND(OR('Assignment Builder'!$B$5="",$B2686='Assignment Builder'!$B$5),OR('Assignment Builder'!$B$6="",ISNUMBER(SEARCH('Assignment Builder'!$B$6,$C2686))),OR('Assignment Builder'!$B$7="",'Assignment Builder'!$B$7=IFERROR(INDEX('Category Dictionary'!$C$5:$C$135,MATCH($L2686,'Category Dictionary'!$D$5:$D$135,0)),"")),OR('Assignment Builder'!$B$8="",$D2686='Assignment Builder'!$B$8),OR('Assignment Builder'!$B$9="",$F2686='Assignment Builder'!$B$9),OR('Assignment Builder'!$B$10="",$O2686='Assignment Builder'!$B$10),OR('Assignment Builder'!$B$11="",$H2686&gt;='Assignment Builder'!$B$11),OR('Assignment Builder'!$B$12="",N($Q2686)&lt;='Assignment Builder'!$B$12)))</f>
        <v/>
      </c>
      <c r="T2686" s="23" t="n"/>
    </row>
    <row r="2687">
      <c r="A2687" s="23" t="n"/>
      <c r="B2687" s="23" t="n"/>
      <c r="C2687" s="24" t="n"/>
      <c r="D2687" s="15" t="n"/>
      <c r="E2687" s="23" t="n"/>
      <c r="F2687" s="15" t="n"/>
      <c r="G2687" s="23" t="n"/>
      <c r="H2687" s="25" t="n"/>
      <c r="I2687" s="15" t="n"/>
      <c r="J2687" s="26">
        <f>IF($A2687="","",LEN($C2687)-LEN(SUBSTITUTE($C2687,",",""))+1)</f>
        <v/>
      </c>
      <c r="K2687" s="26">
        <f>IF($A2687="","",SUMPRODUCT(--ISNUMBER(SEARCH('Category Dictionary'!$D$5:$D$135&amp;"",$C2687)),--('Category Dictionary'!$D$5:$D$135&lt;&gt;"")))</f>
        <v/>
      </c>
      <c r="L2687" s="27">
        <f>IF($A2687="","",TRIM(IF(ISERROR(FIND(",",$C2687)),$C2687,LEFT($C2687,FIND(",",$C2687)-1))))</f>
        <v/>
      </c>
      <c r="M2687" s="28">
        <f>IF($H2687="","",DATE(YEAR($H2687),MONTH($H2687),1))</f>
        <v/>
      </c>
      <c r="N2687" s="26">
        <f>IF($H2687="","",TODAY()-$H2687)</f>
        <v/>
      </c>
      <c r="O2687" s="15" t="n"/>
      <c r="P2687" s="15" t="n"/>
      <c r="Q2687" s="15" t="n"/>
      <c r="R2687" s="25" t="n"/>
      <c r="S2687" s="26">
        <f>IF($A2687="","",AND(OR('Assignment Builder'!$B$5="",$B2687='Assignment Builder'!$B$5),OR('Assignment Builder'!$B$6="",ISNUMBER(SEARCH('Assignment Builder'!$B$6,$C2687))),OR('Assignment Builder'!$B$7="",'Assignment Builder'!$B$7=IFERROR(INDEX('Category Dictionary'!$C$5:$C$135,MATCH($L2687,'Category Dictionary'!$D$5:$D$135,0)),"")),OR('Assignment Builder'!$B$8="",$D2687='Assignment Builder'!$B$8),OR('Assignment Builder'!$B$9="",$F2687='Assignment Builder'!$B$9),OR('Assignment Builder'!$B$10="",$O2687='Assignment Builder'!$B$10),OR('Assignment Builder'!$B$11="",$H2687&gt;='Assignment Builder'!$B$11),OR('Assignment Builder'!$B$12="",N($Q2687)&lt;='Assignment Builder'!$B$12)))</f>
        <v/>
      </c>
      <c r="T2687" s="23" t="n"/>
    </row>
    <row r="2688">
      <c r="A2688" s="23" t="n"/>
      <c r="B2688" s="23" t="n"/>
      <c r="C2688" s="24" t="n"/>
      <c r="D2688" s="15" t="n"/>
      <c r="E2688" s="23" t="n"/>
      <c r="F2688" s="15" t="n"/>
      <c r="G2688" s="23" t="n"/>
      <c r="H2688" s="25" t="n"/>
      <c r="I2688" s="15" t="n"/>
      <c r="J2688" s="26">
        <f>IF($A2688="","",LEN($C2688)-LEN(SUBSTITUTE($C2688,",",""))+1)</f>
        <v/>
      </c>
      <c r="K2688" s="26">
        <f>IF($A2688="","",SUMPRODUCT(--ISNUMBER(SEARCH('Category Dictionary'!$D$5:$D$135&amp;"",$C2688)),--('Category Dictionary'!$D$5:$D$135&lt;&gt;"")))</f>
        <v/>
      </c>
      <c r="L2688" s="27">
        <f>IF($A2688="","",TRIM(IF(ISERROR(FIND(",",$C2688)),$C2688,LEFT($C2688,FIND(",",$C2688)-1))))</f>
        <v/>
      </c>
      <c r="M2688" s="28">
        <f>IF($H2688="","",DATE(YEAR($H2688),MONTH($H2688),1))</f>
        <v/>
      </c>
      <c r="N2688" s="26">
        <f>IF($H2688="","",TODAY()-$H2688)</f>
        <v/>
      </c>
      <c r="O2688" s="15" t="n"/>
      <c r="P2688" s="15" t="n"/>
      <c r="Q2688" s="15" t="n"/>
      <c r="R2688" s="25" t="n"/>
      <c r="S2688" s="26">
        <f>IF($A2688="","",AND(OR('Assignment Builder'!$B$5="",$B2688='Assignment Builder'!$B$5),OR('Assignment Builder'!$B$6="",ISNUMBER(SEARCH('Assignment Builder'!$B$6,$C2688))),OR('Assignment Builder'!$B$7="",'Assignment Builder'!$B$7=IFERROR(INDEX('Category Dictionary'!$C$5:$C$135,MATCH($L2688,'Category Dictionary'!$D$5:$D$135,0)),"")),OR('Assignment Builder'!$B$8="",$D2688='Assignment Builder'!$B$8),OR('Assignment Builder'!$B$9="",$F2688='Assignment Builder'!$B$9),OR('Assignment Builder'!$B$10="",$O2688='Assignment Builder'!$B$10),OR('Assignment Builder'!$B$11="",$H2688&gt;='Assignment Builder'!$B$11),OR('Assignment Builder'!$B$12="",N($Q2688)&lt;='Assignment Builder'!$B$12)))</f>
        <v/>
      </c>
      <c r="T2688" s="23" t="n"/>
    </row>
    <row r="2689">
      <c r="A2689" s="23" t="n"/>
      <c r="B2689" s="23" t="n"/>
      <c r="C2689" s="24" t="n"/>
      <c r="D2689" s="15" t="n"/>
      <c r="E2689" s="23" t="n"/>
      <c r="F2689" s="15" t="n"/>
      <c r="G2689" s="23" t="n"/>
      <c r="H2689" s="25" t="n"/>
      <c r="I2689" s="15" t="n"/>
      <c r="J2689" s="26">
        <f>IF($A2689="","",LEN($C2689)-LEN(SUBSTITUTE($C2689,",",""))+1)</f>
        <v/>
      </c>
      <c r="K2689" s="26">
        <f>IF($A2689="","",SUMPRODUCT(--ISNUMBER(SEARCH('Category Dictionary'!$D$5:$D$135&amp;"",$C2689)),--('Category Dictionary'!$D$5:$D$135&lt;&gt;"")))</f>
        <v/>
      </c>
      <c r="L2689" s="27">
        <f>IF($A2689="","",TRIM(IF(ISERROR(FIND(",",$C2689)),$C2689,LEFT($C2689,FIND(",",$C2689)-1))))</f>
        <v/>
      </c>
      <c r="M2689" s="28">
        <f>IF($H2689="","",DATE(YEAR($H2689),MONTH($H2689),1))</f>
        <v/>
      </c>
      <c r="N2689" s="26">
        <f>IF($H2689="","",TODAY()-$H2689)</f>
        <v/>
      </c>
      <c r="O2689" s="15" t="n"/>
      <c r="P2689" s="15" t="n"/>
      <c r="Q2689" s="15" t="n"/>
      <c r="R2689" s="25" t="n"/>
      <c r="S2689" s="26">
        <f>IF($A2689="","",AND(OR('Assignment Builder'!$B$5="",$B2689='Assignment Builder'!$B$5),OR('Assignment Builder'!$B$6="",ISNUMBER(SEARCH('Assignment Builder'!$B$6,$C2689))),OR('Assignment Builder'!$B$7="",'Assignment Builder'!$B$7=IFERROR(INDEX('Category Dictionary'!$C$5:$C$135,MATCH($L2689,'Category Dictionary'!$D$5:$D$135,0)),"")),OR('Assignment Builder'!$B$8="",$D2689='Assignment Builder'!$B$8),OR('Assignment Builder'!$B$9="",$F2689='Assignment Builder'!$B$9),OR('Assignment Builder'!$B$10="",$O2689='Assignment Builder'!$B$10),OR('Assignment Builder'!$B$11="",$H2689&gt;='Assignment Builder'!$B$11),OR('Assignment Builder'!$B$12="",N($Q2689)&lt;='Assignment Builder'!$B$12)))</f>
        <v/>
      </c>
      <c r="T2689" s="23" t="n"/>
    </row>
    <row r="2690">
      <c r="A2690" s="23" t="n"/>
      <c r="B2690" s="23" t="n"/>
      <c r="C2690" s="24" t="n"/>
      <c r="D2690" s="15" t="n"/>
      <c r="E2690" s="23" t="n"/>
      <c r="F2690" s="15" t="n"/>
      <c r="G2690" s="23" t="n"/>
      <c r="H2690" s="25" t="n"/>
      <c r="I2690" s="15" t="n"/>
      <c r="J2690" s="26">
        <f>IF($A2690="","",LEN($C2690)-LEN(SUBSTITUTE($C2690,",",""))+1)</f>
        <v/>
      </c>
      <c r="K2690" s="26">
        <f>IF($A2690="","",SUMPRODUCT(--ISNUMBER(SEARCH('Category Dictionary'!$D$5:$D$135&amp;"",$C2690)),--('Category Dictionary'!$D$5:$D$135&lt;&gt;"")))</f>
        <v/>
      </c>
      <c r="L2690" s="27">
        <f>IF($A2690="","",TRIM(IF(ISERROR(FIND(",",$C2690)),$C2690,LEFT($C2690,FIND(",",$C2690)-1))))</f>
        <v/>
      </c>
      <c r="M2690" s="28">
        <f>IF($H2690="","",DATE(YEAR($H2690),MONTH($H2690),1))</f>
        <v/>
      </c>
      <c r="N2690" s="26">
        <f>IF($H2690="","",TODAY()-$H2690)</f>
        <v/>
      </c>
      <c r="O2690" s="15" t="n"/>
      <c r="P2690" s="15" t="n"/>
      <c r="Q2690" s="15" t="n"/>
      <c r="R2690" s="25" t="n"/>
      <c r="S2690" s="26">
        <f>IF($A2690="","",AND(OR('Assignment Builder'!$B$5="",$B2690='Assignment Builder'!$B$5),OR('Assignment Builder'!$B$6="",ISNUMBER(SEARCH('Assignment Builder'!$B$6,$C2690))),OR('Assignment Builder'!$B$7="",'Assignment Builder'!$B$7=IFERROR(INDEX('Category Dictionary'!$C$5:$C$135,MATCH($L2690,'Category Dictionary'!$D$5:$D$135,0)),"")),OR('Assignment Builder'!$B$8="",$D2690='Assignment Builder'!$B$8),OR('Assignment Builder'!$B$9="",$F2690='Assignment Builder'!$B$9),OR('Assignment Builder'!$B$10="",$O2690='Assignment Builder'!$B$10),OR('Assignment Builder'!$B$11="",$H2690&gt;='Assignment Builder'!$B$11),OR('Assignment Builder'!$B$12="",N($Q2690)&lt;='Assignment Builder'!$B$12)))</f>
        <v/>
      </c>
      <c r="T2690" s="23" t="n"/>
    </row>
    <row r="2691">
      <c r="A2691" s="23" t="n"/>
      <c r="B2691" s="23" t="n"/>
      <c r="C2691" s="24" t="n"/>
      <c r="D2691" s="15" t="n"/>
      <c r="E2691" s="23" t="n"/>
      <c r="F2691" s="15" t="n"/>
      <c r="G2691" s="23" t="n"/>
      <c r="H2691" s="25" t="n"/>
      <c r="I2691" s="15" t="n"/>
      <c r="J2691" s="26">
        <f>IF($A2691="","",LEN($C2691)-LEN(SUBSTITUTE($C2691,",",""))+1)</f>
        <v/>
      </c>
      <c r="K2691" s="26">
        <f>IF($A2691="","",SUMPRODUCT(--ISNUMBER(SEARCH('Category Dictionary'!$D$5:$D$135&amp;"",$C2691)),--('Category Dictionary'!$D$5:$D$135&lt;&gt;"")))</f>
        <v/>
      </c>
      <c r="L2691" s="27">
        <f>IF($A2691="","",TRIM(IF(ISERROR(FIND(",",$C2691)),$C2691,LEFT($C2691,FIND(",",$C2691)-1))))</f>
        <v/>
      </c>
      <c r="M2691" s="28">
        <f>IF($H2691="","",DATE(YEAR($H2691),MONTH($H2691),1))</f>
        <v/>
      </c>
      <c r="N2691" s="26">
        <f>IF($H2691="","",TODAY()-$H2691)</f>
        <v/>
      </c>
      <c r="O2691" s="15" t="n"/>
      <c r="P2691" s="15" t="n"/>
      <c r="Q2691" s="15" t="n"/>
      <c r="R2691" s="25" t="n"/>
      <c r="S2691" s="26">
        <f>IF($A2691="","",AND(OR('Assignment Builder'!$B$5="",$B2691='Assignment Builder'!$B$5),OR('Assignment Builder'!$B$6="",ISNUMBER(SEARCH('Assignment Builder'!$B$6,$C2691))),OR('Assignment Builder'!$B$7="",'Assignment Builder'!$B$7=IFERROR(INDEX('Category Dictionary'!$C$5:$C$135,MATCH($L2691,'Category Dictionary'!$D$5:$D$135,0)),"")),OR('Assignment Builder'!$B$8="",$D2691='Assignment Builder'!$B$8),OR('Assignment Builder'!$B$9="",$F2691='Assignment Builder'!$B$9),OR('Assignment Builder'!$B$10="",$O2691='Assignment Builder'!$B$10),OR('Assignment Builder'!$B$11="",$H2691&gt;='Assignment Builder'!$B$11),OR('Assignment Builder'!$B$12="",N($Q2691)&lt;='Assignment Builder'!$B$12)))</f>
        <v/>
      </c>
      <c r="T2691" s="23" t="n"/>
    </row>
    <row r="2692">
      <c r="A2692" s="23" t="n"/>
      <c r="B2692" s="23" t="n"/>
      <c r="C2692" s="24" t="n"/>
      <c r="D2692" s="15" t="n"/>
      <c r="E2692" s="23" t="n"/>
      <c r="F2692" s="15" t="n"/>
      <c r="G2692" s="23" t="n"/>
      <c r="H2692" s="25" t="n"/>
      <c r="I2692" s="15" t="n"/>
      <c r="J2692" s="26">
        <f>IF($A2692="","",LEN($C2692)-LEN(SUBSTITUTE($C2692,",",""))+1)</f>
        <v/>
      </c>
      <c r="K2692" s="26">
        <f>IF($A2692="","",SUMPRODUCT(--ISNUMBER(SEARCH('Category Dictionary'!$D$5:$D$135&amp;"",$C2692)),--('Category Dictionary'!$D$5:$D$135&lt;&gt;"")))</f>
        <v/>
      </c>
      <c r="L2692" s="27">
        <f>IF($A2692="","",TRIM(IF(ISERROR(FIND(",",$C2692)),$C2692,LEFT($C2692,FIND(",",$C2692)-1))))</f>
        <v/>
      </c>
      <c r="M2692" s="28">
        <f>IF($H2692="","",DATE(YEAR($H2692),MONTH($H2692),1))</f>
        <v/>
      </c>
      <c r="N2692" s="26">
        <f>IF($H2692="","",TODAY()-$H2692)</f>
        <v/>
      </c>
      <c r="O2692" s="15" t="n"/>
      <c r="P2692" s="15" t="n"/>
      <c r="Q2692" s="15" t="n"/>
      <c r="R2692" s="25" t="n"/>
      <c r="S2692" s="26">
        <f>IF($A2692="","",AND(OR('Assignment Builder'!$B$5="",$B2692='Assignment Builder'!$B$5),OR('Assignment Builder'!$B$6="",ISNUMBER(SEARCH('Assignment Builder'!$B$6,$C2692))),OR('Assignment Builder'!$B$7="",'Assignment Builder'!$B$7=IFERROR(INDEX('Category Dictionary'!$C$5:$C$135,MATCH($L2692,'Category Dictionary'!$D$5:$D$135,0)),"")),OR('Assignment Builder'!$B$8="",$D2692='Assignment Builder'!$B$8),OR('Assignment Builder'!$B$9="",$F2692='Assignment Builder'!$B$9),OR('Assignment Builder'!$B$10="",$O2692='Assignment Builder'!$B$10),OR('Assignment Builder'!$B$11="",$H2692&gt;='Assignment Builder'!$B$11),OR('Assignment Builder'!$B$12="",N($Q2692)&lt;='Assignment Builder'!$B$12)))</f>
        <v/>
      </c>
      <c r="T2692" s="23" t="n"/>
    </row>
    <row r="2693">
      <c r="A2693" s="23" t="n"/>
      <c r="B2693" s="23" t="n"/>
      <c r="C2693" s="24" t="n"/>
      <c r="D2693" s="15" t="n"/>
      <c r="E2693" s="23" t="n"/>
      <c r="F2693" s="15" t="n"/>
      <c r="G2693" s="23" t="n"/>
      <c r="H2693" s="25" t="n"/>
      <c r="I2693" s="15" t="n"/>
      <c r="J2693" s="26">
        <f>IF($A2693="","",LEN($C2693)-LEN(SUBSTITUTE($C2693,",",""))+1)</f>
        <v/>
      </c>
      <c r="K2693" s="26">
        <f>IF($A2693="","",SUMPRODUCT(--ISNUMBER(SEARCH('Category Dictionary'!$D$5:$D$135&amp;"",$C2693)),--('Category Dictionary'!$D$5:$D$135&lt;&gt;"")))</f>
        <v/>
      </c>
      <c r="L2693" s="27">
        <f>IF($A2693="","",TRIM(IF(ISERROR(FIND(",",$C2693)),$C2693,LEFT($C2693,FIND(",",$C2693)-1))))</f>
        <v/>
      </c>
      <c r="M2693" s="28">
        <f>IF($H2693="","",DATE(YEAR($H2693),MONTH($H2693),1))</f>
        <v/>
      </c>
      <c r="N2693" s="26">
        <f>IF($H2693="","",TODAY()-$H2693)</f>
        <v/>
      </c>
      <c r="O2693" s="15" t="n"/>
      <c r="P2693" s="15" t="n"/>
      <c r="Q2693" s="15" t="n"/>
      <c r="R2693" s="25" t="n"/>
      <c r="S2693" s="26">
        <f>IF($A2693="","",AND(OR('Assignment Builder'!$B$5="",$B2693='Assignment Builder'!$B$5),OR('Assignment Builder'!$B$6="",ISNUMBER(SEARCH('Assignment Builder'!$B$6,$C2693))),OR('Assignment Builder'!$B$7="",'Assignment Builder'!$B$7=IFERROR(INDEX('Category Dictionary'!$C$5:$C$135,MATCH($L2693,'Category Dictionary'!$D$5:$D$135,0)),"")),OR('Assignment Builder'!$B$8="",$D2693='Assignment Builder'!$B$8),OR('Assignment Builder'!$B$9="",$F2693='Assignment Builder'!$B$9),OR('Assignment Builder'!$B$10="",$O2693='Assignment Builder'!$B$10),OR('Assignment Builder'!$B$11="",$H2693&gt;='Assignment Builder'!$B$11),OR('Assignment Builder'!$B$12="",N($Q2693)&lt;='Assignment Builder'!$B$12)))</f>
        <v/>
      </c>
      <c r="T2693" s="23" t="n"/>
    </row>
    <row r="2694">
      <c r="A2694" s="23" t="n"/>
      <c r="B2694" s="23" t="n"/>
      <c r="C2694" s="24" t="n"/>
      <c r="D2694" s="15" t="n"/>
      <c r="E2694" s="23" t="n"/>
      <c r="F2694" s="15" t="n"/>
      <c r="G2694" s="23" t="n"/>
      <c r="H2694" s="25" t="n"/>
      <c r="I2694" s="15" t="n"/>
      <c r="J2694" s="26">
        <f>IF($A2694="","",LEN($C2694)-LEN(SUBSTITUTE($C2694,",",""))+1)</f>
        <v/>
      </c>
      <c r="K2694" s="26">
        <f>IF($A2694="","",SUMPRODUCT(--ISNUMBER(SEARCH('Category Dictionary'!$D$5:$D$135&amp;"",$C2694)),--('Category Dictionary'!$D$5:$D$135&lt;&gt;"")))</f>
        <v/>
      </c>
      <c r="L2694" s="27">
        <f>IF($A2694="","",TRIM(IF(ISERROR(FIND(",",$C2694)),$C2694,LEFT($C2694,FIND(",",$C2694)-1))))</f>
        <v/>
      </c>
      <c r="M2694" s="28">
        <f>IF($H2694="","",DATE(YEAR($H2694),MONTH($H2694),1))</f>
        <v/>
      </c>
      <c r="N2694" s="26">
        <f>IF($H2694="","",TODAY()-$H2694)</f>
        <v/>
      </c>
      <c r="O2694" s="15" t="n"/>
      <c r="P2694" s="15" t="n"/>
      <c r="Q2694" s="15" t="n"/>
      <c r="R2694" s="25" t="n"/>
      <c r="S2694" s="26">
        <f>IF($A2694="","",AND(OR('Assignment Builder'!$B$5="",$B2694='Assignment Builder'!$B$5),OR('Assignment Builder'!$B$6="",ISNUMBER(SEARCH('Assignment Builder'!$B$6,$C2694))),OR('Assignment Builder'!$B$7="",'Assignment Builder'!$B$7=IFERROR(INDEX('Category Dictionary'!$C$5:$C$135,MATCH($L2694,'Category Dictionary'!$D$5:$D$135,0)),"")),OR('Assignment Builder'!$B$8="",$D2694='Assignment Builder'!$B$8),OR('Assignment Builder'!$B$9="",$F2694='Assignment Builder'!$B$9),OR('Assignment Builder'!$B$10="",$O2694='Assignment Builder'!$B$10),OR('Assignment Builder'!$B$11="",$H2694&gt;='Assignment Builder'!$B$11),OR('Assignment Builder'!$B$12="",N($Q2694)&lt;='Assignment Builder'!$B$12)))</f>
        <v/>
      </c>
      <c r="T2694" s="23" t="n"/>
    </row>
    <row r="2695">
      <c r="A2695" s="23" t="n"/>
      <c r="B2695" s="23" t="n"/>
      <c r="C2695" s="24" t="n"/>
      <c r="D2695" s="15" t="n"/>
      <c r="E2695" s="23" t="n"/>
      <c r="F2695" s="15" t="n"/>
      <c r="G2695" s="23" t="n"/>
      <c r="H2695" s="25" t="n"/>
      <c r="I2695" s="15" t="n"/>
      <c r="J2695" s="26">
        <f>IF($A2695="","",LEN($C2695)-LEN(SUBSTITUTE($C2695,",",""))+1)</f>
        <v/>
      </c>
      <c r="K2695" s="26">
        <f>IF($A2695="","",SUMPRODUCT(--ISNUMBER(SEARCH('Category Dictionary'!$D$5:$D$135&amp;"",$C2695)),--('Category Dictionary'!$D$5:$D$135&lt;&gt;"")))</f>
        <v/>
      </c>
      <c r="L2695" s="27">
        <f>IF($A2695="","",TRIM(IF(ISERROR(FIND(",",$C2695)),$C2695,LEFT($C2695,FIND(",",$C2695)-1))))</f>
        <v/>
      </c>
      <c r="M2695" s="28">
        <f>IF($H2695="","",DATE(YEAR($H2695),MONTH($H2695),1))</f>
        <v/>
      </c>
      <c r="N2695" s="26">
        <f>IF($H2695="","",TODAY()-$H2695)</f>
        <v/>
      </c>
      <c r="O2695" s="15" t="n"/>
      <c r="P2695" s="15" t="n"/>
      <c r="Q2695" s="15" t="n"/>
      <c r="R2695" s="25" t="n"/>
      <c r="S2695" s="26">
        <f>IF($A2695="","",AND(OR('Assignment Builder'!$B$5="",$B2695='Assignment Builder'!$B$5),OR('Assignment Builder'!$B$6="",ISNUMBER(SEARCH('Assignment Builder'!$B$6,$C2695))),OR('Assignment Builder'!$B$7="",'Assignment Builder'!$B$7=IFERROR(INDEX('Category Dictionary'!$C$5:$C$135,MATCH($L2695,'Category Dictionary'!$D$5:$D$135,0)),"")),OR('Assignment Builder'!$B$8="",$D2695='Assignment Builder'!$B$8),OR('Assignment Builder'!$B$9="",$F2695='Assignment Builder'!$B$9),OR('Assignment Builder'!$B$10="",$O2695='Assignment Builder'!$B$10),OR('Assignment Builder'!$B$11="",$H2695&gt;='Assignment Builder'!$B$11),OR('Assignment Builder'!$B$12="",N($Q2695)&lt;='Assignment Builder'!$B$12)))</f>
        <v/>
      </c>
      <c r="T2695" s="23" t="n"/>
    </row>
    <row r="2696">
      <c r="A2696" s="23" t="n"/>
      <c r="B2696" s="23" t="n"/>
      <c r="C2696" s="24" t="n"/>
      <c r="D2696" s="15" t="n"/>
      <c r="E2696" s="23" t="n"/>
      <c r="F2696" s="15" t="n"/>
      <c r="G2696" s="23" t="n"/>
      <c r="H2696" s="25" t="n"/>
      <c r="I2696" s="15" t="n"/>
      <c r="J2696" s="26">
        <f>IF($A2696="","",LEN($C2696)-LEN(SUBSTITUTE($C2696,",",""))+1)</f>
        <v/>
      </c>
      <c r="K2696" s="26">
        <f>IF($A2696="","",SUMPRODUCT(--ISNUMBER(SEARCH('Category Dictionary'!$D$5:$D$135&amp;"",$C2696)),--('Category Dictionary'!$D$5:$D$135&lt;&gt;"")))</f>
        <v/>
      </c>
      <c r="L2696" s="27">
        <f>IF($A2696="","",TRIM(IF(ISERROR(FIND(",",$C2696)),$C2696,LEFT($C2696,FIND(",",$C2696)-1))))</f>
        <v/>
      </c>
      <c r="M2696" s="28">
        <f>IF($H2696="","",DATE(YEAR($H2696),MONTH($H2696),1))</f>
        <v/>
      </c>
      <c r="N2696" s="26">
        <f>IF($H2696="","",TODAY()-$H2696)</f>
        <v/>
      </c>
      <c r="O2696" s="15" t="n"/>
      <c r="P2696" s="15" t="n"/>
      <c r="Q2696" s="15" t="n"/>
      <c r="R2696" s="25" t="n"/>
      <c r="S2696" s="26">
        <f>IF($A2696="","",AND(OR('Assignment Builder'!$B$5="",$B2696='Assignment Builder'!$B$5),OR('Assignment Builder'!$B$6="",ISNUMBER(SEARCH('Assignment Builder'!$B$6,$C2696))),OR('Assignment Builder'!$B$7="",'Assignment Builder'!$B$7=IFERROR(INDEX('Category Dictionary'!$C$5:$C$135,MATCH($L2696,'Category Dictionary'!$D$5:$D$135,0)),"")),OR('Assignment Builder'!$B$8="",$D2696='Assignment Builder'!$B$8),OR('Assignment Builder'!$B$9="",$F2696='Assignment Builder'!$B$9),OR('Assignment Builder'!$B$10="",$O2696='Assignment Builder'!$B$10),OR('Assignment Builder'!$B$11="",$H2696&gt;='Assignment Builder'!$B$11),OR('Assignment Builder'!$B$12="",N($Q2696)&lt;='Assignment Builder'!$B$12)))</f>
        <v/>
      </c>
      <c r="T2696" s="23" t="n"/>
    </row>
    <row r="2697">
      <c r="A2697" s="23" t="n"/>
      <c r="B2697" s="23" t="n"/>
      <c r="C2697" s="24" t="n"/>
      <c r="D2697" s="15" t="n"/>
      <c r="E2697" s="23" t="n"/>
      <c r="F2697" s="15" t="n"/>
      <c r="G2697" s="23" t="n"/>
      <c r="H2697" s="25" t="n"/>
      <c r="I2697" s="15" t="n"/>
      <c r="J2697" s="26">
        <f>IF($A2697="","",LEN($C2697)-LEN(SUBSTITUTE($C2697,",",""))+1)</f>
        <v/>
      </c>
      <c r="K2697" s="26">
        <f>IF($A2697="","",SUMPRODUCT(--ISNUMBER(SEARCH('Category Dictionary'!$D$5:$D$135&amp;"",$C2697)),--('Category Dictionary'!$D$5:$D$135&lt;&gt;"")))</f>
        <v/>
      </c>
      <c r="L2697" s="27">
        <f>IF($A2697="","",TRIM(IF(ISERROR(FIND(",",$C2697)),$C2697,LEFT($C2697,FIND(",",$C2697)-1))))</f>
        <v/>
      </c>
      <c r="M2697" s="28">
        <f>IF($H2697="","",DATE(YEAR($H2697),MONTH($H2697),1))</f>
        <v/>
      </c>
      <c r="N2697" s="26">
        <f>IF($H2697="","",TODAY()-$H2697)</f>
        <v/>
      </c>
      <c r="O2697" s="15" t="n"/>
      <c r="P2697" s="15" t="n"/>
      <c r="Q2697" s="15" t="n"/>
      <c r="R2697" s="25" t="n"/>
      <c r="S2697" s="26">
        <f>IF($A2697="","",AND(OR('Assignment Builder'!$B$5="",$B2697='Assignment Builder'!$B$5),OR('Assignment Builder'!$B$6="",ISNUMBER(SEARCH('Assignment Builder'!$B$6,$C2697))),OR('Assignment Builder'!$B$7="",'Assignment Builder'!$B$7=IFERROR(INDEX('Category Dictionary'!$C$5:$C$135,MATCH($L2697,'Category Dictionary'!$D$5:$D$135,0)),"")),OR('Assignment Builder'!$B$8="",$D2697='Assignment Builder'!$B$8),OR('Assignment Builder'!$B$9="",$F2697='Assignment Builder'!$B$9),OR('Assignment Builder'!$B$10="",$O2697='Assignment Builder'!$B$10),OR('Assignment Builder'!$B$11="",$H2697&gt;='Assignment Builder'!$B$11),OR('Assignment Builder'!$B$12="",N($Q2697)&lt;='Assignment Builder'!$B$12)))</f>
        <v/>
      </c>
      <c r="T2697" s="23" t="n"/>
    </row>
    <row r="2698">
      <c r="A2698" s="23" t="n"/>
      <c r="B2698" s="23" t="n"/>
      <c r="C2698" s="24" t="n"/>
      <c r="D2698" s="15" t="n"/>
      <c r="E2698" s="23" t="n"/>
      <c r="F2698" s="15" t="n"/>
      <c r="G2698" s="23" t="n"/>
      <c r="H2698" s="25" t="n"/>
      <c r="I2698" s="15" t="n"/>
      <c r="J2698" s="26">
        <f>IF($A2698="","",LEN($C2698)-LEN(SUBSTITUTE($C2698,",",""))+1)</f>
        <v/>
      </c>
      <c r="K2698" s="26">
        <f>IF($A2698="","",SUMPRODUCT(--ISNUMBER(SEARCH('Category Dictionary'!$D$5:$D$135&amp;"",$C2698)),--('Category Dictionary'!$D$5:$D$135&lt;&gt;"")))</f>
        <v/>
      </c>
      <c r="L2698" s="27">
        <f>IF($A2698="","",TRIM(IF(ISERROR(FIND(",",$C2698)),$C2698,LEFT($C2698,FIND(",",$C2698)-1))))</f>
        <v/>
      </c>
      <c r="M2698" s="28">
        <f>IF($H2698="","",DATE(YEAR($H2698),MONTH($H2698),1))</f>
        <v/>
      </c>
      <c r="N2698" s="26">
        <f>IF($H2698="","",TODAY()-$H2698)</f>
        <v/>
      </c>
      <c r="O2698" s="15" t="n"/>
      <c r="P2698" s="15" t="n"/>
      <c r="Q2698" s="15" t="n"/>
      <c r="R2698" s="25" t="n"/>
      <c r="S2698" s="26">
        <f>IF($A2698="","",AND(OR('Assignment Builder'!$B$5="",$B2698='Assignment Builder'!$B$5),OR('Assignment Builder'!$B$6="",ISNUMBER(SEARCH('Assignment Builder'!$B$6,$C2698))),OR('Assignment Builder'!$B$7="",'Assignment Builder'!$B$7=IFERROR(INDEX('Category Dictionary'!$C$5:$C$135,MATCH($L2698,'Category Dictionary'!$D$5:$D$135,0)),"")),OR('Assignment Builder'!$B$8="",$D2698='Assignment Builder'!$B$8),OR('Assignment Builder'!$B$9="",$F2698='Assignment Builder'!$B$9),OR('Assignment Builder'!$B$10="",$O2698='Assignment Builder'!$B$10),OR('Assignment Builder'!$B$11="",$H2698&gt;='Assignment Builder'!$B$11),OR('Assignment Builder'!$B$12="",N($Q2698)&lt;='Assignment Builder'!$B$12)))</f>
        <v/>
      </c>
      <c r="T2698" s="23" t="n"/>
    </row>
    <row r="2699">
      <c r="A2699" s="23" t="n"/>
      <c r="B2699" s="23" t="n"/>
      <c r="C2699" s="24" t="n"/>
      <c r="D2699" s="15" t="n"/>
      <c r="E2699" s="23" t="n"/>
      <c r="F2699" s="15" t="n"/>
      <c r="G2699" s="23" t="n"/>
      <c r="H2699" s="25" t="n"/>
      <c r="I2699" s="15" t="n"/>
      <c r="J2699" s="26">
        <f>IF($A2699="","",LEN($C2699)-LEN(SUBSTITUTE($C2699,",",""))+1)</f>
        <v/>
      </c>
      <c r="K2699" s="26">
        <f>IF($A2699="","",SUMPRODUCT(--ISNUMBER(SEARCH('Category Dictionary'!$D$5:$D$135&amp;"",$C2699)),--('Category Dictionary'!$D$5:$D$135&lt;&gt;"")))</f>
        <v/>
      </c>
      <c r="L2699" s="27">
        <f>IF($A2699="","",TRIM(IF(ISERROR(FIND(",",$C2699)),$C2699,LEFT($C2699,FIND(",",$C2699)-1))))</f>
        <v/>
      </c>
      <c r="M2699" s="28">
        <f>IF($H2699="","",DATE(YEAR($H2699),MONTH($H2699),1))</f>
        <v/>
      </c>
      <c r="N2699" s="26">
        <f>IF($H2699="","",TODAY()-$H2699)</f>
        <v/>
      </c>
      <c r="O2699" s="15" t="n"/>
      <c r="P2699" s="15" t="n"/>
      <c r="Q2699" s="15" t="n"/>
      <c r="R2699" s="25" t="n"/>
      <c r="S2699" s="26">
        <f>IF($A2699="","",AND(OR('Assignment Builder'!$B$5="",$B2699='Assignment Builder'!$B$5),OR('Assignment Builder'!$B$6="",ISNUMBER(SEARCH('Assignment Builder'!$B$6,$C2699))),OR('Assignment Builder'!$B$7="",'Assignment Builder'!$B$7=IFERROR(INDEX('Category Dictionary'!$C$5:$C$135,MATCH($L2699,'Category Dictionary'!$D$5:$D$135,0)),"")),OR('Assignment Builder'!$B$8="",$D2699='Assignment Builder'!$B$8),OR('Assignment Builder'!$B$9="",$F2699='Assignment Builder'!$B$9),OR('Assignment Builder'!$B$10="",$O2699='Assignment Builder'!$B$10),OR('Assignment Builder'!$B$11="",$H2699&gt;='Assignment Builder'!$B$11),OR('Assignment Builder'!$B$12="",N($Q2699)&lt;='Assignment Builder'!$B$12)))</f>
        <v/>
      </c>
      <c r="T2699" s="23" t="n"/>
    </row>
    <row r="2700">
      <c r="A2700" s="23" t="n"/>
      <c r="B2700" s="23" t="n"/>
      <c r="C2700" s="24" t="n"/>
      <c r="D2700" s="15" t="n"/>
      <c r="E2700" s="23" t="n"/>
      <c r="F2700" s="15" t="n"/>
      <c r="G2700" s="23" t="n"/>
      <c r="H2700" s="25" t="n"/>
      <c r="I2700" s="15" t="n"/>
      <c r="J2700" s="26">
        <f>IF($A2700="","",LEN($C2700)-LEN(SUBSTITUTE($C2700,",",""))+1)</f>
        <v/>
      </c>
      <c r="K2700" s="26">
        <f>IF($A2700="","",SUMPRODUCT(--ISNUMBER(SEARCH('Category Dictionary'!$D$5:$D$135&amp;"",$C2700)),--('Category Dictionary'!$D$5:$D$135&lt;&gt;"")))</f>
        <v/>
      </c>
      <c r="L2700" s="27">
        <f>IF($A2700="","",TRIM(IF(ISERROR(FIND(",",$C2700)),$C2700,LEFT($C2700,FIND(",",$C2700)-1))))</f>
        <v/>
      </c>
      <c r="M2700" s="28">
        <f>IF($H2700="","",DATE(YEAR($H2700),MONTH($H2700),1))</f>
        <v/>
      </c>
      <c r="N2700" s="26">
        <f>IF($H2700="","",TODAY()-$H2700)</f>
        <v/>
      </c>
      <c r="O2700" s="15" t="n"/>
      <c r="P2700" s="15" t="n"/>
      <c r="Q2700" s="15" t="n"/>
      <c r="R2700" s="25" t="n"/>
      <c r="S2700" s="26">
        <f>IF($A2700="","",AND(OR('Assignment Builder'!$B$5="",$B2700='Assignment Builder'!$B$5),OR('Assignment Builder'!$B$6="",ISNUMBER(SEARCH('Assignment Builder'!$B$6,$C2700))),OR('Assignment Builder'!$B$7="",'Assignment Builder'!$B$7=IFERROR(INDEX('Category Dictionary'!$C$5:$C$135,MATCH($L2700,'Category Dictionary'!$D$5:$D$135,0)),"")),OR('Assignment Builder'!$B$8="",$D2700='Assignment Builder'!$B$8),OR('Assignment Builder'!$B$9="",$F2700='Assignment Builder'!$B$9),OR('Assignment Builder'!$B$10="",$O2700='Assignment Builder'!$B$10),OR('Assignment Builder'!$B$11="",$H2700&gt;='Assignment Builder'!$B$11),OR('Assignment Builder'!$B$12="",N($Q2700)&lt;='Assignment Builder'!$B$12)))</f>
        <v/>
      </c>
      <c r="T2700" s="23" t="n"/>
    </row>
    <row r="2701">
      <c r="A2701" s="23" t="n"/>
      <c r="B2701" s="23" t="n"/>
      <c r="C2701" s="24" t="n"/>
      <c r="D2701" s="15" t="n"/>
      <c r="E2701" s="23" t="n"/>
      <c r="F2701" s="15" t="n"/>
      <c r="G2701" s="23" t="n"/>
      <c r="H2701" s="25" t="n"/>
      <c r="I2701" s="15" t="n"/>
      <c r="J2701" s="26">
        <f>IF($A2701="","",LEN($C2701)-LEN(SUBSTITUTE($C2701,",",""))+1)</f>
        <v/>
      </c>
      <c r="K2701" s="26">
        <f>IF($A2701="","",SUMPRODUCT(--ISNUMBER(SEARCH('Category Dictionary'!$D$5:$D$135&amp;"",$C2701)),--('Category Dictionary'!$D$5:$D$135&lt;&gt;"")))</f>
        <v/>
      </c>
      <c r="L2701" s="27">
        <f>IF($A2701="","",TRIM(IF(ISERROR(FIND(",",$C2701)),$C2701,LEFT($C2701,FIND(",",$C2701)-1))))</f>
        <v/>
      </c>
      <c r="M2701" s="28">
        <f>IF($H2701="","",DATE(YEAR($H2701),MONTH($H2701),1))</f>
        <v/>
      </c>
      <c r="N2701" s="26">
        <f>IF($H2701="","",TODAY()-$H2701)</f>
        <v/>
      </c>
      <c r="O2701" s="15" t="n"/>
      <c r="P2701" s="15" t="n"/>
      <c r="Q2701" s="15" t="n"/>
      <c r="R2701" s="25" t="n"/>
      <c r="S2701" s="26">
        <f>IF($A2701="","",AND(OR('Assignment Builder'!$B$5="",$B2701='Assignment Builder'!$B$5),OR('Assignment Builder'!$B$6="",ISNUMBER(SEARCH('Assignment Builder'!$B$6,$C2701))),OR('Assignment Builder'!$B$7="",'Assignment Builder'!$B$7=IFERROR(INDEX('Category Dictionary'!$C$5:$C$135,MATCH($L2701,'Category Dictionary'!$D$5:$D$135,0)),"")),OR('Assignment Builder'!$B$8="",$D2701='Assignment Builder'!$B$8),OR('Assignment Builder'!$B$9="",$F2701='Assignment Builder'!$B$9),OR('Assignment Builder'!$B$10="",$O2701='Assignment Builder'!$B$10),OR('Assignment Builder'!$B$11="",$H2701&gt;='Assignment Builder'!$B$11),OR('Assignment Builder'!$B$12="",N($Q2701)&lt;='Assignment Builder'!$B$12)))</f>
        <v/>
      </c>
      <c r="T2701" s="23" t="n"/>
    </row>
    <row r="2702">
      <c r="A2702" s="23" t="n"/>
      <c r="B2702" s="23" t="n"/>
      <c r="C2702" s="24" t="n"/>
      <c r="D2702" s="15" t="n"/>
      <c r="E2702" s="23" t="n"/>
      <c r="F2702" s="15" t="n"/>
      <c r="G2702" s="23" t="n"/>
      <c r="H2702" s="25" t="n"/>
      <c r="I2702" s="15" t="n"/>
      <c r="J2702" s="26">
        <f>IF($A2702="","",LEN($C2702)-LEN(SUBSTITUTE($C2702,",",""))+1)</f>
        <v/>
      </c>
      <c r="K2702" s="26">
        <f>IF($A2702="","",SUMPRODUCT(--ISNUMBER(SEARCH('Category Dictionary'!$D$5:$D$135&amp;"",$C2702)),--('Category Dictionary'!$D$5:$D$135&lt;&gt;"")))</f>
        <v/>
      </c>
      <c r="L2702" s="27">
        <f>IF($A2702="","",TRIM(IF(ISERROR(FIND(",",$C2702)),$C2702,LEFT($C2702,FIND(",",$C2702)-1))))</f>
        <v/>
      </c>
      <c r="M2702" s="28">
        <f>IF($H2702="","",DATE(YEAR($H2702),MONTH($H2702),1))</f>
        <v/>
      </c>
      <c r="N2702" s="26">
        <f>IF($H2702="","",TODAY()-$H2702)</f>
        <v/>
      </c>
      <c r="O2702" s="15" t="n"/>
      <c r="P2702" s="15" t="n"/>
      <c r="Q2702" s="15" t="n"/>
      <c r="R2702" s="25" t="n"/>
      <c r="S2702" s="26">
        <f>IF($A2702="","",AND(OR('Assignment Builder'!$B$5="",$B2702='Assignment Builder'!$B$5),OR('Assignment Builder'!$B$6="",ISNUMBER(SEARCH('Assignment Builder'!$B$6,$C2702))),OR('Assignment Builder'!$B$7="",'Assignment Builder'!$B$7=IFERROR(INDEX('Category Dictionary'!$C$5:$C$135,MATCH($L2702,'Category Dictionary'!$D$5:$D$135,0)),"")),OR('Assignment Builder'!$B$8="",$D2702='Assignment Builder'!$B$8),OR('Assignment Builder'!$B$9="",$F2702='Assignment Builder'!$B$9),OR('Assignment Builder'!$B$10="",$O2702='Assignment Builder'!$B$10),OR('Assignment Builder'!$B$11="",$H2702&gt;='Assignment Builder'!$B$11),OR('Assignment Builder'!$B$12="",N($Q2702)&lt;='Assignment Builder'!$B$12)))</f>
        <v/>
      </c>
      <c r="T2702" s="23" t="n"/>
    </row>
    <row r="2703">
      <c r="A2703" s="23" t="n"/>
      <c r="B2703" s="23" t="n"/>
      <c r="C2703" s="24" t="n"/>
      <c r="D2703" s="15" t="n"/>
      <c r="E2703" s="23" t="n"/>
      <c r="F2703" s="15" t="n"/>
      <c r="G2703" s="23" t="n"/>
      <c r="H2703" s="25" t="n"/>
      <c r="I2703" s="15" t="n"/>
      <c r="J2703" s="26">
        <f>IF($A2703="","",LEN($C2703)-LEN(SUBSTITUTE($C2703,",",""))+1)</f>
        <v/>
      </c>
      <c r="K2703" s="26">
        <f>IF($A2703="","",SUMPRODUCT(--ISNUMBER(SEARCH('Category Dictionary'!$D$5:$D$135&amp;"",$C2703)),--('Category Dictionary'!$D$5:$D$135&lt;&gt;"")))</f>
        <v/>
      </c>
      <c r="L2703" s="27">
        <f>IF($A2703="","",TRIM(IF(ISERROR(FIND(",",$C2703)),$C2703,LEFT($C2703,FIND(",",$C2703)-1))))</f>
        <v/>
      </c>
      <c r="M2703" s="28">
        <f>IF($H2703="","",DATE(YEAR($H2703),MONTH($H2703),1))</f>
        <v/>
      </c>
      <c r="N2703" s="26">
        <f>IF($H2703="","",TODAY()-$H2703)</f>
        <v/>
      </c>
      <c r="O2703" s="15" t="n"/>
      <c r="P2703" s="15" t="n"/>
      <c r="Q2703" s="15" t="n"/>
      <c r="R2703" s="25" t="n"/>
      <c r="S2703" s="26">
        <f>IF($A2703="","",AND(OR('Assignment Builder'!$B$5="",$B2703='Assignment Builder'!$B$5),OR('Assignment Builder'!$B$6="",ISNUMBER(SEARCH('Assignment Builder'!$B$6,$C2703))),OR('Assignment Builder'!$B$7="",'Assignment Builder'!$B$7=IFERROR(INDEX('Category Dictionary'!$C$5:$C$135,MATCH($L2703,'Category Dictionary'!$D$5:$D$135,0)),"")),OR('Assignment Builder'!$B$8="",$D2703='Assignment Builder'!$B$8),OR('Assignment Builder'!$B$9="",$F2703='Assignment Builder'!$B$9),OR('Assignment Builder'!$B$10="",$O2703='Assignment Builder'!$B$10),OR('Assignment Builder'!$B$11="",$H2703&gt;='Assignment Builder'!$B$11),OR('Assignment Builder'!$B$12="",N($Q2703)&lt;='Assignment Builder'!$B$12)))</f>
        <v/>
      </c>
      <c r="T2703" s="23" t="n"/>
    </row>
    <row r="2704">
      <c r="A2704" s="23" t="n"/>
      <c r="B2704" s="23" t="n"/>
      <c r="C2704" s="24" t="n"/>
      <c r="D2704" s="15" t="n"/>
      <c r="E2704" s="23" t="n"/>
      <c r="F2704" s="15" t="n"/>
      <c r="G2704" s="23" t="n"/>
      <c r="H2704" s="25" t="n"/>
      <c r="I2704" s="15" t="n"/>
      <c r="J2704" s="26">
        <f>IF($A2704="","",LEN($C2704)-LEN(SUBSTITUTE($C2704,",",""))+1)</f>
        <v/>
      </c>
      <c r="K2704" s="26">
        <f>IF($A2704="","",SUMPRODUCT(--ISNUMBER(SEARCH('Category Dictionary'!$D$5:$D$135&amp;"",$C2704)),--('Category Dictionary'!$D$5:$D$135&lt;&gt;"")))</f>
        <v/>
      </c>
      <c r="L2704" s="27">
        <f>IF($A2704="","",TRIM(IF(ISERROR(FIND(",",$C2704)),$C2704,LEFT($C2704,FIND(",",$C2704)-1))))</f>
        <v/>
      </c>
      <c r="M2704" s="28">
        <f>IF($H2704="","",DATE(YEAR($H2704),MONTH($H2704),1))</f>
        <v/>
      </c>
      <c r="N2704" s="26">
        <f>IF($H2704="","",TODAY()-$H2704)</f>
        <v/>
      </c>
      <c r="O2704" s="15" t="n"/>
      <c r="P2704" s="15" t="n"/>
      <c r="Q2704" s="15" t="n"/>
      <c r="R2704" s="25" t="n"/>
      <c r="S2704" s="26">
        <f>IF($A2704="","",AND(OR('Assignment Builder'!$B$5="",$B2704='Assignment Builder'!$B$5),OR('Assignment Builder'!$B$6="",ISNUMBER(SEARCH('Assignment Builder'!$B$6,$C2704))),OR('Assignment Builder'!$B$7="",'Assignment Builder'!$B$7=IFERROR(INDEX('Category Dictionary'!$C$5:$C$135,MATCH($L2704,'Category Dictionary'!$D$5:$D$135,0)),"")),OR('Assignment Builder'!$B$8="",$D2704='Assignment Builder'!$B$8),OR('Assignment Builder'!$B$9="",$F2704='Assignment Builder'!$B$9),OR('Assignment Builder'!$B$10="",$O2704='Assignment Builder'!$B$10),OR('Assignment Builder'!$B$11="",$H2704&gt;='Assignment Builder'!$B$11),OR('Assignment Builder'!$B$12="",N($Q2704)&lt;='Assignment Builder'!$B$12)))</f>
        <v/>
      </c>
      <c r="T2704" s="23" t="n"/>
    </row>
    <row r="2705">
      <c r="A2705" s="23" t="n"/>
      <c r="B2705" s="23" t="n"/>
      <c r="C2705" s="24" t="n"/>
      <c r="D2705" s="15" t="n"/>
      <c r="E2705" s="23" t="n"/>
      <c r="F2705" s="15" t="n"/>
      <c r="G2705" s="23" t="n"/>
      <c r="H2705" s="25" t="n"/>
      <c r="I2705" s="15" t="n"/>
      <c r="J2705" s="26">
        <f>IF($A2705="","",LEN($C2705)-LEN(SUBSTITUTE($C2705,",",""))+1)</f>
        <v/>
      </c>
      <c r="K2705" s="26">
        <f>IF($A2705="","",SUMPRODUCT(--ISNUMBER(SEARCH('Category Dictionary'!$D$5:$D$135&amp;"",$C2705)),--('Category Dictionary'!$D$5:$D$135&lt;&gt;"")))</f>
        <v/>
      </c>
      <c r="L2705" s="27">
        <f>IF($A2705="","",TRIM(IF(ISERROR(FIND(",",$C2705)),$C2705,LEFT($C2705,FIND(",",$C2705)-1))))</f>
        <v/>
      </c>
      <c r="M2705" s="28">
        <f>IF($H2705="","",DATE(YEAR($H2705),MONTH($H2705),1))</f>
        <v/>
      </c>
      <c r="N2705" s="26">
        <f>IF($H2705="","",TODAY()-$H2705)</f>
        <v/>
      </c>
      <c r="O2705" s="15" t="n"/>
      <c r="P2705" s="15" t="n"/>
      <c r="Q2705" s="15" t="n"/>
      <c r="R2705" s="25" t="n"/>
      <c r="S2705" s="26">
        <f>IF($A2705="","",AND(OR('Assignment Builder'!$B$5="",$B2705='Assignment Builder'!$B$5),OR('Assignment Builder'!$B$6="",ISNUMBER(SEARCH('Assignment Builder'!$B$6,$C2705))),OR('Assignment Builder'!$B$7="",'Assignment Builder'!$B$7=IFERROR(INDEX('Category Dictionary'!$C$5:$C$135,MATCH($L2705,'Category Dictionary'!$D$5:$D$135,0)),"")),OR('Assignment Builder'!$B$8="",$D2705='Assignment Builder'!$B$8),OR('Assignment Builder'!$B$9="",$F2705='Assignment Builder'!$B$9),OR('Assignment Builder'!$B$10="",$O2705='Assignment Builder'!$B$10),OR('Assignment Builder'!$B$11="",$H2705&gt;='Assignment Builder'!$B$11),OR('Assignment Builder'!$B$12="",N($Q2705)&lt;='Assignment Builder'!$B$12)))</f>
        <v/>
      </c>
      <c r="T2705" s="23" t="n"/>
    </row>
    <row r="2706">
      <c r="A2706" s="23" t="n"/>
      <c r="B2706" s="23" t="n"/>
      <c r="C2706" s="24" t="n"/>
      <c r="D2706" s="15" t="n"/>
      <c r="E2706" s="23" t="n"/>
      <c r="F2706" s="15" t="n"/>
      <c r="G2706" s="23" t="n"/>
      <c r="H2706" s="25" t="n"/>
      <c r="I2706" s="15" t="n"/>
      <c r="J2706" s="26">
        <f>IF($A2706="","",LEN($C2706)-LEN(SUBSTITUTE($C2706,",",""))+1)</f>
        <v/>
      </c>
      <c r="K2706" s="26">
        <f>IF($A2706="","",SUMPRODUCT(--ISNUMBER(SEARCH('Category Dictionary'!$D$5:$D$135&amp;"",$C2706)),--('Category Dictionary'!$D$5:$D$135&lt;&gt;"")))</f>
        <v/>
      </c>
      <c r="L2706" s="27">
        <f>IF($A2706="","",TRIM(IF(ISERROR(FIND(",",$C2706)),$C2706,LEFT($C2706,FIND(",",$C2706)-1))))</f>
        <v/>
      </c>
      <c r="M2706" s="28">
        <f>IF($H2706="","",DATE(YEAR($H2706),MONTH($H2706),1))</f>
        <v/>
      </c>
      <c r="N2706" s="26">
        <f>IF($H2706="","",TODAY()-$H2706)</f>
        <v/>
      </c>
      <c r="O2706" s="15" t="n"/>
      <c r="P2706" s="15" t="n"/>
      <c r="Q2706" s="15" t="n"/>
      <c r="R2706" s="25" t="n"/>
      <c r="S2706" s="26">
        <f>IF($A2706="","",AND(OR('Assignment Builder'!$B$5="",$B2706='Assignment Builder'!$B$5),OR('Assignment Builder'!$B$6="",ISNUMBER(SEARCH('Assignment Builder'!$B$6,$C2706))),OR('Assignment Builder'!$B$7="",'Assignment Builder'!$B$7=IFERROR(INDEX('Category Dictionary'!$C$5:$C$135,MATCH($L2706,'Category Dictionary'!$D$5:$D$135,0)),"")),OR('Assignment Builder'!$B$8="",$D2706='Assignment Builder'!$B$8),OR('Assignment Builder'!$B$9="",$F2706='Assignment Builder'!$B$9),OR('Assignment Builder'!$B$10="",$O2706='Assignment Builder'!$B$10),OR('Assignment Builder'!$B$11="",$H2706&gt;='Assignment Builder'!$B$11),OR('Assignment Builder'!$B$12="",N($Q2706)&lt;='Assignment Builder'!$B$12)))</f>
        <v/>
      </c>
      <c r="T2706" s="23" t="n"/>
    </row>
    <row r="2707">
      <c r="A2707" s="23" t="n"/>
      <c r="B2707" s="23" t="n"/>
      <c r="C2707" s="24" t="n"/>
      <c r="D2707" s="15" t="n"/>
      <c r="E2707" s="23" t="n"/>
      <c r="F2707" s="15" t="n"/>
      <c r="G2707" s="23" t="n"/>
      <c r="H2707" s="25" t="n"/>
      <c r="I2707" s="15" t="n"/>
      <c r="J2707" s="26">
        <f>IF($A2707="","",LEN($C2707)-LEN(SUBSTITUTE($C2707,",",""))+1)</f>
        <v/>
      </c>
      <c r="K2707" s="26">
        <f>IF($A2707="","",SUMPRODUCT(--ISNUMBER(SEARCH('Category Dictionary'!$D$5:$D$135&amp;"",$C2707)),--('Category Dictionary'!$D$5:$D$135&lt;&gt;"")))</f>
        <v/>
      </c>
      <c r="L2707" s="27">
        <f>IF($A2707="","",TRIM(IF(ISERROR(FIND(",",$C2707)),$C2707,LEFT($C2707,FIND(",",$C2707)-1))))</f>
        <v/>
      </c>
      <c r="M2707" s="28">
        <f>IF($H2707="","",DATE(YEAR($H2707),MONTH($H2707),1))</f>
        <v/>
      </c>
      <c r="N2707" s="26">
        <f>IF($H2707="","",TODAY()-$H2707)</f>
        <v/>
      </c>
      <c r="O2707" s="15" t="n"/>
      <c r="P2707" s="15" t="n"/>
      <c r="Q2707" s="15" t="n"/>
      <c r="R2707" s="25" t="n"/>
      <c r="S2707" s="26">
        <f>IF($A2707="","",AND(OR('Assignment Builder'!$B$5="",$B2707='Assignment Builder'!$B$5),OR('Assignment Builder'!$B$6="",ISNUMBER(SEARCH('Assignment Builder'!$B$6,$C2707))),OR('Assignment Builder'!$B$7="",'Assignment Builder'!$B$7=IFERROR(INDEX('Category Dictionary'!$C$5:$C$135,MATCH($L2707,'Category Dictionary'!$D$5:$D$135,0)),"")),OR('Assignment Builder'!$B$8="",$D2707='Assignment Builder'!$B$8),OR('Assignment Builder'!$B$9="",$F2707='Assignment Builder'!$B$9),OR('Assignment Builder'!$B$10="",$O2707='Assignment Builder'!$B$10),OR('Assignment Builder'!$B$11="",$H2707&gt;='Assignment Builder'!$B$11),OR('Assignment Builder'!$B$12="",N($Q2707)&lt;='Assignment Builder'!$B$12)))</f>
        <v/>
      </c>
      <c r="T2707" s="23" t="n"/>
    </row>
    <row r="2708">
      <c r="A2708" s="23" t="n"/>
      <c r="B2708" s="23" t="n"/>
      <c r="C2708" s="24" t="n"/>
      <c r="D2708" s="15" t="n"/>
      <c r="E2708" s="23" t="n"/>
      <c r="F2708" s="15" t="n"/>
      <c r="G2708" s="23" t="n"/>
      <c r="H2708" s="25" t="n"/>
      <c r="I2708" s="15" t="n"/>
      <c r="J2708" s="26">
        <f>IF($A2708="","",LEN($C2708)-LEN(SUBSTITUTE($C2708,",",""))+1)</f>
        <v/>
      </c>
      <c r="K2708" s="26">
        <f>IF($A2708="","",SUMPRODUCT(--ISNUMBER(SEARCH('Category Dictionary'!$D$5:$D$135&amp;"",$C2708)),--('Category Dictionary'!$D$5:$D$135&lt;&gt;"")))</f>
        <v/>
      </c>
      <c r="L2708" s="27">
        <f>IF($A2708="","",TRIM(IF(ISERROR(FIND(",",$C2708)),$C2708,LEFT($C2708,FIND(",",$C2708)-1))))</f>
        <v/>
      </c>
      <c r="M2708" s="28">
        <f>IF($H2708="","",DATE(YEAR($H2708),MONTH($H2708),1))</f>
        <v/>
      </c>
      <c r="N2708" s="26">
        <f>IF($H2708="","",TODAY()-$H2708)</f>
        <v/>
      </c>
      <c r="O2708" s="15" t="n"/>
      <c r="P2708" s="15" t="n"/>
      <c r="Q2708" s="15" t="n"/>
      <c r="R2708" s="25" t="n"/>
      <c r="S2708" s="26">
        <f>IF($A2708="","",AND(OR('Assignment Builder'!$B$5="",$B2708='Assignment Builder'!$B$5),OR('Assignment Builder'!$B$6="",ISNUMBER(SEARCH('Assignment Builder'!$B$6,$C2708))),OR('Assignment Builder'!$B$7="",'Assignment Builder'!$B$7=IFERROR(INDEX('Category Dictionary'!$C$5:$C$135,MATCH($L2708,'Category Dictionary'!$D$5:$D$135,0)),"")),OR('Assignment Builder'!$B$8="",$D2708='Assignment Builder'!$B$8),OR('Assignment Builder'!$B$9="",$F2708='Assignment Builder'!$B$9),OR('Assignment Builder'!$B$10="",$O2708='Assignment Builder'!$B$10),OR('Assignment Builder'!$B$11="",$H2708&gt;='Assignment Builder'!$B$11),OR('Assignment Builder'!$B$12="",N($Q2708)&lt;='Assignment Builder'!$B$12)))</f>
        <v/>
      </c>
      <c r="T2708" s="23" t="n"/>
    </row>
    <row r="2709">
      <c r="A2709" s="23" t="n"/>
      <c r="B2709" s="23" t="n"/>
      <c r="C2709" s="24" t="n"/>
      <c r="D2709" s="15" t="n"/>
      <c r="E2709" s="23" t="n"/>
      <c r="F2709" s="15" t="n"/>
      <c r="G2709" s="23" t="n"/>
      <c r="H2709" s="25" t="n"/>
      <c r="I2709" s="15" t="n"/>
      <c r="J2709" s="26">
        <f>IF($A2709="","",LEN($C2709)-LEN(SUBSTITUTE($C2709,",",""))+1)</f>
        <v/>
      </c>
      <c r="K2709" s="26">
        <f>IF($A2709="","",SUMPRODUCT(--ISNUMBER(SEARCH('Category Dictionary'!$D$5:$D$135&amp;"",$C2709)),--('Category Dictionary'!$D$5:$D$135&lt;&gt;"")))</f>
        <v/>
      </c>
      <c r="L2709" s="27">
        <f>IF($A2709="","",TRIM(IF(ISERROR(FIND(",",$C2709)),$C2709,LEFT($C2709,FIND(",",$C2709)-1))))</f>
        <v/>
      </c>
      <c r="M2709" s="28">
        <f>IF($H2709="","",DATE(YEAR($H2709),MONTH($H2709),1))</f>
        <v/>
      </c>
      <c r="N2709" s="26">
        <f>IF($H2709="","",TODAY()-$H2709)</f>
        <v/>
      </c>
      <c r="O2709" s="15" t="n"/>
      <c r="P2709" s="15" t="n"/>
      <c r="Q2709" s="15" t="n"/>
      <c r="R2709" s="25" t="n"/>
      <c r="S2709" s="26">
        <f>IF($A2709="","",AND(OR('Assignment Builder'!$B$5="",$B2709='Assignment Builder'!$B$5),OR('Assignment Builder'!$B$6="",ISNUMBER(SEARCH('Assignment Builder'!$B$6,$C2709))),OR('Assignment Builder'!$B$7="",'Assignment Builder'!$B$7=IFERROR(INDEX('Category Dictionary'!$C$5:$C$135,MATCH($L2709,'Category Dictionary'!$D$5:$D$135,0)),"")),OR('Assignment Builder'!$B$8="",$D2709='Assignment Builder'!$B$8),OR('Assignment Builder'!$B$9="",$F2709='Assignment Builder'!$B$9),OR('Assignment Builder'!$B$10="",$O2709='Assignment Builder'!$B$10),OR('Assignment Builder'!$B$11="",$H2709&gt;='Assignment Builder'!$B$11),OR('Assignment Builder'!$B$12="",N($Q2709)&lt;='Assignment Builder'!$B$12)))</f>
        <v/>
      </c>
      <c r="T2709" s="23" t="n"/>
    </row>
    <row r="2710">
      <c r="A2710" s="23" t="n"/>
      <c r="B2710" s="23" t="n"/>
      <c r="C2710" s="24" t="n"/>
      <c r="D2710" s="15" t="n"/>
      <c r="E2710" s="23" t="n"/>
      <c r="F2710" s="15" t="n"/>
      <c r="G2710" s="23" t="n"/>
      <c r="H2710" s="25" t="n"/>
      <c r="I2710" s="15" t="n"/>
      <c r="J2710" s="26">
        <f>IF($A2710="","",LEN($C2710)-LEN(SUBSTITUTE($C2710,",",""))+1)</f>
        <v/>
      </c>
      <c r="K2710" s="26">
        <f>IF($A2710="","",SUMPRODUCT(--ISNUMBER(SEARCH('Category Dictionary'!$D$5:$D$135&amp;"",$C2710)),--('Category Dictionary'!$D$5:$D$135&lt;&gt;"")))</f>
        <v/>
      </c>
      <c r="L2710" s="27">
        <f>IF($A2710="","",TRIM(IF(ISERROR(FIND(",",$C2710)),$C2710,LEFT($C2710,FIND(",",$C2710)-1))))</f>
        <v/>
      </c>
      <c r="M2710" s="28">
        <f>IF($H2710="","",DATE(YEAR($H2710),MONTH($H2710),1))</f>
        <v/>
      </c>
      <c r="N2710" s="26">
        <f>IF($H2710="","",TODAY()-$H2710)</f>
        <v/>
      </c>
      <c r="O2710" s="15" t="n"/>
      <c r="P2710" s="15" t="n"/>
      <c r="Q2710" s="15" t="n"/>
      <c r="R2710" s="25" t="n"/>
      <c r="S2710" s="26">
        <f>IF($A2710="","",AND(OR('Assignment Builder'!$B$5="",$B2710='Assignment Builder'!$B$5),OR('Assignment Builder'!$B$6="",ISNUMBER(SEARCH('Assignment Builder'!$B$6,$C2710))),OR('Assignment Builder'!$B$7="",'Assignment Builder'!$B$7=IFERROR(INDEX('Category Dictionary'!$C$5:$C$135,MATCH($L2710,'Category Dictionary'!$D$5:$D$135,0)),"")),OR('Assignment Builder'!$B$8="",$D2710='Assignment Builder'!$B$8),OR('Assignment Builder'!$B$9="",$F2710='Assignment Builder'!$B$9),OR('Assignment Builder'!$B$10="",$O2710='Assignment Builder'!$B$10),OR('Assignment Builder'!$B$11="",$H2710&gt;='Assignment Builder'!$B$11),OR('Assignment Builder'!$B$12="",N($Q2710)&lt;='Assignment Builder'!$B$12)))</f>
        <v/>
      </c>
      <c r="T2710" s="23" t="n"/>
    </row>
    <row r="2711">
      <c r="A2711" s="23" t="n"/>
      <c r="B2711" s="23" t="n"/>
      <c r="C2711" s="24" t="n"/>
      <c r="D2711" s="15" t="n"/>
      <c r="E2711" s="23" t="n"/>
      <c r="F2711" s="15" t="n"/>
      <c r="G2711" s="23" t="n"/>
      <c r="H2711" s="25" t="n"/>
      <c r="I2711" s="15" t="n"/>
      <c r="J2711" s="26">
        <f>IF($A2711="","",LEN($C2711)-LEN(SUBSTITUTE($C2711,",",""))+1)</f>
        <v/>
      </c>
      <c r="K2711" s="26">
        <f>IF($A2711="","",SUMPRODUCT(--ISNUMBER(SEARCH('Category Dictionary'!$D$5:$D$135&amp;"",$C2711)),--('Category Dictionary'!$D$5:$D$135&lt;&gt;"")))</f>
        <v/>
      </c>
      <c r="L2711" s="27">
        <f>IF($A2711="","",TRIM(IF(ISERROR(FIND(",",$C2711)),$C2711,LEFT($C2711,FIND(",",$C2711)-1))))</f>
        <v/>
      </c>
      <c r="M2711" s="28">
        <f>IF($H2711="","",DATE(YEAR($H2711),MONTH($H2711),1))</f>
        <v/>
      </c>
      <c r="N2711" s="26">
        <f>IF($H2711="","",TODAY()-$H2711)</f>
        <v/>
      </c>
      <c r="O2711" s="15" t="n"/>
      <c r="P2711" s="15" t="n"/>
      <c r="Q2711" s="15" t="n"/>
      <c r="R2711" s="25" t="n"/>
      <c r="S2711" s="26">
        <f>IF($A2711="","",AND(OR('Assignment Builder'!$B$5="",$B2711='Assignment Builder'!$B$5),OR('Assignment Builder'!$B$6="",ISNUMBER(SEARCH('Assignment Builder'!$B$6,$C2711))),OR('Assignment Builder'!$B$7="",'Assignment Builder'!$B$7=IFERROR(INDEX('Category Dictionary'!$C$5:$C$135,MATCH($L2711,'Category Dictionary'!$D$5:$D$135,0)),"")),OR('Assignment Builder'!$B$8="",$D2711='Assignment Builder'!$B$8),OR('Assignment Builder'!$B$9="",$F2711='Assignment Builder'!$B$9),OR('Assignment Builder'!$B$10="",$O2711='Assignment Builder'!$B$10),OR('Assignment Builder'!$B$11="",$H2711&gt;='Assignment Builder'!$B$11),OR('Assignment Builder'!$B$12="",N($Q2711)&lt;='Assignment Builder'!$B$12)))</f>
        <v/>
      </c>
      <c r="T2711" s="23" t="n"/>
    </row>
    <row r="2712">
      <c r="A2712" s="23" t="n"/>
      <c r="B2712" s="23" t="n"/>
      <c r="C2712" s="24" t="n"/>
      <c r="D2712" s="15" t="n"/>
      <c r="E2712" s="23" t="n"/>
      <c r="F2712" s="15" t="n"/>
      <c r="G2712" s="23" t="n"/>
      <c r="H2712" s="25" t="n"/>
      <c r="I2712" s="15" t="n"/>
      <c r="J2712" s="26">
        <f>IF($A2712="","",LEN($C2712)-LEN(SUBSTITUTE($C2712,",",""))+1)</f>
        <v/>
      </c>
      <c r="K2712" s="26">
        <f>IF($A2712="","",SUMPRODUCT(--ISNUMBER(SEARCH('Category Dictionary'!$D$5:$D$135&amp;"",$C2712)),--('Category Dictionary'!$D$5:$D$135&lt;&gt;"")))</f>
        <v/>
      </c>
      <c r="L2712" s="27">
        <f>IF($A2712="","",TRIM(IF(ISERROR(FIND(",",$C2712)),$C2712,LEFT($C2712,FIND(",",$C2712)-1))))</f>
        <v/>
      </c>
      <c r="M2712" s="28">
        <f>IF($H2712="","",DATE(YEAR($H2712),MONTH($H2712),1))</f>
        <v/>
      </c>
      <c r="N2712" s="26">
        <f>IF($H2712="","",TODAY()-$H2712)</f>
        <v/>
      </c>
      <c r="O2712" s="15" t="n"/>
      <c r="P2712" s="15" t="n"/>
      <c r="Q2712" s="15" t="n"/>
      <c r="R2712" s="25" t="n"/>
      <c r="S2712" s="26">
        <f>IF($A2712="","",AND(OR('Assignment Builder'!$B$5="",$B2712='Assignment Builder'!$B$5),OR('Assignment Builder'!$B$6="",ISNUMBER(SEARCH('Assignment Builder'!$B$6,$C2712))),OR('Assignment Builder'!$B$7="",'Assignment Builder'!$B$7=IFERROR(INDEX('Category Dictionary'!$C$5:$C$135,MATCH($L2712,'Category Dictionary'!$D$5:$D$135,0)),"")),OR('Assignment Builder'!$B$8="",$D2712='Assignment Builder'!$B$8),OR('Assignment Builder'!$B$9="",$F2712='Assignment Builder'!$B$9),OR('Assignment Builder'!$B$10="",$O2712='Assignment Builder'!$B$10),OR('Assignment Builder'!$B$11="",$H2712&gt;='Assignment Builder'!$B$11),OR('Assignment Builder'!$B$12="",N($Q2712)&lt;='Assignment Builder'!$B$12)))</f>
        <v/>
      </c>
      <c r="T2712" s="23" t="n"/>
    </row>
    <row r="2713">
      <c r="A2713" s="23" t="n"/>
      <c r="B2713" s="23" t="n"/>
      <c r="C2713" s="24" t="n"/>
      <c r="D2713" s="15" t="n"/>
      <c r="E2713" s="23" t="n"/>
      <c r="F2713" s="15" t="n"/>
      <c r="G2713" s="23" t="n"/>
      <c r="H2713" s="25" t="n"/>
      <c r="I2713" s="15" t="n"/>
      <c r="J2713" s="26">
        <f>IF($A2713="","",LEN($C2713)-LEN(SUBSTITUTE($C2713,",",""))+1)</f>
        <v/>
      </c>
      <c r="K2713" s="26">
        <f>IF($A2713="","",SUMPRODUCT(--ISNUMBER(SEARCH('Category Dictionary'!$D$5:$D$135&amp;"",$C2713)),--('Category Dictionary'!$D$5:$D$135&lt;&gt;"")))</f>
        <v/>
      </c>
      <c r="L2713" s="27">
        <f>IF($A2713="","",TRIM(IF(ISERROR(FIND(",",$C2713)),$C2713,LEFT($C2713,FIND(",",$C2713)-1))))</f>
        <v/>
      </c>
      <c r="M2713" s="28">
        <f>IF($H2713="","",DATE(YEAR($H2713),MONTH($H2713),1))</f>
        <v/>
      </c>
      <c r="N2713" s="26">
        <f>IF($H2713="","",TODAY()-$H2713)</f>
        <v/>
      </c>
      <c r="O2713" s="15" t="n"/>
      <c r="P2713" s="15" t="n"/>
      <c r="Q2713" s="15" t="n"/>
      <c r="R2713" s="25" t="n"/>
      <c r="S2713" s="26">
        <f>IF($A2713="","",AND(OR('Assignment Builder'!$B$5="",$B2713='Assignment Builder'!$B$5),OR('Assignment Builder'!$B$6="",ISNUMBER(SEARCH('Assignment Builder'!$B$6,$C2713))),OR('Assignment Builder'!$B$7="",'Assignment Builder'!$B$7=IFERROR(INDEX('Category Dictionary'!$C$5:$C$135,MATCH($L2713,'Category Dictionary'!$D$5:$D$135,0)),"")),OR('Assignment Builder'!$B$8="",$D2713='Assignment Builder'!$B$8),OR('Assignment Builder'!$B$9="",$F2713='Assignment Builder'!$B$9),OR('Assignment Builder'!$B$10="",$O2713='Assignment Builder'!$B$10),OR('Assignment Builder'!$B$11="",$H2713&gt;='Assignment Builder'!$B$11),OR('Assignment Builder'!$B$12="",N($Q2713)&lt;='Assignment Builder'!$B$12)))</f>
        <v/>
      </c>
      <c r="T2713" s="23" t="n"/>
    </row>
    <row r="2714">
      <c r="A2714" s="23" t="n"/>
      <c r="B2714" s="23" t="n"/>
      <c r="C2714" s="24" t="n"/>
      <c r="D2714" s="15" t="n"/>
      <c r="E2714" s="23" t="n"/>
      <c r="F2714" s="15" t="n"/>
      <c r="G2714" s="23" t="n"/>
      <c r="H2714" s="25" t="n"/>
      <c r="I2714" s="15" t="n"/>
      <c r="J2714" s="26">
        <f>IF($A2714="","",LEN($C2714)-LEN(SUBSTITUTE($C2714,",",""))+1)</f>
        <v/>
      </c>
      <c r="K2714" s="26">
        <f>IF($A2714="","",SUMPRODUCT(--ISNUMBER(SEARCH('Category Dictionary'!$D$5:$D$135&amp;"",$C2714)),--('Category Dictionary'!$D$5:$D$135&lt;&gt;"")))</f>
        <v/>
      </c>
      <c r="L2714" s="27">
        <f>IF($A2714="","",TRIM(IF(ISERROR(FIND(",",$C2714)),$C2714,LEFT($C2714,FIND(",",$C2714)-1))))</f>
        <v/>
      </c>
      <c r="M2714" s="28">
        <f>IF($H2714="","",DATE(YEAR($H2714),MONTH($H2714),1))</f>
        <v/>
      </c>
      <c r="N2714" s="26">
        <f>IF($H2714="","",TODAY()-$H2714)</f>
        <v/>
      </c>
      <c r="O2714" s="15" t="n"/>
      <c r="P2714" s="15" t="n"/>
      <c r="Q2714" s="15" t="n"/>
      <c r="R2714" s="25" t="n"/>
      <c r="S2714" s="26">
        <f>IF($A2714="","",AND(OR('Assignment Builder'!$B$5="",$B2714='Assignment Builder'!$B$5),OR('Assignment Builder'!$B$6="",ISNUMBER(SEARCH('Assignment Builder'!$B$6,$C2714))),OR('Assignment Builder'!$B$7="",'Assignment Builder'!$B$7=IFERROR(INDEX('Category Dictionary'!$C$5:$C$135,MATCH($L2714,'Category Dictionary'!$D$5:$D$135,0)),"")),OR('Assignment Builder'!$B$8="",$D2714='Assignment Builder'!$B$8),OR('Assignment Builder'!$B$9="",$F2714='Assignment Builder'!$B$9),OR('Assignment Builder'!$B$10="",$O2714='Assignment Builder'!$B$10),OR('Assignment Builder'!$B$11="",$H2714&gt;='Assignment Builder'!$B$11),OR('Assignment Builder'!$B$12="",N($Q2714)&lt;='Assignment Builder'!$B$12)))</f>
        <v/>
      </c>
      <c r="T2714" s="23" t="n"/>
    </row>
    <row r="2715">
      <c r="A2715" s="23" t="n"/>
      <c r="B2715" s="23" t="n"/>
      <c r="C2715" s="24" t="n"/>
      <c r="D2715" s="15" t="n"/>
      <c r="E2715" s="23" t="n"/>
      <c r="F2715" s="15" t="n"/>
      <c r="G2715" s="23" t="n"/>
      <c r="H2715" s="25" t="n"/>
      <c r="I2715" s="15" t="n"/>
      <c r="J2715" s="26">
        <f>IF($A2715="","",LEN($C2715)-LEN(SUBSTITUTE($C2715,",",""))+1)</f>
        <v/>
      </c>
      <c r="K2715" s="26">
        <f>IF($A2715="","",SUMPRODUCT(--ISNUMBER(SEARCH('Category Dictionary'!$D$5:$D$135&amp;"",$C2715)),--('Category Dictionary'!$D$5:$D$135&lt;&gt;"")))</f>
        <v/>
      </c>
      <c r="L2715" s="27">
        <f>IF($A2715="","",TRIM(IF(ISERROR(FIND(",",$C2715)),$C2715,LEFT($C2715,FIND(",",$C2715)-1))))</f>
        <v/>
      </c>
      <c r="M2715" s="28">
        <f>IF($H2715="","",DATE(YEAR($H2715),MONTH($H2715),1))</f>
        <v/>
      </c>
      <c r="N2715" s="26">
        <f>IF($H2715="","",TODAY()-$H2715)</f>
        <v/>
      </c>
      <c r="O2715" s="15" t="n"/>
      <c r="P2715" s="15" t="n"/>
      <c r="Q2715" s="15" t="n"/>
      <c r="R2715" s="25" t="n"/>
      <c r="S2715" s="26">
        <f>IF($A2715="","",AND(OR('Assignment Builder'!$B$5="",$B2715='Assignment Builder'!$B$5),OR('Assignment Builder'!$B$6="",ISNUMBER(SEARCH('Assignment Builder'!$B$6,$C2715))),OR('Assignment Builder'!$B$7="",'Assignment Builder'!$B$7=IFERROR(INDEX('Category Dictionary'!$C$5:$C$135,MATCH($L2715,'Category Dictionary'!$D$5:$D$135,0)),"")),OR('Assignment Builder'!$B$8="",$D2715='Assignment Builder'!$B$8),OR('Assignment Builder'!$B$9="",$F2715='Assignment Builder'!$B$9),OR('Assignment Builder'!$B$10="",$O2715='Assignment Builder'!$B$10),OR('Assignment Builder'!$B$11="",$H2715&gt;='Assignment Builder'!$B$11),OR('Assignment Builder'!$B$12="",N($Q2715)&lt;='Assignment Builder'!$B$12)))</f>
        <v/>
      </c>
      <c r="T2715" s="23" t="n"/>
    </row>
    <row r="2716">
      <c r="A2716" s="23" t="n"/>
      <c r="B2716" s="23" t="n"/>
      <c r="C2716" s="24" t="n"/>
      <c r="D2716" s="15" t="n"/>
      <c r="E2716" s="23" t="n"/>
      <c r="F2716" s="15" t="n"/>
      <c r="G2716" s="23" t="n"/>
      <c r="H2716" s="25" t="n"/>
      <c r="I2716" s="15" t="n"/>
      <c r="J2716" s="26">
        <f>IF($A2716="","",LEN($C2716)-LEN(SUBSTITUTE($C2716,",",""))+1)</f>
        <v/>
      </c>
      <c r="K2716" s="26">
        <f>IF($A2716="","",SUMPRODUCT(--ISNUMBER(SEARCH('Category Dictionary'!$D$5:$D$135&amp;"",$C2716)),--('Category Dictionary'!$D$5:$D$135&lt;&gt;"")))</f>
        <v/>
      </c>
      <c r="L2716" s="27">
        <f>IF($A2716="","",TRIM(IF(ISERROR(FIND(",",$C2716)),$C2716,LEFT($C2716,FIND(",",$C2716)-1))))</f>
        <v/>
      </c>
      <c r="M2716" s="28">
        <f>IF($H2716="","",DATE(YEAR($H2716),MONTH($H2716),1))</f>
        <v/>
      </c>
      <c r="N2716" s="26">
        <f>IF($H2716="","",TODAY()-$H2716)</f>
        <v/>
      </c>
      <c r="O2716" s="15" t="n"/>
      <c r="P2716" s="15" t="n"/>
      <c r="Q2716" s="15" t="n"/>
      <c r="R2716" s="25" t="n"/>
      <c r="S2716" s="26">
        <f>IF($A2716="","",AND(OR('Assignment Builder'!$B$5="",$B2716='Assignment Builder'!$B$5),OR('Assignment Builder'!$B$6="",ISNUMBER(SEARCH('Assignment Builder'!$B$6,$C2716))),OR('Assignment Builder'!$B$7="",'Assignment Builder'!$B$7=IFERROR(INDEX('Category Dictionary'!$C$5:$C$135,MATCH($L2716,'Category Dictionary'!$D$5:$D$135,0)),"")),OR('Assignment Builder'!$B$8="",$D2716='Assignment Builder'!$B$8),OR('Assignment Builder'!$B$9="",$F2716='Assignment Builder'!$B$9),OR('Assignment Builder'!$B$10="",$O2716='Assignment Builder'!$B$10),OR('Assignment Builder'!$B$11="",$H2716&gt;='Assignment Builder'!$B$11),OR('Assignment Builder'!$B$12="",N($Q2716)&lt;='Assignment Builder'!$B$12)))</f>
        <v/>
      </c>
      <c r="T2716" s="23" t="n"/>
    </row>
    <row r="2717">
      <c r="A2717" s="23" t="n"/>
      <c r="B2717" s="23" t="n"/>
      <c r="C2717" s="24" t="n"/>
      <c r="D2717" s="15" t="n"/>
      <c r="E2717" s="23" t="n"/>
      <c r="F2717" s="15" t="n"/>
      <c r="G2717" s="23" t="n"/>
      <c r="H2717" s="25" t="n"/>
      <c r="I2717" s="15" t="n"/>
      <c r="J2717" s="26">
        <f>IF($A2717="","",LEN($C2717)-LEN(SUBSTITUTE($C2717,",",""))+1)</f>
        <v/>
      </c>
      <c r="K2717" s="26">
        <f>IF($A2717="","",SUMPRODUCT(--ISNUMBER(SEARCH('Category Dictionary'!$D$5:$D$135&amp;"",$C2717)),--('Category Dictionary'!$D$5:$D$135&lt;&gt;"")))</f>
        <v/>
      </c>
      <c r="L2717" s="27">
        <f>IF($A2717="","",TRIM(IF(ISERROR(FIND(",",$C2717)),$C2717,LEFT($C2717,FIND(",",$C2717)-1))))</f>
        <v/>
      </c>
      <c r="M2717" s="28">
        <f>IF($H2717="","",DATE(YEAR($H2717),MONTH($H2717),1))</f>
        <v/>
      </c>
      <c r="N2717" s="26">
        <f>IF($H2717="","",TODAY()-$H2717)</f>
        <v/>
      </c>
      <c r="O2717" s="15" t="n"/>
      <c r="P2717" s="15" t="n"/>
      <c r="Q2717" s="15" t="n"/>
      <c r="R2717" s="25" t="n"/>
      <c r="S2717" s="26">
        <f>IF($A2717="","",AND(OR('Assignment Builder'!$B$5="",$B2717='Assignment Builder'!$B$5),OR('Assignment Builder'!$B$6="",ISNUMBER(SEARCH('Assignment Builder'!$B$6,$C2717))),OR('Assignment Builder'!$B$7="",'Assignment Builder'!$B$7=IFERROR(INDEX('Category Dictionary'!$C$5:$C$135,MATCH($L2717,'Category Dictionary'!$D$5:$D$135,0)),"")),OR('Assignment Builder'!$B$8="",$D2717='Assignment Builder'!$B$8),OR('Assignment Builder'!$B$9="",$F2717='Assignment Builder'!$B$9),OR('Assignment Builder'!$B$10="",$O2717='Assignment Builder'!$B$10),OR('Assignment Builder'!$B$11="",$H2717&gt;='Assignment Builder'!$B$11),OR('Assignment Builder'!$B$12="",N($Q2717)&lt;='Assignment Builder'!$B$12)))</f>
        <v/>
      </c>
      <c r="T2717" s="23" t="n"/>
    </row>
    <row r="2718">
      <c r="A2718" s="23" t="n"/>
      <c r="B2718" s="23" t="n"/>
      <c r="C2718" s="24" t="n"/>
      <c r="D2718" s="15" t="n"/>
      <c r="E2718" s="23" t="n"/>
      <c r="F2718" s="15" t="n"/>
      <c r="G2718" s="23" t="n"/>
      <c r="H2718" s="25" t="n"/>
      <c r="I2718" s="15" t="n"/>
      <c r="J2718" s="26">
        <f>IF($A2718="","",LEN($C2718)-LEN(SUBSTITUTE($C2718,",",""))+1)</f>
        <v/>
      </c>
      <c r="K2718" s="26">
        <f>IF($A2718="","",SUMPRODUCT(--ISNUMBER(SEARCH('Category Dictionary'!$D$5:$D$135&amp;"",$C2718)),--('Category Dictionary'!$D$5:$D$135&lt;&gt;"")))</f>
        <v/>
      </c>
      <c r="L2718" s="27">
        <f>IF($A2718="","",TRIM(IF(ISERROR(FIND(",",$C2718)),$C2718,LEFT($C2718,FIND(",",$C2718)-1))))</f>
        <v/>
      </c>
      <c r="M2718" s="28">
        <f>IF($H2718="","",DATE(YEAR($H2718),MONTH($H2718),1))</f>
        <v/>
      </c>
      <c r="N2718" s="26">
        <f>IF($H2718="","",TODAY()-$H2718)</f>
        <v/>
      </c>
      <c r="O2718" s="15" t="n"/>
      <c r="P2718" s="15" t="n"/>
      <c r="Q2718" s="15" t="n"/>
      <c r="R2718" s="25" t="n"/>
      <c r="S2718" s="26">
        <f>IF($A2718="","",AND(OR('Assignment Builder'!$B$5="",$B2718='Assignment Builder'!$B$5),OR('Assignment Builder'!$B$6="",ISNUMBER(SEARCH('Assignment Builder'!$B$6,$C2718))),OR('Assignment Builder'!$B$7="",'Assignment Builder'!$B$7=IFERROR(INDEX('Category Dictionary'!$C$5:$C$135,MATCH($L2718,'Category Dictionary'!$D$5:$D$135,0)),"")),OR('Assignment Builder'!$B$8="",$D2718='Assignment Builder'!$B$8),OR('Assignment Builder'!$B$9="",$F2718='Assignment Builder'!$B$9),OR('Assignment Builder'!$B$10="",$O2718='Assignment Builder'!$B$10),OR('Assignment Builder'!$B$11="",$H2718&gt;='Assignment Builder'!$B$11),OR('Assignment Builder'!$B$12="",N($Q2718)&lt;='Assignment Builder'!$B$12)))</f>
        <v/>
      </c>
      <c r="T2718" s="23" t="n"/>
    </row>
    <row r="2719">
      <c r="A2719" s="23" t="n"/>
      <c r="B2719" s="23" t="n"/>
      <c r="C2719" s="24" t="n"/>
      <c r="D2719" s="15" t="n"/>
      <c r="E2719" s="23" t="n"/>
      <c r="F2719" s="15" t="n"/>
      <c r="G2719" s="23" t="n"/>
      <c r="H2719" s="25" t="n"/>
      <c r="I2719" s="15" t="n"/>
      <c r="J2719" s="26">
        <f>IF($A2719="","",LEN($C2719)-LEN(SUBSTITUTE($C2719,",",""))+1)</f>
        <v/>
      </c>
      <c r="K2719" s="26">
        <f>IF($A2719="","",SUMPRODUCT(--ISNUMBER(SEARCH('Category Dictionary'!$D$5:$D$135&amp;"",$C2719)),--('Category Dictionary'!$D$5:$D$135&lt;&gt;"")))</f>
        <v/>
      </c>
      <c r="L2719" s="27">
        <f>IF($A2719="","",TRIM(IF(ISERROR(FIND(",",$C2719)),$C2719,LEFT($C2719,FIND(",",$C2719)-1))))</f>
        <v/>
      </c>
      <c r="M2719" s="28">
        <f>IF($H2719="","",DATE(YEAR($H2719),MONTH($H2719),1))</f>
        <v/>
      </c>
      <c r="N2719" s="26">
        <f>IF($H2719="","",TODAY()-$H2719)</f>
        <v/>
      </c>
      <c r="O2719" s="15" t="n"/>
      <c r="P2719" s="15" t="n"/>
      <c r="Q2719" s="15" t="n"/>
      <c r="R2719" s="25" t="n"/>
      <c r="S2719" s="26">
        <f>IF($A2719="","",AND(OR('Assignment Builder'!$B$5="",$B2719='Assignment Builder'!$B$5),OR('Assignment Builder'!$B$6="",ISNUMBER(SEARCH('Assignment Builder'!$B$6,$C2719))),OR('Assignment Builder'!$B$7="",'Assignment Builder'!$B$7=IFERROR(INDEX('Category Dictionary'!$C$5:$C$135,MATCH($L2719,'Category Dictionary'!$D$5:$D$135,0)),"")),OR('Assignment Builder'!$B$8="",$D2719='Assignment Builder'!$B$8),OR('Assignment Builder'!$B$9="",$F2719='Assignment Builder'!$B$9),OR('Assignment Builder'!$B$10="",$O2719='Assignment Builder'!$B$10),OR('Assignment Builder'!$B$11="",$H2719&gt;='Assignment Builder'!$B$11),OR('Assignment Builder'!$B$12="",N($Q2719)&lt;='Assignment Builder'!$B$12)))</f>
        <v/>
      </c>
      <c r="T2719" s="23" t="n"/>
    </row>
    <row r="2720">
      <c r="A2720" s="23" t="n"/>
      <c r="B2720" s="23" t="n"/>
      <c r="C2720" s="24" t="n"/>
      <c r="D2720" s="15" t="n"/>
      <c r="E2720" s="23" t="n"/>
      <c r="F2720" s="15" t="n"/>
      <c r="G2720" s="23" t="n"/>
      <c r="H2720" s="25" t="n"/>
      <c r="I2720" s="15" t="n"/>
      <c r="J2720" s="26">
        <f>IF($A2720="","",LEN($C2720)-LEN(SUBSTITUTE($C2720,",",""))+1)</f>
        <v/>
      </c>
      <c r="K2720" s="26">
        <f>IF($A2720="","",SUMPRODUCT(--ISNUMBER(SEARCH('Category Dictionary'!$D$5:$D$135&amp;"",$C2720)),--('Category Dictionary'!$D$5:$D$135&lt;&gt;"")))</f>
        <v/>
      </c>
      <c r="L2720" s="27">
        <f>IF($A2720="","",TRIM(IF(ISERROR(FIND(",",$C2720)),$C2720,LEFT($C2720,FIND(",",$C2720)-1))))</f>
        <v/>
      </c>
      <c r="M2720" s="28">
        <f>IF($H2720="","",DATE(YEAR($H2720),MONTH($H2720),1))</f>
        <v/>
      </c>
      <c r="N2720" s="26">
        <f>IF($H2720="","",TODAY()-$H2720)</f>
        <v/>
      </c>
      <c r="O2720" s="15" t="n"/>
      <c r="P2720" s="15" t="n"/>
      <c r="Q2720" s="15" t="n"/>
      <c r="R2720" s="25" t="n"/>
      <c r="S2720" s="26">
        <f>IF($A2720="","",AND(OR('Assignment Builder'!$B$5="",$B2720='Assignment Builder'!$B$5),OR('Assignment Builder'!$B$6="",ISNUMBER(SEARCH('Assignment Builder'!$B$6,$C2720))),OR('Assignment Builder'!$B$7="",'Assignment Builder'!$B$7=IFERROR(INDEX('Category Dictionary'!$C$5:$C$135,MATCH($L2720,'Category Dictionary'!$D$5:$D$135,0)),"")),OR('Assignment Builder'!$B$8="",$D2720='Assignment Builder'!$B$8),OR('Assignment Builder'!$B$9="",$F2720='Assignment Builder'!$B$9),OR('Assignment Builder'!$B$10="",$O2720='Assignment Builder'!$B$10),OR('Assignment Builder'!$B$11="",$H2720&gt;='Assignment Builder'!$B$11),OR('Assignment Builder'!$B$12="",N($Q2720)&lt;='Assignment Builder'!$B$12)))</f>
        <v/>
      </c>
      <c r="T2720" s="23" t="n"/>
    </row>
    <row r="2721">
      <c r="A2721" s="23" t="n"/>
      <c r="B2721" s="23" t="n"/>
      <c r="C2721" s="24" t="n"/>
      <c r="D2721" s="15" t="n"/>
      <c r="E2721" s="23" t="n"/>
      <c r="F2721" s="15" t="n"/>
      <c r="G2721" s="23" t="n"/>
      <c r="H2721" s="25" t="n"/>
      <c r="I2721" s="15" t="n"/>
      <c r="J2721" s="26">
        <f>IF($A2721="","",LEN($C2721)-LEN(SUBSTITUTE($C2721,",",""))+1)</f>
        <v/>
      </c>
      <c r="K2721" s="26">
        <f>IF($A2721="","",SUMPRODUCT(--ISNUMBER(SEARCH('Category Dictionary'!$D$5:$D$135&amp;"",$C2721)),--('Category Dictionary'!$D$5:$D$135&lt;&gt;"")))</f>
        <v/>
      </c>
      <c r="L2721" s="27">
        <f>IF($A2721="","",TRIM(IF(ISERROR(FIND(",",$C2721)),$C2721,LEFT($C2721,FIND(",",$C2721)-1))))</f>
        <v/>
      </c>
      <c r="M2721" s="28">
        <f>IF($H2721="","",DATE(YEAR($H2721),MONTH($H2721),1))</f>
        <v/>
      </c>
      <c r="N2721" s="26">
        <f>IF($H2721="","",TODAY()-$H2721)</f>
        <v/>
      </c>
      <c r="O2721" s="15" t="n"/>
      <c r="P2721" s="15" t="n"/>
      <c r="Q2721" s="15" t="n"/>
      <c r="R2721" s="25" t="n"/>
      <c r="S2721" s="26">
        <f>IF($A2721="","",AND(OR('Assignment Builder'!$B$5="",$B2721='Assignment Builder'!$B$5),OR('Assignment Builder'!$B$6="",ISNUMBER(SEARCH('Assignment Builder'!$B$6,$C2721))),OR('Assignment Builder'!$B$7="",'Assignment Builder'!$B$7=IFERROR(INDEX('Category Dictionary'!$C$5:$C$135,MATCH($L2721,'Category Dictionary'!$D$5:$D$135,0)),"")),OR('Assignment Builder'!$B$8="",$D2721='Assignment Builder'!$B$8),OR('Assignment Builder'!$B$9="",$F2721='Assignment Builder'!$B$9),OR('Assignment Builder'!$B$10="",$O2721='Assignment Builder'!$B$10),OR('Assignment Builder'!$B$11="",$H2721&gt;='Assignment Builder'!$B$11),OR('Assignment Builder'!$B$12="",N($Q2721)&lt;='Assignment Builder'!$B$12)))</f>
        <v/>
      </c>
      <c r="T2721" s="23" t="n"/>
    </row>
    <row r="2722">
      <c r="A2722" s="23" t="n"/>
      <c r="B2722" s="23" t="n"/>
      <c r="C2722" s="24" t="n"/>
      <c r="D2722" s="15" t="n"/>
      <c r="E2722" s="23" t="n"/>
      <c r="F2722" s="15" t="n"/>
      <c r="G2722" s="23" t="n"/>
      <c r="H2722" s="25" t="n"/>
      <c r="I2722" s="15" t="n"/>
      <c r="J2722" s="26">
        <f>IF($A2722="","",LEN($C2722)-LEN(SUBSTITUTE($C2722,",",""))+1)</f>
        <v/>
      </c>
      <c r="K2722" s="26">
        <f>IF($A2722="","",SUMPRODUCT(--ISNUMBER(SEARCH('Category Dictionary'!$D$5:$D$135&amp;"",$C2722)),--('Category Dictionary'!$D$5:$D$135&lt;&gt;"")))</f>
        <v/>
      </c>
      <c r="L2722" s="27">
        <f>IF($A2722="","",TRIM(IF(ISERROR(FIND(",",$C2722)),$C2722,LEFT($C2722,FIND(",",$C2722)-1))))</f>
        <v/>
      </c>
      <c r="M2722" s="28">
        <f>IF($H2722="","",DATE(YEAR($H2722),MONTH($H2722),1))</f>
        <v/>
      </c>
      <c r="N2722" s="26">
        <f>IF($H2722="","",TODAY()-$H2722)</f>
        <v/>
      </c>
      <c r="O2722" s="15" t="n"/>
      <c r="P2722" s="15" t="n"/>
      <c r="Q2722" s="15" t="n"/>
      <c r="R2722" s="25" t="n"/>
      <c r="S2722" s="26">
        <f>IF($A2722="","",AND(OR('Assignment Builder'!$B$5="",$B2722='Assignment Builder'!$B$5),OR('Assignment Builder'!$B$6="",ISNUMBER(SEARCH('Assignment Builder'!$B$6,$C2722))),OR('Assignment Builder'!$B$7="",'Assignment Builder'!$B$7=IFERROR(INDEX('Category Dictionary'!$C$5:$C$135,MATCH($L2722,'Category Dictionary'!$D$5:$D$135,0)),"")),OR('Assignment Builder'!$B$8="",$D2722='Assignment Builder'!$B$8),OR('Assignment Builder'!$B$9="",$F2722='Assignment Builder'!$B$9),OR('Assignment Builder'!$B$10="",$O2722='Assignment Builder'!$B$10),OR('Assignment Builder'!$B$11="",$H2722&gt;='Assignment Builder'!$B$11),OR('Assignment Builder'!$B$12="",N($Q2722)&lt;='Assignment Builder'!$B$12)))</f>
        <v/>
      </c>
      <c r="T2722" s="23" t="n"/>
    </row>
    <row r="2723">
      <c r="A2723" s="23" t="n"/>
      <c r="B2723" s="23" t="n"/>
      <c r="C2723" s="24" t="n"/>
      <c r="D2723" s="15" t="n"/>
      <c r="E2723" s="23" t="n"/>
      <c r="F2723" s="15" t="n"/>
      <c r="G2723" s="23" t="n"/>
      <c r="H2723" s="25" t="n"/>
      <c r="I2723" s="15" t="n"/>
      <c r="J2723" s="26">
        <f>IF($A2723="","",LEN($C2723)-LEN(SUBSTITUTE($C2723,",",""))+1)</f>
        <v/>
      </c>
      <c r="K2723" s="26">
        <f>IF($A2723="","",SUMPRODUCT(--ISNUMBER(SEARCH('Category Dictionary'!$D$5:$D$135&amp;"",$C2723)),--('Category Dictionary'!$D$5:$D$135&lt;&gt;"")))</f>
        <v/>
      </c>
      <c r="L2723" s="27">
        <f>IF($A2723="","",TRIM(IF(ISERROR(FIND(",",$C2723)),$C2723,LEFT($C2723,FIND(",",$C2723)-1))))</f>
        <v/>
      </c>
      <c r="M2723" s="28">
        <f>IF($H2723="","",DATE(YEAR($H2723),MONTH($H2723),1))</f>
        <v/>
      </c>
      <c r="N2723" s="26">
        <f>IF($H2723="","",TODAY()-$H2723)</f>
        <v/>
      </c>
      <c r="O2723" s="15" t="n"/>
      <c r="P2723" s="15" t="n"/>
      <c r="Q2723" s="15" t="n"/>
      <c r="R2723" s="25" t="n"/>
      <c r="S2723" s="26">
        <f>IF($A2723="","",AND(OR('Assignment Builder'!$B$5="",$B2723='Assignment Builder'!$B$5),OR('Assignment Builder'!$B$6="",ISNUMBER(SEARCH('Assignment Builder'!$B$6,$C2723))),OR('Assignment Builder'!$B$7="",'Assignment Builder'!$B$7=IFERROR(INDEX('Category Dictionary'!$C$5:$C$135,MATCH($L2723,'Category Dictionary'!$D$5:$D$135,0)),"")),OR('Assignment Builder'!$B$8="",$D2723='Assignment Builder'!$B$8),OR('Assignment Builder'!$B$9="",$F2723='Assignment Builder'!$B$9),OR('Assignment Builder'!$B$10="",$O2723='Assignment Builder'!$B$10),OR('Assignment Builder'!$B$11="",$H2723&gt;='Assignment Builder'!$B$11),OR('Assignment Builder'!$B$12="",N($Q2723)&lt;='Assignment Builder'!$B$12)))</f>
        <v/>
      </c>
      <c r="T2723" s="23" t="n"/>
    </row>
    <row r="2724">
      <c r="A2724" s="23" t="n"/>
      <c r="B2724" s="23" t="n"/>
      <c r="C2724" s="24" t="n"/>
      <c r="D2724" s="15" t="n"/>
      <c r="E2724" s="23" t="n"/>
      <c r="F2724" s="15" t="n"/>
      <c r="G2724" s="23" t="n"/>
      <c r="H2724" s="25" t="n"/>
      <c r="I2724" s="15" t="n"/>
      <c r="J2724" s="26">
        <f>IF($A2724="","",LEN($C2724)-LEN(SUBSTITUTE($C2724,",",""))+1)</f>
        <v/>
      </c>
      <c r="K2724" s="26">
        <f>IF($A2724="","",SUMPRODUCT(--ISNUMBER(SEARCH('Category Dictionary'!$D$5:$D$135&amp;"",$C2724)),--('Category Dictionary'!$D$5:$D$135&lt;&gt;"")))</f>
        <v/>
      </c>
      <c r="L2724" s="27">
        <f>IF($A2724="","",TRIM(IF(ISERROR(FIND(",",$C2724)),$C2724,LEFT($C2724,FIND(",",$C2724)-1))))</f>
        <v/>
      </c>
      <c r="M2724" s="28">
        <f>IF($H2724="","",DATE(YEAR($H2724),MONTH($H2724),1))</f>
        <v/>
      </c>
      <c r="N2724" s="26">
        <f>IF($H2724="","",TODAY()-$H2724)</f>
        <v/>
      </c>
      <c r="O2724" s="15" t="n"/>
      <c r="P2724" s="15" t="n"/>
      <c r="Q2724" s="15" t="n"/>
      <c r="R2724" s="25" t="n"/>
      <c r="S2724" s="26">
        <f>IF($A2724="","",AND(OR('Assignment Builder'!$B$5="",$B2724='Assignment Builder'!$B$5),OR('Assignment Builder'!$B$6="",ISNUMBER(SEARCH('Assignment Builder'!$B$6,$C2724))),OR('Assignment Builder'!$B$7="",'Assignment Builder'!$B$7=IFERROR(INDEX('Category Dictionary'!$C$5:$C$135,MATCH($L2724,'Category Dictionary'!$D$5:$D$135,0)),"")),OR('Assignment Builder'!$B$8="",$D2724='Assignment Builder'!$B$8),OR('Assignment Builder'!$B$9="",$F2724='Assignment Builder'!$B$9),OR('Assignment Builder'!$B$10="",$O2724='Assignment Builder'!$B$10),OR('Assignment Builder'!$B$11="",$H2724&gt;='Assignment Builder'!$B$11),OR('Assignment Builder'!$B$12="",N($Q2724)&lt;='Assignment Builder'!$B$12)))</f>
        <v/>
      </c>
      <c r="T2724" s="23" t="n"/>
    </row>
    <row r="2725">
      <c r="A2725" s="23" t="n"/>
      <c r="B2725" s="23" t="n"/>
      <c r="C2725" s="24" t="n"/>
      <c r="D2725" s="15" t="n"/>
      <c r="E2725" s="23" t="n"/>
      <c r="F2725" s="15" t="n"/>
      <c r="G2725" s="23" t="n"/>
      <c r="H2725" s="25" t="n"/>
      <c r="I2725" s="15" t="n"/>
      <c r="J2725" s="26">
        <f>IF($A2725="","",LEN($C2725)-LEN(SUBSTITUTE($C2725,",",""))+1)</f>
        <v/>
      </c>
      <c r="K2725" s="26">
        <f>IF($A2725="","",SUMPRODUCT(--ISNUMBER(SEARCH('Category Dictionary'!$D$5:$D$135&amp;"",$C2725)),--('Category Dictionary'!$D$5:$D$135&lt;&gt;"")))</f>
        <v/>
      </c>
      <c r="L2725" s="27">
        <f>IF($A2725="","",TRIM(IF(ISERROR(FIND(",",$C2725)),$C2725,LEFT($C2725,FIND(",",$C2725)-1))))</f>
        <v/>
      </c>
      <c r="M2725" s="28">
        <f>IF($H2725="","",DATE(YEAR($H2725),MONTH($H2725),1))</f>
        <v/>
      </c>
      <c r="N2725" s="26">
        <f>IF($H2725="","",TODAY()-$H2725)</f>
        <v/>
      </c>
      <c r="O2725" s="15" t="n"/>
      <c r="P2725" s="15" t="n"/>
      <c r="Q2725" s="15" t="n"/>
      <c r="R2725" s="25" t="n"/>
      <c r="S2725" s="26">
        <f>IF($A2725="","",AND(OR('Assignment Builder'!$B$5="",$B2725='Assignment Builder'!$B$5),OR('Assignment Builder'!$B$6="",ISNUMBER(SEARCH('Assignment Builder'!$B$6,$C2725))),OR('Assignment Builder'!$B$7="",'Assignment Builder'!$B$7=IFERROR(INDEX('Category Dictionary'!$C$5:$C$135,MATCH($L2725,'Category Dictionary'!$D$5:$D$135,0)),"")),OR('Assignment Builder'!$B$8="",$D2725='Assignment Builder'!$B$8),OR('Assignment Builder'!$B$9="",$F2725='Assignment Builder'!$B$9),OR('Assignment Builder'!$B$10="",$O2725='Assignment Builder'!$B$10),OR('Assignment Builder'!$B$11="",$H2725&gt;='Assignment Builder'!$B$11),OR('Assignment Builder'!$B$12="",N($Q2725)&lt;='Assignment Builder'!$B$12)))</f>
        <v/>
      </c>
      <c r="T2725" s="23" t="n"/>
    </row>
    <row r="2726">
      <c r="A2726" s="23" t="n"/>
      <c r="B2726" s="23" t="n"/>
      <c r="C2726" s="24" t="n"/>
      <c r="D2726" s="15" t="n"/>
      <c r="E2726" s="23" t="n"/>
      <c r="F2726" s="15" t="n"/>
      <c r="G2726" s="23" t="n"/>
      <c r="H2726" s="25" t="n"/>
      <c r="I2726" s="15" t="n"/>
      <c r="J2726" s="26">
        <f>IF($A2726="","",LEN($C2726)-LEN(SUBSTITUTE($C2726,",",""))+1)</f>
        <v/>
      </c>
      <c r="K2726" s="26">
        <f>IF($A2726="","",SUMPRODUCT(--ISNUMBER(SEARCH('Category Dictionary'!$D$5:$D$135&amp;"",$C2726)),--('Category Dictionary'!$D$5:$D$135&lt;&gt;"")))</f>
        <v/>
      </c>
      <c r="L2726" s="27">
        <f>IF($A2726="","",TRIM(IF(ISERROR(FIND(",",$C2726)),$C2726,LEFT($C2726,FIND(",",$C2726)-1))))</f>
        <v/>
      </c>
      <c r="M2726" s="28">
        <f>IF($H2726="","",DATE(YEAR($H2726),MONTH($H2726),1))</f>
        <v/>
      </c>
      <c r="N2726" s="26">
        <f>IF($H2726="","",TODAY()-$H2726)</f>
        <v/>
      </c>
      <c r="O2726" s="15" t="n"/>
      <c r="P2726" s="15" t="n"/>
      <c r="Q2726" s="15" t="n"/>
      <c r="R2726" s="25" t="n"/>
      <c r="S2726" s="26">
        <f>IF($A2726="","",AND(OR('Assignment Builder'!$B$5="",$B2726='Assignment Builder'!$B$5),OR('Assignment Builder'!$B$6="",ISNUMBER(SEARCH('Assignment Builder'!$B$6,$C2726))),OR('Assignment Builder'!$B$7="",'Assignment Builder'!$B$7=IFERROR(INDEX('Category Dictionary'!$C$5:$C$135,MATCH($L2726,'Category Dictionary'!$D$5:$D$135,0)),"")),OR('Assignment Builder'!$B$8="",$D2726='Assignment Builder'!$B$8),OR('Assignment Builder'!$B$9="",$F2726='Assignment Builder'!$B$9),OR('Assignment Builder'!$B$10="",$O2726='Assignment Builder'!$B$10),OR('Assignment Builder'!$B$11="",$H2726&gt;='Assignment Builder'!$B$11),OR('Assignment Builder'!$B$12="",N($Q2726)&lt;='Assignment Builder'!$B$12)))</f>
        <v/>
      </c>
      <c r="T2726" s="23" t="n"/>
    </row>
    <row r="2727">
      <c r="A2727" s="23" t="n"/>
      <c r="B2727" s="23" t="n"/>
      <c r="C2727" s="24" t="n"/>
      <c r="D2727" s="15" t="n"/>
      <c r="E2727" s="23" t="n"/>
      <c r="F2727" s="15" t="n"/>
      <c r="G2727" s="23" t="n"/>
      <c r="H2727" s="25" t="n"/>
      <c r="I2727" s="15" t="n"/>
      <c r="J2727" s="26">
        <f>IF($A2727="","",LEN($C2727)-LEN(SUBSTITUTE($C2727,",",""))+1)</f>
        <v/>
      </c>
      <c r="K2727" s="26">
        <f>IF($A2727="","",SUMPRODUCT(--ISNUMBER(SEARCH('Category Dictionary'!$D$5:$D$135&amp;"",$C2727)),--('Category Dictionary'!$D$5:$D$135&lt;&gt;"")))</f>
        <v/>
      </c>
      <c r="L2727" s="27">
        <f>IF($A2727="","",TRIM(IF(ISERROR(FIND(",",$C2727)),$C2727,LEFT($C2727,FIND(",",$C2727)-1))))</f>
        <v/>
      </c>
      <c r="M2727" s="28">
        <f>IF($H2727="","",DATE(YEAR($H2727),MONTH($H2727),1))</f>
        <v/>
      </c>
      <c r="N2727" s="26">
        <f>IF($H2727="","",TODAY()-$H2727)</f>
        <v/>
      </c>
      <c r="O2727" s="15" t="n"/>
      <c r="P2727" s="15" t="n"/>
      <c r="Q2727" s="15" t="n"/>
      <c r="R2727" s="25" t="n"/>
      <c r="S2727" s="26">
        <f>IF($A2727="","",AND(OR('Assignment Builder'!$B$5="",$B2727='Assignment Builder'!$B$5),OR('Assignment Builder'!$B$6="",ISNUMBER(SEARCH('Assignment Builder'!$B$6,$C2727))),OR('Assignment Builder'!$B$7="",'Assignment Builder'!$B$7=IFERROR(INDEX('Category Dictionary'!$C$5:$C$135,MATCH($L2727,'Category Dictionary'!$D$5:$D$135,0)),"")),OR('Assignment Builder'!$B$8="",$D2727='Assignment Builder'!$B$8),OR('Assignment Builder'!$B$9="",$F2727='Assignment Builder'!$B$9),OR('Assignment Builder'!$B$10="",$O2727='Assignment Builder'!$B$10),OR('Assignment Builder'!$B$11="",$H2727&gt;='Assignment Builder'!$B$11),OR('Assignment Builder'!$B$12="",N($Q2727)&lt;='Assignment Builder'!$B$12)))</f>
        <v/>
      </c>
      <c r="T2727" s="23" t="n"/>
    </row>
    <row r="2728">
      <c r="A2728" s="23" t="n"/>
      <c r="B2728" s="23" t="n"/>
      <c r="C2728" s="24" t="n"/>
      <c r="D2728" s="15" t="n"/>
      <c r="E2728" s="23" t="n"/>
      <c r="F2728" s="15" t="n"/>
      <c r="G2728" s="23" t="n"/>
      <c r="H2728" s="25" t="n"/>
      <c r="I2728" s="15" t="n"/>
      <c r="J2728" s="26">
        <f>IF($A2728="","",LEN($C2728)-LEN(SUBSTITUTE($C2728,",",""))+1)</f>
        <v/>
      </c>
      <c r="K2728" s="26">
        <f>IF($A2728="","",SUMPRODUCT(--ISNUMBER(SEARCH('Category Dictionary'!$D$5:$D$135&amp;"",$C2728)),--('Category Dictionary'!$D$5:$D$135&lt;&gt;"")))</f>
        <v/>
      </c>
      <c r="L2728" s="27">
        <f>IF($A2728="","",TRIM(IF(ISERROR(FIND(",",$C2728)),$C2728,LEFT($C2728,FIND(",",$C2728)-1))))</f>
        <v/>
      </c>
      <c r="M2728" s="28">
        <f>IF($H2728="","",DATE(YEAR($H2728),MONTH($H2728),1))</f>
        <v/>
      </c>
      <c r="N2728" s="26">
        <f>IF($H2728="","",TODAY()-$H2728)</f>
        <v/>
      </c>
      <c r="O2728" s="15" t="n"/>
      <c r="P2728" s="15" t="n"/>
      <c r="Q2728" s="15" t="n"/>
      <c r="R2728" s="25" t="n"/>
      <c r="S2728" s="26">
        <f>IF($A2728="","",AND(OR('Assignment Builder'!$B$5="",$B2728='Assignment Builder'!$B$5),OR('Assignment Builder'!$B$6="",ISNUMBER(SEARCH('Assignment Builder'!$B$6,$C2728))),OR('Assignment Builder'!$B$7="",'Assignment Builder'!$B$7=IFERROR(INDEX('Category Dictionary'!$C$5:$C$135,MATCH($L2728,'Category Dictionary'!$D$5:$D$135,0)),"")),OR('Assignment Builder'!$B$8="",$D2728='Assignment Builder'!$B$8),OR('Assignment Builder'!$B$9="",$F2728='Assignment Builder'!$B$9),OR('Assignment Builder'!$B$10="",$O2728='Assignment Builder'!$B$10),OR('Assignment Builder'!$B$11="",$H2728&gt;='Assignment Builder'!$B$11),OR('Assignment Builder'!$B$12="",N($Q2728)&lt;='Assignment Builder'!$B$12)))</f>
        <v/>
      </c>
      <c r="T2728" s="23" t="n"/>
    </row>
    <row r="2729">
      <c r="A2729" s="23" t="n"/>
      <c r="B2729" s="23" t="n"/>
      <c r="C2729" s="24" t="n"/>
      <c r="D2729" s="15" t="n"/>
      <c r="E2729" s="23" t="n"/>
      <c r="F2729" s="15" t="n"/>
      <c r="G2729" s="23" t="n"/>
      <c r="H2729" s="25" t="n"/>
      <c r="I2729" s="15" t="n"/>
      <c r="J2729" s="26">
        <f>IF($A2729="","",LEN($C2729)-LEN(SUBSTITUTE($C2729,",",""))+1)</f>
        <v/>
      </c>
      <c r="K2729" s="26">
        <f>IF($A2729="","",SUMPRODUCT(--ISNUMBER(SEARCH('Category Dictionary'!$D$5:$D$135&amp;"",$C2729)),--('Category Dictionary'!$D$5:$D$135&lt;&gt;"")))</f>
        <v/>
      </c>
      <c r="L2729" s="27">
        <f>IF($A2729="","",TRIM(IF(ISERROR(FIND(",",$C2729)),$C2729,LEFT($C2729,FIND(",",$C2729)-1))))</f>
        <v/>
      </c>
      <c r="M2729" s="28">
        <f>IF($H2729="","",DATE(YEAR($H2729),MONTH($H2729),1))</f>
        <v/>
      </c>
      <c r="N2729" s="26">
        <f>IF($H2729="","",TODAY()-$H2729)</f>
        <v/>
      </c>
      <c r="O2729" s="15" t="n"/>
      <c r="P2729" s="15" t="n"/>
      <c r="Q2729" s="15" t="n"/>
      <c r="R2729" s="25" t="n"/>
      <c r="S2729" s="26">
        <f>IF($A2729="","",AND(OR('Assignment Builder'!$B$5="",$B2729='Assignment Builder'!$B$5),OR('Assignment Builder'!$B$6="",ISNUMBER(SEARCH('Assignment Builder'!$B$6,$C2729))),OR('Assignment Builder'!$B$7="",'Assignment Builder'!$B$7=IFERROR(INDEX('Category Dictionary'!$C$5:$C$135,MATCH($L2729,'Category Dictionary'!$D$5:$D$135,0)),"")),OR('Assignment Builder'!$B$8="",$D2729='Assignment Builder'!$B$8),OR('Assignment Builder'!$B$9="",$F2729='Assignment Builder'!$B$9),OR('Assignment Builder'!$B$10="",$O2729='Assignment Builder'!$B$10),OR('Assignment Builder'!$B$11="",$H2729&gt;='Assignment Builder'!$B$11),OR('Assignment Builder'!$B$12="",N($Q2729)&lt;='Assignment Builder'!$B$12)))</f>
        <v/>
      </c>
      <c r="T2729" s="23" t="n"/>
    </row>
    <row r="2730">
      <c r="A2730" s="23" t="n"/>
      <c r="B2730" s="23" t="n"/>
      <c r="C2730" s="24" t="n"/>
      <c r="D2730" s="15" t="n"/>
      <c r="E2730" s="23" t="n"/>
      <c r="F2730" s="15" t="n"/>
      <c r="G2730" s="23" t="n"/>
      <c r="H2730" s="25" t="n"/>
      <c r="I2730" s="15" t="n"/>
      <c r="J2730" s="26">
        <f>IF($A2730="","",LEN($C2730)-LEN(SUBSTITUTE($C2730,",",""))+1)</f>
        <v/>
      </c>
      <c r="K2730" s="26">
        <f>IF($A2730="","",SUMPRODUCT(--ISNUMBER(SEARCH('Category Dictionary'!$D$5:$D$135&amp;"",$C2730)),--('Category Dictionary'!$D$5:$D$135&lt;&gt;"")))</f>
        <v/>
      </c>
      <c r="L2730" s="27">
        <f>IF($A2730="","",TRIM(IF(ISERROR(FIND(",",$C2730)),$C2730,LEFT($C2730,FIND(",",$C2730)-1))))</f>
        <v/>
      </c>
      <c r="M2730" s="28">
        <f>IF($H2730="","",DATE(YEAR($H2730),MONTH($H2730),1))</f>
        <v/>
      </c>
      <c r="N2730" s="26">
        <f>IF($H2730="","",TODAY()-$H2730)</f>
        <v/>
      </c>
      <c r="O2730" s="15" t="n"/>
      <c r="P2730" s="15" t="n"/>
      <c r="Q2730" s="15" t="n"/>
      <c r="R2730" s="25" t="n"/>
      <c r="S2730" s="26">
        <f>IF($A2730="","",AND(OR('Assignment Builder'!$B$5="",$B2730='Assignment Builder'!$B$5),OR('Assignment Builder'!$B$6="",ISNUMBER(SEARCH('Assignment Builder'!$B$6,$C2730))),OR('Assignment Builder'!$B$7="",'Assignment Builder'!$B$7=IFERROR(INDEX('Category Dictionary'!$C$5:$C$135,MATCH($L2730,'Category Dictionary'!$D$5:$D$135,0)),"")),OR('Assignment Builder'!$B$8="",$D2730='Assignment Builder'!$B$8),OR('Assignment Builder'!$B$9="",$F2730='Assignment Builder'!$B$9),OR('Assignment Builder'!$B$10="",$O2730='Assignment Builder'!$B$10),OR('Assignment Builder'!$B$11="",$H2730&gt;='Assignment Builder'!$B$11),OR('Assignment Builder'!$B$12="",N($Q2730)&lt;='Assignment Builder'!$B$12)))</f>
        <v/>
      </c>
      <c r="T2730" s="23" t="n"/>
    </row>
    <row r="2731">
      <c r="A2731" s="23" t="n"/>
      <c r="B2731" s="23" t="n"/>
      <c r="C2731" s="24" t="n"/>
      <c r="D2731" s="15" t="n"/>
      <c r="E2731" s="23" t="n"/>
      <c r="F2731" s="15" t="n"/>
      <c r="G2731" s="23" t="n"/>
      <c r="H2731" s="25" t="n"/>
      <c r="I2731" s="15" t="n"/>
      <c r="J2731" s="26">
        <f>IF($A2731="","",LEN($C2731)-LEN(SUBSTITUTE($C2731,",",""))+1)</f>
        <v/>
      </c>
      <c r="K2731" s="26">
        <f>IF($A2731="","",SUMPRODUCT(--ISNUMBER(SEARCH('Category Dictionary'!$D$5:$D$135&amp;"",$C2731)),--('Category Dictionary'!$D$5:$D$135&lt;&gt;"")))</f>
        <v/>
      </c>
      <c r="L2731" s="27">
        <f>IF($A2731="","",TRIM(IF(ISERROR(FIND(",",$C2731)),$C2731,LEFT($C2731,FIND(",",$C2731)-1))))</f>
        <v/>
      </c>
      <c r="M2731" s="28">
        <f>IF($H2731="","",DATE(YEAR($H2731),MONTH($H2731),1))</f>
        <v/>
      </c>
      <c r="N2731" s="26">
        <f>IF($H2731="","",TODAY()-$H2731)</f>
        <v/>
      </c>
      <c r="O2731" s="15" t="n"/>
      <c r="P2731" s="15" t="n"/>
      <c r="Q2731" s="15" t="n"/>
      <c r="R2731" s="25" t="n"/>
      <c r="S2731" s="26">
        <f>IF($A2731="","",AND(OR('Assignment Builder'!$B$5="",$B2731='Assignment Builder'!$B$5),OR('Assignment Builder'!$B$6="",ISNUMBER(SEARCH('Assignment Builder'!$B$6,$C2731))),OR('Assignment Builder'!$B$7="",'Assignment Builder'!$B$7=IFERROR(INDEX('Category Dictionary'!$C$5:$C$135,MATCH($L2731,'Category Dictionary'!$D$5:$D$135,0)),"")),OR('Assignment Builder'!$B$8="",$D2731='Assignment Builder'!$B$8),OR('Assignment Builder'!$B$9="",$F2731='Assignment Builder'!$B$9),OR('Assignment Builder'!$B$10="",$O2731='Assignment Builder'!$B$10),OR('Assignment Builder'!$B$11="",$H2731&gt;='Assignment Builder'!$B$11),OR('Assignment Builder'!$B$12="",N($Q2731)&lt;='Assignment Builder'!$B$12)))</f>
        <v/>
      </c>
      <c r="T2731" s="23" t="n"/>
    </row>
    <row r="2732">
      <c r="A2732" s="23" t="n"/>
      <c r="B2732" s="23" t="n"/>
      <c r="C2732" s="24" t="n"/>
      <c r="D2732" s="15" t="n"/>
      <c r="E2732" s="23" t="n"/>
      <c r="F2732" s="15" t="n"/>
      <c r="G2732" s="23" t="n"/>
      <c r="H2732" s="25" t="n"/>
      <c r="I2732" s="15" t="n"/>
      <c r="J2732" s="26">
        <f>IF($A2732="","",LEN($C2732)-LEN(SUBSTITUTE($C2732,",",""))+1)</f>
        <v/>
      </c>
      <c r="K2732" s="26">
        <f>IF($A2732="","",SUMPRODUCT(--ISNUMBER(SEARCH('Category Dictionary'!$D$5:$D$135&amp;"",$C2732)),--('Category Dictionary'!$D$5:$D$135&lt;&gt;"")))</f>
        <v/>
      </c>
      <c r="L2732" s="27">
        <f>IF($A2732="","",TRIM(IF(ISERROR(FIND(",",$C2732)),$C2732,LEFT($C2732,FIND(",",$C2732)-1))))</f>
        <v/>
      </c>
      <c r="M2732" s="28">
        <f>IF($H2732="","",DATE(YEAR($H2732),MONTH($H2732),1))</f>
        <v/>
      </c>
      <c r="N2732" s="26">
        <f>IF($H2732="","",TODAY()-$H2732)</f>
        <v/>
      </c>
      <c r="O2732" s="15" t="n"/>
      <c r="P2732" s="15" t="n"/>
      <c r="Q2732" s="15" t="n"/>
      <c r="R2732" s="25" t="n"/>
      <c r="S2732" s="26">
        <f>IF($A2732="","",AND(OR('Assignment Builder'!$B$5="",$B2732='Assignment Builder'!$B$5),OR('Assignment Builder'!$B$6="",ISNUMBER(SEARCH('Assignment Builder'!$B$6,$C2732))),OR('Assignment Builder'!$B$7="",'Assignment Builder'!$B$7=IFERROR(INDEX('Category Dictionary'!$C$5:$C$135,MATCH($L2732,'Category Dictionary'!$D$5:$D$135,0)),"")),OR('Assignment Builder'!$B$8="",$D2732='Assignment Builder'!$B$8),OR('Assignment Builder'!$B$9="",$F2732='Assignment Builder'!$B$9),OR('Assignment Builder'!$B$10="",$O2732='Assignment Builder'!$B$10),OR('Assignment Builder'!$B$11="",$H2732&gt;='Assignment Builder'!$B$11),OR('Assignment Builder'!$B$12="",N($Q2732)&lt;='Assignment Builder'!$B$12)))</f>
        <v/>
      </c>
      <c r="T2732" s="23" t="n"/>
    </row>
    <row r="2733">
      <c r="A2733" s="23" t="n"/>
      <c r="B2733" s="23" t="n"/>
      <c r="C2733" s="24" t="n"/>
      <c r="D2733" s="15" t="n"/>
      <c r="E2733" s="23" t="n"/>
      <c r="F2733" s="15" t="n"/>
      <c r="G2733" s="23" t="n"/>
      <c r="H2733" s="25" t="n"/>
      <c r="I2733" s="15" t="n"/>
      <c r="J2733" s="26">
        <f>IF($A2733="","",LEN($C2733)-LEN(SUBSTITUTE($C2733,",",""))+1)</f>
        <v/>
      </c>
      <c r="K2733" s="26">
        <f>IF($A2733="","",SUMPRODUCT(--ISNUMBER(SEARCH('Category Dictionary'!$D$5:$D$135&amp;"",$C2733)),--('Category Dictionary'!$D$5:$D$135&lt;&gt;"")))</f>
        <v/>
      </c>
      <c r="L2733" s="27">
        <f>IF($A2733="","",TRIM(IF(ISERROR(FIND(",",$C2733)),$C2733,LEFT($C2733,FIND(",",$C2733)-1))))</f>
        <v/>
      </c>
      <c r="M2733" s="28">
        <f>IF($H2733="","",DATE(YEAR($H2733),MONTH($H2733),1))</f>
        <v/>
      </c>
      <c r="N2733" s="26">
        <f>IF($H2733="","",TODAY()-$H2733)</f>
        <v/>
      </c>
      <c r="O2733" s="15" t="n"/>
      <c r="P2733" s="15" t="n"/>
      <c r="Q2733" s="15" t="n"/>
      <c r="R2733" s="25" t="n"/>
      <c r="S2733" s="26">
        <f>IF($A2733="","",AND(OR('Assignment Builder'!$B$5="",$B2733='Assignment Builder'!$B$5),OR('Assignment Builder'!$B$6="",ISNUMBER(SEARCH('Assignment Builder'!$B$6,$C2733))),OR('Assignment Builder'!$B$7="",'Assignment Builder'!$B$7=IFERROR(INDEX('Category Dictionary'!$C$5:$C$135,MATCH($L2733,'Category Dictionary'!$D$5:$D$135,0)),"")),OR('Assignment Builder'!$B$8="",$D2733='Assignment Builder'!$B$8),OR('Assignment Builder'!$B$9="",$F2733='Assignment Builder'!$B$9),OR('Assignment Builder'!$B$10="",$O2733='Assignment Builder'!$B$10),OR('Assignment Builder'!$B$11="",$H2733&gt;='Assignment Builder'!$B$11),OR('Assignment Builder'!$B$12="",N($Q2733)&lt;='Assignment Builder'!$B$12)))</f>
        <v/>
      </c>
      <c r="T2733" s="23" t="n"/>
    </row>
    <row r="2734">
      <c r="A2734" s="23" t="n"/>
      <c r="B2734" s="23" t="n"/>
      <c r="C2734" s="24" t="n"/>
      <c r="D2734" s="15" t="n"/>
      <c r="E2734" s="23" t="n"/>
      <c r="F2734" s="15" t="n"/>
      <c r="G2734" s="23" t="n"/>
      <c r="H2734" s="25" t="n"/>
      <c r="I2734" s="15" t="n"/>
      <c r="J2734" s="26">
        <f>IF($A2734="","",LEN($C2734)-LEN(SUBSTITUTE($C2734,",",""))+1)</f>
        <v/>
      </c>
      <c r="K2734" s="26">
        <f>IF($A2734="","",SUMPRODUCT(--ISNUMBER(SEARCH('Category Dictionary'!$D$5:$D$135&amp;"",$C2734)),--('Category Dictionary'!$D$5:$D$135&lt;&gt;"")))</f>
        <v/>
      </c>
      <c r="L2734" s="27">
        <f>IF($A2734="","",TRIM(IF(ISERROR(FIND(",",$C2734)),$C2734,LEFT($C2734,FIND(",",$C2734)-1))))</f>
        <v/>
      </c>
      <c r="M2734" s="28">
        <f>IF($H2734="","",DATE(YEAR($H2734),MONTH($H2734),1))</f>
        <v/>
      </c>
      <c r="N2734" s="26">
        <f>IF($H2734="","",TODAY()-$H2734)</f>
        <v/>
      </c>
      <c r="O2734" s="15" t="n"/>
      <c r="P2734" s="15" t="n"/>
      <c r="Q2734" s="15" t="n"/>
      <c r="R2734" s="25" t="n"/>
      <c r="S2734" s="26">
        <f>IF($A2734="","",AND(OR('Assignment Builder'!$B$5="",$B2734='Assignment Builder'!$B$5),OR('Assignment Builder'!$B$6="",ISNUMBER(SEARCH('Assignment Builder'!$B$6,$C2734))),OR('Assignment Builder'!$B$7="",'Assignment Builder'!$B$7=IFERROR(INDEX('Category Dictionary'!$C$5:$C$135,MATCH($L2734,'Category Dictionary'!$D$5:$D$135,0)),"")),OR('Assignment Builder'!$B$8="",$D2734='Assignment Builder'!$B$8),OR('Assignment Builder'!$B$9="",$F2734='Assignment Builder'!$B$9),OR('Assignment Builder'!$B$10="",$O2734='Assignment Builder'!$B$10),OR('Assignment Builder'!$B$11="",$H2734&gt;='Assignment Builder'!$B$11),OR('Assignment Builder'!$B$12="",N($Q2734)&lt;='Assignment Builder'!$B$12)))</f>
        <v/>
      </c>
      <c r="T2734" s="23" t="n"/>
    </row>
    <row r="2735">
      <c r="A2735" s="23" t="n"/>
      <c r="B2735" s="23" t="n"/>
      <c r="C2735" s="24" t="n"/>
      <c r="D2735" s="15" t="n"/>
      <c r="E2735" s="23" t="n"/>
      <c r="F2735" s="15" t="n"/>
      <c r="G2735" s="23" t="n"/>
      <c r="H2735" s="25" t="n"/>
      <c r="I2735" s="15" t="n"/>
      <c r="J2735" s="26">
        <f>IF($A2735="","",LEN($C2735)-LEN(SUBSTITUTE($C2735,",",""))+1)</f>
        <v/>
      </c>
      <c r="K2735" s="26">
        <f>IF($A2735="","",SUMPRODUCT(--ISNUMBER(SEARCH('Category Dictionary'!$D$5:$D$135&amp;"",$C2735)),--('Category Dictionary'!$D$5:$D$135&lt;&gt;"")))</f>
        <v/>
      </c>
      <c r="L2735" s="27">
        <f>IF($A2735="","",TRIM(IF(ISERROR(FIND(",",$C2735)),$C2735,LEFT($C2735,FIND(",",$C2735)-1))))</f>
        <v/>
      </c>
      <c r="M2735" s="28">
        <f>IF($H2735="","",DATE(YEAR($H2735),MONTH($H2735),1))</f>
        <v/>
      </c>
      <c r="N2735" s="26">
        <f>IF($H2735="","",TODAY()-$H2735)</f>
        <v/>
      </c>
      <c r="O2735" s="15" t="n"/>
      <c r="P2735" s="15" t="n"/>
      <c r="Q2735" s="15" t="n"/>
      <c r="R2735" s="25" t="n"/>
      <c r="S2735" s="26">
        <f>IF($A2735="","",AND(OR('Assignment Builder'!$B$5="",$B2735='Assignment Builder'!$B$5),OR('Assignment Builder'!$B$6="",ISNUMBER(SEARCH('Assignment Builder'!$B$6,$C2735))),OR('Assignment Builder'!$B$7="",'Assignment Builder'!$B$7=IFERROR(INDEX('Category Dictionary'!$C$5:$C$135,MATCH($L2735,'Category Dictionary'!$D$5:$D$135,0)),"")),OR('Assignment Builder'!$B$8="",$D2735='Assignment Builder'!$B$8),OR('Assignment Builder'!$B$9="",$F2735='Assignment Builder'!$B$9),OR('Assignment Builder'!$B$10="",$O2735='Assignment Builder'!$B$10),OR('Assignment Builder'!$B$11="",$H2735&gt;='Assignment Builder'!$B$11),OR('Assignment Builder'!$B$12="",N($Q2735)&lt;='Assignment Builder'!$B$12)))</f>
        <v/>
      </c>
      <c r="T2735" s="23" t="n"/>
    </row>
    <row r="2736">
      <c r="A2736" s="23" t="n"/>
      <c r="B2736" s="23" t="n"/>
      <c r="C2736" s="24" t="n"/>
      <c r="D2736" s="15" t="n"/>
      <c r="E2736" s="23" t="n"/>
      <c r="F2736" s="15" t="n"/>
      <c r="G2736" s="23" t="n"/>
      <c r="H2736" s="25" t="n"/>
      <c r="I2736" s="15" t="n"/>
      <c r="J2736" s="26">
        <f>IF($A2736="","",LEN($C2736)-LEN(SUBSTITUTE($C2736,",",""))+1)</f>
        <v/>
      </c>
      <c r="K2736" s="26">
        <f>IF($A2736="","",SUMPRODUCT(--ISNUMBER(SEARCH('Category Dictionary'!$D$5:$D$135&amp;"",$C2736)),--('Category Dictionary'!$D$5:$D$135&lt;&gt;"")))</f>
        <v/>
      </c>
      <c r="L2736" s="27">
        <f>IF($A2736="","",TRIM(IF(ISERROR(FIND(",",$C2736)),$C2736,LEFT($C2736,FIND(",",$C2736)-1))))</f>
        <v/>
      </c>
      <c r="M2736" s="28">
        <f>IF($H2736="","",DATE(YEAR($H2736),MONTH($H2736),1))</f>
        <v/>
      </c>
      <c r="N2736" s="26">
        <f>IF($H2736="","",TODAY()-$H2736)</f>
        <v/>
      </c>
      <c r="O2736" s="15" t="n"/>
      <c r="P2736" s="15" t="n"/>
      <c r="Q2736" s="15" t="n"/>
      <c r="R2736" s="25" t="n"/>
      <c r="S2736" s="26">
        <f>IF($A2736="","",AND(OR('Assignment Builder'!$B$5="",$B2736='Assignment Builder'!$B$5),OR('Assignment Builder'!$B$6="",ISNUMBER(SEARCH('Assignment Builder'!$B$6,$C2736))),OR('Assignment Builder'!$B$7="",'Assignment Builder'!$B$7=IFERROR(INDEX('Category Dictionary'!$C$5:$C$135,MATCH($L2736,'Category Dictionary'!$D$5:$D$135,0)),"")),OR('Assignment Builder'!$B$8="",$D2736='Assignment Builder'!$B$8),OR('Assignment Builder'!$B$9="",$F2736='Assignment Builder'!$B$9),OR('Assignment Builder'!$B$10="",$O2736='Assignment Builder'!$B$10),OR('Assignment Builder'!$B$11="",$H2736&gt;='Assignment Builder'!$B$11),OR('Assignment Builder'!$B$12="",N($Q2736)&lt;='Assignment Builder'!$B$12)))</f>
        <v/>
      </c>
      <c r="T2736" s="23" t="n"/>
    </row>
    <row r="2737">
      <c r="A2737" s="23" t="n"/>
      <c r="B2737" s="23" t="n"/>
      <c r="C2737" s="24" t="n"/>
      <c r="D2737" s="15" t="n"/>
      <c r="E2737" s="23" t="n"/>
      <c r="F2737" s="15" t="n"/>
      <c r="G2737" s="23" t="n"/>
      <c r="H2737" s="25" t="n"/>
      <c r="I2737" s="15" t="n"/>
      <c r="J2737" s="26">
        <f>IF($A2737="","",LEN($C2737)-LEN(SUBSTITUTE($C2737,",",""))+1)</f>
        <v/>
      </c>
      <c r="K2737" s="26">
        <f>IF($A2737="","",SUMPRODUCT(--ISNUMBER(SEARCH('Category Dictionary'!$D$5:$D$135&amp;"",$C2737)),--('Category Dictionary'!$D$5:$D$135&lt;&gt;"")))</f>
        <v/>
      </c>
      <c r="L2737" s="27">
        <f>IF($A2737="","",TRIM(IF(ISERROR(FIND(",",$C2737)),$C2737,LEFT($C2737,FIND(",",$C2737)-1))))</f>
        <v/>
      </c>
      <c r="M2737" s="28">
        <f>IF($H2737="","",DATE(YEAR($H2737),MONTH($H2737),1))</f>
        <v/>
      </c>
      <c r="N2737" s="26">
        <f>IF($H2737="","",TODAY()-$H2737)</f>
        <v/>
      </c>
      <c r="O2737" s="15" t="n"/>
      <c r="P2737" s="15" t="n"/>
      <c r="Q2737" s="15" t="n"/>
      <c r="R2737" s="25" t="n"/>
      <c r="S2737" s="26">
        <f>IF($A2737="","",AND(OR('Assignment Builder'!$B$5="",$B2737='Assignment Builder'!$B$5),OR('Assignment Builder'!$B$6="",ISNUMBER(SEARCH('Assignment Builder'!$B$6,$C2737))),OR('Assignment Builder'!$B$7="",'Assignment Builder'!$B$7=IFERROR(INDEX('Category Dictionary'!$C$5:$C$135,MATCH($L2737,'Category Dictionary'!$D$5:$D$135,0)),"")),OR('Assignment Builder'!$B$8="",$D2737='Assignment Builder'!$B$8),OR('Assignment Builder'!$B$9="",$F2737='Assignment Builder'!$B$9),OR('Assignment Builder'!$B$10="",$O2737='Assignment Builder'!$B$10),OR('Assignment Builder'!$B$11="",$H2737&gt;='Assignment Builder'!$B$11),OR('Assignment Builder'!$B$12="",N($Q2737)&lt;='Assignment Builder'!$B$12)))</f>
        <v/>
      </c>
      <c r="T2737" s="23" t="n"/>
    </row>
    <row r="2738">
      <c r="A2738" s="23" t="n"/>
      <c r="B2738" s="23" t="n"/>
      <c r="C2738" s="24" t="n"/>
      <c r="D2738" s="15" t="n"/>
      <c r="E2738" s="23" t="n"/>
      <c r="F2738" s="15" t="n"/>
      <c r="G2738" s="23" t="n"/>
      <c r="H2738" s="25" t="n"/>
      <c r="I2738" s="15" t="n"/>
      <c r="J2738" s="26">
        <f>IF($A2738="","",LEN($C2738)-LEN(SUBSTITUTE($C2738,",",""))+1)</f>
        <v/>
      </c>
      <c r="K2738" s="26">
        <f>IF($A2738="","",SUMPRODUCT(--ISNUMBER(SEARCH('Category Dictionary'!$D$5:$D$135&amp;"",$C2738)),--('Category Dictionary'!$D$5:$D$135&lt;&gt;"")))</f>
        <v/>
      </c>
      <c r="L2738" s="27">
        <f>IF($A2738="","",TRIM(IF(ISERROR(FIND(",",$C2738)),$C2738,LEFT($C2738,FIND(",",$C2738)-1))))</f>
        <v/>
      </c>
      <c r="M2738" s="28">
        <f>IF($H2738="","",DATE(YEAR($H2738),MONTH($H2738),1))</f>
        <v/>
      </c>
      <c r="N2738" s="26">
        <f>IF($H2738="","",TODAY()-$H2738)</f>
        <v/>
      </c>
      <c r="O2738" s="15" t="n"/>
      <c r="P2738" s="15" t="n"/>
      <c r="Q2738" s="15" t="n"/>
      <c r="R2738" s="25" t="n"/>
      <c r="S2738" s="26">
        <f>IF($A2738="","",AND(OR('Assignment Builder'!$B$5="",$B2738='Assignment Builder'!$B$5),OR('Assignment Builder'!$B$6="",ISNUMBER(SEARCH('Assignment Builder'!$B$6,$C2738))),OR('Assignment Builder'!$B$7="",'Assignment Builder'!$B$7=IFERROR(INDEX('Category Dictionary'!$C$5:$C$135,MATCH($L2738,'Category Dictionary'!$D$5:$D$135,0)),"")),OR('Assignment Builder'!$B$8="",$D2738='Assignment Builder'!$B$8),OR('Assignment Builder'!$B$9="",$F2738='Assignment Builder'!$B$9),OR('Assignment Builder'!$B$10="",$O2738='Assignment Builder'!$B$10),OR('Assignment Builder'!$B$11="",$H2738&gt;='Assignment Builder'!$B$11),OR('Assignment Builder'!$B$12="",N($Q2738)&lt;='Assignment Builder'!$B$12)))</f>
        <v/>
      </c>
      <c r="T2738" s="23" t="n"/>
    </row>
    <row r="2739">
      <c r="A2739" s="23" t="n"/>
      <c r="B2739" s="23" t="n"/>
      <c r="C2739" s="24" t="n"/>
      <c r="D2739" s="15" t="n"/>
      <c r="E2739" s="23" t="n"/>
      <c r="F2739" s="15" t="n"/>
      <c r="G2739" s="23" t="n"/>
      <c r="H2739" s="25" t="n"/>
      <c r="I2739" s="15" t="n"/>
      <c r="J2739" s="26">
        <f>IF($A2739="","",LEN($C2739)-LEN(SUBSTITUTE($C2739,",",""))+1)</f>
        <v/>
      </c>
      <c r="K2739" s="26">
        <f>IF($A2739="","",SUMPRODUCT(--ISNUMBER(SEARCH('Category Dictionary'!$D$5:$D$135&amp;"",$C2739)),--('Category Dictionary'!$D$5:$D$135&lt;&gt;"")))</f>
        <v/>
      </c>
      <c r="L2739" s="27">
        <f>IF($A2739="","",TRIM(IF(ISERROR(FIND(",",$C2739)),$C2739,LEFT($C2739,FIND(",",$C2739)-1))))</f>
        <v/>
      </c>
      <c r="M2739" s="28">
        <f>IF($H2739="","",DATE(YEAR($H2739),MONTH($H2739),1))</f>
        <v/>
      </c>
      <c r="N2739" s="26">
        <f>IF($H2739="","",TODAY()-$H2739)</f>
        <v/>
      </c>
      <c r="O2739" s="15" t="n"/>
      <c r="P2739" s="15" t="n"/>
      <c r="Q2739" s="15" t="n"/>
      <c r="R2739" s="25" t="n"/>
      <c r="S2739" s="26">
        <f>IF($A2739="","",AND(OR('Assignment Builder'!$B$5="",$B2739='Assignment Builder'!$B$5),OR('Assignment Builder'!$B$6="",ISNUMBER(SEARCH('Assignment Builder'!$B$6,$C2739))),OR('Assignment Builder'!$B$7="",'Assignment Builder'!$B$7=IFERROR(INDEX('Category Dictionary'!$C$5:$C$135,MATCH($L2739,'Category Dictionary'!$D$5:$D$135,0)),"")),OR('Assignment Builder'!$B$8="",$D2739='Assignment Builder'!$B$8),OR('Assignment Builder'!$B$9="",$F2739='Assignment Builder'!$B$9),OR('Assignment Builder'!$B$10="",$O2739='Assignment Builder'!$B$10),OR('Assignment Builder'!$B$11="",$H2739&gt;='Assignment Builder'!$B$11),OR('Assignment Builder'!$B$12="",N($Q2739)&lt;='Assignment Builder'!$B$12)))</f>
        <v/>
      </c>
      <c r="T2739" s="23" t="n"/>
    </row>
    <row r="2740">
      <c r="A2740" s="23" t="n"/>
      <c r="B2740" s="23" t="n"/>
      <c r="C2740" s="24" t="n"/>
      <c r="D2740" s="15" t="n"/>
      <c r="E2740" s="23" t="n"/>
      <c r="F2740" s="15" t="n"/>
      <c r="G2740" s="23" t="n"/>
      <c r="H2740" s="25" t="n"/>
      <c r="I2740" s="15" t="n"/>
      <c r="J2740" s="26">
        <f>IF($A2740="","",LEN($C2740)-LEN(SUBSTITUTE($C2740,",",""))+1)</f>
        <v/>
      </c>
      <c r="K2740" s="26">
        <f>IF($A2740="","",SUMPRODUCT(--ISNUMBER(SEARCH('Category Dictionary'!$D$5:$D$135&amp;"",$C2740)),--('Category Dictionary'!$D$5:$D$135&lt;&gt;"")))</f>
        <v/>
      </c>
      <c r="L2740" s="27">
        <f>IF($A2740="","",TRIM(IF(ISERROR(FIND(",",$C2740)),$C2740,LEFT($C2740,FIND(",",$C2740)-1))))</f>
        <v/>
      </c>
      <c r="M2740" s="28">
        <f>IF($H2740="","",DATE(YEAR($H2740),MONTH($H2740),1))</f>
        <v/>
      </c>
      <c r="N2740" s="26">
        <f>IF($H2740="","",TODAY()-$H2740)</f>
        <v/>
      </c>
      <c r="O2740" s="15" t="n"/>
      <c r="P2740" s="15" t="n"/>
      <c r="Q2740" s="15" t="n"/>
      <c r="R2740" s="25" t="n"/>
      <c r="S2740" s="26">
        <f>IF($A2740="","",AND(OR('Assignment Builder'!$B$5="",$B2740='Assignment Builder'!$B$5),OR('Assignment Builder'!$B$6="",ISNUMBER(SEARCH('Assignment Builder'!$B$6,$C2740))),OR('Assignment Builder'!$B$7="",'Assignment Builder'!$B$7=IFERROR(INDEX('Category Dictionary'!$C$5:$C$135,MATCH($L2740,'Category Dictionary'!$D$5:$D$135,0)),"")),OR('Assignment Builder'!$B$8="",$D2740='Assignment Builder'!$B$8),OR('Assignment Builder'!$B$9="",$F2740='Assignment Builder'!$B$9),OR('Assignment Builder'!$B$10="",$O2740='Assignment Builder'!$B$10),OR('Assignment Builder'!$B$11="",$H2740&gt;='Assignment Builder'!$B$11),OR('Assignment Builder'!$B$12="",N($Q2740)&lt;='Assignment Builder'!$B$12)))</f>
        <v/>
      </c>
      <c r="T2740" s="23" t="n"/>
    </row>
    <row r="2741">
      <c r="A2741" s="23" t="n"/>
      <c r="B2741" s="23" t="n"/>
      <c r="C2741" s="24" t="n"/>
      <c r="D2741" s="15" t="n"/>
      <c r="E2741" s="23" t="n"/>
      <c r="F2741" s="15" t="n"/>
      <c r="G2741" s="23" t="n"/>
      <c r="H2741" s="25" t="n"/>
      <c r="I2741" s="15" t="n"/>
      <c r="J2741" s="26">
        <f>IF($A2741="","",LEN($C2741)-LEN(SUBSTITUTE($C2741,",",""))+1)</f>
        <v/>
      </c>
      <c r="K2741" s="26">
        <f>IF($A2741="","",SUMPRODUCT(--ISNUMBER(SEARCH('Category Dictionary'!$D$5:$D$135&amp;"",$C2741)),--('Category Dictionary'!$D$5:$D$135&lt;&gt;"")))</f>
        <v/>
      </c>
      <c r="L2741" s="27">
        <f>IF($A2741="","",TRIM(IF(ISERROR(FIND(",",$C2741)),$C2741,LEFT($C2741,FIND(",",$C2741)-1))))</f>
        <v/>
      </c>
      <c r="M2741" s="28">
        <f>IF($H2741="","",DATE(YEAR($H2741),MONTH($H2741),1))</f>
        <v/>
      </c>
      <c r="N2741" s="26">
        <f>IF($H2741="","",TODAY()-$H2741)</f>
        <v/>
      </c>
      <c r="O2741" s="15" t="n"/>
      <c r="P2741" s="15" t="n"/>
      <c r="Q2741" s="15" t="n"/>
      <c r="R2741" s="25" t="n"/>
      <c r="S2741" s="26">
        <f>IF($A2741="","",AND(OR('Assignment Builder'!$B$5="",$B2741='Assignment Builder'!$B$5),OR('Assignment Builder'!$B$6="",ISNUMBER(SEARCH('Assignment Builder'!$B$6,$C2741))),OR('Assignment Builder'!$B$7="",'Assignment Builder'!$B$7=IFERROR(INDEX('Category Dictionary'!$C$5:$C$135,MATCH($L2741,'Category Dictionary'!$D$5:$D$135,0)),"")),OR('Assignment Builder'!$B$8="",$D2741='Assignment Builder'!$B$8),OR('Assignment Builder'!$B$9="",$F2741='Assignment Builder'!$B$9),OR('Assignment Builder'!$B$10="",$O2741='Assignment Builder'!$B$10),OR('Assignment Builder'!$B$11="",$H2741&gt;='Assignment Builder'!$B$11),OR('Assignment Builder'!$B$12="",N($Q2741)&lt;='Assignment Builder'!$B$12)))</f>
        <v/>
      </c>
      <c r="T2741" s="23" t="n"/>
    </row>
    <row r="2742">
      <c r="A2742" s="23" t="n"/>
      <c r="B2742" s="23" t="n"/>
      <c r="C2742" s="24" t="n"/>
      <c r="D2742" s="15" t="n"/>
      <c r="E2742" s="23" t="n"/>
      <c r="F2742" s="15" t="n"/>
      <c r="G2742" s="23" t="n"/>
      <c r="H2742" s="25" t="n"/>
      <c r="I2742" s="15" t="n"/>
      <c r="J2742" s="26">
        <f>IF($A2742="","",LEN($C2742)-LEN(SUBSTITUTE($C2742,",",""))+1)</f>
        <v/>
      </c>
      <c r="K2742" s="26">
        <f>IF($A2742="","",SUMPRODUCT(--ISNUMBER(SEARCH('Category Dictionary'!$D$5:$D$135&amp;"",$C2742)),--('Category Dictionary'!$D$5:$D$135&lt;&gt;"")))</f>
        <v/>
      </c>
      <c r="L2742" s="27">
        <f>IF($A2742="","",TRIM(IF(ISERROR(FIND(",",$C2742)),$C2742,LEFT($C2742,FIND(",",$C2742)-1))))</f>
        <v/>
      </c>
      <c r="M2742" s="28">
        <f>IF($H2742="","",DATE(YEAR($H2742),MONTH($H2742),1))</f>
        <v/>
      </c>
      <c r="N2742" s="26">
        <f>IF($H2742="","",TODAY()-$H2742)</f>
        <v/>
      </c>
      <c r="O2742" s="15" t="n"/>
      <c r="P2742" s="15" t="n"/>
      <c r="Q2742" s="15" t="n"/>
      <c r="R2742" s="25" t="n"/>
      <c r="S2742" s="26">
        <f>IF($A2742="","",AND(OR('Assignment Builder'!$B$5="",$B2742='Assignment Builder'!$B$5),OR('Assignment Builder'!$B$6="",ISNUMBER(SEARCH('Assignment Builder'!$B$6,$C2742))),OR('Assignment Builder'!$B$7="",'Assignment Builder'!$B$7=IFERROR(INDEX('Category Dictionary'!$C$5:$C$135,MATCH($L2742,'Category Dictionary'!$D$5:$D$135,0)),"")),OR('Assignment Builder'!$B$8="",$D2742='Assignment Builder'!$B$8),OR('Assignment Builder'!$B$9="",$F2742='Assignment Builder'!$B$9),OR('Assignment Builder'!$B$10="",$O2742='Assignment Builder'!$B$10),OR('Assignment Builder'!$B$11="",$H2742&gt;='Assignment Builder'!$B$11),OR('Assignment Builder'!$B$12="",N($Q2742)&lt;='Assignment Builder'!$B$12)))</f>
        <v/>
      </c>
      <c r="T2742" s="23" t="n"/>
    </row>
    <row r="2743">
      <c r="A2743" s="23" t="n"/>
      <c r="B2743" s="23" t="n"/>
      <c r="C2743" s="24" t="n"/>
      <c r="D2743" s="15" t="n"/>
      <c r="E2743" s="23" t="n"/>
      <c r="F2743" s="15" t="n"/>
      <c r="G2743" s="23" t="n"/>
      <c r="H2743" s="25" t="n"/>
      <c r="I2743" s="15" t="n"/>
      <c r="J2743" s="26">
        <f>IF($A2743="","",LEN($C2743)-LEN(SUBSTITUTE($C2743,",",""))+1)</f>
        <v/>
      </c>
      <c r="K2743" s="26">
        <f>IF($A2743="","",SUMPRODUCT(--ISNUMBER(SEARCH('Category Dictionary'!$D$5:$D$135&amp;"",$C2743)),--('Category Dictionary'!$D$5:$D$135&lt;&gt;"")))</f>
        <v/>
      </c>
      <c r="L2743" s="27">
        <f>IF($A2743="","",TRIM(IF(ISERROR(FIND(",",$C2743)),$C2743,LEFT($C2743,FIND(",",$C2743)-1))))</f>
        <v/>
      </c>
      <c r="M2743" s="28">
        <f>IF($H2743="","",DATE(YEAR($H2743),MONTH($H2743),1))</f>
        <v/>
      </c>
      <c r="N2743" s="26">
        <f>IF($H2743="","",TODAY()-$H2743)</f>
        <v/>
      </c>
      <c r="O2743" s="15" t="n"/>
      <c r="P2743" s="15" t="n"/>
      <c r="Q2743" s="15" t="n"/>
      <c r="R2743" s="25" t="n"/>
      <c r="S2743" s="26">
        <f>IF($A2743="","",AND(OR('Assignment Builder'!$B$5="",$B2743='Assignment Builder'!$B$5),OR('Assignment Builder'!$B$6="",ISNUMBER(SEARCH('Assignment Builder'!$B$6,$C2743))),OR('Assignment Builder'!$B$7="",'Assignment Builder'!$B$7=IFERROR(INDEX('Category Dictionary'!$C$5:$C$135,MATCH($L2743,'Category Dictionary'!$D$5:$D$135,0)),"")),OR('Assignment Builder'!$B$8="",$D2743='Assignment Builder'!$B$8),OR('Assignment Builder'!$B$9="",$F2743='Assignment Builder'!$B$9),OR('Assignment Builder'!$B$10="",$O2743='Assignment Builder'!$B$10),OR('Assignment Builder'!$B$11="",$H2743&gt;='Assignment Builder'!$B$11),OR('Assignment Builder'!$B$12="",N($Q2743)&lt;='Assignment Builder'!$B$12)))</f>
        <v/>
      </c>
      <c r="T2743" s="23" t="n"/>
    </row>
    <row r="2744">
      <c r="A2744" s="23" t="n"/>
      <c r="B2744" s="23" t="n"/>
      <c r="C2744" s="24" t="n"/>
      <c r="D2744" s="15" t="n"/>
      <c r="E2744" s="23" t="n"/>
      <c r="F2744" s="15" t="n"/>
      <c r="G2744" s="23" t="n"/>
      <c r="H2744" s="25" t="n"/>
      <c r="I2744" s="15" t="n"/>
      <c r="J2744" s="26">
        <f>IF($A2744="","",LEN($C2744)-LEN(SUBSTITUTE($C2744,",",""))+1)</f>
        <v/>
      </c>
      <c r="K2744" s="26">
        <f>IF($A2744="","",SUMPRODUCT(--ISNUMBER(SEARCH('Category Dictionary'!$D$5:$D$135&amp;"",$C2744)),--('Category Dictionary'!$D$5:$D$135&lt;&gt;"")))</f>
        <v/>
      </c>
      <c r="L2744" s="27">
        <f>IF($A2744="","",TRIM(IF(ISERROR(FIND(",",$C2744)),$C2744,LEFT($C2744,FIND(",",$C2744)-1))))</f>
        <v/>
      </c>
      <c r="M2744" s="28">
        <f>IF($H2744="","",DATE(YEAR($H2744),MONTH($H2744),1))</f>
        <v/>
      </c>
      <c r="N2744" s="26">
        <f>IF($H2744="","",TODAY()-$H2744)</f>
        <v/>
      </c>
      <c r="O2744" s="15" t="n"/>
      <c r="P2744" s="15" t="n"/>
      <c r="Q2744" s="15" t="n"/>
      <c r="R2744" s="25" t="n"/>
      <c r="S2744" s="26">
        <f>IF($A2744="","",AND(OR('Assignment Builder'!$B$5="",$B2744='Assignment Builder'!$B$5),OR('Assignment Builder'!$B$6="",ISNUMBER(SEARCH('Assignment Builder'!$B$6,$C2744))),OR('Assignment Builder'!$B$7="",'Assignment Builder'!$B$7=IFERROR(INDEX('Category Dictionary'!$C$5:$C$135,MATCH($L2744,'Category Dictionary'!$D$5:$D$135,0)),"")),OR('Assignment Builder'!$B$8="",$D2744='Assignment Builder'!$B$8),OR('Assignment Builder'!$B$9="",$F2744='Assignment Builder'!$B$9),OR('Assignment Builder'!$B$10="",$O2744='Assignment Builder'!$B$10),OR('Assignment Builder'!$B$11="",$H2744&gt;='Assignment Builder'!$B$11),OR('Assignment Builder'!$B$12="",N($Q2744)&lt;='Assignment Builder'!$B$12)))</f>
        <v/>
      </c>
      <c r="T2744" s="23" t="n"/>
    </row>
    <row r="2745">
      <c r="A2745" s="23" t="n"/>
      <c r="B2745" s="23" t="n"/>
      <c r="C2745" s="24" t="n"/>
      <c r="D2745" s="15" t="n"/>
      <c r="E2745" s="23" t="n"/>
      <c r="F2745" s="15" t="n"/>
      <c r="G2745" s="23" t="n"/>
      <c r="H2745" s="25" t="n"/>
      <c r="I2745" s="15" t="n"/>
      <c r="J2745" s="26">
        <f>IF($A2745="","",LEN($C2745)-LEN(SUBSTITUTE($C2745,",",""))+1)</f>
        <v/>
      </c>
      <c r="K2745" s="26">
        <f>IF($A2745="","",SUMPRODUCT(--ISNUMBER(SEARCH('Category Dictionary'!$D$5:$D$135&amp;"",$C2745)),--('Category Dictionary'!$D$5:$D$135&lt;&gt;"")))</f>
        <v/>
      </c>
      <c r="L2745" s="27">
        <f>IF($A2745="","",TRIM(IF(ISERROR(FIND(",",$C2745)),$C2745,LEFT($C2745,FIND(",",$C2745)-1))))</f>
        <v/>
      </c>
      <c r="M2745" s="28">
        <f>IF($H2745="","",DATE(YEAR($H2745),MONTH($H2745),1))</f>
        <v/>
      </c>
      <c r="N2745" s="26">
        <f>IF($H2745="","",TODAY()-$H2745)</f>
        <v/>
      </c>
      <c r="O2745" s="15" t="n"/>
      <c r="P2745" s="15" t="n"/>
      <c r="Q2745" s="15" t="n"/>
      <c r="R2745" s="25" t="n"/>
      <c r="S2745" s="26">
        <f>IF($A2745="","",AND(OR('Assignment Builder'!$B$5="",$B2745='Assignment Builder'!$B$5),OR('Assignment Builder'!$B$6="",ISNUMBER(SEARCH('Assignment Builder'!$B$6,$C2745))),OR('Assignment Builder'!$B$7="",'Assignment Builder'!$B$7=IFERROR(INDEX('Category Dictionary'!$C$5:$C$135,MATCH($L2745,'Category Dictionary'!$D$5:$D$135,0)),"")),OR('Assignment Builder'!$B$8="",$D2745='Assignment Builder'!$B$8),OR('Assignment Builder'!$B$9="",$F2745='Assignment Builder'!$B$9),OR('Assignment Builder'!$B$10="",$O2745='Assignment Builder'!$B$10),OR('Assignment Builder'!$B$11="",$H2745&gt;='Assignment Builder'!$B$11),OR('Assignment Builder'!$B$12="",N($Q2745)&lt;='Assignment Builder'!$B$12)))</f>
        <v/>
      </c>
      <c r="T2745" s="23" t="n"/>
    </row>
    <row r="2746">
      <c r="A2746" s="23" t="n"/>
      <c r="B2746" s="23" t="n"/>
      <c r="C2746" s="24" t="n"/>
      <c r="D2746" s="15" t="n"/>
      <c r="E2746" s="23" t="n"/>
      <c r="F2746" s="15" t="n"/>
      <c r="G2746" s="23" t="n"/>
      <c r="H2746" s="25" t="n"/>
      <c r="I2746" s="15" t="n"/>
      <c r="J2746" s="26">
        <f>IF($A2746="","",LEN($C2746)-LEN(SUBSTITUTE($C2746,",",""))+1)</f>
        <v/>
      </c>
      <c r="K2746" s="26">
        <f>IF($A2746="","",SUMPRODUCT(--ISNUMBER(SEARCH('Category Dictionary'!$D$5:$D$135&amp;"",$C2746)),--('Category Dictionary'!$D$5:$D$135&lt;&gt;"")))</f>
        <v/>
      </c>
      <c r="L2746" s="27">
        <f>IF($A2746="","",TRIM(IF(ISERROR(FIND(",",$C2746)),$C2746,LEFT($C2746,FIND(",",$C2746)-1))))</f>
        <v/>
      </c>
      <c r="M2746" s="28">
        <f>IF($H2746="","",DATE(YEAR($H2746),MONTH($H2746),1))</f>
        <v/>
      </c>
      <c r="N2746" s="26">
        <f>IF($H2746="","",TODAY()-$H2746)</f>
        <v/>
      </c>
      <c r="O2746" s="15" t="n"/>
      <c r="P2746" s="15" t="n"/>
      <c r="Q2746" s="15" t="n"/>
      <c r="R2746" s="25" t="n"/>
      <c r="S2746" s="26">
        <f>IF($A2746="","",AND(OR('Assignment Builder'!$B$5="",$B2746='Assignment Builder'!$B$5),OR('Assignment Builder'!$B$6="",ISNUMBER(SEARCH('Assignment Builder'!$B$6,$C2746))),OR('Assignment Builder'!$B$7="",'Assignment Builder'!$B$7=IFERROR(INDEX('Category Dictionary'!$C$5:$C$135,MATCH($L2746,'Category Dictionary'!$D$5:$D$135,0)),"")),OR('Assignment Builder'!$B$8="",$D2746='Assignment Builder'!$B$8),OR('Assignment Builder'!$B$9="",$F2746='Assignment Builder'!$B$9),OR('Assignment Builder'!$B$10="",$O2746='Assignment Builder'!$B$10),OR('Assignment Builder'!$B$11="",$H2746&gt;='Assignment Builder'!$B$11),OR('Assignment Builder'!$B$12="",N($Q2746)&lt;='Assignment Builder'!$B$12)))</f>
        <v/>
      </c>
      <c r="T2746" s="23" t="n"/>
    </row>
    <row r="2747">
      <c r="A2747" s="23" t="n"/>
      <c r="B2747" s="23" t="n"/>
      <c r="C2747" s="24" t="n"/>
      <c r="D2747" s="15" t="n"/>
      <c r="E2747" s="23" t="n"/>
      <c r="F2747" s="15" t="n"/>
      <c r="G2747" s="23" t="n"/>
      <c r="H2747" s="25" t="n"/>
      <c r="I2747" s="15" t="n"/>
      <c r="J2747" s="26">
        <f>IF($A2747="","",LEN($C2747)-LEN(SUBSTITUTE($C2747,",",""))+1)</f>
        <v/>
      </c>
      <c r="K2747" s="26">
        <f>IF($A2747="","",SUMPRODUCT(--ISNUMBER(SEARCH('Category Dictionary'!$D$5:$D$135&amp;"",$C2747)),--('Category Dictionary'!$D$5:$D$135&lt;&gt;"")))</f>
        <v/>
      </c>
      <c r="L2747" s="27">
        <f>IF($A2747="","",TRIM(IF(ISERROR(FIND(",",$C2747)),$C2747,LEFT($C2747,FIND(",",$C2747)-1))))</f>
        <v/>
      </c>
      <c r="M2747" s="28">
        <f>IF($H2747="","",DATE(YEAR($H2747),MONTH($H2747),1))</f>
        <v/>
      </c>
      <c r="N2747" s="26">
        <f>IF($H2747="","",TODAY()-$H2747)</f>
        <v/>
      </c>
      <c r="O2747" s="15" t="n"/>
      <c r="P2747" s="15" t="n"/>
      <c r="Q2747" s="15" t="n"/>
      <c r="R2747" s="25" t="n"/>
      <c r="S2747" s="26">
        <f>IF($A2747="","",AND(OR('Assignment Builder'!$B$5="",$B2747='Assignment Builder'!$B$5),OR('Assignment Builder'!$B$6="",ISNUMBER(SEARCH('Assignment Builder'!$B$6,$C2747))),OR('Assignment Builder'!$B$7="",'Assignment Builder'!$B$7=IFERROR(INDEX('Category Dictionary'!$C$5:$C$135,MATCH($L2747,'Category Dictionary'!$D$5:$D$135,0)),"")),OR('Assignment Builder'!$B$8="",$D2747='Assignment Builder'!$B$8),OR('Assignment Builder'!$B$9="",$F2747='Assignment Builder'!$B$9),OR('Assignment Builder'!$B$10="",$O2747='Assignment Builder'!$B$10),OR('Assignment Builder'!$B$11="",$H2747&gt;='Assignment Builder'!$B$11),OR('Assignment Builder'!$B$12="",N($Q2747)&lt;='Assignment Builder'!$B$12)))</f>
        <v/>
      </c>
      <c r="T2747" s="23" t="n"/>
    </row>
    <row r="2748">
      <c r="A2748" s="23" t="n"/>
      <c r="B2748" s="23" t="n"/>
      <c r="C2748" s="24" t="n"/>
      <c r="D2748" s="15" t="n"/>
      <c r="E2748" s="23" t="n"/>
      <c r="F2748" s="15" t="n"/>
      <c r="G2748" s="23" t="n"/>
      <c r="H2748" s="25" t="n"/>
      <c r="I2748" s="15" t="n"/>
      <c r="J2748" s="26">
        <f>IF($A2748="","",LEN($C2748)-LEN(SUBSTITUTE($C2748,",",""))+1)</f>
        <v/>
      </c>
      <c r="K2748" s="26">
        <f>IF($A2748="","",SUMPRODUCT(--ISNUMBER(SEARCH('Category Dictionary'!$D$5:$D$135&amp;"",$C2748)),--('Category Dictionary'!$D$5:$D$135&lt;&gt;"")))</f>
        <v/>
      </c>
      <c r="L2748" s="27">
        <f>IF($A2748="","",TRIM(IF(ISERROR(FIND(",",$C2748)),$C2748,LEFT($C2748,FIND(",",$C2748)-1))))</f>
        <v/>
      </c>
      <c r="M2748" s="28">
        <f>IF($H2748="","",DATE(YEAR($H2748),MONTH($H2748),1))</f>
        <v/>
      </c>
      <c r="N2748" s="26">
        <f>IF($H2748="","",TODAY()-$H2748)</f>
        <v/>
      </c>
      <c r="O2748" s="15" t="n"/>
      <c r="P2748" s="15" t="n"/>
      <c r="Q2748" s="15" t="n"/>
      <c r="R2748" s="25" t="n"/>
      <c r="S2748" s="26">
        <f>IF($A2748="","",AND(OR('Assignment Builder'!$B$5="",$B2748='Assignment Builder'!$B$5),OR('Assignment Builder'!$B$6="",ISNUMBER(SEARCH('Assignment Builder'!$B$6,$C2748))),OR('Assignment Builder'!$B$7="",'Assignment Builder'!$B$7=IFERROR(INDEX('Category Dictionary'!$C$5:$C$135,MATCH($L2748,'Category Dictionary'!$D$5:$D$135,0)),"")),OR('Assignment Builder'!$B$8="",$D2748='Assignment Builder'!$B$8),OR('Assignment Builder'!$B$9="",$F2748='Assignment Builder'!$B$9),OR('Assignment Builder'!$B$10="",$O2748='Assignment Builder'!$B$10),OR('Assignment Builder'!$B$11="",$H2748&gt;='Assignment Builder'!$B$11),OR('Assignment Builder'!$B$12="",N($Q2748)&lt;='Assignment Builder'!$B$12)))</f>
        <v/>
      </c>
      <c r="T2748" s="23" t="n"/>
    </row>
    <row r="2749">
      <c r="A2749" s="23" t="n"/>
      <c r="B2749" s="23" t="n"/>
      <c r="C2749" s="24" t="n"/>
      <c r="D2749" s="15" t="n"/>
      <c r="E2749" s="23" t="n"/>
      <c r="F2749" s="15" t="n"/>
      <c r="G2749" s="23" t="n"/>
      <c r="H2749" s="25" t="n"/>
      <c r="I2749" s="15" t="n"/>
      <c r="J2749" s="26">
        <f>IF($A2749="","",LEN($C2749)-LEN(SUBSTITUTE($C2749,",",""))+1)</f>
        <v/>
      </c>
      <c r="K2749" s="26">
        <f>IF($A2749="","",SUMPRODUCT(--ISNUMBER(SEARCH('Category Dictionary'!$D$5:$D$135&amp;"",$C2749)),--('Category Dictionary'!$D$5:$D$135&lt;&gt;"")))</f>
        <v/>
      </c>
      <c r="L2749" s="27">
        <f>IF($A2749="","",TRIM(IF(ISERROR(FIND(",",$C2749)),$C2749,LEFT($C2749,FIND(",",$C2749)-1))))</f>
        <v/>
      </c>
      <c r="M2749" s="28">
        <f>IF($H2749="","",DATE(YEAR($H2749),MONTH($H2749),1))</f>
        <v/>
      </c>
      <c r="N2749" s="26">
        <f>IF($H2749="","",TODAY()-$H2749)</f>
        <v/>
      </c>
      <c r="O2749" s="15" t="n"/>
      <c r="P2749" s="15" t="n"/>
      <c r="Q2749" s="15" t="n"/>
      <c r="R2749" s="25" t="n"/>
      <c r="S2749" s="26">
        <f>IF($A2749="","",AND(OR('Assignment Builder'!$B$5="",$B2749='Assignment Builder'!$B$5),OR('Assignment Builder'!$B$6="",ISNUMBER(SEARCH('Assignment Builder'!$B$6,$C2749))),OR('Assignment Builder'!$B$7="",'Assignment Builder'!$B$7=IFERROR(INDEX('Category Dictionary'!$C$5:$C$135,MATCH($L2749,'Category Dictionary'!$D$5:$D$135,0)),"")),OR('Assignment Builder'!$B$8="",$D2749='Assignment Builder'!$B$8),OR('Assignment Builder'!$B$9="",$F2749='Assignment Builder'!$B$9),OR('Assignment Builder'!$B$10="",$O2749='Assignment Builder'!$B$10),OR('Assignment Builder'!$B$11="",$H2749&gt;='Assignment Builder'!$B$11),OR('Assignment Builder'!$B$12="",N($Q2749)&lt;='Assignment Builder'!$B$12)))</f>
        <v/>
      </c>
      <c r="T2749" s="23" t="n"/>
    </row>
    <row r="2750">
      <c r="A2750" s="23" t="n"/>
      <c r="B2750" s="23" t="n"/>
      <c r="C2750" s="24" t="n"/>
      <c r="D2750" s="15" t="n"/>
      <c r="E2750" s="23" t="n"/>
      <c r="F2750" s="15" t="n"/>
      <c r="G2750" s="23" t="n"/>
      <c r="H2750" s="25" t="n"/>
      <c r="I2750" s="15" t="n"/>
      <c r="J2750" s="26">
        <f>IF($A2750="","",LEN($C2750)-LEN(SUBSTITUTE($C2750,",",""))+1)</f>
        <v/>
      </c>
      <c r="K2750" s="26">
        <f>IF($A2750="","",SUMPRODUCT(--ISNUMBER(SEARCH('Category Dictionary'!$D$5:$D$135&amp;"",$C2750)),--('Category Dictionary'!$D$5:$D$135&lt;&gt;"")))</f>
        <v/>
      </c>
      <c r="L2750" s="27">
        <f>IF($A2750="","",TRIM(IF(ISERROR(FIND(",",$C2750)),$C2750,LEFT($C2750,FIND(",",$C2750)-1))))</f>
        <v/>
      </c>
      <c r="M2750" s="28">
        <f>IF($H2750="","",DATE(YEAR($H2750),MONTH($H2750),1))</f>
        <v/>
      </c>
      <c r="N2750" s="26">
        <f>IF($H2750="","",TODAY()-$H2750)</f>
        <v/>
      </c>
      <c r="O2750" s="15" t="n"/>
      <c r="P2750" s="15" t="n"/>
      <c r="Q2750" s="15" t="n"/>
      <c r="R2750" s="25" t="n"/>
      <c r="S2750" s="26">
        <f>IF($A2750="","",AND(OR('Assignment Builder'!$B$5="",$B2750='Assignment Builder'!$B$5),OR('Assignment Builder'!$B$6="",ISNUMBER(SEARCH('Assignment Builder'!$B$6,$C2750))),OR('Assignment Builder'!$B$7="",'Assignment Builder'!$B$7=IFERROR(INDEX('Category Dictionary'!$C$5:$C$135,MATCH($L2750,'Category Dictionary'!$D$5:$D$135,0)),"")),OR('Assignment Builder'!$B$8="",$D2750='Assignment Builder'!$B$8),OR('Assignment Builder'!$B$9="",$F2750='Assignment Builder'!$B$9),OR('Assignment Builder'!$B$10="",$O2750='Assignment Builder'!$B$10),OR('Assignment Builder'!$B$11="",$H2750&gt;='Assignment Builder'!$B$11),OR('Assignment Builder'!$B$12="",N($Q2750)&lt;='Assignment Builder'!$B$12)))</f>
        <v/>
      </c>
      <c r="T2750" s="23" t="n"/>
    </row>
    <row r="2751">
      <c r="A2751" s="23" t="n"/>
      <c r="B2751" s="23" t="n"/>
      <c r="C2751" s="24" t="n"/>
      <c r="D2751" s="15" t="n"/>
      <c r="E2751" s="23" t="n"/>
      <c r="F2751" s="15" t="n"/>
      <c r="G2751" s="23" t="n"/>
      <c r="H2751" s="25" t="n"/>
      <c r="I2751" s="15" t="n"/>
      <c r="J2751" s="26">
        <f>IF($A2751="","",LEN($C2751)-LEN(SUBSTITUTE($C2751,",",""))+1)</f>
        <v/>
      </c>
      <c r="K2751" s="26">
        <f>IF($A2751="","",SUMPRODUCT(--ISNUMBER(SEARCH('Category Dictionary'!$D$5:$D$135&amp;"",$C2751)),--('Category Dictionary'!$D$5:$D$135&lt;&gt;"")))</f>
        <v/>
      </c>
      <c r="L2751" s="27">
        <f>IF($A2751="","",TRIM(IF(ISERROR(FIND(",",$C2751)),$C2751,LEFT($C2751,FIND(",",$C2751)-1))))</f>
        <v/>
      </c>
      <c r="M2751" s="28">
        <f>IF($H2751="","",DATE(YEAR($H2751),MONTH($H2751),1))</f>
        <v/>
      </c>
      <c r="N2751" s="26">
        <f>IF($H2751="","",TODAY()-$H2751)</f>
        <v/>
      </c>
      <c r="O2751" s="15" t="n"/>
      <c r="P2751" s="15" t="n"/>
      <c r="Q2751" s="15" t="n"/>
      <c r="R2751" s="25" t="n"/>
      <c r="S2751" s="26">
        <f>IF($A2751="","",AND(OR('Assignment Builder'!$B$5="",$B2751='Assignment Builder'!$B$5),OR('Assignment Builder'!$B$6="",ISNUMBER(SEARCH('Assignment Builder'!$B$6,$C2751))),OR('Assignment Builder'!$B$7="",'Assignment Builder'!$B$7=IFERROR(INDEX('Category Dictionary'!$C$5:$C$135,MATCH($L2751,'Category Dictionary'!$D$5:$D$135,0)),"")),OR('Assignment Builder'!$B$8="",$D2751='Assignment Builder'!$B$8),OR('Assignment Builder'!$B$9="",$F2751='Assignment Builder'!$B$9),OR('Assignment Builder'!$B$10="",$O2751='Assignment Builder'!$B$10),OR('Assignment Builder'!$B$11="",$H2751&gt;='Assignment Builder'!$B$11),OR('Assignment Builder'!$B$12="",N($Q2751)&lt;='Assignment Builder'!$B$12)))</f>
        <v/>
      </c>
      <c r="T2751" s="23" t="n"/>
    </row>
    <row r="2752">
      <c r="A2752" s="23" t="n"/>
      <c r="B2752" s="23" t="n"/>
      <c r="C2752" s="24" t="n"/>
      <c r="D2752" s="15" t="n"/>
      <c r="E2752" s="23" t="n"/>
      <c r="F2752" s="15" t="n"/>
      <c r="G2752" s="23" t="n"/>
      <c r="H2752" s="25" t="n"/>
      <c r="I2752" s="15" t="n"/>
      <c r="J2752" s="26">
        <f>IF($A2752="","",LEN($C2752)-LEN(SUBSTITUTE($C2752,",",""))+1)</f>
        <v/>
      </c>
      <c r="K2752" s="26">
        <f>IF($A2752="","",SUMPRODUCT(--ISNUMBER(SEARCH('Category Dictionary'!$D$5:$D$135&amp;"",$C2752)),--('Category Dictionary'!$D$5:$D$135&lt;&gt;"")))</f>
        <v/>
      </c>
      <c r="L2752" s="27">
        <f>IF($A2752="","",TRIM(IF(ISERROR(FIND(",",$C2752)),$C2752,LEFT($C2752,FIND(",",$C2752)-1))))</f>
        <v/>
      </c>
      <c r="M2752" s="28">
        <f>IF($H2752="","",DATE(YEAR($H2752),MONTH($H2752),1))</f>
        <v/>
      </c>
      <c r="N2752" s="26">
        <f>IF($H2752="","",TODAY()-$H2752)</f>
        <v/>
      </c>
      <c r="O2752" s="15" t="n"/>
      <c r="P2752" s="15" t="n"/>
      <c r="Q2752" s="15" t="n"/>
      <c r="R2752" s="25" t="n"/>
      <c r="S2752" s="26">
        <f>IF($A2752="","",AND(OR('Assignment Builder'!$B$5="",$B2752='Assignment Builder'!$B$5),OR('Assignment Builder'!$B$6="",ISNUMBER(SEARCH('Assignment Builder'!$B$6,$C2752))),OR('Assignment Builder'!$B$7="",'Assignment Builder'!$B$7=IFERROR(INDEX('Category Dictionary'!$C$5:$C$135,MATCH($L2752,'Category Dictionary'!$D$5:$D$135,0)),"")),OR('Assignment Builder'!$B$8="",$D2752='Assignment Builder'!$B$8),OR('Assignment Builder'!$B$9="",$F2752='Assignment Builder'!$B$9),OR('Assignment Builder'!$B$10="",$O2752='Assignment Builder'!$B$10),OR('Assignment Builder'!$B$11="",$H2752&gt;='Assignment Builder'!$B$11),OR('Assignment Builder'!$B$12="",N($Q2752)&lt;='Assignment Builder'!$B$12)))</f>
        <v/>
      </c>
      <c r="T2752" s="23" t="n"/>
    </row>
    <row r="2753">
      <c r="A2753" s="23" t="n"/>
      <c r="B2753" s="23" t="n"/>
      <c r="C2753" s="24" t="n"/>
      <c r="D2753" s="15" t="n"/>
      <c r="E2753" s="23" t="n"/>
      <c r="F2753" s="15" t="n"/>
      <c r="G2753" s="23" t="n"/>
      <c r="H2753" s="25" t="n"/>
      <c r="I2753" s="15" t="n"/>
      <c r="J2753" s="26">
        <f>IF($A2753="","",LEN($C2753)-LEN(SUBSTITUTE($C2753,",",""))+1)</f>
        <v/>
      </c>
      <c r="K2753" s="26">
        <f>IF($A2753="","",SUMPRODUCT(--ISNUMBER(SEARCH('Category Dictionary'!$D$5:$D$135&amp;"",$C2753)),--('Category Dictionary'!$D$5:$D$135&lt;&gt;"")))</f>
        <v/>
      </c>
      <c r="L2753" s="27">
        <f>IF($A2753="","",TRIM(IF(ISERROR(FIND(",",$C2753)),$C2753,LEFT($C2753,FIND(",",$C2753)-1))))</f>
        <v/>
      </c>
      <c r="M2753" s="28">
        <f>IF($H2753="","",DATE(YEAR($H2753),MONTH($H2753),1))</f>
        <v/>
      </c>
      <c r="N2753" s="26">
        <f>IF($H2753="","",TODAY()-$H2753)</f>
        <v/>
      </c>
      <c r="O2753" s="15" t="n"/>
      <c r="P2753" s="15" t="n"/>
      <c r="Q2753" s="15" t="n"/>
      <c r="R2753" s="25" t="n"/>
      <c r="S2753" s="26">
        <f>IF($A2753="","",AND(OR('Assignment Builder'!$B$5="",$B2753='Assignment Builder'!$B$5),OR('Assignment Builder'!$B$6="",ISNUMBER(SEARCH('Assignment Builder'!$B$6,$C2753))),OR('Assignment Builder'!$B$7="",'Assignment Builder'!$B$7=IFERROR(INDEX('Category Dictionary'!$C$5:$C$135,MATCH($L2753,'Category Dictionary'!$D$5:$D$135,0)),"")),OR('Assignment Builder'!$B$8="",$D2753='Assignment Builder'!$B$8),OR('Assignment Builder'!$B$9="",$F2753='Assignment Builder'!$B$9),OR('Assignment Builder'!$B$10="",$O2753='Assignment Builder'!$B$10),OR('Assignment Builder'!$B$11="",$H2753&gt;='Assignment Builder'!$B$11),OR('Assignment Builder'!$B$12="",N($Q2753)&lt;='Assignment Builder'!$B$12)))</f>
        <v/>
      </c>
      <c r="T2753" s="23" t="n"/>
    </row>
    <row r="2754">
      <c r="A2754" s="23" t="n"/>
      <c r="B2754" s="23" t="n"/>
      <c r="C2754" s="24" t="n"/>
      <c r="D2754" s="15" t="n"/>
      <c r="E2754" s="23" t="n"/>
      <c r="F2754" s="15" t="n"/>
      <c r="G2754" s="23" t="n"/>
      <c r="H2754" s="25" t="n"/>
      <c r="I2754" s="15" t="n"/>
      <c r="J2754" s="26">
        <f>IF($A2754="","",LEN($C2754)-LEN(SUBSTITUTE($C2754,",",""))+1)</f>
        <v/>
      </c>
      <c r="K2754" s="26">
        <f>IF($A2754="","",SUMPRODUCT(--ISNUMBER(SEARCH('Category Dictionary'!$D$5:$D$135&amp;"",$C2754)),--('Category Dictionary'!$D$5:$D$135&lt;&gt;"")))</f>
        <v/>
      </c>
      <c r="L2754" s="27">
        <f>IF($A2754="","",TRIM(IF(ISERROR(FIND(",",$C2754)),$C2754,LEFT($C2754,FIND(",",$C2754)-1))))</f>
        <v/>
      </c>
      <c r="M2754" s="28">
        <f>IF($H2754="","",DATE(YEAR($H2754),MONTH($H2754),1))</f>
        <v/>
      </c>
      <c r="N2754" s="26">
        <f>IF($H2754="","",TODAY()-$H2754)</f>
        <v/>
      </c>
      <c r="O2754" s="15" t="n"/>
      <c r="P2754" s="15" t="n"/>
      <c r="Q2754" s="15" t="n"/>
      <c r="R2754" s="25" t="n"/>
      <c r="S2754" s="26">
        <f>IF($A2754="","",AND(OR('Assignment Builder'!$B$5="",$B2754='Assignment Builder'!$B$5),OR('Assignment Builder'!$B$6="",ISNUMBER(SEARCH('Assignment Builder'!$B$6,$C2754))),OR('Assignment Builder'!$B$7="",'Assignment Builder'!$B$7=IFERROR(INDEX('Category Dictionary'!$C$5:$C$135,MATCH($L2754,'Category Dictionary'!$D$5:$D$135,0)),"")),OR('Assignment Builder'!$B$8="",$D2754='Assignment Builder'!$B$8),OR('Assignment Builder'!$B$9="",$F2754='Assignment Builder'!$B$9),OR('Assignment Builder'!$B$10="",$O2754='Assignment Builder'!$B$10),OR('Assignment Builder'!$B$11="",$H2754&gt;='Assignment Builder'!$B$11),OR('Assignment Builder'!$B$12="",N($Q2754)&lt;='Assignment Builder'!$B$12)))</f>
        <v/>
      </c>
      <c r="T2754" s="23" t="n"/>
    </row>
    <row r="2755">
      <c r="A2755" s="23" t="n"/>
      <c r="B2755" s="23" t="n"/>
      <c r="C2755" s="24" t="n"/>
      <c r="D2755" s="15" t="n"/>
      <c r="E2755" s="23" t="n"/>
      <c r="F2755" s="15" t="n"/>
      <c r="G2755" s="23" t="n"/>
      <c r="H2755" s="25" t="n"/>
      <c r="I2755" s="15" t="n"/>
      <c r="J2755" s="26">
        <f>IF($A2755="","",LEN($C2755)-LEN(SUBSTITUTE($C2755,",",""))+1)</f>
        <v/>
      </c>
      <c r="K2755" s="26">
        <f>IF($A2755="","",SUMPRODUCT(--ISNUMBER(SEARCH('Category Dictionary'!$D$5:$D$135&amp;"",$C2755)),--('Category Dictionary'!$D$5:$D$135&lt;&gt;"")))</f>
        <v/>
      </c>
      <c r="L2755" s="27">
        <f>IF($A2755="","",TRIM(IF(ISERROR(FIND(",",$C2755)),$C2755,LEFT($C2755,FIND(",",$C2755)-1))))</f>
        <v/>
      </c>
      <c r="M2755" s="28">
        <f>IF($H2755="","",DATE(YEAR($H2755),MONTH($H2755),1))</f>
        <v/>
      </c>
      <c r="N2755" s="26">
        <f>IF($H2755="","",TODAY()-$H2755)</f>
        <v/>
      </c>
      <c r="O2755" s="15" t="n"/>
      <c r="P2755" s="15" t="n"/>
      <c r="Q2755" s="15" t="n"/>
      <c r="R2755" s="25" t="n"/>
      <c r="S2755" s="26">
        <f>IF($A2755="","",AND(OR('Assignment Builder'!$B$5="",$B2755='Assignment Builder'!$B$5),OR('Assignment Builder'!$B$6="",ISNUMBER(SEARCH('Assignment Builder'!$B$6,$C2755))),OR('Assignment Builder'!$B$7="",'Assignment Builder'!$B$7=IFERROR(INDEX('Category Dictionary'!$C$5:$C$135,MATCH($L2755,'Category Dictionary'!$D$5:$D$135,0)),"")),OR('Assignment Builder'!$B$8="",$D2755='Assignment Builder'!$B$8),OR('Assignment Builder'!$B$9="",$F2755='Assignment Builder'!$B$9),OR('Assignment Builder'!$B$10="",$O2755='Assignment Builder'!$B$10),OR('Assignment Builder'!$B$11="",$H2755&gt;='Assignment Builder'!$B$11),OR('Assignment Builder'!$B$12="",N($Q2755)&lt;='Assignment Builder'!$B$12)))</f>
        <v/>
      </c>
      <c r="T2755" s="23" t="n"/>
    </row>
    <row r="2756">
      <c r="A2756" s="23" t="n"/>
      <c r="B2756" s="23" t="n"/>
      <c r="C2756" s="24" t="n"/>
      <c r="D2756" s="15" t="n"/>
      <c r="E2756" s="23" t="n"/>
      <c r="F2756" s="15" t="n"/>
      <c r="G2756" s="23" t="n"/>
      <c r="H2756" s="25" t="n"/>
      <c r="I2756" s="15" t="n"/>
      <c r="J2756" s="26">
        <f>IF($A2756="","",LEN($C2756)-LEN(SUBSTITUTE($C2756,",",""))+1)</f>
        <v/>
      </c>
      <c r="K2756" s="26">
        <f>IF($A2756="","",SUMPRODUCT(--ISNUMBER(SEARCH('Category Dictionary'!$D$5:$D$135&amp;"",$C2756)),--('Category Dictionary'!$D$5:$D$135&lt;&gt;"")))</f>
        <v/>
      </c>
      <c r="L2756" s="27">
        <f>IF($A2756="","",TRIM(IF(ISERROR(FIND(",",$C2756)),$C2756,LEFT($C2756,FIND(",",$C2756)-1))))</f>
        <v/>
      </c>
      <c r="M2756" s="28">
        <f>IF($H2756="","",DATE(YEAR($H2756),MONTH($H2756),1))</f>
        <v/>
      </c>
      <c r="N2756" s="26">
        <f>IF($H2756="","",TODAY()-$H2756)</f>
        <v/>
      </c>
      <c r="O2756" s="15" t="n"/>
      <c r="P2756" s="15" t="n"/>
      <c r="Q2756" s="15" t="n"/>
      <c r="R2756" s="25" t="n"/>
      <c r="S2756" s="26">
        <f>IF($A2756="","",AND(OR('Assignment Builder'!$B$5="",$B2756='Assignment Builder'!$B$5),OR('Assignment Builder'!$B$6="",ISNUMBER(SEARCH('Assignment Builder'!$B$6,$C2756))),OR('Assignment Builder'!$B$7="",'Assignment Builder'!$B$7=IFERROR(INDEX('Category Dictionary'!$C$5:$C$135,MATCH($L2756,'Category Dictionary'!$D$5:$D$135,0)),"")),OR('Assignment Builder'!$B$8="",$D2756='Assignment Builder'!$B$8),OR('Assignment Builder'!$B$9="",$F2756='Assignment Builder'!$B$9),OR('Assignment Builder'!$B$10="",$O2756='Assignment Builder'!$B$10),OR('Assignment Builder'!$B$11="",$H2756&gt;='Assignment Builder'!$B$11),OR('Assignment Builder'!$B$12="",N($Q2756)&lt;='Assignment Builder'!$B$12)))</f>
        <v/>
      </c>
      <c r="T2756" s="23" t="n"/>
    </row>
    <row r="2757">
      <c r="A2757" s="23" t="n"/>
      <c r="B2757" s="23" t="n"/>
      <c r="C2757" s="24" t="n"/>
      <c r="D2757" s="15" t="n"/>
      <c r="E2757" s="23" t="n"/>
      <c r="F2757" s="15" t="n"/>
      <c r="G2757" s="23" t="n"/>
      <c r="H2757" s="25" t="n"/>
      <c r="I2757" s="15" t="n"/>
      <c r="J2757" s="26">
        <f>IF($A2757="","",LEN($C2757)-LEN(SUBSTITUTE($C2757,",",""))+1)</f>
        <v/>
      </c>
      <c r="K2757" s="26">
        <f>IF($A2757="","",SUMPRODUCT(--ISNUMBER(SEARCH('Category Dictionary'!$D$5:$D$135&amp;"",$C2757)),--('Category Dictionary'!$D$5:$D$135&lt;&gt;"")))</f>
        <v/>
      </c>
      <c r="L2757" s="27">
        <f>IF($A2757="","",TRIM(IF(ISERROR(FIND(",",$C2757)),$C2757,LEFT($C2757,FIND(",",$C2757)-1))))</f>
        <v/>
      </c>
      <c r="M2757" s="28">
        <f>IF($H2757="","",DATE(YEAR($H2757),MONTH($H2757),1))</f>
        <v/>
      </c>
      <c r="N2757" s="26">
        <f>IF($H2757="","",TODAY()-$H2757)</f>
        <v/>
      </c>
      <c r="O2757" s="15" t="n"/>
      <c r="P2757" s="15" t="n"/>
      <c r="Q2757" s="15" t="n"/>
      <c r="R2757" s="25" t="n"/>
      <c r="S2757" s="26">
        <f>IF($A2757="","",AND(OR('Assignment Builder'!$B$5="",$B2757='Assignment Builder'!$B$5),OR('Assignment Builder'!$B$6="",ISNUMBER(SEARCH('Assignment Builder'!$B$6,$C2757))),OR('Assignment Builder'!$B$7="",'Assignment Builder'!$B$7=IFERROR(INDEX('Category Dictionary'!$C$5:$C$135,MATCH($L2757,'Category Dictionary'!$D$5:$D$135,0)),"")),OR('Assignment Builder'!$B$8="",$D2757='Assignment Builder'!$B$8),OR('Assignment Builder'!$B$9="",$F2757='Assignment Builder'!$B$9),OR('Assignment Builder'!$B$10="",$O2757='Assignment Builder'!$B$10),OR('Assignment Builder'!$B$11="",$H2757&gt;='Assignment Builder'!$B$11),OR('Assignment Builder'!$B$12="",N($Q2757)&lt;='Assignment Builder'!$B$12)))</f>
        <v/>
      </c>
      <c r="T2757" s="23" t="n"/>
    </row>
    <row r="2758">
      <c r="A2758" s="23" t="n"/>
      <c r="B2758" s="23" t="n"/>
      <c r="C2758" s="24" t="n"/>
      <c r="D2758" s="15" t="n"/>
      <c r="E2758" s="23" t="n"/>
      <c r="F2758" s="15" t="n"/>
      <c r="G2758" s="23" t="n"/>
      <c r="H2758" s="25" t="n"/>
      <c r="I2758" s="15" t="n"/>
      <c r="J2758" s="26">
        <f>IF($A2758="","",LEN($C2758)-LEN(SUBSTITUTE($C2758,",",""))+1)</f>
        <v/>
      </c>
      <c r="K2758" s="26">
        <f>IF($A2758="","",SUMPRODUCT(--ISNUMBER(SEARCH('Category Dictionary'!$D$5:$D$135&amp;"",$C2758)),--('Category Dictionary'!$D$5:$D$135&lt;&gt;"")))</f>
        <v/>
      </c>
      <c r="L2758" s="27">
        <f>IF($A2758="","",TRIM(IF(ISERROR(FIND(",",$C2758)),$C2758,LEFT($C2758,FIND(",",$C2758)-1))))</f>
        <v/>
      </c>
      <c r="M2758" s="28">
        <f>IF($H2758="","",DATE(YEAR($H2758),MONTH($H2758),1))</f>
        <v/>
      </c>
      <c r="N2758" s="26">
        <f>IF($H2758="","",TODAY()-$H2758)</f>
        <v/>
      </c>
      <c r="O2758" s="15" t="n"/>
      <c r="P2758" s="15" t="n"/>
      <c r="Q2758" s="15" t="n"/>
      <c r="R2758" s="25" t="n"/>
      <c r="S2758" s="26">
        <f>IF($A2758="","",AND(OR('Assignment Builder'!$B$5="",$B2758='Assignment Builder'!$B$5),OR('Assignment Builder'!$B$6="",ISNUMBER(SEARCH('Assignment Builder'!$B$6,$C2758))),OR('Assignment Builder'!$B$7="",'Assignment Builder'!$B$7=IFERROR(INDEX('Category Dictionary'!$C$5:$C$135,MATCH($L2758,'Category Dictionary'!$D$5:$D$135,0)),"")),OR('Assignment Builder'!$B$8="",$D2758='Assignment Builder'!$B$8),OR('Assignment Builder'!$B$9="",$F2758='Assignment Builder'!$B$9),OR('Assignment Builder'!$B$10="",$O2758='Assignment Builder'!$B$10),OR('Assignment Builder'!$B$11="",$H2758&gt;='Assignment Builder'!$B$11),OR('Assignment Builder'!$B$12="",N($Q2758)&lt;='Assignment Builder'!$B$12)))</f>
        <v/>
      </c>
      <c r="T2758" s="23" t="n"/>
    </row>
    <row r="2759">
      <c r="A2759" s="23" t="n"/>
      <c r="B2759" s="23" t="n"/>
      <c r="C2759" s="24" t="n"/>
      <c r="D2759" s="15" t="n"/>
      <c r="E2759" s="23" t="n"/>
      <c r="F2759" s="15" t="n"/>
      <c r="G2759" s="23" t="n"/>
      <c r="H2759" s="25" t="n"/>
      <c r="I2759" s="15" t="n"/>
      <c r="J2759" s="26">
        <f>IF($A2759="","",LEN($C2759)-LEN(SUBSTITUTE($C2759,",",""))+1)</f>
        <v/>
      </c>
      <c r="K2759" s="26">
        <f>IF($A2759="","",SUMPRODUCT(--ISNUMBER(SEARCH('Category Dictionary'!$D$5:$D$135&amp;"",$C2759)),--('Category Dictionary'!$D$5:$D$135&lt;&gt;"")))</f>
        <v/>
      </c>
      <c r="L2759" s="27">
        <f>IF($A2759="","",TRIM(IF(ISERROR(FIND(",",$C2759)),$C2759,LEFT($C2759,FIND(",",$C2759)-1))))</f>
        <v/>
      </c>
      <c r="M2759" s="28">
        <f>IF($H2759="","",DATE(YEAR($H2759),MONTH($H2759),1))</f>
        <v/>
      </c>
      <c r="N2759" s="26">
        <f>IF($H2759="","",TODAY()-$H2759)</f>
        <v/>
      </c>
      <c r="O2759" s="15" t="n"/>
      <c r="P2759" s="15" t="n"/>
      <c r="Q2759" s="15" t="n"/>
      <c r="R2759" s="25" t="n"/>
      <c r="S2759" s="26">
        <f>IF($A2759="","",AND(OR('Assignment Builder'!$B$5="",$B2759='Assignment Builder'!$B$5),OR('Assignment Builder'!$B$6="",ISNUMBER(SEARCH('Assignment Builder'!$B$6,$C2759))),OR('Assignment Builder'!$B$7="",'Assignment Builder'!$B$7=IFERROR(INDEX('Category Dictionary'!$C$5:$C$135,MATCH($L2759,'Category Dictionary'!$D$5:$D$135,0)),"")),OR('Assignment Builder'!$B$8="",$D2759='Assignment Builder'!$B$8),OR('Assignment Builder'!$B$9="",$F2759='Assignment Builder'!$B$9),OR('Assignment Builder'!$B$10="",$O2759='Assignment Builder'!$B$10),OR('Assignment Builder'!$B$11="",$H2759&gt;='Assignment Builder'!$B$11),OR('Assignment Builder'!$B$12="",N($Q2759)&lt;='Assignment Builder'!$B$12)))</f>
        <v/>
      </c>
      <c r="T2759" s="23" t="n"/>
    </row>
    <row r="2760">
      <c r="A2760" s="23" t="n"/>
      <c r="B2760" s="23" t="n"/>
      <c r="C2760" s="24" t="n"/>
      <c r="D2760" s="15" t="n"/>
      <c r="E2760" s="23" t="n"/>
      <c r="F2760" s="15" t="n"/>
      <c r="G2760" s="23" t="n"/>
      <c r="H2760" s="25" t="n"/>
      <c r="I2760" s="15" t="n"/>
      <c r="J2760" s="26">
        <f>IF($A2760="","",LEN($C2760)-LEN(SUBSTITUTE($C2760,",",""))+1)</f>
        <v/>
      </c>
      <c r="K2760" s="26">
        <f>IF($A2760="","",SUMPRODUCT(--ISNUMBER(SEARCH('Category Dictionary'!$D$5:$D$135&amp;"",$C2760)),--('Category Dictionary'!$D$5:$D$135&lt;&gt;"")))</f>
        <v/>
      </c>
      <c r="L2760" s="27">
        <f>IF($A2760="","",TRIM(IF(ISERROR(FIND(",",$C2760)),$C2760,LEFT($C2760,FIND(",",$C2760)-1))))</f>
        <v/>
      </c>
      <c r="M2760" s="28">
        <f>IF($H2760="","",DATE(YEAR($H2760),MONTH($H2760),1))</f>
        <v/>
      </c>
      <c r="N2760" s="26">
        <f>IF($H2760="","",TODAY()-$H2760)</f>
        <v/>
      </c>
      <c r="O2760" s="15" t="n"/>
      <c r="P2760" s="15" t="n"/>
      <c r="Q2760" s="15" t="n"/>
      <c r="R2760" s="25" t="n"/>
      <c r="S2760" s="26">
        <f>IF($A2760="","",AND(OR('Assignment Builder'!$B$5="",$B2760='Assignment Builder'!$B$5),OR('Assignment Builder'!$B$6="",ISNUMBER(SEARCH('Assignment Builder'!$B$6,$C2760))),OR('Assignment Builder'!$B$7="",'Assignment Builder'!$B$7=IFERROR(INDEX('Category Dictionary'!$C$5:$C$135,MATCH($L2760,'Category Dictionary'!$D$5:$D$135,0)),"")),OR('Assignment Builder'!$B$8="",$D2760='Assignment Builder'!$B$8),OR('Assignment Builder'!$B$9="",$F2760='Assignment Builder'!$B$9),OR('Assignment Builder'!$B$10="",$O2760='Assignment Builder'!$B$10),OR('Assignment Builder'!$B$11="",$H2760&gt;='Assignment Builder'!$B$11),OR('Assignment Builder'!$B$12="",N($Q2760)&lt;='Assignment Builder'!$B$12)))</f>
        <v/>
      </c>
      <c r="T2760" s="23" t="n"/>
    </row>
    <row r="2761">
      <c r="A2761" s="23" t="n"/>
      <c r="B2761" s="23" t="n"/>
      <c r="C2761" s="24" t="n"/>
      <c r="D2761" s="15" t="n"/>
      <c r="E2761" s="23" t="n"/>
      <c r="F2761" s="15" t="n"/>
      <c r="G2761" s="23" t="n"/>
      <c r="H2761" s="25" t="n"/>
      <c r="I2761" s="15" t="n"/>
      <c r="J2761" s="26">
        <f>IF($A2761="","",LEN($C2761)-LEN(SUBSTITUTE($C2761,",",""))+1)</f>
        <v/>
      </c>
      <c r="K2761" s="26">
        <f>IF($A2761="","",SUMPRODUCT(--ISNUMBER(SEARCH('Category Dictionary'!$D$5:$D$135&amp;"",$C2761)),--('Category Dictionary'!$D$5:$D$135&lt;&gt;"")))</f>
        <v/>
      </c>
      <c r="L2761" s="27">
        <f>IF($A2761="","",TRIM(IF(ISERROR(FIND(",",$C2761)),$C2761,LEFT($C2761,FIND(",",$C2761)-1))))</f>
        <v/>
      </c>
      <c r="M2761" s="28">
        <f>IF($H2761="","",DATE(YEAR($H2761),MONTH($H2761),1))</f>
        <v/>
      </c>
      <c r="N2761" s="26">
        <f>IF($H2761="","",TODAY()-$H2761)</f>
        <v/>
      </c>
      <c r="O2761" s="15" t="n"/>
      <c r="P2761" s="15" t="n"/>
      <c r="Q2761" s="15" t="n"/>
      <c r="R2761" s="25" t="n"/>
      <c r="S2761" s="26">
        <f>IF($A2761="","",AND(OR('Assignment Builder'!$B$5="",$B2761='Assignment Builder'!$B$5),OR('Assignment Builder'!$B$6="",ISNUMBER(SEARCH('Assignment Builder'!$B$6,$C2761))),OR('Assignment Builder'!$B$7="",'Assignment Builder'!$B$7=IFERROR(INDEX('Category Dictionary'!$C$5:$C$135,MATCH($L2761,'Category Dictionary'!$D$5:$D$135,0)),"")),OR('Assignment Builder'!$B$8="",$D2761='Assignment Builder'!$B$8),OR('Assignment Builder'!$B$9="",$F2761='Assignment Builder'!$B$9),OR('Assignment Builder'!$B$10="",$O2761='Assignment Builder'!$B$10),OR('Assignment Builder'!$B$11="",$H2761&gt;='Assignment Builder'!$B$11),OR('Assignment Builder'!$B$12="",N($Q2761)&lt;='Assignment Builder'!$B$12)))</f>
        <v/>
      </c>
      <c r="T2761" s="23" t="n"/>
    </row>
    <row r="2762">
      <c r="A2762" s="23" t="n"/>
      <c r="B2762" s="23" t="n"/>
      <c r="C2762" s="24" t="n"/>
      <c r="D2762" s="15" t="n"/>
      <c r="E2762" s="23" t="n"/>
      <c r="F2762" s="15" t="n"/>
      <c r="G2762" s="23" t="n"/>
      <c r="H2762" s="25" t="n"/>
      <c r="I2762" s="15" t="n"/>
      <c r="J2762" s="26">
        <f>IF($A2762="","",LEN($C2762)-LEN(SUBSTITUTE($C2762,",",""))+1)</f>
        <v/>
      </c>
      <c r="K2762" s="26">
        <f>IF($A2762="","",SUMPRODUCT(--ISNUMBER(SEARCH('Category Dictionary'!$D$5:$D$135&amp;"",$C2762)),--('Category Dictionary'!$D$5:$D$135&lt;&gt;"")))</f>
        <v/>
      </c>
      <c r="L2762" s="27">
        <f>IF($A2762="","",TRIM(IF(ISERROR(FIND(",",$C2762)),$C2762,LEFT($C2762,FIND(",",$C2762)-1))))</f>
        <v/>
      </c>
      <c r="M2762" s="28">
        <f>IF($H2762="","",DATE(YEAR($H2762),MONTH($H2762),1))</f>
        <v/>
      </c>
      <c r="N2762" s="26">
        <f>IF($H2762="","",TODAY()-$H2762)</f>
        <v/>
      </c>
      <c r="O2762" s="15" t="n"/>
      <c r="P2762" s="15" t="n"/>
      <c r="Q2762" s="15" t="n"/>
      <c r="R2762" s="25" t="n"/>
      <c r="S2762" s="26">
        <f>IF($A2762="","",AND(OR('Assignment Builder'!$B$5="",$B2762='Assignment Builder'!$B$5),OR('Assignment Builder'!$B$6="",ISNUMBER(SEARCH('Assignment Builder'!$B$6,$C2762))),OR('Assignment Builder'!$B$7="",'Assignment Builder'!$B$7=IFERROR(INDEX('Category Dictionary'!$C$5:$C$135,MATCH($L2762,'Category Dictionary'!$D$5:$D$135,0)),"")),OR('Assignment Builder'!$B$8="",$D2762='Assignment Builder'!$B$8),OR('Assignment Builder'!$B$9="",$F2762='Assignment Builder'!$B$9),OR('Assignment Builder'!$B$10="",$O2762='Assignment Builder'!$B$10),OR('Assignment Builder'!$B$11="",$H2762&gt;='Assignment Builder'!$B$11),OR('Assignment Builder'!$B$12="",N($Q2762)&lt;='Assignment Builder'!$B$12)))</f>
        <v/>
      </c>
      <c r="T2762" s="23" t="n"/>
    </row>
    <row r="2763">
      <c r="A2763" s="23" t="n"/>
      <c r="B2763" s="23" t="n"/>
      <c r="C2763" s="24" t="n"/>
      <c r="D2763" s="15" t="n"/>
      <c r="E2763" s="23" t="n"/>
      <c r="F2763" s="15" t="n"/>
      <c r="G2763" s="23" t="n"/>
      <c r="H2763" s="25" t="n"/>
      <c r="I2763" s="15" t="n"/>
      <c r="J2763" s="26">
        <f>IF($A2763="","",LEN($C2763)-LEN(SUBSTITUTE($C2763,",",""))+1)</f>
        <v/>
      </c>
      <c r="K2763" s="26">
        <f>IF($A2763="","",SUMPRODUCT(--ISNUMBER(SEARCH('Category Dictionary'!$D$5:$D$135&amp;"",$C2763)),--('Category Dictionary'!$D$5:$D$135&lt;&gt;"")))</f>
        <v/>
      </c>
      <c r="L2763" s="27">
        <f>IF($A2763="","",TRIM(IF(ISERROR(FIND(",",$C2763)),$C2763,LEFT($C2763,FIND(",",$C2763)-1))))</f>
        <v/>
      </c>
      <c r="M2763" s="28">
        <f>IF($H2763="","",DATE(YEAR($H2763),MONTH($H2763),1))</f>
        <v/>
      </c>
      <c r="N2763" s="26">
        <f>IF($H2763="","",TODAY()-$H2763)</f>
        <v/>
      </c>
      <c r="O2763" s="15" t="n"/>
      <c r="P2763" s="15" t="n"/>
      <c r="Q2763" s="15" t="n"/>
      <c r="R2763" s="25" t="n"/>
      <c r="S2763" s="26">
        <f>IF($A2763="","",AND(OR('Assignment Builder'!$B$5="",$B2763='Assignment Builder'!$B$5),OR('Assignment Builder'!$B$6="",ISNUMBER(SEARCH('Assignment Builder'!$B$6,$C2763))),OR('Assignment Builder'!$B$7="",'Assignment Builder'!$B$7=IFERROR(INDEX('Category Dictionary'!$C$5:$C$135,MATCH($L2763,'Category Dictionary'!$D$5:$D$135,0)),"")),OR('Assignment Builder'!$B$8="",$D2763='Assignment Builder'!$B$8),OR('Assignment Builder'!$B$9="",$F2763='Assignment Builder'!$B$9),OR('Assignment Builder'!$B$10="",$O2763='Assignment Builder'!$B$10),OR('Assignment Builder'!$B$11="",$H2763&gt;='Assignment Builder'!$B$11),OR('Assignment Builder'!$B$12="",N($Q2763)&lt;='Assignment Builder'!$B$12)))</f>
        <v/>
      </c>
      <c r="T2763" s="23" t="n"/>
    </row>
    <row r="2764">
      <c r="A2764" s="23" t="n"/>
      <c r="B2764" s="23" t="n"/>
      <c r="C2764" s="24" t="n"/>
      <c r="D2764" s="15" t="n"/>
      <c r="E2764" s="23" t="n"/>
      <c r="F2764" s="15" t="n"/>
      <c r="G2764" s="23" t="n"/>
      <c r="H2764" s="25" t="n"/>
      <c r="I2764" s="15" t="n"/>
      <c r="J2764" s="26">
        <f>IF($A2764="","",LEN($C2764)-LEN(SUBSTITUTE($C2764,",",""))+1)</f>
        <v/>
      </c>
      <c r="K2764" s="26">
        <f>IF($A2764="","",SUMPRODUCT(--ISNUMBER(SEARCH('Category Dictionary'!$D$5:$D$135&amp;"",$C2764)),--('Category Dictionary'!$D$5:$D$135&lt;&gt;"")))</f>
        <v/>
      </c>
      <c r="L2764" s="27">
        <f>IF($A2764="","",TRIM(IF(ISERROR(FIND(",",$C2764)),$C2764,LEFT($C2764,FIND(",",$C2764)-1))))</f>
        <v/>
      </c>
      <c r="M2764" s="28">
        <f>IF($H2764="","",DATE(YEAR($H2764),MONTH($H2764),1))</f>
        <v/>
      </c>
      <c r="N2764" s="26">
        <f>IF($H2764="","",TODAY()-$H2764)</f>
        <v/>
      </c>
      <c r="O2764" s="15" t="n"/>
      <c r="P2764" s="15" t="n"/>
      <c r="Q2764" s="15" t="n"/>
      <c r="R2764" s="25" t="n"/>
      <c r="S2764" s="26">
        <f>IF($A2764="","",AND(OR('Assignment Builder'!$B$5="",$B2764='Assignment Builder'!$B$5),OR('Assignment Builder'!$B$6="",ISNUMBER(SEARCH('Assignment Builder'!$B$6,$C2764))),OR('Assignment Builder'!$B$7="",'Assignment Builder'!$B$7=IFERROR(INDEX('Category Dictionary'!$C$5:$C$135,MATCH($L2764,'Category Dictionary'!$D$5:$D$135,0)),"")),OR('Assignment Builder'!$B$8="",$D2764='Assignment Builder'!$B$8),OR('Assignment Builder'!$B$9="",$F2764='Assignment Builder'!$B$9),OR('Assignment Builder'!$B$10="",$O2764='Assignment Builder'!$B$10),OR('Assignment Builder'!$B$11="",$H2764&gt;='Assignment Builder'!$B$11),OR('Assignment Builder'!$B$12="",N($Q2764)&lt;='Assignment Builder'!$B$12)))</f>
        <v/>
      </c>
      <c r="T2764" s="23" t="n"/>
    </row>
    <row r="2765">
      <c r="A2765" s="23" t="n"/>
      <c r="B2765" s="23" t="n"/>
      <c r="C2765" s="24" t="n"/>
      <c r="D2765" s="15" t="n"/>
      <c r="E2765" s="23" t="n"/>
      <c r="F2765" s="15" t="n"/>
      <c r="G2765" s="23" t="n"/>
      <c r="H2765" s="25" t="n"/>
      <c r="I2765" s="15" t="n"/>
      <c r="J2765" s="26">
        <f>IF($A2765="","",LEN($C2765)-LEN(SUBSTITUTE($C2765,",",""))+1)</f>
        <v/>
      </c>
      <c r="K2765" s="26">
        <f>IF($A2765="","",SUMPRODUCT(--ISNUMBER(SEARCH('Category Dictionary'!$D$5:$D$135&amp;"",$C2765)),--('Category Dictionary'!$D$5:$D$135&lt;&gt;"")))</f>
        <v/>
      </c>
      <c r="L2765" s="27">
        <f>IF($A2765="","",TRIM(IF(ISERROR(FIND(",",$C2765)),$C2765,LEFT($C2765,FIND(",",$C2765)-1))))</f>
        <v/>
      </c>
      <c r="M2765" s="28">
        <f>IF($H2765="","",DATE(YEAR($H2765),MONTH($H2765),1))</f>
        <v/>
      </c>
      <c r="N2765" s="26">
        <f>IF($H2765="","",TODAY()-$H2765)</f>
        <v/>
      </c>
      <c r="O2765" s="15" t="n"/>
      <c r="P2765" s="15" t="n"/>
      <c r="Q2765" s="15" t="n"/>
      <c r="R2765" s="25" t="n"/>
      <c r="S2765" s="26">
        <f>IF($A2765="","",AND(OR('Assignment Builder'!$B$5="",$B2765='Assignment Builder'!$B$5),OR('Assignment Builder'!$B$6="",ISNUMBER(SEARCH('Assignment Builder'!$B$6,$C2765))),OR('Assignment Builder'!$B$7="",'Assignment Builder'!$B$7=IFERROR(INDEX('Category Dictionary'!$C$5:$C$135,MATCH($L2765,'Category Dictionary'!$D$5:$D$135,0)),"")),OR('Assignment Builder'!$B$8="",$D2765='Assignment Builder'!$B$8),OR('Assignment Builder'!$B$9="",$F2765='Assignment Builder'!$B$9),OR('Assignment Builder'!$B$10="",$O2765='Assignment Builder'!$B$10),OR('Assignment Builder'!$B$11="",$H2765&gt;='Assignment Builder'!$B$11),OR('Assignment Builder'!$B$12="",N($Q2765)&lt;='Assignment Builder'!$B$12)))</f>
        <v/>
      </c>
      <c r="T2765" s="23" t="n"/>
    </row>
    <row r="2766">
      <c r="A2766" s="23" t="n"/>
      <c r="B2766" s="23" t="n"/>
      <c r="C2766" s="24" t="n"/>
      <c r="D2766" s="15" t="n"/>
      <c r="E2766" s="23" t="n"/>
      <c r="F2766" s="15" t="n"/>
      <c r="G2766" s="23" t="n"/>
      <c r="H2766" s="25" t="n"/>
      <c r="I2766" s="15" t="n"/>
      <c r="J2766" s="26">
        <f>IF($A2766="","",LEN($C2766)-LEN(SUBSTITUTE($C2766,",",""))+1)</f>
        <v/>
      </c>
      <c r="K2766" s="26">
        <f>IF($A2766="","",SUMPRODUCT(--ISNUMBER(SEARCH('Category Dictionary'!$D$5:$D$135&amp;"",$C2766)),--('Category Dictionary'!$D$5:$D$135&lt;&gt;"")))</f>
        <v/>
      </c>
      <c r="L2766" s="27">
        <f>IF($A2766="","",TRIM(IF(ISERROR(FIND(",",$C2766)),$C2766,LEFT($C2766,FIND(",",$C2766)-1))))</f>
        <v/>
      </c>
      <c r="M2766" s="28">
        <f>IF($H2766="","",DATE(YEAR($H2766),MONTH($H2766),1))</f>
        <v/>
      </c>
      <c r="N2766" s="26">
        <f>IF($H2766="","",TODAY()-$H2766)</f>
        <v/>
      </c>
      <c r="O2766" s="15" t="n"/>
      <c r="P2766" s="15" t="n"/>
      <c r="Q2766" s="15" t="n"/>
      <c r="R2766" s="25" t="n"/>
      <c r="S2766" s="26">
        <f>IF($A2766="","",AND(OR('Assignment Builder'!$B$5="",$B2766='Assignment Builder'!$B$5),OR('Assignment Builder'!$B$6="",ISNUMBER(SEARCH('Assignment Builder'!$B$6,$C2766))),OR('Assignment Builder'!$B$7="",'Assignment Builder'!$B$7=IFERROR(INDEX('Category Dictionary'!$C$5:$C$135,MATCH($L2766,'Category Dictionary'!$D$5:$D$135,0)),"")),OR('Assignment Builder'!$B$8="",$D2766='Assignment Builder'!$B$8),OR('Assignment Builder'!$B$9="",$F2766='Assignment Builder'!$B$9),OR('Assignment Builder'!$B$10="",$O2766='Assignment Builder'!$B$10),OR('Assignment Builder'!$B$11="",$H2766&gt;='Assignment Builder'!$B$11),OR('Assignment Builder'!$B$12="",N($Q2766)&lt;='Assignment Builder'!$B$12)))</f>
        <v/>
      </c>
      <c r="T2766" s="23" t="n"/>
    </row>
    <row r="2767">
      <c r="A2767" s="23" t="n"/>
      <c r="B2767" s="23" t="n"/>
      <c r="C2767" s="24" t="n"/>
      <c r="D2767" s="15" t="n"/>
      <c r="E2767" s="23" t="n"/>
      <c r="F2767" s="15" t="n"/>
      <c r="G2767" s="23" t="n"/>
      <c r="H2767" s="25" t="n"/>
      <c r="I2767" s="15" t="n"/>
      <c r="J2767" s="26">
        <f>IF($A2767="","",LEN($C2767)-LEN(SUBSTITUTE($C2767,",",""))+1)</f>
        <v/>
      </c>
      <c r="K2767" s="26">
        <f>IF($A2767="","",SUMPRODUCT(--ISNUMBER(SEARCH('Category Dictionary'!$D$5:$D$135&amp;"",$C2767)),--('Category Dictionary'!$D$5:$D$135&lt;&gt;"")))</f>
        <v/>
      </c>
      <c r="L2767" s="27">
        <f>IF($A2767="","",TRIM(IF(ISERROR(FIND(",",$C2767)),$C2767,LEFT($C2767,FIND(",",$C2767)-1))))</f>
        <v/>
      </c>
      <c r="M2767" s="28">
        <f>IF($H2767="","",DATE(YEAR($H2767),MONTH($H2767),1))</f>
        <v/>
      </c>
      <c r="N2767" s="26">
        <f>IF($H2767="","",TODAY()-$H2767)</f>
        <v/>
      </c>
      <c r="O2767" s="15" t="n"/>
      <c r="P2767" s="15" t="n"/>
      <c r="Q2767" s="15" t="n"/>
      <c r="R2767" s="25" t="n"/>
      <c r="S2767" s="26">
        <f>IF($A2767="","",AND(OR('Assignment Builder'!$B$5="",$B2767='Assignment Builder'!$B$5),OR('Assignment Builder'!$B$6="",ISNUMBER(SEARCH('Assignment Builder'!$B$6,$C2767))),OR('Assignment Builder'!$B$7="",'Assignment Builder'!$B$7=IFERROR(INDEX('Category Dictionary'!$C$5:$C$135,MATCH($L2767,'Category Dictionary'!$D$5:$D$135,0)),"")),OR('Assignment Builder'!$B$8="",$D2767='Assignment Builder'!$B$8),OR('Assignment Builder'!$B$9="",$F2767='Assignment Builder'!$B$9),OR('Assignment Builder'!$B$10="",$O2767='Assignment Builder'!$B$10),OR('Assignment Builder'!$B$11="",$H2767&gt;='Assignment Builder'!$B$11),OR('Assignment Builder'!$B$12="",N($Q2767)&lt;='Assignment Builder'!$B$12)))</f>
        <v/>
      </c>
      <c r="T2767" s="23" t="n"/>
    </row>
    <row r="2768">
      <c r="A2768" s="23" t="n"/>
      <c r="B2768" s="23" t="n"/>
      <c r="C2768" s="24" t="n"/>
      <c r="D2768" s="15" t="n"/>
      <c r="E2768" s="23" t="n"/>
      <c r="F2768" s="15" t="n"/>
      <c r="G2768" s="23" t="n"/>
      <c r="H2768" s="25" t="n"/>
      <c r="I2768" s="15" t="n"/>
      <c r="J2768" s="26">
        <f>IF($A2768="","",LEN($C2768)-LEN(SUBSTITUTE($C2768,",",""))+1)</f>
        <v/>
      </c>
      <c r="K2768" s="26">
        <f>IF($A2768="","",SUMPRODUCT(--ISNUMBER(SEARCH('Category Dictionary'!$D$5:$D$135&amp;"",$C2768)),--('Category Dictionary'!$D$5:$D$135&lt;&gt;"")))</f>
        <v/>
      </c>
      <c r="L2768" s="27">
        <f>IF($A2768="","",TRIM(IF(ISERROR(FIND(",",$C2768)),$C2768,LEFT($C2768,FIND(",",$C2768)-1))))</f>
        <v/>
      </c>
      <c r="M2768" s="28">
        <f>IF($H2768="","",DATE(YEAR($H2768),MONTH($H2768),1))</f>
        <v/>
      </c>
      <c r="N2768" s="26">
        <f>IF($H2768="","",TODAY()-$H2768)</f>
        <v/>
      </c>
      <c r="O2768" s="15" t="n"/>
      <c r="P2768" s="15" t="n"/>
      <c r="Q2768" s="15" t="n"/>
      <c r="R2768" s="25" t="n"/>
      <c r="S2768" s="26">
        <f>IF($A2768="","",AND(OR('Assignment Builder'!$B$5="",$B2768='Assignment Builder'!$B$5),OR('Assignment Builder'!$B$6="",ISNUMBER(SEARCH('Assignment Builder'!$B$6,$C2768))),OR('Assignment Builder'!$B$7="",'Assignment Builder'!$B$7=IFERROR(INDEX('Category Dictionary'!$C$5:$C$135,MATCH($L2768,'Category Dictionary'!$D$5:$D$135,0)),"")),OR('Assignment Builder'!$B$8="",$D2768='Assignment Builder'!$B$8),OR('Assignment Builder'!$B$9="",$F2768='Assignment Builder'!$B$9),OR('Assignment Builder'!$B$10="",$O2768='Assignment Builder'!$B$10),OR('Assignment Builder'!$B$11="",$H2768&gt;='Assignment Builder'!$B$11),OR('Assignment Builder'!$B$12="",N($Q2768)&lt;='Assignment Builder'!$B$12)))</f>
        <v/>
      </c>
      <c r="T2768" s="23" t="n"/>
    </row>
    <row r="2769">
      <c r="A2769" s="23" t="n"/>
      <c r="B2769" s="23" t="n"/>
      <c r="C2769" s="24" t="n"/>
      <c r="D2769" s="15" t="n"/>
      <c r="E2769" s="23" t="n"/>
      <c r="F2769" s="15" t="n"/>
      <c r="G2769" s="23" t="n"/>
      <c r="H2769" s="25" t="n"/>
      <c r="I2769" s="15" t="n"/>
      <c r="J2769" s="26">
        <f>IF($A2769="","",LEN($C2769)-LEN(SUBSTITUTE($C2769,",",""))+1)</f>
        <v/>
      </c>
      <c r="K2769" s="26">
        <f>IF($A2769="","",SUMPRODUCT(--ISNUMBER(SEARCH('Category Dictionary'!$D$5:$D$135&amp;"",$C2769)),--('Category Dictionary'!$D$5:$D$135&lt;&gt;"")))</f>
        <v/>
      </c>
      <c r="L2769" s="27">
        <f>IF($A2769="","",TRIM(IF(ISERROR(FIND(",",$C2769)),$C2769,LEFT($C2769,FIND(",",$C2769)-1))))</f>
        <v/>
      </c>
      <c r="M2769" s="28">
        <f>IF($H2769="","",DATE(YEAR($H2769),MONTH($H2769),1))</f>
        <v/>
      </c>
      <c r="N2769" s="26">
        <f>IF($H2769="","",TODAY()-$H2769)</f>
        <v/>
      </c>
      <c r="O2769" s="15" t="n"/>
      <c r="P2769" s="15" t="n"/>
      <c r="Q2769" s="15" t="n"/>
      <c r="R2769" s="25" t="n"/>
      <c r="S2769" s="26">
        <f>IF($A2769="","",AND(OR('Assignment Builder'!$B$5="",$B2769='Assignment Builder'!$B$5),OR('Assignment Builder'!$B$6="",ISNUMBER(SEARCH('Assignment Builder'!$B$6,$C2769))),OR('Assignment Builder'!$B$7="",'Assignment Builder'!$B$7=IFERROR(INDEX('Category Dictionary'!$C$5:$C$135,MATCH($L2769,'Category Dictionary'!$D$5:$D$135,0)),"")),OR('Assignment Builder'!$B$8="",$D2769='Assignment Builder'!$B$8),OR('Assignment Builder'!$B$9="",$F2769='Assignment Builder'!$B$9),OR('Assignment Builder'!$B$10="",$O2769='Assignment Builder'!$B$10),OR('Assignment Builder'!$B$11="",$H2769&gt;='Assignment Builder'!$B$11),OR('Assignment Builder'!$B$12="",N($Q2769)&lt;='Assignment Builder'!$B$12)))</f>
        <v/>
      </c>
      <c r="T2769" s="23" t="n"/>
    </row>
    <row r="2770">
      <c r="A2770" s="23" t="n"/>
      <c r="B2770" s="23" t="n"/>
      <c r="C2770" s="24" t="n"/>
      <c r="D2770" s="15" t="n"/>
      <c r="E2770" s="23" t="n"/>
      <c r="F2770" s="15" t="n"/>
      <c r="G2770" s="23" t="n"/>
      <c r="H2770" s="25" t="n"/>
      <c r="I2770" s="15" t="n"/>
      <c r="J2770" s="26">
        <f>IF($A2770="","",LEN($C2770)-LEN(SUBSTITUTE($C2770,",",""))+1)</f>
        <v/>
      </c>
      <c r="K2770" s="26">
        <f>IF($A2770="","",SUMPRODUCT(--ISNUMBER(SEARCH('Category Dictionary'!$D$5:$D$135&amp;"",$C2770)),--('Category Dictionary'!$D$5:$D$135&lt;&gt;"")))</f>
        <v/>
      </c>
      <c r="L2770" s="27">
        <f>IF($A2770="","",TRIM(IF(ISERROR(FIND(",",$C2770)),$C2770,LEFT($C2770,FIND(",",$C2770)-1))))</f>
        <v/>
      </c>
      <c r="M2770" s="28">
        <f>IF($H2770="","",DATE(YEAR($H2770),MONTH($H2770),1))</f>
        <v/>
      </c>
      <c r="N2770" s="26">
        <f>IF($H2770="","",TODAY()-$H2770)</f>
        <v/>
      </c>
      <c r="O2770" s="15" t="n"/>
      <c r="P2770" s="15" t="n"/>
      <c r="Q2770" s="15" t="n"/>
      <c r="R2770" s="25" t="n"/>
      <c r="S2770" s="26">
        <f>IF($A2770="","",AND(OR('Assignment Builder'!$B$5="",$B2770='Assignment Builder'!$B$5),OR('Assignment Builder'!$B$6="",ISNUMBER(SEARCH('Assignment Builder'!$B$6,$C2770))),OR('Assignment Builder'!$B$7="",'Assignment Builder'!$B$7=IFERROR(INDEX('Category Dictionary'!$C$5:$C$135,MATCH($L2770,'Category Dictionary'!$D$5:$D$135,0)),"")),OR('Assignment Builder'!$B$8="",$D2770='Assignment Builder'!$B$8),OR('Assignment Builder'!$B$9="",$F2770='Assignment Builder'!$B$9),OR('Assignment Builder'!$B$10="",$O2770='Assignment Builder'!$B$10),OR('Assignment Builder'!$B$11="",$H2770&gt;='Assignment Builder'!$B$11),OR('Assignment Builder'!$B$12="",N($Q2770)&lt;='Assignment Builder'!$B$12)))</f>
        <v/>
      </c>
      <c r="T2770" s="23" t="n"/>
    </row>
    <row r="2771">
      <c r="A2771" s="23" t="n"/>
      <c r="B2771" s="23" t="n"/>
      <c r="C2771" s="24" t="n"/>
      <c r="D2771" s="15" t="n"/>
      <c r="E2771" s="23" t="n"/>
      <c r="F2771" s="15" t="n"/>
      <c r="G2771" s="23" t="n"/>
      <c r="H2771" s="25" t="n"/>
      <c r="I2771" s="15" t="n"/>
      <c r="J2771" s="26">
        <f>IF($A2771="","",LEN($C2771)-LEN(SUBSTITUTE($C2771,",",""))+1)</f>
        <v/>
      </c>
      <c r="K2771" s="26">
        <f>IF($A2771="","",SUMPRODUCT(--ISNUMBER(SEARCH('Category Dictionary'!$D$5:$D$135&amp;"",$C2771)),--('Category Dictionary'!$D$5:$D$135&lt;&gt;"")))</f>
        <v/>
      </c>
      <c r="L2771" s="27">
        <f>IF($A2771="","",TRIM(IF(ISERROR(FIND(",",$C2771)),$C2771,LEFT($C2771,FIND(",",$C2771)-1))))</f>
        <v/>
      </c>
      <c r="M2771" s="28">
        <f>IF($H2771="","",DATE(YEAR($H2771),MONTH($H2771),1))</f>
        <v/>
      </c>
      <c r="N2771" s="26">
        <f>IF($H2771="","",TODAY()-$H2771)</f>
        <v/>
      </c>
      <c r="O2771" s="15" t="n"/>
      <c r="P2771" s="15" t="n"/>
      <c r="Q2771" s="15" t="n"/>
      <c r="R2771" s="25" t="n"/>
      <c r="S2771" s="26">
        <f>IF($A2771="","",AND(OR('Assignment Builder'!$B$5="",$B2771='Assignment Builder'!$B$5),OR('Assignment Builder'!$B$6="",ISNUMBER(SEARCH('Assignment Builder'!$B$6,$C2771))),OR('Assignment Builder'!$B$7="",'Assignment Builder'!$B$7=IFERROR(INDEX('Category Dictionary'!$C$5:$C$135,MATCH($L2771,'Category Dictionary'!$D$5:$D$135,0)),"")),OR('Assignment Builder'!$B$8="",$D2771='Assignment Builder'!$B$8),OR('Assignment Builder'!$B$9="",$F2771='Assignment Builder'!$B$9),OR('Assignment Builder'!$B$10="",$O2771='Assignment Builder'!$B$10),OR('Assignment Builder'!$B$11="",$H2771&gt;='Assignment Builder'!$B$11),OR('Assignment Builder'!$B$12="",N($Q2771)&lt;='Assignment Builder'!$B$12)))</f>
        <v/>
      </c>
      <c r="T2771" s="23" t="n"/>
    </row>
    <row r="2772">
      <c r="A2772" s="23" t="n"/>
      <c r="B2772" s="23" t="n"/>
      <c r="C2772" s="24" t="n"/>
      <c r="D2772" s="15" t="n"/>
      <c r="E2772" s="23" t="n"/>
      <c r="F2772" s="15" t="n"/>
      <c r="G2772" s="23" t="n"/>
      <c r="H2772" s="25" t="n"/>
      <c r="I2772" s="15" t="n"/>
      <c r="J2772" s="26">
        <f>IF($A2772="","",LEN($C2772)-LEN(SUBSTITUTE($C2772,",",""))+1)</f>
        <v/>
      </c>
      <c r="K2772" s="26">
        <f>IF($A2772="","",SUMPRODUCT(--ISNUMBER(SEARCH('Category Dictionary'!$D$5:$D$135&amp;"",$C2772)),--('Category Dictionary'!$D$5:$D$135&lt;&gt;"")))</f>
        <v/>
      </c>
      <c r="L2772" s="27">
        <f>IF($A2772="","",TRIM(IF(ISERROR(FIND(",",$C2772)),$C2772,LEFT($C2772,FIND(",",$C2772)-1))))</f>
        <v/>
      </c>
      <c r="M2772" s="28">
        <f>IF($H2772="","",DATE(YEAR($H2772),MONTH($H2772),1))</f>
        <v/>
      </c>
      <c r="N2772" s="26">
        <f>IF($H2772="","",TODAY()-$H2772)</f>
        <v/>
      </c>
      <c r="O2772" s="15" t="n"/>
      <c r="P2772" s="15" t="n"/>
      <c r="Q2772" s="15" t="n"/>
      <c r="R2772" s="25" t="n"/>
      <c r="S2772" s="26">
        <f>IF($A2772="","",AND(OR('Assignment Builder'!$B$5="",$B2772='Assignment Builder'!$B$5),OR('Assignment Builder'!$B$6="",ISNUMBER(SEARCH('Assignment Builder'!$B$6,$C2772))),OR('Assignment Builder'!$B$7="",'Assignment Builder'!$B$7=IFERROR(INDEX('Category Dictionary'!$C$5:$C$135,MATCH($L2772,'Category Dictionary'!$D$5:$D$135,0)),"")),OR('Assignment Builder'!$B$8="",$D2772='Assignment Builder'!$B$8),OR('Assignment Builder'!$B$9="",$F2772='Assignment Builder'!$B$9),OR('Assignment Builder'!$B$10="",$O2772='Assignment Builder'!$B$10),OR('Assignment Builder'!$B$11="",$H2772&gt;='Assignment Builder'!$B$11),OR('Assignment Builder'!$B$12="",N($Q2772)&lt;='Assignment Builder'!$B$12)))</f>
        <v/>
      </c>
      <c r="T2772" s="23" t="n"/>
    </row>
    <row r="2773">
      <c r="A2773" s="23" t="n"/>
      <c r="B2773" s="23" t="n"/>
      <c r="C2773" s="24" t="n"/>
      <c r="D2773" s="15" t="n"/>
      <c r="E2773" s="23" t="n"/>
      <c r="F2773" s="15" t="n"/>
      <c r="G2773" s="23" t="n"/>
      <c r="H2773" s="25" t="n"/>
      <c r="I2773" s="15" t="n"/>
      <c r="J2773" s="26">
        <f>IF($A2773="","",LEN($C2773)-LEN(SUBSTITUTE($C2773,",",""))+1)</f>
        <v/>
      </c>
      <c r="K2773" s="26">
        <f>IF($A2773="","",SUMPRODUCT(--ISNUMBER(SEARCH('Category Dictionary'!$D$5:$D$135&amp;"",$C2773)),--('Category Dictionary'!$D$5:$D$135&lt;&gt;"")))</f>
        <v/>
      </c>
      <c r="L2773" s="27">
        <f>IF($A2773="","",TRIM(IF(ISERROR(FIND(",",$C2773)),$C2773,LEFT($C2773,FIND(",",$C2773)-1))))</f>
        <v/>
      </c>
      <c r="M2773" s="28">
        <f>IF($H2773="","",DATE(YEAR($H2773),MONTH($H2773),1))</f>
        <v/>
      </c>
      <c r="N2773" s="26">
        <f>IF($H2773="","",TODAY()-$H2773)</f>
        <v/>
      </c>
      <c r="O2773" s="15" t="n"/>
      <c r="P2773" s="15" t="n"/>
      <c r="Q2773" s="15" t="n"/>
      <c r="R2773" s="25" t="n"/>
      <c r="S2773" s="26">
        <f>IF($A2773="","",AND(OR('Assignment Builder'!$B$5="",$B2773='Assignment Builder'!$B$5),OR('Assignment Builder'!$B$6="",ISNUMBER(SEARCH('Assignment Builder'!$B$6,$C2773))),OR('Assignment Builder'!$B$7="",'Assignment Builder'!$B$7=IFERROR(INDEX('Category Dictionary'!$C$5:$C$135,MATCH($L2773,'Category Dictionary'!$D$5:$D$135,0)),"")),OR('Assignment Builder'!$B$8="",$D2773='Assignment Builder'!$B$8),OR('Assignment Builder'!$B$9="",$F2773='Assignment Builder'!$B$9),OR('Assignment Builder'!$B$10="",$O2773='Assignment Builder'!$B$10),OR('Assignment Builder'!$B$11="",$H2773&gt;='Assignment Builder'!$B$11),OR('Assignment Builder'!$B$12="",N($Q2773)&lt;='Assignment Builder'!$B$12)))</f>
        <v/>
      </c>
      <c r="T2773" s="23" t="n"/>
    </row>
    <row r="2774">
      <c r="A2774" s="23" t="n"/>
      <c r="B2774" s="23" t="n"/>
      <c r="C2774" s="24" t="n"/>
      <c r="D2774" s="15" t="n"/>
      <c r="E2774" s="23" t="n"/>
      <c r="F2774" s="15" t="n"/>
      <c r="G2774" s="23" t="n"/>
      <c r="H2774" s="25" t="n"/>
      <c r="I2774" s="15" t="n"/>
      <c r="J2774" s="26">
        <f>IF($A2774="","",LEN($C2774)-LEN(SUBSTITUTE($C2774,",",""))+1)</f>
        <v/>
      </c>
      <c r="K2774" s="26">
        <f>IF($A2774="","",SUMPRODUCT(--ISNUMBER(SEARCH('Category Dictionary'!$D$5:$D$135&amp;"",$C2774)),--('Category Dictionary'!$D$5:$D$135&lt;&gt;"")))</f>
        <v/>
      </c>
      <c r="L2774" s="27">
        <f>IF($A2774="","",TRIM(IF(ISERROR(FIND(",",$C2774)),$C2774,LEFT($C2774,FIND(",",$C2774)-1))))</f>
        <v/>
      </c>
      <c r="M2774" s="28">
        <f>IF($H2774="","",DATE(YEAR($H2774),MONTH($H2774),1))</f>
        <v/>
      </c>
      <c r="N2774" s="26">
        <f>IF($H2774="","",TODAY()-$H2774)</f>
        <v/>
      </c>
      <c r="O2774" s="15" t="n"/>
      <c r="P2774" s="15" t="n"/>
      <c r="Q2774" s="15" t="n"/>
      <c r="R2774" s="25" t="n"/>
      <c r="S2774" s="26">
        <f>IF($A2774="","",AND(OR('Assignment Builder'!$B$5="",$B2774='Assignment Builder'!$B$5),OR('Assignment Builder'!$B$6="",ISNUMBER(SEARCH('Assignment Builder'!$B$6,$C2774))),OR('Assignment Builder'!$B$7="",'Assignment Builder'!$B$7=IFERROR(INDEX('Category Dictionary'!$C$5:$C$135,MATCH($L2774,'Category Dictionary'!$D$5:$D$135,0)),"")),OR('Assignment Builder'!$B$8="",$D2774='Assignment Builder'!$B$8),OR('Assignment Builder'!$B$9="",$F2774='Assignment Builder'!$B$9),OR('Assignment Builder'!$B$10="",$O2774='Assignment Builder'!$B$10),OR('Assignment Builder'!$B$11="",$H2774&gt;='Assignment Builder'!$B$11),OR('Assignment Builder'!$B$12="",N($Q2774)&lt;='Assignment Builder'!$B$12)))</f>
        <v/>
      </c>
      <c r="T2774" s="23" t="n"/>
    </row>
    <row r="2775">
      <c r="A2775" s="23" t="n"/>
      <c r="B2775" s="23" t="n"/>
      <c r="C2775" s="24" t="n"/>
      <c r="D2775" s="15" t="n"/>
      <c r="E2775" s="23" t="n"/>
      <c r="F2775" s="15" t="n"/>
      <c r="G2775" s="23" t="n"/>
      <c r="H2775" s="25" t="n"/>
      <c r="I2775" s="15" t="n"/>
      <c r="J2775" s="26">
        <f>IF($A2775="","",LEN($C2775)-LEN(SUBSTITUTE($C2775,",",""))+1)</f>
        <v/>
      </c>
      <c r="K2775" s="26">
        <f>IF($A2775="","",SUMPRODUCT(--ISNUMBER(SEARCH('Category Dictionary'!$D$5:$D$135&amp;"",$C2775)),--('Category Dictionary'!$D$5:$D$135&lt;&gt;"")))</f>
        <v/>
      </c>
      <c r="L2775" s="27">
        <f>IF($A2775="","",TRIM(IF(ISERROR(FIND(",",$C2775)),$C2775,LEFT($C2775,FIND(",",$C2775)-1))))</f>
        <v/>
      </c>
      <c r="M2775" s="28">
        <f>IF($H2775="","",DATE(YEAR($H2775),MONTH($H2775),1))</f>
        <v/>
      </c>
      <c r="N2775" s="26">
        <f>IF($H2775="","",TODAY()-$H2775)</f>
        <v/>
      </c>
      <c r="O2775" s="15" t="n"/>
      <c r="P2775" s="15" t="n"/>
      <c r="Q2775" s="15" t="n"/>
      <c r="R2775" s="25" t="n"/>
      <c r="S2775" s="26">
        <f>IF($A2775="","",AND(OR('Assignment Builder'!$B$5="",$B2775='Assignment Builder'!$B$5),OR('Assignment Builder'!$B$6="",ISNUMBER(SEARCH('Assignment Builder'!$B$6,$C2775))),OR('Assignment Builder'!$B$7="",'Assignment Builder'!$B$7=IFERROR(INDEX('Category Dictionary'!$C$5:$C$135,MATCH($L2775,'Category Dictionary'!$D$5:$D$135,0)),"")),OR('Assignment Builder'!$B$8="",$D2775='Assignment Builder'!$B$8),OR('Assignment Builder'!$B$9="",$F2775='Assignment Builder'!$B$9),OR('Assignment Builder'!$B$10="",$O2775='Assignment Builder'!$B$10),OR('Assignment Builder'!$B$11="",$H2775&gt;='Assignment Builder'!$B$11),OR('Assignment Builder'!$B$12="",N($Q2775)&lt;='Assignment Builder'!$B$12)))</f>
        <v/>
      </c>
      <c r="T2775" s="23" t="n"/>
    </row>
    <row r="2776">
      <c r="A2776" s="23" t="n"/>
      <c r="B2776" s="23" t="n"/>
      <c r="C2776" s="24" t="n"/>
      <c r="D2776" s="15" t="n"/>
      <c r="E2776" s="23" t="n"/>
      <c r="F2776" s="15" t="n"/>
      <c r="G2776" s="23" t="n"/>
      <c r="H2776" s="25" t="n"/>
      <c r="I2776" s="15" t="n"/>
      <c r="J2776" s="26">
        <f>IF($A2776="","",LEN($C2776)-LEN(SUBSTITUTE($C2776,",",""))+1)</f>
        <v/>
      </c>
      <c r="K2776" s="26">
        <f>IF($A2776="","",SUMPRODUCT(--ISNUMBER(SEARCH('Category Dictionary'!$D$5:$D$135&amp;"",$C2776)),--('Category Dictionary'!$D$5:$D$135&lt;&gt;"")))</f>
        <v/>
      </c>
      <c r="L2776" s="27">
        <f>IF($A2776="","",TRIM(IF(ISERROR(FIND(",",$C2776)),$C2776,LEFT($C2776,FIND(",",$C2776)-1))))</f>
        <v/>
      </c>
      <c r="M2776" s="28">
        <f>IF($H2776="","",DATE(YEAR($H2776),MONTH($H2776),1))</f>
        <v/>
      </c>
      <c r="N2776" s="26">
        <f>IF($H2776="","",TODAY()-$H2776)</f>
        <v/>
      </c>
      <c r="O2776" s="15" t="n"/>
      <c r="P2776" s="15" t="n"/>
      <c r="Q2776" s="15" t="n"/>
      <c r="R2776" s="25" t="n"/>
      <c r="S2776" s="26">
        <f>IF($A2776="","",AND(OR('Assignment Builder'!$B$5="",$B2776='Assignment Builder'!$B$5),OR('Assignment Builder'!$B$6="",ISNUMBER(SEARCH('Assignment Builder'!$B$6,$C2776))),OR('Assignment Builder'!$B$7="",'Assignment Builder'!$B$7=IFERROR(INDEX('Category Dictionary'!$C$5:$C$135,MATCH($L2776,'Category Dictionary'!$D$5:$D$135,0)),"")),OR('Assignment Builder'!$B$8="",$D2776='Assignment Builder'!$B$8),OR('Assignment Builder'!$B$9="",$F2776='Assignment Builder'!$B$9),OR('Assignment Builder'!$B$10="",$O2776='Assignment Builder'!$B$10),OR('Assignment Builder'!$B$11="",$H2776&gt;='Assignment Builder'!$B$11),OR('Assignment Builder'!$B$12="",N($Q2776)&lt;='Assignment Builder'!$B$12)))</f>
        <v/>
      </c>
      <c r="T2776" s="23" t="n"/>
    </row>
    <row r="2777">
      <c r="A2777" s="23" t="n"/>
      <c r="B2777" s="23" t="n"/>
      <c r="C2777" s="24" t="n"/>
      <c r="D2777" s="15" t="n"/>
      <c r="E2777" s="23" t="n"/>
      <c r="F2777" s="15" t="n"/>
      <c r="G2777" s="23" t="n"/>
      <c r="H2777" s="25" t="n"/>
      <c r="I2777" s="15" t="n"/>
      <c r="J2777" s="26">
        <f>IF($A2777="","",LEN($C2777)-LEN(SUBSTITUTE($C2777,",",""))+1)</f>
        <v/>
      </c>
      <c r="K2777" s="26">
        <f>IF($A2777="","",SUMPRODUCT(--ISNUMBER(SEARCH('Category Dictionary'!$D$5:$D$135&amp;"",$C2777)),--('Category Dictionary'!$D$5:$D$135&lt;&gt;"")))</f>
        <v/>
      </c>
      <c r="L2777" s="27">
        <f>IF($A2777="","",TRIM(IF(ISERROR(FIND(",",$C2777)),$C2777,LEFT($C2777,FIND(",",$C2777)-1))))</f>
        <v/>
      </c>
      <c r="M2777" s="28">
        <f>IF($H2777="","",DATE(YEAR($H2777),MONTH($H2777),1))</f>
        <v/>
      </c>
      <c r="N2777" s="26">
        <f>IF($H2777="","",TODAY()-$H2777)</f>
        <v/>
      </c>
      <c r="O2777" s="15" t="n"/>
      <c r="P2777" s="15" t="n"/>
      <c r="Q2777" s="15" t="n"/>
      <c r="R2777" s="25" t="n"/>
      <c r="S2777" s="26">
        <f>IF($A2777="","",AND(OR('Assignment Builder'!$B$5="",$B2777='Assignment Builder'!$B$5),OR('Assignment Builder'!$B$6="",ISNUMBER(SEARCH('Assignment Builder'!$B$6,$C2777))),OR('Assignment Builder'!$B$7="",'Assignment Builder'!$B$7=IFERROR(INDEX('Category Dictionary'!$C$5:$C$135,MATCH($L2777,'Category Dictionary'!$D$5:$D$135,0)),"")),OR('Assignment Builder'!$B$8="",$D2777='Assignment Builder'!$B$8),OR('Assignment Builder'!$B$9="",$F2777='Assignment Builder'!$B$9),OR('Assignment Builder'!$B$10="",$O2777='Assignment Builder'!$B$10),OR('Assignment Builder'!$B$11="",$H2777&gt;='Assignment Builder'!$B$11),OR('Assignment Builder'!$B$12="",N($Q2777)&lt;='Assignment Builder'!$B$12)))</f>
        <v/>
      </c>
      <c r="T2777" s="23" t="n"/>
    </row>
    <row r="2778">
      <c r="A2778" s="23" t="n"/>
      <c r="B2778" s="23" t="n"/>
      <c r="C2778" s="24" t="n"/>
      <c r="D2778" s="15" t="n"/>
      <c r="E2778" s="23" t="n"/>
      <c r="F2778" s="15" t="n"/>
      <c r="G2778" s="23" t="n"/>
      <c r="H2778" s="25" t="n"/>
      <c r="I2778" s="15" t="n"/>
      <c r="J2778" s="26">
        <f>IF($A2778="","",LEN($C2778)-LEN(SUBSTITUTE($C2778,",",""))+1)</f>
        <v/>
      </c>
      <c r="K2778" s="26">
        <f>IF($A2778="","",SUMPRODUCT(--ISNUMBER(SEARCH('Category Dictionary'!$D$5:$D$135&amp;"",$C2778)),--('Category Dictionary'!$D$5:$D$135&lt;&gt;"")))</f>
        <v/>
      </c>
      <c r="L2778" s="27">
        <f>IF($A2778="","",TRIM(IF(ISERROR(FIND(",",$C2778)),$C2778,LEFT($C2778,FIND(",",$C2778)-1))))</f>
        <v/>
      </c>
      <c r="M2778" s="28">
        <f>IF($H2778="","",DATE(YEAR($H2778),MONTH($H2778),1))</f>
        <v/>
      </c>
      <c r="N2778" s="26">
        <f>IF($H2778="","",TODAY()-$H2778)</f>
        <v/>
      </c>
      <c r="O2778" s="15" t="n"/>
      <c r="P2778" s="15" t="n"/>
      <c r="Q2778" s="15" t="n"/>
      <c r="R2778" s="25" t="n"/>
      <c r="S2778" s="26">
        <f>IF($A2778="","",AND(OR('Assignment Builder'!$B$5="",$B2778='Assignment Builder'!$B$5),OR('Assignment Builder'!$B$6="",ISNUMBER(SEARCH('Assignment Builder'!$B$6,$C2778))),OR('Assignment Builder'!$B$7="",'Assignment Builder'!$B$7=IFERROR(INDEX('Category Dictionary'!$C$5:$C$135,MATCH($L2778,'Category Dictionary'!$D$5:$D$135,0)),"")),OR('Assignment Builder'!$B$8="",$D2778='Assignment Builder'!$B$8),OR('Assignment Builder'!$B$9="",$F2778='Assignment Builder'!$B$9),OR('Assignment Builder'!$B$10="",$O2778='Assignment Builder'!$B$10),OR('Assignment Builder'!$B$11="",$H2778&gt;='Assignment Builder'!$B$11),OR('Assignment Builder'!$B$12="",N($Q2778)&lt;='Assignment Builder'!$B$12)))</f>
        <v/>
      </c>
      <c r="T2778" s="23" t="n"/>
    </row>
    <row r="2779">
      <c r="A2779" s="23" t="n"/>
      <c r="B2779" s="23" t="n"/>
      <c r="C2779" s="24" t="n"/>
      <c r="D2779" s="15" t="n"/>
      <c r="E2779" s="23" t="n"/>
      <c r="F2779" s="15" t="n"/>
      <c r="G2779" s="23" t="n"/>
      <c r="H2779" s="25" t="n"/>
      <c r="I2779" s="15" t="n"/>
      <c r="J2779" s="26">
        <f>IF($A2779="","",LEN($C2779)-LEN(SUBSTITUTE($C2779,",",""))+1)</f>
        <v/>
      </c>
      <c r="K2779" s="26">
        <f>IF($A2779="","",SUMPRODUCT(--ISNUMBER(SEARCH('Category Dictionary'!$D$5:$D$135&amp;"",$C2779)),--('Category Dictionary'!$D$5:$D$135&lt;&gt;"")))</f>
        <v/>
      </c>
      <c r="L2779" s="27">
        <f>IF($A2779="","",TRIM(IF(ISERROR(FIND(",",$C2779)),$C2779,LEFT($C2779,FIND(",",$C2779)-1))))</f>
        <v/>
      </c>
      <c r="M2779" s="28">
        <f>IF($H2779="","",DATE(YEAR($H2779),MONTH($H2779),1))</f>
        <v/>
      </c>
      <c r="N2779" s="26">
        <f>IF($H2779="","",TODAY()-$H2779)</f>
        <v/>
      </c>
      <c r="O2779" s="15" t="n"/>
      <c r="P2779" s="15" t="n"/>
      <c r="Q2779" s="15" t="n"/>
      <c r="R2779" s="25" t="n"/>
      <c r="S2779" s="26">
        <f>IF($A2779="","",AND(OR('Assignment Builder'!$B$5="",$B2779='Assignment Builder'!$B$5),OR('Assignment Builder'!$B$6="",ISNUMBER(SEARCH('Assignment Builder'!$B$6,$C2779))),OR('Assignment Builder'!$B$7="",'Assignment Builder'!$B$7=IFERROR(INDEX('Category Dictionary'!$C$5:$C$135,MATCH($L2779,'Category Dictionary'!$D$5:$D$135,0)),"")),OR('Assignment Builder'!$B$8="",$D2779='Assignment Builder'!$B$8),OR('Assignment Builder'!$B$9="",$F2779='Assignment Builder'!$B$9),OR('Assignment Builder'!$B$10="",$O2779='Assignment Builder'!$B$10),OR('Assignment Builder'!$B$11="",$H2779&gt;='Assignment Builder'!$B$11),OR('Assignment Builder'!$B$12="",N($Q2779)&lt;='Assignment Builder'!$B$12)))</f>
        <v/>
      </c>
      <c r="T2779" s="23" t="n"/>
    </row>
    <row r="2780">
      <c r="A2780" s="23" t="n"/>
      <c r="B2780" s="23" t="n"/>
      <c r="C2780" s="24" t="n"/>
      <c r="D2780" s="15" t="n"/>
      <c r="E2780" s="23" t="n"/>
      <c r="F2780" s="15" t="n"/>
      <c r="G2780" s="23" t="n"/>
      <c r="H2780" s="25" t="n"/>
      <c r="I2780" s="15" t="n"/>
      <c r="J2780" s="26">
        <f>IF($A2780="","",LEN($C2780)-LEN(SUBSTITUTE($C2780,",",""))+1)</f>
        <v/>
      </c>
      <c r="K2780" s="26">
        <f>IF($A2780="","",SUMPRODUCT(--ISNUMBER(SEARCH('Category Dictionary'!$D$5:$D$135&amp;"",$C2780)),--('Category Dictionary'!$D$5:$D$135&lt;&gt;"")))</f>
        <v/>
      </c>
      <c r="L2780" s="27">
        <f>IF($A2780="","",TRIM(IF(ISERROR(FIND(",",$C2780)),$C2780,LEFT($C2780,FIND(",",$C2780)-1))))</f>
        <v/>
      </c>
      <c r="M2780" s="28">
        <f>IF($H2780="","",DATE(YEAR($H2780),MONTH($H2780),1))</f>
        <v/>
      </c>
      <c r="N2780" s="26">
        <f>IF($H2780="","",TODAY()-$H2780)</f>
        <v/>
      </c>
      <c r="O2780" s="15" t="n"/>
      <c r="P2780" s="15" t="n"/>
      <c r="Q2780" s="15" t="n"/>
      <c r="R2780" s="25" t="n"/>
      <c r="S2780" s="26">
        <f>IF($A2780="","",AND(OR('Assignment Builder'!$B$5="",$B2780='Assignment Builder'!$B$5),OR('Assignment Builder'!$B$6="",ISNUMBER(SEARCH('Assignment Builder'!$B$6,$C2780))),OR('Assignment Builder'!$B$7="",'Assignment Builder'!$B$7=IFERROR(INDEX('Category Dictionary'!$C$5:$C$135,MATCH($L2780,'Category Dictionary'!$D$5:$D$135,0)),"")),OR('Assignment Builder'!$B$8="",$D2780='Assignment Builder'!$B$8),OR('Assignment Builder'!$B$9="",$F2780='Assignment Builder'!$B$9),OR('Assignment Builder'!$B$10="",$O2780='Assignment Builder'!$B$10),OR('Assignment Builder'!$B$11="",$H2780&gt;='Assignment Builder'!$B$11),OR('Assignment Builder'!$B$12="",N($Q2780)&lt;='Assignment Builder'!$B$12)))</f>
        <v/>
      </c>
      <c r="T2780" s="23" t="n"/>
    </row>
    <row r="2781">
      <c r="A2781" s="23" t="n"/>
      <c r="B2781" s="23" t="n"/>
      <c r="C2781" s="24" t="n"/>
      <c r="D2781" s="15" t="n"/>
      <c r="E2781" s="23" t="n"/>
      <c r="F2781" s="15" t="n"/>
      <c r="G2781" s="23" t="n"/>
      <c r="H2781" s="25" t="n"/>
      <c r="I2781" s="15" t="n"/>
      <c r="J2781" s="26">
        <f>IF($A2781="","",LEN($C2781)-LEN(SUBSTITUTE($C2781,",",""))+1)</f>
        <v/>
      </c>
      <c r="K2781" s="26">
        <f>IF($A2781="","",SUMPRODUCT(--ISNUMBER(SEARCH('Category Dictionary'!$D$5:$D$135&amp;"",$C2781)),--('Category Dictionary'!$D$5:$D$135&lt;&gt;"")))</f>
        <v/>
      </c>
      <c r="L2781" s="27">
        <f>IF($A2781="","",TRIM(IF(ISERROR(FIND(",",$C2781)),$C2781,LEFT($C2781,FIND(",",$C2781)-1))))</f>
        <v/>
      </c>
      <c r="M2781" s="28">
        <f>IF($H2781="","",DATE(YEAR($H2781),MONTH($H2781),1))</f>
        <v/>
      </c>
      <c r="N2781" s="26">
        <f>IF($H2781="","",TODAY()-$H2781)</f>
        <v/>
      </c>
      <c r="O2781" s="15" t="n"/>
      <c r="P2781" s="15" t="n"/>
      <c r="Q2781" s="15" t="n"/>
      <c r="R2781" s="25" t="n"/>
      <c r="S2781" s="26">
        <f>IF($A2781="","",AND(OR('Assignment Builder'!$B$5="",$B2781='Assignment Builder'!$B$5),OR('Assignment Builder'!$B$6="",ISNUMBER(SEARCH('Assignment Builder'!$B$6,$C2781))),OR('Assignment Builder'!$B$7="",'Assignment Builder'!$B$7=IFERROR(INDEX('Category Dictionary'!$C$5:$C$135,MATCH($L2781,'Category Dictionary'!$D$5:$D$135,0)),"")),OR('Assignment Builder'!$B$8="",$D2781='Assignment Builder'!$B$8),OR('Assignment Builder'!$B$9="",$F2781='Assignment Builder'!$B$9),OR('Assignment Builder'!$B$10="",$O2781='Assignment Builder'!$B$10),OR('Assignment Builder'!$B$11="",$H2781&gt;='Assignment Builder'!$B$11),OR('Assignment Builder'!$B$12="",N($Q2781)&lt;='Assignment Builder'!$B$12)))</f>
        <v/>
      </c>
      <c r="T2781" s="23" t="n"/>
    </row>
    <row r="2782">
      <c r="A2782" s="23" t="n"/>
      <c r="B2782" s="23" t="n"/>
      <c r="C2782" s="24" t="n"/>
      <c r="D2782" s="15" t="n"/>
      <c r="E2782" s="23" t="n"/>
      <c r="F2782" s="15" t="n"/>
      <c r="G2782" s="23" t="n"/>
      <c r="H2782" s="25" t="n"/>
      <c r="I2782" s="15" t="n"/>
      <c r="J2782" s="26">
        <f>IF($A2782="","",LEN($C2782)-LEN(SUBSTITUTE($C2782,",",""))+1)</f>
        <v/>
      </c>
      <c r="K2782" s="26">
        <f>IF($A2782="","",SUMPRODUCT(--ISNUMBER(SEARCH('Category Dictionary'!$D$5:$D$135&amp;"",$C2782)),--('Category Dictionary'!$D$5:$D$135&lt;&gt;"")))</f>
        <v/>
      </c>
      <c r="L2782" s="27">
        <f>IF($A2782="","",TRIM(IF(ISERROR(FIND(",",$C2782)),$C2782,LEFT($C2782,FIND(",",$C2782)-1))))</f>
        <v/>
      </c>
      <c r="M2782" s="28">
        <f>IF($H2782="","",DATE(YEAR($H2782),MONTH($H2782),1))</f>
        <v/>
      </c>
      <c r="N2782" s="26">
        <f>IF($H2782="","",TODAY()-$H2782)</f>
        <v/>
      </c>
      <c r="O2782" s="15" t="n"/>
      <c r="P2782" s="15" t="n"/>
      <c r="Q2782" s="15" t="n"/>
      <c r="R2782" s="25" t="n"/>
      <c r="S2782" s="26">
        <f>IF($A2782="","",AND(OR('Assignment Builder'!$B$5="",$B2782='Assignment Builder'!$B$5),OR('Assignment Builder'!$B$6="",ISNUMBER(SEARCH('Assignment Builder'!$B$6,$C2782))),OR('Assignment Builder'!$B$7="",'Assignment Builder'!$B$7=IFERROR(INDEX('Category Dictionary'!$C$5:$C$135,MATCH($L2782,'Category Dictionary'!$D$5:$D$135,0)),"")),OR('Assignment Builder'!$B$8="",$D2782='Assignment Builder'!$B$8),OR('Assignment Builder'!$B$9="",$F2782='Assignment Builder'!$B$9),OR('Assignment Builder'!$B$10="",$O2782='Assignment Builder'!$B$10),OR('Assignment Builder'!$B$11="",$H2782&gt;='Assignment Builder'!$B$11),OR('Assignment Builder'!$B$12="",N($Q2782)&lt;='Assignment Builder'!$B$12)))</f>
        <v/>
      </c>
      <c r="T2782" s="23" t="n"/>
    </row>
    <row r="2783">
      <c r="A2783" s="23" t="n"/>
      <c r="B2783" s="23" t="n"/>
      <c r="C2783" s="24" t="n"/>
      <c r="D2783" s="15" t="n"/>
      <c r="E2783" s="23" t="n"/>
      <c r="F2783" s="15" t="n"/>
      <c r="G2783" s="23" t="n"/>
      <c r="H2783" s="25" t="n"/>
      <c r="I2783" s="15" t="n"/>
      <c r="J2783" s="26">
        <f>IF($A2783="","",LEN($C2783)-LEN(SUBSTITUTE($C2783,",",""))+1)</f>
        <v/>
      </c>
      <c r="K2783" s="26">
        <f>IF($A2783="","",SUMPRODUCT(--ISNUMBER(SEARCH('Category Dictionary'!$D$5:$D$135&amp;"",$C2783)),--('Category Dictionary'!$D$5:$D$135&lt;&gt;"")))</f>
        <v/>
      </c>
      <c r="L2783" s="27">
        <f>IF($A2783="","",TRIM(IF(ISERROR(FIND(",",$C2783)),$C2783,LEFT($C2783,FIND(",",$C2783)-1))))</f>
        <v/>
      </c>
      <c r="M2783" s="28">
        <f>IF($H2783="","",DATE(YEAR($H2783),MONTH($H2783),1))</f>
        <v/>
      </c>
      <c r="N2783" s="26">
        <f>IF($H2783="","",TODAY()-$H2783)</f>
        <v/>
      </c>
      <c r="O2783" s="15" t="n"/>
      <c r="P2783" s="15" t="n"/>
      <c r="Q2783" s="15" t="n"/>
      <c r="R2783" s="25" t="n"/>
      <c r="S2783" s="26">
        <f>IF($A2783="","",AND(OR('Assignment Builder'!$B$5="",$B2783='Assignment Builder'!$B$5),OR('Assignment Builder'!$B$6="",ISNUMBER(SEARCH('Assignment Builder'!$B$6,$C2783))),OR('Assignment Builder'!$B$7="",'Assignment Builder'!$B$7=IFERROR(INDEX('Category Dictionary'!$C$5:$C$135,MATCH($L2783,'Category Dictionary'!$D$5:$D$135,0)),"")),OR('Assignment Builder'!$B$8="",$D2783='Assignment Builder'!$B$8),OR('Assignment Builder'!$B$9="",$F2783='Assignment Builder'!$B$9),OR('Assignment Builder'!$B$10="",$O2783='Assignment Builder'!$B$10),OR('Assignment Builder'!$B$11="",$H2783&gt;='Assignment Builder'!$B$11),OR('Assignment Builder'!$B$12="",N($Q2783)&lt;='Assignment Builder'!$B$12)))</f>
        <v/>
      </c>
      <c r="T2783" s="23" t="n"/>
    </row>
    <row r="2784">
      <c r="A2784" s="23" t="n"/>
      <c r="B2784" s="23" t="n"/>
      <c r="C2784" s="24" t="n"/>
      <c r="D2784" s="15" t="n"/>
      <c r="E2784" s="23" t="n"/>
      <c r="F2784" s="15" t="n"/>
      <c r="G2784" s="23" t="n"/>
      <c r="H2784" s="25" t="n"/>
      <c r="I2784" s="15" t="n"/>
      <c r="J2784" s="26">
        <f>IF($A2784="","",LEN($C2784)-LEN(SUBSTITUTE($C2784,",",""))+1)</f>
        <v/>
      </c>
      <c r="K2784" s="26">
        <f>IF($A2784="","",SUMPRODUCT(--ISNUMBER(SEARCH('Category Dictionary'!$D$5:$D$135&amp;"",$C2784)),--('Category Dictionary'!$D$5:$D$135&lt;&gt;"")))</f>
        <v/>
      </c>
      <c r="L2784" s="27">
        <f>IF($A2784="","",TRIM(IF(ISERROR(FIND(",",$C2784)),$C2784,LEFT($C2784,FIND(",",$C2784)-1))))</f>
        <v/>
      </c>
      <c r="M2784" s="28">
        <f>IF($H2784="","",DATE(YEAR($H2784),MONTH($H2784),1))</f>
        <v/>
      </c>
      <c r="N2784" s="26">
        <f>IF($H2784="","",TODAY()-$H2784)</f>
        <v/>
      </c>
      <c r="O2784" s="15" t="n"/>
      <c r="P2784" s="15" t="n"/>
      <c r="Q2784" s="15" t="n"/>
      <c r="R2784" s="25" t="n"/>
      <c r="S2784" s="26">
        <f>IF($A2784="","",AND(OR('Assignment Builder'!$B$5="",$B2784='Assignment Builder'!$B$5),OR('Assignment Builder'!$B$6="",ISNUMBER(SEARCH('Assignment Builder'!$B$6,$C2784))),OR('Assignment Builder'!$B$7="",'Assignment Builder'!$B$7=IFERROR(INDEX('Category Dictionary'!$C$5:$C$135,MATCH($L2784,'Category Dictionary'!$D$5:$D$135,0)),"")),OR('Assignment Builder'!$B$8="",$D2784='Assignment Builder'!$B$8),OR('Assignment Builder'!$B$9="",$F2784='Assignment Builder'!$B$9),OR('Assignment Builder'!$B$10="",$O2784='Assignment Builder'!$B$10),OR('Assignment Builder'!$B$11="",$H2784&gt;='Assignment Builder'!$B$11),OR('Assignment Builder'!$B$12="",N($Q2784)&lt;='Assignment Builder'!$B$12)))</f>
        <v/>
      </c>
      <c r="T2784" s="23" t="n"/>
    </row>
    <row r="2785">
      <c r="A2785" s="23" t="n"/>
      <c r="B2785" s="23" t="n"/>
      <c r="C2785" s="24" t="n"/>
      <c r="D2785" s="15" t="n"/>
      <c r="E2785" s="23" t="n"/>
      <c r="F2785" s="15" t="n"/>
      <c r="G2785" s="23" t="n"/>
      <c r="H2785" s="25" t="n"/>
      <c r="I2785" s="15" t="n"/>
      <c r="J2785" s="26">
        <f>IF($A2785="","",LEN($C2785)-LEN(SUBSTITUTE($C2785,",",""))+1)</f>
        <v/>
      </c>
      <c r="K2785" s="26">
        <f>IF($A2785="","",SUMPRODUCT(--ISNUMBER(SEARCH('Category Dictionary'!$D$5:$D$135&amp;"",$C2785)),--('Category Dictionary'!$D$5:$D$135&lt;&gt;"")))</f>
        <v/>
      </c>
      <c r="L2785" s="27">
        <f>IF($A2785="","",TRIM(IF(ISERROR(FIND(",",$C2785)),$C2785,LEFT($C2785,FIND(",",$C2785)-1))))</f>
        <v/>
      </c>
      <c r="M2785" s="28">
        <f>IF($H2785="","",DATE(YEAR($H2785),MONTH($H2785),1))</f>
        <v/>
      </c>
      <c r="N2785" s="26">
        <f>IF($H2785="","",TODAY()-$H2785)</f>
        <v/>
      </c>
      <c r="O2785" s="15" t="n"/>
      <c r="P2785" s="15" t="n"/>
      <c r="Q2785" s="15" t="n"/>
      <c r="R2785" s="25" t="n"/>
      <c r="S2785" s="26">
        <f>IF($A2785="","",AND(OR('Assignment Builder'!$B$5="",$B2785='Assignment Builder'!$B$5),OR('Assignment Builder'!$B$6="",ISNUMBER(SEARCH('Assignment Builder'!$B$6,$C2785))),OR('Assignment Builder'!$B$7="",'Assignment Builder'!$B$7=IFERROR(INDEX('Category Dictionary'!$C$5:$C$135,MATCH($L2785,'Category Dictionary'!$D$5:$D$135,0)),"")),OR('Assignment Builder'!$B$8="",$D2785='Assignment Builder'!$B$8),OR('Assignment Builder'!$B$9="",$F2785='Assignment Builder'!$B$9),OR('Assignment Builder'!$B$10="",$O2785='Assignment Builder'!$B$10),OR('Assignment Builder'!$B$11="",$H2785&gt;='Assignment Builder'!$B$11),OR('Assignment Builder'!$B$12="",N($Q2785)&lt;='Assignment Builder'!$B$12)))</f>
        <v/>
      </c>
      <c r="T2785" s="23" t="n"/>
    </row>
    <row r="2786">
      <c r="A2786" s="23" t="n"/>
      <c r="B2786" s="23" t="n"/>
      <c r="C2786" s="24" t="n"/>
      <c r="D2786" s="15" t="n"/>
      <c r="E2786" s="23" t="n"/>
      <c r="F2786" s="15" t="n"/>
      <c r="G2786" s="23" t="n"/>
      <c r="H2786" s="25" t="n"/>
      <c r="I2786" s="15" t="n"/>
      <c r="J2786" s="26">
        <f>IF($A2786="","",LEN($C2786)-LEN(SUBSTITUTE($C2786,",",""))+1)</f>
        <v/>
      </c>
      <c r="K2786" s="26">
        <f>IF($A2786="","",SUMPRODUCT(--ISNUMBER(SEARCH('Category Dictionary'!$D$5:$D$135&amp;"",$C2786)),--('Category Dictionary'!$D$5:$D$135&lt;&gt;"")))</f>
        <v/>
      </c>
      <c r="L2786" s="27">
        <f>IF($A2786="","",TRIM(IF(ISERROR(FIND(",",$C2786)),$C2786,LEFT($C2786,FIND(",",$C2786)-1))))</f>
        <v/>
      </c>
      <c r="M2786" s="28">
        <f>IF($H2786="","",DATE(YEAR($H2786),MONTH($H2786),1))</f>
        <v/>
      </c>
      <c r="N2786" s="26">
        <f>IF($H2786="","",TODAY()-$H2786)</f>
        <v/>
      </c>
      <c r="O2786" s="15" t="n"/>
      <c r="P2786" s="15" t="n"/>
      <c r="Q2786" s="15" t="n"/>
      <c r="R2786" s="25" t="n"/>
      <c r="S2786" s="26">
        <f>IF($A2786="","",AND(OR('Assignment Builder'!$B$5="",$B2786='Assignment Builder'!$B$5),OR('Assignment Builder'!$B$6="",ISNUMBER(SEARCH('Assignment Builder'!$B$6,$C2786))),OR('Assignment Builder'!$B$7="",'Assignment Builder'!$B$7=IFERROR(INDEX('Category Dictionary'!$C$5:$C$135,MATCH($L2786,'Category Dictionary'!$D$5:$D$135,0)),"")),OR('Assignment Builder'!$B$8="",$D2786='Assignment Builder'!$B$8),OR('Assignment Builder'!$B$9="",$F2786='Assignment Builder'!$B$9),OR('Assignment Builder'!$B$10="",$O2786='Assignment Builder'!$B$10),OR('Assignment Builder'!$B$11="",$H2786&gt;='Assignment Builder'!$B$11),OR('Assignment Builder'!$B$12="",N($Q2786)&lt;='Assignment Builder'!$B$12)))</f>
        <v/>
      </c>
      <c r="T2786" s="23" t="n"/>
    </row>
    <row r="2787">
      <c r="A2787" s="23" t="n"/>
      <c r="B2787" s="23" t="n"/>
      <c r="C2787" s="24" t="n"/>
      <c r="D2787" s="15" t="n"/>
      <c r="E2787" s="23" t="n"/>
      <c r="F2787" s="15" t="n"/>
      <c r="G2787" s="23" t="n"/>
      <c r="H2787" s="25" t="n"/>
      <c r="I2787" s="15" t="n"/>
      <c r="J2787" s="26">
        <f>IF($A2787="","",LEN($C2787)-LEN(SUBSTITUTE($C2787,",",""))+1)</f>
        <v/>
      </c>
      <c r="K2787" s="26">
        <f>IF($A2787="","",SUMPRODUCT(--ISNUMBER(SEARCH('Category Dictionary'!$D$5:$D$135&amp;"",$C2787)),--('Category Dictionary'!$D$5:$D$135&lt;&gt;"")))</f>
        <v/>
      </c>
      <c r="L2787" s="27">
        <f>IF($A2787="","",TRIM(IF(ISERROR(FIND(",",$C2787)),$C2787,LEFT($C2787,FIND(",",$C2787)-1))))</f>
        <v/>
      </c>
      <c r="M2787" s="28">
        <f>IF($H2787="","",DATE(YEAR($H2787),MONTH($H2787),1))</f>
        <v/>
      </c>
      <c r="N2787" s="26">
        <f>IF($H2787="","",TODAY()-$H2787)</f>
        <v/>
      </c>
      <c r="O2787" s="15" t="n"/>
      <c r="P2787" s="15" t="n"/>
      <c r="Q2787" s="15" t="n"/>
      <c r="R2787" s="25" t="n"/>
      <c r="S2787" s="26">
        <f>IF($A2787="","",AND(OR('Assignment Builder'!$B$5="",$B2787='Assignment Builder'!$B$5),OR('Assignment Builder'!$B$6="",ISNUMBER(SEARCH('Assignment Builder'!$B$6,$C2787))),OR('Assignment Builder'!$B$7="",'Assignment Builder'!$B$7=IFERROR(INDEX('Category Dictionary'!$C$5:$C$135,MATCH($L2787,'Category Dictionary'!$D$5:$D$135,0)),"")),OR('Assignment Builder'!$B$8="",$D2787='Assignment Builder'!$B$8),OR('Assignment Builder'!$B$9="",$F2787='Assignment Builder'!$B$9),OR('Assignment Builder'!$B$10="",$O2787='Assignment Builder'!$B$10),OR('Assignment Builder'!$B$11="",$H2787&gt;='Assignment Builder'!$B$11),OR('Assignment Builder'!$B$12="",N($Q2787)&lt;='Assignment Builder'!$B$12)))</f>
        <v/>
      </c>
      <c r="T2787" s="23" t="n"/>
    </row>
    <row r="2788">
      <c r="A2788" s="23" t="n"/>
      <c r="B2788" s="23" t="n"/>
      <c r="C2788" s="24" t="n"/>
      <c r="D2788" s="15" t="n"/>
      <c r="E2788" s="23" t="n"/>
      <c r="F2788" s="15" t="n"/>
      <c r="G2788" s="23" t="n"/>
      <c r="H2788" s="25" t="n"/>
      <c r="I2788" s="15" t="n"/>
      <c r="J2788" s="26">
        <f>IF($A2788="","",LEN($C2788)-LEN(SUBSTITUTE($C2788,",",""))+1)</f>
        <v/>
      </c>
      <c r="K2788" s="26">
        <f>IF($A2788="","",SUMPRODUCT(--ISNUMBER(SEARCH('Category Dictionary'!$D$5:$D$135&amp;"",$C2788)),--('Category Dictionary'!$D$5:$D$135&lt;&gt;"")))</f>
        <v/>
      </c>
      <c r="L2788" s="27">
        <f>IF($A2788="","",TRIM(IF(ISERROR(FIND(",",$C2788)),$C2788,LEFT($C2788,FIND(",",$C2788)-1))))</f>
        <v/>
      </c>
      <c r="M2788" s="28">
        <f>IF($H2788="","",DATE(YEAR($H2788),MONTH($H2788),1))</f>
        <v/>
      </c>
      <c r="N2788" s="26">
        <f>IF($H2788="","",TODAY()-$H2788)</f>
        <v/>
      </c>
      <c r="O2788" s="15" t="n"/>
      <c r="P2788" s="15" t="n"/>
      <c r="Q2788" s="15" t="n"/>
      <c r="R2788" s="25" t="n"/>
      <c r="S2788" s="26">
        <f>IF($A2788="","",AND(OR('Assignment Builder'!$B$5="",$B2788='Assignment Builder'!$B$5),OR('Assignment Builder'!$B$6="",ISNUMBER(SEARCH('Assignment Builder'!$B$6,$C2788))),OR('Assignment Builder'!$B$7="",'Assignment Builder'!$B$7=IFERROR(INDEX('Category Dictionary'!$C$5:$C$135,MATCH($L2788,'Category Dictionary'!$D$5:$D$135,0)),"")),OR('Assignment Builder'!$B$8="",$D2788='Assignment Builder'!$B$8),OR('Assignment Builder'!$B$9="",$F2788='Assignment Builder'!$B$9),OR('Assignment Builder'!$B$10="",$O2788='Assignment Builder'!$B$10),OR('Assignment Builder'!$B$11="",$H2788&gt;='Assignment Builder'!$B$11),OR('Assignment Builder'!$B$12="",N($Q2788)&lt;='Assignment Builder'!$B$12)))</f>
        <v/>
      </c>
      <c r="T2788" s="23" t="n"/>
    </row>
    <row r="2789">
      <c r="A2789" s="23" t="n"/>
      <c r="B2789" s="23" t="n"/>
      <c r="C2789" s="24" t="n"/>
      <c r="D2789" s="15" t="n"/>
      <c r="E2789" s="23" t="n"/>
      <c r="F2789" s="15" t="n"/>
      <c r="G2789" s="23" t="n"/>
      <c r="H2789" s="25" t="n"/>
      <c r="I2789" s="15" t="n"/>
      <c r="J2789" s="26">
        <f>IF($A2789="","",LEN($C2789)-LEN(SUBSTITUTE($C2789,",",""))+1)</f>
        <v/>
      </c>
      <c r="K2789" s="26">
        <f>IF($A2789="","",SUMPRODUCT(--ISNUMBER(SEARCH('Category Dictionary'!$D$5:$D$135&amp;"",$C2789)),--('Category Dictionary'!$D$5:$D$135&lt;&gt;"")))</f>
        <v/>
      </c>
      <c r="L2789" s="27">
        <f>IF($A2789="","",TRIM(IF(ISERROR(FIND(",",$C2789)),$C2789,LEFT($C2789,FIND(",",$C2789)-1))))</f>
        <v/>
      </c>
      <c r="M2789" s="28">
        <f>IF($H2789="","",DATE(YEAR($H2789),MONTH($H2789),1))</f>
        <v/>
      </c>
      <c r="N2789" s="26">
        <f>IF($H2789="","",TODAY()-$H2789)</f>
        <v/>
      </c>
      <c r="O2789" s="15" t="n"/>
      <c r="P2789" s="15" t="n"/>
      <c r="Q2789" s="15" t="n"/>
      <c r="R2789" s="25" t="n"/>
      <c r="S2789" s="26">
        <f>IF($A2789="","",AND(OR('Assignment Builder'!$B$5="",$B2789='Assignment Builder'!$B$5),OR('Assignment Builder'!$B$6="",ISNUMBER(SEARCH('Assignment Builder'!$B$6,$C2789))),OR('Assignment Builder'!$B$7="",'Assignment Builder'!$B$7=IFERROR(INDEX('Category Dictionary'!$C$5:$C$135,MATCH($L2789,'Category Dictionary'!$D$5:$D$135,0)),"")),OR('Assignment Builder'!$B$8="",$D2789='Assignment Builder'!$B$8),OR('Assignment Builder'!$B$9="",$F2789='Assignment Builder'!$B$9),OR('Assignment Builder'!$B$10="",$O2789='Assignment Builder'!$B$10),OR('Assignment Builder'!$B$11="",$H2789&gt;='Assignment Builder'!$B$11),OR('Assignment Builder'!$B$12="",N($Q2789)&lt;='Assignment Builder'!$B$12)))</f>
        <v/>
      </c>
      <c r="T2789" s="23" t="n"/>
    </row>
    <row r="2790">
      <c r="A2790" s="23" t="n"/>
      <c r="B2790" s="23" t="n"/>
      <c r="C2790" s="24" t="n"/>
      <c r="D2790" s="15" t="n"/>
      <c r="E2790" s="23" t="n"/>
      <c r="F2790" s="15" t="n"/>
      <c r="G2790" s="23" t="n"/>
      <c r="H2790" s="25" t="n"/>
      <c r="I2790" s="15" t="n"/>
      <c r="J2790" s="26">
        <f>IF($A2790="","",LEN($C2790)-LEN(SUBSTITUTE($C2790,",",""))+1)</f>
        <v/>
      </c>
      <c r="K2790" s="26">
        <f>IF($A2790="","",SUMPRODUCT(--ISNUMBER(SEARCH('Category Dictionary'!$D$5:$D$135&amp;"",$C2790)),--('Category Dictionary'!$D$5:$D$135&lt;&gt;"")))</f>
        <v/>
      </c>
      <c r="L2790" s="27">
        <f>IF($A2790="","",TRIM(IF(ISERROR(FIND(",",$C2790)),$C2790,LEFT($C2790,FIND(",",$C2790)-1))))</f>
        <v/>
      </c>
      <c r="M2790" s="28">
        <f>IF($H2790="","",DATE(YEAR($H2790),MONTH($H2790),1))</f>
        <v/>
      </c>
      <c r="N2790" s="26">
        <f>IF($H2790="","",TODAY()-$H2790)</f>
        <v/>
      </c>
      <c r="O2790" s="15" t="n"/>
      <c r="P2790" s="15" t="n"/>
      <c r="Q2790" s="15" t="n"/>
      <c r="R2790" s="25" t="n"/>
      <c r="S2790" s="26">
        <f>IF($A2790="","",AND(OR('Assignment Builder'!$B$5="",$B2790='Assignment Builder'!$B$5),OR('Assignment Builder'!$B$6="",ISNUMBER(SEARCH('Assignment Builder'!$B$6,$C2790))),OR('Assignment Builder'!$B$7="",'Assignment Builder'!$B$7=IFERROR(INDEX('Category Dictionary'!$C$5:$C$135,MATCH($L2790,'Category Dictionary'!$D$5:$D$135,0)),"")),OR('Assignment Builder'!$B$8="",$D2790='Assignment Builder'!$B$8),OR('Assignment Builder'!$B$9="",$F2790='Assignment Builder'!$B$9),OR('Assignment Builder'!$B$10="",$O2790='Assignment Builder'!$B$10),OR('Assignment Builder'!$B$11="",$H2790&gt;='Assignment Builder'!$B$11),OR('Assignment Builder'!$B$12="",N($Q2790)&lt;='Assignment Builder'!$B$12)))</f>
        <v/>
      </c>
      <c r="T2790" s="23" t="n"/>
    </row>
    <row r="2791">
      <c r="A2791" s="23" t="n"/>
      <c r="B2791" s="23" t="n"/>
      <c r="C2791" s="24" t="n"/>
      <c r="D2791" s="15" t="n"/>
      <c r="E2791" s="23" t="n"/>
      <c r="F2791" s="15" t="n"/>
      <c r="G2791" s="23" t="n"/>
      <c r="H2791" s="25" t="n"/>
      <c r="I2791" s="15" t="n"/>
      <c r="J2791" s="26">
        <f>IF($A2791="","",LEN($C2791)-LEN(SUBSTITUTE($C2791,",",""))+1)</f>
        <v/>
      </c>
      <c r="K2791" s="26">
        <f>IF($A2791="","",SUMPRODUCT(--ISNUMBER(SEARCH('Category Dictionary'!$D$5:$D$135&amp;"",$C2791)),--('Category Dictionary'!$D$5:$D$135&lt;&gt;"")))</f>
        <v/>
      </c>
      <c r="L2791" s="27">
        <f>IF($A2791="","",TRIM(IF(ISERROR(FIND(",",$C2791)),$C2791,LEFT($C2791,FIND(",",$C2791)-1))))</f>
        <v/>
      </c>
      <c r="M2791" s="28">
        <f>IF($H2791="","",DATE(YEAR($H2791),MONTH($H2791),1))</f>
        <v/>
      </c>
      <c r="N2791" s="26">
        <f>IF($H2791="","",TODAY()-$H2791)</f>
        <v/>
      </c>
      <c r="O2791" s="15" t="n"/>
      <c r="P2791" s="15" t="n"/>
      <c r="Q2791" s="15" t="n"/>
      <c r="R2791" s="25" t="n"/>
      <c r="S2791" s="26">
        <f>IF($A2791="","",AND(OR('Assignment Builder'!$B$5="",$B2791='Assignment Builder'!$B$5),OR('Assignment Builder'!$B$6="",ISNUMBER(SEARCH('Assignment Builder'!$B$6,$C2791))),OR('Assignment Builder'!$B$7="",'Assignment Builder'!$B$7=IFERROR(INDEX('Category Dictionary'!$C$5:$C$135,MATCH($L2791,'Category Dictionary'!$D$5:$D$135,0)),"")),OR('Assignment Builder'!$B$8="",$D2791='Assignment Builder'!$B$8),OR('Assignment Builder'!$B$9="",$F2791='Assignment Builder'!$B$9),OR('Assignment Builder'!$B$10="",$O2791='Assignment Builder'!$B$10),OR('Assignment Builder'!$B$11="",$H2791&gt;='Assignment Builder'!$B$11),OR('Assignment Builder'!$B$12="",N($Q2791)&lt;='Assignment Builder'!$B$12)))</f>
        <v/>
      </c>
      <c r="T2791" s="23" t="n"/>
    </row>
    <row r="2792">
      <c r="A2792" s="23" t="n"/>
      <c r="B2792" s="23" t="n"/>
      <c r="C2792" s="24" t="n"/>
      <c r="D2792" s="15" t="n"/>
      <c r="E2792" s="23" t="n"/>
      <c r="F2792" s="15" t="n"/>
      <c r="G2792" s="23" t="n"/>
      <c r="H2792" s="25" t="n"/>
      <c r="I2792" s="15" t="n"/>
      <c r="J2792" s="26">
        <f>IF($A2792="","",LEN($C2792)-LEN(SUBSTITUTE($C2792,",",""))+1)</f>
        <v/>
      </c>
      <c r="K2792" s="26">
        <f>IF($A2792="","",SUMPRODUCT(--ISNUMBER(SEARCH('Category Dictionary'!$D$5:$D$135&amp;"",$C2792)),--('Category Dictionary'!$D$5:$D$135&lt;&gt;"")))</f>
        <v/>
      </c>
      <c r="L2792" s="27">
        <f>IF($A2792="","",TRIM(IF(ISERROR(FIND(",",$C2792)),$C2792,LEFT($C2792,FIND(",",$C2792)-1))))</f>
        <v/>
      </c>
      <c r="M2792" s="28">
        <f>IF($H2792="","",DATE(YEAR($H2792),MONTH($H2792),1))</f>
        <v/>
      </c>
      <c r="N2792" s="26">
        <f>IF($H2792="","",TODAY()-$H2792)</f>
        <v/>
      </c>
      <c r="O2792" s="15" t="n"/>
      <c r="P2792" s="15" t="n"/>
      <c r="Q2792" s="15" t="n"/>
      <c r="R2792" s="25" t="n"/>
      <c r="S2792" s="26">
        <f>IF($A2792="","",AND(OR('Assignment Builder'!$B$5="",$B2792='Assignment Builder'!$B$5),OR('Assignment Builder'!$B$6="",ISNUMBER(SEARCH('Assignment Builder'!$B$6,$C2792))),OR('Assignment Builder'!$B$7="",'Assignment Builder'!$B$7=IFERROR(INDEX('Category Dictionary'!$C$5:$C$135,MATCH($L2792,'Category Dictionary'!$D$5:$D$135,0)),"")),OR('Assignment Builder'!$B$8="",$D2792='Assignment Builder'!$B$8),OR('Assignment Builder'!$B$9="",$F2792='Assignment Builder'!$B$9),OR('Assignment Builder'!$B$10="",$O2792='Assignment Builder'!$B$10),OR('Assignment Builder'!$B$11="",$H2792&gt;='Assignment Builder'!$B$11),OR('Assignment Builder'!$B$12="",N($Q2792)&lt;='Assignment Builder'!$B$12)))</f>
        <v/>
      </c>
      <c r="T2792" s="23" t="n"/>
    </row>
    <row r="2793">
      <c r="A2793" s="23" t="n"/>
      <c r="B2793" s="23" t="n"/>
      <c r="C2793" s="24" t="n"/>
      <c r="D2793" s="15" t="n"/>
      <c r="E2793" s="23" t="n"/>
      <c r="F2793" s="15" t="n"/>
      <c r="G2793" s="23" t="n"/>
      <c r="H2793" s="25" t="n"/>
      <c r="I2793" s="15" t="n"/>
      <c r="J2793" s="26">
        <f>IF($A2793="","",LEN($C2793)-LEN(SUBSTITUTE($C2793,",",""))+1)</f>
        <v/>
      </c>
      <c r="K2793" s="26">
        <f>IF($A2793="","",SUMPRODUCT(--ISNUMBER(SEARCH('Category Dictionary'!$D$5:$D$135&amp;"",$C2793)),--('Category Dictionary'!$D$5:$D$135&lt;&gt;"")))</f>
        <v/>
      </c>
      <c r="L2793" s="27">
        <f>IF($A2793="","",TRIM(IF(ISERROR(FIND(",",$C2793)),$C2793,LEFT($C2793,FIND(",",$C2793)-1))))</f>
        <v/>
      </c>
      <c r="M2793" s="28">
        <f>IF($H2793="","",DATE(YEAR($H2793),MONTH($H2793),1))</f>
        <v/>
      </c>
      <c r="N2793" s="26">
        <f>IF($H2793="","",TODAY()-$H2793)</f>
        <v/>
      </c>
      <c r="O2793" s="15" t="n"/>
      <c r="P2793" s="15" t="n"/>
      <c r="Q2793" s="15" t="n"/>
      <c r="R2793" s="25" t="n"/>
      <c r="S2793" s="26">
        <f>IF($A2793="","",AND(OR('Assignment Builder'!$B$5="",$B2793='Assignment Builder'!$B$5),OR('Assignment Builder'!$B$6="",ISNUMBER(SEARCH('Assignment Builder'!$B$6,$C2793))),OR('Assignment Builder'!$B$7="",'Assignment Builder'!$B$7=IFERROR(INDEX('Category Dictionary'!$C$5:$C$135,MATCH($L2793,'Category Dictionary'!$D$5:$D$135,0)),"")),OR('Assignment Builder'!$B$8="",$D2793='Assignment Builder'!$B$8),OR('Assignment Builder'!$B$9="",$F2793='Assignment Builder'!$B$9),OR('Assignment Builder'!$B$10="",$O2793='Assignment Builder'!$B$10),OR('Assignment Builder'!$B$11="",$H2793&gt;='Assignment Builder'!$B$11),OR('Assignment Builder'!$B$12="",N($Q2793)&lt;='Assignment Builder'!$B$12)))</f>
        <v/>
      </c>
      <c r="T2793" s="23" t="n"/>
    </row>
    <row r="2794">
      <c r="A2794" s="23" t="n"/>
      <c r="B2794" s="23" t="n"/>
      <c r="C2794" s="24" t="n"/>
      <c r="D2794" s="15" t="n"/>
      <c r="E2794" s="23" t="n"/>
      <c r="F2794" s="15" t="n"/>
      <c r="G2794" s="23" t="n"/>
      <c r="H2794" s="25" t="n"/>
      <c r="I2794" s="15" t="n"/>
      <c r="J2794" s="26">
        <f>IF($A2794="","",LEN($C2794)-LEN(SUBSTITUTE($C2794,",",""))+1)</f>
        <v/>
      </c>
      <c r="K2794" s="26">
        <f>IF($A2794="","",SUMPRODUCT(--ISNUMBER(SEARCH('Category Dictionary'!$D$5:$D$135&amp;"",$C2794)),--('Category Dictionary'!$D$5:$D$135&lt;&gt;"")))</f>
        <v/>
      </c>
      <c r="L2794" s="27">
        <f>IF($A2794="","",TRIM(IF(ISERROR(FIND(",",$C2794)),$C2794,LEFT($C2794,FIND(",",$C2794)-1))))</f>
        <v/>
      </c>
      <c r="M2794" s="28">
        <f>IF($H2794="","",DATE(YEAR($H2794),MONTH($H2794),1))</f>
        <v/>
      </c>
      <c r="N2794" s="26">
        <f>IF($H2794="","",TODAY()-$H2794)</f>
        <v/>
      </c>
      <c r="O2794" s="15" t="n"/>
      <c r="P2794" s="15" t="n"/>
      <c r="Q2794" s="15" t="n"/>
      <c r="R2794" s="25" t="n"/>
      <c r="S2794" s="26">
        <f>IF($A2794="","",AND(OR('Assignment Builder'!$B$5="",$B2794='Assignment Builder'!$B$5),OR('Assignment Builder'!$B$6="",ISNUMBER(SEARCH('Assignment Builder'!$B$6,$C2794))),OR('Assignment Builder'!$B$7="",'Assignment Builder'!$B$7=IFERROR(INDEX('Category Dictionary'!$C$5:$C$135,MATCH($L2794,'Category Dictionary'!$D$5:$D$135,0)),"")),OR('Assignment Builder'!$B$8="",$D2794='Assignment Builder'!$B$8),OR('Assignment Builder'!$B$9="",$F2794='Assignment Builder'!$B$9),OR('Assignment Builder'!$B$10="",$O2794='Assignment Builder'!$B$10),OR('Assignment Builder'!$B$11="",$H2794&gt;='Assignment Builder'!$B$11),OR('Assignment Builder'!$B$12="",N($Q2794)&lt;='Assignment Builder'!$B$12)))</f>
        <v/>
      </c>
      <c r="T2794" s="23" t="n"/>
    </row>
    <row r="2795">
      <c r="A2795" s="23" t="n"/>
      <c r="B2795" s="23" t="n"/>
      <c r="C2795" s="24" t="n"/>
      <c r="D2795" s="15" t="n"/>
      <c r="E2795" s="23" t="n"/>
      <c r="F2795" s="15" t="n"/>
      <c r="G2795" s="23" t="n"/>
      <c r="H2795" s="25" t="n"/>
      <c r="I2795" s="15" t="n"/>
      <c r="J2795" s="26">
        <f>IF($A2795="","",LEN($C2795)-LEN(SUBSTITUTE($C2795,",",""))+1)</f>
        <v/>
      </c>
      <c r="K2795" s="26">
        <f>IF($A2795="","",SUMPRODUCT(--ISNUMBER(SEARCH('Category Dictionary'!$D$5:$D$135&amp;"",$C2795)),--('Category Dictionary'!$D$5:$D$135&lt;&gt;"")))</f>
        <v/>
      </c>
      <c r="L2795" s="27">
        <f>IF($A2795="","",TRIM(IF(ISERROR(FIND(",",$C2795)),$C2795,LEFT($C2795,FIND(",",$C2795)-1))))</f>
        <v/>
      </c>
      <c r="M2795" s="28">
        <f>IF($H2795="","",DATE(YEAR($H2795),MONTH($H2795),1))</f>
        <v/>
      </c>
      <c r="N2795" s="26">
        <f>IF($H2795="","",TODAY()-$H2795)</f>
        <v/>
      </c>
      <c r="O2795" s="15" t="n"/>
      <c r="P2795" s="15" t="n"/>
      <c r="Q2795" s="15" t="n"/>
      <c r="R2795" s="25" t="n"/>
      <c r="S2795" s="26">
        <f>IF($A2795="","",AND(OR('Assignment Builder'!$B$5="",$B2795='Assignment Builder'!$B$5),OR('Assignment Builder'!$B$6="",ISNUMBER(SEARCH('Assignment Builder'!$B$6,$C2795))),OR('Assignment Builder'!$B$7="",'Assignment Builder'!$B$7=IFERROR(INDEX('Category Dictionary'!$C$5:$C$135,MATCH($L2795,'Category Dictionary'!$D$5:$D$135,0)),"")),OR('Assignment Builder'!$B$8="",$D2795='Assignment Builder'!$B$8),OR('Assignment Builder'!$B$9="",$F2795='Assignment Builder'!$B$9),OR('Assignment Builder'!$B$10="",$O2795='Assignment Builder'!$B$10),OR('Assignment Builder'!$B$11="",$H2795&gt;='Assignment Builder'!$B$11),OR('Assignment Builder'!$B$12="",N($Q2795)&lt;='Assignment Builder'!$B$12)))</f>
        <v/>
      </c>
      <c r="T2795" s="23" t="n"/>
    </row>
    <row r="2796">
      <c r="A2796" s="23" t="n"/>
      <c r="B2796" s="23" t="n"/>
      <c r="C2796" s="24" t="n"/>
      <c r="D2796" s="15" t="n"/>
      <c r="E2796" s="23" t="n"/>
      <c r="F2796" s="15" t="n"/>
      <c r="G2796" s="23" t="n"/>
      <c r="H2796" s="25" t="n"/>
      <c r="I2796" s="15" t="n"/>
      <c r="J2796" s="26">
        <f>IF($A2796="","",LEN($C2796)-LEN(SUBSTITUTE($C2796,",",""))+1)</f>
        <v/>
      </c>
      <c r="K2796" s="26">
        <f>IF($A2796="","",SUMPRODUCT(--ISNUMBER(SEARCH('Category Dictionary'!$D$5:$D$135&amp;"",$C2796)),--('Category Dictionary'!$D$5:$D$135&lt;&gt;"")))</f>
        <v/>
      </c>
      <c r="L2796" s="27">
        <f>IF($A2796="","",TRIM(IF(ISERROR(FIND(",",$C2796)),$C2796,LEFT($C2796,FIND(",",$C2796)-1))))</f>
        <v/>
      </c>
      <c r="M2796" s="28">
        <f>IF($H2796="","",DATE(YEAR($H2796),MONTH($H2796),1))</f>
        <v/>
      </c>
      <c r="N2796" s="26">
        <f>IF($H2796="","",TODAY()-$H2796)</f>
        <v/>
      </c>
      <c r="O2796" s="15" t="n"/>
      <c r="P2796" s="15" t="n"/>
      <c r="Q2796" s="15" t="n"/>
      <c r="R2796" s="25" t="n"/>
      <c r="S2796" s="26">
        <f>IF($A2796="","",AND(OR('Assignment Builder'!$B$5="",$B2796='Assignment Builder'!$B$5),OR('Assignment Builder'!$B$6="",ISNUMBER(SEARCH('Assignment Builder'!$B$6,$C2796))),OR('Assignment Builder'!$B$7="",'Assignment Builder'!$B$7=IFERROR(INDEX('Category Dictionary'!$C$5:$C$135,MATCH($L2796,'Category Dictionary'!$D$5:$D$135,0)),"")),OR('Assignment Builder'!$B$8="",$D2796='Assignment Builder'!$B$8),OR('Assignment Builder'!$B$9="",$F2796='Assignment Builder'!$B$9),OR('Assignment Builder'!$B$10="",$O2796='Assignment Builder'!$B$10),OR('Assignment Builder'!$B$11="",$H2796&gt;='Assignment Builder'!$B$11),OR('Assignment Builder'!$B$12="",N($Q2796)&lt;='Assignment Builder'!$B$12)))</f>
        <v/>
      </c>
      <c r="T2796" s="23" t="n"/>
    </row>
    <row r="2797">
      <c r="A2797" s="23" t="n"/>
      <c r="B2797" s="23" t="n"/>
      <c r="C2797" s="24" t="n"/>
      <c r="D2797" s="15" t="n"/>
      <c r="E2797" s="23" t="n"/>
      <c r="F2797" s="15" t="n"/>
      <c r="G2797" s="23" t="n"/>
      <c r="H2797" s="25" t="n"/>
      <c r="I2797" s="15" t="n"/>
      <c r="J2797" s="26">
        <f>IF($A2797="","",LEN($C2797)-LEN(SUBSTITUTE($C2797,",",""))+1)</f>
        <v/>
      </c>
      <c r="K2797" s="26">
        <f>IF($A2797="","",SUMPRODUCT(--ISNUMBER(SEARCH('Category Dictionary'!$D$5:$D$135&amp;"",$C2797)),--('Category Dictionary'!$D$5:$D$135&lt;&gt;"")))</f>
        <v/>
      </c>
      <c r="L2797" s="27">
        <f>IF($A2797="","",TRIM(IF(ISERROR(FIND(",",$C2797)),$C2797,LEFT($C2797,FIND(",",$C2797)-1))))</f>
        <v/>
      </c>
      <c r="M2797" s="28">
        <f>IF($H2797="","",DATE(YEAR($H2797),MONTH($H2797),1))</f>
        <v/>
      </c>
      <c r="N2797" s="26">
        <f>IF($H2797="","",TODAY()-$H2797)</f>
        <v/>
      </c>
      <c r="O2797" s="15" t="n"/>
      <c r="P2797" s="15" t="n"/>
      <c r="Q2797" s="15" t="n"/>
      <c r="R2797" s="25" t="n"/>
      <c r="S2797" s="26">
        <f>IF($A2797="","",AND(OR('Assignment Builder'!$B$5="",$B2797='Assignment Builder'!$B$5),OR('Assignment Builder'!$B$6="",ISNUMBER(SEARCH('Assignment Builder'!$B$6,$C2797))),OR('Assignment Builder'!$B$7="",'Assignment Builder'!$B$7=IFERROR(INDEX('Category Dictionary'!$C$5:$C$135,MATCH($L2797,'Category Dictionary'!$D$5:$D$135,0)),"")),OR('Assignment Builder'!$B$8="",$D2797='Assignment Builder'!$B$8),OR('Assignment Builder'!$B$9="",$F2797='Assignment Builder'!$B$9),OR('Assignment Builder'!$B$10="",$O2797='Assignment Builder'!$B$10),OR('Assignment Builder'!$B$11="",$H2797&gt;='Assignment Builder'!$B$11),OR('Assignment Builder'!$B$12="",N($Q2797)&lt;='Assignment Builder'!$B$12)))</f>
        <v/>
      </c>
      <c r="T2797" s="23" t="n"/>
    </row>
    <row r="2798">
      <c r="A2798" s="23" t="n"/>
      <c r="B2798" s="23" t="n"/>
      <c r="C2798" s="24" t="n"/>
      <c r="D2798" s="15" t="n"/>
      <c r="E2798" s="23" t="n"/>
      <c r="F2798" s="15" t="n"/>
      <c r="G2798" s="23" t="n"/>
      <c r="H2798" s="25" t="n"/>
      <c r="I2798" s="15" t="n"/>
      <c r="J2798" s="26">
        <f>IF($A2798="","",LEN($C2798)-LEN(SUBSTITUTE($C2798,",",""))+1)</f>
        <v/>
      </c>
      <c r="K2798" s="26">
        <f>IF($A2798="","",SUMPRODUCT(--ISNUMBER(SEARCH('Category Dictionary'!$D$5:$D$135&amp;"",$C2798)),--('Category Dictionary'!$D$5:$D$135&lt;&gt;"")))</f>
        <v/>
      </c>
      <c r="L2798" s="27">
        <f>IF($A2798="","",TRIM(IF(ISERROR(FIND(",",$C2798)),$C2798,LEFT($C2798,FIND(",",$C2798)-1))))</f>
        <v/>
      </c>
      <c r="M2798" s="28">
        <f>IF($H2798="","",DATE(YEAR($H2798),MONTH($H2798),1))</f>
        <v/>
      </c>
      <c r="N2798" s="26">
        <f>IF($H2798="","",TODAY()-$H2798)</f>
        <v/>
      </c>
      <c r="O2798" s="15" t="n"/>
      <c r="P2798" s="15" t="n"/>
      <c r="Q2798" s="15" t="n"/>
      <c r="R2798" s="25" t="n"/>
      <c r="S2798" s="26">
        <f>IF($A2798="","",AND(OR('Assignment Builder'!$B$5="",$B2798='Assignment Builder'!$B$5),OR('Assignment Builder'!$B$6="",ISNUMBER(SEARCH('Assignment Builder'!$B$6,$C2798))),OR('Assignment Builder'!$B$7="",'Assignment Builder'!$B$7=IFERROR(INDEX('Category Dictionary'!$C$5:$C$135,MATCH($L2798,'Category Dictionary'!$D$5:$D$135,0)),"")),OR('Assignment Builder'!$B$8="",$D2798='Assignment Builder'!$B$8),OR('Assignment Builder'!$B$9="",$F2798='Assignment Builder'!$B$9),OR('Assignment Builder'!$B$10="",$O2798='Assignment Builder'!$B$10),OR('Assignment Builder'!$B$11="",$H2798&gt;='Assignment Builder'!$B$11),OR('Assignment Builder'!$B$12="",N($Q2798)&lt;='Assignment Builder'!$B$12)))</f>
        <v/>
      </c>
      <c r="T2798" s="23" t="n"/>
    </row>
    <row r="2799">
      <c r="A2799" s="23" t="n"/>
      <c r="B2799" s="23" t="n"/>
      <c r="C2799" s="24" t="n"/>
      <c r="D2799" s="15" t="n"/>
      <c r="E2799" s="23" t="n"/>
      <c r="F2799" s="15" t="n"/>
      <c r="G2799" s="23" t="n"/>
      <c r="H2799" s="25" t="n"/>
      <c r="I2799" s="15" t="n"/>
      <c r="J2799" s="26">
        <f>IF($A2799="","",LEN($C2799)-LEN(SUBSTITUTE($C2799,",",""))+1)</f>
        <v/>
      </c>
      <c r="K2799" s="26">
        <f>IF($A2799="","",SUMPRODUCT(--ISNUMBER(SEARCH('Category Dictionary'!$D$5:$D$135&amp;"",$C2799)),--('Category Dictionary'!$D$5:$D$135&lt;&gt;"")))</f>
        <v/>
      </c>
      <c r="L2799" s="27">
        <f>IF($A2799="","",TRIM(IF(ISERROR(FIND(",",$C2799)),$C2799,LEFT($C2799,FIND(",",$C2799)-1))))</f>
        <v/>
      </c>
      <c r="M2799" s="28">
        <f>IF($H2799="","",DATE(YEAR($H2799),MONTH($H2799),1))</f>
        <v/>
      </c>
      <c r="N2799" s="26">
        <f>IF($H2799="","",TODAY()-$H2799)</f>
        <v/>
      </c>
      <c r="O2799" s="15" t="n"/>
      <c r="P2799" s="15" t="n"/>
      <c r="Q2799" s="15" t="n"/>
      <c r="R2799" s="25" t="n"/>
      <c r="S2799" s="26">
        <f>IF($A2799="","",AND(OR('Assignment Builder'!$B$5="",$B2799='Assignment Builder'!$B$5),OR('Assignment Builder'!$B$6="",ISNUMBER(SEARCH('Assignment Builder'!$B$6,$C2799))),OR('Assignment Builder'!$B$7="",'Assignment Builder'!$B$7=IFERROR(INDEX('Category Dictionary'!$C$5:$C$135,MATCH($L2799,'Category Dictionary'!$D$5:$D$135,0)),"")),OR('Assignment Builder'!$B$8="",$D2799='Assignment Builder'!$B$8),OR('Assignment Builder'!$B$9="",$F2799='Assignment Builder'!$B$9),OR('Assignment Builder'!$B$10="",$O2799='Assignment Builder'!$B$10),OR('Assignment Builder'!$B$11="",$H2799&gt;='Assignment Builder'!$B$11),OR('Assignment Builder'!$B$12="",N($Q2799)&lt;='Assignment Builder'!$B$12)))</f>
        <v/>
      </c>
      <c r="T2799" s="23" t="n"/>
    </row>
    <row r="2800">
      <c r="A2800" s="23" t="n"/>
      <c r="B2800" s="23" t="n"/>
      <c r="C2800" s="24" t="n"/>
      <c r="D2800" s="15" t="n"/>
      <c r="E2800" s="23" t="n"/>
      <c r="F2800" s="15" t="n"/>
      <c r="G2800" s="23" t="n"/>
      <c r="H2800" s="25" t="n"/>
      <c r="I2800" s="15" t="n"/>
      <c r="J2800" s="26">
        <f>IF($A2800="","",LEN($C2800)-LEN(SUBSTITUTE($C2800,",",""))+1)</f>
        <v/>
      </c>
      <c r="K2800" s="26">
        <f>IF($A2800="","",SUMPRODUCT(--ISNUMBER(SEARCH('Category Dictionary'!$D$5:$D$135&amp;"",$C2800)),--('Category Dictionary'!$D$5:$D$135&lt;&gt;"")))</f>
        <v/>
      </c>
      <c r="L2800" s="27">
        <f>IF($A2800="","",TRIM(IF(ISERROR(FIND(",",$C2800)),$C2800,LEFT($C2800,FIND(",",$C2800)-1))))</f>
        <v/>
      </c>
      <c r="M2800" s="28">
        <f>IF($H2800="","",DATE(YEAR($H2800),MONTH($H2800),1))</f>
        <v/>
      </c>
      <c r="N2800" s="26">
        <f>IF($H2800="","",TODAY()-$H2800)</f>
        <v/>
      </c>
      <c r="O2800" s="15" t="n"/>
      <c r="P2800" s="15" t="n"/>
      <c r="Q2800" s="15" t="n"/>
      <c r="R2800" s="25" t="n"/>
      <c r="S2800" s="26">
        <f>IF($A2800="","",AND(OR('Assignment Builder'!$B$5="",$B2800='Assignment Builder'!$B$5),OR('Assignment Builder'!$B$6="",ISNUMBER(SEARCH('Assignment Builder'!$B$6,$C2800))),OR('Assignment Builder'!$B$7="",'Assignment Builder'!$B$7=IFERROR(INDEX('Category Dictionary'!$C$5:$C$135,MATCH($L2800,'Category Dictionary'!$D$5:$D$135,0)),"")),OR('Assignment Builder'!$B$8="",$D2800='Assignment Builder'!$B$8),OR('Assignment Builder'!$B$9="",$F2800='Assignment Builder'!$B$9),OR('Assignment Builder'!$B$10="",$O2800='Assignment Builder'!$B$10),OR('Assignment Builder'!$B$11="",$H2800&gt;='Assignment Builder'!$B$11),OR('Assignment Builder'!$B$12="",N($Q2800)&lt;='Assignment Builder'!$B$12)))</f>
        <v/>
      </c>
      <c r="T2800" s="23" t="n"/>
    </row>
    <row r="2801">
      <c r="A2801" s="23" t="n"/>
      <c r="B2801" s="23" t="n"/>
      <c r="C2801" s="24" t="n"/>
      <c r="D2801" s="15" t="n"/>
      <c r="E2801" s="23" t="n"/>
      <c r="F2801" s="15" t="n"/>
      <c r="G2801" s="23" t="n"/>
      <c r="H2801" s="25" t="n"/>
      <c r="I2801" s="15" t="n"/>
      <c r="J2801" s="26">
        <f>IF($A2801="","",LEN($C2801)-LEN(SUBSTITUTE($C2801,",",""))+1)</f>
        <v/>
      </c>
      <c r="K2801" s="26">
        <f>IF($A2801="","",SUMPRODUCT(--ISNUMBER(SEARCH('Category Dictionary'!$D$5:$D$135&amp;"",$C2801)),--('Category Dictionary'!$D$5:$D$135&lt;&gt;"")))</f>
        <v/>
      </c>
      <c r="L2801" s="27">
        <f>IF($A2801="","",TRIM(IF(ISERROR(FIND(",",$C2801)),$C2801,LEFT($C2801,FIND(",",$C2801)-1))))</f>
        <v/>
      </c>
      <c r="M2801" s="28">
        <f>IF($H2801="","",DATE(YEAR($H2801),MONTH($H2801),1))</f>
        <v/>
      </c>
      <c r="N2801" s="26">
        <f>IF($H2801="","",TODAY()-$H2801)</f>
        <v/>
      </c>
      <c r="O2801" s="15" t="n"/>
      <c r="P2801" s="15" t="n"/>
      <c r="Q2801" s="15" t="n"/>
      <c r="R2801" s="25" t="n"/>
      <c r="S2801" s="26">
        <f>IF($A2801="","",AND(OR('Assignment Builder'!$B$5="",$B2801='Assignment Builder'!$B$5),OR('Assignment Builder'!$B$6="",ISNUMBER(SEARCH('Assignment Builder'!$B$6,$C2801))),OR('Assignment Builder'!$B$7="",'Assignment Builder'!$B$7=IFERROR(INDEX('Category Dictionary'!$C$5:$C$135,MATCH($L2801,'Category Dictionary'!$D$5:$D$135,0)),"")),OR('Assignment Builder'!$B$8="",$D2801='Assignment Builder'!$B$8),OR('Assignment Builder'!$B$9="",$F2801='Assignment Builder'!$B$9),OR('Assignment Builder'!$B$10="",$O2801='Assignment Builder'!$B$10),OR('Assignment Builder'!$B$11="",$H2801&gt;='Assignment Builder'!$B$11),OR('Assignment Builder'!$B$12="",N($Q2801)&lt;='Assignment Builder'!$B$12)))</f>
        <v/>
      </c>
      <c r="T2801" s="23" t="n"/>
    </row>
    <row r="2802">
      <c r="A2802" s="23" t="n"/>
      <c r="B2802" s="23" t="n"/>
      <c r="C2802" s="24" t="n"/>
      <c r="D2802" s="15" t="n"/>
      <c r="E2802" s="23" t="n"/>
      <c r="F2802" s="15" t="n"/>
      <c r="G2802" s="23" t="n"/>
      <c r="H2802" s="25" t="n"/>
      <c r="I2802" s="15" t="n"/>
      <c r="J2802" s="26">
        <f>IF($A2802="","",LEN($C2802)-LEN(SUBSTITUTE($C2802,",",""))+1)</f>
        <v/>
      </c>
      <c r="K2802" s="26">
        <f>IF($A2802="","",SUMPRODUCT(--ISNUMBER(SEARCH('Category Dictionary'!$D$5:$D$135&amp;"",$C2802)),--('Category Dictionary'!$D$5:$D$135&lt;&gt;"")))</f>
        <v/>
      </c>
      <c r="L2802" s="27">
        <f>IF($A2802="","",TRIM(IF(ISERROR(FIND(",",$C2802)),$C2802,LEFT($C2802,FIND(",",$C2802)-1))))</f>
        <v/>
      </c>
      <c r="M2802" s="28">
        <f>IF($H2802="","",DATE(YEAR($H2802),MONTH($H2802),1))</f>
        <v/>
      </c>
      <c r="N2802" s="26">
        <f>IF($H2802="","",TODAY()-$H2802)</f>
        <v/>
      </c>
      <c r="O2802" s="15" t="n"/>
      <c r="P2802" s="15" t="n"/>
      <c r="Q2802" s="15" t="n"/>
      <c r="R2802" s="25" t="n"/>
      <c r="S2802" s="26">
        <f>IF($A2802="","",AND(OR('Assignment Builder'!$B$5="",$B2802='Assignment Builder'!$B$5),OR('Assignment Builder'!$B$6="",ISNUMBER(SEARCH('Assignment Builder'!$B$6,$C2802))),OR('Assignment Builder'!$B$7="",'Assignment Builder'!$B$7=IFERROR(INDEX('Category Dictionary'!$C$5:$C$135,MATCH($L2802,'Category Dictionary'!$D$5:$D$135,0)),"")),OR('Assignment Builder'!$B$8="",$D2802='Assignment Builder'!$B$8),OR('Assignment Builder'!$B$9="",$F2802='Assignment Builder'!$B$9),OR('Assignment Builder'!$B$10="",$O2802='Assignment Builder'!$B$10),OR('Assignment Builder'!$B$11="",$H2802&gt;='Assignment Builder'!$B$11),OR('Assignment Builder'!$B$12="",N($Q2802)&lt;='Assignment Builder'!$B$12)))</f>
        <v/>
      </c>
      <c r="T2802" s="23" t="n"/>
    </row>
    <row r="2803">
      <c r="A2803" s="23" t="n"/>
      <c r="B2803" s="23" t="n"/>
      <c r="C2803" s="24" t="n"/>
      <c r="D2803" s="15" t="n"/>
      <c r="E2803" s="23" t="n"/>
      <c r="F2803" s="15" t="n"/>
      <c r="G2803" s="23" t="n"/>
      <c r="H2803" s="25" t="n"/>
      <c r="I2803" s="15" t="n"/>
      <c r="J2803" s="26">
        <f>IF($A2803="","",LEN($C2803)-LEN(SUBSTITUTE($C2803,",",""))+1)</f>
        <v/>
      </c>
      <c r="K2803" s="26">
        <f>IF($A2803="","",SUMPRODUCT(--ISNUMBER(SEARCH('Category Dictionary'!$D$5:$D$135&amp;"",$C2803)),--('Category Dictionary'!$D$5:$D$135&lt;&gt;"")))</f>
        <v/>
      </c>
      <c r="L2803" s="27">
        <f>IF($A2803="","",TRIM(IF(ISERROR(FIND(",",$C2803)),$C2803,LEFT($C2803,FIND(",",$C2803)-1))))</f>
        <v/>
      </c>
      <c r="M2803" s="28">
        <f>IF($H2803="","",DATE(YEAR($H2803),MONTH($H2803),1))</f>
        <v/>
      </c>
      <c r="N2803" s="26">
        <f>IF($H2803="","",TODAY()-$H2803)</f>
        <v/>
      </c>
      <c r="O2803" s="15" t="n"/>
      <c r="P2803" s="15" t="n"/>
      <c r="Q2803" s="15" t="n"/>
      <c r="R2803" s="25" t="n"/>
      <c r="S2803" s="26">
        <f>IF($A2803="","",AND(OR('Assignment Builder'!$B$5="",$B2803='Assignment Builder'!$B$5),OR('Assignment Builder'!$B$6="",ISNUMBER(SEARCH('Assignment Builder'!$B$6,$C2803))),OR('Assignment Builder'!$B$7="",'Assignment Builder'!$B$7=IFERROR(INDEX('Category Dictionary'!$C$5:$C$135,MATCH($L2803,'Category Dictionary'!$D$5:$D$135,0)),"")),OR('Assignment Builder'!$B$8="",$D2803='Assignment Builder'!$B$8),OR('Assignment Builder'!$B$9="",$F2803='Assignment Builder'!$B$9),OR('Assignment Builder'!$B$10="",$O2803='Assignment Builder'!$B$10),OR('Assignment Builder'!$B$11="",$H2803&gt;='Assignment Builder'!$B$11),OR('Assignment Builder'!$B$12="",N($Q2803)&lt;='Assignment Builder'!$B$12)))</f>
        <v/>
      </c>
      <c r="T2803" s="23" t="n"/>
    </row>
    <row r="2804">
      <c r="A2804" s="23" t="n"/>
      <c r="B2804" s="23" t="n"/>
      <c r="C2804" s="24" t="n"/>
      <c r="D2804" s="15" t="n"/>
      <c r="E2804" s="23" t="n"/>
      <c r="F2804" s="15" t="n"/>
      <c r="G2804" s="23" t="n"/>
      <c r="H2804" s="25" t="n"/>
      <c r="I2804" s="15" t="n"/>
      <c r="J2804" s="26">
        <f>IF($A2804="","",LEN($C2804)-LEN(SUBSTITUTE($C2804,",",""))+1)</f>
        <v/>
      </c>
      <c r="K2804" s="26">
        <f>IF($A2804="","",SUMPRODUCT(--ISNUMBER(SEARCH('Category Dictionary'!$D$5:$D$135&amp;"",$C2804)),--('Category Dictionary'!$D$5:$D$135&lt;&gt;"")))</f>
        <v/>
      </c>
      <c r="L2804" s="27">
        <f>IF($A2804="","",TRIM(IF(ISERROR(FIND(",",$C2804)),$C2804,LEFT($C2804,FIND(",",$C2804)-1))))</f>
        <v/>
      </c>
      <c r="M2804" s="28">
        <f>IF($H2804="","",DATE(YEAR($H2804),MONTH($H2804),1))</f>
        <v/>
      </c>
      <c r="N2804" s="26">
        <f>IF($H2804="","",TODAY()-$H2804)</f>
        <v/>
      </c>
      <c r="O2804" s="15" t="n"/>
      <c r="P2804" s="15" t="n"/>
      <c r="Q2804" s="15" t="n"/>
      <c r="R2804" s="25" t="n"/>
      <c r="S2804" s="26">
        <f>IF($A2804="","",AND(OR('Assignment Builder'!$B$5="",$B2804='Assignment Builder'!$B$5),OR('Assignment Builder'!$B$6="",ISNUMBER(SEARCH('Assignment Builder'!$B$6,$C2804))),OR('Assignment Builder'!$B$7="",'Assignment Builder'!$B$7=IFERROR(INDEX('Category Dictionary'!$C$5:$C$135,MATCH($L2804,'Category Dictionary'!$D$5:$D$135,0)),"")),OR('Assignment Builder'!$B$8="",$D2804='Assignment Builder'!$B$8),OR('Assignment Builder'!$B$9="",$F2804='Assignment Builder'!$B$9),OR('Assignment Builder'!$B$10="",$O2804='Assignment Builder'!$B$10),OR('Assignment Builder'!$B$11="",$H2804&gt;='Assignment Builder'!$B$11),OR('Assignment Builder'!$B$12="",N($Q2804)&lt;='Assignment Builder'!$B$12)))</f>
        <v/>
      </c>
      <c r="T2804" s="23" t="n"/>
    </row>
    <row r="2805">
      <c r="A2805" s="23" t="n"/>
      <c r="B2805" s="23" t="n"/>
      <c r="C2805" s="24" t="n"/>
      <c r="D2805" s="15" t="n"/>
      <c r="E2805" s="23" t="n"/>
      <c r="F2805" s="15" t="n"/>
      <c r="G2805" s="23" t="n"/>
      <c r="H2805" s="25" t="n"/>
      <c r="I2805" s="15" t="n"/>
      <c r="J2805" s="26">
        <f>IF($A2805="","",LEN($C2805)-LEN(SUBSTITUTE($C2805,",",""))+1)</f>
        <v/>
      </c>
      <c r="K2805" s="26">
        <f>IF($A2805="","",SUMPRODUCT(--ISNUMBER(SEARCH('Category Dictionary'!$D$5:$D$135&amp;"",$C2805)),--('Category Dictionary'!$D$5:$D$135&lt;&gt;"")))</f>
        <v/>
      </c>
      <c r="L2805" s="27">
        <f>IF($A2805="","",TRIM(IF(ISERROR(FIND(",",$C2805)),$C2805,LEFT($C2805,FIND(",",$C2805)-1))))</f>
        <v/>
      </c>
      <c r="M2805" s="28">
        <f>IF($H2805="","",DATE(YEAR($H2805),MONTH($H2805),1))</f>
        <v/>
      </c>
      <c r="N2805" s="26">
        <f>IF($H2805="","",TODAY()-$H2805)</f>
        <v/>
      </c>
      <c r="O2805" s="15" t="n"/>
      <c r="P2805" s="15" t="n"/>
      <c r="Q2805" s="15" t="n"/>
      <c r="R2805" s="25" t="n"/>
      <c r="S2805" s="26">
        <f>IF($A2805="","",AND(OR('Assignment Builder'!$B$5="",$B2805='Assignment Builder'!$B$5),OR('Assignment Builder'!$B$6="",ISNUMBER(SEARCH('Assignment Builder'!$B$6,$C2805))),OR('Assignment Builder'!$B$7="",'Assignment Builder'!$B$7=IFERROR(INDEX('Category Dictionary'!$C$5:$C$135,MATCH($L2805,'Category Dictionary'!$D$5:$D$135,0)),"")),OR('Assignment Builder'!$B$8="",$D2805='Assignment Builder'!$B$8),OR('Assignment Builder'!$B$9="",$F2805='Assignment Builder'!$B$9),OR('Assignment Builder'!$B$10="",$O2805='Assignment Builder'!$B$10),OR('Assignment Builder'!$B$11="",$H2805&gt;='Assignment Builder'!$B$11),OR('Assignment Builder'!$B$12="",N($Q2805)&lt;='Assignment Builder'!$B$12)))</f>
        <v/>
      </c>
      <c r="T2805" s="23" t="n"/>
    </row>
    <row r="2806">
      <c r="A2806" s="23" t="n"/>
      <c r="B2806" s="23" t="n"/>
      <c r="C2806" s="24" t="n"/>
      <c r="D2806" s="15" t="n"/>
      <c r="E2806" s="23" t="n"/>
      <c r="F2806" s="15" t="n"/>
      <c r="G2806" s="23" t="n"/>
      <c r="H2806" s="25" t="n"/>
      <c r="I2806" s="15" t="n"/>
      <c r="J2806" s="26">
        <f>IF($A2806="","",LEN($C2806)-LEN(SUBSTITUTE($C2806,",",""))+1)</f>
        <v/>
      </c>
      <c r="K2806" s="26">
        <f>IF($A2806="","",SUMPRODUCT(--ISNUMBER(SEARCH('Category Dictionary'!$D$5:$D$135&amp;"",$C2806)),--('Category Dictionary'!$D$5:$D$135&lt;&gt;"")))</f>
        <v/>
      </c>
      <c r="L2806" s="27">
        <f>IF($A2806="","",TRIM(IF(ISERROR(FIND(",",$C2806)),$C2806,LEFT($C2806,FIND(",",$C2806)-1))))</f>
        <v/>
      </c>
      <c r="M2806" s="28">
        <f>IF($H2806="","",DATE(YEAR($H2806),MONTH($H2806),1))</f>
        <v/>
      </c>
      <c r="N2806" s="26">
        <f>IF($H2806="","",TODAY()-$H2806)</f>
        <v/>
      </c>
      <c r="O2806" s="15" t="n"/>
      <c r="P2806" s="15" t="n"/>
      <c r="Q2806" s="15" t="n"/>
      <c r="R2806" s="25" t="n"/>
      <c r="S2806" s="26">
        <f>IF($A2806="","",AND(OR('Assignment Builder'!$B$5="",$B2806='Assignment Builder'!$B$5),OR('Assignment Builder'!$B$6="",ISNUMBER(SEARCH('Assignment Builder'!$B$6,$C2806))),OR('Assignment Builder'!$B$7="",'Assignment Builder'!$B$7=IFERROR(INDEX('Category Dictionary'!$C$5:$C$135,MATCH($L2806,'Category Dictionary'!$D$5:$D$135,0)),"")),OR('Assignment Builder'!$B$8="",$D2806='Assignment Builder'!$B$8),OR('Assignment Builder'!$B$9="",$F2806='Assignment Builder'!$B$9),OR('Assignment Builder'!$B$10="",$O2806='Assignment Builder'!$B$10),OR('Assignment Builder'!$B$11="",$H2806&gt;='Assignment Builder'!$B$11),OR('Assignment Builder'!$B$12="",N($Q2806)&lt;='Assignment Builder'!$B$12)))</f>
        <v/>
      </c>
      <c r="T2806" s="23" t="n"/>
    </row>
    <row r="2807">
      <c r="A2807" s="23" t="n"/>
      <c r="B2807" s="23" t="n"/>
      <c r="C2807" s="24" t="n"/>
      <c r="D2807" s="15" t="n"/>
      <c r="E2807" s="23" t="n"/>
      <c r="F2807" s="15" t="n"/>
      <c r="G2807" s="23" t="n"/>
      <c r="H2807" s="25" t="n"/>
      <c r="I2807" s="15" t="n"/>
      <c r="J2807" s="26">
        <f>IF($A2807="","",LEN($C2807)-LEN(SUBSTITUTE($C2807,",",""))+1)</f>
        <v/>
      </c>
      <c r="K2807" s="26">
        <f>IF($A2807="","",SUMPRODUCT(--ISNUMBER(SEARCH('Category Dictionary'!$D$5:$D$135&amp;"",$C2807)),--('Category Dictionary'!$D$5:$D$135&lt;&gt;"")))</f>
        <v/>
      </c>
      <c r="L2807" s="27">
        <f>IF($A2807="","",TRIM(IF(ISERROR(FIND(",",$C2807)),$C2807,LEFT($C2807,FIND(",",$C2807)-1))))</f>
        <v/>
      </c>
      <c r="M2807" s="28">
        <f>IF($H2807="","",DATE(YEAR($H2807),MONTH($H2807),1))</f>
        <v/>
      </c>
      <c r="N2807" s="26">
        <f>IF($H2807="","",TODAY()-$H2807)</f>
        <v/>
      </c>
      <c r="O2807" s="15" t="n"/>
      <c r="P2807" s="15" t="n"/>
      <c r="Q2807" s="15" t="n"/>
      <c r="R2807" s="25" t="n"/>
      <c r="S2807" s="26">
        <f>IF($A2807="","",AND(OR('Assignment Builder'!$B$5="",$B2807='Assignment Builder'!$B$5),OR('Assignment Builder'!$B$6="",ISNUMBER(SEARCH('Assignment Builder'!$B$6,$C2807))),OR('Assignment Builder'!$B$7="",'Assignment Builder'!$B$7=IFERROR(INDEX('Category Dictionary'!$C$5:$C$135,MATCH($L2807,'Category Dictionary'!$D$5:$D$135,0)),"")),OR('Assignment Builder'!$B$8="",$D2807='Assignment Builder'!$B$8),OR('Assignment Builder'!$B$9="",$F2807='Assignment Builder'!$B$9),OR('Assignment Builder'!$B$10="",$O2807='Assignment Builder'!$B$10),OR('Assignment Builder'!$B$11="",$H2807&gt;='Assignment Builder'!$B$11),OR('Assignment Builder'!$B$12="",N($Q2807)&lt;='Assignment Builder'!$B$12)))</f>
        <v/>
      </c>
      <c r="T2807" s="23" t="n"/>
    </row>
    <row r="2808">
      <c r="A2808" s="23" t="n"/>
      <c r="B2808" s="23" t="n"/>
      <c r="C2808" s="24" t="n"/>
      <c r="D2808" s="15" t="n"/>
      <c r="E2808" s="23" t="n"/>
      <c r="F2808" s="15" t="n"/>
      <c r="G2808" s="23" t="n"/>
      <c r="H2808" s="25" t="n"/>
      <c r="I2808" s="15" t="n"/>
      <c r="J2808" s="26">
        <f>IF($A2808="","",LEN($C2808)-LEN(SUBSTITUTE($C2808,",",""))+1)</f>
        <v/>
      </c>
      <c r="K2808" s="26">
        <f>IF($A2808="","",SUMPRODUCT(--ISNUMBER(SEARCH('Category Dictionary'!$D$5:$D$135&amp;"",$C2808)),--('Category Dictionary'!$D$5:$D$135&lt;&gt;"")))</f>
        <v/>
      </c>
      <c r="L2808" s="27">
        <f>IF($A2808="","",TRIM(IF(ISERROR(FIND(",",$C2808)),$C2808,LEFT($C2808,FIND(",",$C2808)-1))))</f>
        <v/>
      </c>
      <c r="M2808" s="28">
        <f>IF($H2808="","",DATE(YEAR($H2808),MONTH($H2808),1))</f>
        <v/>
      </c>
      <c r="N2808" s="26">
        <f>IF($H2808="","",TODAY()-$H2808)</f>
        <v/>
      </c>
      <c r="O2808" s="15" t="n"/>
      <c r="P2808" s="15" t="n"/>
      <c r="Q2808" s="15" t="n"/>
      <c r="R2808" s="25" t="n"/>
      <c r="S2808" s="26">
        <f>IF($A2808="","",AND(OR('Assignment Builder'!$B$5="",$B2808='Assignment Builder'!$B$5),OR('Assignment Builder'!$B$6="",ISNUMBER(SEARCH('Assignment Builder'!$B$6,$C2808))),OR('Assignment Builder'!$B$7="",'Assignment Builder'!$B$7=IFERROR(INDEX('Category Dictionary'!$C$5:$C$135,MATCH($L2808,'Category Dictionary'!$D$5:$D$135,0)),"")),OR('Assignment Builder'!$B$8="",$D2808='Assignment Builder'!$B$8),OR('Assignment Builder'!$B$9="",$F2808='Assignment Builder'!$B$9),OR('Assignment Builder'!$B$10="",$O2808='Assignment Builder'!$B$10),OR('Assignment Builder'!$B$11="",$H2808&gt;='Assignment Builder'!$B$11),OR('Assignment Builder'!$B$12="",N($Q2808)&lt;='Assignment Builder'!$B$12)))</f>
        <v/>
      </c>
      <c r="T2808" s="23" t="n"/>
    </row>
    <row r="2809">
      <c r="A2809" s="23" t="n"/>
      <c r="B2809" s="23" t="n"/>
      <c r="C2809" s="24" t="n"/>
      <c r="D2809" s="15" t="n"/>
      <c r="E2809" s="23" t="n"/>
      <c r="F2809" s="15" t="n"/>
      <c r="G2809" s="23" t="n"/>
      <c r="H2809" s="25" t="n"/>
      <c r="I2809" s="15" t="n"/>
      <c r="J2809" s="26">
        <f>IF($A2809="","",LEN($C2809)-LEN(SUBSTITUTE($C2809,",",""))+1)</f>
        <v/>
      </c>
      <c r="K2809" s="26">
        <f>IF($A2809="","",SUMPRODUCT(--ISNUMBER(SEARCH('Category Dictionary'!$D$5:$D$135&amp;"",$C2809)),--('Category Dictionary'!$D$5:$D$135&lt;&gt;"")))</f>
        <v/>
      </c>
      <c r="L2809" s="27">
        <f>IF($A2809="","",TRIM(IF(ISERROR(FIND(",",$C2809)),$C2809,LEFT($C2809,FIND(",",$C2809)-1))))</f>
        <v/>
      </c>
      <c r="M2809" s="28">
        <f>IF($H2809="","",DATE(YEAR($H2809),MONTH($H2809),1))</f>
        <v/>
      </c>
      <c r="N2809" s="26">
        <f>IF($H2809="","",TODAY()-$H2809)</f>
        <v/>
      </c>
      <c r="O2809" s="15" t="n"/>
      <c r="P2809" s="15" t="n"/>
      <c r="Q2809" s="15" t="n"/>
      <c r="R2809" s="25" t="n"/>
      <c r="S2809" s="26">
        <f>IF($A2809="","",AND(OR('Assignment Builder'!$B$5="",$B2809='Assignment Builder'!$B$5),OR('Assignment Builder'!$B$6="",ISNUMBER(SEARCH('Assignment Builder'!$B$6,$C2809))),OR('Assignment Builder'!$B$7="",'Assignment Builder'!$B$7=IFERROR(INDEX('Category Dictionary'!$C$5:$C$135,MATCH($L2809,'Category Dictionary'!$D$5:$D$135,0)),"")),OR('Assignment Builder'!$B$8="",$D2809='Assignment Builder'!$B$8),OR('Assignment Builder'!$B$9="",$F2809='Assignment Builder'!$B$9),OR('Assignment Builder'!$B$10="",$O2809='Assignment Builder'!$B$10),OR('Assignment Builder'!$B$11="",$H2809&gt;='Assignment Builder'!$B$11),OR('Assignment Builder'!$B$12="",N($Q2809)&lt;='Assignment Builder'!$B$12)))</f>
        <v/>
      </c>
      <c r="T2809" s="23" t="n"/>
    </row>
    <row r="2810">
      <c r="A2810" s="23" t="n"/>
      <c r="B2810" s="23" t="n"/>
      <c r="C2810" s="24" t="n"/>
      <c r="D2810" s="15" t="n"/>
      <c r="E2810" s="23" t="n"/>
      <c r="F2810" s="15" t="n"/>
      <c r="G2810" s="23" t="n"/>
      <c r="H2810" s="25" t="n"/>
      <c r="I2810" s="15" t="n"/>
      <c r="J2810" s="26">
        <f>IF($A2810="","",LEN($C2810)-LEN(SUBSTITUTE($C2810,",",""))+1)</f>
        <v/>
      </c>
      <c r="K2810" s="26">
        <f>IF($A2810="","",SUMPRODUCT(--ISNUMBER(SEARCH('Category Dictionary'!$D$5:$D$135&amp;"",$C2810)),--('Category Dictionary'!$D$5:$D$135&lt;&gt;"")))</f>
        <v/>
      </c>
      <c r="L2810" s="27">
        <f>IF($A2810="","",TRIM(IF(ISERROR(FIND(",",$C2810)),$C2810,LEFT($C2810,FIND(",",$C2810)-1))))</f>
        <v/>
      </c>
      <c r="M2810" s="28">
        <f>IF($H2810="","",DATE(YEAR($H2810),MONTH($H2810),1))</f>
        <v/>
      </c>
      <c r="N2810" s="26">
        <f>IF($H2810="","",TODAY()-$H2810)</f>
        <v/>
      </c>
      <c r="O2810" s="15" t="n"/>
      <c r="P2810" s="15" t="n"/>
      <c r="Q2810" s="15" t="n"/>
      <c r="R2810" s="25" t="n"/>
      <c r="S2810" s="26">
        <f>IF($A2810="","",AND(OR('Assignment Builder'!$B$5="",$B2810='Assignment Builder'!$B$5),OR('Assignment Builder'!$B$6="",ISNUMBER(SEARCH('Assignment Builder'!$B$6,$C2810))),OR('Assignment Builder'!$B$7="",'Assignment Builder'!$B$7=IFERROR(INDEX('Category Dictionary'!$C$5:$C$135,MATCH($L2810,'Category Dictionary'!$D$5:$D$135,0)),"")),OR('Assignment Builder'!$B$8="",$D2810='Assignment Builder'!$B$8),OR('Assignment Builder'!$B$9="",$F2810='Assignment Builder'!$B$9),OR('Assignment Builder'!$B$10="",$O2810='Assignment Builder'!$B$10),OR('Assignment Builder'!$B$11="",$H2810&gt;='Assignment Builder'!$B$11),OR('Assignment Builder'!$B$12="",N($Q2810)&lt;='Assignment Builder'!$B$12)))</f>
        <v/>
      </c>
      <c r="T2810" s="23" t="n"/>
    </row>
    <row r="2811">
      <c r="A2811" s="23" t="n"/>
      <c r="B2811" s="23" t="n"/>
      <c r="C2811" s="24" t="n"/>
      <c r="D2811" s="15" t="n"/>
      <c r="E2811" s="23" t="n"/>
      <c r="F2811" s="15" t="n"/>
      <c r="G2811" s="23" t="n"/>
      <c r="H2811" s="25" t="n"/>
      <c r="I2811" s="15" t="n"/>
      <c r="J2811" s="26">
        <f>IF($A2811="","",LEN($C2811)-LEN(SUBSTITUTE($C2811,",",""))+1)</f>
        <v/>
      </c>
      <c r="K2811" s="26">
        <f>IF($A2811="","",SUMPRODUCT(--ISNUMBER(SEARCH('Category Dictionary'!$D$5:$D$135&amp;"",$C2811)),--('Category Dictionary'!$D$5:$D$135&lt;&gt;"")))</f>
        <v/>
      </c>
      <c r="L2811" s="27">
        <f>IF($A2811="","",TRIM(IF(ISERROR(FIND(",",$C2811)),$C2811,LEFT($C2811,FIND(",",$C2811)-1))))</f>
        <v/>
      </c>
      <c r="M2811" s="28">
        <f>IF($H2811="","",DATE(YEAR($H2811),MONTH($H2811),1))</f>
        <v/>
      </c>
      <c r="N2811" s="26">
        <f>IF($H2811="","",TODAY()-$H2811)</f>
        <v/>
      </c>
      <c r="O2811" s="15" t="n"/>
      <c r="P2811" s="15" t="n"/>
      <c r="Q2811" s="15" t="n"/>
      <c r="R2811" s="25" t="n"/>
      <c r="S2811" s="26">
        <f>IF($A2811="","",AND(OR('Assignment Builder'!$B$5="",$B2811='Assignment Builder'!$B$5),OR('Assignment Builder'!$B$6="",ISNUMBER(SEARCH('Assignment Builder'!$B$6,$C2811))),OR('Assignment Builder'!$B$7="",'Assignment Builder'!$B$7=IFERROR(INDEX('Category Dictionary'!$C$5:$C$135,MATCH($L2811,'Category Dictionary'!$D$5:$D$135,0)),"")),OR('Assignment Builder'!$B$8="",$D2811='Assignment Builder'!$B$8),OR('Assignment Builder'!$B$9="",$F2811='Assignment Builder'!$B$9),OR('Assignment Builder'!$B$10="",$O2811='Assignment Builder'!$B$10),OR('Assignment Builder'!$B$11="",$H2811&gt;='Assignment Builder'!$B$11),OR('Assignment Builder'!$B$12="",N($Q2811)&lt;='Assignment Builder'!$B$12)))</f>
        <v/>
      </c>
      <c r="T2811" s="23" t="n"/>
    </row>
    <row r="2812">
      <c r="A2812" s="23" t="n"/>
      <c r="B2812" s="23" t="n"/>
      <c r="C2812" s="24" t="n"/>
      <c r="D2812" s="15" t="n"/>
      <c r="E2812" s="23" t="n"/>
      <c r="F2812" s="15" t="n"/>
      <c r="G2812" s="23" t="n"/>
      <c r="H2812" s="25" t="n"/>
      <c r="I2812" s="15" t="n"/>
      <c r="J2812" s="26">
        <f>IF($A2812="","",LEN($C2812)-LEN(SUBSTITUTE($C2812,",",""))+1)</f>
        <v/>
      </c>
      <c r="K2812" s="26">
        <f>IF($A2812="","",SUMPRODUCT(--ISNUMBER(SEARCH('Category Dictionary'!$D$5:$D$135&amp;"",$C2812)),--('Category Dictionary'!$D$5:$D$135&lt;&gt;"")))</f>
        <v/>
      </c>
      <c r="L2812" s="27">
        <f>IF($A2812="","",TRIM(IF(ISERROR(FIND(",",$C2812)),$C2812,LEFT($C2812,FIND(",",$C2812)-1))))</f>
        <v/>
      </c>
      <c r="M2812" s="28">
        <f>IF($H2812="","",DATE(YEAR($H2812),MONTH($H2812),1))</f>
        <v/>
      </c>
      <c r="N2812" s="26">
        <f>IF($H2812="","",TODAY()-$H2812)</f>
        <v/>
      </c>
      <c r="O2812" s="15" t="n"/>
      <c r="P2812" s="15" t="n"/>
      <c r="Q2812" s="15" t="n"/>
      <c r="R2812" s="25" t="n"/>
      <c r="S2812" s="26">
        <f>IF($A2812="","",AND(OR('Assignment Builder'!$B$5="",$B2812='Assignment Builder'!$B$5),OR('Assignment Builder'!$B$6="",ISNUMBER(SEARCH('Assignment Builder'!$B$6,$C2812))),OR('Assignment Builder'!$B$7="",'Assignment Builder'!$B$7=IFERROR(INDEX('Category Dictionary'!$C$5:$C$135,MATCH($L2812,'Category Dictionary'!$D$5:$D$135,0)),"")),OR('Assignment Builder'!$B$8="",$D2812='Assignment Builder'!$B$8),OR('Assignment Builder'!$B$9="",$F2812='Assignment Builder'!$B$9),OR('Assignment Builder'!$B$10="",$O2812='Assignment Builder'!$B$10),OR('Assignment Builder'!$B$11="",$H2812&gt;='Assignment Builder'!$B$11),OR('Assignment Builder'!$B$12="",N($Q2812)&lt;='Assignment Builder'!$B$12)))</f>
        <v/>
      </c>
      <c r="T2812" s="23" t="n"/>
    </row>
    <row r="2813">
      <c r="A2813" s="23" t="n"/>
      <c r="B2813" s="23" t="n"/>
      <c r="C2813" s="24" t="n"/>
      <c r="D2813" s="15" t="n"/>
      <c r="E2813" s="23" t="n"/>
      <c r="F2813" s="15" t="n"/>
      <c r="G2813" s="23" t="n"/>
      <c r="H2813" s="25" t="n"/>
      <c r="I2813" s="15" t="n"/>
      <c r="J2813" s="26">
        <f>IF($A2813="","",LEN($C2813)-LEN(SUBSTITUTE($C2813,",",""))+1)</f>
        <v/>
      </c>
      <c r="K2813" s="26">
        <f>IF($A2813="","",SUMPRODUCT(--ISNUMBER(SEARCH('Category Dictionary'!$D$5:$D$135&amp;"",$C2813)),--('Category Dictionary'!$D$5:$D$135&lt;&gt;"")))</f>
        <v/>
      </c>
      <c r="L2813" s="27">
        <f>IF($A2813="","",TRIM(IF(ISERROR(FIND(",",$C2813)),$C2813,LEFT($C2813,FIND(",",$C2813)-1))))</f>
        <v/>
      </c>
      <c r="M2813" s="28">
        <f>IF($H2813="","",DATE(YEAR($H2813),MONTH($H2813),1))</f>
        <v/>
      </c>
      <c r="N2813" s="26">
        <f>IF($H2813="","",TODAY()-$H2813)</f>
        <v/>
      </c>
      <c r="O2813" s="15" t="n"/>
      <c r="P2813" s="15" t="n"/>
      <c r="Q2813" s="15" t="n"/>
      <c r="R2813" s="25" t="n"/>
      <c r="S2813" s="26">
        <f>IF($A2813="","",AND(OR('Assignment Builder'!$B$5="",$B2813='Assignment Builder'!$B$5),OR('Assignment Builder'!$B$6="",ISNUMBER(SEARCH('Assignment Builder'!$B$6,$C2813))),OR('Assignment Builder'!$B$7="",'Assignment Builder'!$B$7=IFERROR(INDEX('Category Dictionary'!$C$5:$C$135,MATCH($L2813,'Category Dictionary'!$D$5:$D$135,0)),"")),OR('Assignment Builder'!$B$8="",$D2813='Assignment Builder'!$B$8),OR('Assignment Builder'!$B$9="",$F2813='Assignment Builder'!$B$9),OR('Assignment Builder'!$B$10="",$O2813='Assignment Builder'!$B$10),OR('Assignment Builder'!$B$11="",$H2813&gt;='Assignment Builder'!$B$11),OR('Assignment Builder'!$B$12="",N($Q2813)&lt;='Assignment Builder'!$B$12)))</f>
        <v/>
      </c>
      <c r="T2813" s="23" t="n"/>
    </row>
    <row r="2814">
      <c r="A2814" s="23" t="n"/>
      <c r="B2814" s="23" t="n"/>
      <c r="C2814" s="24" t="n"/>
      <c r="D2814" s="15" t="n"/>
      <c r="E2814" s="23" t="n"/>
      <c r="F2814" s="15" t="n"/>
      <c r="G2814" s="23" t="n"/>
      <c r="H2814" s="25" t="n"/>
      <c r="I2814" s="15" t="n"/>
      <c r="J2814" s="26">
        <f>IF($A2814="","",LEN($C2814)-LEN(SUBSTITUTE($C2814,",",""))+1)</f>
        <v/>
      </c>
      <c r="K2814" s="26">
        <f>IF($A2814="","",SUMPRODUCT(--ISNUMBER(SEARCH('Category Dictionary'!$D$5:$D$135&amp;"",$C2814)),--('Category Dictionary'!$D$5:$D$135&lt;&gt;"")))</f>
        <v/>
      </c>
      <c r="L2814" s="27">
        <f>IF($A2814="","",TRIM(IF(ISERROR(FIND(",",$C2814)),$C2814,LEFT($C2814,FIND(",",$C2814)-1))))</f>
        <v/>
      </c>
      <c r="M2814" s="28">
        <f>IF($H2814="","",DATE(YEAR($H2814),MONTH($H2814),1))</f>
        <v/>
      </c>
      <c r="N2814" s="26">
        <f>IF($H2814="","",TODAY()-$H2814)</f>
        <v/>
      </c>
      <c r="O2814" s="15" t="n"/>
      <c r="P2814" s="15" t="n"/>
      <c r="Q2814" s="15" t="n"/>
      <c r="R2814" s="25" t="n"/>
      <c r="S2814" s="26">
        <f>IF($A2814="","",AND(OR('Assignment Builder'!$B$5="",$B2814='Assignment Builder'!$B$5),OR('Assignment Builder'!$B$6="",ISNUMBER(SEARCH('Assignment Builder'!$B$6,$C2814))),OR('Assignment Builder'!$B$7="",'Assignment Builder'!$B$7=IFERROR(INDEX('Category Dictionary'!$C$5:$C$135,MATCH($L2814,'Category Dictionary'!$D$5:$D$135,0)),"")),OR('Assignment Builder'!$B$8="",$D2814='Assignment Builder'!$B$8),OR('Assignment Builder'!$B$9="",$F2814='Assignment Builder'!$B$9),OR('Assignment Builder'!$B$10="",$O2814='Assignment Builder'!$B$10),OR('Assignment Builder'!$B$11="",$H2814&gt;='Assignment Builder'!$B$11),OR('Assignment Builder'!$B$12="",N($Q2814)&lt;='Assignment Builder'!$B$12)))</f>
        <v/>
      </c>
      <c r="T2814" s="23" t="n"/>
    </row>
    <row r="2815">
      <c r="A2815" s="23" t="n"/>
      <c r="B2815" s="23" t="n"/>
      <c r="C2815" s="24" t="n"/>
      <c r="D2815" s="15" t="n"/>
      <c r="E2815" s="23" t="n"/>
      <c r="F2815" s="15" t="n"/>
      <c r="G2815" s="23" t="n"/>
      <c r="H2815" s="25" t="n"/>
      <c r="I2815" s="15" t="n"/>
      <c r="J2815" s="26">
        <f>IF($A2815="","",LEN($C2815)-LEN(SUBSTITUTE($C2815,",",""))+1)</f>
        <v/>
      </c>
      <c r="K2815" s="26">
        <f>IF($A2815="","",SUMPRODUCT(--ISNUMBER(SEARCH('Category Dictionary'!$D$5:$D$135&amp;"",$C2815)),--('Category Dictionary'!$D$5:$D$135&lt;&gt;"")))</f>
        <v/>
      </c>
      <c r="L2815" s="27">
        <f>IF($A2815="","",TRIM(IF(ISERROR(FIND(",",$C2815)),$C2815,LEFT($C2815,FIND(",",$C2815)-1))))</f>
        <v/>
      </c>
      <c r="M2815" s="28">
        <f>IF($H2815="","",DATE(YEAR($H2815),MONTH($H2815),1))</f>
        <v/>
      </c>
      <c r="N2815" s="26">
        <f>IF($H2815="","",TODAY()-$H2815)</f>
        <v/>
      </c>
      <c r="O2815" s="15" t="n"/>
      <c r="P2815" s="15" t="n"/>
      <c r="Q2815" s="15" t="n"/>
      <c r="R2815" s="25" t="n"/>
      <c r="S2815" s="26">
        <f>IF($A2815="","",AND(OR('Assignment Builder'!$B$5="",$B2815='Assignment Builder'!$B$5),OR('Assignment Builder'!$B$6="",ISNUMBER(SEARCH('Assignment Builder'!$B$6,$C2815))),OR('Assignment Builder'!$B$7="",'Assignment Builder'!$B$7=IFERROR(INDEX('Category Dictionary'!$C$5:$C$135,MATCH($L2815,'Category Dictionary'!$D$5:$D$135,0)),"")),OR('Assignment Builder'!$B$8="",$D2815='Assignment Builder'!$B$8),OR('Assignment Builder'!$B$9="",$F2815='Assignment Builder'!$B$9),OR('Assignment Builder'!$B$10="",$O2815='Assignment Builder'!$B$10),OR('Assignment Builder'!$B$11="",$H2815&gt;='Assignment Builder'!$B$11),OR('Assignment Builder'!$B$12="",N($Q2815)&lt;='Assignment Builder'!$B$12)))</f>
        <v/>
      </c>
      <c r="T2815" s="23" t="n"/>
    </row>
    <row r="2816">
      <c r="A2816" s="23" t="n"/>
      <c r="B2816" s="23" t="n"/>
      <c r="C2816" s="24" t="n"/>
      <c r="D2816" s="15" t="n"/>
      <c r="E2816" s="23" t="n"/>
      <c r="F2816" s="15" t="n"/>
      <c r="G2816" s="23" t="n"/>
      <c r="H2816" s="25" t="n"/>
      <c r="I2816" s="15" t="n"/>
      <c r="J2816" s="26">
        <f>IF($A2816="","",LEN($C2816)-LEN(SUBSTITUTE($C2816,",",""))+1)</f>
        <v/>
      </c>
      <c r="K2816" s="26">
        <f>IF($A2816="","",SUMPRODUCT(--ISNUMBER(SEARCH('Category Dictionary'!$D$5:$D$135&amp;"",$C2816)),--('Category Dictionary'!$D$5:$D$135&lt;&gt;"")))</f>
        <v/>
      </c>
      <c r="L2816" s="27">
        <f>IF($A2816="","",TRIM(IF(ISERROR(FIND(",",$C2816)),$C2816,LEFT($C2816,FIND(",",$C2816)-1))))</f>
        <v/>
      </c>
      <c r="M2816" s="28">
        <f>IF($H2816="","",DATE(YEAR($H2816),MONTH($H2816),1))</f>
        <v/>
      </c>
      <c r="N2816" s="26">
        <f>IF($H2816="","",TODAY()-$H2816)</f>
        <v/>
      </c>
      <c r="O2816" s="15" t="n"/>
      <c r="P2816" s="15" t="n"/>
      <c r="Q2816" s="15" t="n"/>
      <c r="R2816" s="25" t="n"/>
      <c r="S2816" s="26">
        <f>IF($A2816="","",AND(OR('Assignment Builder'!$B$5="",$B2816='Assignment Builder'!$B$5),OR('Assignment Builder'!$B$6="",ISNUMBER(SEARCH('Assignment Builder'!$B$6,$C2816))),OR('Assignment Builder'!$B$7="",'Assignment Builder'!$B$7=IFERROR(INDEX('Category Dictionary'!$C$5:$C$135,MATCH($L2816,'Category Dictionary'!$D$5:$D$135,0)),"")),OR('Assignment Builder'!$B$8="",$D2816='Assignment Builder'!$B$8),OR('Assignment Builder'!$B$9="",$F2816='Assignment Builder'!$B$9),OR('Assignment Builder'!$B$10="",$O2816='Assignment Builder'!$B$10),OR('Assignment Builder'!$B$11="",$H2816&gt;='Assignment Builder'!$B$11),OR('Assignment Builder'!$B$12="",N($Q2816)&lt;='Assignment Builder'!$B$12)))</f>
        <v/>
      </c>
      <c r="T2816" s="23" t="n"/>
    </row>
    <row r="2817">
      <c r="A2817" s="23" t="n"/>
      <c r="B2817" s="23" t="n"/>
      <c r="C2817" s="24" t="n"/>
      <c r="D2817" s="15" t="n"/>
      <c r="E2817" s="23" t="n"/>
      <c r="F2817" s="15" t="n"/>
      <c r="G2817" s="23" t="n"/>
      <c r="H2817" s="25" t="n"/>
      <c r="I2817" s="15" t="n"/>
      <c r="J2817" s="26">
        <f>IF($A2817="","",LEN($C2817)-LEN(SUBSTITUTE($C2817,",",""))+1)</f>
        <v/>
      </c>
      <c r="K2817" s="26">
        <f>IF($A2817="","",SUMPRODUCT(--ISNUMBER(SEARCH('Category Dictionary'!$D$5:$D$135&amp;"",$C2817)),--('Category Dictionary'!$D$5:$D$135&lt;&gt;"")))</f>
        <v/>
      </c>
      <c r="L2817" s="27">
        <f>IF($A2817="","",TRIM(IF(ISERROR(FIND(",",$C2817)),$C2817,LEFT($C2817,FIND(",",$C2817)-1))))</f>
        <v/>
      </c>
      <c r="M2817" s="28">
        <f>IF($H2817="","",DATE(YEAR($H2817),MONTH($H2817),1))</f>
        <v/>
      </c>
      <c r="N2817" s="26">
        <f>IF($H2817="","",TODAY()-$H2817)</f>
        <v/>
      </c>
      <c r="O2817" s="15" t="n"/>
      <c r="P2817" s="15" t="n"/>
      <c r="Q2817" s="15" t="n"/>
      <c r="R2817" s="25" t="n"/>
      <c r="S2817" s="26">
        <f>IF($A2817="","",AND(OR('Assignment Builder'!$B$5="",$B2817='Assignment Builder'!$B$5),OR('Assignment Builder'!$B$6="",ISNUMBER(SEARCH('Assignment Builder'!$B$6,$C2817))),OR('Assignment Builder'!$B$7="",'Assignment Builder'!$B$7=IFERROR(INDEX('Category Dictionary'!$C$5:$C$135,MATCH($L2817,'Category Dictionary'!$D$5:$D$135,0)),"")),OR('Assignment Builder'!$B$8="",$D2817='Assignment Builder'!$B$8),OR('Assignment Builder'!$B$9="",$F2817='Assignment Builder'!$B$9),OR('Assignment Builder'!$B$10="",$O2817='Assignment Builder'!$B$10),OR('Assignment Builder'!$B$11="",$H2817&gt;='Assignment Builder'!$B$11),OR('Assignment Builder'!$B$12="",N($Q2817)&lt;='Assignment Builder'!$B$12)))</f>
        <v/>
      </c>
      <c r="T2817" s="23" t="n"/>
    </row>
    <row r="2818">
      <c r="A2818" s="23" t="n"/>
      <c r="B2818" s="23" t="n"/>
      <c r="C2818" s="24" t="n"/>
      <c r="D2818" s="15" t="n"/>
      <c r="E2818" s="23" t="n"/>
      <c r="F2818" s="15" t="n"/>
      <c r="G2818" s="23" t="n"/>
      <c r="H2818" s="25" t="n"/>
      <c r="I2818" s="15" t="n"/>
      <c r="J2818" s="26">
        <f>IF($A2818="","",LEN($C2818)-LEN(SUBSTITUTE($C2818,",",""))+1)</f>
        <v/>
      </c>
      <c r="K2818" s="26">
        <f>IF($A2818="","",SUMPRODUCT(--ISNUMBER(SEARCH('Category Dictionary'!$D$5:$D$135&amp;"",$C2818)),--('Category Dictionary'!$D$5:$D$135&lt;&gt;"")))</f>
        <v/>
      </c>
      <c r="L2818" s="27">
        <f>IF($A2818="","",TRIM(IF(ISERROR(FIND(",",$C2818)),$C2818,LEFT($C2818,FIND(",",$C2818)-1))))</f>
        <v/>
      </c>
      <c r="M2818" s="28">
        <f>IF($H2818="","",DATE(YEAR($H2818),MONTH($H2818),1))</f>
        <v/>
      </c>
      <c r="N2818" s="26">
        <f>IF($H2818="","",TODAY()-$H2818)</f>
        <v/>
      </c>
      <c r="O2818" s="15" t="n"/>
      <c r="P2818" s="15" t="n"/>
      <c r="Q2818" s="15" t="n"/>
      <c r="R2818" s="25" t="n"/>
      <c r="S2818" s="26">
        <f>IF($A2818="","",AND(OR('Assignment Builder'!$B$5="",$B2818='Assignment Builder'!$B$5),OR('Assignment Builder'!$B$6="",ISNUMBER(SEARCH('Assignment Builder'!$B$6,$C2818))),OR('Assignment Builder'!$B$7="",'Assignment Builder'!$B$7=IFERROR(INDEX('Category Dictionary'!$C$5:$C$135,MATCH($L2818,'Category Dictionary'!$D$5:$D$135,0)),"")),OR('Assignment Builder'!$B$8="",$D2818='Assignment Builder'!$B$8),OR('Assignment Builder'!$B$9="",$F2818='Assignment Builder'!$B$9),OR('Assignment Builder'!$B$10="",$O2818='Assignment Builder'!$B$10),OR('Assignment Builder'!$B$11="",$H2818&gt;='Assignment Builder'!$B$11),OR('Assignment Builder'!$B$12="",N($Q2818)&lt;='Assignment Builder'!$B$12)))</f>
        <v/>
      </c>
      <c r="T2818" s="23" t="n"/>
    </row>
    <row r="2819">
      <c r="A2819" s="23" t="n"/>
      <c r="B2819" s="23" t="n"/>
      <c r="C2819" s="24" t="n"/>
      <c r="D2819" s="15" t="n"/>
      <c r="E2819" s="23" t="n"/>
      <c r="F2819" s="15" t="n"/>
      <c r="G2819" s="23" t="n"/>
      <c r="H2819" s="25" t="n"/>
      <c r="I2819" s="15" t="n"/>
      <c r="J2819" s="26">
        <f>IF($A2819="","",LEN($C2819)-LEN(SUBSTITUTE($C2819,",",""))+1)</f>
        <v/>
      </c>
      <c r="K2819" s="26">
        <f>IF($A2819="","",SUMPRODUCT(--ISNUMBER(SEARCH('Category Dictionary'!$D$5:$D$135&amp;"",$C2819)),--('Category Dictionary'!$D$5:$D$135&lt;&gt;"")))</f>
        <v/>
      </c>
      <c r="L2819" s="27">
        <f>IF($A2819="","",TRIM(IF(ISERROR(FIND(",",$C2819)),$C2819,LEFT($C2819,FIND(",",$C2819)-1))))</f>
        <v/>
      </c>
      <c r="M2819" s="28">
        <f>IF($H2819="","",DATE(YEAR($H2819),MONTH($H2819),1))</f>
        <v/>
      </c>
      <c r="N2819" s="26">
        <f>IF($H2819="","",TODAY()-$H2819)</f>
        <v/>
      </c>
      <c r="O2819" s="15" t="n"/>
      <c r="P2819" s="15" t="n"/>
      <c r="Q2819" s="15" t="n"/>
      <c r="R2819" s="25" t="n"/>
      <c r="S2819" s="26">
        <f>IF($A2819="","",AND(OR('Assignment Builder'!$B$5="",$B2819='Assignment Builder'!$B$5),OR('Assignment Builder'!$B$6="",ISNUMBER(SEARCH('Assignment Builder'!$B$6,$C2819))),OR('Assignment Builder'!$B$7="",'Assignment Builder'!$B$7=IFERROR(INDEX('Category Dictionary'!$C$5:$C$135,MATCH($L2819,'Category Dictionary'!$D$5:$D$135,0)),"")),OR('Assignment Builder'!$B$8="",$D2819='Assignment Builder'!$B$8),OR('Assignment Builder'!$B$9="",$F2819='Assignment Builder'!$B$9),OR('Assignment Builder'!$B$10="",$O2819='Assignment Builder'!$B$10),OR('Assignment Builder'!$B$11="",$H2819&gt;='Assignment Builder'!$B$11),OR('Assignment Builder'!$B$12="",N($Q2819)&lt;='Assignment Builder'!$B$12)))</f>
        <v/>
      </c>
      <c r="T2819" s="23" t="n"/>
    </row>
    <row r="2820">
      <c r="A2820" s="23" t="n"/>
      <c r="B2820" s="23" t="n"/>
      <c r="C2820" s="24" t="n"/>
      <c r="D2820" s="15" t="n"/>
      <c r="E2820" s="23" t="n"/>
      <c r="F2820" s="15" t="n"/>
      <c r="G2820" s="23" t="n"/>
      <c r="H2820" s="25" t="n"/>
      <c r="I2820" s="15" t="n"/>
      <c r="J2820" s="26">
        <f>IF($A2820="","",LEN($C2820)-LEN(SUBSTITUTE($C2820,",",""))+1)</f>
        <v/>
      </c>
      <c r="K2820" s="26">
        <f>IF($A2820="","",SUMPRODUCT(--ISNUMBER(SEARCH('Category Dictionary'!$D$5:$D$135&amp;"",$C2820)),--('Category Dictionary'!$D$5:$D$135&lt;&gt;"")))</f>
        <v/>
      </c>
      <c r="L2820" s="27">
        <f>IF($A2820="","",TRIM(IF(ISERROR(FIND(",",$C2820)),$C2820,LEFT($C2820,FIND(",",$C2820)-1))))</f>
        <v/>
      </c>
      <c r="M2820" s="28">
        <f>IF($H2820="","",DATE(YEAR($H2820),MONTH($H2820),1))</f>
        <v/>
      </c>
      <c r="N2820" s="26">
        <f>IF($H2820="","",TODAY()-$H2820)</f>
        <v/>
      </c>
      <c r="O2820" s="15" t="n"/>
      <c r="P2820" s="15" t="n"/>
      <c r="Q2820" s="15" t="n"/>
      <c r="R2820" s="25" t="n"/>
      <c r="S2820" s="26">
        <f>IF($A2820="","",AND(OR('Assignment Builder'!$B$5="",$B2820='Assignment Builder'!$B$5),OR('Assignment Builder'!$B$6="",ISNUMBER(SEARCH('Assignment Builder'!$B$6,$C2820))),OR('Assignment Builder'!$B$7="",'Assignment Builder'!$B$7=IFERROR(INDEX('Category Dictionary'!$C$5:$C$135,MATCH($L2820,'Category Dictionary'!$D$5:$D$135,0)),"")),OR('Assignment Builder'!$B$8="",$D2820='Assignment Builder'!$B$8),OR('Assignment Builder'!$B$9="",$F2820='Assignment Builder'!$B$9),OR('Assignment Builder'!$B$10="",$O2820='Assignment Builder'!$B$10),OR('Assignment Builder'!$B$11="",$H2820&gt;='Assignment Builder'!$B$11),OR('Assignment Builder'!$B$12="",N($Q2820)&lt;='Assignment Builder'!$B$12)))</f>
        <v/>
      </c>
      <c r="T2820" s="23" t="n"/>
    </row>
    <row r="2821">
      <c r="A2821" s="23" t="n"/>
      <c r="B2821" s="23" t="n"/>
      <c r="C2821" s="24" t="n"/>
      <c r="D2821" s="15" t="n"/>
      <c r="E2821" s="23" t="n"/>
      <c r="F2821" s="15" t="n"/>
      <c r="G2821" s="23" t="n"/>
      <c r="H2821" s="25" t="n"/>
      <c r="I2821" s="15" t="n"/>
      <c r="J2821" s="26">
        <f>IF($A2821="","",LEN($C2821)-LEN(SUBSTITUTE($C2821,",",""))+1)</f>
        <v/>
      </c>
      <c r="K2821" s="26">
        <f>IF($A2821="","",SUMPRODUCT(--ISNUMBER(SEARCH('Category Dictionary'!$D$5:$D$135&amp;"",$C2821)),--('Category Dictionary'!$D$5:$D$135&lt;&gt;"")))</f>
        <v/>
      </c>
      <c r="L2821" s="27">
        <f>IF($A2821="","",TRIM(IF(ISERROR(FIND(",",$C2821)),$C2821,LEFT($C2821,FIND(",",$C2821)-1))))</f>
        <v/>
      </c>
      <c r="M2821" s="28">
        <f>IF($H2821="","",DATE(YEAR($H2821),MONTH($H2821),1))</f>
        <v/>
      </c>
      <c r="N2821" s="26">
        <f>IF($H2821="","",TODAY()-$H2821)</f>
        <v/>
      </c>
      <c r="O2821" s="15" t="n"/>
      <c r="P2821" s="15" t="n"/>
      <c r="Q2821" s="15" t="n"/>
      <c r="R2821" s="25" t="n"/>
      <c r="S2821" s="26">
        <f>IF($A2821="","",AND(OR('Assignment Builder'!$B$5="",$B2821='Assignment Builder'!$B$5),OR('Assignment Builder'!$B$6="",ISNUMBER(SEARCH('Assignment Builder'!$B$6,$C2821))),OR('Assignment Builder'!$B$7="",'Assignment Builder'!$B$7=IFERROR(INDEX('Category Dictionary'!$C$5:$C$135,MATCH($L2821,'Category Dictionary'!$D$5:$D$135,0)),"")),OR('Assignment Builder'!$B$8="",$D2821='Assignment Builder'!$B$8),OR('Assignment Builder'!$B$9="",$F2821='Assignment Builder'!$B$9),OR('Assignment Builder'!$B$10="",$O2821='Assignment Builder'!$B$10),OR('Assignment Builder'!$B$11="",$H2821&gt;='Assignment Builder'!$B$11),OR('Assignment Builder'!$B$12="",N($Q2821)&lt;='Assignment Builder'!$B$12)))</f>
        <v/>
      </c>
      <c r="T2821" s="23" t="n"/>
    </row>
    <row r="2822">
      <c r="A2822" s="23" t="n"/>
      <c r="B2822" s="23" t="n"/>
      <c r="C2822" s="24" t="n"/>
      <c r="D2822" s="15" t="n"/>
      <c r="E2822" s="23" t="n"/>
      <c r="F2822" s="15" t="n"/>
      <c r="G2822" s="23" t="n"/>
      <c r="H2822" s="25" t="n"/>
      <c r="I2822" s="15" t="n"/>
      <c r="J2822" s="26">
        <f>IF($A2822="","",LEN($C2822)-LEN(SUBSTITUTE($C2822,",",""))+1)</f>
        <v/>
      </c>
      <c r="K2822" s="26">
        <f>IF($A2822="","",SUMPRODUCT(--ISNUMBER(SEARCH('Category Dictionary'!$D$5:$D$135&amp;"",$C2822)),--('Category Dictionary'!$D$5:$D$135&lt;&gt;"")))</f>
        <v/>
      </c>
      <c r="L2822" s="27">
        <f>IF($A2822="","",TRIM(IF(ISERROR(FIND(",",$C2822)),$C2822,LEFT($C2822,FIND(",",$C2822)-1))))</f>
        <v/>
      </c>
      <c r="M2822" s="28">
        <f>IF($H2822="","",DATE(YEAR($H2822),MONTH($H2822),1))</f>
        <v/>
      </c>
      <c r="N2822" s="26">
        <f>IF($H2822="","",TODAY()-$H2822)</f>
        <v/>
      </c>
      <c r="O2822" s="15" t="n"/>
      <c r="P2822" s="15" t="n"/>
      <c r="Q2822" s="15" t="n"/>
      <c r="R2822" s="25" t="n"/>
      <c r="S2822" s="26">
        <f>IF($A2822="","",AND(OR('Assignment Builder'!$B$5="",$B2822='Assignment Builder'!$B$5),OR('Assignment Builder'!$B$6="",ISNUMBER(SEARCH('Assignment Builder'!$B$6,$C2822))),OR('Assignment Builder'!$B$7="",'Assignment Builder'!$B$7=IFERROR(INDEX('Category Dictionary'!$C$5:$C$135,MATCH($L2822,'Category Dictionary'!$D$5:$D$135,0)),"")),OR('Assignment Builder'!$B$8="",$D2822='Assignment Builder'!$B$8),OR('Assignment Builder'!$B$9="",$F2822='Assignment Builder'!$B$9),OR('Assignment Builder'!$B$10="",$O2822='Assignment Builder'!$B$10),OR('Assignment Builder'!$B$11="",$H2822&gt;='Assignment Builder'!$B$11),OR('Assignment Builder'!$B$12="",N($Q2822)&lt;='Assignment Builder'!$B$12)))</f>
        <v/>
      </c>
      <c r="T2822" s="23" t="n"/>
    </row>
    <row r="2823">
      <c r="A2823" s="23" t="n"/>
      <c r="B2823" s="23" t="n"/>
      <c r="C2823" s="24" t="n"/>
      <c r="D2823" s="15" t="n"/>
      <c r="E2823" s="23" t="n"/>
      <c r="F2823" s="15" t="n"/>
      <c r="G2823" s="23" t="n"/>
      <c r="H2823" s="25" t="n"/>
      <c r="I2823" s="15" t="n"/>
      <c r="J2823" s="26">
        <f>IF($A2823="","",LEN($C2823)-LEN(SUBSTITUTE($C2823,",",""))+1)</f>
        <v/>
      </c>
      <c r="K2823" s="26">
        <f>IF($A2823="","",SUMPRODUCT(--ISNUMBER(SEARCH('Category Dictionary'!$D$5:$D$135&amp;"",$C2823)),--('Category Dictionary'!$D$5:$D$135&lt;&gt;"")))</f>
        <v/>
      </c>
      <c r="L2823" s="27">
        <f>IF($A2823="","",TRIM(IF(ISERROR(FIND(",",$C2823)),$C2823,LEFT($C2823,FIND(",",$C2823)-1))))</f>
        <v/>
      </c>
      <c r="M2823" s="28">
        <f>IF($H2823="","",DATE(YEAR($H2823),MONTH($H2823),1))</f>
        <v/>
      </c>
      <c r="N2823" s="26">
        <f>IF($H2823="","",TODAY()-$H2823)</f>
        <v/>
      </c>
      <c r="O2823" s="15" t="n"/>
      <c r="P2823" s="15" t="n"/>
      <c r="Q2823" s="15" t="n"/>
      <c r="R2823" s="25" t="n"/>
      <c r="S2823" s="26">
        <f>IF($A2823="","",AND(OR('Assignment Builder'!$B$5="",$B2823='Assignment Builder'!$B$5),OR('Assignment Builder'!$B$6="",ISNUMBER(SEARCH('Assignment Builder'!$B$6,$C2823))),OR('Assignment Builder'!$B$7="",'Assignment Builder'!$B$7=IFERROR(INDEX('Category Dictionary'!$C$5:$C$135,MATCH($L2823,'Category Dictionary'!$D$5:$D$135,0)),"")),OR('Assignment Builder'!$B$8="",$D2823='Assignment Builder'!$B$8),OR('Assignment Builder'!$B$9="",$F2823='Assignment Builder'!$B$9),OR('Assignment Builder'!$B$10="",$O2823='Assignment Builder'!$B$10),OR('Assignment Builder'!$B$11="",$H2823&gt;='Assignment Builder'!$B$11),OR('Assignment Builder'!$B$12="",N($Q2823)&lt;='Assignment Builder'!$B$12)))</f>
        <v/>
      </c>
      <c r="T2823" s="23" t="n"/>
    </row>
    <row r="2824">
      <c r="A2824" s="23" t="n"/>
      <c r="B2824" s="23" t="n"/>
      <c r="C2824" s="24" t="n"/>
      <c r="D2824" s="15" t="n"/>
      <c r="E2824" s="23" t="n"/>
      <c r="F2824" s="15" t="n"/>
      <c r="G2824" s="23" t="n"/>
      <c r="H2824" s="25" t="n"/>
      <c r="I2824" s="15" t="n"/>
      <c r="J2824" s="26">
        <f>IF($A2824="","",LEN($C2824)-LEN(SUBSTITUTE($C2824,",",""))+1)</f>
        <v/>
      </c>
      <c r="K2824" s="26">
        <f>IF($A2824="","",SUMPRODUCT(--ISNUMBER(SEARCH('Category Dictionary'!$D$5:$D$135&amp;"",$C2824)),--('Category Dictionary'!$D$5:$D$135&lt;&gt;"")))</f>
        <v/>
      </c>
      <c r="L2824" s="27">
        <f>IF($A2824="","",TRIM(IF(ISERROR(FIND(",",$C2824)),$C2824,LEFT($C2824,FIND(",",$C2824)-1))))</f>
        <v/>
      </c>
      <c r="M2824" s="28">
        <f>IF($H2824="","",DATE(YEAR($H2824),MONTH($H2824),1))</f>
        <v/>
      </c>
      <c r="N2824" s="26">
        <f>IF($H2824="","",TODAY()-$H2824)</f>
        <v/>
      </c>
      <c r="O2824" s="15" t="n"/>
      <c r="P2824" s="15" t="n"/>
      <c r="Q2824" s="15" t="n"/>
      <c r="R2824" s="25" t="n"/>
      <c r="S2824" s="26">
        <f>IF($A2824="","",AND(OR('Assignment Builder'!$B$5="",$B2824='Assignment Builder'!$B$5),OR('Assignment Builder'!$B$6="",ISNUMBER(SEARCH('Assignment Builder'!$B$6,$C2824))),OR('Assignment Builder'!$B$7="",'Assignment Builder'!$B$7=IFERROR(INDEX('Category Dictionary'!$C$5:$C$135,MATCH($L2824,'Category Dictionary'!$D$5:$D$135,0)),"")),OR('Assignment Builder'!$B$8="",$D2824='Assignment Builder'!$B$8),OR('Assignment Builder'!$B$9="",$F2824='Assignment Builder'!$B$9),OR('Assignment Builder'!$B$10="",$O2824='Assignment Builder'!$B$10),OR('Assignment Builder'!$B$11="",$H2824&gt;='Assignment Builder'!$B$11),OR('Assignment Builder'!$B$12="",N($Q2824)&lt;='Assignment Builder'!$B$12)))</f>
        <v/>
      </c>
      <c r="T2824" s="23" t="n"/>
    </row>
    <row r="2825">
      <c r="A2825" s="23" t="n"/>
      <c r="B2825" s="23" t="n"/>
      <c r="C2825" s="24" t="n"/>
      <c r="D2825" s="15" t="n"/>
      <c r="E2825" s="23" t="n"/>
      <c r="F2825" s="15" t="n"/>
      <c r="G2825" s="23" t="n"/>
      <c r="H2825" s="25" t="n"/>
      <c r="I2825" s="15" t="n"/>
      <c r="J2825" s="26">
        <f>IF($A2825="","",LEN($C2825)-LEN(SUBSTITUTE($C2825,",",""))+1)</f>
        <v/>
      </c>
      <c r="K2825" s="26">
        <f>IF($A2825="","",SUMPRODUCT(--ISNUMBER(SEARCH('Category Dictionary'!$D$5:$D$135&amp;"",$C2825)),--('Category Dictionary'!$D$5:$D$135&lt;&gt;"")))</f>
        <v/>
      </c>
      <c r="L2825" s="27">
        <f>IF($A2825="","",TRIM(IF(ISERROR(FIND(",",$C2825)),$C2825,LEFT($C2825,FIND(",",$C2825)-1))))</f>
        <v/>
      </c>
      <c r="M2825" s="28">
        <f>IF($H2825="","",DATE(YEAR($H2825),MONTH($H2825),1))</f>
        <v/>
      </c>
      <c r="N2825" s="26">
        <f>IF($H2825="","",TODAY()-$H2825)</f>
        <v/>
      </c>
      <c r="O2825" s="15" t="n"/>
      <c r="P2825" s="15" t="n"/>
      <c r="Q2825" s="15" t="n"/>
      <c r="R2825" s="25" t="n"/>
      <c r="S2825" s="26">
        <f>IF($A2825="","",AND(OR('Assignment Builder'!$B$5="",$B2825='Assignment Builder'!$B$5),OR('Assignment Builder'!$B$6="",ISNUMBER(SEARCH('Assignment Builder'!$B$6,$C2825))),OR('Assignment Builder'!$B$7="",'Assignment Builder'!$B$7=IFERROR(INDEX('Category Dictionary'!$C$5:$C$135,MATCH($L2825,'Category Dictionary'!$D$5:$D$135,0)),"")),OR('Assignment Builder'!$B$8="",$D2825='Assignment Builder'!$B$8),OR('Assignment Builder'!$B$9="",$F2825='Assignment Builder'!$B$9),OR('Assignment Builder'!$B$10="",$O2825='Assignment Builder'!$B$10),OR('Assignment Builder'!$B$11="",$H2825&gt;='Assignment Builder'!$B$11),OR('Assignment Builder'!$B$12="",N($Q2825)&lt;='Assignment Builder'!$B$12)))</f>
        <v/>
      </c>
      <c r="T2825" s="23" t="n"/>
    </row>
    <row r="2826">
      <c r="A2826" s="23" t="n"/>
      <c r="B2826" s="23" t="n"/>
      <c r="C2826" s="24" t="n"/>
      <c r="D2826" s="15" t="n"/>
      <c r="E2826" s="23" t="n"/>
      <c r="F2826" s="15" t="n"/>
      <c r="G2826" s="23" t="n"/>
      <c r="H2826" s="25" t="n"/>
      <c r="I2826" s="15" t="n"/>
      <c r="J2826" s="26">
        <f>IF($A2826="","",LEN($C2826)-LEN(SUBSTITUTE($C2826,",",""))+1)</f>
        <v/>
      </c>
      <c r="K2826" s="26">
        <f>IF($A2826="","",SUMPRODUCT(--ISNUMBER(SEARCH('Category Dictionary'!$D$5:$D$135&amp;"",$C2826)),--('Category Dictionary'!$D$5:$D$135&lt;&gt;"")))</f>
        <v/>
      </c>
      <c r="L2826" s="27">
        <f>IF($A2826="","",TRIM(IF(ISERROR(FIND(",",$C2826)),$C2826,LEFT($C2826,FIND(",",$C2826)-1))))</f>
        <v/>
      </c>
      <c r="M2826" s="28">
        <f>IF($H2826="","",DATE(YEAR($H2826),MONTH($H2826),1))</f>
        <v/>
      </c>
      <c r="N2826" s="26">
        <f>IF($H2826="","",TODAY()-$H2826)</f>
        <v/>
      </c>
      <c r="O2826" s="15" t="n"/>
      <c r="P2826" s="15" t="n"/>
      <c r="Q2826" s="15" t="n"/>
      <c r="R2826" s="25" t="n"/>
      <c r="S2826" s="26">
        <f>IF($A2826="","",AND(OR('Assignment Builder'!$B$5="",$B2826='Assignment Builder'!$B$5),OR('Assignment Builder'!$B$6="",ISNUMBER(SEARCH('Assignment Builder'!$B$6,$C2826))),OR('Assignment Builder'!$B$7="",'Assignment Builder'!$B$7=IFERROR(INDEX('Category Dictionary'!$C$5:$C$135,MATCH($L2826,'Category Dictionary'!$D$5:$D$135,0)),"")),OR('Assignment Builder'!$B$8="",$D2826='Assignment Builder'!$B$8),OR('Assignment Builder'!$B$9="",$F2826='Assignment Builder'!$B$9),OR('Assignment Builder'!$B$10="",$O2826='Assignment Builder'!$B$10),OR('Assignment Builder'!$B$11="",$H2826&gt;='Assignment Builder'!$B$11),OR('Assignment Builder'!$B$12="",N($Q2826)&lt;='Assignment Builder'!$B$12)))</f>
        <v/>
      </c>
      <c r="T2826" s="23" t="n"/>
    </row>
    <row r="2827">
      <c r="A2827" s="23" t="n"/>
      <c r="B2827" s="23" t="n"/>
      <c r="C2827" s="24" t="n"/>
      <c r="D2827" s="15" t="n"/>
      <c r="E2827" s="23" t="n"/>
      <c r="F2827" s="15" t="n"/>
      <c r="G2827" s="23" t="n"/>
      <c r="H2827" s="25" t="n"/>
      <c r="I2827" s="15" t="n"/>
      <c r="J2827" s="26">
        <f>IF($A2827="","",LEN($C2827)-LEN(SUBSTITUTE($C2827,",",""))+1)</f>
        <v/>
      </c>
      <c r="K2827" s="26">
        <f>IF($A2827="","",SUMPRODUCT(--ISNUMBER(SEARCH('Category Dictionary'!$D$5:$D$135&amp;"",$C2827)),--('Category Dictionary'!$D$5:$D$135&lt;&gt;"")))</f>
        <v/>
      </c>
      <c r="L2827" s="27">
        <f>IF($A2827="","",TRIM(IF(ISERROR(FIND(",",$C2827)),$C2827,LEFT($C2827,FIND(",",$C2827)-1))))</f>
        <v/>
      </c>
      <c r="M2827" s="28">
        <f>IF($H2827="","",DATE(YEAR($H2827),MONTH($H2827),1))</f>
        <v/>
      </c>
      <c r="N2827" s="26">
        <f>IF($H2827="","",TODAY()-$H2827)</f>
        <v/>
      </c>
      <c r="O2827" s="15" t="n"/>
      <c r="P2827" s="15" t="n"/>
      <c r="Q2827" s="15" t="n"/>
      <c r="R2827" s="25" t="n"/>
      <c r="S2827" s="26">
        <f>IF($A2827="","",AND(OR('Assignment Builder'!$B$5="",$B2827='Assignment Builder'!$B$5),OR('Assignment Builder'!$B$6="",ISNUMBER(SEARCH('Assignment Builder'!$B$6,$C2827))),OR('Assignment Builder'!$B$7="",'Assignment Builder'!$B$7=IFERROR(INDEX('Category Dictionary'!$C$5:$C$135,MATCH($L2827,'Category Dictionary'!$D$5:$D$135,0)),"")),OR('Assignment Builder'!$B$8="",$D2827='Assignment Builder'!$B$8),OR('Assignment Builder'!$B$9="",$F2827='Assignment Builder'!$B$9),OR('Assignment Builder'!$B$10="",$O2827='Assignment Builder'!$B$10),OR('Assignment Builder'!$B$11="",$H2827&gt;='Assignment Builder'!$B$11),OR('Assignment Builder'!$B$12="",N($Q2827)&lt;='Assignment Builder'!$B$12)))</f>
        <v/>
      </c>
      <c r="T2827" s="23" t="n"/>
    </row>
    <row r="2828">
      <c r="A2828" s="23" t="n"/>
      <c r="B2828" s="23" t="n"/>
      <c r="C2828" s="24" t="n"/>
      <c r="D2828" s="15" t="n"/>
      <c r="E2828" s="23" t="n"/>
      <c r="F2828" s="15" t="n"/>
      <c r="G2828" s="23" t="n"/>
      <c r="H2828" s="25" t="n"/>
      <c r="I2828" s="15" t="n"/>
      <c r="J2828" s="26">
        <f>IF($A2828="","",LEN($C2828)-LEN(SUBSTITUTE($C2828,",",""))+1)</f>
        <v/>
      </c>
      <c r="K2828" s="26">
        <f>IF($A2828="","",SUMPRODUCT(--ISNUMBER(SEARCH('Category Dictionary'!$D$5:$D$135&amp;"",$C2828)),--('Category Dictionary'!$D$5:$D$135&lt;&gt;"")))</f>
        <v/>
      </c>
      <c r="L2828" s="27">
        <f>IF($A2828="","",TRIM(IF(ISERROR(FIND(",",$C2828)),$C2828,LEFT($C2828,FIND(",",$C2828)-1))))</f>
        <v/>
      </c>
      <c r="M2828" s="28">
        <f>IF($H2828="","",DATE(YEAR($H2828),MONTH($H2828),1))</f>
        <v/>
      </c>
      <c r="N2828" s="26">
        <f>IF($H2828="","",TODAY()-$H2828)</f>
        <v/>
      </c>
      <c r="O2828" s="15" t="n"/>
      <c r="P2828" s="15" t="n"/>
      <c r="Q2828" s="15" t="n"/>
      <c r="R2828" s="25" t="n"/>
      <c r="S2828" s="26">
        <f>IF($A2828="","",AND(OR('Assignment Builder'!$B$5="",$B2828='Assignment Builder'!$B$5),OR('Assignment Builder'!$B$6="",ISNUMBER(SEARCH('Assignment Builder'!$B$6,$C2828))),OR('Assignment Builder'!$B$7="",'Assignment Builder'!$B$7=IFERROR(INDEX('Category Dictionary'!$C$5:$C$135,MATCH($L2828,'Category Dictionary'!$D$5:$D$135,0)),"")),OR('Assignment Builder'!$B$8="",$D2828='Assignment Builder'!$B$8),OR('Assignment Builder'!$B$9="",$F2828='Assignment Builder'!$B$9),OR('Assignment Builder'!$B$10="",$O2828='Assignment Builder'!$B$10),OR('Assignment Builder'!$B$11="",$H2828&gt;='Assignment Builder'!$B$11),OR('Assignment Builder'!$B$12="",N($Q2828)&lt;='Assignment Builder'!$B$12)))</f>
        <v/>
      </c>
      <c r="T2828" s="23" t="n"/>
    </row>
    <row r="2829">
      <c r="A2829" s="23" t="n"/>
      <c r="B2829" s="23" t="n"/>
      <c r="C2829" s="24" t="n"/>
      <c r="D2829" s="15" t="n"/>
      <c r="E2829" s="23" t="n"/>
      <c r="F2829" s="15" t="n"/>
      <c r="G2829" s="23" t="n"/>
      <c r="H2829" s="25" t="n"/>
      <c r="I2829" s="15" t="n"/>
      <c r="J2829" s="26">
        <f>IF($A2829="","",LEN($C2829)-LEN(SUBSTITUTE($C2829,",",""))+1)</f>
        <v/>
      </c>
      <c r="K2829" s="26">
        <f>IF($A2829="","",SUMPRODUCT(--ISNUMBER(SEARCH('Category Dictionary'!$D$5:$D$135&amp;"",$C2829)),--('Category Dictionary'!$D$5:$D$135&lt;&gt;"")))</f>
        <v/>
      </c>
      <c r="L2829" s="27">
        <f>IF($A2829="","",TRIM(IF(ISERROR(FIND(",",$C2829)),$C2829,LEFT($C2829,FIND(",",$C2829)-1))))</f>
        <v/>
      </c>
      <c r="M2829" s="28">
        <f>IF($H2829="","",DATE(YEAR($H2829),MONTH($H2829),1))</f>
        <v/>
      </c>
      <c r="N2829" s="26">
        <f>IF($H2829="","",TODAY()-$H2829)</f>
        <v/>
      </c>
      <c r="O2829" s="15" t="n"/>
      <c r="P2829" s="15" t="n"/>
      <c r="Q2829" s="15" t="n"/>
      <c r="R2829" s="25" t="n"/>
      <c r="S2829" s="26">
        <f>IF($A2829="","",AND(OR('Assignment Builder'!$B$5="",$B2829='Assignment Builder'!$B$5),OR('Assignment Builder'!$B$6="",ISNUMBER(SEARCH('Assignment Builder'!$B$6,$C2829))),OR('Assignment Builder'!$B$7="",'Assignment Builder'!$B$7=IFERROR(INDEX('Category Dictionary'!$C$5:$C$135,MATCH($L2829,'Category Dictionary'!$D$5:$D$135,0)),"")),OR('Assignment Builder'!$B$8="",$D2829='Assignment Builder'!$B$8),OR('Assignment Builder'!$B$9="",$F2829='Assignment Builder'!$B$9),OR('Assignment Builder'!$B$10="",$O2829='Assignment Builder'!$B$10),OR('Assignment Builder'!$B$11="",$H2829&gt;='Assignment Builder'!$B$11),OR('Assignment Builder'!$B$12="",N($Q2829)&lt;='Assignment Builder'!$B$12)))</f>
        <v/>
      </c>
      <c r="T2829" s="23" t="n"/>
    </row>
    <row r="2830">
      <c r="A2830" s="23" t="n"/>
      <c r="B2830" s="23" t="n"/>
      <c r="C2830" s="24" t="n"/>
      <c r="D2830" s="15" t="n"/>
      <c r="E2830" s="23" t="n"/>
      <c r="F2830" s="15" t="n"/>
      <c r="G2830" s="23" t="n"/>
      <c r="H2830" s="25" t="n"/>
      <c r="I2830" s="15" t="n"/>
      <c r="J2830" s="26">
        <f>IF($A2830="","",LEN($C2830)-LEN(SUBSTITUTE($C2830,",",""))+1)</f>
        <v/>
      </c>
      <c r="K2830" s="26">
        <f>IF($A2830="","",SUMPRODUCT(--ISNUMBER(SEARCH('Category Dictionary'!$D$5:$D$135&amp;"",$C2830)),--('Category Dictionary'!$D$5:$D$135&lt;&gt;"")))</f>
        <v/>
      </c>
      <c r="L2830" s="27">
        <f>IF($A2830="","",TRIM(IF(ISERROR(FIND(",",$C2830)),$C2830,LEFT($C2830,FIND(",",$C2830)-1))))</f>
        <v/>
      </c>
      <c r="M2830" s="28">
        <f>IF($H2830="","",DATE(YEAR($H2830),MONTH($H2830),1))</f>
        <v/>
      </c>
      <c r="N2830" s="26">
        <f>IF($H2830="","",TODAY()-$H2830)</f>
        <v/>
      </c>
      <c r="O2830" s="15" t="n"/>
      <c r="P2830" s="15" t="n"/>
      <c r="Q2830" s="15" t="n"/>
      <c r="R2830" s="25" t="n"/>
      <c r="S2830" s="26">
        <f>IF($A2830="","",AND(OR('Assignment Builder'!$B$5="",$B2830='Assignment Builder'!$B$5),OR('Assignment Builder'!$B$6="",ISNUMBER(SEARCH('Assignment Builder'!$B$6,$C2830))),OR('Assignment Builder'!$B$7="",'Assignment Builder'!$B$7=IFERROR(INDEX('Category Dictionary'!$C$5:$C$135,MATCH($L2830,'Category Dictionary'!$D$5:$D$135,0)),"")),OR('Assignment Builder'!$B$8="",$D2830='Assignment Builder'!$B$8),OR('Assignment Builder'!$B$9="",$F2830='Assignment Builder'!$B$9),OR('Assignment Builder'!$B$10="",$O2830='Assignment Builder'!$B$10),OR('Assignment Builder'!$B$11="",$H2830&gt;='Assignment Builder'!$B$11),OR('Assignment Builder'!$B$12="",N($Q2830)&lt;='Assignment Builder'!$B$12)))</f>
        <v/>
      </c>
      <c r="T2830" s="23" t="n"/>
    </row>
    <row r="2831">
      <c r="A2831" s="23" t="n"/>
      <c r="B2831" s="23" t="n"/>
      <c r="C2831" s="24" t="n"/>
      <c r="D2831" s="15" t="n"/>
      <c r="E2831" s="23" t="n"/>
      <c r="F2831" s="15" t="n"/>
      <c r="G2831" s="23" t="n"/>
      <c r="H2831" s="25" t="n"/>
      <c r="I2831" s="15" t="n"/>
      <c r="J2831" s="26">
        <f>IF($A2831="","",LEN($C2831)-LEN(SUBSTITUTE($C2831,",",""))+1)</f>
        <v/>
      </c>
      <c r="K2831" s="26">
        <f>IF($A2831="","",SUMPRODUCT(--ISNUMBER(SEARCH('Category Dictionary'!$D$5:$D$135&amp;"",$C2831)),--('Category Dictionary'!$D$5:$D$135&lt;&gt;"")))</f>
        <v/>
      </c>
      <c r="L2831" s="27">
        <f>IF($A2831="","",TRIM(IF(ISERROR(FIND(",",$C2831)),$C2831,LEFT($C2831,FIND(",",$C2831)-1))))</f>
        <v/>
      </c>
      <c r="M2831" s="28">
        <f>IF($H2831="","",DATE(YEAR($H2831),MONTH($H2831),1))</f>
        <v/>
      </c>
      <c r="N2831" s="26">
        <f>IF($H2831="","",TODAY()-$H2831)</f>
        <v/>
      </c>
      <c r="O2831" s="15" t="n"/>
      <c r="P2831" s="15" t="n"/>
      <c r="Q2831" s="15" t="n"/>
      <c r="R2831" s="25" t="n"/>
      <c r="S2831" s="26">
        <f>IF($A2831="","",AND(OR('Assignment Builder'!$B$5="",$B2831='Assignment Builder'!$B$5),OR('Assignment Builder'!$B$6="",ISNUMBER(SEARCH('Assignment Builder'!$B$6,$C2831))),OR('Assignment Builder'!$B$7="",'Assignment Builder'!$B$7=IFERROR(INDEX('Category Dictionary'!$C$5:$C$135,MATCH($L2831,'Category Dictionary'!$D$5:$D$135,0)),"")),OR('Assignment Builder'!$B$8="",$D2831='Assignment Builder'!$B$8),OR('Assignment Builder'!$B$9="",$F2831='Assignment Builder'!$B$9),OR('Assignment Builder'!$B$10="",$O2831='Assignment Builder'!$B$10),OR('Assignment Builder'!$B$11="",$H2831&gt;='Assignment Builder'!$B$11),OR('Assignment Builder'!$B$12="",N($Q2831)&lt;='Assignment Builder'!$B$12)))</f>
        <v/>
      </c>
      <c r="T2831" s="23" t="n"/>
    </row>
    <row r="2832">
      <c r="A2832" s="23" t="n"/>
      <c r="B2832" s="23" t="n"/>
      <c r="C2832" s="24" t="n"/>
      <c r="D2832" s="15" t="n"/>
      <c r="E2832" s="23" t="n"/>
      <c r="F2832" s="15" t="n"/>
      <c r="G2832" s="23" t="n"/>
      <c r="H2832" s="25" t="n"/>
      <c r="I2832" s="15" t="n"/>
      <c r="J2832" s="26">
        <f>IF($A2832="","",LEN($C2832)-LEN(SUBSTITUTE($C2832,",",""))+1)</f>
        <v/>
      </c>
      <c r="K2832" s="26">
        <f>IF($A2832="","",SUMPRODUCT(--ISNUMBER(SEARCH('Category Dictionary'!$D$5:$D$135&amp;"",$C2832)),--('Category Dictionary'!$D$5:$D$135&lt;&gt;"")))</f>
        <v/>
      </c>
      <c r="L2832" s="27">
        <f>IF($A2832="","",TRIM(IF(ISERROR(FIND(",",$C2832)),$C2832,LEFT($C2832,FIND(",",$C2832)-1))))</f>
        <v/>
      </c>
      <c r="M2832" s="28">
        <f>IF($H2832="","",DATE(YEAR($H2832),MONTH($H2832),1))</f>
        <v/>
      </c>
      <c r="N2832" s="26">
        <f>IF($H2832="","",TODAY()-$H2832)</f>
        <v/>
      </c>
      <c r="O2832" s="15" t="n"/>
      <c r="P2832" s="15" t="n"/>
      <c r="Q2832" s="15" t="n"/>
      <c r="R2832" s="25" t="n"/>
      <c r="S2832" s="26">
        <f>IF($A2832="","",AND(OR('Assignment Builder'!$B$5="",$B2832='Assignment Builder'!$B$5),OR('Assignment Builder'!$B$6="",ISNUMBER(SEARCH('Assignment Builder'!$B$6,$C2832))),OR('Assignment Builder'!$B$7="",'Assignment Builder'!$B$7=IFERROR(INDEX('Category Dictionary'!$C$5:$C$135,MATCH($L2832,'Category Dictionary'!$D$5:$D$135,0)),"")),OR('Assignment Builder'!$B$8="",$D2832='Assignment Builder'!$B$8),OR('Assignment Builder'!$B$9="",$F2832='Assignment Builder'!$B$9),OR('Assignment Builder'!$B$10="",$O2832='Assignment Builder'!$B$10),OR('Assignment Builder'!$B$11="",$H2832&gt;='Assignment Builder'!$B$11),OR('Assignment Builder'!$B$12="",N($Q2832)&lt;='Assignment Builder'!$B$12)))</f>
        <v/>
      </c>
      <c r="T2832" s="23" t="n"/>
    </row>
    <row r="2833">
      <c r="A2833" s="23" t="n"/>
      <c r="B2833" s="23" t="n"/>
      <c r="C2833" s="24" t="n"/>
      <c r="D2833" s="15" t="n"/>
      <c r="E2833" s="23" t="n"/>
      <c r="F2833" s="15" t="n"/>
      <c r="G2833" s="23" t="n"/>
      <c r="H2833" s="25" t="n"/>
      <c r="I2833" s="15" t="n"/>
      <c r="J2833" s="26">
        <f>IF($A2833="","",LEN($C2833)-LEN(SUBSTITUTE($C2833,",",""))+1)</f>
        <v/>
      </c>
      <c r="K2833" s="26">
        <f>IF($A2833="","",SUMPRODUCT(--ISNUMBER(SEARCH('Category Dictionary'!$D$5:$D$135&amp;"",$C2833)),--('Category Dictionary'!$D$5:$D$135&lt;&gt;"")))</f>
        <v/>
      </c>
      <c r="L2833" s="27">
        <f>IF($A2833="","",TRIM(IF(ISERROR(FIND(",",$C2833)),$C2833,LEFT($C2833,FIND(",",$C2833)-1))))</f>
        <v/>
      </c>
      <c r="M2833" s="28">
        <f>IF($H2833="","",DATE(YEAR($H2833),MONTH($H2833),1))</f>
        <v/>
      </c>
      <c r="N2833" s="26">
        <f>IF($H2833="","",TODAY()-$H2833)</f>
        <v/>
      </c>
      <c r="O2833" s="15" t="n"/>
      <c r="P2833" s="15" t="n"/>
      <c r="Q2833" s="15" t="n"/>
      <c r="R2833" s="25" t="n"/>
      <c r="S2833" s="26">
        <f>IF($A2833="","",AND(OR('Assignment Builder'!$B$5="",$B2833='Assignment Builder'!$B$5),OR('Assignment Builder'!$B$6="",ISNUMBER(SEARCH('Assignment Builder'!$B$6,$C2833))),OR('Assignment Builder'!$B$7="",'Assignment Builder'!$B$7=IFERROR(INDEX('Category Dictionary'!$C$5:$C$135,MATCH($L2833,'Category Dictionary'!$D$5:$D$135,0)),"")),OR('Assignment Builder'!$B$8="",$D2833='Assignment Builder'!$B$8),OR('Assignment Builder'!$B$9="",$F2833='Assignment Builder'!$B$9),OR('Assignment Builder'!$B$10="",$O2833='Assignment Builder'!$B$10),OR('Assignment Builder'!$B$11="",$H2833&gt;='Assignment Builder'!$B$11),OR('Assignment Builder'!$B$12="",N($Q2833)&lt;='Assignment Builder'!$B$12)))</f>
        <v/>
      </c>
      <c r="T2833" s="23" t="n"/>
    </row>
    <row r="2834">
      <c r="A2834" s="23" t="n"/>
      <c r="B2834" s="23" t="n"/>
      <c r="C2834" s="24" t="n"/>
      <c r="D2834" s="15" t="n"/>
      <c r="E2834" s="23" t="n"/>
      <c r="F2834" s="15" t="n"/>
      <c r="G2834" s="23" t="n"/>
      <c r="H2834" s="25" t="n"/>
      <c r="I2834" s="15" t="n"/>
      <c r="J2834" s="26">
        <f>IF($A2834="","",LEN($C2834)-LEN(SUBSTITUTE($C2834,",",""))+1)</f>
        <v/>
      </c>
      <c r="K2834" s="26">
        <f>IF($A2834="","",SUMPRODUCT(--ISNUMBER(SEARCH('Category Dictionary'!$D$5:$D$135&amp;"",$C2834)),--('Category Dictionary'!$D$5:$D$135&lt;&gt;"")))</f>
        <v/>
      </c>
      <c r="L2834" s="27">
        <f>IF($A2834="","",TRIM(IF(ISERROR(FIND(",",$C2834)),$C2834,LEFT($C2834,FIND(",",$C2834)-1))))</f>
        <v/>
      </c>
      <c r="M2834" s="28">
        <f>IF($H2834="","",DATE(YEAR($H2834),MONTH($H2834),1))</f>
        <v/>
      </c>
      <c r="N2834" s="26">
        <f>IF($H2834="","",TODAY()-$H2834)</f>
        <v/>
      </c>
      <c r="O2834" s="15" t="n"/>
      <c r="P2834" s="15" t="n"/>
      <c r="Q2834" s="15" t="n"/>
      <c r="R2834" s="25" t="n"/>
      <c r="S2834" s="26">
        <f>IF($A2834="","",AND(OR('Assignment Builder'!$B$5="",$B2834='Assignment Builder'!$B$5),OR('Assignment Builder'!$B$6="",ISNUMBER(SEARCH('Assignment Builder'!$B$6,$C2834))),OR('Assignment Builder'!$B$7="",'Assignment Builder'!$B$7=IFERROR(INDEX('Category Dictionary'!$C$5:$C$135,MATCH($L2834,'Category Dictionary'!$D$5:$D$135,0)),"")),OR('Assignment Builder'!$B$8="",$D2834='Assignment Builder'!$B$8),OR('Assignment Builder'!$B$9="",$F2834='Assignment Builder'!$B$9),OR('Assignment Builder'!$B$10="",$O2834='Assignment Builder'!$B$10),OR('Assignment Builder'!$B$11="",$H2834&gt;='Assignment Builder'!$B$11),OR('Assignment Builder'!$B$12="",N($Q2834)&lt;='Assignment Builder'!$B$12)))</f>
        <v/>
      </c>
      <c r="T2834" s="23" t="n"/>
    </row>
    <row r="2835">
      <c r="A2835" s="23" t="n"/>
      <c r="B2835" s="23" t="n"/>
      <c r="C2835" s="24" t="n"/>
      <c r="D2835" s="15" t="n"/>
      <c r="E2835" s="23" t="n"/>
      <c r="F2835" s="15" t="n"/>
      <c r="G2835" s="23" t="n"/>
      <c r="H2835" s="25" t="n"/>
      <c r="I2835" s="15" t="n"/>
      <c r="J2835" s="26">
        <f>IF($A2835="","",LEN($C2835)-LEN(SUBSTITUTE($C2835,",",""))+1)</f>
        <v/>
      </c>
      <c r="K2835" s="26">
        <f>IF($A2835="","",SUMPRODUCT(--ISNUMBER(SEARCH('Category Dictionary'!$D$5:$D$135&amp;"",$C2835)),--('Category Dictionary'!$D$5:$D$135&lt;&gt;"")))</f>
        <v/>
      </c>
      <c r="L2835" s="27">
        <f>IF($A2835="","",TRIM(IF(ISERROR(FIND(",",$C2835)),$C2835,LEFT($C2835,FIND(",",$C2835)-1))))</f>
        <v/>
      </c>
      <c r="M2835" s="28">
        <f>IF($H2835="","",DATE(YEAR($H2835),MONTH($H2835),1))</f>
        <v/>
      </c>
      <c r="N2835" s="26">
        <f>IF($H2835="","",TODAY()-$H2835)</f>
        <v/>
      </c>
      <c r="O2835" s="15" t="n"/>
      <c r="P2835" s="15" t="n"/>
      <c r="Q2835" s="15" t="n"/>
      <c r="R2835" s="25" t="n"/>
      <c r="S2835" s="26">
        <f>IF($A2835="","",AND(OR('Assignment Builder'!$B$5="",$B2835='Assignment Builder'!$B$5),OR('Assignment Builder'!$B$6="",ISNUMBER(SEARCH('Assignment Builder'!$B$6,$C2835))),OR('Assignment Builder'!$B$7="",'Assignment Builder'!$B$7=IFERROR(INDEX('Category Dictionary'!$C$5:$C$135,MATCH($L2835,'Category Dictionary'!$D$5:$D$135,0)),"")),OR('Assignment Builder'!$B$8="",$D2835='Assignment Builder'!$B$8),OR('Assignment Builder'!$B$9="",$F2835='Assignment Builder'!$B$9),OR('Assignment Builder'!$B$10="",$O2835='Assignment Builder'!$B$10),OR('Assignment Builder'!$B$11="",$H2835&gt;='Assignment Builder'!$B$11),OR('Assignment Builder'!$B$12="",N($Q2835)&lt;='Assignment Builder'!$B$12)))</f>
        <v/>
      </c>
      <c r="T2835" s="23" t="n"/>
    </row>
    <row r="2836">
      <c r="A2836" s="23" t="n"/>
      <c r="B2836" s="23" t="n"/>
      <c r="C2836" s="24" t="n"/>
      <c r="D2836" s="15" t="n"/>
      <c r="E2836" s="23" t="n"/>
      <c r="F2836" s="15" t="n"/>
      <c r="G2836" s="23" t="n"/>
      <c r="H2836" s="25" t="n"/>
      <c r="I2836" s="15" t="n"/>
      <c r="J2836" s="26">
        <f>IF($A2836="","",LEN($C2836)-LEN(SUBSTITUTE($C2836,",",""))+1)</f>
        <v/>
      </c>
      <c r="K2836" s="26">
        <f>IF($A2836="","",SUMPRODUCT(--ISNUMBER(SEARCH('Category Dictionary'!$D$5:$D$135&amp;"",$C2836)),--('Category Dictionary'!$D$5:$D$135&lt;&gt;"")))</f>
        <v/>
      </c>
      <c r="L2836" s="27">
        <f>IF($A2836="","",TRIM(IF(ISERROR(FIND(",",$C2836)),$C2836,LEFT($C2836,FIND(",",$C2836)-1))))</f>
        <v/>
      </c>
      <c r="M2836" s="28">
        <f>IF($H2836="","",DATE(YEAR($H2836),MONTH($H2836),1))</f>
        <v/>
      </c>
      <c r="N2836" s="26">
        <f>IF($H2836="","",TODAY()-$H2836)</f>
        <v/>
      </c>
      <c r="O2836" s="15" t="n"/>
      <c r="P2836" s="15" t="n"/>
      <c r="Q2836" s="15" t="n"/>
      <c r="R2836" s="25" t="n"/>
      <c r="S2836" s="26">
        <f>IF($A2836="","",AND(OR('Assignment Builder'!$B$5="",$B2836='Assignment Builder'!$B$5),OR('Assignment Builder'!$B$6="",ISNUMBER(SEARCH('Assignment Builder'!$B$6,$C2836))),OR('Assignment Builder'!$B$7="",'Assignment Builder'!$B$7=IFERROR(INDEX('Category Dictionary'!$C$5:$C$135,MATCH($L2836,'Category Dictionary'!$D$5:$D$135,0)),"")),OR('Assignment Builder'!$B$8="",$D2836='Assignment Builder'!$B$8),OR('Assignment Builder'!$B$9="",$F2836='Assignment Builder'!$B$9),OR('Assignment Builder'!$B$10="",$O2836='Assignment Builder'!$B$10),OR('Assignment Builder'!$B$11="",$H2836&gt;='Assignment Builder'!$B$11),OR('Assignment Builder'!$B$12="",N($Q2836)&lt;='Assignment Builder'!$B$12)))</f>
        <v/>
      </c>
      <c r="T2836" s="23" t="n"/>
    </row>
    <row r="2837">
      <c r="A2837" s="23" t="n"/>
      <c r="B2837" s="23" t="n"/>
      <c r="C2837" s="24" t="n"/>
      <c r="D2837" s="15" t="n"/>
      <c r="E2837" s="23" t="n"/>
      <c r="F2837" s="15" t="n"/>
      <c r="G2837" s="23" t="n"/>
      <c r="H2837" s="25" t="n"/>
      <c r="I2837" s="15" t="n"/>
      <c r="J2837" s="26">
        <f>IF($A2837="","",LEN($C2837)-LEN(SUBSTITUTE($C2837,",",""))+1)</f>
        <v/>
      </c>
      <c r="K2837" s="26">
        <f>IF($A2837="","",SUMPRODUCT(--ISNUMBER(SEARCH('Category Dictionary'!$D$5:$D$135&amp;"",$C2837)),--('Category Dictionary'!$D$5:$D$135&lt;&gt;"")))</f>
        <v/>
      </c>
      <c r="L2837" s="27">
        <f>IF($A2837="","",TRIM(IF(ISERROR(FIND(",",$C2837)),$C2837,LEFT($C2837,FIND(",",$C2837)-1))))</f>
        <v/>
      </c>
      <c r="M2837" s="28">
        <f>IF($H2837="","",DATE(YEAR($H2837),MONTH($H2837),1))</f>
        <v/>
      </c>
      <c r="N2837" s="26">
        <f>IF($H2837="","",TODAY()-$H2837)</f>
        <v/>
      </c>
      <c r="O2837" s="15" t="n"/>
      <c r="P2837" s="15" t="n"/>
      <c r="Q2837" s="15" t="n"/>
      <c r="R2837" s="25" t="n"/>
      <c r="S2837" s="26">
        <f>IF($A2837="","",AND(OR('Assignment Builder'!$B$5="",$B2837='Assignment Builder'!$B$5),OR('Assignment Builder'!$B$6="",ISNUMBER(SEARCH('Assignment Builder'!$B$6,$C2837))),OR('Assignment Builder'!$B$7="",'Assignment Builder'!$B$7=IFERROR(INDEX('Category Dictionary'!$C$5:$C$135,MATCH($L2837,'Category Dictionary'!$D$5:$D$135,0)),"")),OR('Assignment Builder'!$B$8="",$D2837='Assignment Builder'!$B$8),OR('Assignment Builder'!$B$9="",$F2837='Assignment Builder'!$B$9),OR('Assignment Builder'!$B$10="",$O2837='Assignment Builder'!$B$10),OR('Assignment Builder'!$B$11="",$H2837&gt;='Assignment Builder'!$B$11),OR('Assignment Builder'!$B$12="",N($Q2837)&lt;='Assignment Builder'!$B$12)))</f>
        <v/>
      </c>
      <c r="T2837" s="23" t="n"/>
    </row>
    <row r="2838">
      <c r="A2838" s="23" t="n"/>
      <c r="B2838" s="23" t="n"/>
      <c r="C2838" s="24" t="n"/>
      <c r="D2838" s="15" t="n"/>
      <c r="E2838" s="23" t="n"/>
      <c r="F2838" s="15" t="n"/>
      <c r="G2838" s="23" t="n"/>
      <c r="H2838" s="25" t="n"/>
      <c r="I2838" s="15" t="n"/>
      <c r="J2838" s="26">
        <f>IF($A2838="","",LEN($C2838)-LEN(SUBSTITUTE($C2838,",",""))+1)</f>
        <v/>
      </c>
      <c r="K2838" s="26">
        <f>IF($A2838="","",SUMPRODUCT(--ISNUMBER(SEARCH('Category Dictionary'!$D$5:$D$135&amp;"",$C2838)),--('Category Dictionary'!$D$5:$D$135&lt;&gt;"")))</f>
        <v/>
      </c>
      <c r="L2838" s="27">
        <f>IF($A2838="","",TRIM(IF(ISERROR(FIND(",",$C2838)),$C2838,LEFT($C2838,FIND(",",$C2838)-1))))</f>
        <v/>
      </c>
      <c r="M2838" s="28">
        <f>IF($H2838="","",DATE(YEAR($H2838),MONTH($H2838),1))</f>
        <v/>
      </c>
      <c r="N2838" s="26">
        <f>IF($H2838="","",TODAY()-$H2838)</f>
        <v/>
      </c>
      <c r="O2838" s="15" t="n"/>
      <c r="P2838" s="15" t="n"/>
      <c r="Q2838" s="15" t="n"/>
      <c r="R2838" s="25" t="n"/>
      <c r="S2838" s="26">
        <f>IF($A2838="","",AND(OR('Assignment Builder'!$B$5="",$B2838='Assignment Builder'!$B$5),OR('Assignment Builder'!$B$6="",ISNUMBER(SEARCH('Assignment Builder'!$B$6,$C2838))),OR('Assignment Builder'!$B$7="",'Assignment Builder'!$B$7=IFERROR(INDEX('Category Dictionary'!$C$5:$C$135,MATCH($L2838,'Category Dictionary'!$D$5:$D$135,0)),"")),OR('Assignment Builder'!$B$8="",$D2838='Assignment Builder'!$B$8),OR('Assignment Builder'!$B$9="",$F2838='Assignment Builder'!$B$9),OR('Assignment Builder'!$B$10="",$O2838='Assignment Builder'!$B$10),OR('Assignment Builder'!$B$11="",$H2838&gt;='Assignment Builder'!$B$11),OR('Assignment Builder'!$B$12="",N($Q2838)&lt;='Assignment Builder'!$B$12)))</f>
        <v/>
      </c>
      <c r="T2838" s="23" t="n"/>
    </row>
    <row r="2839">
      <c r="A2839" s="23" t="n"/>
      <c r="B2839" s="23" t="n"/>
      <c r="C2839" s="24" t="n"/>
      <c r="D2839" s="15" t="n"/>
      <c r="E2839" s="23" t="n"/>
      <c r="F2839" s="15" t="n"/>
      <c r="G2839" s="23" t="n"/>
      <c r="H2839" s="25" t="n"/>
      <c r="I2839" s="15" t="n"/>
      <c r="J2839" s="26">
        <f>IF($A2839="","",LEN($C2839)-LEN(SUBSTITUTE($C2839,",",""))+1)</f>
        <v/>
      </c>
      <c r="K2839" s="26">
        <f>IF($A2839="","",SUMPRODUCT(--ISNUMBER(SEARCH('Category Dictionary'!$D$5:$D$135&amp;"",$C2839)),--('Category Dictionary'!$D$5:$D$135&lt;&gt;"")))</f>
        <v/>
      </c>
      <c r="L2839" s="27">
        <f>IF($A2839="","",TRIM(IF(ISERROR(FIND(",",$C2839)),$C2839,LEFT($C2839,FIND(",",$C2839)-1))))</f>
        <v/>
      </c>
      <c r="M2839" s="28">
        <f>IF($H2839="","",DATE(YEAR($H2839),MONTH($H2839),1))</f>
        <v/>
      </c>
      <c r="N2839" s="26">
        <f>IF($H2839="","",TODAY()-$H2839)</f>
        <v/>
      </c>
      <c r="O2839" s="15" t="n"/>
      <c r="P2839" s="15" t="n"/>
      <c r="Q2839" s="15" t="n"/>
      <c r="R2839" s="25" t="n"/>
      <c r="S2839" s="26">
        <f>IF($A2839="","",AND(OR('Assignment Builder'!$B$5="",$B2839='Assignment Builder'!$B$5),OR('Assignment Builder'!$B$6="",ISNUMBER(SEARCH('Assignment Builder'!$B$6,$C2839))),OR('Assignment Builder'!$B$7="",'Assignment Builder'!$B$7=IFERROR(INDEX('Category Dictionary'!$C$5:$C$135,MATCH($L2839,'Category Dictionary'!$D$5:$D$135,0)),"")),OR('Assignment Builder'!$B$8="",$D2839='Assignment Builder'!$B$8),OR('Assignment Builder'!$B$9="",$F2839='Assignment Builder'!$B$9),OR('Assignment Builder'!$B$10="",$O2839='Assignment Builder'!$B$10),OR('Assignment Builder'!$B$11="",$H2839&gt;='Assignment Builder'!$B$11),OR('Assignment Builder'!$B$12="",N($Q2839)&lt;='Assignment Builder'!$B$12)))</f>
        <v/>
      </c>
      <c r="T2839" s="23" t="n"/>
    </row>
    <row r="2840">
      <c r="A2840" s="23" t="n"/>
      <c r="B2840" s="23" t="n"/>
      <c r="C2840" s="24" t="n"/>
      <c r="D2840" s="15" t="n"/>
      <c r="E2840" s="23" t="n"/>
      <c r="F2840" s="15" t="n"/>
      <c r="G2840" s="23" t="n"/>
      <c r="H2840" s="25" t="n"/>
      <c r="I2840" s="15" t="n"/>
      <c r="J2840" s="26">
        <f>IF($A2840="","",LEN($C2840)-LEN(SUBSTITUTE($C2840,",",""))+1)</f>
        <v/>
      </c>
      <c r="K2840" s="26">
        <f>IF($A2840="","",SUMPRODUCT(--ISNUMBER(SEARCH('Category Dictionary'!$D$5:$D$135&amp;"",$C2840)),--('Category Dictionary'!$D$5:$D$135&lt;&gt;"")))</f>
        <v/>
      </c>
      <c r="L2840" s="27">
        <f>IF($A2840="","",TRIM(IF(ISERROR(FIND(",",$C2840)),$C2840,LEFT($C2840,FIND(",",$C2840)-1))))</f>
        <v/>
      </c>
      <c r="M2840" s="28">
        <f>IF($H2840="","",DATE(YEAR($H2840),MONTH($H2840),1))</f>
        <v/>
      </c>
      <c r="N2840" s="26">
        <f>IF($H2840="","",TODAY()-$H2840)</f>
        <v/>
      </c>
      <c r="O2840" s="15" t="n"/>
      <c r="P2840" s="15" t="n"/>
      <c r="Q2840" s="15" t="n"/>
      <c r="R2840" s="25" t="n"/>
      <c r="S2840" s="26">
        <f>IF($A2840="","",AND(OR('Assignment Builder'!$B$5="",$B2840='Assignment Builder'!$B$5),OR('Assignment Builder'!$B$6="",ISNUMBER(SEARCH('Assignment Builder'!$B$6,$C2840))),OR('Assignment Builder'!$B$7="",'Assignment Builder'!$B$7=IFERROR(INDEX('Category Dictionary'!$C$5:$C$135,MATCH($L2840,'Category Dictionary'!$D$5:$D$135,0)),"")),OR('Assignment Builder'!$B$8="",$D2840='Assignment Builder'!$B$8),OR('Assignment Builder'!$B$9="",$F2840='Assignment Builder'!$B$9),OR('Assignment Builder'!$B$10="",$O2840='Assignment Builder'!$B$10),OR('Assignment Builder'!$B$11="",$H2840&gt;='Assignment Builder'!$B$11),OR('Assignment Builder'!$B$12="",N($Q2840)&lt;='Assignment Builder'!$B$12)))</f>
        <v/>
      </c>
      <c r="T2840" s="23" t="n"/>
    </row>
    <row r="2841">
      <c r="A2841" s="23" t="n"/>
      <c r="B2841" s="23" t="n"/>
      <c r="C2841" s="24" t="n"/>
      <c r="D2841" s="15" t="n"/>
      <c r="E2841" s="23" t="n"/>
      <c r="F2841" s="15" t="n"/>
      <c r="G2841" s="23" t="n"/>
      <c r="H2841" s="25" t="n"/>
      <c r="I2841" s="15" t="n"/>
      <c r="J2841" s="26">
        <f>IF($A2841="","",LEN($C2841)-LEN(SUBSTITUTE($C2841,",",""))+1)</f>
        <v/>
      </c>
      <c r="K2841" s="26">
        <f>IF($A2841="","",SUMPRODUCT(--ISNUMBER(SEARCH('Category Dictionary'!$D$5:$D$135&amp;"",$C2841)),--('Category Dictionary'!$D$5:$D$135&lt;&gt;"")))</f>
        <v/>
      </c>
      <c r="L2841" s="27">
        <f>IF($A2841="","",TRIM(IF(ISERROR(FIND(",",$C2841)),$C2841,LEFT($C2841,FIND(",",$C2841)-1))))</f>
        <v/>
      </c>
      <c r="M2841" s="28">
        <f>IF($H2841="","",DATE(YEAR($H2841),MONTH($H2841),1))</f>
        <v/>
      </c>
      <c r="N2841" s="26">
        <f>IF($H2841="","",TODAY()-$H2841)</f>
        <v/>
      </c>
      <c r="O2841" s="15" t="n"/>
      <c r="P2841" s="15" t="n"/>
      <c r="Q2841" s="15" t="n"/>
      <c r="R2841" s="25" t="n"/>
      <c r="S2841" s="26">
        <f>IF($A2841="","",AND(OR('Assignment Builder'!$B$5="",$B2841='Assignment Builder'!$B$5),OR('Assignment Builder'!$B$6="",ISNUMBER(SEARCH('Assignment Builder'!$B$6,$C2841))),OR('Assignment Builder'!$B$7="",'Assignment Builder'!$B$7=IFERROR(INDEX('Category Dictionary'!$C$5:$C$135,MATCH($L2841,'Category Dictionary'!$D$5:$D$135,0)),"")),OR('Assignment Builder'!$B$8="",$D2841='Assignment Builder'!$B$8),OR('Assignment Builder'!$B$9="",$F2841='Assignment Builder'!$B$9),OR('Assignment Builder'!$B$10="",$O2841='Assignment Builder'!$B$10),OR('Assignment Builder'!$B$11="",$H2841&gt;='Assignment Builder'!$B$11),OR('Assignment Builder'!$B$12="",N($Q2841)&lt;='Assignment Builder'!$B$12)))</f>
        <v/>
      </c>
      <c r="T2841" s="23" t="n"/>
    </row>
    <row r="2842">
      <c r="A2842" s="23" t="n"/>
      <c r="B2842" s="23" t="n"/>
      <c r="C2842" s="24" t="n"/>
      <c r="D2842" s="15" t="n"/>
      <c r="E2842" s="23" t="n"/>
      <c r="F2842" s="15" t="n"/>
      <c r="G2842" s="23" t="n"/>
      <c r="H2842" s="25" t="n"/>
      <c r="I2842" s="15" t="n"/>
      <c r="J2842" s="26">
        <f>IF($A2842="","",LEN($C2842)-LEN(SUBSTITUTE($C2842,",",""))+1)</f>
        <v/>
      </c>
      <c r="K2842" s="26">
        <f>IF($A2842="","",SUMPRODUCT(--ISNUMBER(SEARCH('Category Dictionary'!$D$5:$D$135&amp;"",$C2842)),--('Category Dictionary'!$D$5:$D$135&lt;&gt;"")))</f>
        <v/>
      </c>
      <c r="L2842" s="27">
        <f>IF($A2842="","",TRIM(IF(ISERROR(FIND(",",$C2842)),$C2842,LEFT($C2842,FIND(",",$C2842)-1))))</f>
        <v/>
      </c>
      <c r="M2842" s="28">
        <f>IF($H2842="","",DATE(YEAR($H2842),MONTH($H2842),1))</f>
        <v/>
      </c>
      <c r="N2842" s="26">
        <f>IF($H2842="","",TODAY()-$H2842)</f>
        <v/>
      </c>
      <c r="O2842" s="15" t="n"/>
      <c r="P2842" s="15" t="n"/>
      <c r="Q2842" s="15" t="n"/>
      <c r="R2842" s="25" t="n"/>
      <c r="S2842" s="26">
        <f>IF($A2842="","",AND(OR('Assignment Builder'!$B$5="",$B2842='Assignment Builder'!$B$5),OR('Assignment Builder'!$B$6="",ISNUMBER(SEARCH('Assignment Builder'!$B$6,$C2842))),OR('Assignment Builder'!$B$7="",'Assignment Builder'!$B$7=IFERROR(INDEX('Category Dictionary'!$C$5:$C$135,MATCH($L2842,'Category Dictionary'!$D$5:$D$135,0)),"")),OR('Assignment Builder'!$B$8="",$D2842='Assignment Builder'!$B$8),OR('Assignment Builder'!$B$9="",$F2842='Assignment Builder'!$B$9),OR('Assignment Builder'!$B$10="",$O2842='Assignment Builder'!$B$10),OR('Assignment Builder'!$B$11="",$H2842&gt;='Assignment Builder'!$B$11),OR('Assignment Builder'!$B$12="",N($Q2842)&lt;='Assignment Builder'!$B$12)))</f>
        <v/>
      </c>
      <c r="T2842" s="23" t="n"/>
    </row>
    <row r="2843">
      <c r="A2843" s="23" t="n"/>
      <c r="B2843" s="23" t="n"/>
      <c r="C2843" s="24" t="n"/>
      <c r="D2843" s="15" t="n"/>
      <c r="E2843" s="23" t="n"/>
      <c r="F2843" s="15" t="n"/>
      <c r="G2843" s="23" t="n"/>
      <c r="H2843" s="25" t="n"/>
      <c r="I2843" s="15" t="n"/>
      <c r="J2843" s="26">
        <f>IF($A2843="","",LEN($C2843)-LEN(SUBSTITUTE($C2843,",",""))+1)</f>
        <v/>
      </c>
      <c r="K2843" s="26">
        <f>IF($A2843="","",SUMPRODUCT(--ISNUMBER(SEARCH('Category Dictionary'!$D$5:$D$135&amp;"",$C2843)),--('Category Dictionary'!$D$5:$D$135&lt;&gt;"")))</f>
        <v/>
      </c>
      <c r="L2843" s="27">
        <f>IF($A2843="","",TRIM(IF(ISERROR(FIND(",",$C2843)),$C2843,LEFT($C2843,FIND(",",$C2843)-1))))</f>
        <v/>
      </c>
      <c r="M2843" s="28">
        <f>IF($H2843="","",DATE(YEAR($H2843),MONTH($H2843),1))</f>
        <v/>
      </c>
      <c r="N2843" s="26">
        <f>IF($H2843="","",TODAY()-$H2843)</f>
        <v/>
      </c>
      <c r="O2843" s="15" t="n"/>
      <c r="P2843" s="15" t="n"/>
      <c r="Q2843" s="15" t="n"/>
      <c r="R2843" s="25" t="n"/>
      <c r="S2843" s="26">
        <f>IF($A2843="","",AND(OR('Assignment Builder'!$B$5="",$B2843='Assignment Builder'!$B$5),OR('Assignment Builder'!$B$6="",ISNUMBER(SEARCH('Assignment Builder'!$B$6,$C2843))),OR('Assignment Builder'!$B$7="",'Assignment Builder'!$B$7=IFERROR(INDEX('Category Dictionary'!$C$5:$C$135,MATCH($L2843,'Category Dictionary'!$D$5:$D$135,0)),"")),OR('Assignment Builder'!$B$8="",$D2843='Assignment Builder'!$B$8),OR('Assignment Builder'!$B$9="",$F2843='Assignment Builder'!$B$9),OR('Assignment Builder'!$B$10="",$O2843='Assignment Builder'!$B$10),OR('Assignment Builder'!$B$11="",$H2843&gt;='Assignment Builder'!$B$11),OR('Assignment Builder'!$B$12="",N($Q2843)&lt;='Assignment Builder'!$B$12)))</f>
        <v/>
      </c>
      <c r="T2843" s="23" t="n"/>
    </row>
    <row r="2844">
      <c r="A2844" s="23" t="n"/>
      <c r="B2844" s="23" t="n"/>
      <c r="C2844" s="24" t="n"/>
      <c r="D2844" s="15" t="n"/>
      <c r="E2844" s="23" t="n"/>
      <c r="F2844" s="15" t="n"/>
      <c r="G2844" s="23" t="n"/>
      <c r="H2844" s="25" t="n"/>
      <c r="I2844" s="15" t="n"/>
      <c r="J2844" s="26">
        <f>IF($A2844="","",LEN($C2844)-LEN(SUBSTITUTE($C2844,",",""))+1)</f>
        <v/>
      </c>
      <c r="K2844" s="26">
        <f>IF($A2844="","",SUMPRODUCT(--ISNUMBER(SEARCH('Category Dictionary'!$D$5:$D$135&amp;"",$C2844)),--('Category Dictionary'!$D$5:$D$135&lt;&gt;"")))</f>
        <v/>
      </c>
      <c r="L2844" s="27">
        <f>IF($A2844="","",TRIM(IF(ISERROR(FIND(",",$C2844)),$C2844,LEFT($C2844,FIND(",",$C2844)-1))))</f>
        <v/>
      </c>
      <c r="M2844" s="28">
        <f>IF($H2844="","",DATE(YEAR($H2844),MONTH($H2844),1))</f>
        <v/>
      </c>
      <c r="N2844" s="26">
        <f>IF($H2844="","",TODAY()-$H2844)</f>
        <v/>
      </c>
      <c r="O2844" s="15" t="n"/>
      <c r="P2844" s="15" t="n"/>
      <c r="Q2844" s="15" t="n"/>
      <c r="R2844" s="25" t="n"/>
      <c r="S2844" s="26">
        <f>IF($A2844="","",AND(OR('Assignment Builder'!$B$5="",$B2844='Assignment Builder'!$B$5),OR('Assignment Builder'!$B$6="",ISNUMBER(SEARCH('Assignment Builder'!$B$6,$C2844))),OR('Assignment Builder'!$B$7="",'Assignment Builder'!$B$7=IFERROR(INDEX('Category Dictionary'!$C$5:$C$135,MATCH($L2844,'Category Dictionary'!$D$5:$D$135,0)),"")),OR('Assignment Builder'!$B$8="",$D2844='Assignment Builder'!$B$8),OR('Assignment Builder'!$B$9="",$F2844='Assignment Builder'!$B$9),OR('Assignment Builder'!$B$10="",$O2844='Assignment Builder'!$B$10),OR('Assignment Builder'!$B$11="",$H2844&gt;='Assignment Builder'!$B$11),OR('Assignment Builder'!$B$12="",N($Q2844)&lt;='Assignment Builder'!$B$12)))</f>
        <v/>
      </c>
      <c r="T2844" s="23" t="n"/>
    </row>
    <row r="2845">
      <c r="A2845" s="23" t="n"/>
      <c r="B2845" s="23" t="n"/>
      <c r="C2845" s="24" t="n"/>
      <c r="D2845" s="15" t="n"/>
      <c r="E2845" s="23" t="n"/>
      <c r="F2845" s="15" t="n"/>
      <c r="G2845" s="23" t="n"/>
      <c r="H2845" s="25" t="n"/>
      <c r="I2845" s="15" t="n"/>
      <c r="J2845" s="26">
        <f>IF($A2845="","",LEN($C2845)-LEN(SUBSTITUTE($C2845,",",""))+1)</f>
        <v/>
      </c>
      <c r="K2845" s="26">
        <f>IF($A2845="","",SUMPRODUCT(--ISNUMBER(SEARCH('Category Dictionary'!$D$5:$D$135&amp;"",$C2845)),--('Category Dictionary'!$D$5:$D$135&lt;&gt;"")))</f>
        <v/>
      </c>
      <c r="L2845" s="27">
        <f>IF($A2845="","",TRIM(IF(ISERROR(FIND(",",$C2845)),$C2845,LEFT($C2845,FIND(",",$C2845)-1))))</f>
        <v/>
      </c>
      <c r="M2845" s="28">
        <f>IF($H2845="","",DATE(YEAR($H2845),MONTH($H2845),1))</f>
        <v/>
      </c>
      <c r="N2845" s="26">
        <f>IF($H2845="","",TODAY()-$H2845)</f>
        <v/>
      </c>
      <c r="O2845" s="15" t="n"/>
      <c r="P2845" s="15" t="n"/>
      <c r="Q2845" s="15" t="n"/>
      <c r="R2845" s="25" t="n"/>
      <c r="S2845" s="26">
        <f>IF($A2845="","",AND(OR('Assignment Builder'!$B$5="",$B2845='Assignment Builder'!$B$5),OR('Assignment Builder'!$B$6="",ISNUMBER(SEARCH('Assignment Builder'!$B$6,$C2845))),OR('Assignment Builder'!$B$7="",'Assignment Builder'!$B$7=IFERROR(INDEX('Category Dictionary'!$C$5:$C$135,MATCH($L2845,'Category Dictionary'!$D$5:$D$135,0)),"")),OR('Assignment Builder'!$B$8="",$D2845='Assignment Builder'!$B$8),OR('Assignment Builder'!$B$9="",$F2845='Assignment Builder'!$B$9),OR('Assignment Builder'!$B$10="",$O2845='Assignment Builder'!$B$10),OR('Assignment Builder'!$B$11="",$H2845&gt;='Assignment Builder'!$B$11),OR('Assignment Builder'!$B$12="",N($Q2845)&lt;='Assignment Builder'!$B$12)))</f>
        <v/>
      </c>
      <c r="T2845" s="23" t="n"/>
    </row>
    <row r="2846">
      <c r="A2846" s="23" t="n"/>
      <c r="B2846" s="23" t="n"/>
      <c r="C2846" s="24" t="n"/>
      <c r="D2846" s="15" t="n"/>
      <c r="E2846" s="23" t="n"/>
      <c r="F2846" s="15" t="n"/>
      <c r="G2846" s="23" t="n"/>
      <c r="H2846" s="25" t="n"/>
      <c r="I2846" s="15" t="n"/>
      <c r="J2846" s="26">
        <f>IF($A2846="","",LEN($C2846)-LEN(SUBSTITUTE($C2846,",",""))+1)</f>
        <v/>
      </c>
      <c r="K2846" s="26">
        <f>IF($A2846="","",SUMPRODUCT(--ISNUMBER(SEARCH('Category Dictionary'!$D$5:$D$135&amp;"",$C2846)),--('Category Dictionary'!$D$5:$D$135&lt;&gt;"")))</f>
        <v/>
      </c>
      <c r="L2846" s="27">
        <f>IF($A2846="","",TRIM(IF(ISERROR(FIND(",",$C2846)),$C2846,LEFT($C2846,FIND(",",$C2846)-1))))</f>
        <v/>
      </c>
      <c r="M2846" s="28">
        <f>IF($H2846="","",DATE(YEAR($H2846),MONTH($H2846),1))</f>
        <v/>
      </c>
      <c r="N2846" s="26">
        <f>IF($H2846="","",TODAY()-$H2846)</f>
        <v/>
      </c>
      <c r="O2846" s="15" t="n"/>
      <c r="P2846" s="15" t="n"/>
      <c r="Q2846" s="15" t="n"/>
      <c r="R2846" s="25" t="n"/>
      <c r="S2846" s="26">
        <f>IF($A2846="","",AND(OR('Assignment Builder'!$B$5="",$B2846='Assignment Builder'!$B$5),OR('Assignment Builder'!$B$6="",ISNUMBER(SEARCH('Assignment Builder'!$B$6,$C2846))),OR('Assignment Builder'!$B$7="",'Assignment Builder'!$B$7=IFERROR(INDEX('Category Dictionary'!$C$5:$C$135,MATCH($L2846,'Category Dictionary'!$D$5:$D$135,0)),"")),OR('Assignment Builder'!$B$8="",$D2846='Assignment Builder'!$B$8),OR('Assignment Builder'!$B$9="",$F2846='Assignment Builder'!$B$9),OR('Assignment Builder'!$B$10="",$O2846='Assignment Builder'!$B$10),OR('Assignment Builder'!$B$11="",$H2846&gt;='Assignment Builder'!$B$11),OR('Assignment Builder'!$B$12="",N($Q2846)&lt;='Assignment Builder'!$B$12)))</f>
        <v/>
      </c>
      <c r="T2846" s="23" t="n"/>
    </row>
    <row r="2847">
      <c r="A2847" s="23" t="n"/>
      <c r="B2847" s="23" t="n"/>
      <c r="C2847" s="24" t="n"/>
      <c r="D2847" s="15" t="n"/>
      <c r="E2847" s="23" t="n"/>
      <c r="F2847" s="15" t="n"/>
      <c r="G2847" s="23" t="n"/>
      <c r="H2847" s="25" t="n"/>
      <c r="I2847" s="15" t="n"/>
      <c r="J2847" s="26">
        <f>IF($A2847="","",LEN($C2847)-LEN(SUBSTITUTE($C2847,",",""))+1)</f>
        <v/>
      </c>
      <c r="K2847" s="26">
        <f>IF($A2847="","",SUMPRODUCT(--ISNUMBER(SEARCH('Category Dictionary'!$D$5:$D$135&amp;"",$C2847)),--('Category Dictionary'!$D$5:$D$135&lt;&gt;"")))</f>
        <v/>
      </c>
      <c r="L2847" s="27">
        <f>IF($A2847="","",TRIM(IF(ISERROR(FIND(",",$C2847)),$C2847,LEFT($C2847,FIND(",",$C2847)-1))))</f>
        <v/>
      </c>
      <c r="M2847" s="28">
        <f>IF($H2847="","",DATE(YEAR($H2847),MONTH($H2847),1))</f>
        <v/>
      </c>
      <c r="N2847" s="26">
        <f>IF($H2847="","",TODAY()-$H2847)</f>
        <v/>
      </c>
      <c r="O2847" s="15" t="n"/>
      <c r="P2847" s="15" t="n"/>
      <c r="Q2847" s="15" t="n"/>
      <c r="R2847" s="25" t="n"/>
      <c r="S2847" s="26">
        <f>IF($A2847="","",AND(OR('Assignment Builder'!$B$5="",$B2847='Assignment Builder'!$B$5),OR('Assignment Builder'!$B$6="",ISNUMBER(SEARCH('Assignment Builder'!$B$6,$C2847))),OR('Assignment Builder'!$B$7="",'Assignment Builder'!$B$7=IFERROR(INDEX('Category Dictionary'!$C$5:$C$135,MATCH($L2847,'Category Dictionary'!$D$5:$D$135,0)),"")),OR('Assignment Builder'!$B$8="",$D2847='Assignment Builder'!$B$8),OR('Assignment Builder'!$B$9="",$F2847='Assignment Builder'!$B$9),OR('Assignment Builder'!$B$10="",$O2847='Assignment Builder'!$B$10),OR('Assignment Builder'!$B$11="",$H2847&gt;='Assignment Builder'!$B$11),OR('Assignment Builder'!$B$12="",N($Q2847)&lt;='Assignment Builder'!$B$12)))</f>
        <v/>
      </c>
      <c r="T2847" s="23" t="n"/>
    </row>
    <row r="2848">
      <c r="A2848" s="23" t="n"/>
      <c r="B2848" s="23" t="n"/>
      <c r="C2848" s="24" t="n"/>
      <c r="D2848" s="15" t="n"/>
      <c r="E2848" s="23" t="n"/>
      <c r="F2848" s="15" t="n"/>
      <c r="G2848" s="23" t="n"/>
      <c r="H2848" s="25" t="n"/>
      <c r="I2848" s="15" t="n"/>
      <c r="J2848" s="26">
        <f>IF($A2848="","",LEN($C2848)-LEN(SUBSTITUTE($C2848,",",""))+1)</f>
        <v/>
      </c>
      <c r="K2848" s="26">
        <f>IF($A2848="","",SUMPRODUCT(--ISNUMBER(SEARCH('Category Dictionary'!$D$5:$D$135&amp;"",$C2848)),--('Category Dictionary'!$D$5:$D$135&lt;&gt;"")))</f>
        <v/>
      </c>
      <c r="L2848" s="27">
        <f>IF($A2848="","",TRIM(IF(ISERROR(FIND(",",$C2848)),$C2848,LEFT($C2848,FIND(",",$C2848)-1))))</f>
        <v/>
      </c>
      <c r="M2848" s="28">
        <f>IF($H2848="","",DATE(YEAR($H2848),MONTH($H2848),1))</f>
        <v/>
      </c>
      <c r="N2848" s="26">
        <f>IF($H2848="","",TODAY()-$H2848)</f>
        <v/>
      </c>
      <c r="O2848" s="15" t="n"/>
      <c r="P2848" s="15" t="n"/>
      <c r="Q2848" s="15" t="n"/>
      <c r="R2848" s="25" t="n"/>
      <c r="S2848" s="26">
        <f>IF($A2848="","",AND(OR('Assignment Builder'!$B$5="",$B2848='Assignment Builder'!$B$5),OR('Assignment Builder'!$B$6="",ISNUMBER(SEARCH('Assignment Builder'!$B$6,$C2848))),OR('Assignment Builder'!$B$7="",'Assignment Builder'!$B$7=IFERROR(INDEX('Category Dictionary'!$C$5:$C$135,MATCH($L2848,'Category Dictionary'!$D$5:$D$135,0)),"")),OR('Assignment Builder'!$B$8="",$D2848='Assignment Builder'!$B$8),OR('Assignment Builder'!$B$9="",$F2848='Assignment Builder'!$B$9),OR('Assignment Builder'!$B$10="",$O2848='Assignment Builder'!$B$10),OR('Assignment Builder'!$B$11="",$H2848&gt;='Assignment Builder'!$B$11),OR('Assignment Builder'!$B$12="",N($Q2848)&lt;='Assignment Builder'!$B$12)))</f>
        <v/>
      </c>
      <c r="T2848" s="23" t="n"/>
    </row>
    <row r="2849">
      <c r="A2849" s="23" t="n"/>
      <c r="B2849" s="23" t="n"/>
      <c r="C2849" s="24" t="n"/>
      <c r="D2849" s="15" t="n"/>
      <c r="E2849" s="23" t="n"/>
      <c r="F2849" s="15" t="n"/>
      <c r="G2849" s="23" t="n"/>
      <c r="H2849" s="25" t="n"/>
      <c r="I2849" s="15" t="n"/>
      <c r="J2849" s="26">
        <f>IF($A2849="","",LEN($C2849)-LEN(SUBSTITUTE($C2849,",",""))+1)</f>
        <v/>
      </c>
      <c r="K2849" s="26">
        <f>IF($A2849="","",SUMPRODUCT(--ISNUMBER(SEARCH('Category Dictionary'!$D$5:$D$135&amp;"",$C2849)),--('Category Dictionary'!$D$5:$D$135&lt;&gt;"")))</f>
        <v/>
      </c>
      <c r="L2849" s="27">
        <f>IF($A2849="","",TRIM(IF(ISERROR(FIND(",",$C2849)),$C2849,LEFT($C2849,FIND(",",$C2849)-1))))</f>
        <v/>
      </c>
      <c r="M2849" s="28">
        <f>IF($H2849="","",DATE(YEAR($H2849),MONTH($H2849),1))</f>
        <v/>
      </c>
      <c r="N2849" s="26">
        <f>IF($H2849="","",TODAY()-$H2849)</f>
        <v/>
      </c>
      <c r="O2849" s="15" t="n"/>
      <c r="P2849" s="15" t="n"/>
      <c r="Q2849" s="15" t="n"/>
      <c r="R2849" s="25" t="n"/>
      <c r="S2849" s="26">
        <f>IF($A2849="","",AND(OR('Assignment Builder'!$B$5="",$B2849='Assignment Builder'!$B$5),OR('Assignment Builder'!$B$6="",ISNUMBER(SEARCH('Assignment Builder'!$B$6,$C2849))),OR('Assignment Builder'!$B$7="",'Assignment Builder'!$B$7=IFERROR(INDEX('Category Dictionary'!$C$5:$C$135,MATCH($L2849,'Category Dictionary'!$D$5:$D$135,0)),"")),OR('Assignment Builder'!$B$8="",$D2849='Assignment Builder'!$B$8),OR('Assignment Builder'!$B$9="",$F2849='Assignment Builder'!$B$9),OR('Assignment Builder'!$B$10="",$O2849='Assignment Builder'!$B$10),OR('Assignment Builder'!$B$11="",$H2849&gt;='Assignment Builder'!$B$11),OR('Assignment Builder'!$B$12="",N($Q2849)&lt;='Assignment Builder'!$B$12)))</f>
        <v/>
      </c>
      <c r="T2849" s="23" t="n"/>
    </row>
    <row r="2850">
      <c r="A2850" s="23" t="n"/>
      <c r="B2850" s="23" t="n"/>
      <c r="C2850" s="24" t="n"/>
      <c r="D2850" s="15" t="n"/>
      <c r="E2850" s="23" t="n"/>
      <c r="F2850" s="15" t="n"/>
      <c r="G2850" s="23" t="n"/>
      <c r="H2850" s="25" t="n"/>
      <c r="I2850" s="15" t="n"/>
      <c r="J2850" s="26">
        <f>IF($A2850="","",LEN($C2850)-LEN(SUBSTITUTE($C2850,",",""))+1)</f>
        <v/>
      </c>
      <c r="K2850" s="26">
        <f>IF($A2850="","",SUMPRODUCT(--ISNUMBER(SEARCH('Category Dictionary'!$D$5:$D$135&amp;"",$C2850)),--('Category Dictionary'!$D$5:$D$135&lt;&gt;"")))</f>
        <v/>
      </c>
      <c r="L2850" s="27">
        <f>IF($A2850="","",TRIM(IF(ISERROR(FIND(",",$C2850)),$C2850,LEFT($C2850,FIND(",",$C2850)-1))))</f>
        <v/>
      </c>
      <c r="M2850" s="28">
        <f>IF($H2850="","",DATE(YEAR($H2850),MONTH($H2850),1))</f>
        <v/>
      </c>
      <c r="N2850" s="26">
        <f>IF($H2850="","",TODAY()-$H2850)</f>
        <v/>
      </c>
      <c r="O2850" s="15" t="n"/>
      <c r="P2850" s="15" t="n"/>
      <c r="Q2850" s="15" t="n"/>
      <c r="R2850" s="25" t="n"/>
      <c r="S2850" s="26">
        <f>IF($A2850="","",AND(OR('Assignment Builder'!$B$5="",$B2850='Assignment Builder'!$B$5),OR('Assignment Builder'!$B$6="",ISNUMBER(SEARCH('Assignment Builder'!$B$6,$C2850))),OR('Assignment Builder'!$B$7="",'Assignment Builder'!$B$7=IFERROR(INDEX('Category Dictionary'!$C$5:$C$135,MATCH($L2850,'Category Dictionary'!$D$5:$D$135,0)),"")),OR('Assignment Builder'!$B$8="",$D2850='Assignment Builder'!$B$8),OR('Assignment Builder'!$B$9="",$F2850='Assignment Builder'!$B$9),OR('Assignment Builder'!$B$10="",$O2850='Assignment Builder'!$B$10),OR('Assignment Builder'!$B$11="",$H2850&gt;='Assignment Builder'!$B$11),OR('Assignment Builder'!$B$12="",N($Q2850)&lt;='Assignment Builder'!$B$12)))</f>
        <v/>
      </c>
      <c r="T2850" s="23" t="n"/>
    </row>
    <row r="2851">
      <c r="A2851" s="23" t="n"/>
      <c r="B2851" s="23" t="n"/>
      <c r="C2851" s="24" t="n"/>
      <c r="D2851" s="15" t="n"/>
      <c r="E2851" s="23" t="n"/>
      <c r="F2851" s="15" t="n"/>
      <c r="G2851" s="23" t="n"/>
      <c r="H2851" s="25" t="n"/>
      <c r="I2851" s="15" t="n"/>
      <c r="J2851" s="26">
        <f>IF($A2851="","",LEN($C2851)-LEN(SUBSTITUTE($C2851,",",""))+1)</f>
        <v/>
      </c>
      <c r="K2851" s="26">
        <f>IF($A2851="","",SUMPRODUCT(--ISNUMBER(SEARCH('Category Dictionary'!$D$5:$D$135&amp;"",$C2851)),--('Category Dictionary'!$D$5:$D$135&lt;&gt;"")))</f>
        <v/>
      </c>
      <c r="L2851" s="27">
        <f>IF($A2851="","",TRIM(IF(ISERROR(FIND(",",$C2851)),$C2851,LEFT($C2851,FIND(",",$C2851)-1))))</f>
        <v/>
      </c>
      <c r="M2851" s="28">
        <f>IF($H2851="","",DATE(YEAR($H2851),MONTH($H2851),1))</f>
        <v/>
      </c>
      <c r="N2851" s="26">
        <f>IF($H2851="","",TODAY()-$H2851)</f>
        <v/>
      </c>
      <c r="O2851" s="15" t="n"/>
      <c r="P2851" s="15" t="n"/>
      <c r="Q2851" s="15" t="n"/>
      <c r="R2851" s="25" t="n"/>
      <c r="S2851" s="26">
        <f>IF($A2851="","",AND(OR('Assignment Builder'!$B$5="",$B2851='Assignment Builder'!$B$5),OR('Assignment Builder'!$B$6="",ISNUMBER(SEARCH('Assignment Builder'!$B$6,$C2851))),OR('Assignment Builder'!$B$7="",'Assignment Builder'!$B$7=IFERROR(INDEX('Category Dictionary'!$C$5:$C$135,MATCH($L2851,'Category Dictionary'!$D$5:$D$135,0)),"")),OR('Assignment Builder'!$B$8="",$D2851='Assignment Builder'!$B$8),OR('Assignment Builder'!$B$9="",$F2851='Assignment Builder'!$B$9),OR('Assignment Builder'!$B$10="",$O2851='Assignment Builder'!$B$10),OR('Assignment Builder'!$B$11="",$H2851&gt;='Assignment Builder'!$B$11),OR('Assignment Builder'!$B$12="",N($Q2851)&lt;='Assignment Builder'!$B$12)))</f>
        <v/>
      </c>
      <c r="T2851" s="23" t="n"/>
    </row>
    <row r="2852">
      <c r="A2852" s="23" t="n"/>
      <c r="B2852" s="23" t="n"/>
      <c r="C2852" s="24" t="n"/>
      <c r="D2852" s="15" t="n"/>
      <c r="E2852" s="23" t="n"/>
      <c r="F2852" s="15" t="n"/>
      <c r="G2852" s="23" t="n"/>
      <c r="H2852" s="25" t="n"/>
      <c r="I2852" s="15" t="n"/>
      <c r="J2852" s="26">
        <f>IF($A2852="","",LEN($C2852)-LEN(SUBSTITUTE($C2852,",",""))+1)</f>
        <v/>
      </c>
      <c r="K2852" s="26">
        <f>IF($A2852="","",SUMPRODUCT(--ISNUMBER(SEARCH('Category Dictionary'!$D$5:$D$135&amp;"",$C2852)),--('Category Dictionary'!$D$5:$D$135&lt;&gt;"")))</f>
        <v/>
      </c>
      <c r="L2852" s="27">
        <f>IF($A2852="","",TRIM(IF(ISERROR(FIND(",",$C2852)),$C2852,LEFT($C2852,FIND(",",$C2852)-1))))</f>
        <v/>
      </c>
      <c r="M2852" s="28">
        <f>IF($H2852="","",DATE(YEAR($H2852),MONTH($H2852),1))</f>
        <v/>
      </c>
      <c r="N2852" s="26">
        <f>IF($H2852="","",TODAY()-$H2852)</f>
        <v/>
      </c>
      <c r="O2852" s="15" t="n"/>
      <c r="P2852" s="15" t="n"/>
      <c r="Q2852" s="15" t="n"/>
      <c r="R2852" s="25" t="n"/>
      <c r="S2852" s="26">
        <f>IF($A2852="","",AND(OR('Assignment Builder'!$B$5="",$B2852='Assignment Builder'!$B$5),OR('Assignment Builder'!$B$6="",ISNUMBER(SEARCH('Assignment Builder'!$B$6,$C2852))),OR('Assignment Builder'!$B$7="",'Assignment Builder'!$B$7=IFERROR(INDEX('Category Dictionary'!$C$5:$C$135,MATCH($L2852,'Category Dictionary'!$D$5:$D$135,0)),"")),OR('Assignment Builder'!$B$8="",$D2852='Assignment Builder'!$B$8),OR('Assignment Builder'!$B$9="",$F2852='Assignment Builder'!$B$9),OR('Assignment Builder'!$B$10="",$O2852='Assignment Builder'!$B$10),OR('Assignment Builder'!$B$11="",$H2852&gt;='Assignment Builder'!$B$11),OR('Assignment Builder'!$B$12="",N($Q2852)&lt;='Assignment Builder'!$B$12)))</f>
        <v/>
      </c>
      <c r="T2852" s="23" t="n"/>
    </row>
    <row r="2853">
      <c r="A2853" s="23" t="n"/>
      <c r="B2853" s="23" t="n"/>
      <c r="C2853" s="24" t="n"/>
      <c r="D2853" s="15" t="n"/>
      <c r="E2853" s="23" t="n"/>
      <c r="F2853" s="15" t="n"/>
      <c r="G2853" s="23" t="n"/>
      <c r="H2853" s="25" t="n"/>
      <c r="I2853" s="15" t="n"/>
      <c r="J2853" s="26">
        <f>IF($A2853="","",LEN($C2853)-LEN(SUBSTITUTE($C2853,",",""))+1)</f>
        <v/>
      </c>
      <c r="K2853" s="26">
        <f>IF($A2853="","",SUMPRODUCT(--ISNUMBER(SEARCH('Category Dictionary'!$D$5:$D$135&amp;"",$C2853)),--('Category Dictionary'!$D$5:$D$135&lt;&gt;"")))</f>
        <v/>
      </c>
      <c r="L2853" s="27">
        <f>IF($A2853="","",TRIM(IF(ISERROR(FIND(",",$C2853)),$C2853,LEFT($C2853,FIND(",",$C2853)-1))))</f>
        <v/>
      </c>
      <c r="M2853" s="28">
        <f>IF($H2853="","",DATE(YEAR($H2853),MONTH($H2853),1))</f>
        <v/>
      </c>
      <c r="N2853" s="26">
        <f>IF($H2853="","",TODAY()-$H2853)</f>
        <v/>
      </c>
      <c r="O2853" s="15" t="n"/>
      <c r="P2853" s="15" t="n"/>
      <c r="Q2853" s="15" t="n"/>
      <c r="R2853" s="25" t="n"/>
      <c r="S2853" s="26">
        <f>IF($A2853="","",AND(OR('Assignment Builder'!$B$5="",$B2853='Assignment Builder'!$B$5),OR('Assignment Builder'!$B$6="",ISNUMBER(SEARCH('Assignment Builder'!$B$6,$C2853))),OR('Assignment Builder'!$B$7="",'Assignment Builder'!$B$7=IFERROR(INDEX('Category Dictionary'!$C$5:$C$135,MATCH($L2853,'Category Dictionary'!$D$5:$D$135,0)),"")),OR('Assignment Builder'!$B$8="",$D2853='Assignment Builder'!$B$8),OR('Assignment Builder'!$B$9="",$F2853='Assignment Builder'!$B$9),OR('Assignment Builder'!$B$10="",$O2853='Assignment Builder'!$B$10),OR('Assignment Builder'!$B$11="",$H2853&gt;='Assignment Builder'!$B$11),OR('Assignment Builder'!$B$12="",N($Q2853)&lt;='Assignment Builder'!$B$12)))</f>
        <v/>
      </c>
      <c r="T2853" s="23" t="n"/>
    </row>
    <row r="2854">
      <c r="A2854" s="23" t="n"/>
      <c r="B2854" s="23" t="n"/>
      <c r="C2854" s="24" t="n"/>
      <c r="D2854" s="15" t="n"/>
      <c r="E2854" s="23" t="n"/>
      <c r="F2854" s="15" t="n"/>
      <c r="G2854" s="23" t="n"/>
      <c r="H2854" s="25" t="n"/>
      <c r="I2854" s="15" t="n"/>
      <c r="J2854" s="26">
        <f>IF($A2854="","",LEN($C2854)-LEN(SUBSTITUTE($C2854,",",""))+1)</f>
        <v/>
      </c>
      <c r="K2854" s="26">
        <f>IF($A2854="","",SUMPRODUCT(--ISNUMBER(SEARCH('Category Dictionary'!$D$5:$D$135&amp;"",$C2854)),--('Category Dictionary'!$D$5:$D$135&lt;&gt;"")))</f>
        <v/>
      </c>
      <c r="L2854" s="27">
        <f>IF($A2854="","",TRIM(IF(ISERROR(FIND(",",$C2854)),$C2854,LEFT($C2854,FIND(",",$C2854)-1))))</f>
        <v/>
      </c>
      <c r="M2854" s="28">
        <f>IF($H2854="","",DATE(YEAR($H2854),MONTH($H2854),1))</f>
        <v/>
      </c>
      <c r="N2854" s="26">
        <f>IF($H2854="","",TODAY()-$H2854)</f>
        <v/>
      </c>
      <c r="O2854" s="15" t="n"/>
      <c r="P2854" s="15" t="n"/>
      <c r="Q2854" s="15" t="n"/>
      <c r="R2854" s="25" t="n"/>
      <c r="S2854" s="26">
        <f>IF($A2854="","",AND(OR('Assignment Builder'!$B$5="",$B2854='Assignment Builder'!$B$5),OR('Assignment Builder'!$B$6="",ISNUMBER(SEARCH('Assignment Builder'!$B$6,$C2854))),OR('Assignment Builder'!$B$7="",'Assignment Builder'!$B$7=IFERROR(INDEX('Category Dictionary'!$C$5:$C$135,MATCH($L2854,'Category Dictionary'!$D$5:$D$135,0)),"")),OR('Assignment Builder'!$B$8="",$D2854='Assignment Builder'!$B$8),OR('Assignment Builder'!$B$9="",$F2854='Assignment Builder'!$B$9),OR('Assignment Builder'!$B$10="",$O2854='Assignment Builder'!$B$10),OR('Assignment Builder'!$B$11="",$H2854&gt;='Assignment Builder'!$B$11),OR('Assignment Builder'!$B$12="",N($Q2854)&lt;='Assignment Builder'!$B$12)))</f>
        <v/>
      </c>
      <c r="T2854" s="23" t="n"/>
    </row>
    <row r="2855">
      <c r="A2855" s="23" t="n"/>
      <c r="B2855" s="23" t="n"/>
      <c r="C2855" s="24" t="n"/>
      <c r="D2855" s="15" t="n"/>
      <c r="E2855" s="23" t="n"/>
      <c r="F2855" s="15" t="n"/>
      <c r="G2855" s="23" t="n"/>
      <c r="H2855" s="25" t="n"/>
      <c r="I2855" s="15" t="n"/>
      <c r="J2855" s="26">
        <f>IF($A2855="","",LEN($C2855)-LEN(SUBSTITUTE($C2855,",",""))+1)</f>
        <v/>
      </c>
      <c r="K2855" s="26">
        <f>IF($A2855="","",SUMPRODUCT(--ISNUMBER(SEARCH('Category Dictionary'!$D$5:$D$135&amp;"",$C2855)),--('Category Dictionary'!$D$5:$D$135&lt;&gt;"")))</f>
        <v/>
      </c>
      <c r="L2855" s="27">
        <f>IF($A2855="","",TRIM(IF(ISERROR(FIND(",",$C2855)),$C2855,LEFT($C2855,FIND(",",$C2855)-1))))</f>
        <v/>
      </c>
      <c r="M2855" s="28">
        <f>IF($H2855="","",DATE(YEAR($H2855),MONTH($H2855),1))</f>
        <v/>
      </c>
      <c r="N2855" s="26">
        <f>IF($H2855="","",TODAY()-$H2855)</f>
        <v/>
      </c>
      <c r="O2855" s="15" t="n"/>
      <c r="P2855" s="15" t="n"/>
      <c r="Q2855" s="15" t="n"/>
      <c r="R2855" s="25" t="n"/>
      <c r="S2855" s="26">
        <f>IF($A2855="","",AND(OR('Assignment Builder'!$B$5="",$B2855='Assignment Builder'!$B$5),OR('Assignment Builder'!$B$6="",ISNUMBER(SEARCH('Assignment Builder'!$B$6,$C2855))),OR('Assignment Builder'!$B$7="",'Assignment Builder'!$B$7=IFERROR(INDEX('Category Dictionary'!$C$5:$C$135,MATCH($L2855,'Category Dictionary'!$D$5:$D$135,0)),"")),OR('Assignment Builder'!$B$8="",$D2855='Assignment Builder'!$B$8),OR('Assignment Builder'!$B$9="",$F2855='Assignment Builder'!$B$9),OR('Assignment Builder'!$B$10="",$O2855='Assignment Builder'!$B$10),OR('Assignment Builder'!$B$11="",$H2855&gt;='Assignment Builder'!$B$11),OR('Assignment Builder'!$B$12="",N($Q2855)&lt;='Assignment Builder'!$B$12)))</f>
        <v/>
      </c>
      <c r="T2855" s="23" t="n"/>
    </row>
    <row r="2856">
      <c r="A2856" s="23" t="n"/>
      <c r="B2856" s="23" t="n"/>
      <c r="C2856" s="24" t="n"/>
      <c r="D2856" s="15" t="n"/>
      <c r="E2856" s="23" t="n"/>
      <c r="F2856" s="15" t="n"/>
      <c r="G2856" s="23" t="n"/>
      <c r="H2856" s="25" t="n"/>
      <c r="I2856" s="15" t="n"/>
      <c r="J2856" s="26">
        <f>IF($A2856="","",LEN($C2856)-LEN(SUBSTITUTE($C2856,",",""))+1)</f>
        <v/>
      </c>
      <c r="K2856" s="26">
        <f>IF($A2856="","",SUMPRODUCT(--ISNUMBER(SEARCH('Category Dictionary'!$D$5:$D$135&amp;"",$C2856)),--('Category Dictionary'!$D$5:$D$135&lt;&gt;"")))</f>
        <v/>
      </c>
      <c r="L2856" s="27">
        <f>IF($A2856="","",TRIM(IF(ISERROR(FIND(",",$C2856)),$C2856,LEFT($C2856,FIND(",",$C2856)-1))))</f>
        <v/>
      </c>
      <c r="M2856" s="28">
        <f>IF($H2856="","",DATE(YEAR($H2856),MONTH($H2856),1))</f>
        <v/>
      </c>
      <c r="N2856" s="26">
        <f>IF($H2856="","",TODAY()-$H2856)</f>
        <v/>
      </c>
      <c r="O2856" s="15" t="n"/>
      <c r="P2856" s="15" t="n"/>
      <c r="Q2856" s="15" t="n"/>
      <c r="R2856" s="25" t="n"/>
      <c r="S2856" s="26">
        <f>IF($A2856="","",AND(OR('Assignment Builder'!$B$5="",$B2856='Assignment Builder'!$B$5),OR('Assignment Builder'!$B$6="",ISNUMBER(SEARCH('Assignment Builder'!$B$6,$C2856))),OR('Assignment Builder'!$B$7="",'Assignment Builder'!$B$7=IFERROR(INDEX('Category Dictionary'!$C$5:$C$135,MATCH($L2856,'Category Dictionary'!$D$5:$D$135,0)),"")),OR('Assignment Builder'!$B$8="",$D2856='Assignment Builder'!$B$8),OR('Assignment Builder'!$B$9="",$F2856='Assignment Builder'!$B$9),OR('Assignment Builder'!$B$10="",$O2856='Assignment Builder'!$B$10),OR('Assignment Builder'!$B$11="",$H2856&gt;='Assignment Builder'!$B$11),OR('Assignment Builder'!$B$12="",N($Q2856)&lt;='Assignment Builder'!$B$12)))</f>
        <v/>
      </c>
      <c r="T2856" s="23" t="n"/>
    </row>
    <row r="2857">
      <c r="A2857" s="23" t="n"/>
      <c r="B2857" s="23" t="n"/>
      <c r="C2857" s="24" t="n"/>
      <c r="D2857" s="15" t="n"/>
      <c r="E2857" s="23" t="n"/>
      <c r="F2857" s="15" t="n"/>
      <c r="G2857" s="23" t="n"/>
      <c r="H2857" s="25" t="n"/>
      <c r="I2857" s="15" t="n"/>
      <c r="J2857" s="26">
        <f>IF($A2857="","",LEN($C2857)-LEN(SUBSTITUTE($C2857,",",""))+1)</f>
        <v/>
      </c>
      <c r="K2857" s="26">
        <f>IF($A2857="","",SUMPRODUCT(--ISNUMBER(SEARCH('Category Dictionary'!$D$5:$D$135&amp;"",$C2857)),--('Category Dictionary'!$D$5:$D$135&lt;&gt;"")))</f>
        <v/>
      </c>
      <c r="L2857" s="27">
        <f>IF($A2857="","",TRIM(IF(ISERROR(FIND(",",$C2857)),$C2857,LEFT($C2857,FIND(",",$C2857)-1))))</f>
        <v/>
      </c>
      <c r="M2857" s="28">
        <f>IF($H2857="","",DATE(YEAR($H2857),MONTH($H2857),1))</f>
        <v/>
      </c>
      <c r="N2857" s="26">
        <f>IF($H2857="","",TODAY()-$H2857)</f>
        <v/>
      </c>
      <c r="O2857" s="15" t="n"/>
      <c r="P2857" s="15" t="n"/>
      <c r="Q2857" s="15" t="n"/>
      <c r="R2857" s="25" t="n"/>
      <c r="S2857" s="26">
        <f>IF($A2857="","",AND(OR('Assignment Builder'!$B$5="",$B2857='Assignment Builder'!$B$5),OR('Assignment Builder'!$B$6="",ISNUMBER(SEARCH('Assignment Builder'!$B$6,$C2857))),OR('Assignment Builder'!$B$7="",'Assignment Builder'!$B$7=IFERROR(INDEX('Category Dictionary'!$C$5:$C$135,MATCH($L2857,'Category Dictionary'!$D$5:$D$135,0)),"")),OR('Assignment Builder'!$B$8="",$D2857='Assignment Builder'!$B$8),OR('Assignment Builder'!$B$9="",$F2857='Assignment Builder'!$B$9),OR('Assignment Builder'!$B$10="",$O2857='Assignment Builder'!$B$10),OR('Assignment Builder'!$B$11="",$H2857&gt;='Assignment Builder'!$B$11),OR('Assignment Builder'!$B$12="",N($Q2857)&lt;='Assignment Builder'!$B$12)))</f>
        <v/>
      </c>
      <c r="T2857" s="23" t="n"/>
    </row>
    <row r="2858">
      <c r="A2858" s="23" t="n"/>
      <c r="B2858" s="23" t="n"/>
      <c r="C2858" s="24" t="n"/>
      <c r="D2858" s="15" t="n"/>
      <c r="E2858" s="23" t="n"/>
      <c r="F2858" s="15" t="n"/>
      <c r="G2858" s="23" t="n"/>
      <c r="H2858" s="25" t="n"/>
      <c r="I2858" s="15" t="n"/>
      <c r="J2858" s="26">
        <f>IF($A2858="","",LEN($C2858)-LEN(SUBSTITUTE($C2858,",",""))+1)</f>
        <v/>
      </c>
      <c r="K2858" s="26">
        <f>IF($A2858="","",SUMPRODUCT(--ISNUMBER(SEARCH('Category Dictionary'!$D$5:$D$135&amp;"",$C2858)),--('Category Dictionary'!$D$5:$D$135&lt;&gt;"")))</f>
        <v/>
      </c>
      <c r="L2858" s="27">
        <f>IF($A2858="","",TRIM(IF(ISERROR(FIND(",",$C2858)),$C2858,LEFT($C2858,FIND(",",$C2858)-1))))</f>
        <v/>
      </c>
      <c r="M2858" s="28">
        <f>IF($H2858="","",DATE(YEAR($H2858),MONTH($H2858),1))</f>
        <v/>
      </c>
      <c r="N2858" s="26">
        <f>IF($H2858="","",TODAY()-$H2858)</f>
        <v/>
      </c>
      <c r="O2858" s="15" t="n"/>
      <c r="P2858" s="15" t="n"/>
      <c r="Q2858" s="15" t="n"/>
      <c r="R2858" s="25" t="n"/>
      <c r="S2858" s="26">
        <f>IF($A2858="","",AND(OR('Assignment Builder'!$B$5="",$B2858='Assignment Builder'!$B$5),OR('Assignment Builder'!$B$6="",ISNUMBER(SEARCH('Assignment Builder'!$B$6,$C2858))),OR('Assignment Builder'!$B$7="",'Assignment Builder'!$B$7=IFERROR(INDEX('Category Dictionary'!$C$5:$C$135,MATCH($L2858,'Category Dictionary'!$D$5:$D$135,0)),"")),OR('Assignment Builder'!$B$8="",$D2858='Assignment Builder'!$B$8),OR('Assignment Builder'!$B$9="",$F2858='Assignment Builder'!$B$9),OR('Assignment Builder'!$B$10="",$O2858='Assignment Builder'!$B$10),OR('Assignment Builder'!$B$11="",$H2858&gt;='Assignment Builder'!$B$11),OR('Assignment Builder'!$B$12="",N($Q2858)&lt;='Assignment Builder'!$B$12)))</f>
        <v/>
      </c>
      <c r="T2858" s="23" t="n"/>
    </row>
    <row r="2859">
      <c r="A2859" s="23" t="n"/>
      <c r="B2859" s="23" t="n"/>
      <c r="C2859" s="24" t="n"/>
      <c r="D2859" s="15" t="n"/>
      <c r="E2859" s="23" t="n"/>
      <c r="F2859" s="15" t="n"/>
      <c r="G2859" s="23" t="n"/>
      <c r="H2859" s="25" t="n"/>
      <c r="I2859" s="15" t="n"/>
      <c r="J2859" s="26">
        <f>IF($A2859="","",LEN($C2859)-LEN(SUBSTITUTE($C2859,",",""))+1)</f>
        <v/>
      </c>
      <c r="K2859" s="26">
        <f>IF($A2859="","",SUMPRODUCT(--ISNUMBER(SEARCH('Category Dictionary'!$D$5:$D$135&amp;"",$C2859)),--('Category Dictionary'!$D$5:$D$135&lt;&gt;"")))</f>
        <v/>
      </c>
      <c r="L2859" s="27">
        <f>IF($A2859="","",TRIM(IF(ISERROR(FIND(",",$C2859)),$C2859,LEFT($C2859,FIND(",",$C2859)-1))))</f>
        <v/>
      </c>
      <c r="M2859" s="28">
        <f>IF($H2859="","",DATE(YEAR($H2859),MONTH($H2859),1))</f>
        <v/>
      </c>
      <c r="N2859" s="26">
        <f>IF($H2859="","",TODAY()-$H2859)</f>
        <v/>
      </c>
      <c r="O2859" s="15" t="n"/>
      <c r="P2859" s="15" t="n"/>
      <c r="Q2859" s="15" t="n"/>
      <c r="R2859" s="25" t="n"/>
      <c r="S2859" s="26">
        <f>IF($A2859="","",AND(OR('Assignment Builder'!$B$5="",$B2859='Assignment Builder'!$B$5),OR('Assignment Builder'!$B$6="",ISNUMBER(SEARCH('Assignment Builder'!$B$6,$C2859))),OR('Assignment Builder'!$B$7="",'Assignment Builder'!$B$7=IFERROR(INDEX('Category Dictionary'!$C$5:$C$135,MATCH($L2859,'Category Dictionary'!$D$5:$D$135,0)),"")),OR('Assignment Builder'!$B$8="",$D2859='Assignment Builder'!$B$8),OR('Assignment Builder'!$B$9="",$F2859='Assignment Builder'!$B$9),OR('Assignment Builder'!$B$10="",$O2859='Assignment Builder'!$B$10),OR('Assignment Builder'!$B$11="",$H2859&gt;='Assignment Builder'!$B$11),OR('Assignment Builder'!$B$12="",N($Q2859)&lt;='Assignment Builder'!$B$12)))</f>
        <v/>
      </c>
      <c r="T2859" s="23" t="n"/>
    </row>
    <row r="2860">
      <c r="A2860" s="23" t="n"/>
      <c r="B2860" s="23" t="n"/>
      <c r="C2860" s="24" t="n"/>
      <c r="D2860" s="15" t="n"/>
      <c r="E2860" s="23" t="n"/>
      <c r="F2860" s="15" t="n"/>
      <c r="G2860" s="23" t="n"/>
      <c r="H2860" s="25" t="n"/>
      <c r="I2860" s="15" t="n"/>
      <c r="J2860" s="26">
        <f>IF($A2860="","",LEN($C2860)-LEN(SUBSTITUTE($C2860,",",""))+1)</f>
        <v/>
      </c>
      <c r="K2860" s="26">
        <f>IF($A2860="","",SUMPRODUCT(--ISNUMBER(SEARCH('Category Dictionary'!$D$5:$D$135&amp;"",$C2860)),--('Category Dictionary'!$D$5:$D$135&lt;&gt;"")))</f>
        <v/>
      </c>
      <c r="L2860" s="27">
        <f>IF($A2860="","",TRIM(IF(ISERROR(FIND(",",$C2860)),$C2860,LEFT($C2860,FIND(",",$C2860)-1))))</f>
        <v/>
      </c>
      <c r="M2860" s="28">
        <f>IF($H2860="","",DATE(YEAR($H2860),MONTH($H2860),1))</f>
        <v/>
      </c>
      <c r="N2860" s="26">
        <f>IF($H2860="","",TODAY()-$H2860)</f>
        <v/>
      </c>
      <c r="O2860" s="15" t="n"/>
      <c r="P2860" s="15" t="n"/>
      <c r="Q2860" s="15" t="n"/>
      <c r="R2860" s="25" t="n"/>
      <c r="S2860" s="26">
        <f>IF($A2860="","",AND(OR('Assignment Builder'!$B$5="",$B2860='Assignment Builder'!$B$5),OR('Assignment Builder'!$B$6="",ISNUMBER(SEARCH('Assignment Builder'!$B$6,$C2860))),OR('Assignment Builder'!$B$7="",'Assignment Builder'!$B$7=IFERROR(INDEX('Category Dictionary'!$C$5:$C$135,MATCH($L2860,'Category Dictionary'!$D$5:$D$135,0)),"")),OR('Assignment Builder'!$B$8="",$D2860='Assignment Builder'!$B$8),OR('Assignment Builder'!$B$9="",$F2860='Assignment Builder'!$B$9),OR('Assignment Builder'!$B$10="",$O2860='Assignment Builder'!$B$10),OR('Assignment Builder'!$B$11="",$H2860&gt;='Assignment Builder'!$B$11),OR('Assignment Builder'!$B$12="",N($Q2860)&lt;='Assignment Builder'!$B$12)))</f>
        <v/>
      </c>
      <c r="T2860" s="23" t="n"/>
    </row>
    <row r="2861">
      <c r="A2861" s="23" t="n"/>
      <c r="B2861" s="23" t="n"/>
      <c r="C2861" s="24" t="n"/>
      <c r="D2861" s="15" t="n"/>
      <c r="E2861" s="23" t="n"/>
      <c r="F2861" s="15" t="n"/>
      <c r="G2861" s="23" t="n"/>
      <c r="H2861" s="25" t="n"/>
      <c r="I2861" s="15" t="n"/>
      <c r="J2861" s="26">
        <f>IF($A2861="","",LEN($C2861)-LEN(SUBSTITUTE($C2861,",",""))+1)</f>
        <v/>
      </c>
      <c r="K2861" s="26">
        <f>IF($A2861="","",SUMPRODUCT(--ISNUMBER(SEARCH('Category Dictionary'!$D$5:$D$135&amp;"",$C2861)),--('Category Dictionary'!$D$5:$D$135&lt;&gt;"")))</f>
        <v/>
      </c>
      <c r="L2861" s="27">
        <f>IF($A2861="","",TRIM(IF(ISERROR(FIND(",",$C2861)),$C2861,LEFT($C2861,FIND(",",$C2861)-1))))</f>
        <v/>
      </c>
      <c r="M2861" s="28">
        <f>IF($H2861="","",DATE(YEAR($H2861),MONTH($H2861),1))</f>
        <v/>
      </c>
      <c r="N2861" s="26">
        <f>IF($H2861="","",TODAY()-$H2861)</f>
        <v/>
      </c>
      <c r="O2861" s="15" t="n"/>
      <c r="P2861" s="15" t="n"/>
      <c r="Q2861" s="15" t="n"/>
      <c r="R2861" s="25" t="n"/>
      <c r="S2861" s="26">
        <f>IF($A2861="","",AND(OR('Assignment Builder'!$B$5="",$B2861='Assignment Builder'!$B$5),OR('Assignment Builder'!$B$6="",ISNUMBER(SEARCH('Assignment Builder'!$B$6,$C2861))),OR('Assignment Builder'!$B$7="",'Assignment Builder'!$B$7=IFERROR(INDEX('Category Dictionary'!$C$5:$C$135,MATCH($L2861,'Category Dictionary'!$D$5:$D$135,0)),"")),OR('Assignment Builder'!$B$8="",$D2861='Assignment Builder'!$B$8),OR('Assignment Builder'!$B$9="",$F2861='Assignment Builder'!$B$9),OR('Assignment Builder'!$B$10="",$O2861='Assignment Builder'!$B$10),OR('Assignment Builder'!$B$11="",$H2861&gt;='Assignment Builder'!$B$11),OR('Assignment Builder'!$B$12="",N($Q2861)&lt;='Assignment Builder'!$B$12)))</f>
        <v/>
      </c>
      <c r="T2861" s="23" t="n"/>
    </row>
    <row r="2862">
      <c r="A2862" s="23" t="n"/>
      <c r="B2862" s="23" t="n"/>
      <c r="C2862" s="24" t="n"/>
      <c r="D2862" s="15" t="n"/>
      <c r="E2862" s="23" t="n"/>
      <c r="F2862" s="15" t="n"/>
      <c r="G2862" s="23" t="n"/>
      <c r="H2862" s="25" t="n"/>
      <c r="I2862" s="15" t="n"/>
      <c r="J2862" s="26">
        <f>IF($A2862="","",LEN($C2862)-LEN(SUBSTITUTE($C2862,",",""))+1)</f>
        <v/>
      </c>
      <c r="K2862" s="26">
        <f>IF($A2862="","",SUMPRODUCT(--ISNUMBER(SEARCH('Category Dictionary'!$D$5:$D$135&amp;"",$C2862)),--('Category Dictionary'!$D$5:$D$135&lt;&gt;"")))</f>
        <v/>
      </c>
      <c r="L2862" s="27">
        <f>IF($A2862="","",TRIM(IF(ISERROR(FIND(",",$C2862)),$C2862,LEFT($C2862,FIND(",",$C2862)-1))))</f>
        <v/>
      </c>
      <c r="M2862" s="28">
        <f>IF($H2862="","",DATE(YEAR($H2862),MONTH($H2862),1))</f>
        <v/>
      </c>
      <c r="N2862" s="26">
        <f>IF($H2862="","",TODAY()-$H2862)</f>
        <v/>
      </c>
      <c r="O2862" s="15" t="n"/>
      <c r="P2862" s="15" t="n"/>
      <c r="Q2862" s="15" t="n"/>
      <c r="R2862" s="25" t="n"/>
      <c r="S2862" s="26">
        <f>IF($A2862="","",AND(OR('Assignment Builder'!$B$5="",$B2862='Assignment Builder'!$B$5),OR('Assignment Builder'!$B$6="",ISNUMBER(SEARCH('Assignment Builder'!$B$6,$C2862))),OR('Assignment Builder'!$B$7="",'Assignment Builder'!$B$7=IFERROR(INDEX('Category Dictionary'!$C$5:$C$135,MATCH($L2862,'Category Dictionary'!$D$5:$D$135,0)),"")),OR('Assignment Builder'!$B$8="",$D2862='Assignment Builder'!$B$8),OR('Assignment Builder'!$B$9="",$F2862='Assignment Builder'!$B$9),OR('Assignment Builder'!$B$10="",$O2862='Assignment Builder'!$B$10),OR('Assignment Builder'!$B$11="",$H2862&gt;='Assignment Builder'!$B$11),OR('Assignment Builder'!$B$12="",N($Q2862)&lt;='Assignment Builder'!$B$12)))</f>
        <v/>
      </c>
      <c r="T2862" s="23" t="n"/>
    </row>
    <row r="2863">
      <c r="A2863" s="23" t="n"/>
      <c r="B2863" s="23" t="n"/>
      <c r="C2863" s="24" t="n"/>
      <c r="D2863" s="15" t="n"/>
      <c r="E2863" s="23" t="n"/>
      <c r="F2863" s="15" t="n"/>
      <c r="G2863" s="23" t="n"/>
      <c r="H2863" s="25" t="n"/>
      <c r="I2863" s="15" t="n"/>
      <c r="J2863" s="26">
        <f>IF($A2863="","",LEN($C2863)-LEN(SUBSTITUTE($C2863,",",""))+1)</f>
        <v/>
      </c>
      <c r="K2863" s="26">
        <f>IF($A2863="","",SUMPRODUCT(--ISNUMBER(SEARCH('Category Dictionary'!$D$5:$D$135&amp;"",$C2863)),--('Category Dictionary'!$D$5:$D$135&lt;&gt;"")))</f>
        <v/>
      </c>
      <c r="L2863" s="27">
        <f>IF($A2863="","",TRIM(IF(ISERROR(FIND(",",$C2863)),$C2863,LEFT($C2863,FIND(",",$C2863)-1))))</f>
        <v/>
      </c>
      <c r="M2863" s="28">
        <f>IF($H2863="","",DATE(YEAR($H2863),MONTH($H2863),1))</f>
        <v/>
      </c>
      <c r="N2863" s="26">
        <f>IF($H2863="","",TODAY()-$H2863)</f>
        <v/>
      </c>
      <c r="O2863" s="15" t="n"/>
      <c r="P2863" s="15" t="n"/>
      <c r="Q2863" s="15" t="n"/>
      <c r="R2863" s="25" t="n"/>
      <c r="S2863" s="26">
        <f>IF($A2863="","",AND(OR('Assignment Builder'!$B$5="",$B2863='Assignment Builder'!$B$5),OR('Assignment Builder'!$B$6="",ISNUMBER(SEARCH('Assignment Builder'!$B$6,$C2863))),OR('Assignment Builder'!$B$7="",'Assignment Builder'!$B$7=IFERROR(INDEX('Category Dictionary'!$C$5:$C$135,MATCH($L2863,'Category Dictionary'!$D$5:$D$135,0)),"")),OR('Assignment Builder'!$B$8="",$D2863='Assignment Builder'!$B$8),OR('Assignment Builder'!$B$9="",$F2863='Assignment Builder'!$B$9),OR('Assignment Builder'!$B$10="",$O2863='Assignment Builder'!$B$10),OR('Assignment Builder'!$B$11="",$H2863&gt;='Assignment Builder'!$B$11),OR('Assignment Builder'!$B$12="",N($Q2863)&lt;='Assignment Builder'!$B$12)))</f>
        <v/>
      </c>
      <c r="T2863" s="23" t="n"/>
    </row>
    <row r="2864">
      <c r="A2864" s="23" t="n"/>
      <c r="B2864" s="23" t="n"/>
      <c r="C2864" s="24" t="n"/>
      <c r="D2864" s="15" t="n"/>
      <c r="E2864" s="23" t="n"/>
      <c r="F2864" s="15" t="n"/>
      <c r="G2864" s="23" t="n"/>
      <c r="H2864" s="25" t="n"/>
      <c r="I2864" s="15" t="n"/>
      <c r="J2864" s="26">
        <f>IF($A2864="","",LEN($C2864)-LEN(SUBSTITUTE($C2864,",",""))+1)</f>
        <v/>
      </c>
      <c r="K2864" s="26">
        <f>IF($A2864="","",SUMPRODUCT(--ISNUMBER(SEARCH('Category Dictionary'!$D$5:$D$135&amp;"",$C2864)),--('Category Dictionary'!$D$5:$D$135&lt;&gt;"")))</f>
        <v/>
      </c>
      <c r="L2864" s="27">
        <f>IF($A2864="","",TRIM(IF(ISERROR(FIND(",",$C2864)),$C2864,LEFT($C2864,FIND(",",$C2864)-1))))</f>
        <v/>
      </c>
      <c r="M2864" s="28">
        <f>IF($H2864="","",DATE(YEAR($H2864),MONTH($H2864),1))</f>
        <v/>
      </c>
      <c r="N2864" s="26">
        <f>IF($H2864="","",TODAY()-$H2864)</f>
        <v/>
      </c>
      <c r="O2864" s="15" t="n"/>
      <c r="P2864" s="15" t="n"/>
      <c r="Q2864" s="15" t="n"/>
      <c r="R2864" s="25" t="n"/>
      <c r="S2864" s="26">
        <f>IF($A2864="","",AND(OR('Assignment Builder'!$B$5="",$B2864='Assignment Builder'!$B$5),OR('Assignment Builder'!$B$6="",ISNUMBER(SEARCH('Assignment Builder'!$B$6,$C2864))),OR('Assignment Builder'!$B$7="",'Assignment Builder'!$B$7=IFERROR(INDEX('Category Dictionary'!$C$5:$C$135,MATCH($L2864,'Category Dictionary'!$D$5:$D$135,0)),"")),OR('Assignment Builder'!$B$8="",$D2864='Assignment Builder'!$B$8),OR('Assignment Builder'!$B$9="",$F2864='Assignment Builder'!$B$9),OR('Assignment Builder'!$B$10="",$O2864='Assignment Builder'!$B$10),OR('Assignment Builder'!$B$11="",$H2864&gt;='Assignment Builder'!$B$11),OR('Assignment Builder'!$B$12="",N($Q2864)&lt;='Assignment Builder'!$B$12)))</f>
        <v/>
      </c>
      <c r="T2864" s="23" t="n"/>
    </row>
    <row r="2865">
      <c r="A2865" s="23" t="n"/>
      <c r="B2865" s="23" t="n"/>
      <c r="C2865" s="24" t="n"/>
      <c r="D2865" s="15" t="n"/>
      <c r="E2865" s="23" t="n"/>
      <c r="F2865" s="15" t="n"/>
      <c r="G2865" s="23" t="n"/>
      <c r="H2865" s="25" t="n"/>
      <c r="I2865" s="15" t="n"/>
      <c r="J2865" s="26">
        <f>IF($A2865="","",LEN($C2865)-LEN(SUBSTITUTE($C2865,",",""))+1)</f>
        <v/>
      </c>
      <c r="K2865" s="26">
        <f>IF($A2865="","",SUMPRODUCT(--ISNUMBER(SEARCH('Category Dictionary'!$D$5:$D$135&amp;"",$C2865)),--('Category Dictionary'!$D$5:$D$135&lt;&gt;"")))</f>
        <v/>
      </c>
      <c r="L2865" s="27">
        <f>IF($A2865="","",TRIM(IF(ISERROR(FIND(",",$C2865)),$C2865,LEFT($C2865,FIND(",",$C2865)-1))))</f>
        <v/>
      </c>
      <c r="M2865" s="28">
        <f>IF($H2865="","",DATE(YEAR($H2865),MONTH($H2865),1))</f>
        <v/>
      </c>
      <c r="N2865" s="26">
        <f>IF($H2865="","",TODAY()-$H2865)</f>
        <v/>
      </c>
      <c r="O2865" s="15" t="n"/>
      <c r="P2865" s="15" t="n"/>
      <c r="Q2865" s="15" t="n"/>
      <c r="R2865" s="25" t="n"/>
      <c r="S2865" s="26">
        <f>IF($A2865="","",AND(OR('Assignment Builder'!$B$5="",$B2865='Assignment Builder'!$B$5),OR('Assignment Builder'!$B$6="",ISNUMBER(SEARCH('Assignment Builder'!$B$6,$C2865))),OR('Assignment Builder'!$B$7="",'Assignment Builder'!$B$7=IFERROR(INDEX('Category Dictionary'!$C$5:$C$135,MATCH($L2865,'Category Dictionary'!$D$5:$D$135,0)),"")),OR('Assignment Builder'!$B$8="",$D2865='Assignment Builder'!$B$8),OR('Assignment Builder'!$B$9="",$F2865='Assignment Builder'!$B$9),OR('Assignment Builder'!$B$10="",$O2865='Assignment Builder'!$B$10),OR('Assignment Builder'!$B$11="",$H2865&gt;='Assignment Builder'!$B$11),OR('Assignment Builder'!$B$12="",N($Q2865)&lt;='Assignment Builder'!$B$12)))</f>
        <v/>
      </c>
      <c r="T2865" s="23" t="n"/>
    </row>
    <row r="2866">
      <c r="A2866" s="23" t="n"/>
      <c r="B2866" s="23" t="n"/>
      <c r="C2866" s="24" t="n"/>
      <c r="D2866" s="15" t="n"/>
      <c r="E2866" s="23" t="n"/>
      <c r="F2866" s="15" t="n"/>
      <c r="G2866" s="23" t="n"/>
      <c r="H2866" s="25" t="n"/>
      <c r="I2866" s="15" t="n"/>
      <c r="J2866" s="26">
        <f>IF($A2866="","",LEN($C2866)-LEN(SUBSTITUTE($C2866,",",""))+1)</f>
        <v/>
      </c>
      <c r="K2866" s="26">
        <f>IF($A2866="","",SUMPRODUCT(--ISNUMBER(SEARCH('Category Dictionary'!$D$5:$D$135&amp;"",$C2866)),--('Category Dictionary'!$D$5:$D$135&lt;&gt;"")))</f>
        <v/>
      </c>
      <c r="L2866" s="27">
        <f>IF($A2866="","",TRIM(IF(ISERROR(FIND(",",$C2866)),$C2866,LEFT($C2866,FIND(",",$C2866)-1))))</f>
        <v/>
      </c>
      <c r="M2866" s="28">
        <f>IF($H2866="","",DATE(YEAR($H2866),MONTH($H2866),1))</f>
        <v/>
      </c>
      <c r="N2866" s="26">
        <f>IF($H2866="","",TODAY()-$H2866)</f>
        <v/>
      </c>
      <c r="O2866" s="15" t="n"/>
      <c r="P2866" s="15" t="n"/>
      <c r="Q2866" s="15" t="n"/>
      <c r="R2866" s="25" t="n"/>
      <c r="S2866" s="26">
        <f>IF($A2866="","",AND(OR('Assignment Builder'!$B$5="",$B2866='Assignment Builder'!$B$5),OR('Assignment Builder'!$B$6="",ISNUMBER(SEARCH('Assignment Builder'!$B$6,$C2866))),OR('Assignment Builder'!$B$7="",'Assignment Builder'!$B$7=IFERROR(INDEX('Category Dictionary'!$C$5:$C$135,MATCH($L2866,'Category Dictionary'!$D$5:$D$135,0)),"")),OR('Assignment Builder'!$B$8="",$D2866='Assignment Builder'!$B$8),OR('Assignment Builder'!$B$9="",$F2866='Assignment Builder'!$B$9),OR('Assignment Builder'!$B$10="",$O2866='Assignment Builder'!$B$10),OR('Assignment Builder'!$B$11="",$H2866&gt;='Assignment Builder'!$B$11),OR('Assignment Builder'!$B$12="",N($Q2866)&lt;='Assignment Builder'!$B$12)))</f>
        <v/>
      </c>
      <c r="T2866" s="23" t="n"/>
    </row>
    <row r="2867">
      <c r="A2867" s="23" t="n"/>
      <c r="B2867" s="23" t="n"/>
      <c r="C2867" s="24" t="n"/>
      <c r="D2867" s="15" t="n"/>
      <c r="E2867" s="23" t="n"/>
      <c r="F2867" s="15" t="n"/>
      <c r="G2867" s="23" t="n"/>
      <c r="H2867" s="25" t="n"/>
      <c r="I2867" s="15" t="n"/>
      <c r="J2867" s="26">
        <f>IF($A2867="","",LEN($C2867)-LEN(SUBSTITUTE($C2867,",",""))+1)</f>
        <v/>
      </c>
      <c r="K2867" s="26">
        <f>IF($A2867="","",SUMPRODUCT(--ISNUMBER(SEARCH('Category Dictionary'!$D$5:$D$135&amp;"",$C2867)),--('Category Dictionary'!$D$5:$D$135&lt;&gt;"")))</f>
        <v/>
      </c>
      <c r="L2867" s="27">
        <f>IF($A2867="","",TRIM(IF(ISERROR(FIND(",",$C2867)),$C2867,LEFT($C2867,FIND(",",$C2867)-1))))</f>
        <v/>
      </c>
      <c r="M2867" s="28">
        <f>IF($H2867="","",DATE(YEAR($H2867),MONTH($H2867),1))</f>
        <v/>
      </c>
      <c r="N2867" s="26">
        <f>IF($H2867="","",TODAY()-$H2867)</f>
        <v/>
      </c>
      <c r="O2867" s="15" t="n"/>
      <c r="P2867" s="15" t="n"/>
      <c r="Q2867" s="15" t="n"/>
      <c r="R2867" s="25" t="n"/>
      <c r="S2867" s="26">
        <f>IF($A2867="","",AND(OR('Assignment Builder'!$B$5="",$B2867='Assignment Builder'!$B$5),OR('Assignment Builder'!$B$6="",ISNUMBER(SEARCH('Assignment Builder'!$B$6,$C2867))),OR('Assignment Builder'!$B$7="",'Assignment Builder'!$B$7=IFERROR(INDEX('Category Dictionary'!$C$5:$C$135,MATCH($L2867,'Category Dictionary'!$D$5:$D$135,0)),"")),OR('Assignment Builder'!$B$8="",$D2867='Assignment Builder'!$B$8),OR('Assignment Builder'!$B$9="",$F2867='Assignment Builder'!$B$9),OR('Assignment Builder'!$B$10="",$O2867='Assignment Builder'!$B$10),OR('Assignment Builder'!$B$11="",$H2867&gt;='Assignment Builder'!$B$11),OR('Assignment Builder'!$B$12="",N($Q2867)&lt;='Assignment Builder'!$B$12)))</f>
        <v/>
      </c>
      <c r="T2867" s="23" t="n"/>
    </row>
    <row r="2868">
      <c r="A2868" s="23" t="n"/>
      <c r="B2868" s="23" t="n"/>
      <c r="C2868" s="24" t="n"/>
      <c r="D2868" s="15" t="n"/>
      <c r="E2868" s="23" t="n"/>
      <c r="F2868" s="15" t="n"/>
      <c r="G2868" s="23" t="n"/>
      <c r="H2868" s="25" t="n"/>
      <c r="I2868" s="15" t="n"/>
      <c r="J2868" s="26">
        <f>IF($A2868="","",LEN($C2868)-LEN(SUBSTITUTE($C2868,",",""))+1)</f>
        <v/>
      </c>
      <c r="K2868" s="26">
        <f>IF($A2868="","",SUMPRODUCT(--ISNUMBER(SEARCH('Category Dictionary'!$D$5:$D$135&amp;"",$C2868)),--('Category Dictionary'!$D$5:$D$135&lt;&gt;"")))</f>
        <v/>
      </c>
      <c r="L2868" s="27">
        <f>IF($A2868="","",TRIM(IF(ISERROR(FIND(",",$C2868)),$C2868,LEFT($C2868,FIND(",",$C2868)-1))))</f>
        <v/>
      </c>
      <c r="M2868" s="28">
        <f>IF($H2868="","",DATE(YEAR($H2868),MONTH($H2868),1))</f>
        <v/>
      </c>
      <c r="N2868" s="26">
        <f>IF($H2868="","",TODAY()-$H2868)</f>
        <v/>
      </c>
      <c r="O2868" s="15" t="n"/>
      <c r="P2868" s="15" t="n"/>
      <c r="Q2868" s="15" t="n"/>
      <c r="R2868" s="25" t="n"/>
      <c r="S2868" s="26">
        <f>IF($A2868="","",AND(OR('Assignment Builder'!$B$5="",$B2868='Assignment Builder'!$B$5),OR('Assignment Builder'!$B$6="",ISNUMBER(SEARCH('Assignment Builder'!$B$6,$C2868))),OR('Assignment Builder'!$B$7="",'Assignment Builder'!$B$7=IFERROR(INDEX('Category Dictionary'!$C$5:$C$135,MATCH($L2868,'Category Dictionary'!$D$5:$D$135,0)),"")),OR('Assignment Builder'!$B$8="",$D2868='Assignment Builder'!$B$8),OR('Assignment Builder'!$B$9="",$F2868='Assignment Builder'!$B$9),OR('Assignment Builder'!$B$10="",$O2868='Assignment Builder'!$B$10),OR('Assignment Builder'!$B$11="",$H2868&gt;='Assignment Builder'!$B$11),OR('Assignment Builder'!$B$12="",N($Q2868)&lt;='Assignment Builder'!$B$12)))</f>
        <v/>
      </c>
      <c r="T2868" s="23" t="n"/>
    </row>
    <row r="2869">
      <c r="A2869" s="23" t="n"/>
      <c r="B2869" s="23" t="n"/>
      <c r="C2869" s="24" t="n"/>
      <c r="D2869" s="15" t="n"/>
      <c r="E2869" s="23" t="n"/>
      <c r="F2869" s="15" t="n"/>
      <c r="G2869" s="23" t="n"/>
      <c r="H2869" s="25" t="n"/>
      <c r="I2869" s="15" t="n"/>
      <c r="J2869" s="26">
        <f>IF($A2869="","",LEN($C2869)-LEN(SUBSTITUTE($C2869,",",""))+1)</f>
        <v/>
      </c>
      <c r="K2869" s="26">
        <f>IF($A2869="","",SUMPRODUCT(--ISNUMBER(SEARCH('Category Dictionary'!$D$5:$D$135&amp;"",$C2869)),--('Category Dictionary'!$D$5:$D$135&lt;&gt;"")))</f>
        <v/>
      </c>
      <c r="L2869" s="27">
        <f>IF($A2869="","",TRIM(IF(ISERROR(FIND(",",$C2869)),$C2869,LEFT($C2869,FIND(",",$C2869)-1))))</f>
        <v/>
      </c>
      <c r="M2869" s="28">
        <f>IF($H2869="","",DATE(YEAR($H2869),MONTH($H2869),1))</f>
        <v/>
      </c>
      <c r="N2869" s="26">
        <f>IF($H2869="","",TODAY()-$H2869)</f>
        <v/>
      </c>
      <c r="O2869" s="15" t="n"/>
      <c r="P2869" s="15" t="n"/>
      <c r="Q2869" s="15" t="n"/>
      <c r="R2869" s="25" t="n"/>
      <c r="S2869" s="26">
        <f>IF($A2869="","",AND(OR('Assignment Builder'!$B$5="",$B2869='Assignment Builder'!$B$5),OR('Assignment Builder'!$B$6="",ISNUMBER(SEARCH('Assignment Builder'!$B$6,$C2869))),OR('Assignment Builder'!$B$7="",'Assignment Builder'!$B$7=IFERROR(INDEX('Category Dictionary'!$C$5:$C$135,MATCH($L2869,'Category Dictionary'!$D$5:$D$135,0)),"")),OR('Assignment Builder'!$B$8="",$D2869='Assignment Builder'!$B$8),OR('Assignment Builder'!$B$9="",$F2869='Assignment Builder'!$B$9),OR('Assignment Builder'!$B$10="",$O2869='Assignment Builder'!$B$10),OR('Assignment Builder'!$B$11="",$H2869&gt;='Assignment Builder'!$B$11),OR('Assignment Builder'!$B$12="",N($Q2869)&lt;='Assignment Builder'!$B$12)))</f>
        <v/>
      </c>
      <c r="T2869" s="23" t="n"/>
    </row>
    <row r="2870">
      <c r="A2870" s="23" t="n"/>
      <c r="B2870" s="23" t="n"/>
      <c r="C2870" s="24" t="n"/>
      <c r="D2870" s="15" t="n"/>
      <c r="E2870" s="23" t="n"/>
      <c r="F2870" s="15" t="n"/>
      <c r="G2870" s="23" t="n"/>
      <c r="H2870" s="25" t="n"/>
      <c r="I2870" s="15" t="n"/>
      <c r="J2870" s="26">
        <f>IF($A2870="","",LEN($C2870)-LEN(SUBSTITUTE($C2870,",",""))+1)</f>
        <v/>
      </c>
      <c r="K2870" s="26">
        <f>IF($A2870="","",SUMPRODUCT(--ISNUMBER(SEARCH('Category Dictionary'!$D$5:$D$135&amp;"",$C2870)),--('Category Dictionary'!$D$5:$D$135&lt;&gt;"")))</f>
        <v/>
      </c>
      <c r="L2870" s="27">
        <f>IF($A2870="","",TRIM(IF(ISERROR(FIND(",",$C2870)),$C2870,LEFT($C2870,FIND(",",$C2870)-1))))</f>
        <v/>
      </c>
      <c r="M2870" s="28">
        <f>IF($H2870="","",DATE(YEAR($H2870),MONTH($H2870),1))</f>
        <v/>
      </c>
      <c r="N2870" s="26">
        <f>IF($H2870="","",TODAY()-$H2870)</f>
        <v/>
      </c>
      <c r="O2870" s="15" t="n"/>
      <c r="P2870" s="15" t="n"/>
      <c r="Q2870" s="15" t="n"/>
      <c r="R2870" s="25" t="n"/>
      <c r="S2870" s="26">
        <f>IF($A2870="","",AND(OR('Assignment Builder'!$B$5="",$B2870='Assignment Builder'!$B$5),OR('Assignment Builder'!$B$6="",ISNUMBER(SEARCH('Assignment Builder'!$B$6,$C2870))),OR('Assignment Builder'!$B$7="",'Assignment Builder'!$B$7=IFERROR(INDEX('Category Dictionary'!$C$5:$C$135,MATCH($L2870,'Category Dictionary'!$D$5:$D$135,0)),"")),OR('Assignment Builder'!$B$8="",$D2870='Assignment Builder'!$B$8),OR('Assignment Builder'!$B$9="",$F2870='Assignment Builder'!$B$9),OR('Assignment Builder'!$B$10="",$O2870='Assignment Builder'!$B$10),OR('Assignment Builder'!$B$11="",$H2870&gt;='Assignment Builder'!$B$11),OR('Assignment Builder'!$B$12="",N($Q2870)&lt;='Assignment Builder'!$B$12)))</f>
        <v/>
      </c>
      <c r="T2870" s="23" t="n"/>
    </row>
    <row r="2871">
      <c r="A2871" s="23" t="n"/>
      <c r="B2871" s="23" t="n"/>
      <c r="C2871" s="24" t="n"/>
      <c r="D2871" s="15" t="n"/>
      <c r="E2871" s="23" t="n"/>
      <c r="F2871" s="15" t="n"/>
      <c r="G2871" s="23" t="n"/>
      <c r="H2871" s="25" t="n"/>
      <c r="I2871" s="15" t="n"/>
      <c r="J2871" s="26">
        <f>IF($A2871="","",LEN($C2871)-LEN(SUBSTITUTE($C2871,",",""))+1)</f>
        <v/>
      </c>
      <c r="K2871" s="26">
        <f>IF($A2871="","",SUMPRODUCT(--ISNUMBER(SEARCH('Category Dictionary'!$D$5:$D$135&amp;"",$C2871)),--('Category Dictionary'!$D$5:$D$135&lt;&gt;"")))</f>
        <v/>
      </c>
      <c r="L2871" s="27">
        <f>IF($A2871="","",TRIM(IF(ISERROR(FIND(",",$C2871)),$C2871,LEFT($C2871,FIND(",",$C2871)-1))))</f>
        <v/>
      </c>
      <c r="M2871" s="28">
        <f>IF($H2871="","",DATE(YEAR($H2871),MONTH($H2871),1))</f>
        <v/>
      </c>
      <c r="N2871" s="26">
        <f>IF($H2871="","",TODAY()-$H2871)</f>
        <v/>
      </c>
      <c r="O2871" s="15" t="n"/>
      <c r="P2871" s="15" t="n"/>
      <c r="Q2871" s="15" t="n"/>
      <c r="R2871" s="25" t="n"/>
      <c r="S2871" s="26">
        <f>IF($A2871="","",AND(OR('Assignment Builder'!$B$5="",$B2871='Assignment Builder'!$B$5),OR('Assignment Builder'!$B$6="",ISNUMBER(SEARCH('Assignment Builder'!$B$6,$C2871))),OR('Assignment Builder'!$B$7="",'Assignment Builder'!$B$7=IFERROR(INDEX('Category Dictionary'!$C$5:$C$135,MATCH($L2871,'Category Dictionary'!$D$5:$D$135,0)),"")),OR('Assignment Builder'!$B$8="",$D2871='Assignment Builder'!$B$8),OR('Assignment Builder'!$B$9="",$F2871='Assignment Builder'!$B$9),OR('Assignment Builder'!$B$10="",$O2871='Assignment Builder'!$B$10),OR('Assignment Builder'!$B$11="",$H2871&gt;='Assignment Builder'!$B$11),OR('Assignment Builder'!$B$12="",N($Q2871)&lt;='Assignment Builder'!$B$12)))</f>
        <v/>
      </c>
      <c r="T2871" s="23" t="n"/>
    </row>
    <row r="2872">
      <c r="A2872" s="23" t="n"/>
      <c r="B2872" s="23" t="n"/>
      <c r="C2872" s="24" t="n"/>
      <c r="D2872" s="15" t="n"/>
      <c r="E2872" s="23" t="n"/>
      <c r="F2872" s="15" t="n"/>
      <c r="G2872" s="23" t="n"/>
      <c r="H2872" s="25" t="n"/>
      <c r="I2872" s="15" t="n"/>
      <c r="J2872" s="26">
        <f>IF($A2872="","",LEN($C2872)-LEN(SUBSTITUTE($C2872,",",""))+1)</f>
        <v/>
      </c>
      <c r="K2872" s="26">
        <f>IF($A2872="","",SUMPRODUCT(--ISNUMBER(SEARCH('Category Dictionary'!$D$5:$D$135&amp;"",$C2872)),--('Category Dictionary'!$D$5:$D$135&lt;&gt;"")))</f>
        <v/>
      </c>
      <c r="L2872" s="27">
        <f>IF($A2872="","",TRIM(IF(ISERROR(FIND(",",$C2872)),$C2872,LEFT($C2872,FIND(",",$C2872)-1))))</f>
        <v/>
      </c>
      <c r="M2872" s="28">
        <f>IF($H2872="","",DATE(YEAR($H2872),MONTH($H2872),1))</f>
        <v/>
      </c>
      <c r="N2872" s="26">
        <f>IF($H2872="","",TODAY()-$H2872)</f>
        <v/>
      </c>
      <c r="O2872" s="15" t="n"/>
      <c r="P2872" s="15" t="n"/>
      <c r="Q2872" s="15" t="n"/>
      <c r="R2872" s="25" t="n"/>
      <c r="S2872" s="26">
        <f>IF($A2872="","",AND(OR('Assignment Builder'!$B$5="",$B2872='Assignment Builder'!$B$5),OR('Assignment Builder'!$B$6="",ISNUMBER(SEARCH('Assignment Builder'!$B$6,$C2872))),OR('Assignment Builder'!$B$7="",'Assignment Builder'!$B$7=IFERROR(INDEX('Category Dictionary'!$C$5:$C$135,MATCH($L2872,'Category Dictionary'!$D$5:$D$135,0)),"")),OR('Assignment Builder'!$B$8="",$D2872='Assignment Builder'!$B$8),OR('Assignment Builder'!$B$9="",$F2872='Assignment Builder'!$B$9),OR('Assignment Builder'!$B$10="",$O2872='Assignment Builder'!$B$10),OR('Assignment Builder'!$B$11="",$H2872&gt;='Assignment Builder'!$B$11),OR('Assignment Builder'!$B$12="",N($Q2872)&lt;='Assignment Builder'!$B$12)))</f>
        <v/>
      </c>
      <c r="T2872" s="23" t="n"/>
    </row>
    <row r="2873">
      <c r="A2873" s="23" t="n"/>
      <c r="B2873" s="23" t="n"/>
      <c r="C2873" s="24" t="n"/>
      <c r="D2873" s="15" t="n"/>
      <c r="E2873" s="23" t="n"/>
      <c r="F2873" s="15" t="n"/>
      <c r="G2873" s="23" t="n"/>
      <c r="H2873" s="25" t="n"/>
      <c r="I2873" s="15" t="n"/>
      <c r="J2873" s="26">
        <f>IF($A2873="","",LEN($C2873)-LEN(SUBSTITUTE($C2873,",",""))+1)</f>
        <v/>
      </c>
      <c r="K2873" s="26">
        <f>IF($A2873="","",SUMPRODUCT(--ISNUMBER(SEARCH('Category Dictionary'!$D$5:$D$135&amp;"",$C2873)),--('Category Dictionary'!$D$5:$D$135&lt;&gt;"")))</f>
        <v/>
      </c>
      <c r="L2873" s="27">
        <f>IF($A2873="","",TRIM(IF(ISERROR(FIND(",",$C2873)),$C2873,LEFT($C2873,FIND(",",$C2873)-1))))</f>
        <v/>
      </c>
      <c r="M2873" s="28">
        <f>IF($H2873="","",DATE(YEAR($H2873),MONTH($H2873),1))</f>
        <v/>
      </c>
      <c r="N2873" s="26">
        <f>IF($H2873="","",TODAY()-$H2873)</f>
        <v/>
      </c>
      <c r="O2873" s="15" t="n"/>
      <c r="P2873" s="15" t="n"/>
      <c r="Q2873" s="15" t="n"/>
      <c r="R2873" s="25" t="n"/>
      <c r="S2873" s="26">
        <f>IF($A2873="","",AND(OR('Assignment Builder'!$B$5="",$B2873='Assignment Builder'!$B$5),OR('Assignment Builder'!$B$6="",ISNUMBER(SEARCH('Assignment Builder'!$B$6,$C2873))),OR('Assignment Builder'!$B$7="",'Assignment Builder'!$B$7=IFERROR(INDEX('Category Dictionary'!$C$5:$C$135,MATCH($L2873,'Category Dictionary'!$D$5:$D$135,0)),"")),OR('Assignment Builder'!$B$8="",$D2873='Assignment Builder'!$B$8),OR('Assignment Builder'!$B$9="",$F2873='Assignment Builder'!$B$9),OR('Assignment Builder'!$B$10="",$O2873='Assignment Builder'!$B$10),OR('Assignment Builder'!$B$11="",$H2873&gt;='Assignment Builder'!$B$11),OR('Assignment Builder'!$B$12="",N($Q2873)&lt;='Assignment Builder'!$B$12)))</f>
        <v/>
      </c>
      <c r="T2873" s="23" t="n"/>
    </row>
    <row r="2874">
      <c r="A2874" s="23" t="n"/>
      <c r="B2874" s="23" t="n"/>
      <c r="C2874" s="24" t="n"/>
      <c r="D2874" s="15" t="n"/>
      <c r="E2874" s="23" t="n"/>
      <c r="F2874" s="15" t="n"/>
      <c r="G2874" s="23" t="n"/>
      <c r="H2874" s="25" t="n"/>
      <c r="I2874" s="15" t="n"/>
      <c r="J2874" s="26">
        <f>IF($A2874="","",LEN($C2874)-LEN(SUBSTITUTE($C2874,",",""))+1)</f>
        <v/>
      </c>
      <c r="K2874" s="26">
        <f>IF($A2874="","",SUMPRODUCT(--ISNUMBER(SEARCH('Category Dictionary'!$D$5:$D$135&amp;"",$C2874)),--('Category Dictionary'!$D$5:$D$135&lt;&gt;"")))</f>
        <v/>
      </c>
      <c r="L2874" s="27">
        <f>IF($A2874="","",TRIM(IF(ISERROR(FIND(",",$C2874)),$C2874,LEFT($C2874,FIND(",",$C2874)-1))))</f>
        <v/>
      </c>
      <c r="M2874" s="28">
        <f>IF($H2874="","",DATE(YEAR($H2874),MONTH($H2874),1))</f>
        <v/>
      </c>
      <c r="N2874" s="26">
        <f>IF($H2874="","",TODAY()-$H2874)</f>
        <v/>
      </c>
      <c r="O2874" s="15" t="n"/>
      <c r="P2874" s="15" t="n"/>
      <c r="Q2874" s="15" t="n"/>
      <c r="R2874" s="25" t="n"/>
      <c r="S2874" s="26">
        <f>IF($A2874="","",AND(OR('Assignment Builder'!$B$5="",$B2874='Assignment Builder'!$B$5),OR('Assignment Builder'!$B$6="",ISNUMBER(SEARCH('Assignment Builder'!$B$6,$C2874))),OR('Assignment Builder'!$B$7="",'Assignment Builder'!$B$7=IFERROR(INDEX('Category Dictionary'!$C$5:$C$135,MATCH($L2874,'Category Dictionary'!$D$5:$D$135,0)),"")),OR('Assignment Builder'!$B$8="",$D2874='Assignment Builder'!$B$8),OR('Assignment Builder'!$B$9="",$F2874='Assignment Builder'!$B$9),OR('Assignment Builder'!$B$10="",$O2874='Assignment Builder'!$B$10),OR('Assignment Builder'!$B$11="",$H2874&gt;='Assignment Builder'!$B$11),OR('Assignment Builder'!$B$12="",N($Q2874)&lt;='Assignment Builder'!$B$12)))</f>
        <v/>
      </c>
      <c r="T2874" s="23" t="n"/>
    </row>
    <row r="2875">
      <c r="A2875" s="23" t="n"/>
      <c r="B2875" s="23" t="n"/>
      <c r="C2875" s="24" t="n"/>
      <c r="D2875" s="15" t="n"/>
      <c r="E2875" s="23" t="n"/>
      <c r="F2875" s="15" t="n"/>
      <c r="G2875" s="23" t="n"/>
      <c r="H2875" s="25" t="n"/>
      <c r="I2875" s="15" t="n"/>
      <c r="J2875" s="26">
        <f>IF($A2875="","",LEN($C2875)-LEN(SUBSTITUTE($C2875,",",""))+1)</f>
        <v/>
      </c>
      <c r="K2875" s="26">
        <f>IF($A2875="","",SUMPRODUCT(--ISNUMBER(SEARCH('Category Dictionary'!$D$5:$D$135&amp;"",$C2875)),--('Category Dictionary'!$D$5:$D$135&lt;&gt;"")))</f>
        <v/>
      </c>
      <c r="L2875" s="27">
        <f>IF($A2875="","",TRIM(IF(ISERROR(FIND(",",$C2875)),$C2875,LEFT($C2875,FIND(",",$C2875)-1))))</f>
        <v/>
      </c>
      <c r="M2875" s="28">
        <f>IF($H2875="","",DATE(YEAR($H2875),MONTH($H2875),1))</f>
        <v/>
      </c>
      <c r="N2875" s="26">
        <f>IF($H2875="","",TODAY()-$H2875)</f>
        <v/>
      </c>
      <c r="O2875" s="15" t="n"/>
      <c r="P2875" s="15" t="n"/>
      <c r="Q2875" s="15" t="n"/>
      <c r="R2875" s="25" t="n"/>
      <c r="S2875" s="26">
        <f>IF($A2875="","",AND(OR('Assignment Builder'!$B$5="",$B2875='Assignment Builder'!$B$5),OR('Assignment Builder'!$B$6="",ISNUMBER(SEARCH('Assignment Builder'!$B$6,$C2875))),OR('Assignment Builder'!$B$7="",'Assignment Builder'!$B$7=IFERROR(INDEX('Category Dictionary'!$C$5:$C$135,MATCH($L2875,'Category Dictionary'!$D$5:$D$135,0)),"")),OR('Assignment Builder'!$B$8="",$D2875='Assignment Builder'!$B$8),OR('Assignment Builder'!$B$9="",$F2875='Assignment Builder'!$B$9),OR('Assignment Builder'!$B$10="",$O2875='Assignment Builder'!$B$10),OR('Assignment Builder'!$B$11="",$H2875&gt;='Assignment Builder'!$B$11),OR('Assignment Builder'!$B$12="",N($Q2875)&lt;='Assignment Builder'!$B$12)))</f>
        <v/>
      </c>
      <c r="T2875" s="23" t="n"/>
    </row>
    <row r="2876">
      <c r="A2876" s="23" t="n"/>
      <c r="B2876" s="23" t="n"/>
      <c r="C2876" s="24" t="n"/>
      <c r="D2876" s="15" t="n"/>
      <c r="E2876" s="23" t="n"/>
      <c r="F2876" s="15" t="n"/>
      <c r="G2876" s="23" t="n"/>
      <c r="H2876" s="25" t="n"/>
      <c r="I2876" s="15" t="n"/>
      <c r="J2876" s="26">
        <f>IF($A2876="","",LEN($C2876)-LEN(SUBSTITUTE($C2876,",",""))+1)</f>
        <v/>
      </c>
      <c r="K2876" s="26">
        <f>IF($A2876="","",SUMPRODUCT(--ISNUMBER(SEARCH('Category Dictionary'!$D$5:$D$135&amp;"",$C2876)),--('Category Dictionary'!$D$5:$D$135&lt;&gt;"")))</f>
        <v/>
      </c>
      <c r="L2876" s="27">
        <f>IF($A2876="","",TRIM(IF(ISERROR(FIND(",",$C2876)),$C2876,LEFT($C2876,FIND(",",$C2876)-1))))</f>
        <v/>
      </c>
      <c r="M2876" s="28">
        <f>IF($H2876="","",DATE(YEAR($H2876),MONTH($H2876),1))</f>
        <v/>
      </c>
      <c r="N2876" s="26">
        <f>IF($H2876="","",TODAY()-$H2876)</f>
        <v/>
      </c>
      <c r="O2876" s="15" t="n"/>
      <c r="P2876" s="15" t="n"/>
      <c r="Q2876" s="15" t="n"/>
      <c r="R2876" s="25" t="n"/>
      <c r="S2876" s="26">
        <f>IF($A2876="","",AND(OR('Assignment Builder'!$B$5="",$B2876='Assignment Builder'!$B$5),OR('Assignment Builder'!$B$6="",ISNUMBER(SEARCH('Assignment Builder'!$B$6,$C2876))),OR('Assignment Builder'!$B$7="",'Assignment Builder'!$B$7=IFERROR(INDEX('Category Dictionary'!$C$5:$C$135,MATCH($L2876,'Category Dictionary'!$D$5:$D$135,0)),"")),OR('Assignment Builder'!$B$8="",$D2876='Assignment Builder'!$B$8),OR('Assignment Builder'!$B$9="",$F2876='Assignment Builder'!$B$9),OR('Assignment Builder'!$B$10="",$O2876='Assignment Builder'!$B$10),OR('Assignment Builder'!$B$11="",$H2876&gt;='Assignment Builder'!$B$11),OR('Assignment Builder'!$B$12="",N($Q2876)&lt;='Assignment Builder'!$B$12)))</f>
        <v/>
      </c>
      <c r="T2876" s="23" t="n"/>
    </row>
    <row r="2877">
      <c r="A2877" s="23" t="n"/>
      <c r="B2877" s="23" t="n"/>
      <c r="C2877" s="24" t="n"/>
      <c r="D2877" s="15" t="n"/>
      <c r="E2877" s="23" t="n"/>
      <c r="F2877" s="15" t="n"/>
      <c r="G2877" s="23" t="n"/>
      <c r="H2877" s="25" t="n"/>
      <c r="I2877" s="15" t="n"/>
      <c r="J2877" s="26">
        <f>IF($A2877="","",LEN($C2877)-LEN(SUBSTITUTE($C2877,",",""))+1)</f>
        <v/>
      </c>
      <c r="K2877" s="26">
        <f>IF($A2877="","",SUMPRODUCT(--ISNUMBER(SEARCH('Category Dictionary'!$D$5:$D$135&amp;"",$C2877)),--('Category Dictionary'!$D$5:$D$135&lt;&gt;"")))</f>
        <v/>
      </c>
      <c r="L2877" s="27">
        <f>IF($A2877="","",TRIM(IF(ISERROR(FIND(",",$C2877)),$C2877,LEFT($C2877,FIND(",",$C2877)-1))))</f>
        <v/>
      </c>
      <c r="M2877" s="28">
        <f>IF($H2877="","",DATE(YEAR($H2877),MONTH($H2877),1))</f>
        <v/>
      </c>
      <c r="N2877" s="26">
        <f>IF($H2877="","",TODAY()-$H2877)</f>
        <v/>
      </c>
      <c r="O2877" s="15" t="n"/>
      <c r="P2877" s="15" t="n"/>
      <c r="Q2877" s="15" t="n"/>
      <c r="R2877" s="25" t="n"/>
      <c r="S2877" s="26">
        <f>IF($A2877="","",AND(OR('Assignment Builder'!$B$5="",$B2877='Assignment Builder'!$B$5),OR('Assignment Builder'!$B$6="",ISNUMBER(SEARCH('Assignment Builder'!$B$6,$C2877))),OR('Assignment Builder'!$B$7="",'Assignment Builder'!$B$7=IFERROR(INDEX('Category Dictionary'!$C$5:$C$135,MATCH($L2877,'Category Dictionary'!$D$5:$D$135,0)),"")),OR('Assignment Builder'!$B$8="",$D2877='Assignment Builder'!$B$8),OR('Assignment Builder'!$B$9="",$F2877='Assignment Builder'!$B$9),OR('Assignment Builder'!$B$10="",$O2877='Assignment Builder'!$B$10),OR('Assignment Builder'!$B$11="",$H2877&gt;='Assignment Builder'!$B$11),OR('Assignment Builder'!$B$12="",N($Q2877)&lt;='Assignment Builder'!$B$12)))</f>
        <v/>
      </c>
      <c r="T2877" s="23" t="n"/>
    </row>
    <row r="2878">
      <c r="A2878" s="23" t="n"/>
      <c r="B2878" s="23" t="n"/>
      <c r="C2878" s="24" t="n"/>
      <c r="D2878" s="15" t="n"/>
      <c r="E2878" s="23" t="n"/>
      <c r="F2878" s="15" t="n"/>
      <c r="G2878" s="23" t="n"/>
      <c r="H2878" s="25" t="n"/>
      <c r="I2878" s="15" t="n"/>
      <c r="J2878" s="26">
        <f>IF($A2878="","",LEN($C2878)-LEN(SUBSTITUTE($C2878,",",""))+1)</f>
        <v/>
      </c>
      <c r="K2878" s="26">
        <f>IF($A2878="","",SUMPRODUCT(--ISNUMBER(SEARCH('Category Dictionary'!$D$5:$D$135&amp;"",$C2878)),--('Category Dictionary'!$D$5:$D$135&lt;&gt;"")))</f>
        <v/>
      </c>
      <c r="L2878" s="27">
        <f>IF($A2878="","",TRIM(IF(ISERROR(FIND(",",$C2878)),$C2878,LEFT($C2878,FIND(",",$C2878)-1))))</f>
        <v/>
      </c>
      <c r="M2878" s="28">
        <f>IF($H2878="","",DATE(YEAR($H2878),MONTH($H2878),1))</f>
        <v/>
      </c>
      <c r="N2878" s="26">
        <f>IF($H2878="","",TODAY()-$H2878)</f>
        <v/>
      </c>
      <c r="O2878" s="15" t="n"/>
      <c r="P2878" s="15" t="n"/>
      <c r="Q2878" s="15" t="n"/>
      <c r="R2878" s="25" t="n"/>
      <c r="S2878" s="26">
        <f>IF($A2878="","",AND(OR('Assignment Builder'!$B$5="",$B2878='Assignment Builder'!$B$5),OR('Assignment Builder'!$B$6="",ISNUMBER(SEARCH('Assignment Builder'!$B$6,$C2878))),OR('Assignment Builder'!$B$7="",'Assignment Builder'!$B$7=IFERROR(INDEX('Category Dictionary'!$C$5:$C$135,MATCH($L2878,'Category Dictionary'!$D$5:$D$135,0)),"")),OR('Assignment Builder'!$B$8="",$D2878='Assignment Builder'!$B$8),OR('Assignment Builder'!$B$9="",$F2878='Assignment Builder'!$B$9),OR('Assignment Builder'!$B$10="",$O2878='Assignment Builder'!$B$10),OR('Assignment Builder'!$B$11="",$H2878&gt;='Assignment Builder'!$B$11),OR('Assignment Builder'!$B$12="",N($Q2878)&lt;='Assignment Builder'!$B$12)))</f>
        <v/>
      </c>
      <c r="T2878" s="23" t="n"/>
    </row>
    <row r="2879">
      <c r="A2879" s="23" t="n"/>
      <c r="B2879" s="23" t="n"/>
      <c r="C2879" s="24" t="n"/>
      <c r="D2879" s="15" t="n"/>
      <c r="E2879" s="23" t="n"/>
      <c r="F2879" s="15" t="n"/>
      <c r="G2879" s="23" t="n"/>
      <c r="H2879" s="25" t="n"/>
      <c r="I2879" s="15" t="n"/>
      <c r="J2879" s="26">
        <f>IF($A2879="","",LEN($C2879)-LEN(SUBSTITUTE($C2879,",",""))+1)</f>
        <v/>
      </c>
      <c r="K2879" s="26">
        <f>IF($A2879="","",SUMPRODUCT(--ISNUMBER(SEARCH('Category Dictionary'!$D$5:$D$135&amp;"",$C2879)),--('Category Dictionary'!$D$5:$D$135&lt;&gt;"")))</f>
        <v/>
      </c>
      <c r="L2879" s="27">
        <f>IF($A2879="","",TRIM(IF(ISERROR(FIND(",",$C2879)),$C2879,LEFT($C2879,FIND(",",$C2879)-1))))</f>
        <v/>
      </c>
      <c r="M2879" s="28">
        <f>IF($H2879="","",DATE(YEAR($H2879),MONTH($H2879),1))</f>
        <v/>
      </c>
      <c r="N2879" s="26">
        <f>IF($H2879="","",TODAY()-$H2879)</f>
        <v/>
      </c>
      <c r="O2879" s="15" t="n"/>
      <c r="P2879" s="15" t="n"/>
      <c r="Q2879" s="15" t="n"/>
      <c r="R2879" s="25" t="n"/>
      <c r="S2879" s="26">
        <f>IF($A2879="","",AND(OR('Assignment Builder'!$B$5="",$B2879='Assignment Builder'!$B$5),OR('Assignment Builder'!$B$6="",ISNUMBER(SEARCH('Assignment Builder'!$B$6,$C2879))),OR('Assignment Builder'!$B$7="",'Assignment Builder'!$B$7=IFERROR(INDEX('Category Dictionary'!$C$5:$C$135,MATCH($L2879,'Category Dictionary'!$D$5:$D$135,0)),"")),OR('Assignment Builder'!$B$8="",$D2879='Assignment Builder'!$B$8),OR('Assignment Builder'!$B$9="",$F2879='Assignment Builder'!$B$9),OR('Assignment Builder'!$B$10="",$O2879='Assignment Builder'!$B$10),OR('Assignment Builder'!$B$11="",$H2879&gt;='Assignment Builder'!$B$11),OR('Assignment Builder'!$B$12="",N($Q2879)&lt;='Assignment Builder'!$B$12)))</f>
        <v/>
      </c>
      <c r="T2879" s="23" t="n"/>
    </row>
    <row r="2880">
      <c r="A2880" s="23" t="n"/>
      <c r="B2880" s="23" t="n"/>
      <c r="C2880" s="24" t="n"/>
      <c r="D2880" s="15" t="n"/>
      <c r="E2880" s="23" t="n"/>
      <c r="F2880" s="15" t="n"/>
      <c r="G2880" s="23" t="n"/>
      <c r="H2880" s="25" t="n"/>
      <c r="I2880" s="15" t="n"/>
      <c r="J2880" s="26">
        <f>IF($A2880="","",LEN($C2880)-LEN(SUBSTITUTE($C2880,",",""))+1)</f>
        <v/>
      </c>
      <c r="K2880" s="26">
        <f>IF($A2880="","",SUMPRODUCT(--ISNUMBER(SEARCH('Category Dictionary'!$D$5:$D$135&amp;"",$C2880)),--('Category Dictionary'!$D$5:$D$135&lt;&gt;"")))</f>
        <v/>
      </c>
      <c r="L2880" s="27">
        <f>IF($A2880="","",TRIM(IF(ISERROR(FIND(",",$C2880)),$C2880,LEFT($C2880,FIND(",",$C2880)-1))))</f>
        <v/>
      </c>
      <c r="M2880" s="28">
        <f>IF($H2880="","",DATE(YEAR($H2880),MONTH($H2880),1))</f>
        <v/>
      </c>
      <c r="N2880" s="26">
        <f>IF($H2880="","",TODAY()-$H2880)</f>
        <v/>
      </c>
      <c r="O2880" s="15" t="n"/>
      <c r="P2880" s="15" t="n"/>
      <c r="Q2880" s="15" t="n"/>
      <c r="R2880" s="25" t="n"/>
      <c r="S2880" s="26">
        <f>IF($A2880="","",AND(OR('Assignment Builder'!$B$5="",$B2880='Assignment Builder'!$B$5),OR('Assignment Builder'!$B$6="",ISNUMBER(SEARCH('Assignment Builder'!$B$6,$C2880))),OR('Assignment Builder'!$B$7="",'Assignment Builder'!$B$7=IFERROR(INDEX('Category Dictionary'!$C$5:$C$135,MATCH($L2880,'Category Dictionary'!$D$5:$D$135,0)),"")),OR('Assignment Builder'!$B$8="",$D2880='Assignment Builder'!$B$8),OR('Assignment Builder'!$B$9="",$F2880='Assignment Builder'!$B$9),OR('Assignment Builder'!$B$10="",$O2880='Assignment Builder'!$B$10),OR('Assignment Builder'!$B$11="",$H2880&gt;='Assignment Builder'!$B$11),OR('Assignment Builder'!$B$12="",N($Q2880)&lt;='Assignment Builder'!$B$12)))</f>
        <v/>
      </c>
      <c r="T2880" s="23" t="n"/>
    </row>
    <row r="2881">
      <c r="A2881" s="23" t="n"/>
      <c r="B2881" s="23" t="n"/>
      <c r="C2881" s="24" t="n"/>
      <c r="D2881" s="15" t="n"/>
      <c r="E2881" s="23" t="n"/>
      <c r="F2881" s="15" t="n"/>
      <c r="G2881" s="23" t="n"/>
      <c r="H2881" s="25" t="n"/>
      <c r="I2881" s="15" t="n"/>
      <c r="J2881" s="26">
        <f>IF($A2881="","",LEN($C2881)-LEN(SUBSTITUTE($C2881,",",""))+1)</f>
        <v/>
      </c>
      <c r="K2881" s="26">
        <f>IF($A2881="","",SUMPRODUCT(--ISNUMBER(SEARCH('Category Dictionary'!$D$5:$D$135&amp;"",$C2881)),--('Category Dictionary'!$D$5:$D$135&lt;&gt;"")))</f>
        <v/>
      </c>
      <c r="L2881" s="27">
        <f>IF($A2881="","",TRIM(IF(ISERROR(FIND(",",$C2881)),$C2881,LEFT($C2881,FIND(",",$C2881)-1))))</f>
        <v/>
      </c>
      <c r="M2881" s="28">
        <f>IF($H2881="","",DATE(YEAR($H2881),MONTH($H2881),1))</f>
        <v/>
      </c>
      <c r="N2881" s="26">
        <f>IF($H2881="","",TODAY()-$H2881)</f>
        <v/>
      </c>
      <c r="O2881" s="15" t="n"/>
      <c r="P2881" s="15" t="n"/>
      <c r="Q2881" s="15" t="n"/>
      <c r="R2881" s="25" t="n"/>
      <c r="S2881" s="26">
        <f>IF($A2881="","",AND(OR('Assignment Builder'!$B$5="",$B2881='Assignment Builder'!$B$5),OR('Assignment Builder'!$B$6="",ISNUMBER(SEARCH('Assignment Builder'!$B$6,$C2881))),OR('Assignment Builder'!$B$7="",'Assignment Builder'!$B$7=IFERROR(INDEX('Category Dictionary'!$C$5:$C$135,MATCH($L2881,'Category Dictionary'!$D$5:$D$135,0)),"")),OR('Assignment Builder'!$B$8="",$D2881='Assignment Builder'!$B$8),OR('Assignment Builder'!$B$9="",$F2881='Assignment Builder'!$B$9),OR('Assignment Builder'!$B$10="",$O2881='Assignment Builder'!$B$10),OR('Assignment Builder'!$B$11="",$H2881&gt;='Assignment Builder'!$B$11),OR('Assignment Builder'!$B$12="",N($Q2881)&lt;='Assignment Builder'!$B$12)))</f>
        <v/>
      </c>
      <c r="T2881" s="23" t="n"/>
    </row>
    <row r="2882">
      <c r="A2882" s="23" t="n"/>
      <c r="B2882" s="23" t="n"/>
      <c r="C2882" s="24" t="n"/>
      <c r="D2882" s="15" t="n"/>
      <c r="E2882" s="23" t="n"/>
      <c r="F2882" s="15" t="n"/>
      <c r="G2882" s="23" t="n"/>
      <c r="H2882" s="25" t="n"/>
      <c r="I2882" s="15" t="n"/>
      <c r="J2882" s="26">
        <f>IF($A2882="","",LEN($C2882)-LEN(SUBSTITUTE($C2882,",",""))+1)</f>
        <v/>
      </c>
      <c r="K2882" s="26">
        <f>IF($A2882="","",SUMPRODUCT(--ISNUMBER(SEARCH('Category Dictionary'!$D$5:$D$135&amp;"",$C2882)),--('Category Dictionary'!$D$5:$D$135&lt;&gt;"")))</f>
        <v/>
      </c>
      <c r="L2882" s="27">
        <f>IF($A2882="","",TRIM(IF(ISERROR(FIND(",",$C2882)),$C2882,LEFT($C2882,FIND(",",$C2882)-1))))</f>
        <v/>
      </c>
      <c r="M2882" s="28">
        <f>IF($H2882="","",DATE(YEAR($H2882),MONTH($H2882),1))</f>
        <v/>
      </c>
      <c r="N2882" s="26">
        <f>IF($H2882="","",TODAY()-$H2882)</f>
        <v/>
      </c>
      <c r="O2882" s="15" t="n"/>
      <c r="P2882" s="15" t="n"/>
      <c r="Q2882" s="15" t="n"/>
      <c r="R2882" s="25" t="n"/>
      <c r="S2882" s="26">
        <f>IF($A2882="","",AND(OR('Assignment Builder'!$B$5="",$B2882='Assignment Builder'!$B$5),OR('Assignment Builder'!$B$6="",ISNUMBER(SEARCH('Assignment Builder'!$B$6,$C2882))),OR('Assignment Builder'!$B$7="",'Assignment Builder'!$B$7=IFERROR(INDEX('Category Dictionary'!$C$5:$C$135,MATCH($L2882,'Category Dictionary'!$D$5:$D$135,0)),"")),OR('Assignment Builder'!$B$8="",$D2882='Assignment Builder'!$B$8),OR('Assignment Builder'!$B$9="",$F2882='Assignment Builder'!$B$9),OR('Assignment Builder'!$B$10="",$O2882='Assignment Builder'!$B$10),OR('Assignment Builder'!$B$11="",$H2882&gt;='Assignment Builder'!$B$11),OR('Assignment Builder'!$B$12="",N($Q2882)&lt;='Assignment Builder'!$B$12)))</f>
        <v/>
      </c>
      <c r="T2882" s="23" t="n"/>
    </row>
    <row r="2883">
      <c r="A2883" s="23" t="n"/>
      <c r="B2883" s="23" t="n"/>
      <c r="C2883" s="24" t="n"/>
      <c r="D2883" s="15" t="n"/>
      <c r="E2883" s="23" t="n"/>
      <c r="F2883" s="15" t="n"/>
      <c r="G2883" s="23" t="n"/>
      <c r="H2883" s="25" t="n"/>
      <c r="I2883" s="15" t="n"/>
      <c r="J2883" s="26">
        <f>IF($A2883="","",LEN($C2883)-LEN(SUBSTITUTE($C2883,",",""))+1)</f>
        <v/>
      </c>
      <c r="K2883" s="26">
        <f>IF($A2883="","",SUMPRODUCT(--ISNUMBER(SEARCH('Category Dictionary'!$D$5:$D$135&amp;"",$C2883)),--('Category Dictionary'!$D$5:$D$135&lt;&gt;"")))</f>
        <v/>
      </c>
      <c r="L2883" s="27">
        <f>IF($A2883="","",TRIM(IF(ISERROR(FIND(",",$C2883)),$C2883,LEFT($C2883,FIND(",",$C2883)-1))))</f>
        <v/>
      </c>
      <c r="M2883" s="28">
        <f>IF($H2883="","",DATE(YEAR($H2883),MONTH($H2883),1))</f>
        <v/>
      </c>
      <c r="N2883" s="26">
        <f>IF($H2883="","",TODAY()-$H2883)</f>
        <v/>
      </c>
      <c r="O2883" s="15" t="n"/>
      <c r="P2883" s="15" t="n"/>
      <c r="Q2883" s="15" t="n"/>
      <c r="R2883" s="25" t="n"/>
      <c r="S2883" s="26">
        <f>IF($A2883="","",AND(OR('Assignment Builder'!$B$5="",$B2883='Assignment Builder'!$B$5),OR('Assignment Builder'!$B$6="",ISNUMBER(SEARCH('Assignment Builder'!$B$6,$C2883))),OR('Assignment Builder'!$B$7="",'Assignment Builder'!$B$7=IFERROR(INDEX('Category Dictionary'!$C$5:$C$135,MATCH($L2883,'Category Dictionary'!$D$5:$D$135,0)),"")),OR('Assignment Builder'!$B$8="",$D2883='Assignment Builder'!$B$8),OR('Assignment Builder'!$B$9="",$F2883='Assignment Builder'!$B$9),OR('Assignment Builder'!$B$10="",$O2883='Assignment Builder'!$B$10),OR('Assignment Builder'!$B$11="",$H2883&gt;='Assignment Builder'!$B$11),OR('Assignment Builder'!$B$12="",N($Q2883)&lt;='Assignment Builder'!$B$12)))</f>
        <v/>
      </c>
      <c r="T2883" s="23" t="n"/>
    </row>
    <row r="2884">
      <c r="A2884" s="23" t="n"/>
      <c r="B2884" s="23" t="n"/>
      <c r="C2884" s="24" t="n"/>
      <c r="D2884" s="15" t="n"/>
      <c r="E2884" s="23" t="n"/>
      <c r="F2884" s="15" t="n"/>
      <c r="G2884" s="23" t="n"/>
      <c r="H2884" s="25" t="n"/>
      <c r="I2884" s="15" t="n"/>
      <c r="J2884" s="26">
        <f>IF($A2884="","",LEN($C2884)-LEN(SUBSTITUTE($C2884,",",""))+1)</f>
        <v/>
      </c>
      <c r="K2884" s="26">
        <f>IF($A2884="","",SUMPRODUCT(--ISNUMBER(SEARCH('Category Dictionary'!$D$5:$D$135&amp;"",$C2884)),--('Category Dictionary'!$D$5:$D$135&lt;&gt;"")))</f>
        <v/>
      </c>
      <c r="L2884" s="27">
        <f>IF($A2884="","",TRIM(IF(ISERROR(FIND(",",$C2884)),$C2884,LEFT($C2884,FIND(",",$C2884)-1))))</f>
        <v/>
      </c>
      <c r="M2884" s="28">
        <f>IF($H2884="","",DATE(YEAR($H2884),MONTH($H2884),1))</f>
        <v/>
      </c>
      <c r="N2884" s="26">
        <f>IF($H2884="","",TODAY()-$H2884)</f>
        <v/>
      </c>
      <c r="O2884" s="15" t="n"/>
      <c r="P2884" s="15" t="n"/>
      <c r="Q2884" s="15" t="n"/>
      <c r="R2884" s="25" t="n"/>
      <c r="S2884" s="26">
        <f>IF($A2884="","",AND(OR('Assignment Builder'!$B$5="",$B2884='Assignment Builder'!$B$5),OR('Assignment Builder'!$B$6="",ISNUMBER(SEARCH('Assignment Builder'!$B$6,$C2884))),OR('Assignment Builder'!$B$7="",'Assignment Builder'!$B$7=IFERROR(INDEX('Category Dictionary'!$C$5:$C$135,MATCH($L2884,'Category Dictionary'!$D$5:$D$135,0)),"")),OR('Assignment Builder'!$B$8="",$D2884='Assignment Builder'!$B$8),OR('Assignment Builder'!$B$9="",$F2884='Assignment Builder'!$B$9),OR('Assignment Builder'!$B$10="",$O2884='Assignment Builder'!$B$10),OR('Assignment Builder'!$B$11="",$H2884&gt;='Assignment Builder'!$B$11),OR('Assignment Builder'!$B$12="",N($Q2884)&lt;='Assignment Builder'!$B$12)))</f>
        <v/>
      </c>
      <c r="T2884" s="23" t="n"/>
    </row>
    <row r="2885">
      <c r="A2885" s="23" t="n"/>
      <c r="B2885" s="23" t="n"/>
      <c r="C2885" s="24" t="n"/>
      <c r="D2885" s="15" t="n"/>
      <c r="E2885" s="23" t="n"/>
      <c r="F2885" s="15" t="n"/>
      <c r="G2885" s="23" t="n"/>
      <c r="H2885" s="25" t="n"/>
      <c r="I2885" s="15" t="n"/>
      <c r="J2885" s="26">
        <f>IF($A2885="","",LEN($C2885)-LEN(SUBSTITUTE($C2885,",",""))+1)</f>
        <v/>
      </c>
      <c r="K2885" s="26">
        <f>IF($A2885="","",SUMPRODUCT(--ISNUMBER(SEARCH('Category Dictionary'!$D$5:$D$135&amp;"",$C2885)),--('Category Dictionary'!$D$5:$D$135&lt;&gt;"")))</f>
        <v/>
      </c>
      <c r="L2885" s="27">
        <f>IF($A2885="","",TRIM(IF(ISERROR(FIND(",",$C2885)),$C2885,LEFT($C2885,FIND(",",$C2885)-1))))</f>
        <v/>
      </c>
      <c r="M2885" s="28">
        <f>IF($H2885="","",DATE(YEAR($H2885),MONTH($H2885),1))</f>
        <v/>
      </c>
      <c r="N2885" s="26">
        <f>IF($H2885="","",TODAY()-$H2885)</f>
        <v/>
      </c>
      <c r="O2885" s="15" t="n"/>
      <c r="P2885" s="15" t="n"/>
      <c r="Q2885" s="15" t="n"/>
      <c r="R2885" s="25" t="n"/>
      <c r="S2885" s="26">
        <f>IF($A2885="","",AND(OR('Assignment Builder'!$B$5="",$B2885='Assignment Builder'!$B$5),OR('Assignment Builder'!$B$6="",ISNUMBER(SEARCH('Assignment Builder'!$B$6,$C2885))),OR('Assignment Builder'!$B$7="",'Assignment Builder'!$B$7=IFERROR(INDEX('Category Dictionary'!$C$5:$C$135,MATCH($L2885,'Category Dictionary'!$D$5:$D$135,0)),"")),OR('Assignment Builder'!$B$8="",$D2885='Assignment Builder'!$B$8),OR('Assignment Builder'!$B$9="",$F2885='Assignment Builder'!$B$9),OR('Assignment Builder'!$B$10="",$O2885='Assignment Builder'!$B$10),OR('Assignment Builder'!$B$11="",$H2885&gt;='Assignment Builder'!$B$11),OR('Assignment Builder'!$B$12="",N($Q2885)&lt;='Assignment Builder'!$B$12)))</f>
        <v/>
      </c>
      <c r="T2885" s="23" t="n"/>
    </row>
    <row r="2886">
      <c r="A2886" s="23" t="n"/>
      <c r="B2886" s="23" t="n"/>
      <c r="C2886" s="24" t="n"/>
      <c r="D2886" s="15" t="n"/>
      <c r="E2886" s="23" t="n"/>
      <c r="F2886" s="15" t="n"/>
      <c r="G2886" s="23" t="n"/>
      <c r="H2886" s="25" t="n"/>
      <c r="I2886" s="15" t="n"/>
      <c r="J2886" s="26">
        <f>IF($A2886="","",LEN($C2886)-LEN(SUBSTITUTE($C2886,",",""))+1)</f>
        <v/>
      </c>
      <c r="K2886" s="26">
        <f>IF($A2886="","",SUMPRODUCT(--ISNUMBER(SEARCH('Category Dictionary'!$D$5:$D$135&amp;"",$C2886)),--('Category Dictionary'!$D$5:$D$135&lt;&gt;"")))</f>
        <v/>
      </c>
      <c r="L2886" s="27">
        <f>IF($A2886="","",TRIM(IF(ISERROR(FIND(",",$C2886)),$C2886,LEFT($C2886,FIND(",",$C2886)-1))))</f>
        <v/>
      </c>
      <c r="M2886" s="28">
        <f>IF($H2886="","",DATE(YEAR($H2886),MONTH($H2886),1))</f>
        <v/>
      </c>
      <c r="N2886" s="26">
        <f>IF($H2886="","",TODAY()-$H2886)</f>
        <v/>
      </c>
      <c r="O2886" s="15" t="n"/>
      <c r="P2886" s="15" t="n"/>
      <c r="Q2886" s="15" t="n"/>
      <c r="R2886" s="25" t="n"/>
      <c r="S2886" s="26">
        <f>IF($A2886="","",AND(OR('Assignment Builder'!$B$5="",$B2886='Assignment Builder'!$B$5),OR('Assignment Builder'!$B$6="",ISNUMBER(SEARCH('Assignment Builder'!$B$6,$C2886))),OR('Assignment Builder'!$B$7="",'Assignment Builder'!$B$7=IFERROR(INDEX('Category Dictionary'!$C$5:$C$135,MATCH($L2886,'Category Dictionary'!$D$5:$D$135,0)),"")),OR('Assignment Builder'!$B$8="",$D2886='Assignment Builder'!$B$8),OR('Assignment Builder'!$B$9="",$F2886='Assignment Builder'!$B$9),OR('Assignment Builder'!$B$10="",$O2886='Assignment Builder'!$B$10),OR('Assignment Builder'!$B$11="",$H2886&gt;='Assignment Builder'!$B$11),OR('Assignment Builder'!$B$12="",N($Q2886)&lt;='Assignment Builder'!$B$12)))</f>
        <v/>
      </c>
      <c r="T2886" s="23" t="n"/>
    </row>
    <row r="2887">
      <c r="A2887" s="23" t="n"/>
      <c r="B2887" s="23" t="n"/>
      <c r="C2887" s="24" t="n"/>
      <c r="D2887" s="15" t="n"/>
      <c r="E2887" s="23" t="n"/>
      <c r="F2887" s="15" t="n"/>
      <c r="G2887" s="23" t="n"/>
      <c r="H2887" s="25" t="n"/>
      <c r="I2887" s="15" t="n"/>
      <c r="J2887" s="26">
        <f>IF($A2887="","",LEN($C2887)-LEN(SUBSTITUTE($C2887,",",""))+1)</f>
        <v/>
      </c>
      <c r="K2887" s="26">
        <f>IF($A2887="","",SUMPRODUCT(--ISNUMBER(SEARCH('Category Dictionary'!$D$5:$D$135&amp;"",$C2887)),--('Category Dictionary'!$D$5:$D$135&lt;&gt;"")))</f>
        <v/>
      </c>
      <c r="L2887" s="27">
        <f>IF($A2887="","",TRIM(IF(ISERROR(FIND(",",$C2887)),$C2887,LEFT($C2887,FIND(",",$C2887)-1))))</f>
        <v/>
      </c>
      <c r="M2887" s="28">
        <f>IF($H2887="","",DATE(YEAR($H2887),MONTH($H2887),1))</f>
        <v/>
      </c>
      <c r="N2887" s="26">
        <f>IF($H2887="","",TODAY()-$H2887)</f>
        <v/>
      </c>
      <c r="O2887" s="15" t="n"/>
      <c r="P2887" s="15" t="n"/>
      <c r="Q2887" s="15" t="n"/>
      <c r="R2887" s="25" t="n"/>
      <c r="S2887" s="26">
        <f>IF($A2887="","",AND(OR('Assignment Builder'!$B$5="",$B2887='Assignment Builder'!$B$5),OR('Assignment Builder'!$B$6="",ISNUMBER(SEARCH('Assignment Builder'!$B$6,$C2887))),OR('Assignment Builder'!$B$7="",'Assignment Builder'!$B$7=IFERROR(INDEX('Category Dictionary'!$C$5:$C$135,MATCH($L2887,'Category Dictionary'!$D$5:$D$135,0)),"")),OR('Assignment Builder'!$B$8="",$D2887='Assignment Builder'!$B$8),OR('Assignment Builder'!$B$9="",$F2887='Assignment Builder'!$B$9),OR('Assignment Builder'!$B$10="",$O2887='Assignment Builder'!$B$10),OR('Assignment Builder'!$B$11="",$H2887&gt;='Assignment Builder'!$B$11),OR('Assignment Builder'!$B$12="",N($Q2887)&lt;='Assignment Builder'!$B$12)))</f>
        <v/>
      </c>
      <c r="T2887" s="23" t="n"/>
    </row>
    <row r="2888">
      <c r="A2888" s="23" t="n"/>
      <c r="B2888" s="23" t="n"/>
      <c r="C2888" s="24" t="n"/>
      <c r="D2888" s="15" t="n"/>
      <c r="E2888" s="23" t="n"/>
      <c r="F2888" s="15" t="n"/>
      <c r="G2888" s="23" t="n"/>
      <c r="H2888" s="25" t="n"/>
      <c r="I2888" s="15" t="n"/>
      <c r="J2888" s="26">
        <f>IF($A2888="","",LEN($C2888)-LEN(SUBSTITUTE($C2888,",",""))+1)</f>
        <v/>
      </c>
      <c r="K2888" s="26">
        <f>IF($A2888="","",SUMPRODUCT(--ISNUMBER(SEARCH('Category Dictionary'!$D$5:$D$135&amp;"",$C2888)),--('Category Dictionary'!$D$5:$D$135&lt;&gt;"")))</f>
        <v/>
      </c>
      <c r="L2888" s="27">
        <f>IF($A2888="","",TRIM(IF(ISERROR(FIND(",",$C2888)),$C2888,LEFT($C2888,FIND(",",$C2888)-1))))</f>
        <v/>
      </c>
      <c r="M2888" s="28">
        <f>IF($H2888="","",DATE(YEAR($H2888),MONTH($H2888),1))</f>
        <v/>
      </c>
      <c r="N2888" s="26">
        <f>IF($H2888="","",TODAY()-$H2888)</f>
        <v/>
      </c>
      <c r="O2888" s="15" t="n"/>
      <c r="P2888" s="15" t="n"/>
      <c r="Q2888" s="15" t="n"/>
      <c r="R2888" s="25" t="n"/>
      <c r="S2888" s="26">
        <f>IF($A2888="","",AND(OR('Assignment Builder'!$B$5="",$B2888='Assignment Builder'!$B$5),OR('Assignment Builder'!$B$6="",ISNUMBER(SEARCH('Assignment Builder'!$B$6,$C2888))),OR('Assignment Builder'!$B$7="",'Assignment Builder'!$B$7=IFERROR(INDEX('Category Dictionary'!$C$5:$C$135,MATCH($L2888,'Category Dictionary'!$D$5:$D$135,0)),"")),OR('Assignment Builder'!$B$8="",$D2888='Assignment Builder'!$B$8),OR('Assignment Builder'!$B$9="",$F2888='Assignment Builder'!$B$9),OR('Assignment Builder'!$B$10="",$O2888='Assignment Builder'!$B$10),OR('Assignment Builder'!$B$11="",$H2888&gt;='Assignment Builder'!$B$11),OR('Assignment Builder'!$B$12="",N($Q2888)&lt;='Assignment Builder'!$B$12)))</f>
        <v/>
      </c>
      <c r="T2888" s="23" t="n"/>
    </row>
    <row r="2889">
      <c r="A2889" s="23" t="n"/>
      <c r="B2889" s="23" t="n"/>
      <c r="C2889" s="24" t="n"/>
      <c r="D2889" s="15" t="n"/>
      <c r="E2889" s="23" t="n"/>
      <c r="F2889" s="15" t="n"/>
      <c r="G2889" s="23" t="n"/>
      <c r="H2889" s="25" t="n"/>
      <c r="I2889" s="15" t="n"/>
      <c r="J2889" s="26">
        <f>IF($A2889="","",LEN($C2889)-LEN(SUBSTITUTE($C2889,",",""))+1)</f>
        <v/>
      </c>
      <c r="K2889" s="26">
        <f>IF($A2889="","",SUMPRODUCT(--ISNUMBER(SEARCH('Category Dictionary'!$D$5:$D$135&amp;"",$C2889)),--('Category Dictionary'!$D$5:$D$135&lt;&gt;"")))</f>
        <v/>
      </c>
      <c r="L2889" s="27">
        <f>IF($A2889="","",TRIM(IF(ISERROR(FIND(",",$C2889)),$C2889,LEFT($C2889,FIND(",",$C2889)-1))))</f>
        <v/>
      </c>
      <c r="M2889" s="28">
        <f>IF($H2889="","",DATE(YEAR($H2889),MONTH($H2889),1))</f>
        <v/>
      </c>
      <c r="N2889" s="26">
        <f>IF($H2889="","",TODAY()-$H2889)</f>
        <v/>
      </c>
      <c r="O2889" s="15" t="n"/>
      <c r="P2889" s="15" t="n"/>
      <c r="Q2889" s="15" t="n"/>
      <c r="R2889" s="25" t="n"/>
      <c r="S2889" s="26">
        <f>IF($A2889="","",AND(OR('Assignment Builder'!$B$5="",$B2889='Assignment Builder'!$B$5),OR('Assignment Builder'!$B$6="",ISNUMBER(SEARCH('Assignment Builder'!$B$6,$C2889))),OR('Assignment Builder'!$B$7="",'Assignment Builder'!$B$7=IFERROR(INDEX('Category Dictionary'!$C$5:$C$135,MATCH($L2889,'Category Dictionary'!$D$5:$D$135,0)),"")),OR('Assignment Builder'!$B$8="",$D2889='Assignment Builder'!$B$8),OR('Assignment Builder'!$B$9="",$F2889='Assignment Builder'!$B$9),OR('Assignment Builder'!$B$10="",$O2889='Assignment Builder'!$B$10),OR('Assignment Builder'!$B$11="",$H2889&gt;='Assignment Builder'!$B$11),OR('Assignment Builder'!$B$12="",N($Q2889)&lt;='Assignment Builder'!$B$12)))</f>
        <v/>
      </c>
      <c r="T2889" s="23" t="n"/>
    </row>
    <row r="2890">
      <c r="A2890" s="23" t="n"/>
      <c r="B2890" s="23" t="n"/>
      <c r="C2890" s="24" t="n"/>
      <c r="D2890" s="15" t="n"/>
      <c r="E2890" s="23" t="n"/>
      <c r="F2890" s="15" t="n"/>
      <c r="G2890" s="23" t="n"/>
      <c r="H2890" s="25" t="n"/>
      <c r="I2890" s="15" t="n"/>
      <c r="J2890" s="26">
        <f>IF($A2890="","",LEN($C2890)-LEN(SUBSTITUTE($C2890,",",""))+1)</f>
        <v/>
      </c>
      <c r="K2890" s="26">
        <f>IF($A2890="","",SUMPRODUCT(--ISNUMBER(SEARCH('Category Dictionary'!$D$5:$D$135&amp;"",$C2890)),--('Category Dictionary'!$D$5:$D$135&lt;&gt;"")))</f>
        <v/>
      </c>
      <c r="L2890" s="27">
        <f>IF($A2890="","",TRIM(IF(ISERROR(FIND(",",$C2890)),$C2890,LEFT($C2890,FIND(",",$C2890)-1))))</f>
        <v/>
      </c>
      <c r="M2890" s="28">
        <f>IF($H2890="","",DATE(YEAR($H2890),MONTH($H2890),1))</f>
        <v/>
      </c>
      <c r="N2890" s="26">
        <f>IF($H2890="","",TODAY()-$H2890)</f>
        <v/>
      </c>
      <c r="O2890" s="15" t="n"/>
      <c r="P2890" s="15" t="n"/>
      <c r="Q2890" s="15" t="n"/>
      <c r="R2890" s="25" t="n"/>
      <c r="S2890" s="26">
        <f>IF($A2890="","",AND(OR('Assignment Builder'!$B$5="",$B2890='Assignment Builder'!$B$5),OR('Assignment Builder'!$B$6="",ISNUMBER(SEARCH('Assignment Builder'!$B$6,$C2890))),OR('Assignment Builder'!$B$7="",'Assignment Builder'!$B$7=IFERROR(INDEX('Category Dictionary'!$C$5:$C$135,MATCH($L2890,'Category Dictionary'!$D$5:$D$135,0)),"")),OR('Assignment Builder'!$B$8="",$D2890='Assignment Builder'!$B$8),OR('Assignment Builder'!$B$9="",$F2890='Assignment Builder'!$B$9),OR('Assignment Builder'!$B$10="",$O2890='Assignment Builder'!$B$10),OR('Assignment Builder'!$B$11="",$H2890&gt;='Assignment Builder'!$B$11),OR('Assignment Builder'!$B$12="",N($Q2890)&lt;='Assignment Builder'!$B$12)))</f>
        <v/>
      </c>
      <c r="T2890" s="23" t="n"/>
    </row>
    <row r="2891">
      <c r="A2891" s="23" t="n"/>
      <c r="B2891" s="23" t="n"/>
      <c r="C2891" s="24" t="n"/>
      <c r="D2891" s="15" t="n"/>
      <c r="E2891" s="23" t="n"/>
      <c r="F2891" s="15" t="n"/>
      <c r="G2891" s="23" t="n"/>
      <c r="H2891" s="25" t="n"/>
      <c r="I2891" s="15" t="n"/>
      <c r="J2891" s="26">
        <f>IF($A2891="","",LEN($C2891)-LEN(SUBSTITUTE($C2891,",",""))+1)</f>
        <v/>
      </c>
      <c r="K2891" s="26">
        <f>IF($A2891="","",SUMPRODUCT(--ISNUMBER(SEARCH('Category Dictionary'!$D$5:$D$135&amp;"",$C2891)),--('Category Dictionary'!$D$5:$D$135&lt;&gt;"")))</f>
        <v/>
      </c>
      <c r="L2891" s="27">
        <f>IF($A2891="","",TRIM(IF(ISERROR(FIND(",",$C2891)),$C2891,LEFT($C2891,FIND(",",$C2891)-1))))</f>
        <v/>
      </c>
      <c r="M2891" s="28">
        <f>IF($H2891="","",DATE(YEAR($H2891),MONTH($H2891),1))</f>
        <v/>
      </c>
      <c r="N2891" s="26">
        <f>IF($H2891="","",TODAY()-$H2891)</f>
        <v/>
      </c>
      <c r="O2891" s="15" t="n"/>
      <c r="P2891" s="15" t="n"/>
      <c r="Q2891" s="15" t="n"/>
      <c r="R2891" s="25" t="n"/>
      <c r="S2891" s="26">
        <f>IF($A2891="","",AND(OR('Assignment Builder'!$B$5="",$B2891='Assignment Builder'!$B$5),OR('Assignment Builder'!$B$6="",ISNUMBER(SEARCH('Assignment Builder'!$B$6,$C2891))),OR('Assignment Builder'!$B$7="",'Assignment Builder'!$B$7=IFERROR(INDEX('Category Dictionary'!$C$5:$C$135,MATCH($L2891,'Category Dictionary'!$D$5:$D$135,0)),"")),OR('Assignment Builder'!$B$8="",$D2891='Assignment Builder'!$B$8),OR('Assignment Builder'!$B$9="",$F2891='Assignment Builder'!$B$9),OR('Assignment Builder'!$B$10="",$O2891='Assignment Builder'!$B$10),OR('Assignment Builder'!$B$11="",$H2891&gt;='Assignment Builder'!$B$11),OR('Assignment Builder'!$B$12="",N($Q2891)&lt;='Assignment Builder'!$B$12)))</f>
        <v/>
      </c>
      <c r="T2891" s="23" t="n"/>
    </row>
    <row r="2892">
      <c r="A2892" s="23" t="n"/>
      <c r="B2892" s="23" t="n"/>
      <c r="C2892" s="24" t="n"/>
      <c r="D2892" s="15" t="n"/>
      <c r="E2892" s="23" t="n"/>
      <c r="F2892" s="15" t="n"/>
      <c r="G2892" s="23" t="n"/>
      <c r="H2892" s="25" t="n"/>
      <c r="I2892" s="15" t="n"/>
      <c r="J2892" s="26">
        <f>IF($A2892="","",LEN($C2892)-LEN(SUBSTITUTE($C2892,",",""))+1)</f>
        <v/>
      </c>
      <c r="K2892" s="26">
        <f>IF($A2892="","",SUMPRODUCT(--ISNUMBER(SEARCH('Category Dictionary'!$D$5:$D$135&amp;"",$C2892)),--('Category Dictionary'!$D$5:$D$135&lt;&gt;"")))</f>
        <v/>
      </c>
      <c r="L2892" s="27">
        <f>IF($A2892="","",TRIM(IF(ISERROR(FIND(",",$C2892)),$C2892,LEFT($C2892,FIND(",",$C2892)-1))))</f>
        <v/>
      </c>
      <c r="M2892" s="28">
        <f>IF($H2892="","",DATE(YEAR($H2892),MONTH($H2892),1))</f>
        <v/>
      </c>
      <c r="N2892" s="26">
        <f>IF($H2892="","",TODAY()-$H2892)</f>
        <v/>
      </c>
      <c r="O2892" s="15" t="n"/>
      <c r="P2892" s="15" t="n"/>
      <c r="Q2892" s="15" t="n"/>
      <c r="R2892" s="25" t="n"/>
      <c r="S2892" s="26">
        <f>IF($A2892="","",AND(OR('Assignment Builder'!$B$5="",$B2892='Assignment Builder'!$B$5),OR('Assignment Builder'!$B$6="",ISNUMBER(SEARCH('Assignment Builder'!$B$6,$C2892))),OR('Assignment Builder'!$B$7="",'Assignment Builder'!$B$7=IFERROR(INDEX('Category Dictionary'!$C$5:$C$135,MATCH($L2892,'Category Dictionary'!$D$5:$D$135,0)),"")),OR('Assignment Builder'!$B$8="",$D2892='Assignment Builder'!$B$8),OR('Assignment Builder'!$B$9="",$F2892='Assignment Builder'!$B$9),OR('Assignment Builder'!$B$10="",$O2892='Assignment Builder'!$B$10),OR('Assignment Builder'!$B$11="",$H2892&gt;='Assignment Builder'!$B$11),OR('Assignment Builder'!$B$12="",N($Q2892)&lt;='Assignment Builder'!$B$12)))</f>
        <v/>
      </c>
      <c r="T2892" s="23" t="n"/>
    </row>
    <row r="2893">
      <c r="A2893" s="23" t="n"/>
      <c r="B2893" s="23" t="n"/>
      <c r="C2893" s="24" t="n"/>
      <c r="D2893" s="15" t="n"/>
      <c r="E2893" s="23" t="n"/>
      <c r="F2893" s="15" t="n"/>
      <c r="G2893" s="23" t="n"/>
      <c r="H2893" s="25" t="n"/>
      <c r="I2893" s="15" t="n"/>
      <c r="J2893" s="26">
        <f>IF($A2893="","",LEN($C2893)-LEN(SUBSTITUTE($C2893,",",""))+1)</f>
        <v/>
      </c>
      <c r="K2893" s="26">
        <f>IF($A2893="","",SUMPRODUCT(--ISNUMBER(SEARCH('Category Dictionary'!$D$5:$D$135&amp;"",$C2893)),--('Category Dictionary'!$D$5:$D$135&lt;&gt;"")))</f>
        <v/>
      </c>
      <c r="L2893" s="27">
        <f>IF($A2893="","",TRIM(IF(ISERROR(FIND(",",$C2893)),$C2893,LEFT($C2893,FIND(",",$C2893)-1))))</f>
        <v/>
      </c>
      <c r="M2893" s="28">
        <f>IF($H2893="","",DATE(YEAR($H2893),MONTH($H2893),1))</f>
        <v/>
      </c>
      <c r="N2893" s="26">
        <f>IF($H2893="","",TODAY()-$H2893)</f>
        <v/>
      </c>
      <c r="O2893" s="15" t="n"/>
      <c r="P2893" s="15" t="n"/>
      <c r="Q2893" s="15" t="n"/>
      <c r="R2893" s="25" t="n"/>
      <c r="S2893" s="26">
        <f>IF($A2893="","",AND(OR('Assignment Builder'!$B$5="",$B2893='Assignment Builder'!$B$5),OR('Assignment Builder'!$B$6="",ISNUMBER(SEARCH('Assignment Builder'!$B$6,$C2893))),OR('Assignment Builder'!$B$7="",'Assignment Builder'!$B$7=IFERROR(INDEX('Category Dictionary'!$C$5:$C$135,MATCH($L2893,'Category Dictionary'!$D$5:$D$135,0)),"")),OR('Assignment Builder'!$B$8="",$D2893='Assignment Builder'!$B$8),OR('Assignment Builder'!$B$9="",$F2893='Assignment Builder'!$B$9),OR('Assignment Builder'!$B$10="",$O2893='Assignment Builder'!$B$10),OR('Assignment Builder'!$B$11="",$H2893&gt;='Assignment Builder'!$B$11),OR('Assignment Builder'!$B$12="",N($Q2893)&lt;='Assignment Builder'!$B$12)))</f>
        <v/>
      </c>
      <c r="T2893" s="23" t="n"/>
    </row>
    <row r="2894">
      <c r="A2894" s="23" t="n"/>
      <c r="B2894" s="23" t="n"/>
      <c r="C2894" s="24" t="n"/>
      <c r="D2894" s="15" t="n"/>
      <c r="E2894" s="23" t="n"/>
      <c r="F2894" s="15" t="n"/>
      <c r="G2894" s="23" t="n"/>
      <c r="H2894" s="25" t="n"/>
      <c r="I2894" s="15" t="n"/>
      <c r="J2894" s="26">
        <f>IF($A2894="","",LEN($C2894)-LEN(SUBSTITUTE($C2894,",",""))+1)</f>
        <v/>
      </c>
      <c r="K2894" s="26">
        <f>IF($A2894="","",SUMPRODUCT(--ISNUMBER(SEARCH('Category Dictionary'!$D$5:$D$135&amp;"",$C2894)),--('Category Dictionary'!$D$5:$D$135&lt;&gt;"")))</f>
        <v/>
      </c>
      <c r="L2894" s="27">
        <f>IF($A2894="","",TRIM(IF(ISERROR(FIND(",",$C2894)),$C2894,LEFT($C2894,FIND(",",$C2894)-1))))</f>
        <v/>
      </c>
      <c r="M2894" s="28">
        <f>IF($H2894="","",DATE(YEAR($H2894),MONTH($H2894),1))</f>
        <v/>
      </c>
      <c r="N2894" s="26">
        <f>IF($H2894="","",TODAY()-$H2894)</f>
        <v/>
      </c>
      <c r="O2894" s="15" t="n"/>
      <c r="P2894" s="15" t="n"/>
      <c r="Q2894" s="15" t="n"/>
      <c r="R2894" s="25" t="n"/>
      <c r="S2894" s="26">
        <f>IF($A2894="","",AND(OR('Assignment Builder'!$B$5="",$B2894='Assignment Builder'!$B$5),OR('Assignment Builder'!$B$6="",ISNUMBER(SEARCH('Assignment Builder'!$B$6,$C2894))),OR('Assignment Builder'!$B$7="",'Assignment Builder'!$B$7=IFERROR(INDEX('Category Dictionary'!$C$5:$C$135,MATCH($L2894,'Category Dictionary'!$D$5:$D$135,0)),"")),OR('Assignment Builder'!$B$8="",$D2894='Assignment Builder'!$B$8),OR('Assignment Builder'!$B$9="",$F2894='Assignment Builder'!$B$9),OR('Assignment Builder'!$B$10="",$O2894='Assignment Builder'!$B$10),OR('Assignment Builder'!$B$11="",$H2894&gt;='Assignment Builder'!$B$11),OR('Assignment Builder'!$B$12="",N($Q2894)&lt;='Assignment Builder'!$B$12)))</f>
        <v/>
      </c>
      <c r="T2894" s="23" t="n"/>
    </row>
    <row r="2895">
      <c r="A2895" s="23" t="n"/>
      <c r="B2895" s="23" t="n"/>
      <c r="C2895" s="24" t="n"/>
      <c r="D2895" s="15" t="n"/>
      <c r="E2895" s="23" t="n"/>
      <c r="F2895" s="15" t="n"/>
      <c r="G2895" s="23" t="n"/>
      <c r="H2895" s="25" t="n"/>
      <c r="I2895" s="15" t="n"/>
      <c r="J2895" s="26">
        <f>IF($A2895="","",LEN($C2895)-LEN(SUBSTITUTE($C2895,",",""))+1)</f>
        <v/>
      </c>
      <c r="K2895" s="26">
        <f>IF($A2895="","",SUMPRODUCT(--ISNUMBER(SEARCH('Category Dictionary'!$D$5:$D$135&amp;"",$C2895)),--('Category Dictionary'!$D$5:$D$135&lt;&gt;"")))</f>
        <v/>
      </c>
      <c r="L2895" s="27">
        <f>IF($A2895="","",TRIM(IF(ISERROR(FIND(",",$C2895)),$C2895,LEFT($C2895,FIND(",",$C2895)-1))))</f>
        <v/>
      </c>
      <c r="M2895" s="28">
        <f>IF($H2895="","",DATE(YEAR($H2895),MONTH($H2895),1))</f>
        <v/>
      </c>
      <c r="N2895" s="26">
        <f>IF($H2895="","",TODAY()-$H2895)</f>
        <v/>
      </c>
      <c r="O2895" s="15" t="n"/>
      <c r="P2895" s="15" t="n"/>
      <c r="Q2895" s="15" t="n"/>
      <c r="R2895" s="25" t="n"/>
      <c r="S2895" s="26">
        <f>IF($A2895="","",AND(OR('Assignment Builder'!$B$5="",$B2895='Assignment Builder'!$B$5),OR('Assignment Builder'!$B$6="",ISNUMBER(SEARCH('Assignment Builder'!$B$6,$C2895))),OR('Assignment Builder'!$B$7="",'Assignment Builder'!$B$7=IFERROR(INDEX('Category Dictionary'!$C$5:$C$135,MATCH($L2895,'Category Dictionary'!$D$5:$D$135,0)),"")),OR('Assignment Builder'!$B$8="",$D2895='Assignment Builder'!$B$8),OR('Assignment Builder'!$B$9="",$F2895='Assignment Builder'!$B$9),OR('Assignment Builder'!$B$10="",$O2895='Assignment Builder'!$B$10),OR('Assignment Builder'!$B$11="",$H2895&gt;='Assignment Builder'!$B$11),OR('Assignment Builder'!$B$12="",N($Q2895)&lt;='Assignment Builder'!$B$12)))</f>
        <v/>
      </c>
      <c r="T2895" s="23" t="n"/>
    </row>
    <row r="2896">
      <c r="A2896" s="23" t="n"/>
      <c r="B2896" s="23" t="n"/>
      <c r="C2896" s="24" t="n"/>
      <c r="D2896" s="15" t="n"/>
      <c r="E2896" s="23" t="n"/>
      <c r="F2896" s="15" t="n"/>
      <c r="G2896" s="23" t="n"/>
      <c r="H2896" s="25" t="n"/>
      <c r="I2896" s="15" t="n"/>
      <c r="J2896" s="26">
        <f>IF($A2896="","",LEN($C2896)-LEN(SUBSTITUTE($C2896,",",""))+1)</f>
        <v/>
      </c>
      <c r="K2896" s="26">
        <f>IF($A2896="","",SUMPRODUCT(--ISNUMBER(SEARCH('Category Dictionary'!$D$5:$D$135&amp;"",$C2896)),--('Category Dictionary'!$D$5:$D$135&lt;&gt;"")))</f>
        <v/>
      </c>
      <c r="L2896" s="27">
        <f>IF($A2896="","",TRIM(IF(ISERROR(FIND(",",$C2896)),$C2896,LEFT($C2896,FIND(",",$C2896)-1))))</f>
        <v/>
      </c>
      <c r="M2896" s="28">
        <f>IF($H2896="","",DATE(YEAR($H2896),MONTH($H2896),1))</f>
        <v/>
      </c>
      <c r="N2896" s="26">
        <f>IF($H2896="","",TODAY()-$H2896)</f>
        <v/>
      </c>
      <c r="O2896" s="15" t="n"/>
      <c r="P2896" s="15" t="n"/>
      <c r="Q2896" s="15" t="n"/>
      <c r="R2896" s="25" t="n"/>
      <c r="S2896" s="26">
        <f>IF($A2896="","",AND(OR('Assignment Builder'!$B$5="",$B2896='Assignment Builder'!$B$5),OR('Assignment Builder'!$B$6="",ISNUMBER(SEARCH('Assignment Builder'!$B$6,$C2896))),OR('Assignment Builder'!$B$7="",'Assignment Builder'!$B$7=IFERROR(INDEX('Category Dictionary'!$C$5:$C$135,MATCH($L2896,'Category Dictionary'!$D$5:$D$135,0)),"")),OR('Assignment Builder'!$B$8="",$D2896='Assignment Builder'!$B$8),OR('Assignment Builder'!$B$9="",$F2896='Assignment Builder'!$B$9),OR('Assignment Builder'!$B$10="",$O2896='Assignment Builder'!$B$10),OR('Assignment Builder'!$B$11="",$H2896&gt;='Assignment Builder'!$B$11),OR('Assignment Builder'!$B$12="",N($Q2896)&lt;='Assignment Builder'!$B$12)))</f>
        <v/>
      </c>
      <c r="T2896" s="23" t="n"/>
    </row>
    <row r="2897">
      <c r="A2897" s="23" t="n"/>
      <c r="B2897" s="23" t="n"/>
      <c r="C2897" s="24" t="n"/>
      <c r="D2897" s="15" t="n"/>
      <c r="E2897" s="23" t="n"/>
      <c r="F2897" s="15" t="n"/>
      <c r="G2897" s="23" t="n"/>
      <c r="H2897" s="25" t="n"/>
      <c r="I2897" s="15" t="n"/>
      <c r="J2897" s="26">
        <f>IF($A2897="","",LEN($C2897)-LEN(SUBSTITUTE($C2897,",",""))+1)</f>
        <v/>
      </c>
      <c r="K2897" s="26">
        <f>IF($A2897="","",SUMPRODUCT(--ISNUMBER(SEARCH('Category Dictionary'!$D$5:$D$135&amp;"",$C2897)),--('Category Dictionary'!$D$5:$D$135&lt;&gt;"")))</f>
        <v/>
      </c>
      <c r="L2897" s="27">
        <f>IF($A2897="","",TRIM(IF(ISERROR(FIND(",",$C2897)),$C2897,LEFT($C2897,FIND(",",$C2897)-1))))</f>
        <v/>
      </c>
      <c r="M2897" s="28">
        <f>IF($H2897="","",DATE(YEAR($H2897),MONTH($H2897),1))</f>
        <v/>
      </c>
      <c r="N2897" s="26">
        <f>IF($H2897="","",TODAY()-$H2897)</f>
        <v/>
      </c>
      <c r="O2897" s="15" t="n"/>
      <c r="P2897" s="15" t="n"/>
      <c r="Q2897" s="15" t="n"/>
      <c r="R2897" s="25" t="n"/>
      <c r="S2897" s="26">
        <f>IF($A2897="","",AND(OR('Assignment Builder'!$B$5="",$B2897='Assignment Builder'!$B$5),OR('Assignment Builder'!$B$6="",ISNUMBER(SEARCH('Assignment Builder'!$B$6,$C2897))),OR('Assignment Builder'!$B$7="",'Assignment Builder'!$B$7=IFERROR(INDEX('Category Dictionary'!$C$5:$C$135,MATCH($L2897,'Category Dictionary'!$D$5:$D$135,0)),"")),OR('Assignment Builder'!$B$8="",$D2897='Assignment Builder'!$B$8),OR('Assignment Builder'!$B$9="",$F2897='Assignment Builder'!$B$9),OR('Assignment Builder'!$B$10="",$O2897='Assignment Builder'!$B$10),OR('Assignment Builder'!$B$11="",$H2897&gt;='Assignment Builder'!$B$11),OR('Assignment Builder'!$B$12="",N($Q2897)&lt;='Assignment Builder'!$B$12)))</f>
        <v/>
      </c>
      <c r="T2897" s="23" t="n"/>
    </row>
    <row r="2898">
      <c r="A2898" s="23" t="n"/>
      <c r="B2898" s="23" t="n"/>
      <c r="C2898" s="24" t="n"/>
      <c r="D2898" s="15" t="n"/>
      <c r="E2898" s="23" t="n"/>
      <c r="F2898" s="15" t="n"/>
      <c r="G2898" s="23" t="n"/>
      <c r="H2898" s="25" t="n"/>
      <c r="I2898" s="15" t="n"/>
      <c r="J2898" s="26">
        <f>IF($A2898="","",LEN($C2898)-LEN(SUBSTITUTE($C2898,",",""))+1)</f>
        <v/>
      </c>
      <c r="K2898" s="26">
        <f>IF($A2898="","",SUMPRODUCT(--ISNUMBER(SEARCH('Category Dictionary'!$D$5:$D$135&amp;"",$C2898)),--('Category Dictionary'!$D$5:$D$135&lt;&gt;"")))</f>
        <v/>
      </c>
      <c r="L2898" s="27">
        <f>IF($A2898="","",TRIM(IF(ISERROR(FIND(",",$C2898)),$C2898,LEFT($C2898,FIND(",",$C2898)-1))))</f>
        <v/>
      </c>
      <c r="M2898" s="28">
        <f>IF($H2898="","",DATE(YEAR($H2898),MONTH($H2898),1))</f>
        <v/>
      </c>
      <c r="N2898" s="26">
        <f>IF($H2898="","",TODAY()-$H2898)</f>
        <v/>
      </c>
      <c r="O2898" s="15" t="n"/>
      <c r="P2898" s="15" t="n"/>
      <c r="Q2898" s="15" t="n"/>
      <c r="R2898" s="25" t="n"/>
      <c r="S2898" s="26">
        <f>IF($A2898="","",AND(OR('Assignment Builder'!$B$5="",$B2898='Assignment Builder'!$B$5),OR('Assignment Builder'!$B$6="",ISNUMBER(SEARCH('Assignment Builder'!$B$6,$C2898))),OR('Assignment Builder'!$B$7="",'Assignment Builder'!$B$7=IFERROR(INDEX('Category Dictionary'!$C$5:$C$135,MATCH($L2898,'Category Dictionary'!$D$5:$D$135,0)),"")),OR('Assignment Builder'!$B$8="",$D2898='Assignment Builder'!$B$8),OR('Assignment Builder'!$B$9="",$F2898='Assignment Builder'!$B$9),OR('Assignment Builder'!$B$10="",$O2898='Assignment Builder'!$B$10),OR('Assignment Builder'!$B$11="",$H2898&gt;='Assignment Builder'!$B$11),OR('Assignment Builder'!$B$12="",N($Q2898)&lt;='Assignment Builder'!$B$12)))</f>
        <v/>
      </c>
      <c r="T2898" s="23" t="n"/>
    </row>
    <row r="2899">
      <c r="A2899" s="23" t="n"/>
      <c r="B2899" s="23" t="n"/>
      <c r="C2899" s="24" t="n"/>
      <c r="D2899" s="15" t="n"/>
      <c r="E2899" s="23" t="n"/>
      <c r="F2899" s="15" t="n"/>
      <c r="G2899" s="23" t="n"/>
      <c r="H2899" s="25" t="n"/>
      <c r="I2899" s="15" t="n"/>
      <c r="J2899" s="26">
        <f>IF($A2899="","",LEN($C2899)-LEN(SUBSTITUTE($C2899,",",""))+1)</f>
        <v/>
      </c>
      <c r="K2899" s="26">
        <f>IF($A2899="","",SUMPRODUCT(--ISNUMBER(SEARCH('Category Dictionary'!$D$5:$D$135&amp;"",$C2899)),--('Category Dictionary'!$D$5:$D$135&lt;&gt;"")))</f>
        <v/>
      </c>
      <c r="L2899" s="27">
        <f>IF($A2899="","",TRIM(IF(ISERROR(FIND(",",$C2899)),$C2899,LEFT($C2899,FIND(",",$C2899)-1))))</f>
        <v/>
      </c>
      <c r="M2899" s="28">
        <f>IF($H2899="","",DATE(YEAR($H2899),MONTH($H2899),1))</f>
        <v/>
      </c>
      <c r="N2899" s="26">
        <f>IF($H2899="","",TODAY()-$H2899)</f>
        <v/>
      </c>
      <c r="O2899" s="15" t="n"/>
      <c r="P2899" s="15" t="n"/>
      <c r="Q2899" s="15" t="n"/>
      <c r="R2899" s="25" t="n"/>
      <c r="S2899" s="26">
        <f>IF($A2899="","",AND(OR('Assignment Builder'!$B$5="",$B2899='Assignment Builder'!$B$5),OR('Assignment Builder'!$B$6="",ISNUMBER(SEARCH('Assignment Builder'!$B$6,$C2899))),OR('Assignment Builder'!$B$7="",'Assignment Builder'!$B$7=IFERROR(INDEX('Category Dictionary'!$C$5:$C$135,MATCH($L2899,'Category Dictionary'!$D$5:$D$135,0)),"")),OR('Assignment Builder'!$B$8="",$D2899='Assignment Builder'!$B$8),OR('Assignment Builder'!$B$9="",$F2899='Assignment Builder'!$B$9),OR('Assignment Builder'!$B$10="",$O2899='Assignment Builder'!$B$10),OR('Assignment Builder'!$B$11="",$H2899&gt;='Assignment Builder'!$B$11),OR('Assignment Builder'!$B$12="",N($Q2899)&lt;='Assignment Builder'!$B$12)))</f>
        <v/>
      </c>
      <c r="T2899" s="23" t="n"/>
    </row>
    <row r="2900">
      <c r="A2900" s="23" t="n"/>
      <c r="B2900" s="23" t="n"/>
      <c r="C2900" s="24" t="n"/>
      <c r="D2900" s="15" t="n"/>
      <c r="E2900" s="23" t="n"/>
      <c r="F2900" s="15" t="n"/>
      <c r="G2900" s="23" t="n"/>
      <c r="H2900" s="25" t="n"/>
      <c r="I2900" s="15" t="n"/>
      <c r="J2900" s="26">
        <f>IF($A2900="","",LEN($C2900)-LEN(SUBSTITUTE($C2900,",",""))+1)</f>
        <v/>
      </c>
      <c r="K2900" s="26">
        <f>IF($A2900="","",SUMPRODUCT(--ISNUMBER(SEARCH('Category Dictionary'!$D$5:$D$135&amp;"",$C2900)),--('Category Dictionary'!$D$5:$D$135&lt;&gt;"")))</f>
        <v/>
      </c>
      <c r="L2900" s="27">
        <f>IF($A2900="","",TRIM(IF(ISERROR(FIND(",",$C2900)),$C2900,LEFT($C2900,FIND(",",$C2900)-1))))</f>
        <v/>
      </c>
      <c r="M2900" s="28">
        <f>IF($H2900="","",DATE(YEAR($H2900),MONTH($H2900),1))</f>
        <v/>
      </c>
      <c r="N2900" s="26">
        <f>IF($H2900="","",TODAY()-$H2900)</f>
        <v/>
      </c>
      <c r="O2900" s="15" t="n"/>
      <c r="P2900" s="15" t="n"/>
      <c r="Q2900" s="15" t="n"/>
      <c r="R2900" s="25" t="n"/>
      <c r="S2900" s="26">
        <f>IF($A2900="","",AND(OR('Assignment Builder'!$B$5="",$B2900='Assignment Builder'!$B$5),OR('Assignment Builder'!$B$6="",ISNUMBER(SEARCH('Assignment Builder'!$B$6,$C2900))),OR('Assignment Builder'!$B$7="",'Assignment Builder'!$B$7=IFERROR(INDEX('Category Dictionary'!$C$5:$C$135,MATCH($L2900,'Category Dictionary'!$D$5:$D$135,0)),"")),OR('Assignment Builder'!$B$8="",$D2900='Assignment Builder'!$B$8),OR('Assignment Builder'!$B$9="",$F2900='Assignment Builder'!$B$9),OR('Assignment Builder'!$B$10="",$O2900='Assignment Builder'!$B$10),OR('Assignment Builder'!$B$11="",$H2900&gt;='Assignment Builder'!$B$11),OR('Assignment Builder'!$B$12="",N($Q2900)&lt;='Assignment Builder'!$B$12)))</f>
        <v/>
      </c>
      <c r="T2900" s="23" t="n"/>
    </row>
    <row r="2901">
      <c r="A2901" s="23" t="n"/>
      <c r="B2901" s="23" t="n"/>
      <c r="C2901" s="24" t="n"/>
      <c r="D2901" s="15" t="n"/>
      <c r="E2901" s="23" t="n"/>
      <c r="F2901" s="15" t="n"/>
      <c r="G2901" s="23" t="n"/>
      <c r="H2901" s="25" t="n"/>
      <c r="I2901" s="15" t="n"/>
      <c r="J2901" s="26">
        <f>IF($A2901="","",LEN($C2901)-LEN(SUBSTITUTE($C2901,",",""))+1)</f>
        <v/>
      </c>
      <c r="K2901" s="26">
        <f>IF($A2901="","",SUMPRODUCT(--ISNUMBER(SEARCH('Category Dictionary'!$D$5:$D$135&amp;"",$C2901)),--('Category Dictionary'!$D$5:$D$135&lt;&gt;"")))</f>
        <v/>
      </c>
      <c r="L2901" s="27">
        <f>IF($A2901="","",TRIM(IF(ISERROR(FIND(",",$C2901)),$C2901,LEFT($C2901,FIND(",",$C2901)-1))))</f>
        <v/>
      </c>
      <c r="M2901" s="28">
        <f>IF($H2901="","",DATE(YEAR($H2901),MONTH($H2901),1))</f>
        <v/>
      </c>
      <c r="N2901" s="26">
        <f>IF($H2901="","",TODAY()-$H2901)</f>
        <v/>
      </c>
      <c r="O2901" s="15" t="n"/>
      <c r="P2901" s="15" t="n"/>
      <c r="Q2901" s="15" t="n"/>
      <c r="R2901" s="25" t="n"/>
      <c r="S2901" s="26">
        <f>IF($A2901="","",AND(OR('Assignment Builder'!$B$5="",$B2901='Assignment Builder'!$B$5),OR('Assignment Builder'!$B$6="",ISNUMBER(SEARCH('Assignment Builder'!$B$6,$C2901))),OR('Assignment Builder'!$B$7="",'Assignment Builder'!$B$7=IFERROR(INDEX('Category Dictionary'!$C$5:$C$135,MATCH($L2901,'Category Dictionary'!$D$5:$D$135,0)),"")),OR('Assignment Builder'!$B$8="",$D2901='Assignment Builder'!$B$8),OR('Assignment Builder'!$B$9="",$F2901='Assignment Builder'!$B$9),OR('Assignment Builder'!$B$10="",$O2901='Assignment Builder'!$B$10),OR('Assignment Builder'!$B$11="",$H2901&gt;='Assignment Builder'!$B$11),OR('Assignment Builder'!$B$12="",N($Q2901)&lt;='Assignment Builder'!$B$12)))</f>
        <v/>
      </c>
      <c r="T2901" s="23" t="n"/>
    </row>
    <row r="2902">
      <c r="A2902" s="23" t="n"/>
      <c r="B2902" s="23" t="n"/>
      <c r="C2902" s="24" t="n"/>
      <c r="D2902" s="15" t="n"/>
      <c r="E2902" s="23" t="n"/>
      <c r="F2902" s="15" t="n"/>
      <c r="G2902" s="23" t="n"/>
      <c r="H2902" s="25" t="n"/>
      <c r="I2902" s="15" t="n"/>
      <c r="J2902" s="26">
        <f>IF($A2902="","",LEN($C2902)-LEN(SUBSTITUTE($C2902,",",""))+1)</f>
        <v/>
      </c>
      <c r="K2902" s="26">
        <f>IF($A2902="","",SUMPRODUCT(--ISNUMBER(SEARCH('Category Dictionary'!$D$5:$D$135&amp;"",$C2902)),--('Category Dictionary'!$D$5:$D$135&lt;&gt;"")))</f>
        <v/>
      </c>
      <c r="L2902" s="27">
        <f>IF($A2902="","",TRIM(IF(ISERROR(FIND(",",$C2902)),$C2902,LEFT($C2902,FIND(",",$C2902)-1))))</f>
        <v/>
      </c>
      <c r="M2902" s="28">
        <f>IF($H2902="","",DATE(YEAR($H2902),MONTH($H2902),1))</f>
        <v/>
      </c>
      <c r="N2902" s="26">
        <f>IF($H2902="","",TODAY()-$H2902)</f>
        <v/>
      </c>
      <c r="O2902" s="15" t="n"/>
      <c r="P2902" s="15" t="n"/>
      <c r="Q2902" s="15" t="n"/>
      <c r="R2902" s="25" t="n"/>
      <c r="S2902" s="26">
        <f>IF($A2902="","",AND(OR('Assignment Builder'!$B$5="",$B2902='Assignment Builder'!$B$5),OR('Assignment Builder'!$B$6="",ISNUMBER(SEARCH('Assignment Builder'!$B$6,$C2902))),OR('Assignment Builder'!$B$7="",'Assignment Builder'!$B$7=IFERROR(INDEX('Category Dictionary'!$C$5:$C$135,MATCH($L2902,'Category Dictionary'!$D$5:$D$135,0)),"")),OR('Assignment Builder'!$B$8="",$D2902='Assignment Builder'!$B$8),OR('Assignment Builder'!$B$9="",$F2902='Assignment Builder'!$B$9),OR('Assignment Builder'!$B$10="",$O2902='Assignment Builder'!$B$10),OR('Assignment Builder'!$B$11="",$H2902&gt;='Assignment Builder'!$B$11),OR('Assignment Builder'!$B$12="",N($Q2902)&lt;='Assignment Builder'!$B$12)))</f>
        <v/>
      </c>
      <c r="T2902" s="23" t="n"/>
    </row>
    <row r="2903">
      <c r="A2903" s="23" t="n"/>
      <c r="B2903" s="23" t="n"/>
      <c r="C2903" s="24" t="n"/>
      <c r="D2903" s="15" t="n"/>
      <c r="E2903" s="23" t="n"/>
      <c r="F2903" s="15" t="n"/>
      <c r="G2903" s="23" t="n"/>
      <c r="H2903" s="25" t="n"/>
      <c r="I2903" s="15" t="n"/>
      <c r="J2903" s="26">
        <f>IF($A2903="","",LEN($C2903)-LEN(SUBSTITUTE($C2903,",",""))+1)</f>
        <v/>
      </c>
      <c r="K2903" s="26">
        <f>IF($A2903="","",SUMPRODUCT(--ISNUMBER(SEARCH('Category Dictionary'!$D$5:$D$135&amp;"",$C2903)),--('Category Dictionary'!$D$5:$D$135&lt;&gt;"")))</f>
        <v/>
      </c>
      <c r="L2903" s="27">
        <f>IF($A2903="","",TRIM(IF(ISERROR(FIND(",",$C2903)),$C2903,LEFT($C2903,FIND(",",$C2903)-1))))</f>
        <v/>
      </c>
      <c r="M2903" s="28">
        <f>IF($H2903="","",DATE(YEAR($H2903),MONTH($H2903),1))</f>
        <v/>
      </c>
      <c r="N2903" s="26">
        <f>IF($H2903="","",TODAY()-$H2903)</f>
        <v/>
      </c>
      <c r="O2903" s="15" t="n"/>
      <c r="P2903" s="15" t="n"/>
      <c r="Q2903" s="15" t="n"/>
      <c r="R2903" s="25" t="n"/>
      <c r="S2903" s="26">
        <f>IF($A2903="","",AND(OR('Assignment Builder'!$B$5="",$B2903='Assignment Builder'!$B$5),OR('Assignment Builder'!$B$6="",ISNUMBER(SEARCH('Assignment Builder'!$B$6,$C2903))),OR('Assignment Builder'!$B$7="",'Assignment Builder'!$B$7=IFERROR(INDEX('Category Dictionary'!$C$5:$C$135,MATCH($L2903,'Category Dictionary'!$D$5:$D$135,0)),"")),OR('Assignment Builder'!$B$8="",$D2903='Assignment Builder'!$B$8),OR('Assignment Builder'!$B$9="",$F2903='Assignment Builder'!$B$9),OR('Assignment Builder'!$B$10="",$O2903='Assignment Builder'!$B$10),OR('Assignment Builder'!$B$11="",$H2903&gt;='Assignment Builder'!$B$11),OR('Assignment Builder'!$B$12="",N($Q2903)&lt;='Assignment Builder'!$B$12)))</f>
        <v/>
      </c>
      <c r="T2903" s="23" t="n"/>
    </row>
    <row r="2904">
      <c r="A2904" s="23" t="n"/>
      <c r="B2904" s="23" t="n"/>
      <c r="C2904" s="24" t="n"/>
      <c r="D2904" s="15" t="n"/>
      <c r="E2904" s="23" t="n"/>
      <c r="F2904" s="15" t="n"/>
      <c r="G2904" s="23" t="n"/>
      <c r="H2904" s="25" t="n"/>
      <c r="I2904" s="15" t="n"/>
      <c r="J2904" s="26">
        <f>IF($A2904="","",LEN($C2904)-LEN(SUBSTITUTE($C2904,",",""))+1)</f>
        <v/>
      </c>
      <c r="K2904" s="26">
        <f>IF($A2904="","",SUMPRODUCT(--ISNUMBER(SEARCH('Category Dictionary'!$D$5:$D$135&amp;"",$C2904)),--('Category Dictionary'!$D$5:$D$135&lt;&gt;"")))</f>
        <v/>
      </c>
      <c r="L2904" s="27">
        <f>IF($A2904="","",TRIM(IF(ISERROR(FIND(",",$C2904)),$C2904,LEFT($C2904,FIND(",",$C2904)-1))))</f>
        <v/>
      </c>
      <c r="M2904" s="28">
        <f>IF($H2904="","",DATE(YEAR($H2904),MONTH($H2904),1))</f>
        <v/>
      </c>
      <c r="N2904" s="26">
        <f>IF($H2904="","",TODAY()-$H2904)</f>
        <v/>
      </c>
      <c r="O2904" s="15" t="n"/>
      <c r="P2904" s="15" t="n"/>
      <c r="Q2904" s="15" t="n"/>
      <c r="R2904" s="25" t="n"/>
      <c r="S2904" s="26">
        <f>IF($A2904="","",AND(OR('Assignment Builder'!$B$5="",$B2904='Assignment Builder'!$B$5),OR('Assignment Builder'!$B$6="",ISNUMBER(SEARCH('Assignment Builder'!$B$6,$C2904))),OR('Assignment Builder'!$B$7="",'Assignment Builder'!$B$7=IFERROR(INDEX('Category Dictionary'!$C$5:$C$135,MATCH($L2904,'Category Dictionary'!$D$5:$D$135,0)),"")),OR('Assignment Builder'!$B$8="",$D2904='Assignment Builder'!$B$8),OR('Assignment Builder'!$B$9="",$F2904='Assignment Builder'!$B$9),OR('Assignment Builder'!$B$10="",$O2904='Assignment Builder'!$B$10),OR('Assignment Builder'!$B$11="",$H2904&gt;='Assignment Builder'!$B$11),OR('Assignment Builder'!$B$12="",N($Q2904)&lt;='Assignment Builder'!$B$12)))</f>
        <v/>
      </c>
      <c r="T2904" s="23" t="n"/>
    </row>
    <row r="2905">
      <c r="A2905" s="23" t="n"/>
      <c r="B2905" s="23" t="n"/>
      <c r="C2905" s="24" t="n"/>
      <c r="D2905" s="15" t="n"/>
      <c r="E2905" s="23" t="n"/>
      <c r="F2905" s="15" t="n"/>
      <c r="G2905" s="23" t="n"/>
      <c r="H2905" s="25" t="n"/>
      <c r="I2905" s="15" t="n"/>
      <c r="J2905" s="26">
        <f>IF($A2905="","",LEN($C2905)-LEN(SUBSTITUTE($C2905,",",""))+1)</f>
        <v/>
      </c>
      <c r="K2905" s="26">
        <f>IF($A2905="","",SUMPRODUCT(--ISNUMBER(SEARCH('Category Dictionary'!$D$5:$D$135&amp;"",$C2905)),--('Category Dictionary'!$D$5:$D$135&lt;&gt;"")))</f>
        <v/>
      </c>
      <c r="L2905" s="27">
        <f>IF($A2905="","",TRIM(IF(ISERROR(FIND(",",$C2905)),$C2905,LEFT($C2905,FIND(",",$C2905)-1))))</f>
        <v/>
      </c>
      <c r="M2905" s="28">
        <f>IF($H2905="","",DATE(YEAR($H2905),MONTH($H2905),1))</f>
        <v/>
      </c>
      <c r="N2905" s="26">
        <f>IF($H2905="","",TODAY()-$H2905)</f>
        <v/>
      </c>
      <c r="O2905" s="15" t="n"/>
      <c r="P2905" s="15" t="n"/>
      <c r="Q2905" s="15" t="n"/>
      <c r="R2905" s="25" t="n"/>
      <c r="S2905" s="26">
        <f>IF($A2905="","",AND(OR('Assignment Builder'!$B$5="",$B2905='Assignment Builder'!$B$5),OR('Assignment Builder'!$B$6="",ISNUMBER(SEARCH('Assignment Builder'!$B$6,$C2905))),OR('Assignment Builder'!$B$7="",'Assignment Builder'!$B$7=IFERROR(INDEX('Category Dictionary'!$C$5:$C$135,MATCH($L2905,'Category Dictionary'!$D$5:$D$135,0)),"")),OR('Assignment Builder'!$B$8="",$D2905='Assignment Builder'!$B$8),OR('Assignment Builder'!$B$9="",$F2905='Assignment Builder'!$B$9),OR('Assignment Builder'!$B$10="",$O2905='Assignment Builder'!$B$10),OR('Assignment Builder'!$B$11="",$H2905&gt;='Assignment Builder'!$B$11),OR('Assignment Builder'!$B$12="",N($Q2905)&lt;='Assignment Builder'!$B$12)))</f>
        <v/>
      </c>
      <c r="T2905" s="23" t="n"/>
    </row>
    <row r="2906">
      <c r="A2906" s="23" t="n"/>
      <c r="B2906" s="23" t="n"/>
      <c r="C2906" s="24" t="n"/>
      <c r="D2906" s="15" t="n"/>
      <c r="E2906" s="23" t="n"/>
      <c r="F2906" s="15" t="n"/>
      <c r="G2906" s="23" t="n"/>
      <c r="H2906" s="25" t="n"/>
      <c r="I2906" s="15" t="n"/>
      <c r="J2906" s="26">
        <f>IF($A2906="","",LEN($C2906)-LEN(SUBSTITUTE($C2906,",",""))+1)</f>
        <v/>
      </c>
      <c r="K2906" s="26">
        <f>IF($A2906="","",SUMPRODUCT(--ISNUMBER(SEARCH('Category Dictionary'!$D$5:$D$135&amp;"",$C2906)),--('Category Dictionary'!$D$5:$D$135&lt;&gt;"")))</f>
        <v/>
      </c>
      <c r="L2906" s="27">
        <f>IF($A2906="","",TRIM(IF(ISERROR(FIND(",",$C2906)),$C2906,LEFT($C2906,FIND(",",$C2906)-1))))</f>
        <v/>
      </c>
      <c r="M2906" s="28">
        <f>IF($H2906="","",DATE(YEAR($H2906),MONTH($H2906),1))</f>
        <v/>
      </c>
      <c r="N2906" s="26">
        <f>IF($H2906="","",TODAY()-$H2906)</f>
        <v/>
      </c>
      <c r="O2906" s="15" t="n"/>
      <c r="P2906" s="15" t="n"/>
      <c r="Q2906" s="15" t="n"/>
      <c r="R2906" s="25" t="n"/>
      <c r="S2906" s="26">
        <f>IF($A2906="","",AND(OR('Assignment Builder'!$B$5="",$B2906='Assignment Builder'!$B$5),OR('Assignment Builder'!$B$6="",ISNUMBER(SEARCH('Assignment Builder'!$B$6,$C2906))),OR('Assignment Builder'!$B$7="",'Assignment Builder'!$B$7=IFERROR(INDEX('Category Dictionary'!$C$5:$C$135,MATCH($L2906,'Category Dictionary'!$D$5:$D$135,0)),"")),OR('Assignment Builder'!$B$8="",$D2906='Assignment Builder'!$B$8),OR('Assignment Builder'!$B$9="",$F2906='Assignment Builder'!$B$9),OR('Assignment Builder'!$B$10="",$O2906='Assignment Builder'!$B$10),OR('Assignment Builder'!$B$11="",$H2906&gt;='Assignment Builder'!$B$11),OR('Assignment Builder'!$B$12="",N($Q2906)&lt;='Assignment Builder'!$B$12)))</f>
        <v/>
      </c>
      <c r="T2906" s="23" t="n"/>
    </row>
    <row r="2907">
      <c r="A2907" s="23" t="n"/>
      <c r="B2907" s="23" t="n"/>
      <c r="C2907" s="24" t="n"/>
      <c r="D2907" s="15" t="n"/>
      <c r="E2907" s="23" t="n"/>
      <c r="F2907" s="15" t="n"/>
      <c r="G2907" s="23" t="n"/>
      <c r="H2907" s="25" t="n"/>
      <c r="I2907" s="15" t="n"/>
      <c r="J2907" s="26">
        <f>IF($A2907="","",LEN($C2907)-LEN(SUBSTITUTE($C2907,",",""))+1)</f>
        <v/>
      </c>
      <c r="K2907" s="26">
        <f>IF($A2907="","",SUMPRODUCT(--ISNUMBER(SEARCH('Category Dictionary'!$D$5:$D$135&amp;"",$C2907)),--('Category Dictionary'!$D$5:$D$135&lt;&gt;"")))</f>
        <v/>
      </c>
      <c r="L2907" s="27">
        <f>IF($A2907="","",TRIM(IF(ISERROR(FIND(",",$C2907)),$C2907,LEFT($C2907,FIND(",",$C2907)-1))))</f>
        <v/>
      </c>
      <c r="M2907" s="28">
        <f>IF($H2907="","",DATE(YEAR($H2907),MONTH($H2907),1))</f>
        <v/>
      </c>
      <c r="N2907" s="26">
        <f>IF($H2907="","",TODAY()-$H2907)</f>
        <v/>
      </c>
      <c r="O2907" s="15" t="n"/>
      <c r="P2907" s="15" t="n"/>
      <c r="Q2907" s="15" t="n"/>
      <c r="R2907" s="25" t="n"/>
      <c r="S2907" s="26">
        <f>IF($A2907="","",AND(OR('Assignment Builder'!$B$5="",$B2907='Assignment Builder'!$B$5),OR('Assignment Builder'!$B$6="",ISNUMBER(SEARCH('Assignment Builder'!$B$6,$C2907))),OR('Assignment Builder'!$B$7="",'Assignment Builder'!$B$7=IFERROR(INDEX('Category Dictionary'!$C$5:$C$135,MATCH($L2907,'Category Dictionary'!$D$5:$D$135,0)),"")),OR('Assignment Builder'!$B$8="",$D2907='Assignment Builder'!$B$8),OR('Assignment Builder'!$B$9="",$F2907='Assignment Builder'!$B$9),OR('Assignment Builder'!$B$10="",$O2907='Assignment Builder'!$B$10),OR('Assignment Builder'!$B$11="",$H2907&gt;='Assignment Builder'!$B$11),OR('Assignment Builder'!$B$12="",N($Q2907)&lt;='Assignment Builder'!$B$12)))</f>
        <v/>
      </c>
      <c r="T2907" s="23" t="n"/>
    </row>
    <row r="2908">
      <c r="A2908" s="23" t="n"/>
      <c r="B2908" s="23" t="n"/>
      <c r="C2908" s="24" t="n"/>
      <c r="D2908" s="15" t="n"/>
      <c r="E2908" s="23" t="n"/>
      <c r="F2908" s="15" t="n"/>
      <c r="G2908" s="23" t="n"/>
      <c r="H2908" s="25" t="n"/>
      <c r="I2908" s="15" t="n"/>
      <c r="J2908" s="26">
        <f>IF($A2908="","",LEN($C2908)-LEN(SUBSTITUTE($C2908,",",""))+1)</f>
        <v/>
      </c>
      <c r="K2908" s="26">
        <f>IF($A2908="","",SUMPRODUCT(--ISNUMBER(SEARCH('Category Dictionary'!$D$5:$D$135&amp;"",$C2908)),--('Category Dictionary'!$D$5:$D$135&lt;&gt;"")))</f>
        <v/>
      </c>
      <c r="L2908" s="27">
        <f>IF($A2908="","",TRIM(IF(ISERROR(FIND(",",$C2908)),$C2908,LEFT($C2908,FIND(",",$C2908)-1))))</f>
        <v/>
      </c>
      <c r="M2908" s="28">
        <f>IF($H2908="","",DATE(YEAR($H2908),MONTH($H2908),1))</f>
        <v/>
      </c>
      <c r="N2908" s="26">
        <f>IF($H2908="","",TODAY()-$H2908)</f>
        <v/>
      </c>
      <c r="O2908" s="15" t="n"/>
      <c r="P2908" s="15" t="n"/>
      <c r="Q2908" s="15" t="n"/>
      <c r="R2908" s="25" t="n"/>
      <c r="S2908" s="26">
        <f>IF($A2908="","",AND(OR('Assignment Builder'!$B$5="",$B2908='Assignment Builder'!$B$5),OR('Assignment Builder'!$B$6="",ISNUMBER(SEARCH('Assignment Builder'!$B$6,$C2908))),OR('Assignment Builder'!$B$7="",'Assignment Builder'!$B$7=IFERROR(INDEX('Category Dictionary'!$C$5:$C$135,MATCH($L2908,'Category Dictionary'!$D$5:$D$135,0)),"")),OR('Assignment Builder'!$B$8="",$D2908='Assignment Builder'!$B$8),OR('Assignment Builder'!$B$9="",$F2908='Assignment Builder'!$B$9),OR('Assignment Builder'!$B$10="",$O2908='Assignment Builder'!$B$10),OR('Assignment Builder'!$B$11="",$H2908&gt;='Assignment Builder'!$B$11),OR('Assignment Builder'!$B$12="",N($Q2908)&lt;='Assignment Builder'!$B$12)))</f>
        <v/>
      </c>
      <c r="T2908" s="23" t="n"/>
    </row>
    <row r="2909">
      <c r="A2909" s="23" t="n"/>
      <c r="B2909" s="23" t="n"/>
      <c r="C2909" s="24" t="n"/>
      <c r="D2909" s="15" t="n"/>
      <c r="E2909" s="23" t="n"/>
      <c r="F2909" s="15" t="n"/>
      <c r="G2909" s="23" t="n"/>
      <c r="H2909" s="25" t="n"/>
      <c r="I2909" s="15" t="n"/>
      <c r="J2909" s="26">
        <f>IF($A2909="","",LEN($C2909)-LEN(SUBSTITUTE($C2909,",",""))+1)</f>
        <v/>
      </c>
      <c r="K2909" s="26">
        <f>IF($A2909="","",SUMPRODUCT(--ISNUMBER(SEARCH('Category Dictionary'!$D$5:$D$135&amp;"",$C2909)),--('Category Dictionary'!$D$5:$D$135&lt;&gt;"")))</f>
        <v/>
      </c>
      <c r="L2909" s="27">
        <f>IF($A2909="","",TRIM(IF(ISERROR(FIND(",",$C2909)),$C2909,LEFT($C2909,FIND(",",$C2909)-1))))</f>
        <v/>
      </c>
      <c r="M2909" s="28">
        <f>IF($H2909="","",DATE(YEAR($H2909),MONTH($H2909),1))</f>
        <v/>
      </c>
      <c r="N2909" s="26">
        <f>IF($H2909="","",TODAY()-$H2909)</f>
        <v/>
      </c>
      <c r="O2909" s="15" t="n"/>
      <c r="P2909" s="15" t="n"/>
      <c r="Q2909" s="15" t="n"/>
      <c r="R2909" s="25" t="n"/>
      <c r="S2909" s="26">
        <f>IF($A2909="","",AND(OR('Assignment Builder'!$B$5="",$B2909='Assignment Builder'!$B$5),OR('Assignment Builder'!$B$6="",ISNUMBER(SEARCH('Assignment Builder'!$B$6,$C2909))),OR('Assignment Builder'!$B$7="",'Assignment Builder'!$B$7=IFERROR(INDEX('Category Dictionary'!$C$5:$C$135,MATCH($L2909,'Category Dictionary'!$D$5:$D$135,0)),"")),OR('Assignment Builder'!$B$8="",$D2909='Assignment Builder'!$B$8),OR('Assignment Builder'!$B$9="",$F2909='Assignment Builder'!$B$9),OR('Assignment Builder'!$B$10="",$O2909='Assignment Builder'!$B$10),OR('Assignment Builder'!$B$11="",$H2909&gt;='Assignment Builder'!$B$11),OR('Assignment Builder'!$B$12="",N($Q2909)&lt;='Assignment Builder'!$B$12)))</f>
        <v/>
      </c>
      <c r="T2909" s="23" t="n"/>
    </row>
    <row r="2910">
      <c r="A2910" s="23" t="n"/>
      <c r="B2910" s="23" t="n"/>
      <c r="C2910" s="24" t="n"/>
      <c r="D2910" s="15" t="n"/>
      <c r="E2910" s="23" t="n"/>
      <c r="F2910" s="15" t="n"/>
      <c r="G2910" s="23" t="n"/>
      <c r="H2910" s="25" t="n"/>
      <c r="I2910" s="15" t="n"/>
      <c r="J2910" s="26">
        <f>IF($A2910="","",LEN($C2910)-LEN(SUBSTITUTE($C2910,",",""))+1)</f>
        <v/>
      </c>
      <c r="K2910" s="26">
        <f>IF($A2910="","",SUMPRODUCT(--ISNUMBER(SEARCH('Category Dictionary'!$D$5:$D$135&amp;"",$C2910)),--('Category Dictionary'!$D$5:$D$135&lt;&gt;"")))</f>
        <v/>
      </c>
      <c r="L2910" s="27">
        <f>IF($A2910="","",TRIM(IF(ISERROR(FIND(",",$C2910)),$C2910,LEFT($C2910,FIND(",",$C2910)-1))))</f>
        <v/>
      </c>
      <c r="M2910" s="28">
        <f>IF($H2910="","",DATE(YEAR($H2910),MONTH($H2910),1))</f>
        <v/>
      </c>
      <c r="N2910" s="26">
        <f>IF($H2910="","",TODAY()-$H2910)</f>
        <v/>
      </c>
      <c r="O2910" s="15" t="n"/>
      <c r="P2910" s="15" t="n"/>
      <c r="Q2910" s="15" t="n"/>
      <c r="R2910" s="25" t="n"/>
      <c r="S2910" s="26">
        <f>IF($A2910="","",AND(OR('Assignment Builder'!$B$5="",$B2910='Assignment Builder'!$B$5),OR('Assignment Builder'!$B$6="",ISNUMBER(SEARCH('Assignment Builder'!$B$6,$C2910))),OR('Assignment Builder'!$B$7="",'Assignment Builder'!$B$7=IFERROR(INDEX('Category Dictionary'!$C$5:$C$135,MATCH($L2910,'Category Dictionary'!$D$5:$D$135,0)),"")),OR('Assignment Builder'!$B$8="",$D2910='Assignment Builder'!$B$8),OR('Assignment Builder'!$B$9="",$F2910='Assignment Builder'!$B$9),OR('Assignment Builder'!$B$10="",$O2910='Assignment Builder'!$B$10),OR('Assignment Builder'!$B$11="",$H2910&gt;='Assignment Builder'!$B$11),OR('Assignment Builder'!$B$12="",N($Q2910)&lt;='Assignment Builder'!$B$12)))</f>
        <v/>
      </c>
      <c r="T2910" s="23" t="n"/>
    </row>
    <row r="2911">
      <c r="A2911" s="23" t="n"/>
      <c r="B2911" s="23" t="n"/>
      <c r="C2911" s="24" t="n"/>
      <c r="D2911" s="15" t="n"/>
      <c r="E2911" s="23" t="n"/>
      <c r="F2911" s="15" t="n"/>
      <c r="G2911" s="23" t="n"/>
      <c r="H2911" s="25" t="n"/>
      <c r="I2911" s="15" t="n"/>
      <c r="J2911" s="26">
        <f>IF($A2911="","",LEN($C2911)-LEN(SUBSTITUTE($C2911,",",""))+1)</f>
        <v/>
      </c>
      <c r="K2911" s="26">
        <f>IF($A2911="","",SUMPRODUCT(--ISNUMBER(SEARCH('Category Dictionary'!$D$5:$D$135&amp;"",$C2911)),--('Category Dictionary'!$D$5:$D$135&lt;&gt;"")))</f>
        <v/>
      </c>
      <c r="L2911" s="27">
        <f>IF($A2911="","",TRIM(IF(ISERROR(FIND(",",$C2911)),$C2911,LEFT($C2911,FIND(",",$C2911)-1))))</f>
        <v/>
      </c>
      <c r="M2911" s="28">
        <f>IF($H2911="","",DATE(YEAR($H2911),MONTH($H2911),1))</f>
        <v/>
      </c>
      <c r="N2911" s="26">
        <f>IF($H2911="","",TODAY()-$H2911)</f>
        <v/>
      </c>
      <c r="O2911" s="15" t="n"/>
      <c r="P2911" s="15" t="n"/>
      <c r="Q2911" s="15" t="n"/>
      <c r="R2911" s="25" t="n"/>
      <c r="S2911" s="26">
        <f>IF($A2911="","",AND(OR('Assignment Builder'!$B$5="",$B2911='Assignment Builder'!$B$5),OR('Assignment Builder'!$B$6="",ISNUMBER(SEARCH('Assignment Builder'!$B$6,$C2911))),OR('Assignment Builder'!$B$7="",'Assignment Builder'!$B$7=IFERROR(INDEX('Category Dictionary'!$C$5:$C$135,MATCH($L2911,'Category Dictionary'!$D$5:$D$135,0)),"")),OR('Assignment Builder'!$B$8="",$D2911='Assignment Builder'!$B$8),OR('Assignment Builder'!$B$9="",$F2911='Assignment Builder'!$B$9),OR('Assignment Builder'!$B$10="",$O2911='Assignment Builder'!$B$10),OR('Assignment Builder'!$B$11="",$H2911&gt;='Assignment Builder'!$B$11),OR('Assignment Builder'!$B$12="",N($Q2911)&lt;='Assignment Builder'!$B$12)))</f>
        <v/>
      </c>
      <c r="T2911" s="23" t="n"/>
    </row>
    <row r="2912">
      <c r="A2912" s="23" t="n"/>
      <c r="B2912" s="23" t="n"/>
      <c r="C2912" s="24" t="n"/>
      <c r="D2912" s="15" t="n"/>
      <c r="E2912" s="23" t="n"/>
      <c r="F2912" s="15" t="n"/>
      <c r="G2912" s="23" t="n"/>
      <c r="H2912" s="25" t="n"/>
      <c r="I2912" s="15" t="n"/>
      <c r="J2912" s="26">
        <f>IF($A2912="","",LEN($C2912)-LEN(SUBSTITUTE($C2912,",",""))+1)</f>
        <v/>
      </c>
      <c r="K2912" s="26">
        <f>IF($A2912="","",SUMPRODUCT(--ISNUMBER(SEARCH('Category Dictionary'!$D$5:$D$135&amp;"",$C2912)),--('Category Dictionary'!$D$5:$D$135&lt;&gt;"")))</f>
        <v/>
      </c>
      <c r="L2912" s="27">
        <f>IF($A2912="","",TRIM(IF(ISERROR(FIND(",",$C2912)),$C2912,LEFT($C2912,FIND(",",$C2912)-1))))</f>
        <v/>
      </c>
      <c r="M2912" s="28">
        <f>IF($H2912="","",DATE(YEAR($H2912),MONTH($H2912),1))</f>
        <v/>
      </c>
      <c r="N2912" s="26">
        <f>IF($H2912="","",TODAY()-$H2912)</f>
        <v/>
      </c>
      <c r="O2912" s="15" t="n"/>
      <c r="P2912" s="15" t="n"/>
      <c r="Q2912" s="15" t="n"/>
      <c r="R2912" s="25" t="n"/>
      <c r="S2912" s="26">
        <f>IF($A2912="","",AND(OR('Assignment Builder'!$B$5="",$B2912='Assignment Builder'!$B$5),OR('Assignment Builder'!$B$6="",ISNUMBER(SEARCH('Assignment Builder'!$B$6,$C2912))),OR('Assignment Builder'!$B$7="",'Assignment Builder'!$B$7=IFERROR(INDEX('Category Dictionary'!$C$5:$C$135,MATCH($L2912,'Category Dictionary'!$D$5:$D$135,0)),"")),OR('Assignment Builder'!$B$8="",$D2912='Assignment Builder'!$B$8),OR('Assignment Builder'!$B$9="",$F2912='Assignment Builder'!$B$9),OR('Assignment Builder'!$B$10="",$O2912='Assignment Builder'!$B$10),OR('Assignment Builder'!$B$11="",$H2912&gt;='Assignment Builder'!$B$11),OR('Assignment Builder'!$B$12="",N($Q2912)&lt;='Assignment Builder'!$B$12)))</f>
        <v/>
      </c>
      <c r="T2912" s="23" t="n"/>
    </row>
    <row r="2913">
      <c r="A2913" s="23" t="n"/>
      <c r="B2913" s="23" t="n"/>
      <c r="C2913" s="24" t="n"/>
      <c r="D2913" s="15" t="n"/>
      <c r="E2913" s="23" t="n"/>
      <c r="F2913" s="15" t="n"/>
      <c r="G2913" s="23" t="n"/>
      <c r="H2913" s="25" t="n"/>
      <c r="I2913" s="15" t="n"/>
      <c r="J2913" s="26">
        <f>IF($A2913="","",LEN($C2913)-LEN(SUBSTITUTE($C2913,",",""))+1)</f>
        <v/>
      </c>
      <c r="K2913" s="26">
        <f>IF($A2913="","",SUMPRODUCT(--ISNUMBER(SEARCH('Category Dictionary'!$D$5:$D$135&amp;"",$C2913)),--('Category Dictionary'!$D$5:$D$135&lt;&gt;"")))</f>
        <v/>
      </c>
      <c r="L2913" s="27">
        <f>IF($A2913="","",TRIM(IF(ISERROR(FIND(",",$C2913)),$C2913,LEFT($C2913,FIND(",",$C2913)-1))))</f>
        <v/>
      </c>
      <c r="M2913" s="28">
        <f>IF($H2913="","",DATE(YEAR($H2913),MONTH($H2913),1))</f>
        <v/>
      </c>
      <c r="N2913" s="26">
        <f>IF($H2913="","",TODAY()-$H2913)</f>
        <v/>
      </c>
      <c r="O2913" s="15" t="n"/>
      <c r="P2913" s="15" t="n"/>
      <c r="Q2913" s="15" t="n"/>
      <c r="R2913" s="25" t="n"/>
      <c r="S2913" s="26">
        <f>IF($A2913="","",AND(OR('Assignment Builder'!$B$5="",$B2913='Assignment Builder'!$B$5),OR('Assignment Builder'!$B$6="",ISNUMBER(SEARCH('Assignment Builder'!$B$6,$C2913))),OR('Assignment Builder'!$B$7="",'Assignment Builder'!$B$7=IFERROR(INDEX('Category Dictionary'!$C$5:$C$135,MATCH($L2913,'Category Dictionary'!$D$5:$D$135,0)),"")),OR('Assignment Builder'!$B$8="",$D2913='Assignment Builder'!$B$8),OR('Assignment Builder'!$B$9="",$F2913='Assignment Builder'!$B$9),OR('Assignment Builder'!$B$10="",$O2913='Assignment Builder'!$B$10),OR('Assignment Builder'!$B$11="",$H2913&gt;='Assignment Builder'!$B$11),OR('Assignment Builder'!$B$12="",N($Q2913)&lt;='Assignment Builder'!$B$12)))</f>
        <v/>
      </c>
      <c r="T2913" s="23" t="n"/>
    </row>
    <row r="2914">
      <c r="A2914" s="23" t="n"/>
      <c r="B2914" s="23" t="n"/>
      <c r="C2914" s="24" t="n"/>
      <c r="D2914" s="15" t="n"/>
      <c r="E2914" s="23" t="n"/>
      <c r="F2914" s="15" t="n"/>
      <c r="G2914" s="23" t="n"/>
      <c r="H2914" s="25" t="n"/>
      <c r="I2914" s="15" t="n"/>
      <c r="J2914" s="26">
        <f>IF($A2914="","",LEN($C2914)-LEN(SUBSTITUTE($C2914,",",""))+1)</f>
        <v/>
      </c>
      <c r="K2914" s="26">
        <f>IF($A2914="","",SUMPRODUCT(--ISNUMBER(SEARCH('Category Dictionary'!$D$5:$D$135&amp;"",$C2914)),--('Category Dictionary'!$D$5:$D$135&lt;&gt;"")))</f>
        <v/>
      </c>
      <c r="L2914" s="27">
        <f>IF($A2914="","",TRIM(IF(ISERROR(FIND(",",$C2914)),$C2914,LEFT($C2914,FIND(",",$C2914)-1))))</f>
        <v/>
      </c>
      <c r="M2914" s="28">
        <f>IF($H2914="","",DATE(YEAR($H2914),MONTH($H2914),1))</f>
        <v/>
      </c>
      <c r="N2914" s="26">
        <f>IF($H2914="","",TODAY()-$H2914)</f>
        <v/>
      </c>
      <c r="O2914" s="15" t="n"/>
      <c r="P2914" s="15" t="n"/>
      <c r="Q2914" s="15" t="n"/>
      <c r="R2914" s="25" t="n"/>
      <c r="S2914" s="26">
        <f>IF($A2914="","",AND(OR('Assignment Builder'!$B$5="",$B2914='Assignment Builder'!$B$5),OR('Assignment Builder'!$B$6="",ISNUMBER(SEARCH('Assignment Builder'!$B$6,$C2914))),OR('Assignment Builder'!$B$7="",'Assignment Builder'!$B$7=IFERROR(INDEX('Category Dictionary'!$C$5:$C$135,MATCH($L2914,'Category Dictionary'!$D$5:$D$135,0)),"")),OR('Assignment Builder'!$B$8="",$D2914='Assignment Builder'!$B$8),OR('Assignment Builder'!$B$9="",$F2914='Assignment Builder'!$B$9),OR('Assignment Builder'!$B$10="",$O2914='Assignment Builder'!$B$10),OR('Assignment Builder'!$B$11="",$H2914&gt;='Assignment Builder'!$B$11),OR('Assignment Builder'!$B$12="",N($Q2914)&lt;='Assignment Builder'!$B$12)))</f>
        <v/>
      </c>
      <c r="T2914" s="23" t="n"/>
    </row>
    <row r="2915">
      <c r="A2915" s="23" t="n"/>
      <c r="B2915" s="23" t="n"/>
      <c r="C2915" s="24" t="n"/>
      <c r="D2915" s="15" t="n"/>
      <c r="E2915" s="23" t="n"/>
      <c r="F2915" s="15" t="n"/>
      <c r="G2915" s="23" t="n"/>
      <c r="H2915" s="25" t="n"/>
      <c r="I2915" s="15" t="n"/>
      <c r="J2915" s="26">
        <f>IF($A2915="","",LEN($C2915)-LEN(SUBSTITUTE($C2915,",",""))+1)</f>
        <v/>
      </c>
      <c r="K2915" s="26">
        <f>IF($A2915="","",SUMPRODUCT(--ISNUMBER(SEARCH('Category Dictionary'!$D$5:$D$135&amp;"",$C2915)),--('Category Dictionary'!$D$5:$D$135&lt;&gt;"")))</f>
        <v/>
      </c>
      <c r="L2915" s="27">
        <f>IF($A2915="","",TRIM(IF(ISERROR(FIND(",",$C2915)),$C2915,LEFT($C2915,FIND(",",$C2915)-1))))</f>
        <v/>
      </c>
      <c r="M2915" s="28">
        <f>IF($H2915="","",DATE(YEAR($H2915),MONTH($H2915),1))</f>
        <v/>
      </c>
      <c r="N2915" s="26">
        <f>IF($H2915="","",TODAY()-$H2915)</f>
        <v/>
      </c>
      <c r="O2915" s="15" t="n"/>
      <c r="P2915" s="15" t="n"/>
      <c r="Q2915" s="15" t="n"/>
      <c r="R2915" s="25" t="n"/>
      <c r="S2915" s="26">
        <f>IF($A2915="","",AND(OR('Assignment Builder'!$B$5="",$B2915='Assignment Builder'!$B$5),OR('Assignment Builder'!$B$6="",ISNUMBER(SEARCH('Assignment Builder'!$B$6,$C2915))),OR('Assignment Builder'!$B$7="",'Assignment Builder'!$B$7=IFERROR(INDEX('Category Dictionary'!$C$5:$C$135,MATCH($L2915,'Category Dictionary'!$D$5:$D$135,0)),"")),OR('Assignment Builder'!$B$8="",$D2915='Assignment Builder'!$B$8),OR('Assignment Builder'!$B$9="",$F2915='Assignment Builder'!$B$9),OR('Assignment Builder'!$B$10="",$O2915='Assignment Builder'!$B$10),OR('Assignment Builder'!$B$11="",$H2915&gt;='Assignment Builder'!$B$11),OR('Assignment Builder'!$B$12="",N($Q2915)&lt;='Assignment Builder'!$B$12)))</f>
        <v/>
      </c>
      <c r="T2915" s="23" t="n"/>
    </row>
    <row r="2916">
      <c r="A2916" s="23" t="n"/>
      <c r="B2916" s="23" t="n"/>
      <c r="C2916" s="24" t="n"/>
      <c r="D2916" s="15" t="n"/>
      <c r="E2916" s="23" t="n"/>
      <c r="F2916" s="15" t="n"/>
      <c r="G2916" s="23" t="n"/>
      <c r="H2916" s="25" t="n"/>
      <c r="I2916" s="15" t="n"/>
      <c r="J2916" s="26">
        <f>IF($A2916="","",LEN($C2916)-LEN(SUBSTITUTE($C2916,",",""))+1)</f>
        <v/>
      </c>
      <c r="K2916" s="26">
        <f>IF($A2916="","",SUMPRODUCT(--ISNUMBER(SEARCH('Category Dictionary'!$D$5:$D$135&amp;"",$C2916)),--('Category Dictionary'!$D$5:$D$135&lt;&gt;"")))</f>
        <v/>
      </c>
      <c r="L2916" s="27">
        <f>IF($A2916="","",TRIM(IF(ISERROR(FIND(",",$C2916)),$C2916,LEFT($C2916,FIND(",",$C2916)-1))))</f>
        <v/>
      </c>
      <c r="M2916" s="28">
        <f>IF($H2916="","",DATE(YEAR($H2916),MONTH($H2916),1))</f>
        <v/>
      </c>
      <c r="N2916" s="26">
        <f>IF($H2916="","",TODAY()-$H2916)</f>
        <v/>
      </c>
      <c r="O2916" s="15" t="n"/>
      <c r="P2916" s="15" t="n"/>
      <c r="Q2916" s="15" t="n"/>
      <c r="R2916" s="25" t="n"/>
      <c r="S2916" s="26">
        <f>IF($A2916="","",AND(OR('Assignment Builder'!$B$5="",$B2916='Assignment Builder'!$B$5),OR('Assignment Builder'!$B$6="",ISNUMBER(SEARCH('Assignment Builder'!$B$6,$C2916))),OR('Assignment Builder'!$B$7="",'Assignment Builder'!$B$7=IFERROR(INDEX('Category Dictionary'!$C$5:$C$135,MATCH($L2916,'Category Dictionary'!$D$5:$D$135,0)),"")),OR('Assignment Builder'!$B$8="",$D2916='Assignment Builder'!$B$8),OR('Assignment Builder'!$B$9="",$F2916='Assignment Builder'!$B$9),OR('Assignment Builder'!$B$10="",$O2916='Assignment Builder'!$B$10),OR('Assignment Builder'!$B$11="",$H2916&gt;='Assignment Builder'!$B$11),OR('Assignment Builder'!$B$12="",N($Q2916)&lt;='Assignment Builder'!$B$12)))</f>
        <v/>
      </c>
      <c r="T2916" s="23" t="n"/>
    </row>
    <row r="2917">
      <c r="A2917" s="23" t="n"/>
      <c r="B2917" s="23" t="n"/>
      <c r="C2917" s="24" t="n"/>
      <c r="D2917" s="15" t="n"/>
      <c r="E2917" s="23" t="n"/>
      <c r="F2917" s="15" t="n"/>
      <c r="G2917" s="23" t="n"/>
      <c r="H2917" s="25" t="n"/>
      <c r="I2917" s="15" t="n"/>
      <c r="J2917" s="26">
        <f>IF($A2917="","",LEN($C2917)-LEN(SUBSTITUTE($C2917,",",""))+1)</f>
        <v/>
      </c>
      <c r="K2917" s="26">
        <f>IF($A2917="","",SUMPRODUCT(--ISNUMBER(SEARCH('Category Dictionary'!$D$5:$D$135&amp;"",$C2917)),--('Category Dictionary'!$D$5:$D$135&lt;&gt;"")))</f>
        <v/>
      </c>
      <c r="L2917" s="27">
        <f>IF($A2917="","",TRIM(IF(ISERROR(FIND(",",$C2917)),$C2917,LEFT($C2917,FIND(",",$C2917)-1))))</f>
        <v/>
      </c>
      <c r="M2917" s="28">
        <f>IF($H2917="","",DATE(YEAR($H2917),MONTH($H2917),1))</f>
        <v/>
      </c>
      <c r="N2917" s="26">
        <f>IF($H2917="","",TODAY()-$H2917)</f>
        <v/>
      </c>
      <c r="O2917" s="15" t="n"/>
      <c r="P2917" s="15" t="n"/>
      <c r="Q2917" s="15" t="n"/>
      <c r="R2917" s="25" t="n"/>
      <c r="S2917" s="26">
        <f>IF($A2917="","",AND(OR('Assignment Builder'!$B$5="",$B2917='Assignment Builder'!$B$5),OR('Assignment Builder'!$B$6="",ISNUMBER(SEARCH('Assignment Builder'!$B$6,$C2917))),OR('Assignment Builder'!$B$7="",'Assignment Builder'!$B$7=IFERROR(INDEX('Category Dictionary'!$C$5:$C$135,MATCH($L2917,'Category Dictionary'!$D$5:$D$135,0)),"")),OR('Assignment Builder'!$B$8="",$D2917='Assignment Builder'!$B$8),OR('Assignment Builder'!$B$9="",$F2917='Assignment Builder'!$B$9),OR('Assignment Builder'!$B$10="",$O2917='Assignment Builder'!$B$10),OR('Assignment Builder'!$B$11="",$H2917&gt;='Assignment Builder'!$B$11),OR('Assignment Builder'!$B$12="",N($Q2917)&lt;='Assignment Builder'!$B$12)))</f>
        <v/>
      </c>
      <c r="T2917" s="23" t="n"/>
    </row>
    <row r="2918">
      <c r="A2918" s="23" t="n"/>
      <c r="B2918" s="23" t="n"/>
      <c r="C2918" s="24" t="n"/>
      <c r="D2918" s="15" t="n"/>
      <c r="E2918" s="23" t="n"/>
      <c r="F2918" s="15" t="n"/>
      <c r="G2918" s="23" t="n"/>
      <c r="H2918" s="25" t="n"/>
      <c r="I2918" s="15" t="n"/>
      <c r="J2918" s="26">
        <f>IF($A2918="","",LEN($C2918)-LEN(SUBSTITUTE($C2918,",",""))+1)</f>
        <v/>
      </c>
      <c r="K2918" s="26">
        <f>IF($A2918="","",SUMPRODUCT(--ISNUMBER(SEARCH('Category Dictionary'!$D$5:$D$135&amp;"",$C2918)),--('Category Dictionary'!$D$5:$D$135&lt;&gt;"")))</f>
        <v/>
      </c>
      <c r="L2918" s="27">
        <f>IF($A2918="","",TRIM(IF(ISERROR(FIND(",",$C2918)),$C2918,LEFT($C2918,FIND(",",$C2918)-1))))</f>
        <v/>
      </c>
      <c r="M2918" s="28">
        <f>IF($H2918="","",DATE(YEAR($H2918),MONTH($H2918),1))</f>
        <v/>
      </c>
      <c r="N2918" s="26">
        <f>IF($H2918="","",TODAY()-$H2918)</f>
        <v/>
      </c>
      <c r="O2918" s="15" t="n"/>
      <c r="P2918" s="15" t="n"/>
      <c r="Q2918" s="15" t="n"/>
      <c r="R2918" s="25" t="n"/>
      <c r="S2918" s="26">
        <f>IF($A2918="","",AND(OR('Assignment Builder'!$B$5="",$B2918='Assignment Builder'!$B$5),OR('Assignment Builder'!$B$6="",ISNUMBER(SEARCH('Assignment Builder'!$B$6,$C2918))),OR('Assignment Builder'!$B$7="",'Assignment Builder'!$B$7=IFERROR(INDEX('Category Dictionary'!$C$5:$C$135,MATCH($L2918,'Category Dictionary'!$D$5:$D$135,0)),"")),OR('Assignment Builder'!$B$8="",$D2918='Assignment Builder'!$B$8),OR('Assignment Builder'!$B$9="",$F2918='Assignment Builder'!$B$9),OR('Assignment Builder'!$B$10="",$O2918='Assignment Builder'!$B$10),OR('Assignment Builder'!$B$11="",$H2918&gt;='Assignment Builder'!$B$11),OR('Assignment Builder'!$B$12="",N($Q2918)&lt;='Assignment Builder'!$B$12)))</f>
        <v/>
      </c>
      <c r="T2918" s="23" t="n"/>
    </row>
    <row r="2919">
      <c r="A2919" s="23" t="n"/>
      <c r="B2919" s="23" t="n"/>
      <c r="C2919" s="24" t="n"/>
      <c r="D2919" s="15" t="n"/>
      <c r="E2919" s="23" t="n"/>
      <c r="F2919" s="15" t="n"/>
      <c r="G2919" s="23" t="n"/>
      <c r="H2919" s="25" t="n"/>
      <c r="I2919" s="15" t="n"/>
      <c r="J2919" s="26">
        <f>IF($A2919="","",LEN($C2919)-LEN(SUBSTITUTE($C2919,",",""))+1)</f>
        <v/>
      </c>
      <c r="K2919" s="26">
        <f>IF($A2919="","",SUMPRODUCT(--ISNUMBER(SEARCH('Category Dictionary'!$D$5:$D$135&amp;"",$C2919)),--('Category Dictionary'!$D$5:$D$135&lt;&gt;"")))</f>
        <v/>
      </c>
      <c r="L2919" s="27">
        <f>IF($A2919="","",TRIM(IF(ISERROR(FIND(",",$C2919)),$C2919,LEFT($C2919,FIND(",",$C2919)-1))))</f>
        <v/>
      </c>
      <c r="M2919" s="28">
        <f>IF($H2919="","",DATE(YEAR($H2919),MONTH($H2919),1))</f>
        <v/>
      </c>
      <c r="N2919" s="26">
        <f>IF($H2919="","",TODAY()-$H2919)</f>
        <v/>
      </c>
      <c r="O2919" s="15" t="n"/>
      <c r="P2919" s="15" t="n"/>
      <c r="Q2919" s="15" t="n"/>
      <c r="R2919" s="25" t="n"/>
      <c r="S2919" s="26">
        <f>IF($A2919="","",AND(OR('Assignment Builder'!$B$5="",$B2919='Assignment Builder'!$B$5),OR('Assignment Builder'!$B$6="",ISNUMBER(SEARCH('Assignment Builder'!$B$6,$C2919))),OR('Assignment Builder'!$B$7="",'Assignment Builder'!$B$7=IFERROR(INDEX('Category Dictionary'!$C$5:$C$135,MATCH($L2919,'Category Dictionary'!$D$5:$D$135,0)),"")),OR('Assignment Builder'!$B$8="",$D2919='Assignment Builder'!$B$8),OR('Assignment Builder'!$B$9="",$F2919='Assignment Builder'!$B$9),OR('Assignment Builder'!$B$10="",$O2919='Assignment Builder'!$B$10),OR('Assignment Builder'!$B$11="",$H2919&gt;='Assignment Builder'!$B$11),OR('Assignment Builder'!$B$12="",N($Q2919)&lt;='Assignment Builder'!$B$12)))</f>
        <v/>
      </c>
      <c r="T2919" s="23" t="n"/>
    </row>
    <row r="2920">
      <c r="A2920" s="23" t="n"/>
      <c r="B2920" s="23" t="n"/>
      <c r="C2920" s="24" t="n"/>
      <c r="D2920" s="15" t="n"/>
      <c r="E2920" s="23" t="n"/>
      <c r="F2920" s="15" t="n"/>
      <c r="G2920" s="23" t="n"/>
      <c r="H2920" s="25" t="n"/>
      <c r="I2920" s="15" t="n"/>
      <c r="J2920" s="26">
        <f>IF($A2920="","",LEN($C2920)-LEN(SUBSTITUTE($C2920,",",""))+1)</f>
        <v/>
      </c>
      <c r="K2920" s="26">
        <f>IF($A2920="","",SUMPRODUCT(--ISNUMBER(SEARCH('Category Dictionary'!$D$5:$D$135&amp;"",$C2920)),--('Category Dictionary'!$D$5:$D$135&lt;&gt;"")))</f>
        <v/>
      </c>
      <c r="L2920" s="27">
        <f>IF($A2920="","",TRIM(IF(ISERROR(FIND(",",$C2920)),$C2920,LEFT($C2920,FIND(",",$C2920)-1))))</f>
        <v/>
      </c>
      <c r="M2920" s="28">
        <f>IF($H2920="","",DATE(YEAR($H2920),MONTH($H2920),1))</f>
        <v/>
      </c>
      <c r="N2920" s="26">
        <f>IF($H2920="","",TODAY()-$H2920)</f>
        <v/>
      </c>
      <c r="O2920" s="15" t="n"/>
      <c r="P2920" s="15" t="n"/>
      <c r="Q2920" s="15" t="n"/>
      <c r="R2920" s="25" t="n"/>
      <c r="S2920" s="26">
        <f>IF($A2920="","",AND(OR('Assignment Builder'!$B$5="",$B2920='Assignment Builder'!$B$5),OR('Assignment Builder'!$B$6="",ISNUMBER(SEARCH('Assignment Builder'!$B$6,$C2920))),OR('Assignment Builder'!$B$7="",'Assignment Builder'!$B$7=IFERROR(INDEX('Category Dictionary'!$C$5:$C$135,MATCH($L2920,'Category Dictionary'!$D$5:$D$135,0)),"")),OR('Assignment Builder'!$B$8="",$D2920='Assignment Builder'!$B$8),OR('Assignment Builder'!$B$9="",$F2920='Assignment Builder'!$B$9),OR('Assignment Builder'!$B$10="",$O2920='Assignment Builder'!$B$10),OR('Assignment Builder'!$B$11="",$H2920&gt;='Assignment Builder'!$B$11),OR('Assignment Builder'!$B$12="",N($Q2920)&lt;='Assignment Builder'!$B$12)))</f>
        <v/>
      </c>
      <c r="T2920" s="23" t="n"/>
    </row>
    <row r="2921">
      <c r="A2921" s="23" t="n"/>
      <c r="B2921" s="23" t="n"/>
      <c r="C2921" s="24" t="n"/>
      <c r="D2921" s="15" t="n"/>
      <c r="E2921" s="23" t="n"/>
      <c r="F2921" s="15" t="n"/>
      <c r="G2921" s="23" t="n"/>
      <c r="H2921" s="25" t="n"/>
      <c r="I2921" s="15" t="n"/>
      <c r="J2921" s="26">
        <f>IF($A2921="","",LEN($C2921)-LEN(SUBSTITUTE($C2921,",",""))+1)</f>
        <v/>
      </c>
      <c r="K2921" s="26">
        <f>IF($A2921="","",SUMPRODUCT(--ISNUMBER(SEARCH('Category Dictionary'!$D$5:$D$135&amp;"",$C2921)),--('Category Dictionary'!$D$5:$D$135&lt;&gt;"")))</f>
        <v/>
      </c>
      <c r="L2921" s="27">
        <f>IF($A2921="","",TRIM(IF(ISERROR(FIND(",",$C2921)),$C2921,LEFT($C2921,FIND(",",$C2921)-1))))</f>
        <v/>
      </c>
      <c r="M2921" s="28">
        <f>IF($H2921="","",DATE(YEAR($H2921),MONTH($H2921),1))</f>
        <v/>
      </c>
      <c r="N2921" s="26">
        <f>IF($H2921="","",TODAY()-$H2921)</f>
        <v/>
      </c>
      <c r="O2921" s="15" t="n"/>
      <c r="P2921" s="15" t="n"/>
      <c r="Q2921" s="15" t="n"/>
      <c r="R2921" s="25" t="n"/>
      <c r="S2921" s="26">
        <f>IF($A2921="","",AND(OR('Assignment Builder'!$B$5="",$B2921='Assignment Builder'!$B$5),OR('Assignment Builder'!$B$6="",ISNUMBER(SEARCH('Assignment Builder'!$B$6,$C2921))),OR('Assignment Builder'!$B$7="",'Assignment Builder'!$B$7=IFERROR(INDEX('Category Dictionary'!$C$5:$C$135,MATCH($L2921,'Category Dictionary'!$D$5:$D$135,0)),"")),OR('Assignment Builder'!$B$8="",$D2921='Assignment Builder'!$B$8),OR('Assignment Builder'!$B$9="",$F2921='Assignment Builder'!$B$9),OR('Assignment Builder'!$B$10="",$O2921='Assignment Builder'!$B$10),OR('Assignment Builder'!$B$11="",$H2921&gt;='Assignment Builder'!$B$11),OR('Assignment Builder'!$B$12="",N($Q2921)&lt;='Assignment Builder'!$B$12)))</f>
        <v/>
      </c>
      <c r="T2921" s="23" t="n"/>
    </row>
    <row r="2922">
      <c r="A2922" s="23" t="n"/>
      <c r="B2922" s="23" t="n"/>
      <c r="C2922" s="24" t="n"/>
      <c r="D2922" s="15" t="n"/>
      <c r="E2922" s="23" t="n"/>
      <c r="F2922" s="15" t="n"/>
      <c r="G2922" s="23" t="n"/>
      <c r="H2922" s="25" t="n"/>
      <c r="I2922" s="15" t="n"/>
      <c r="J2922" s="26">
        <f>IF($A2922="","",LEN($C2922)-LEN(SUBSTITUTE($C2922,",",""))+1)</f>
        <v/>
      </c>
      <c r="K2922" s="26">
        <f>IF($A2922="","",SUMPRODUCT(--ISNUMBER(SEARCH('Category Dictionary'!$D$5:$D$135&amp;"",$C2922)),--('Category Dictionary'!$D$5:$D$135&lt;&gt;"")))</f>
        <v/>
      </c>
      <c r="L2922" s="27">
        <f>IF($A2922="","",TRIM(IF(ISERROR(FIND(",",$C2922)),$C2922,LEFT($C2922,FIND(",",$C2922)-1))))</f>
        <v/>
      </c>
      <c r="M2922" s="28">
        <f>IF($H2922="","",DATE(YEAR($H2922),MONTH($H2922),1))</f>
        <v/>
      </c>
      <c r="N2922" s="26">
        <f>IF($H2922="","",TODAY()-$H2922)</f>
        <v/>
      </c>
      <c r="O2922" s="15" t="n"/>
      <c r="P2922" s="15" t="n"/>
      <c r="Q2922" s="15" t="n"/>
      <c r="R2922" s="25" t="n"/>
      <c r="S2922" s="26">
        <f>IF($A2922="","",AND(OR('Assignment Builder'!$B$5="",$B2922='Assignment Builder'!$B$5),OR('Assignment Builder'!$B$6="",ISNUMBER(SEARCH('Assignment Builder'!$B$6,$C2922))),OR('Assignment Builder'!$B$7="",'Assignment Builder'!$B$7=IFERROR(INDEX('Category Dictionary'!$C$5:$C$135,MATCH($L2922,'Category Dictionary'!$D$5:$D$135,0)),"")),OR('Assignment Builder'!$B$8="",$D2922='Assignment Builder'!$B$8),OR('Assignment Builder'!$B$9="",$F2922='Assignment Builder'!$B$9),OR('Assignment Builder'!$B$10="",$O2922='Assignment Builder'!$B$10),OR('Assignment Builder'!$B$11="",$H2922&gt;='Assignment Builder'!$B$11),OR('Assignment Builder'!$B$12="",N($Q2922)&lt;='Assignment Builder'!$B$12)))</f>
        <v/>
      </c>
      <c r="T2922" s="23" t="n"/>
    </row>
    <row r="2923">
      <c r="A2923" s="23" t="n"/>
      <c r="B2923" s="23" t="n"/>
      <c r="C2923" s="24" t="n"/>
      <c r="D2923" s="15" t="n"/>
      <c r="E2923" s="23" t="n"/>
      <c r="F2923" s="15" t="n"/>
      <c r="G2923" s="23" t="n"/>
      <c r="H2923" s="25" t="n"/>
      <c r="I2923" s="15" t="n"/>
      <c r="J2923" s="26">
        <f>IF($A2923="","",LEN($C2923)-LEN(SUBSTITUTE($C2923,",",""))+1)</f>
        <v/>
      </c>
      <c r="K2923" s="26">
        <f>IF($A2923="","",SUMPRODUCT(--ISNUMBER(SEARCH('Category Dictionary'!$D$5:$D$135&amp;"",$C2923)),--('Category Dictionary'!$D$5:$D$135&lt;&gt;"")))</f>
        <v/>
      </c>
      <c r="L2923" s="27">
        <f>IF($A2923="","",TRIM(IF(ISERROR(FIND(",",$C2923)),$C2923,LEFT($C2923,FIND(",",$C2923)-1))))</f>
        <v/>
      </c>
      <c r="M2923" s="28">
        <f>IF($H2923="","",DATE(YEAR($H2923),MONTH($H2923),1))</f>
        <v/>
      </c>
      <c r="N2923" s="26">
        <f>IF($H2923="","",TODAY()-$H2923)</f>
        <v/>
      </c>
      <c r="O2923" s="15" t="n"/>
      <c r="P2923" s="15" t="n"/>
      <c r="Q2923" s="15" t="n"/>
      <c r="R2923" s="25" t="n"/>
      <c r="S2923" s="26">
        <f>IF($A2923="","",AND(OR('Assignment Builder'!$B$5="",$B2923='Assignment Builder'!$B$5),OR('Assignment Builder'!$B$6="",ISNUMBER(SEARCH('Assignment Builder'!$B$6,$C2923))),OR('Assignment Builder'!$B$7="",'Assignment Builder'!$B$7=IFERROR(INDEX('Category Dictionary'!$C$5:$C$135,MATCH($L2923,'Category Dictionary'!$D$5:$D$135,0)),"")),OR('Assignment Builder'!$B$8="",$D2923='Assignment Builder'!$B$8),OR('Assignment Builder'!$B$9="",$F2923='Assignment Builder'!$B$9),OR('Assignment Builder'!$B$10="",$O2923='Assignment Builder'!$B$10),OR('Assignment Builder'!$B$11="",$H2923&gt;='Assignment Builder'!$B$11),OR('Assignment Builder'!$B$12="",N($Q2923)&lt;='Assignment Builder'!$B$12)))</f>
        <v/>
      </c>
      <c r="T2923" s="23" t="n"/>
    </row>
    <row r="2924">
      <c r="A2924" s="23" t="n"/>
      <c r="B2924" s="23" t="n"/>
      <c r="C2924" s="24" t="n"/>
      <c r="D2924" s="15" t="n"/>
      <c r="E2924" s="23" t="n"/>
      <c r="F2924" s="15" t="n"/>
      <c r="G2924" s="23" t="n"/>
      <c r="H2924" s="25" t="n"/>
      <c r="I2924" s="15" t="n"/>
      <c r="J2924" s="26">
        <f>IF($A2924="","",LEN($C2924)-LEN(SUBSTITUTE($C2924,",",""))+1)</f>
        <v/>
      </c>
      <c r="K2924" s="26">
        <f>IF($A2924="","",SUMPRODUCT(--ISNUMBER(SEARCH('Category Dictionary'!$D$5:$D$135&amp;"",$C2924)),--('Category Dictionary'!$D$5:$D$135&lt;&gt;"")))</f>
        <v/>
      </c>
      <c r="L2924" s="27">
        <f>IF($A2924="","",TRIM(IF(ISERROR(FIND(",",$C2924)),$C2924,LEFT($C2924,FIND(",",$C2924)-1))))</f>
        <v/>
      </c>
      <c r="M2924" s="28">
        <f>IF($H2924="","",DATE(YEAR($H2924),MONTH($H2924),1))</f>
        <v/>
      </c>
      <c r="N2924" s="26">
        <f>IF($H2924="","",TODAY()-$H2924)</f>
        <v/>
      </c>
      <c r="O2924" s="15" t="n"/>
      <c r="P2924" s="15" t="n"/>
      <c r="Q2924" s="15" t="n"/>
      <c r="R2924" s="25" t="n"/>
      <c r="S2924" s="26">
        <f>IF($A2924="","",AND(OR('Assignment Builder'!$B$5="",$B2924='Assignment Builder'!$B$5),OR('Assignment Builder'!$B$6="",ISNUMBER(SEARCH('Assignment Builder'!$B$6,$C2924))),OR('Assignment Builder'!$B$7="",'Assignment Builder'!$B$7=IFERROR(INDEX('Category Dictionary'!$C$5:$C$135,MATCH($L2924,'Category Dictionary'!$D$5:$D$135,0)),"")),OR('Assignment Builder'!$B$8="",$D2924='Assignment Builder'!$B$8),OR('Assignment Builder'!$B$9="",$F2924='Assignment Builder'!$B$9),OR('Assignment Builder'!$B$10="",$O2924='Assignment Builder'!$B$10),OR('Assignment Builder'!$B$11="",$H2924&gt;='Assignment Builder'!$B$11),OR('Assignment Builder'!$B$12="",N($Q2924)&lt;='Assignment Builder'!$B$12)))</f>
        <v/>
      </c>
      <c r="T2924" s="23" t="n"/>
    </row>
    <row r="2925">
      <c r="A2925" s="23" t="n"/>
      <c r="B2925" s="23" t="n"/>
      <c r="C2925" s="24" t="n"/>
      <c r="D2925" s="15" t="n"/>
      <c r="E2925" s="23" t="n"/>
      <c r="F2925" s="15" t="n"/>
      <c r="G2925" s="23" t="n"/>
      <c r="H2925" s="25" t="n"/>
      <c r="I2925" s="15" t="n"/>
      <c r="J2925" s="26">
        <f>IF($A2925="","",LEN($C2925)-LEN(SUBSTITUTE($C2925,",",""))+1)</f>
        <v/>
      </c>
      <c r="K2925" s="26">
        <f>IF($A2925="","",SUMPRODUCT(--ISNUMBER(SEARCH('Category Dictionary'!$D$5:$D$135&amp;"",$C2925)),--('Category Dictionary'!$D$5:$D$135&lt;&gt;"")))</f>
        <v/>
      </c>
      <c r="L2925" s="27">
        <f>IF($A2925="","",TRIM(IF(ISERROR(FIND(",",$C2925)),$C2925,LEFT($C2925,FIND(",",$C2925)-1))))</f>
        <v/>
      </c>
      <c r="M2925" s="28">
        <f>IF($H2925="","",DATE(YEAR($H2925),MONTH($H2925),1))</f>
        <v/>
      </c>
      <c r="N2925" s="26">
        <f>IF($H2925="","",TODAY()-$H2925)</f>
        <v/>
      </c>
      <c r="O2925" s="15" t="n"/>
      <c r="P2925" s="15" t="n"/>
      <c r="Q2925" s="15" t="n"/>
      <c r="R2925" s="25" t="n"/>
      <c r="S2925" s="26">
        <f>IF($A2925="","",AND(OR('Assignment Builder'!$B$5="",$B2925='Assignment Builder'!$B$5),OR('Assignment Builder'!$B$6="",ISNUMBER(SEARCH('Assignment Builder'!$B$6,$C2925))),OR('Assignment Builder'!$B$7="",'Assignment Builder'!$B$7=IFERROR(INDEX('Category Dictionary'!$C$5:$C$135,MATCH($L2925,'Category Dictionary'!$D$5:$D$135,0)),"")),OR('Assignment Builder'!$B$8="",$D2925='Assignment Builder'!$B$8),OR('Assignment Builder'!$B$9="",$F2925='Assignment Builder'!$B$9),OR('Assignment Builder'!$B$10="",$O2925='Assignment Builder'!$B$10),OR('Assignment Builder'!$B$11="",$H2925&gt;='Assignment Builder'!$B$11),OR('Assignment Builder'!$B$12="",N($Q2925)&lt;='Assignment Builder'!$B$12)))</f>
        <v/>
      </c>
      <c r="T2925" s="23" t="n"/>
    </row>
    <row r="2926">
      <c r="A2926" s="23" t="n"/>
      <c r="B2926" s="23" t="n"/>
      <c r="C2926" s="24" t="n"/>
      <c r="D2926" s="15" t="n"/>
      <c r="E2926" s="23" t="n"/>
      <c r="F2926" s="15" t="n"/>
      <c r="G2926" s="23" t="n"/>
      <c r="H2926" s="25" t="n"/>
      <c r="I2926" s="15" t="n"/>
      <c r="J2926" s="26">
        <f>IF($A2926="","",LEN($C2926)-LEN(SUBSTITUTE($C2926,",",""))+1)</f>
        <v/>
      </c>
      <c r="K2926" s="26">
        <f>IF($A2926="","",SUMPRODUCT(--ISNUMBER(SEARCH('Category Dictionary'!$D$5:$D$135&amp;"",$C2926)),--('Category Dictionary'!$D$5:$D$135&lt;&gt;"")))</f>
        <v/>
      </c>
      <c r="L2926" s="27">
        <f>IF($A2926="","",TRIM(IF(ISERROR(FIND(",",$C2926)),$C2926,LEFT($C2926,FIND(",",$C2926)-1))))</f>
        <v/>
      </c>
      <c r="M2926" s="28">
        <f>IF($H2926="","",DATE(YEAR($H2926),MONTH($H2926),1))</f>
        <v/>
      </c>
      <c r="N2926" s="26">
        <f>IF($H2926="","",TODAY()-$H2926)</f>
        <v/>
      </c>
      <c r="O2926" s="15" t="n"/>
      <c r="P2926" s="15" t="n"/>
      <c r="Q2926" s="15" t="n"/>
      <c r="R2926" s="25" t="n"/>
      <c r="S2926" s="26">
        <f>IF($A2926="","",AND(OR('Assignment Builder'!$B$5="",$B2926='Assignment Builder'!$B$5),OR('Assignment Builder'!$B$6="",ISNUMBER(SEARCH('Assignment Builder'!$B$6,$C2926))),OR('Assignment Builder'!$B$7="",'Assignment Builder'!$B$7=IFERROR(INDEX('Category Dictionary'!$C$5:$C$135,MATCH($L2926,'Category Dictionary'!$D$5:$D$135,0)),"")),OR('Assignment Builder'!$B$8="",$D2926='Assignment Builder'!$B$8),OR('Assignment Builder'!$B$9="",$F2926='Assignment Builder'!$B$9),OR('Assignment Builder'!$B$10="",$O2926='Assignment Builder'!$B$10),OR('Assignment Builder'!$B$11="",$H2926&gt;='Assignment Builder'!$B$11),OR('Assignment Builder'!$B$12="",N($Q2926)&lt;='Assignment Builder'!$B$12)))</f>
        <v/>
      </c>
      <c r="T2926" s="23" t="n"/>
    </row>
    <row r="2927">
      <c r="A2927" s="23" t="n"/>
      <c r="B2927" s="23" t="n"/>
      <c r="C2927" s="24" t="n"/>
      <c r="D2927" s="15" t="n"/>
      <c r="E2927" s="23" t="n"/>
      <c r="F2927" s="15" t="n"/>
      <c r="G2927" s="23" t="n"/>
      <c r="H2927" s="25" t="n"/>
      <c r="I2927" s="15" t="n"/>
      <c r="J2927" s="26">
        <f>IF($A2927="","",LEN($C2927)-LEN(SUBSTITUTE($C2927,",",""))+1)</f>
        <v/>
      </c>
      <c r="K2927" s="26">
        <f>IF($A2927="","",SUMPRODUCT(--ISNUMBER(SEARCH('Category Dictionary'!$D$5:$D$135&amp;"",$C2927)),--('Category Dictionary'!$D$5:$D$135&lt;&gt;"")))</f>
        <v/>
      </c>
      <c r="L2927" s="27">
        <f>IF($A2927="","",TRIM(IF(ISERROR(FIND(",",$C2927)),$C2927,LEFT($C2927,FIND(",",$C2927)-1))))</f>
        <v/>
      </c>
      <c r="M2927" s="28">
        <f>IF($H2927="","",DATE(YEAR($H2927),MONTH($H2927),1))</f>
        <v/>
      </c>
      <c r="N2927" s="26">
        <f>IF($H2927="","",TODAY()-$H2927)</f>
        <v/>
      </c>
      <c r="O2927" s="15" t="n"/>
      <c r="P2927" s="15" t="n"/>
      <c r="Q2927" s="15" t="n"/>
      <c r="R2927" s="25" t="n"/>
      <c r="S2927" s="26">
        <f>IF($A2927="","",AND(OR('Assignment Builder'!$B$5="",$B2927='Assignment Builder'!$B$5),OR('Assignment Builder'!$B$6="",ISNUMBER(SEARCH('Assignment Builder'!$B$6,$C2927))),OR('Assignment Builder'!$B$7="",'Assignment Builder'!$B$7=IFERROR(INDEX('Category Dictionary'!$C$5:$C$135,MATCH($L2927,'Category Dictionary'!$D$5:$D$135,0)),"")),OR('Assignment Builder'!$B$8="",$D2927='Assignment Builder'!$B$8),OR('Assignment Builder'!$B$9="",$F2927='Assignment Builder'!$B$9),OR('Assignment Builder'!$B$10="",$O2927='Assignment Builder'!$B$10),OR('Assignment Builder'!$B$11="",$H2927&gt;='Assignment Builder'!$B$11),OR('Assignment Builder'!$B$12="",N($Q2927)&lt;='Assignment Builder'!$B$12)))</f>
        <v/>
      </c>
      <c r="T2927" s="23" t="n"/>
    </row>
    <row r="2928">
      <c r="A2928" s="23" t="n"/>
      <c r="B2928" s="23" t="n"/>
      <c r="C2928" s="24" t="n"/>
      <c r="D2928" s="15" t="n"/>
      <c r="E2928" s="23" t="n"/>
      <c r="F2928" s="15" t="n"/>
      <c r="G2928" s="23" t="n"/>
      <c r="H2928" s="25" t="n"/>
      <c r="I2928" s="15" t="n"/>
      <c r="J2928" s="26">
        <f>IF($A2928="","",LEN($C2928)-LEN(SUBSTITUTE($C2928,",",""))+1)</f>
        <v/>
      </c>
      <c r="K2928" s="26">
        <f>IF($A2928="","",SUMPRODUCT(--ISNUMBER(SEARCH('Category Dictionary'!$D$5:$D$135&amp;"",$C2928)),--('Category Dictionary'!$D$5:$D$135&lt;&gt;"")))</f>
        <v/>
      </c>
      <c r="L2928" s="27">
        <f>IF($A2928="","",TRIM(IF(ISERROR(FIND(",",$C2928)),$C2928,LEFT($C2928,FIND(",",$C2928)-1))))</f>
        <v/>
      </c>
      <c r="M2928" s="28">
        <f>IF($H2928="","",DATE(YEAR($H2928),MONTH($H2928),1))</f>
        <v/>
      </c>
      <c r="N2928" s="26">
        <f>IF($H2928="","",TODAY()-$H2928)</f>
        <v/>
      </c>
      <c r="O2928" s="15" t="n"/>
      <c r="P2928" s="15" t="n"/>
      <c r="Q2928" s="15" t="n"/>
      <c r="R2928" s="25" t="n"/>
      <c r="S2928" s="26">
        <f>IF($A2928="","",AND(OR('Assignment Builder'!$B$5="",$B2928='Assignment Builder'!$B$5),OR('Assignment Builder'!$B$6="",ISNUMBER(SEARCH('Assignment Builder'!$B$6,$C2928))),OR('Assignment Builder'!$B$7="",'Assignment Builder'!$B$7=IFERROR(INDEX('Category Dictionary'!$C$5:$C$135,MATCH($L2928,'Category Dictionary'!$D$5:$D$135,0)),"")),OR('Assignment Builder'!$B$8="",$D2928='Assignment Builder'!$B$8),OR('Assignment Builder'!$B$9="",$F2928='Assignment Builder'!$B$9),OR('Assignment Builder'!$B$10="",$O2928='Assignment Builder'!$B$10),OR('Assignment Builder'!$B$11="",$H2928&gt;='Assignment Builder'!$B$11),OR('Assignment Builder'!$B$12="",N($Q2928)&lt;='Assignment Builder'!$B$12)))</f>
        <v/>
      </c>
      <c r="T2928" s="23" t="n"/>
    </row>
    <row r="2929">
      <c r="A2929" s="23" t="n"/>
      <c r="B2929" s="23" t="n"/>
      <c r="C2929" s="24" t="n"/>
      <c r="D2929" s="15" t="n"/>
      <c r="E2929" s="23" t="n"/>
      <c r="F2929" s="15" t="n"/>
      <c r="G2929" s="23" t="n"/>
      <c r="H2929" s="25" t="n"/>
      <c r="I2929" s="15" t="n"/>
      <c r="J2929" s="26">
        <f>IF($A2929="","",LEN($C2929)-LEN(SUBSTITUTE($C2929,",",""))+1)</f>
        <v/>
      </c>
      <c r="K2929" s="26">
        <f>IF($A2929="","",SUMPRODUCT(--ISNUMBER(SEARCH('Category Dictionary'!$D$5:$D$135&amp;"",$C2929)),--('Category Dictionary'!$D$5:$D$135&lt;&gt;"")))</f>
        <v/>
      </c>
      <c r="L2929" s="27">
        <f>IF($A2929="","",TRIM(IF(ISERROR(FIND(",",$C2929)),$C2929,LEFT($C2929,FIND(",",$C2929)-1))))</f>
        <v/>
      </c>
      <c r="M2929" s="28">
        <f>IF($H2929="","",DATE(YEAR($H2929),MONTH($H2929),1))</f>
        <v/>
      </c>
      <c r="N2929" s="26">
        <f>IF($H2929="","",TODAY()-$H2929)</f>
        <v/>
      </c>
      <c r="O2929" s="15" t="n"/>
      <c r="P2929" s="15" t="n"/>
      <c r="Q2929" s="15" t="n"/>
      <c r="R2929" s="25" t="n"/>
      <c r="S2929" s="26">
        <f>IF($A2929="","",AND(OR('Assignment Builder'!$B$5="",$B2929='Assignment Builder'!$B$5),OR('Assignment Builder'!$B$6="",ISNUMBER(SEARCH('Assignment Builder'!$B$6,$C2929))),OR('Assignment Builder'!$B$7="",'Assignment Builder'!$B$7=IFERROR(INDEX('Category Dictionary'!$C$5:$C$135,MATCH($L2929,'Category Dictionary'!$D$5:$D$135,0)),"")),OR('Assignment Builder'!$B$8="",$D2929='Assignment Builder'!$B$8),OR('Assignment Builder'!$B$9="",$F2929='Assignment Builder'!$B$9),OR('Assignment Builder'!$B$10="",$O2929='Assignment Builder'!$B$10),OR('Assignment Builder'!$B$11="",$H2929&gt;='Assignment Builder'!$B$11),OR('Assignment Builder'!$B$12="",N($Q2929)&lt;='Assignment Builder'!$B$12)))</f>
        <v/>
      </c>
      <c r="T2929" s="23" t="n"/>
    </row>
    <row r="2930">
      <c r="A2930" s="23" t="n"/>
      <c r="B2930" s="23" t="n"/>
      <c r="C2930" s="24" t="n"/>
      <c r="D2930" s="15" t="n"/>
      <c r="E2930" s="23" t="n"/>
      <c r="F2930" s="15" t="n"/>
      <c r="G2930" s="23" t="n"/>
      <c r="H2930" s="25" t="n"/>
      <c r="I2930" s="15" t="n"/>
      <c r="J2930" s="26">
        <f>IF($A2930="","",LEN($C2930)-LEN(SUBSTITUTE($C2930,",",""))+1)</f>
        <v/>
      </c>
      <c r="K2930" s="26">
        <f>IF($A2930="","",SUMPRODUCT(--ISNUMBER(SEARCH('Category Dictionary'!$D$5:$D$135&amp;"",$C2930)),--('Category Dictionary'!$D$5:$D$135&lt;&gt;"")))</f>
        <v/>
      </c>
      <c r="L2930" s="27">
        <f>IF($A2930="","",TRIM(IF(ISERROR(FIND(",",$C2930)),$C2930,LEFT($C2930,FIND(",",$C2930)-1))))</f>
        <v/>
      </c>
      <c r="M2930" s="28">
        <f>IF($H2930="","",DATE(YEAR($H2930),MONTH($H2930),1))</f>
        <v/>
      </c>
      <c r="N2930" s="26">
        <f>IF($H2930="","",TODAY()-$H2930)</f>
        <v/>
      </c>
      <c r="O2930" s="15" t="n"/>
      <c r="P2930" s="15" t="n"/>
      <c r="Q2930" s="15" t="n"/>
      <c r="R2930" s="25" t="n"/>
      <c r="S2930" s="26">
        <f>IF($A2930="","",AND(OR('Assignment Builder'!$B$5="",$B2930='Assignment Builder'!$B$5),OR('Assignment Builder'!$B$6="",ISNUMBER(SEARCH('Assignment Builder'!$B$6,$C2930))),OR('Assignment Builder'!$B$7="",'Assignment Builder'!$B$7=IFERROR(INDEX('Category Dictionary'!$C$5:$C$135,MATCH($L2930,'Category Dictionary'!$D$5:$D$135,0)),"")),OR('Assignment Builder'!$B$8="",$D2930='Assignment Builder'!$B$8),OR('Assignment Builder'!$B$9="",$F2930='Assignment Builder'!$B$9),OR('Assignment Builder'!$B$10="",$O2930='Assignment Builder'!$B$10),OR('Assignment Builder'!$B$11="",$H2930&gt;='Assignment Builder'!$B$11),OR('Assignment Builder'!$B$12="",N($Q2930)&lt;='Assignment Builder'!$B$12)))</f>
        <v/>
      </c>
      <c r="T2930" s="23" t="n"/>
    </row>
    <row r="2931">
      <c r="A2931" s="23" t="n"/>
      <c r="B2931" s="23" t="n"/>
      <c r="C2931" s="24" t="n"/>
      <c r="D2931" s="15" t="n"/>
      <c r="E2931" s="23" t="n"/>
      <c r="F2931" s="15" t="n"/>
      <c r="G2931" s="23" t="n"/>
      <c r="H2931" s="25" t="n"/>
      <c r="I2931" s="15" t="n"/>
      <c r="J2931" s="26">
        <f>IF($A2931="","",LEN($C2931)-LEN(SUBSTITUTE($C2931,",",""))+1)</f>
        <v/>
      </c>
      <c r="K2931" s="26">
        <f>IF($A2931="","",SUMPRODUCT(--ISNUMBER(SEARCH('Category Dictionary'!$D$5:$D$135&amp;"",$C2931)),--('Category Dictionary'!$D$5:$D$135&lt;&gt;"")))</f>
        <v/>
      </c>
      <c r="L2931" s="27">
        <f>IF($A2931="","",TRIM(IF(ISERROR(FIND(",",$C2931)),$C2931,LEFT($C2931,FIND(",",$C2931)-1))))</f>
        <v/>
      </c>
      <c r="M2931" s="28">
        <f>IF($H2931="","",DATE(YEAR($H2931),MONTH($H2931),1))</f>
        <v/>
      </c>
      <c r="N2931" s="26">
        <f>IF($H2931="","",TODAY()-$H2931)</f>
        <v/>
      </c>
      <c r="O2931" s="15" t="n"/>
      <c r="P2931" s="15" t="n"/>
      <c r="Q2931" s="15" t="n"/>
      <c r="R2931" s="25" t="n"/>
      <c r="S2931" s="26">
        <f>IF($A2931="","",AND(OR('Assignment Builder'!$B$5="",$B2931='Assignment Builder'!$B$5),OR('Assignment Builder'!$B$6="",ISNUMBER(SEARCH('Assignment Builder'!$B$6,$C2931))),OR('Assignment Builder'!$B$7="",'Assignment Builder'!$B$7=IFERROR(INDEX('Category Dictionary'!$C$5:$C$135,MATCH($L2931,'Category Dictionary'!$D$5:$D$135,0)),"")),OR('Assignment Builder'!$B$8="",$D2931='Assignment Builder'!$B$8),OR('Assignment Builder'!$B$9="",$F2931='Assignment Builder'!$B$9),OR('Assignment Builder'!$B$10="",$O2931='Assignment Builder'!$B$10),OR('Assignment Builder'!$B$11="",$H2931&gt;='Assignment Builder'!$B$11),OR('Assignment Builder'!$B$12="",N($Q2931)&lt;='Assignment Builder'!$B$12)))</f>
        <v/>
      </c>
      <c r="T2931" s="23" t="n"/>
    </row>
    <row r="2932">
      <c r="A2932" s="23" t="n"/>
      <c r="B2932" s="23" t="n"/>
      <c r="C2932" s="24" t="n"/>
      <c r="D2932" s="15" t="n"/>
      <c r="E2932" s="23" t="n"/>
      <c r="F2932" s="15" t="n"/>
      <c r="G2932" s="23" t="n"/>
      <c r="H2932" s="25" t="n"/>
      <c r="I2932" s="15" t="n"/>
      <c r="J2932" s="26">
        <f>IF($A2932="","",LEN($C2932)-LEN(SUBSTITUTE($C2932,",",""))+1)</f>
        <v/>
      </c>
      <c r="K2932" s="26">
        <f>IF($A2932="","",SUMPRODUCT(--ISNUMBER(SEARCH('Category Dictionary'!$D$5:$D$135&amp;"",$C2932)),--('Category Dictionary'!$D$5:$D$135&lt;&gt;"")))</f>
        <v/>
      </c>
      <c r="L2932" s="27">
        <f>IF($A2932="","",TRIM(IF(ISERROR(FIND(",",$C2932)),$C2932,LEFT($C2932,FIND(",",$C2932)-1))))</f>
        <v/>
      </c>
      <c r="M2932" s="28">
        <f>IF($H2932="","",DATE(YEAR($H2932),MONTH($H2932),1))</f>
        <v/>
      </c>
      <c r="N2932" s="26">
        <f>IF($H2932="","",TODAY()-$H2932)</f>
        <v/>
      </c>
      <c r="O2932" s="15" t="n"/>
      <c r="P2932" s="15" t="n"/>
      <c r="Q2932" s="15" t="n"/>
      <c r="R2932" s="25" t="n"/>
      <c r="S2932" s="26">
        <f>IF($A2932="","",AND(OR('Assignment Builder'!$B$5="",$B2932='Assignment Builder'!$B$5),OR('Assignment Builder'!$B$6="",ISNUMBER(SEARCH('Assignment Builder'!$B$6,$C2932))),OR('Assignment Builder'!$B$7="",'Assignment Builder'!$B$7=IFERROR(INDEX('Category Dictionary'!$C$5:$C$135,MATCH($L2932,'Category Dictionary'!$D$5:$D$135,0)),"")),OR('Assignment Builder'!$B$8="",$D2932='Assignment Builder'!$B$8),OR('Assignment Builder'!$B$9="",$F2932='Assignment Builder'!$B$9),OR('Assignment Builder'!$B$10="",$O2932='Assignment Builder'!$B$10),OR('Assignment Builder'!$B$11="",$H2932&gt;='Assignment Builder'!$B$11),OR('Assignment Builder'!$B$12="",N($Q2932)&lt;='Assignment Builder'!$B$12)))</f>
        <v/>
      </c>
      <c r="T2932" s="23" t="n"/>
    </row>
    <row r="2933">
      <c r="A2933" s="23" t="n"/>
      <c r="B2933" s="23" t="n"/>
      <c r="C2933" s="24" t="n"/>
      <c r="D2933" s="15" t="n"/>
      <c r="E2933" s="23" t="n"/>
      <c r="F2933" s="15" t="n"/>
      <c r="G2933" s="23" t="n"/>
      <c r="H2933" s="25" t="n"/>
      <c r="I2933" s="15" t="n"/>
      <c r="J2933" s="26">
        <f>IF($A2933="","",LEN($C2933)-LEN(SUBSTITUTE($C2933,",",""))+1)</f>
        <v/>
      </c>
      <c r="K2933" s="26">
        <f>IF($A2933="","",SUMPRODUCT(--ISNUMBER(SEARCH('Category Dictionary'!$D$5:$D$135&amp;"",$C2933)),--('Category Dictionary'!$D$5:$D$135&lt;&gt;"")))</f>
        <v/>
      </c>
      <c r="L2933" s="27">
        <f>IF($A2933="","",TRIM(IF(ISERROR(FIND(",",$C2933)),$C2933,LEFT($C2933,FIND(",",$C2933)-1))))</f>
        <v/>
      </c>
      <c r="M2933" s="28">
        <f>IF($H2933="","",DATE(YEAR($H2933),MONTH($H2933),1))</f>
        <v/>
      </c>
      <c r="N2933" s="26">
        <f>IF($H2933="","",TODAY()-$H2933)</f>
        <v/>
      </c>
      <c r="O2933" s="15" t="n"/>
      <c r="P2933" s="15" t="n"/>
      <c r="Q2933" s="15" t="n"/>
      <c r="R2933" s="25" t="n"/>
      <c r="S2933" s="26">
        <f>IF($A2933="","",AND(OR('Assignment Builder'!$B$5="",$B2933='Assignment Builder'!$B$5),OR('Assignment Builder'!$B$6="",ISNUMBER(SEARCH('Assignment Builder'!$B$6,$C2933))),OR('Assignment Builder'!$B$7="",'Assignment Builder'!$B$7=IFERROR(INDEX('Category Dictionary'!$C$5:$C$135,MATCH($L2933,'Category Dictionary'!$D$5:$D$135,0)),"")),OR('Assignment Builder'!$B$8="",$D2933='Assignment Builder'!$B$8),OR('Assignment Builder'!$B$9="",$F2933='Assignment Builder'!$B$9),OR('Assignment Builder'!$B$10="",$O2933='Assignment Builder'!$B$10),OR('Assignment Builder'!$B$11="",$H2933&gt;='Assignment Builder'!$B$11),OR('Assignment Builder'!$B$12="",N($Q2933)&lt;='Assignment Builder'!$B$12)))</f>
        <v/>
      </c>
      <c r="T2933" s="23" t="n"/>
    </row>
    <row r="2934">
      <c r="A2934" s="23" t="n"/>
      <c r="B2934" s="23" t="n"/>
      <c r="C2934" s="24" t="n"/>
      <c r="D2934" s="15" t="n"/>
      <c r="E2934" s="23" t="n"/>
      <c r="F2934" s="15" t="n"/>
      <c r="G2934" s="23" t="n"/>
      <c r="H2934" s="25" t="n"/>
      <c r="I2934" s="15" t="n"/>
      <c r="J2934" s="26">
        <f>IF($A2934="","",LEN($C2934)-LEN(SUBSTITUTE($C2934,",",""))+1)</f>
        <v/>
      </c>
      <c r="K2934" s="26">
        <f>IF($A2934="","",SUMPRODUCT(--ISNUMBER(SEARCH('Category Dictionary'!$D$5:$D$135&amp;"",$C2934)),--('Category Dictionary'!$D$5:$D$135&lt;&gt;"")))</f>
        <v/>
      </c>
      <c r="L2934" s="27">
        <f>IF($A2934="","",TRIM(IF(ISERROR(FIND(",",$C2934)),$C2934,LEFT($C2934,FIND(",",$C2934)-1))))</f>
        <v/>
      </c>
      <c r="M2934" s="28">
        <f>IF($H2934="","",DATE(YEAR($H2934),MONTH($H2934),1))</f>
        <v/>
      </c>
      <c r="N2934" s="26">
        <f>IF($H2934="","",TODAY()-$H2934)</f>
        <v/>
      </c>
      <c r="O2934" s="15" t="n"/>
      <c r="P2934" s="15" t="n"/>
      <c r="Q2934" s="15" t="n"/>
      <c r="R2934" s="25" t="n"/>
      <c r="S2934" s="26">
        <f>IF($A2934="","",AND(OR('Assignment Builder'!$B$5="",$B2934='Assignment Builder'!$B$5),OR('Assignment Builder'!$B$6="",ISNUMBER(SEARCH('Assignment Builder'!$B$6,$C2934))),OR('Assignment Builder'!$B$7="",'Assignment Builder'!$B$7=IFERROR(INDEX('Category Dictionary'!$C$5:$C$135,MATCH($L2934,'Category Dictionary'!$D$5:$D$135,0)),"")),OR('Assignment Builder'!$B$8="",$D2934='Assignment Builder'!$B$8),OR('Assignment Builder'!$B$9="",$F2934='Assignment Builder'!$B$9),OR('Assignment Builder'!$B$10="",$O2934='Assignment Builder'!$B$10),OR('Assignment Builder'!$B$11="",$H2934&gt;='Assignment Builder'!$B$11),OR('Assignment Builder'!$B$12="",N($Q2934)&lt;='Assignment Builder'!$B$12)))</f>
        <v/>
      </c>
      <c r="T2934" s="23" t="n"/>
    </row>
    <row r="2935">
      <c r="A2935" s="23" t="n"/>
      <c r="B2935" s="23" t="n"/>
      <c r="C2935" s="24" t="n"/>
      <c r="D2935" s="15" t="n"/>
      <c r="E2935" s="23" t="n"/>
      <c r="F2935" s="15" t="n"/>
      <c r="G2935" s="23" t="n"/>
      <c r="H2935" s="25" t="n"/>
      <c r="I2935" s="15" t="n"/>
      <c r="J2935" s="26">
        <f>IF($A2935="","",LEN($C2935)-LEN(SUBSTITUTE($C2935,",",""))+1)</f>
        <v/>
      </c>
      <c r="K2935" s="26">
        <f>IF($A2935="","",SUMPRODUCT(--ISNUMBER(SEARCH('Category Dictionary'!$D$5:$D$135&amp;"",$C2935)),--('Category Dictionary'!$D$5:$D$135&lt;&gt;"")))</f>
        <v/>
      </c>
      <c r="L2935" s="27">
        <f>IF($A2935="","",TRIM(IF(ISERROR(FIND(",",$C2935)),$C2935,LEFT($C2935,FIND(",",$C2935)-1))))</f>
        <v/>
      </c>
      <c r="M2935" s="28">
        <f>IF($H2935="","",DATE(YEAR($H2935),MONTH($H2935),1))</f>
        <v/>
      </c>
      <c r="N2935" s="26">
        <f>IF($H2935="","",TODAY()-$H2935)</f>
        <v/>
      </c>
      <c r="O2935" s="15" t="n"/>
      <c r="P2935" s="15" t="n"/>
      <c r="Q2935" s="15" t="n"/>
      <c r="R2935" s="25" t="n"/>
      <c r="S2935" s="26">
        <f>IF($A2935="","",AND(OR('Assignment Builder'!$B$5="",$B2935='Assignment Builder'!$B$5),OR('Assignment Builder'!$B$6="",ISNUMBER(SEARCH('Assignment Builder'!$B$6,$C2935))),OR('Assignment Builder'!$B$7="",'Assignment Builder'!$B$7=IFERROR(INDEX('Category Dictionary'!$C$5:$C$135,MATCH($L2935,'Category Dictionary'!$D$5:$D$135,0)),"")),OR('Assignment Builder'!$B$8="",$D2935='Assignment Builder'!$B$8),OR('Assignment Builder'!$B$9="",$F2935='Assignment Builder'!$B$9),OR('Assignment Builder'!$B$10="",$O2935='Assignment Builder'!$B$10),OR('Assignment Builder'!$B$11="",$H2935&gt;='Assignment Builder'!$B$11),OR('Assignment Builder'!$B$12="",N($Q2935)&lt;='Assignment Builder'!$B$12)))</f>
        <v/>
      </c>
      <c r="T2935" s="23" t="n"/>
    </row>
    <row r="2936">
      <c r="A2936" s="23" t="n"/>
      <c r="B2936" s="23" t="n"/>
      <c r="C2936" s="24" t="n"/>
      <c r="D2936" s="15" t="n"/>
      <c r="E2936" s="23" t="n"/>
      <c r="F2936" s="15" t="n"/>
      <c r="G2936" s="23" t="n"/>
      <c r="H2936" s="25" t="n"/>
      <c r="I2936" s="15" t="n"/>
      <c r="J2936" s="26">
        <f>IF($A2936="","",LEN($C2936)-LEN(SUBSTITUTE($C2936,",",""))+1)</f>
        <v/>
      </c>
      <c r="K2936" s="26">
        <f>IF($A2936="","",SUMPRODUCT(--ISNUMBER(SEARCH('Category Dictionary'!$D$5:$D$135&amp;"",$C2936)),--('Category Dictionary'!$D$5:$D$135&lt;&gt;"")))</f>
        <v/>
      </c>
      <c r="L2936" s="27">
        <f>IF($A2936="","",TRIM(IF(ISERROR(FIND(",",$C2936)),$C2936,LEFT($C2936,FIND(",",$C2936)-1))))</f>
        <v/>
      </c>
      <c r="M2936" s="28">
        <f>IF($H2936="","",DATE(YEAR($H2936),MONTH($H2936),1))</f>
        <v/>
      </c>
      <c r="N2936" s="26">
        <f>IF($H2936="","",TODAY()-$H2936)</f>
        <v/>
      </c>
      <c r="O2936" s="15" t="n"/>
      <c r="P2936" s="15" t="n"/>
      <c r="Q2936" s="15" t="n"/>
      <c r="R2936" s="25" t="n"/>
      <c r="S2936" s="26">
        <f>IF($A2936="","",AND(OR('Assignment Builder'!$B$5="",$B2936='Assignment Builder'!$B$5),OR('Assignment Builder'!$B$6="",ISNUMBER(SEARCH('Assignment Builder'!$B$6,$C2936))),OR('Assignment Builder'!$B$7="",'Assignment Builder'!$B$7=IFERROR(INDEX('Category Dictionary'!$C$5:$C$135,MATCH($L2936,'Category Dictionary'!$D$5:$D$135,0)),"")),OR('Assignment Builder'!$B$8="",$D2936='Assignment Builder'!$B$8),OR('Assignment Builder'!$B$9="",$F2936='Assignment Builder'!$B$9),OR('Assignment Builder'!$B$10="",$O2936='Assignment Builder'!$B$10),OR('Assignment Builder'!$B$11="",$H2936&gt;='Assignment Builder'!$B$11),OR('Assignment Builder'!$B$12="",N($Q2936)&lt;='Assignment Builder'!$B$12)))</f>
        <v/>
      </c>
      <c r="T2936" s="23" t="n"/>
    </row>
    <row r="2937">
      <c r="A2937" s="23" t="n"/>
      <c r="B2937" s="23" t="n"/>
      <c r="C2937" s="24" t="n"/>
      <c r="D2937" s="15" t="n"/>
      <c r="E2937" s="23" t="n"/>
      <c r="F2937" s="15" t="n"/>
      <c r="G2937" s="23" t="n"/>
      <c r="H2937" s="25" t="n"/>
      <c r="I2937" s="15" t="n"/>
      <c r="J2937" s="26">
        <f>IF($A2937="","",LEN($C2937)-LEN(SUBSTITUTE($C2937,",",""))+1)</f>
        <v/>
      </c>
      <c r="K2937" s="26">
        <f>IF($A2937="","",SUMPRODUCT(--ISNUMBER(SEARCH('Category Dictionary'!$D$5:$D$135&amp;"",$C2937)),--('Category Dictionary'!$D$5:$D$135&lt;&gt;"")))</f>
        <v/>
      </c>
      <c r="L2937" s="27">
        <f>IF($A2937="","",TRIM(IF(ISERROR(FIND(",",$C2937)),$C2937,LEFT($C2937,FIND(",",$C2937)-1))))</f>
        <v/>
      </c>
      <c r="M2937" s="28">
        <f>IF($H2937="","",DATE(YEAR($H2937),MONTH($H2937),1))</f>
        <v/>
      </c>
      <c r="N2937" s="26">
        <f>IF($H2937="","",TODAY()-$H2937)</f>
        <v/>
      </c>
      <c r="O2937" s="15" t="n"/>
      <c r="P2937" s="15" t="n"/>
      <c r="Q2937" s="15" t="n"/>
      <c r="R2937" s="25" t="n"/>
      <c r="S2937" s="26">
        <f>IF($A2937="","",AND(OR('Assignment Builder'!$B$5="",$B2937='Assignment Builder'!$B$5),OR('Assignment Builder'!$B$6="",ISNUMBER(SEARCH('Assignment Builder'!$B$6,$C2937))),OR('Assignment Builder'!$B$7="",'Assignment Builder'!$B$7=IFERROR(INDEX('Category Dictionary'!$C$5:$C$135,MATCH($L2937,'Category Dictionary'!$D$5:$D$135,0)),"")),OR('Assignment Builder'!$B$8="",$D2937='Assignment Builder'!$B$8),OR('Assignment Builder'!$B$9="",$F2937='Assignment Builder'!$B$9),OR('Assignment Builder'!$B$10="",$O2937='Assignment Builder'!$B$10),OR('Assignment Builder'!$B$11="",$H2937&gt;='Assignment Builder'!$B$11),OR('Assignment Builder'!$B$12="",N($Q2937)&lt;='Assignment Builder'!$B$12)))</f>
        <v/>
      </c>
      <c r="T2937" s="23" t="n"/>
    </row>
    <row r="2938">
      <c r="A2938" s="23" t="n"/>
      <c r="B2938" s="23" t="n"/>
      <c r="C2938" s="24" t="n"/>
      <c r="D2938" s="15" t="n"/>
      <c r="E2938" s="23" t="n"/>
      <c r="F2938" s="15" t="n"/>
      <c r="G2938" s="23" t="n"/>
      <c r="H2938" s="25" t="n"/>
      <c r="I2938" s="15" t="n"/>
      <c r="J2938" s="26">
        <f>IF($A2938="","",LEN($C2938)-LEN(SUBSTITUTE($C2938,",",""))+1)</f>
        <v/>
      </c>
      <c r="K2938" s="26">
        <f>IF($A2938="","",SUMPRODUCT(--ISNUMBER(SEARCH('Category Dictionary'!$D$5:$D$135&amp;"",$C2938)),--('Category Dictionary'!$D$5:$D$135&lt;&gt;"")))</f>
        <v/>
      </c>
      <c r="L2938" s="27">
        <f>IF($A2938="","",TRIM(IF(ISERROR(FIND(",",$C2938)),$C2938,LEFT($C2938,FIND(",",$C2938)-1))))</f>
        <v/>
      </c>
      <c r="M2938" s="28">
        <f>IF($H2938="","",DATE(YEAR($H2938),MONTH($H2938),1))</f>
        <v/>
      </c>
      <c r="N2938" s="26">
        <f>IF($H2938="","",TODAY()-$H2938)</f>
        <v/>
      </c>
      <c r="O2938" s="15" t="n"/>
      <c r="P2938" s="15" t="n"/>
      <c r="Q2938" s="15" t="n"/>
      <c r="R2938" s="25" t="n"/>
      <c r="S2938" s="26">
        <f>IF($A2938="","",AND(OR('Assignment Builder'!$B$5="",$B2938='Assignment Builder'!$B$5),OR('Assignment Builder'!$B$6="",ISNUMBER(SEARCH('Assignment Builder'!$B$6,$C2938))),OR('Assignment Builder'!$B$7="",'Assignment Builder'!$B$7=IFERROR(INDEX('Category Dictionary'!$C$5:$C$135,MATCH($L2938,'Category Dictionary'!$D$5:$D$135,0)),"")),OR('Assignment Builder'!$B$8="",$D2938='Assignment Builder'!$B$8),OR('Assignment Builder'!$B$9="",$F2938='Assignment Builder'!$B$9),OR('Assignment Builder'!$B$10="",$O2938='Assignment Builder'!$B$10),OR('Assignment Builder'!$B$11="",$H2938&gt;='Assignment Builder'!$B$11),OR('Assignment Builder'!$B$12="",N($Q2938)&lt;='Assignment Builder'!$B$12)))</f>
        <v/>
      </c>
      <c r="T2938" s="23" t="n"/>
    </row>
    <row r="2939">
      <c r="A2939" s="23" t="n"/>
      <c r="B2939" s="23" t="n"/>
      <c r="C2939" s="24" t="n"/>
      <c r="D2939" s="15" t="n"/>
      <c r="E2939" s="23" t="n"/>
      <c r="F2939" s="15" t="n"/>
      <c r="G2939" s="23" t="n"/>
      <c r="H2939" s="25" t="n"/>
      <c r="I2939" s="15" t="n"/>
      <c r="J2939" s="26">
        <f>IF($A2939="","",LEN($C2939)-LEN(SUBSTITUTE($C2939,",",""))+1)</f>
        <v/>
      </c>
      <c r="K2939" s="26">
        <f>IF($A2939="","",SUMPRODUCT(--ISNUMBER(SEARCH('Category Dictionary'!$D$5:$D$135&amp;"",$C2939)),--('Category Dictionary'!$D$5:$D$135&lt;&gt;"")))</f>
        <v/>
      </c>
      <c r="L2939" s="27">
        <f>IF($A2939="","",TRIM(IF(ISERROR(FIND(",",$C2939)),$C2939,LEFT($C2939,FIND(",",$C2939)-1))))</f>
        <v/>
      </c>
      <c r="M2939" s="28">
        <f>IF($H2939="","",DATE(YEAR($H2939),MONTH($H2939),1))</f>
        <v/>
      </c>
      <c r="N2939" s="26">
        <f>IF($H2939="","",TODAY()-$H2939)</f>
        <v/>
      </c>
      <c r="O2939" s="15" t="n"/>
      <c r="P2939" s="15" t="n"/>
      <c r="Q2939" s="15" t="n"/>
      <c r="R2939" s="25" t="n"/>
      <c r="S2939" s="26">
        <f>IF($A2939="","",AND(OR('Assignment Builder'!$B$5="",$B2939='Assignment Builder'!$B$5),OR('Assignment Builder'!$B$6="",ISNUMBER(SEARCH('Assignment Builder'!$B$6,$C2939))),OR('Assignment Builder'!$B$7="",'Assignment Builder'!$B$7=IFERROR(INDEX('Category Dictionary'!$C$5:$C$135,MATCH($L2939,'Category Dictionary'!$D$5:$D$135,0)),"")),OR('Assignment Builder'!$B$8="",$D2939='Assignment Builder'!$B$8),OR('Assignment Builder'!$B$9="",$F2939='Assignment Builder'!$B$9),OR('Assignment Builder'!$B$10="",$O2939='Assignment Builder'!$B$10),OR('Assignment Builder'!$B$11="",$H2939&gt;='Assignment Builder'!$B$11),OR('Assignment Builder'!$B$12="",N($Q2939)&lt;='Assignment Builder'!$B$12)))</f>
        <v/>
      </c>
      <c r="T2939" s="23" t="n"/>
    </row>
    <row r="2940">
      <c r="A2940" s="23" t="n"/>
      <c r="B2940" s="23" t="n"/>
      <c r="C2940" s="24" t="n"/>
      <c r="D2940" s="15" t="n"/>
      <c r="E2940" s="23" t="n"/>
      <c r="F2940" s="15" t="n"/>
      <c r="G2940" s="23" t="n"/>
      <c r="H2940" s="25" t="n"/>
      <c r="I2940" s="15" t="n"/>
      <c r="J2940" s="26">
        <f>IF($A2940="","",LEN($C2940)-LEN(SUBSTITUTE($C2940,",",""))+1)</f>
        <v/>
      </c>
      <c r="K2940" s="26">
        <f>IF($A2940="","",SUMPRODUCT(--ISNUMBER(SEARCH('Category Dictionary'!$D$5:$D$135&amp;"",$C2940)),--('Category Dictionary'!$D$5:$D$135&lt;&gt;"")))</f>
        <v/>
      </c>
      <c r="L2940" s="27">
        <f>IF($A2940="","",TRIM(IF(ISERROR(FIND(",",$C2940)),$C2940,LEFT($C2940,FIND(",",$C2940)-1))))</f>
        <v/>
      </c>
      <c r="M2940" s="28">
        <f>IF($H2940="","",DATE(YEAR($H2940),MONTH($H2940),1))</f>
        <v/>
      </c>
      <c r="N2940" s="26">
        <f>IF($H2940="","",TODAY()-$H2940)</f>
        <v/>
      </c>
      <c r="O2940" s="15" t="n"/>
      <c r="P2940" s="15" t="n"/>
      <c r="Q2940" s="15" t="n"/>
      <c r="R2940" s="25" t="n"/>
      <c r="S2940" s="26">
        <f>IF($A2940="","",AND(OR('Assignment Builder'!$B$5="",$B2940='Assignment Builder'!$B$5),OR('Assignment Builder'!$B$6="",ISNUMBER(SEARCH('Assignment Builder'!$B$6,$C2940))),OR('Assignment Builder'!$B$7="",'Assignment Builder'!$B$7=IFERROR(INDEX('Category Dictionary'!$C$5:$C$135,MATCH($L2940,'Category Dictionary'!$D$5:$D$135,0)),"")),OR('Assignment Builder'!$B$8="",$D2940='Assignment Builder'!$B$8),OR('Assignment Builder'!$B$9="",$F2940='Assignment Builder'!$B$9),OR('Assignment Builder'!$B$10="",$O2940='Assignment Builder'!$B$10),OR('Assignment Builder'!$B$11="",$H2940&gt;='Assignment Builder'!$B$11),OR('Assignment Builder'!$B$12="",N($Q2940)&lt;='Assignment Builder'!$B$12)))</f>
        <v/>
      </c>
      <c r="T2940" s="23" t="n"/>
    </row>
    <row r="2941">
      <c r="A2941" s="23" t="n"/>
      <c r="B2941" s="23" t="n"/>
      <c r="C2941" s="24" t="n"/>
      <c r="D2941" s="15" t="n"/>
      <c r="E2941" s="23" t="n"/>
      <c r="F2941" s="15" t="n"/>
      <c r="G2941" s="23" t="n"/>
      <c r="H2941" s="25" t="n"/>
      <c r="I2941" s="15" t="n"/>
      <c r="J2941" s="26">
        <f>IF($A2941="","",LEN($C2941)-LEN(SUBSTITUTE($C2941,",",""))+1)</f>
        <v/>
      </c>
      <c r="K2941" s="26">
        <f>IF($A2941="","",SUMPRODUCT(--ISNUMBER(SEARCH('Category Dictionary'!$D$5:$D$135&amp;"",$C2941)),--('Category Dictionary'!$D$5:$D$135&lt;&gt;"")))</f>
        <v/>
      </c>
      <c r="L2941" s="27">
        <f>IF($A2941="","",TRIM(IF(ISERROR(FIND(",",$C2941)),$C2941,LEFT($C2941,FIND(",",$C2941)-1))))</f>
        <v/>
      </c>
      <c r="M2941" s="28">
        <f>IF($H2941="","",DATE(YEAR($H2941),MONTH($H2941),1))</f>
        <v/>
      </c>
      <c r="N2941" s="26">
        <f>IF($H2941="","",TODAY()-$H2941)</f>
        <v/>
      </c>
      <c r="O2941" s="15" t="n"/>
      <c r="P2941" s="15" t="n"/>
      <c r="Q2941" s="15" t="n"/>
      <c r="R2941" s="25" t="n"/>
      <c r="S2941" s="26">
        <f>IF($A2941="","",AND(OR('Assignment Builder'!$B$5="",$B2941='Assignment Builder'!$B$5),OR('Assignment Builder'!$B$6="",ISNUMBER(SEARCH('Assignment Builder'!$B$6,$C2941))),OR('Assignment Builder'!$B$7="",'Assignment Builder'!$B$7=IFERROR(INDEX('Category Dictionary'!$C$5:$C$135,MATCH($L2941,'Category Dictionary'!$D$5:$D$135,0)),"")),OR('Assignment Builder'!$B$8="",$D2941='Assignment Builder'!$B$8),OR('Assignment Builder'!$B$9="",$F2941='Assignment Builder'!$B$9),OR('Assignment Builder'!$B$10="",$O2941='Assignment Builder'!$B$10),OR('Assignment Builder'!$B$11="",$H2941&gt;='Assignment Builder'!$B$11),OR('Assignment Builder'!$B$12="",N($Q2941)&lt;='Assignment Builder'!$B$12)))</f>
        <v/>
      </c>
      <c r="T2941" s="23" t="n"/>
    </row>
    <row r="2942">
      <c r="A2942" s="23" t="n"/>
      <c r="B2942" s="23" t="n"/>
      <c r="C2942" s="24" t="n"/>
      <c r="D2942" s="15" t="n"/>
      <c r="E2942" s="23" t="n"/>
      <c r="F2942" s="15" t="n"/>
      <c r="G2942" s="23" t="n"/>
      <c r="H2942" s="25" t="n"/>
      <c r="I2942" s="15" t="n"/>
      <c r="J2942" s="26">
        <f>IF($A2942="","",LEN($C2942)-LEN(SUBSTITUTE($C2942,",",""))+1)</f>
        <v/>
      </c>
      <c r="K2942" s="26">
        <f>IF($A2942="","",SUMPRODUCT(--ISNUMBER(SEARCH('Category Dictionary'!$D$5:$D$135&amp;"",$C2942)),--('Category Dictionary'!$D$5:$D$135&lt;&gt;"")))</f>
        <v/>
      </c>
      <c r="L2942" s="27">
        <f>IF($A2942="","",TRIM(IF(ISERROR(FIND(",",$C2942)),$C2942,LEFT($C2942,FIND(",",$C2942)-1))))</f>
        <v/>
      </c>
      <c r="M2942" s="28">
        <f>IF($H2942="","",DATE(YEAR($H2942),MONTH($H2942),1))</f>
        <v/>
      </c>
      <c r="N2942" s="26">
        <f>IF($H2942="","",TODAY()-$H2942)</f>
        <v/>
      </c>
      <c r="O2942" s="15" t="n"/>
      <c r="P2942" s="15" t="n"/>
      <c r="Q2942" s="15" t="n"/>
      <c r="R2942" s="25" t="n"/>
      <c r="S2942" s="26">
        <f>IF($A2942="","",AND(OR('Assignment Builder'!$B$5="",$B2942='Assignment Builder'!$B$5),OR('Assignment Builder'!$B$6="",ISNUMBER(SEARCH('Assignment Builder'!$B$6,$C2942))),OR('Assignment Builder'!$B$7="",'Assignment Builder'!$B$7=IFERROR(INDEX('Category Dictionary'!$C$5:$C$135,MATCH($L2942,'Category Dictionary'!$D$5:$D$135,0)),"")),OR('Assignment Builder'!$B$8="",$D2942='Assignment Builder'!$B$8),OR('Assignment Builder'!$B$9="",$F2942='Assignment Builder'!$B$9),OR('Assignment Builder'!$B$10="",$O2942='Assignment Builder'!$B$10),OR('Assignment Builder'!$B$11="",$H2942&gt;='Assignment Builder'!$B$11),OR('Assignment Builder'!$B$12="",N($Q2942)&lt;='Assignment Builder'!$B$12)))</f>
        <v/>
      </c>
      <c r="T2942" s="23" t="n"/>
    </row>
    <row r="2943">
      <c r="A2943" s="23" t="n"/>
      <c r="B2943" s="23" t="n"/>
      <c r="C2943" s="24" t="n"/>
      <c r="D2943" s="15" t="n"/>
      <c r="E2943" s="23" t="n"/>
      <c r="F2943" s="15" t="n"/>
      <c r="G2943" s="23" t="n"/>
      <c r="H2943" s="25" t="n"/>
      <c r="I2943" s="15" t="n"/>
      <c r="J2943" s="26">
        <f>IF($A2943="","",LEN($C2943)-LEN(SUBSTITUTE($C2943,",",""))+1)</f>
        <v/>
      </c>
      <c r="K2943" s="26">
        <f>IF($A2943="","",SUMPRODUCT(--ISNUMBER(SEARCH('Category Dictionary'!$D$5:$D$135&amp;"",$C2943)),--('Category Dictionary'!$D$5:$D$135&lt;&gt;"")))</f>
        <v/>
      </c>
      <c r="L2943" s="27">
        <f>IF($A2943="","",TRIM(IF(ISERROR(FIND(",",$C2943)),$C2943,LEFT($C2943,FIND(",",$C2943)-1))))</f>
        <v/>
      </c>
      <c r="M2943" s="28">
        <f>IF($H2943="","",DATE(YEAR($H2943),MONTH($H2943),1))</f>
        <v/>
      </c>
      <c r="N2943" s="26">
        <f>IF($H2943="","",TODAY()-$H2943)</f>
        <v/>
      </c>
      <c r="O2943" s="15" t="n"/>
      <c r="P2943" s="15" t="n"/>
      <c r="Q2943" s="15" t="n"/>
      <c r="R2943" s="25" t="n"/>
      <c r="S2943" s="26">
        <f>IF($A2943="","",AND(OR('Assignment Builder'!$B$5="",$B2943='Assignment Builder'!$B$5),OR('Assignment Builder'!$B$6="",ISNUMBER(SEARCH('Assignment Builder'!$B$6,$C2943))),OR('Assignment Builder'!$B$7="",'Assignment Builder'!$B$7=IFERROR(INDEX('Category Dictionary'!$C$5:$C$135,MATCH($L2943,'Category Dictionary'!$D$5:$D$135,0)),"")),OR('Assignment Builder'!$B$8="",$D2943='Assignment Builder'!$B$8),OR('Assignment Builder'!$B$9="",$F2943='Assignment Builder'!$B$9),OR('Assignment Builder'!$B$10="",$O2943='Assignment Builder'!$B$10),OR('Assignment Builder'!$B$11="",$H2943&gt;='Assignment Builder'!$B$11),OR('Assignment Builder'!$B$12="",N($Q2943)&lt;='Assignment Builder'!$B$12)))</f>
        <v/>
      </c>
      <c r="T2943" s="23" t="n"/>
    </row>
    <row r="2944">
      <c r="A2944" s="23" t="n"/>
      <c r="B2944" s="23" t="n"/>
      <c r="C2944" s="24" t="n"/>
      <c r="D2944" s="15" t="n"/>
      <c r="E2944" s="23" t="n"/>
      <c r="F2944" s="15" t="n"/>
      <c r="G2944" s="23" t="n"/>
      <c r="H2944" s="25" t="n"/>
      <c r="I2944" s="15" t="n"/>
      <c r="J2944" s="26">
        <f>IF($A2944="","",LEN($C2944)-LEN(SUBSTITUTE($C2944,",",""))+1)</f>
        <v/>
      </c>
      <c r="K2944" s="26">
        <f>IF($A2944="","",SUMPRODUCT(--ISNUMBER(SEARCH('Category Dictionary'!$D$5:$D$135&amp;"",$C2944)),--('Category Dictionary'!$D$5:$D$135&lt;&gt;"")))</f>
        <v/>
      </c>
      <c r="L2944" s="27">
        <f>IF($A2944="","",TRIM(IF(ISERROR(FIND(",",$C2944)),$C2944,LEFT($C2944,FIND(",",$C2944)-1))))</f>
        <v/>
      </c>
      <c r="M2944" s="28">
        <f>IF($H2944="","",DATE(YEAR($H2944),MONTH($H2944),1))</f>
        <v/>
      </c>
      <c r="N2944" s="26">
        <f>IF($H2944="","",TODAY()-$H2944)</f>
        <v/>
      </c>
      <c r="O2944" s="15" t="n"/>
      <c r="P2944" s="15" t="n"/>
      <c r="Q2944" s="15" t="n"/>
      <c r="R2944" s="25" t="n"/>
      <c r="S2944" s="26">
        <f>IF($A2944="","",AND(OR('Assignment Builder'!$B$5="",$B2944='Assignment Builder'!$B$5),OR('Assignment Builder'!$B$6="",ISNUMBER(SEARCH('Assignment Builder'!$B$6,$C2944))),OR('Assignment Builder'!$B$7="",'Assignment Builder'!$B$7=IFERROR(INDEX('Category Dictionary'!$C$5:$C$135,MATCH($L2944,'Category Dictionary'!$D$5:$D$135,0)),"")),OR('Assignment Builder'!$B$8="",$D2944='Assignment Builder'!$B$8),OR('Assignment Builder'!$B$9="",$F2944='Assignment Builder'!$B$9),OR('Assignment Builder'!$B$10="",$O2944='Assignment Builder'!$B$10),OR('Assignment Builder'!$B$11="",$H2944&gt;='Assignment Builder'!$B$11),OR('Assignment Builder'!$B$12="",N($Q2944)&lt;='Assignment Builder'!$B$12)))</f>
        <v/>
      </c>
      <c r="T2944" s="23" t="n"/>
    </row>
    <row r="2945">
      <c r="A2945" s="23" t="n"/>
      <c r="B2945" s="23" t="n"/>
      <c r="C2945" s="24" t="n"/>
      <c r="D2945" s="15" t="n"/>
      <c r="E2945" s="23" t="n"/>
      <c r="F2945" s="15" t="n"/>
      <c r="G2945" s="23" t="n"/>
      <c r="H2945" s="25" t="n"/>
      <c r="I2945" s="15" t="n"/>
      <c r="J2945" s="26">
        <f>IF($A2945="","",LEN($C2945)-LEN(SUBSTITUTE($C2945,",",""))+1)</f>
        <v/>
      </c>
      <c r="K2945" s="26">
        <f>IF($A2945="","",SUMPRODUCT(--ISNUMBER(SEARCH('Category Dictionary'!$D$5:$D$135&amp;"",$C2945)),--('Category Dictionary'!$D$5:$D$135&lt;&gt;"")))</f>
        <v/>
      </c>
      <c r="L2945" s="27">
        <f>IF($A2945="","",TRIM(IF(ISERROR(FIND(",",$C2945)),$C2945,LEFT($C2945,FIND(",",$C2945)-1))))</f>
        <v/>
      </c>
      <c r="M2945" s="28">
        <f>IF($H2945="","",DATE(YEAR($H2945),MONTH($H2945),1))</f>
        <v/>
      </c>
      <c r="N2945" s="26">
        <f>IF($H2945="","",TODAY()-$H2945)</f>
        <v/>
      </c>
      <c r="O2945" s="15" t="n"/>
      <c r="P2945" s="15" t="n"/>
      <c r="Q2945" s="15" t="n"/>
      <c r="R2945" s="25" t="n"/>
      <c r="S2945" s="26">
        <f>IF($A2945="","",AND(OR('Assignment Builder'!$B$5="",$B2945='Assignment Builder'!$B$5),OR('Assignment Builder'!$B$6="",ISNUMBER(SEARCH('Assignment Builder'!$B$6,$C2945))),OR('Assignment Builder'!$B$7="",'Assignment Builder'!$B$7=IFERROR(INDEX('Category Dictionary'!$C$5:$C$135,MATCH($L2945,'Category Dictionary'!$D$5:$D$135,0)),"")),OR('Assignment Builder'!$B$8="",$D2945='Assignment Builder'!$B$8),OR('Assignment Builder'!$B$9="",$F2945='Assignment Builder'!$B$9),OR('Assignment Builder'!$B$10="",$O2945='Assignment Builder'!$B$10),OR('Assignment Builder'!$B$11="",$H2945&gt;='Assignment Builder'!$B$11),OR('Assignment Builder'!$B$12="",N($Q2945)&lt;='Assignment Builder'!$B$12)))</f>
        <v/>
      </c>
      <c r="T2945" s="23" t="n"/>
    </row>
    <row r="2946">
      <c r="A2946" s="23" t="n"/>
      <c r="B2946" s="23" t="n"/>
      <c r="C2946" s="24" t="n"/>
      <c r="D2946" s="15" t="n"/>
      <c r="E2946" s="23" t="n"/>
      <c r="F2946" s="15" t="n"/>
      <c r="G2946" s="23" t="n"/>
      <c r="H2946" s="25" t="n"/>
      <c r="I2946" s="15" t="n"/>
      <c r="J2946" s="26">
        <f>IF($A2946="","",LEN($C2946)-LEN(SUBSTITUTE($C2946,",",""))+1)</f>
        <v/>
      </c>
      <c r="K2946" s="26">
        <f>IF($A2946="","",SUMPRODUCT(--ISNUMBER(SEARCH('Category Dictionary'!$D$5:$D$135&amp;"",$C2946)),--('Category Dictionary'!$D$5:$D$135&lt;&gt;"")))</f>
        <v/>
      </c>
      <c r="L2946" s="27">
        <f>IF($A2946="","",TRIM(IF(ISERROR(FIND(",",$C2946)),$C2946,LEFT($C2946,FIND(",",$C2946)-1))))</f>
        <v/>
      </c>
      <c r="M2946" s="28">
        <f>IF($H2946="","",DATE(YEAR($H2946),MONTH($H2946),1))</f>
        <v/>
      </c>
      <c r="N2946" s="26">
        <f>IF($H2946="","",TODAY()-$H2946)</f>
        <v/>
      </c>
      <c r="O2946" s="15" t="n"/>
      <c r="P2946" s="15" t="n"/>
      <c r="Q2946" s="15" t="n"/>
      <c r="R2946" s="25" t="n"/>
      <c r="S2946" s="26">
        <f>IF($A2946="","",AND(OR('Assignment Builder'!$B$5="",$B2946='Assignment Builder'!$B$5),OR('Assignment Builder'!$B$6="",ISNUMBER(SEARCH('Assignment Builder'!$B$6,$C2946))),OR('Assignment Builder'!$B$7="",'Assignment Builder'!$B$7=IFERROR(INDEX('Category Dictionary'!$C$5:$C$135,MATCH($L2946,'Category Dictionary'!$D$5:$D$135,0)),"")),OR('Assignment Builder'!$B$8="",$D2946='Assignment Builder'!$B$8),OR('Assignment Builder'!$B$9="",$F2946='Assignment Builder'!$B$9),OR('Assignment Builder'!$B$10="",$O2946='Assignment Builder'!$B$10),OR('Assignment Builder'!$B$11="",$H2946&gt;='Assignment Builder'!$B$11),OR('Assignment Builder'!$B$12="",N($Q2946)&lt;='Assignment Builder'!$B$12)))</f>
        <v/>
      </c>
      <c r="T2946" s="23" t="n"/>
    </row>
    <row r="2947">
      <c r="A2947" s="23" t="n"/>
      <c r="B2947" s="23" t="n"/>
      <c r="C2947" s="24" t="n"/>
      <c r="D2947" s="15" t="n"/>
      <c r="E2947" s="23" t="n"/>
      <c r="F2947" s="15" t="n"/>
      <c r="G2947" s="23" t="n"/>
      <c r="H2947" s="25" t="n"/>
      <c r="I2947" s="15" t="n"/>
      <c r="J2947" s="26">
        <f>IF($A2947="","",LEN($C2947)-LEN(SUBSTITUTE($C2947,",",""))+1)</f>
        <v/>
      </c>
      <c r="K2947" s="26">
        <f>IF($A2947="","",SUMPRODUCT(--ISNUMBER(SEARCH('Category Dictionary'!$D$5:$D$135&amp;"",$C2947)),--('Category Dictionary'!$D$5:$D$135&lt;&gt;"")))</f>
        <v/>
      </c>
      <c r="L2947" s="27">
        <f>IF($A2947="","",TRIM(IF(ISERROR(FIND(",",$C2947)),$C2947,LEFT($C2947,FIND(",",$C2947)-1))))</f>
        <v/>
      </c>
      <c r="M2947" s="28">
        <f>IF($H2947="","",DATE(YEAR($H2947),MONTH($H2947),1))</f>
        <v/>
      </c>
      <c r="N2947" s="26">
        <f>IF($H2947="","",TODAY()-$H2947)</f>
        <v/>
      </c>
      <c r="O2947" s="15" t="n"/>
      <c r="P2947" s="15" t="n"/>
      <c r="Q2947" s="15" t="n"/>
      <c r="R2947" s="25" t="n"/>
      <c r="S2947" s="26">
        <f>IF($A2947="","",AND(OR('Assignment Builder'!$B$5="",$B2947='Assignment Builder'!$B$5),OR('Assignment Builder'!$B$6="",ISNUMBER(SEARCH('Assignment Builder'!$B$6,$C2947))),OR('Assignment Builder'!$B$7="",'Assignment Builder'!$B$7=IFERROR(INDEX('Category Dictionary'!$C$5:$C$135,MATCH($L2947,'Category Dictionary'!$D$5:$D$135,0)),"")),OR('Assignment Builder'!$B$8="",$D2947='Assignment Builder'!$B$8),OR('Assignment Builder'!$B$9="",$F2947='Assignment Builder'!$B$9),OR('Assignment Builder'!$B$10="",$O2947='Assignment Builder'!$B$10),OR('Assignment Builder'!$B$11="",$H2947&gt;='Assignment Builder'!$B$11),OR('Assignment Builder'!$B$12="",N($Q2947)&lt;='Assignment Builder'!$B$12)))</f>
        <v/>
      </c>
      <c r="T2947" s="23" t="n"/>
    </row>
    <row r="2948">
      <c r="A2948" s="23" t="n"/>
      <c r="B2948" s="23" t="n"/>
      <c r="C2948" s="24" t="n"/>
      <c r="D2948" s="15" t="n"/>
      <c r="E2948" s="23" t="n"/>
      <c r="F2948" s="15" t="n"/>
      <c r="G2948" s="23" t="n"/>
      <c r="H2948" s="25" t="n"/>
      <c r="I2948" s="15" t="n"/>
      <c r="J2948" s="26">
        <f>IF($A2948="","",LEN($C2948)-LEN(SUBSTITUTE($C2948,",",""))+1)</f>
        <v/>
      </c>
      <c r="K2948" s="26">
        <f>IF($A2948="","",SUMPRODUCT(--ISNUMBER(SEARCH('Category Dictionary'!$D$5:$D$135&amp;"",$C2948)),--('Category Dictionary'!$D$5:$D$135&lt;&gt;"")))</f>
        <v/>
      </c>
      <c r="L2948" s="27">
        <f>IF($A2948="","",TRIM(IF(ISERROR(FIND(",",$C2948)),$C2948,LEFT($C2948,FIND(",",$C2948)-1))))</f>
        <v/>
      </c>
      <c r="M2948" s="28">
        <f>IF($H2948="","",DATE(YEAR($H2948),MONTH($H2948),1))</f>
        <v/>
      </c>
      <c r="N2948" s="26">
        <f>IF($H2948="","",TODAY()-$H2948)</f>
        <v/>
      </c>
      <c r="O2948" s="15" t="n"/>
      <c r="P2948" s="15" t="n"/>
      <c r="Q2948" s="15" t="n"/>
      <c r="R2948" s="25" t="n"/>
      <c r="S2948" s="26">
        <f>IF($A2948="","",AND(OR('Assignment Builder'!$B$5="",$B2948='Assignment Builder'!$B$5),OR('Assignment Builder'!$B$6="",ISNUMBER(SEARCH('Assignment Builder'!$B$6,$C2948))),OR('Assignment Builder'!$B$7="",'Assignment Builder'!$B$7=IFERROR(INDEX('Category Dictionary'!$C$5:$C$135,MATCH($L2948,'Category Dictionary'!$D$5:$D$135,0)),"")),OR('Assignment Builder'!$B$8="",$D2948='Assignment Builder'!$B$8),OR('Assignment Builder'!$B$9="",$F2948='Assignment Builder'!$B$9),OR('Assignment Builder'!$B$10="",$O2948='Assignment Builder'!$B$10),OR('Assignment Builder'!$B$11="",$H2948&gt;='Assignment Builder'!$B$11),OR('Assignment Builder'!$B$12="",N($Q2948)&lt;='Assignment Builder'!$B$12)))</f>
        <v/>
      </c>
      <c r="T2948" s="23" t="n"/>
    </row>
    <row r="2949">
      <c r="A2949" s="23" t="n"/>
      <c r="B2949" s="23" t="n"/>
      <c r="C2949" s="24" t="n"/>
      <c r="D2949" s="15" t="n"/>
      <c r="E2949" s="23" t="n"/>
      <c r="F2949" s="15" t="n"/>
      <c r="G2949" s="23" t="n"/>
      <c r="H2949" s="25" t="n"/>
      <c r="I2949" s="15" t="n"/>
      <c r="J2949" s="26">
        <f>IF($A2949="","",LEN($C2949)-LEN(SUBSTITUTE($C2949,",",""))+1)</f>
        <v/>
      </c>
      <c r="K2949" s="26">
        <f>IF($A2949="","",SUMPRODUCT(--ISNUMBER(SEARCH('Category Dictionary'!$D$5:$D$135&amp;"",$C2949)),--('Category Dictionary'!$D$5:$D$135&lt;&gt;"")))</f>
        <v/>
      </c>
      <c r="L2949" s="27">
        <f>IF($A2949="","",TRIM(IF(ISERROR(FIND(",",$C2949)),$C2949,LEFT($C2949,FIND(",",$C2949)-1))))</f>
        <v/>
      </c>
      <c r="M2949" s="28">
        <f>IF($H2949="","",DATE(YEAR($H2949),MONTH($H2949),1))</f>
        <v/>
      </c>
      <c r="N2949" s="26">
        <f>IF($H2949="","",TODAY()-$H2949)</f>
        <v/>
      </c>
      <c r="O2949" s="15" t="n"/>
      <c r="P2949" s="15" t="n"/>
      <c r="Q2949" s="15" t="n"/>
      <c r="R2949" s="25" t="n"/>
      <c r="S2949" s="26">
        <f>IF($A2949="","",AND(OR('Assignment Builder'!$B$5="",$B2949='Assignment Builder'!$B$5),OR('Assignment Builder'!$B$6="",ISNUMBER(SEARCH('Assignment Builder'!$B$6,$C2949))),OR('Assignment Builder'!$B$7="",'Assignment Builder'!$B$7=IFERROR(INDEX('Category Dictionary'!$C$5:$C$135,MATCH($L2949,'Category Dictionary'!$D$5:$D$135,0)),"")),OR('Assignment Builder'!$B$8="",$D2949='Assignment Builder'!$B$8),OR('Assignment Builder'!$B$9="",$F2949='Assignment Builder'!$B$9),OR('Assignment Builder'!$B$10="",$O2949='Assignment Builder'!$B$10),OR('Assignment Builder'!$B$11="",$H2949&gt;='Assignment Builder'!$B$11),OR('Assignment Builder'!$B$12="",N($Q2949)&lt;='Assignment Builder'!$B$12)))</f>
        <v/>
      </c>
      <c r="T2949" s="23" t="n"/>
    </row>
    <row r="2950">
      <c r="A2950" s="23" t="n"/>
      <c r="B2950" s="23" t="n"/>
      <c r="C2950" s="24" t="n"/>
      <c r="D2950" s="15" t="n"/>
      <c r="E2950" s="23" t="n"/>
      <c r="F2950" s="15" t="n"/>
      <c r="G2950" s="23" t="n"/>
      <c r="H2950" s="25" t="n"/>
      <c r="I2950" s="15" t="n"/>
      <c r="J2950" s="26">
        <f>IF($A2950="","",LEN($C2950)-LEN(SUBSTITUTE($C2950,",",""))+1)</f>
        <v/>
      </c>
      <c r="K2950" s="26">
        <f>IF($A2950="","",SUMPRODUCT(--ISNUMBER(SEARCH('Category Dictionary'!$D$5:$D$135&amp;"",$C2950)),--('Category Dictionary'!$D$5:$D$135&lt;&gt;"")))</f>
        <v/>
      </c>
      <c r="L2950" s="27">
        <f>IF($A2950="","",TRIM(IF(ISERROR(FIND(",",$C2950)),$C2950,LEFT($C2950,FIND(",",$C2950)-1))))</f>
        <v/>
      </c>
      <c r="M2950" s="28">
        <f>IF($H2950="","",DATE(YEAR($H2950),MONTH($H2950),1))</f>
        <v/>
      </c>
      <c r="N2950" s="26">
        <f>IF($H2950="","",TODAY()-$H2950)</f>
        <v/>
      </c>
      <c r="O2950" s="15" t="n"/>
      <c r="P2950" s="15" t="n"/>
      <c r="Q2950" s="15" t="n"/>
      <c r="R2950" s="25" t="n"/>
      <c r="S2950" s="26">
        <f>IF($A2950="","",AND(OR('Assignment Builder'!$B$5="",$B2950='Assignment Builder'!$B$5),OR('Assignment Builder'!$B$6="",ISNUMBER(SEARCH('Assignment Builder'!$B$6,$C2950))),OR('Assignment Builder'!$B$7="",'Assignment Builder'!$B$7=IFERROR(INDEX('Category Dictionary'!$C$5:$C$135,MATCH($L2950,'Category Dictionary'!$D$5:$D$135,0)),"")),OR('Assignment Builder'!$B$8="",$D2950='Assignment Builder'!$B$8),OR('Assignment Builder'!$B$9="",$F2950='Assignment Builder'!$B$9),OR('Assignment Builder'!$B$10="",$O2950='Assignment Builder'!$B$10),OR('Assignment Builder'!$B$11="",$H2950&gt;='Assignment Builder'!$B$11),OR('Assignment Builder'!$B$12="",N($Q2950)&lt;='Assignment Builder'!$B$12)))</f>
        <v/>
      </c>
      <c r="T2950" s="23" t="n"/>
    </row>
    <row r="2951">
      <c r="A2951" s="23" t="n"/>
      <c r="B2951" s="23" t="n"/>
      <c r="C2951" s="24" t="n"/>
      <c r="D2951" s="15" t="n"/>
      <c r="E2951" s="23" t="n"/>
      <c r="F2951" s="15" t="n"/>
      <c r="G2951" s="23" t="n"/>
      <c r="H2951" s="25" t="n"/>
      <c r="I2951" s="15" t="n"/>
      <c r="J2951" s="26">
        <f>IF($A2951="","",LEN($C2951)-LEN(SUBSTITUTE($C2951,",",""))+1)</f>
        <v/>
      </c>
      <c r="K2951" s="26">
        <f>IF($A2951="","",SUMPRODUCT(--ISNUMBER(SEARCH('Category Dictionary'!$D$5:$D$135&amp;"",$C2951)),--('Category Dictionary'!$D$5:$D$135&lt;&gt;"")))</f>
        <v/>
      </c>
      <c r="L2951" s="27">
        <f>IF($A2951="","",TRIM(IF(ISERROR(FIND(",",$C2951)),$C2951,LEFT($C2951,FIND(",",$C2951)-1))))</f>
        <v/>
      </c>
      <c r="M2951" s="28">
        <f>IF($H2951="","",DATE(YEAR($H2951),MONTH($H2951),1))</f>
        <v/>
      </c>
      <c r="N2951" s="26">
        <f>IF($H2951="","",TODAY()-$H2951)</f>
        <v/>
      </c>
      <c r="O2951" s="15" t="n"/>
      <c r="P2951" s="15" t="n"/>
      <c r="Q2951" s="15" t="n"/>
      <c r="R2951" s="25" t="n"/>
      <c r="S2951" s="26">
        <f>IF($A2951="","",AND(OR('Assignment Builder'!$B$5="",$B2951='Assignment Builder'!$B$5),OR('Assignment Builder'!$B$6="",ISNUMBER(SEARCH('Assignment Builder'!$B$6,$C2951))),OR('Assignment Builder'!$B$7="",'Assignment Builder'!$B$7=IFERROR(INDEX('Category Dictionary'!$C$5:$C$135,MATCH($L2951,'Category Dictionary'!$D$5:$D$135,0)),"")),OR('Assignment Builder'!$B$8="",$D2951='Assignment Builder'!$B$8),OR('Assignment Builder'!$B$9="",$F2951='Assignment Builder'!$B$9),OR('Assignment Builder'!$B$10="",$O2951='Assignment Builder'!$B$10),OR('Assignment Builder'!$B$11="",$H2951&gt;='Assignment Builder'!$B$11),OR('Assignment Builder'!$B$12="",N($Q2951)&lt;='Assignment Builder'!$B$12)))</f>
        <v/>
      </c>
      <c r="T2951" s="23" t="n"/>
    </row>
    <row r="2952">
      <c r="A2952" s="23" t="n"/>
      <c r="B2952" s="23" t="n"/>
      <c r="C2952" s="24" t="n"/>
      <c r="D2952" s="15" t="n"/>
      <c r="E2952" s="23" t="n"/>
      <c r="F2952" s="15" t="n"/>
      <c r="G2952" s="23" t="n"/>
      <c r="H2952" s="25" t="n"/>
      <c r="I2952" s="15" t="n"/>
      <c r="J2952" s="26">
        <f>IF($A2952="","",LEN($C2952)-LEN(SUBSTITUTE($C2952,",",""))+1)</f>
        <v/>
      </c>
      <c r="K2952" s="26">
        <f>IF($A2952="","",SUMPRODUCT(--ISNUMBER(SEARCH('Category Dictionary'!$D$5:$D$135&amp;"",$C2952)),--('Category Dictionary'!$D$5:$D$135&lt;&gt;"")))</f>
        <v/>
      </c>
      <c r="L2952" s="27">
        <f>IF($A2952="","",TRIM(IF(ISERROR(FIND(",",$C2952)),$C2952,LEFT($C2952,FIND(",",$C2952)-1))))</f>
        <v/>
      </c>
      <c r="M2952" s="28">
        <f>IF($H2952="","",DATE(YEAR($H2952),MONTH($H2952),1))</f>
        <v/>
      </c>
      <c r="N2952" s="26">
        <f>IF($H2952="","",TODAY()-$H2952)</f>
        <v/>
      </c>
      <c r="O2952" s="15" t="n"/>
      <c r="P2952" s="15" t="n"/>
      <c r="Q2952" s="15" t="n"/>
      <c r="R2952" s="25" t="n"/>
      <c r="S2952" s="26">
        <f>IF($A2952="","",AND(OR('Assignment Builder'!$B$5="",$B2952='Assignment Builder'!$B$5),OR('Assignment Builder'!$B$6="",ISNUMBER(SEARCH('Assignment Builder'!$B$6,$C2952))),OR('Assignment Builder'!$B$7="",'Assignment Builder'!$B$7=IFERROR(INDEX('Category Dictionary'!$C$5:$C$135,MATCH($L2952,'Category Dictionary'!$D$5:$D$135,0)),"")),OR('Assignment Builder'!$B$8="",$D2952='Assignment Builder'!$B$8),OR('Assignment Builder'!$B$9="",$F2952='Assignment Builder'!$B$9),OR('Assignment Builder'!$B$10="",$O2952='Assignment Builder'!$B$10),OR('Assignment Builder'!$B$11="",$H2952&gt;='Assignment Builder'!$B$11),OR('Assignment Builder'!$B$12="",N($Q2952)&lt;='Assignment Builder'!$B$12)))</f>
        <v/>
      </c>
      <c r="T2952" s="23" t="n"/>
    </row>
    <row r="2953">
      <c r="A2953" s="23" t="n"/>
      <c r="B2953" s="23" t="n"/>
      <c r="C2953" s="24" t="n"/>
      <c r="D2953" s="15" t="n"/>
      <c r="E2953" s="23" t="n"/>
      <c r="F2953" s="15" t="n"/>
      <c r="G2953" s="23" t="n"/>
      <c r="H2953" s="25" t="n"/>
      <c r="I2953" s="15" t="n"/>
      <c r="J2953" s="26">
        <f>IF($A2953="","",LEN($C2953)-LEN(SUBSTITUTE($C2953,",",""))+1)</f>
        <v/>
      </c>
      <c r="K2953" s="26">
        <f>IF($A2953="","",SUMPRODUCT(--ISNUMBER(SEARCH('Category Dictionary'!$D$5:$D$135&amp;"",$C2953)),--('Category Dictionary'!$D$5:$D$135&lt;&gt;"")))</f>
        <v/>
      </c>
      <c r="L2953" s="27">
        <f>IF($A2953="","",TRIM(IF(ISERROR(FIND(",",$C2953)),$C2953,LEFT($C2953,FIND(",",$C2953)-1))))</f>
        <v/>
      </c>
      <c r="M2953" s="28">
        <f>IF($H2953="","",DATE(YEAR($H2953),MONTH($H2953),1))</f>
        <v/>
      </c>
      <c r="N2953" s="26">
        <f>IF($H2953="","",TODAY()-$H2953)</f>
        <v/>
      </c>
      <c r="O2953" s="15" t="n"/>
      <c r="P2953" s="15" t="n"/>
      <c r="Q2953" s="15" t="n"/>
      <c r="R2953" s="25" t="n"/>
      <c r="S2953" s="26">
        <f>IF($A2953="","",AND(OR('Assignment Builder'!$B$5="",$B2953='Assignment Builder'!$B$5),OR('Assignment Builder'!$B$6="",ISNUMBER(SEARCH('Assignment Builder'!$B$6,$C2953))),OR('Assignment Builder'!$B$7="",'Assignment Builder'!$B$7=IFERROR(INDEX('Category Dictionary'!$C$5:$C$135,MATCH($L2953,'Category Dictionary'!$D$5:$D$135,0)),"")),OR('Assignment Builder'!$B$8="",$D2953='Assignment Builder'!$B$8),OR('Assignment Builder'!$B$9="",$F2953='Assignment Builder'!$B$9),OR('Assignment Builder'!$B$10="",$O2953='Assignment Builder'!$B$10),OR('Assignment Builder'!$B$11="",$H2953&gt;='Assignment Builder'!$B$11),OR('Assignment Builder'!$B$12="",N($Q2953)&lt;='Assignment Builder'!$B$12)))</f>
        <v/>
      </c>
      <c r="T2953" s="23" t="n"/>
    </row>
    <row r="2954">
      <c r="A2954" s="23" t="n"/>
      <c r="B2954" s="23" t="n"/>
      <c r="C2954" s="24" t="n"/>
      <c r="D2954" s="15" t="n"/>
      <c r="E2954" s="23" t="n"/>
      <c r="F2954" s="15" t="n"/>
      <c r="G2954" s="23" t="n"/>
      <c r="H2954" s="25" t="n"/>
      <c r="I2954" s="15" t="n"/>
      <c r="J2954" s="26">
        <f>IF($A2954="","",LEN($C2954)-LEN(SUBSTITUTE($C2954,",",""))+1)</f>
        <v/>
      </c>
      <c r="K2954" s="26">
        <f>IF($A2954="","",SUMPRODUCT(--ISNUMBER(SEARCH('Category Dictionary'!$D$5:$D$135&amp;"",$C2954)),--('Category Dictionary'!$D$5:$D$135&lt;&gt;"")))</f>
        <v/>
      </c>
      <c r="L2954" s="27">
        <f>IF($A2954="","",TRIM(IF(ISERROR(FIND(",",$C2954)),$C2954,LEFT($C2954,FIND(",",$C2954)-1))))</f>
        <v/>
      </c>
      <c r="M2954" s="28">
        <f>IF($H2954="","",DATE(YEAR($H2954),MONTH($H2954),1))</f>
        <v/>
      </c>
      <c r="N2954" s="26">
        <f>IF($H2954="","",TODAY()-$H2954)</f>
        <v/>
      </c>
      <c r="O2954" s="15" t="n"/>
      <c r="P2954" s="15" t="n"/>
      <c r="Q2954" s="15" t="n"/>
      <c r="R2954" s="25" t="n"/>
      <c r="S2954" s="26">
        <f>IF($A2954="","",AND(OR('Assignment Builder'!$B$5="",$B2954='Assignment Builder'!$B$5),OR('Assignment Builder'!$B$6="",ISNUMBER(SEARCH('Assignment Builder'!$B$6,$C2954))),OR('Assignment Builder'!$B$7="",'Assignment Builder'!$B$7=IFERROR(INDEX('Category Dictionary'!$C$5:$C$135,MATCH($L2954,'Category Dictionary'!$D$5:$D$135,0)),"")),OR('Assignment Builder'!$B$8="",$D2954='Assignment Builder'!$B$8),OR('Assignment Builder'!$B$9="",$F2954='Assignment Builder'!$B$9),OR('Assignment Builder'!$B$10="",$O2954='Assignment Builder'!$B$10),OR('Assignment Builder'!$B$11="",$H2954&gt;='Assignment Builder'!$B$11),OR('Assignment Builder'!$B$12="",N($Q2954)&lt;='Assignment Builder'!$B$12)))</f>
        <v/>
      </c>
      <c r="T2954" s="23" t="n"/>
    </row>
    <row r="2955">
      <c r="A2955" s="23" t="n"/>
      <c r="B2955" s="23" t="n"/>
      <c r="C2955" s="24" t="n"/>
      <c r="D2955" s="15" t="n"/>
      <c r="E2955" s="23" t="n"/>
      <c r="F2955" s="15" t="n"/>
      <c r="G2955" s="23" t="n"/>
      <c r="H2955" s="25" t="n"/>
      <c r="I2955" s="15" t="n"/>
      <c r="J2955" s="26">
        <f>IF($A2955="","",LEN($C2955)-LEN(SUBSTITUTE($C2955,",",""))+1)</f>
        <v/>
      </c>
      <c r="K2955" s="26">
        <f>IF($A2955="","",SUMPRODUCT(--ISNUMBER(SEARCH('Category Dictionary'!$D$5:$D$135&amp;"",$C2955)),--('Category Dictionary'!$D$5:$D$135&lt;&gt;"")))</f>
        <v/>
      </c>
      <c r="L2955" s="27">
        <f>IF($A2955="","",TRIM(IF(ISERROR(FIND(",",$C2955)),$C2955,LEFT($C2955,FIND(",",$C2955)-1))))</f>
        <v/>
      </c>
      <c r="M2955" s="28">
        <f>IF($H2955="","",DATE(YEAR($H2955),MONTH($H2955),1))</f>
        <v/>
      </c>
      <c r="N2955" s="26">
        <f>IF($H2955="","",TODAY()-$H2955)</f>
        <v/>
      </c>
      <c r="O2955" s="15" t="n"/>
      <c r="P2955" s="15" t="n"/>
      <c r="Q2955" s="15" t="n"/>
      <c r="R2955" s="25" t="n"/>
      <c r="S2955" s="26">
        <f>IF($A2955="","",AND(OR('Assignment Builder'!$B$5="",$B2955='Assignment Builder'!$B$5),OR('Assignment Builder'!$B$6="",ISNUMBER(SEARCH('Assignment Builder'!$B$6,$C2955))),OR('Assignment Builder'!$B$7="",'Assignment Builder'!$B$7=IFERROR(INDEX('Category Dictionary'!$C$5:$C$135,MATCH($L2955,'Category Dictionary'!$D$5:$D$135,0)),"")),OR('Assignment Builder'!$B$8="",$D2955='Assignment Builder'!$B$8),OR('Assignment Builder'!$B$9="",$F2955='Assignment Builder'!$B$9),OR('Assignment Builder'!$B$10="",$O2955='Assignment Builder'!$B$10),OR('Assignment Builder'!$B$11="",$H2955&gt;='Assignment Builder'!$B$11),OR('Assignment Builder'!$B$12="",N($Q2955)&lt;='Assignment Builder'!$B$12)))</f>
        <v/>
      </c>
      <c r="T2955" s="23" t="n"/>
    </row>
    <row r="2956">
      <c r="A2956" s="23" t="n"/>
      <c r="B2956" s="23" t="n"/>
      <c r="C2956" s="24" t="n"/>
      <c r="D2956" s="15" t="n"/>
      <c r="E2956" s="23" t="n"/>
      <c r="F2956" s="15" t="n"/>
      <c r="G2956" s="23" t="n"/>
      <c r="H2956" s="25" t="n"/>
      <c r="I2956" s="15" t="n"/>
      <c r="J2956" s="26">
        <f>IF($A2956="","",LEN($C2956)-LEN(SUBSTITUTE($C2956,",",""))+1)</f>
        <v/>
      </c>
      <c r="K2956" s="26">
        <f>IF($A2956="","",SUMPRODUCT(--ISNUMBER(SEARCH('Category Dictionary'!$D$5:$D$135&amp;"",$C2956)),--('Category Dictionary'!$D$5:$D$135&lt;&gt;"")))</f>
        <v/>
      </c>
      <c r="L2956" s="27">
        <f>IF($A2956="","",TRIM(IF(ISERROR(FIND(",",$C2956)),$C2956,LEFT($C2956,FIND(",",$C2956)-1))))</f>
        <v/>
      </c>
      <c r="M2956" s="28">
        <f>IF($H2956="","",DATE(YEAR($H2956),MONTH($H2956),1))</f>
        <v/>
      </c>
      <c r="N2956" s="26">
        <f>IF($H2956="","",TODAY()-$H2956)</f>
        <v/>
      </c>
      <c r="O2956" s="15" t="n"/>
      <c r="P2956" s="15" t="n"/>
      <c r="Q2956" s="15" t="n"/>
      <c r="R2956" s="25" t="n"/>
      <c r="S2956" s="26">
        <f>IF($A2956="","",AND(OR('Assignment Builder'!$B$5="",$B2956='Assignment Builder'!$B$5),OR('Assignment Builder'!$B$6="",ISNUMBER(SEARCH('Assignment Builder'!$B$6,$C2956))),OR('Assignment Builder'!$B$7="",'Assignment Builder'!$B$7=IFERROR(INDEX('Category Dictionary'!$C$5:$C$135,MATCH($L2956,'Category Dictionary'!$D$5:$D$135,0)),"")),OR('Assignment Builder'!$B$8="",$D2956='Assignment Builder'!$B$8),OR('Assignment Builder'!$B$9="",$F2956='Assignment Builder'!$B$9),OR('Assignment Builder'!$B$10="",$O2956='Assignment Builder'!$B$10),OR('Assignment Builder'!$B$11="",$H2956&gt;='Assignment Builder'!$B$11),OR('Assignment Builder'!$B$12="",N($Q2956)&lt;='Assignment Builder'!$B$12)))</f>
        <v/>
      </c>
      <c r="T2956" s="23" t="n"/>
    </row>
    <row r="2957">
      <c r="A2957" s="23" t="n"/>
      <c r="B2957" s="23" t="n"/>
      <c r="C2957" s="24" t="n"/>
      <c r="D2957" s="15" t="n"/>
      <c r="E2957" s="23" t="n"/>
      <c r="F2957" s="15" t="n"/>
      <c r="G2957" s="23" t="n"/>
      <c r="H2957" s="25" t="n"/>
      <c r="I2957" s="15" t="n"/>
      <c r="J2957" s="26">
        <f>IF($A2957="","",LEN($C2957)-LEN(SUBSTITUTE($C2957,",",""))+1)</f>
        <v/>
      </c>
      <c r="K2957" s="26">
        <f>IF($A2957="","",SUMPRODUCT(--ISNUMBER(SEARCH('Category Dictionary'!$D$5:$D$135&amp;"",$C2957)),--('Category Dictionary'!$D$5:$D$135&lt;&gt;"")))</f>
        <v/>
      </c>
      <c r="L2957" s="27">
        <f>IF($A2957="","",TRIM(IF(ISERROR(FIND(",",$C2957)),$C2957,LEFT($C2957,FIND(",",$C2957)-1))))</f>
        <v/>
      </c>
      <c r="M2957" s="28">
        <f>IF($H2957="","",DATE(YEAR($H2957),MONTH($H2957),1))</f>
        <v/>
      </c>
      <c r="N2957" s="26">
        <f>IF($H2957="","",TODAY()-$H2957)</f>
        <v/>
      </c>
      <c r="O2957" s="15" t="n"/>
      <c r="P2957" s="15" t="n"/>
      <c r="Q2957" s="15" t="n"/>
      <c r="R2957" s="25" t="n"/>
      <c r="S2957" s="26">
        <f>IF($A2957="","",AND(OR('Assignment Builder'!$B$5="",$B2957='Assignment Builder'!$B$5),OR('Assignment Builder'!$B$6="",ISNUMBER(SEARCH('Assignment Builder'!$B$6,$C2957))),OR('Assignment Builder'!$B$7="",'Assignment Builder'!$B$7=IFERROR(INDEX('Category Dictionary'!$C$5:$C$135,MATCH($L2957,'Category Dictionary'!$D$5:$D$135,0)),"")),OR('Assignment Builder'!$B$8="",$D2957='Assignment Builder'!$B$8),OR('Assignment Builder'!$B$9="",$F2957='Assignment Builder'!$B$9),OR('Assignment Builder'!$B$10="",$O2957='Assignment Builder'!$B$10),OR('Assignment Builder'!$B$11="",$H2957&gt;='Assignment Builder'!$B$11),OR('Assignment Builder'!$B$12="",N($Q2957)&lt;='Assignment Builder'!$B$12)))</f>
        <v/>
      </c>
      <c r="T2957" s="23" t="n"/>
    </row>
    <row r="2958">
      <c r="A2958" s="23" t="n"/>
      <c r="B2958" s="23" t="n"/>
      <c r="C2958" s="24" t="n"/>
      <c r="D2958" s="15" t="n"/>
      <c r="E2958" s="23" t="n"/>
      <c r="F2958" s="15" t="n"/>
      <c r="G2958" s="23" t="n"/>
      <c r="H2958" s="25" t="n"/>
      <c r="I2958" s="15" t="n"/>
      <c r="J2958" s="26">
        <f>IF($A2958="","",LEN($C2958)-LEN(SUBSTITUTE($C2958,",",""))+1)</f>
        <v/>
      </c>
      <c r="K2958" s="26">
        <f>IF($A2958="","",SUMPRODUCT(--ISNUMBER(SEARCH('Category Dictionary'!$D$5:$D$135&amp;"",$C2958)),--('Category Dictionary'!$D$5:$D$135&lt;&gt;"")))</f>
        <v/>
      </c>
      <c r="L2958" s="27">
        <f>IF($A2958="","",TRIM(IF(ISERROR(FIND(",",$C2958)),$C2958,LEFT($C2958,FIND(",",$C2958)-1))))</f>
        <v/>
      </c>
      <c r="M2958" s="28">
        <f>IF($H2958="","",DATE(YEAR($H2958),MONTH($H2958),1))</f>
        <v/>
      </c>
      <c r="N2958" s="26">
        <f>IF($H2958="","",TODAY()-$H2958)</f>
        <v/>
      </c>
      <c r="O2958" s="15" t="n"/>
      <c r="P2958" s="15" t="n"/>
      <c r="Q2958" s="15" t="n"/>
      <c r="R2958" s="25" t="n"/>
      <c r="S2958" s="26">
        <f>IF($A2958="","",AND(OR('Assignment Builder'!$B$5="",$B2958='Assignment Builder'!$B$5),OR('Assignment Builder'!$B$6="",ISNUMBER(SEARCH('Assignment Builder'!$B$6,$C2958))),OR('Assignment Builder'!$B$7="",'Assignment Builder'!$B$7=IFERROR(INDEX('Category Dictionary'!$C$5:$C$135,MATCH($L2958,'Category Dictionary'!$D$5:$D$135,0)),"")),OR('Assignment Builder'!$B$8="",$D2958='Assignment Builder'!$B$8),OR('Assignment Builder'!$B$9="",$F2958='Assignment Builder'!$B$9),OR('Assignment Builder'!$B$10="",$O2958='Assignment Builder'!$B$10),OR('Assignment Builder'!$B$11="",$H2958&gt;='Assignment Builder'!$B$11),OR('Assignment Builder'!$B$12="",N($Q2958)&lt;='Assignment Builder'!$B$12)))</f>
        <v/>
      </c>
      <c r="T2958" s="23" t="n"/>
    </row>
    <row r="2959">
      <c r="A2959" s="23" t="n"/>
      <c r="B2959" s="23" t="n"/>
      <c r="C2959" s="24" t="n"/>
      <c r="D2959" s="15" t="n"/>
      <c r="E2959" s="23" t="n"/>
      <c r="F2959" s="15" t="n"/>
      <c r="G2959" s="23" t="n"/>
      <c r="H2959" s="25" t="n"/>
      <c r="I2959" s="15" t="n"/>
      <c r="J2959" s="26">
        <f>IF($A2959="","",LEN($C2959)-LEN(SUBSTITUTE($C2959,",",""))+1)</f>
        <v/>
      </c>
      <c r="K2959" s="26">
        <f>IF($A2959="","",SUMPRODUCT(--ISNUMBER(SEARCH('Category Dictionary'!$D$5:$D$135&amp;"",$C2959)),--('Category Dictionary'!$D$5:$D$135&lt;&gt;"")))</f>
        <v/>
      </c>
      <c r="L2959" s="27">
        <f>IF($A2959="","",TRIM(IF(ISERROR(FIND(",",$C2959)),$C2959,LEFT($C2959,FIND(",",$C2959)-1))))</f>
        <v/>
      </c>
      <c r="M2959" s="28">
        <f>IF($H2959="","",DATE(YEAR($H2959),MONTH($H2959),1))</f>
        <v/>
      </c>
      <c r="N2959" s="26">
        <f>IF($H2959="","",TODAY()-$H2959)</f>
        <v/>
      </c>
      <c r="O2959" s="15" t="n"/>
      <c r="P2959" s="15" t="n"/>
      <c r="Q2959" s="15" t="n"/>
      <c r="R2959" s="25" t="n"/>
      <c r="S2959" s="26">
        <f>IF($A2959="","",AND(OR('Assignment Builder'!$B$5="",$B2959='Assignment Builder'!$B$5),OR('Assignment Builder'!$B$6="",ISNUMBER(SEARCH('Assignment Builder'!$B$6,$C2959))),OR('Assignment Builder'!$B$7="",'Assignment Builder'!$B$7=IFERROR(INDEX('Category Dictionary'!$C$5:$C$135,MATCH($L2959,'Category Dictionary'!$D$5:$D$135,0)),"")),OR('Assignment Builder'!$B$8="",$D2959='Assignment Builder'!$B$8),OR('Assignment Builder'!$B$9="",$F2959='Assignment Builder'!$B$9),OR('Assignment Builder'!$B$10="",$O2959='Assignment Builder'!$B$10),OR('Assignment Builder'!$B$11="",$H2959&gt;='Assignment Builder'!$B$11),OR('Assignment Builder'!$B$12="",N($Q2959)&lt;='Assignment Builder'!$B$12)))</f>
        <v/>
      </c>
      <c r="T2959" s="23" t="n"/>
    </row>
    <row r="2960">
      <c r="A2960" s="23" t="n"/>
      <c r="B2960" s="23" t="n"/>
      <c r="C2960" s="24" t="n"/>
      <c r="D2960" s="15" t="n"/>
      <c r="E2960" s="23" t="n"/>
      <c r="F2960" s="15" t="n"/>
      <c r="G2960" s="23" t="n"/>
      <c r="H2960" s="25" t="n"/>
      <c r="I2960" s="15" t="n"/>
      <c r="J2960" s="26">
        <f>IF($A2960="","",LEN($C2960)-LEN(SUBSTITUTE($C2960,",",""))+1)</f>
        <v/>
      </c>
      <c r="K2960" s="26">
        <f>IF($A2960="","",SUMPRODUCT(--ISNUMBER(SEARCH('Category Dictionary'!$D$5:$D$135&amp;"",$C2960)),--('Category Dictionary'!$D$5:$D$135&lt;&gt;"")))</f>
        <v/>
      </c>
      <c r="L2960" s="27">
        <f>IF($A2960="","",TRIM(IF(ISERROR(FIND(",",$C2960)),$C2960,LEFT($C2960,FIND(",",$C2960)-1))))</f>
        <v/>
      </c>
      <c r="M2960" s="28">
        <f>IF($H2960="","",DATE(YEAR($H2960),MONTH($H2960),1))</f>
        <v/>
      </c>
      <c r="N2960" s="26">
        <f>IF($H2960="","",TODAY()-$H2960)</f>
        <v/>
      </c>
      <c r="O2960" s="15" t="n"/>
      <c r="P2960" s="15" t="n"/>
      <c r="Q2960" s="15" t="n"/>
      <c r="R2960" s="25" t="n"/>
      <c r="S2960" s="26">
        <f>IF($A2960="","",AND(OR('Assignment Builder'!$B$5="",$B2960='Assignment Builder'!$B$5),OR('Assignment Builder'!$B$6="",ISNUMBER(SEARCH('Assignment Builder'!$B$6,$C2960))),OR('Assignment Builder'!$B$7="",'Assignment Builder'!$B$7=IFERROR(INDEX('Category Dictionary'!$C$5:$C$135,MATCH($L2960,'Category Dictionary'!$D$5:$D$135,0)),"")),OR('Assignment Builder'!$B$8="",$D2960='Assignment Builder'!$B$8),OR('Assignment Builder'!$B$9="",$F2960='Assignment Builder'!$B$9),OR('Assignment Builder'!$B$10="",$O2960='Assignment Builder'!$B$10),OR('Assignment Builder'!$B$11="",$H2960&gt;='Assignment Builder'!$B$11),OR('Assignment Builder'!$B$12="",N($Q2960)&lt;='Assignment Builder'!$B$12)))</f>
        <v/>
      </c>
      <c r="T2960" s="23" t="n"/>
    </row>
    <row r="2961">
      <c r="A2961" s="23" t="n"/>
      <c r="B2961" s="23" t="n"/>
      <c r="C2961" s="24" t="n"/>
      <c r="D2961" s="15" t="n"/>
      <c r="E2961" s="23" t="n"/>
      <c r="F2961" s="15" t="n"/>
      <c r="G2961" s="23" t="n"/>
      <c r="H2961" s="25" t="n"/>
      <c r="I2961" s="15" t="n"/>
      <c r="J2961" s="26">
        <f>IF($A2961="","",LEN($C2961)-LEN(SUBSTITUTE($C2961,",",""))+1)</f>
        <v/>
      </c>
      <c r="K2961" s="26">
        <f>IF($A2961="","",SUMPRODUCT(--ISNUMBER(SEARCH('Category Dictionary'!$D$5:$D$135&amp;"",$C2961)),--('Category Dictionary'!$D$5:$D$135&lt;&gt;"")))</f>
        <v/>
      </c>
      <c r="L2961" s="27">
        <f>IF($A2961="","",TRIM(IF(ISERROR(FIND(",",$C2961)),$C2961,LEFT($C2961,FIND(",",$C2961)-1))))</f>
        <v/>
      </c>
      <c r="M2961" s="28">
        <f>IF($H2961="","",DATE(YEAR($H2961),MONTH($H2961),1))</f>
        <v/>
      </c>
      <c r="N2961" s="26">
        <f>IF($H2961="","",TODAY()-$H2961)</f>
        <v/>
      </c>
      <c r="O2961" s="15" t="n"/>
      <c r="P2961" s="15" t="n"/>
      <c r="Q2961" s="15" t="n"/>
      <c r="R2961" s="25" t="n"/>
      <c r="S2961" s="26">
        <f>IF($A2961="","",AND(OR('Assignment Builder'!$B$5="",$B2961='Assignment Builder'!$B$5),OR('Assignment Builder'!$B$6="",ISNUMBER(SEARCH('Assignment Builder'!$B$6,$C2961))),OR('Assignment Builder'!$B$7="",'Assignment Builder'!$B$7=IFERROR(INDEX('Category Dictionary'!$C$5:$C$135,MATCH($L2961,'Category Dictionary'!$D$5:$D$135,0)),"")),OR('Assignment Builder'!$B$8="",$D2961='Assignment Builder'!$B$8),OR('Assignment Builder'!$B$9="",$F2961='Assignment Builder'!$B$9),OR('Assignment Builder'!$B$10="",$O2961='Assignment Builder'!$B$10),OR('Assignment Builder'!$B$11="",$H2961&gt;='Assignment Builder'!$B$11),OR('Assignment Builder'!$B$12="",N($Q2961)&lt;='Assignment Builder'!$B$12)))</f>
        <v/>
      </c>
      <c r="T2961" s="23" t="n"/>
    </row>
    <row r="2962">
      <c r="A2962" s="23" t="n"/>
      <c r="B2962" s="23" t="n"/>
      <c r="C2962" s="24" t="n"/>
      <c r="D2962" s="15" t="n"/>
      <c r="E2962" s="23" t="n"/>
      <c r="F2962" s="15" t="n"/>
      <c r="G2962" s="23" t="n"/>
      <c r="H2962" s="25" t="n"/>
      <c r="I2962" s="15" t="n"/>
      <c r="J2962" s="26">
        <f>IF($A2962="","",LEN($C2962)-LEN(SUBSTITUTE($C2962,",",""))+1)</f>
        <v/>
      </c>
      <c r="K2962" s="26">
        <f>IF($A2962="","",SUMPRODUCT(--ISNUMBER(SEARCH('Category Dictionary'!$D$5:$D$135&amp;"",$C2962)),--('Category Dictionary'!$D$5:$D$135&lt;&gt;"")))</f>
        <v/>
      </c>
      <c r="L2962" s="27">
        <f>IF($A2962="","",TRIM(IF(ISERROR(FIND(",",$C2962)),$C2962,LEFT($C2962,FIND(",",$C2962)-1))))</f>
        <v/>
      </c>
      <c r="M2962" s="28">
        <f>IF($H2962="","",DATE(YEAR($H2962),MONTH($H2962),1))</f>
        <v/>
      </c>
      <c r="N2962" s="26">
        <f>IF($H2962="","",TODAY()-$H2962)</f>
        <v/>
      </c>
      <c r="O2962" s="15" t="n"/>
      <c r="P2962" s="15" t="n"/>
      <c r="Q2962" s="15" t="n"/>
      <c r="R2962" s="25" t="n"/>
      <c r="S2962" s="26">
        <f>IF($A2962="","",AND(OR('Assignment Builder'!$B$5="",$B2962='Assignment Builder'!$B$5),OR('Assignment Builder'!$B$6="",ISNUMBER(SEARCH('Assignment Builder'!$B$6,$C2962))),OR('Assignment Builder'!$B$7="",'Assignment Builder'!$B$7=IFERROR(INDEX('Category Dictionary'!$C$5:$C$135,MATCH($L2962,'Category Dictionary'!$D$5:$D$135,0)),"")),OR('Assignment Builder'!$B$8="",$D2962='Assignment Builder'!$B$8),OR('Assignment Builder'!$B$9="",$F2962='Assignment Builder'!$B$9),OR('Assignment Builder'!$B$10="",$O2962='Assignment Builder'!$B$10),OR('Assignment Builder'!$B$11="",$H2962&gt;='Assignment Builder'!$B$11),OR('Assignment Builder'!$B$12="",N($Q2962)&lt;='Assignment Builder'!$B$12)))</f>
        <v/>
      </c>
      <c r="T2962" s="23" t="n"/>
    </row>
    <row r="2963">
      <c r="A2963" s="23" t="n"/>
      <c r="B2963" s="23" t="n"/>
      <c r="C2963" s="24" t="n"/>
      <c r="D2963" s="15" t="n"/>
      <c r="E2963" s="23" t="n"/>
      <c r="F2963" s="15" t="n"/>
      <c r="G2963" s="23" t="n"/>
      <c r="H2963" s="25" t="n"/>
      <c r="I2963" s="15" t="n"/>
      <c r="J2963" s="26">
        <f>IF($A2963="","",LEN($C2963)-LEN(SUBSTITUTE($C2963,",",""))+1)</f>
        <v/>
      </c>
      <c r="K2963" s="26">
        <f>IF($A2963="","",SUMPRODUCT(--ISNUMBER(SEARCH('Category Dictionary'!$D$5:$D$135&amp;"",$C2963)),--('Category Dictionary'!$D$5:$D$135&lt;&gt;"")))</f>
        <v/>
      </c>
      <c r="L2963" s="27">
        <f>IF($A2963="","",TRIM(IF(ISERROR(FIND(",",$C2963)),$C2963,LEFT($C2963,FIND(",",$C2963)-1))))</f>
        <v/>
      </c>
      <c r="M2963" s="28">
        <f>IF($H2963="","",DATE(YEAR($H2963),MONTH($H2963),1))</f>
        <v/>
      </c>
      <c r="N2963" s="26">
        <f>IF($H2963="","",TODAY()-$H2963)</f>
        <v/>
      </c>
      <c r="O2963" s="15" t="n"/>
      <c r="P2963" s="15" t="n"/>
      <c r="Q2963" s="15" t="n"/>
      <c r="R2963" s="25" t="n"/>
      <c r="S2963" s="26">
        <f>IF($A2963="","",AND(OR('Assignment Builder'!$B$5="",$B2963='Assignment Builder'!$B$5),OR('Assignment Builder'!$B$6="",ISNUMBER(SEARCH('Assignment Builder'!$B$6,$C2963))),OR('Assignment Builder'!$B$7="",'Assignment Builder'!$B$7=IFERROR(INDEX('Category Dictionary'!$C$5:$C$135,MATCH($L2963,'Category Dictionary'!$D$5:$D$135,0)),"")),OR('Assignment Builder'!$B$8="",$D2963='Assignment Builder'!$B$8),OR('Assignment Builder'!$B$9="",$F2963='Assignment Builder'!$B$9),OR('Assignment Builder'!$B$10="",$O2963='Assignment Builder'!$B$10),OR('Assignment Builder'!$B$11="",$H2963&gt;='Assignment Builder'!$B$11),OR('Assignment Builder'!$B$12="",N($Q2963)&lt;='Assignment Builder'!$B$12)))</f>
        <v/>
      </c>
      <c r="T2963" s="23" t="n"/>
    </row>
    <row r="2964">
      <c r="A2964" s="23" t="n"/>
      <c r="B2964" s="23" t="n"/>
      <c r="C2964" s="24" t="n"/>
      <c r="D2964" s="15" t="n"/>
      <c r="E2964" s="23" t="n"/>
      <c r="F2964" s="15" t="n"/>
      <c r="G2964" s="23" t="n"/>
      <c r="H2964" s="25" t="n"/>
      <c r="I2964" s="15" t="n"/>
      <c r="J2964" s="26">
        <f>IF($A2964="","",LEN($C2964)-LEN(SUBSTITUTE($C2964,",",""))+1)</f>
        <v/>
      </c>
      <c r="K2964" s="26">
        <f>IF($A2964="","",SUMPRODUCT(--ISNUMBER(SEARCH('Category Dictionary'!$D$5:$D$135&amp;"",$C2964)),--('Category Dictionary'!$D$5:$D$135&lt;&gt;"")))</f>
        <v/>
      </c>
      <c r="L2964" s="27">
        <f>IF($A2964="","",TRIM(IF(ISERROR(FIND(",",$C2964)),$C2964,LEFT($C2964,FIND(",",$C2964)-1))))</f>
        <v/>
      </c>
      <c r="M2964" s="28">
        <f>IF($H2964="","",DATE(YEAR($H2964),MONTH($H2964),1))</f>
        <v/>
      </c>
      <c r="N2964" s="26">
        <f>IF($H2964="","",TODAY()-$H2964)</f>
        <v/>
      </c>
      <c r="O2964" s="15" t="n"/>
      <c r="P2964" s="15" t="n"/>
      <c r="Q2964" s="15" t="n"/>
      <c r="R2964" s="25" t="n"/>
      <c r="S2964" s="26">
        <f>IF($A2964="","",AND(OR('Assignment Builder'!$B$5="",$B2964='Assignment Builder'!$B$5),OR('Assignment Builder'!$B$6="",ISNUMBER(SEARCH('Assignment Builder'!$B$6,$C2964))),OR('Assignment Builder'!$B$7="",'Assignment Builder'!$B$7=IFERROR(INDEX('Category Dictionary'!$C$5:$C$135,MATCH($L2964,'Category Dictionary'!$D$5:$D$135,0)),"")),OR('Assignment Builder'!$B$8="",$D2964='Assignment Builder'!$B$8),OR('Assignment Builder'!$B$9="",$F2964='Assignment Builder'!$B$9),OR('Assignment Builder'!$B$10="",$O2964='Assignment Builder'!$B$10),OR('Assignment Builder'!$B$11="",$H2964&gt;='Assignment Builder'!$B$11),OR('Assignment Builder'!$B$12="",N($Q2964)&lt;='Assignment Builder'!$B$12)))</f>
        <v/>
      </c>
      <c r="T2964" s="23" t="n"/>
    </row>
    <row r="2965">
      <c r="A2965" s="23" t="n"/>
      <c r="B2965" s="23" t="n"/>
      <c r="C2965" s="24" t="n"/>
      <c r="D2965" s="15" t="n"/>
      <c r="E2965" s="23" t="n"/>
      <c r="F2965" s="15" t="n"/>
      <c r="G2965" s="23" t="n"/>
      <c r="H2965" s="25" t="n"/>
      <c r="I2965" s="15" t="n"/>
      <c r="J2965" s="26">
        <f>IF($A2965="","",LEN($C2965)-LEN(SUBSTITUTE($C2965,",",""))+1)</f>
        <v/>
      </c>
      <c r="K2965" s="26">
        <f>IF($A2965="","",SUMPRODUCT(--ISNUMBER(SEARCH('Category Dictionary'!$D$5:$D$135&amp;"",$C2965)),--('Category Dictionary'!$D$5:$D$135&lt;&gt;"")))</f>
        <v/>
      </c>
      <c r="L2965" s="27">
        <f>IF($A2965="","",TRIM(IF(ISERROR(FIND(",",$C2965)),$C2965,LEFT($C2965,FIND(",",$C2965)-1))))</f>
        <v/>
      </c>
      <c r="M2965" s="28">
        <f>IF($H2965="","",DATE(YEAR($H2965),MONTH($H2965),1))</f>
        <v/>
      </c>
      <c r="N2965" s="26">
        <f>IF($H2965="","",TODAY()-$H2965)</f>
        <v/>
      </c>
      <c r="O2965" s="15" t="n"/>
      <c r="P2965" s="15" t="n"/>
      <c r="Q2965" s="15" t="n"/>
      <c r="R2965" s="25" t="n"/>
      <c r="S2965" s="26">
        <f>IF($A2965="","",AND(OR('Assignment Builder'!$B$5="",$B2965='Assignment Builder'!$B$5),OR('Assignment Builder'!$B$6="",ISNUMBER(SEARCH('Assignment Builder'!$B$6,$C2965))),OR('Assignment Builder'!$B$7="",'Assignment Builder'!$B$7=IFERROR(INDEX('Category Dictionary'!$C$5:$C$135,MATCH($L2965,'Category Dictionary'!$D$5:$D$135,0)),"")),OR('Assignment Builder'!$B$8="",$D2965='Assignment Builder'!$B$8),OR('Assignment Builder'!$B$9="",$F2965='Assignment Builder'!$B$9),OR('Assignment Builder'!$B$10="",$O2965='Assignment Builder'!$B$10),OR('Assignment Builder'!$B$11="",$H2965&gt;='Assignment Builder'!$B$11),OR('Assignment Builder'!$B$12="",N($Q2965)&lt;='Assignment Builder'!$B$12)))</f>
        <v/>
      </c>
      <c r="T2965" s="23" t="n"/>
    </row>
    <row r="2966">
      <c r="A2966" s="23" t="n"/>
      <c r="B2966" s="23" t="n"/>
      <c r="C2966" s="24" t="n"/>
      <c r="D2966" s="15" t="n"/>
      <c r="E2966" s="23" t="n"/>
      <c r="F2966" s="15" t="n"/>
      <c r="G2966" s="23" t="n"/>
      <c r="H2966" s="25" t="n"/>
      <c r="I2966" s="15" t="n"/>
      <c r="J2966" s="26">
        <f>IF($A2966="","",LEN($C2966)-LEN(SUBSTITUTE($C2966,",",""))+1)</f>
        <v/>
      </c>
      <c r="K2966" s="26">
        <f>IF($A2966="","",SUMPRODUCT(--ISNUMBER(SEARCH('Category Dictionary'!$D$5:$D$135&amp;"",$C2966)),--('Category Dictionary'!$D$5:$D$135&lt;&gt;"")))</f>
        <v/>
      </c>
      <c r="L2966" s="27">
        <f>IF($A2966="","",TRIM(IF(ISERROR(FIND(",",$C2966)),$C2966,LEFT($C2966,FIND(",",$C2966)-1))))</f>
        <v/>
      </c>
      <c r="M2966" s="28">
        <f>IF($H2966="","",DATE(YEAR($H2966),MONTH($H2966),1))</f>
        <v/>
      </c>
      <c r="N2966" s="26">
        <f>IF($H2966="","",TODAY()-$H2966)</f>
        <v/>
      </c>
      <c r="O2966" s="15" t="n"/>
      <c r="P2966" s="15" t="n"/>
      <c r="Q2966" s="15" t="n"/>
      <c r="R2966" s="25" t="n"/>
      <c r="S2966" s="26">
        <f>IF($A2966="","",AND(OR('Assignment Builder'!$B$5="",$B2966='Assignment Builder'!$B$5),OR('Assignment Builder'!$B$6="",ISNUMBER(SEARCH('Assignment Builder'!$B$6,$C2966))),OR('Assignment Builder'!$B$7="",'Assignment Builder'!$B$7=IFERROR(INDEX('Category Dictionary'!$C$5:$C$135,MATCH($L2966,'Category Dictionary'!$D$5:$D$135,0)),"")),OR('Assignment Builder'!$B$8="",$D2966='Assignment Builder'!$B$8),OR('Assignment Builder'!$B$9="",$F2966='Assignment Builder'!$B$9),OR('Assignment Builder'!$B$10="",$O2966='Assignment Builder'!$B$10),OR('Assignment Builder'!$B$11="",$H2966&gt;='Assignment Builder'!$B$11),OR('Assignment Builder'!$B$12="",N($Q2966)&lt;='Assignment Builder'!$B$12)))</f>
        <v/>
      </c>
      <c r="T2966" s="23" t="n"/>
    </row>
    <row r="2967">
      <c r="A2967" s="23" t="n"/>
      <c r="B2967" s="23" t="n"/>
      <c r="C2967" s="24" t="n"/>
      <c r="D2967" s="15" t="n"/>
      <c r="E2967" s="23" t="n"/>
      <c r="F2967" s="15" t="n"/>
      <c r="G2967" s="23" t="n"/>
      <c r="H2967" s="25" t="n"/>
      <c r="I2967" s="15" t="n"/>
      <c r="J2967" s="26">
        <f>IF($A2967="","",LEN($C2967)-LEN(SUBSTITUTE($C2967,",",""))+1)</f>
        <v/>
      </c>
      <c r="K2967" s="26">
        <f>IF($A2967="","",SUMPRODUCT(--ISNUMBER(SEARCH('Category Dictionary'!$D$5:$D$135&amp;"",$C2967)),--('Category Dictionary'!$D$5:$D$135&lt;&gt;"")))</f>
        <v/>
      </c>
      <c r="L2967" s="27">
        <f>IF($A2967="","",TRIM(IF(ISERROR(FIND(",",$C2967)),$C2967,LEFT($C2967,FIND(",",$C2967)-1))))</f>
        <v/>
      </c>
      <c r="M2967" s="28">
        <f>IF($H2967="","",DATE(YEAR($H2967),MONTH($H2967),1))</f>
        <v/>
      </c>
      <c r="N2967" s="26">
        <f>IF($H2967="","",TODAY()-$H2967)</f>
        <v/>
      </c>
      <c r="O2967" s="15" t="n"/>
      <c r="P2967" s="15" t="n"/>
      <c r="Q2967" s="15" t="n"/>
      <c r="R2967" s="25" t="n"/>
      <c r="S2967" s="26">
        <f>IF($A2967="","",AND(OR('Assignment Builder'!$B$5="",$B2967='Assignment Builder'!$B$5),OR('Assignment Builder'!$B$6="",ISNUMBER(SEARCH('Assignment Builder'!$B$6,$C2967))),OR('Assignment Builder'!$B$7="",'Assignment Builder'!$B$7=IFERROR(INDEX('Category Dictionary'!$C$5:$C$135,MATCH($L2967,'Category Dictionary'!$D$5:$D$135,0)),"")),OR('Assignment Builder'!$B$8="",$D2967='Assignment Builder'!$B$8),OR('Assignment Builder'!$B$9="",$F2967='Assignment Builder'!$B$9),OR('Assignment Builder'!$B$10="",$O2967='Assignment Builder'!$B$10),OR('Assignment Builder'!$B$11="",$H2967&gt;='Assignment Builder'!$B$11),OR('Assignment Builder'!$B$12="",N($Q2967)&lt;='Assignment Builder'!$B$12)))</f>
        <v/>
      </c>
      <c r="T2967" s="23" t="n"/>
    </row>
    <row r="2968">
      <c r="A2968" s="23" t="n"/>
      <c r="B2968" s="23" t="n"/>
      <c r="C2968" s="24" t="n"/>
      <c r="D2968" s="15" t="n"/>
      <c r="E2968" s="23" t="n"/>
      <c r="F2968" s="15" t="n"/>
      <c r="G2968" s="23" t="n"/>
      <c r="H2968" s="25" t="n"/>
      <c r="I2968" s="15" t="n"/>
      <c r="J2968" s="26">
        <f>IF($A2968="","",LEN($C2968)-LEN(SUBSTITUTE($C2968,",",""))+1)</f>
        <v/>
      </c>
      <c r="K2968" s="26">
        <f>IF($A2968="","",SUMPRODUCT(--ISNUMBER(SEARCH('Category Dictionary'!$D$5:$D$135&amp;"",$C2968)),--('Category Dictionary'!$D$5:$D$135&lt;&gt;"")))</f>
        <v/>
      </c>
      <c r="L2968" s="27">
        <f>IF($A2968="","",TRIM(IF(ISERROR(FIND(",",$C2968)),$C2968,LEFT($C2968,FIND(",",$C2968)-1))))</f>
        <v/>
      </c>
      <c r="M2968" s="28">
        <f>IF($H2968="","",DATE(YEAR($H2968),MONTH($H2968),1))</f>
        <v/>
      </c>
      <c r="N2968" s="26">
        <f>IF($H2968="","",TODAY()-$H2968)</f>
        <v/>
      </c>
      <c r="O2968" s="15" t="n"/>
      <c r="P2968" s="15" t="n"/>
      <c r="Q2968" s="15" t="n"/>
      <c r="R2968" s="25" t="n"/>
      <c r="S2968" s="26">
        <f>IF($A2968="","",AND(OR('Assignment Builder'!$B$5="",$B2968='Assignment Builder'!$B$5),OR('Assignment Builder'!$B$6="",ISNUMBER(SEARCH('Assignment Builder'!$B$6,$C2968))),OR('Assignment Builder'!$B$7="",'Assignment Builder'!$B$7=IFERROR(INDEX('Category Dictionary'!$C$5:$C$135,MATCH($L2968,'Category Dictionary'!$D$5:$D$135,0)),"")),OR('Assignment Builder'!$B$8="",$D2968='Assignment Builder'!$B$8),OR('Assignment Builder'!$B$9="",$F2968='Assignment Builder'!$B$9),OR('Assignment Builder'!$B$10="",$O2968='Assignment Builder'!$B$10),OR('Assignment Builder'!$B$11="",$H2968&gt;='Assignment Builder'!$B$11),OR('Assignment Builder'!$B$12="",N($Q2968)&lt;='Assignment Builder'!$B$12)))</f>
        <v/>
      </c>
      <c r="T2968" s="23" t="n"/>
    </row>
    <row r="2969">
      <c r="A2969" s="23" t="n"/>
      <c r="B2969" s="23" t="n"/>
      <c r="C2969" s="24" t="n"/>
      <c r="D2969" s="15" t="n"/>
      <c r="E2969" s="23" t="n"/>
      <c r="F2969" s="15" t="n"/>
      <c r="G2969" s="23" t="n"/>
      <c r="H2969" s="25" t="n"/>
      <c r="I2969" s="15" t="n"/>
      <c r="J2969" s="26">
        <f>IF($A2969="","",LEN($C2969)-LEN(SUBSTITUTE($C2969,",",""))+1)</f>
        <v/>
      </c>
      <c r="K2969" s="26">
        <f>IF($A2969="","",SUMPRODUCT(--ISNUMBER(SEARCH('Category Dictionary'!$D$5:$D$135&amp;"",$C2969)),--('Category Dictionary'!$D$5:$D$135&lt;&gt;"")))</f>
        <v/>
      </c>
      <c r="L2969" s="27">
        <f>IF($A2969="","",TRIM(IF(ISERROR(FIND(",",$C2969)),$C2969,LEFT($C2969,FIND(",",$C2969)-1))))</f>
        <v/>
      </c>
      <c r="M2969" s="28">
        <f>IF($H2969="","",DATE(YEAR($H2969),MONTH($H2969),1))</f>
        <v/>
      </c>
      <c r="N2969" s="26">
        <f>IF($H2969="","",TODAY()-$H2969)</f>
        <v/>
      </c>
      <c r="O2969" s="15" t="n"/>
      <c r="P2969" s="15" t="n"/>
      <c r="Q2969" s="15" t="n"/>
      <c r="R2969" s="25" t="n"/>
      <c r="S2969" s="26">
        <f>IF($A2969="","",AND(OR('Assignment Builder'!$B$5="",$B2969='Assignment Builder'!$B$5),OR('Assignment Builder'!$B$6="",ISNUMBER(SEARCH('Assignment Builder'!$B$6,$C2969))),OR('Assignment Builder'!$B$7="",'Assignment Builder'!$B$7=IFERROR(INDEX('Category Dictionary'!$C$5:$C$135,MATCH($L2969,'Category Dictionary'!$D$5:$D$135,0)),"")),OR('Assignment Builder'!$B$8="",$D2969='Assignment Builder'!$B$8),OR('Assignment Builder'!$B$9="",$F2969='Assignment Builder'!$B$9),OR('Assignment Builder'!$B$10="",$O2969='Assignment Builder'!$B$10),OR('Assignment Builder'!$B$11="",$H2969&gt;='Assignment Builder'!$B$11),OR('Assignment Builder'!$B$12="",N($Q2969)&lt;='Assignment Builder'!$B$12)))</f>
        <v/>
      </c>
      <c r="T2969" s="23" t="n"/>
    </row>
    <row r="2970">
      <c r="A2970" s="23" t="n"/>
      <c r="B2970" s="23" t="n"/>
      <c r="C2970" s="24" t="n"/>
      <c r="D2970" s="15" t="n"/>
      <c r="E2970" s="23" t="n"/>
      <c r="F2970" s="15" t="n"/>
      <c r="G2970" s="23" t="n"/>
      <c r="H2970" s="25" t="n"/>
      <c r="I2970" s="15" t="n"/>
      <c r="J2970" s="26">
        <f>IF($A2970="","",LEN($C2970)-LEN(SUBSTITUTE($C2970,",",""))+1)</f>
        <v/>
      </c>
      <c r="K2970" s="26">
        <f>IF($A2970="","",SUMPRODUCT(--ISNUMBER(SEARCH('Category Dictionary'!$D$5:$D$135&amp;"",$C2970)),--('Category Dictionary'!$D$5:$D$135&lt;&gt;"")))</f>
        <v/>
      </c>
      <c r="L2970" s="27">
        <f>IF($A2970="","",TRIM(IF(ISERROR(FIND(",",$C2970)),$C2970,LEFT($C2970,FIND(",",$C2970)-1))))</f>
        <v/>
      </c>
      <c r="M2970" s="28">
        <f>IF($H2970="","",DATE(YEAR($H2970),MONTH($H2970),1))</f>
        <v/>
      </c>
      <c r="N2970" s="26">
        <f>IF($H2970="","",TODAY()-$H2970)</f>
        <v/>
      </c>
      <c r="O2970" s="15" t="n"/>
      <c r="P2970" s="15" t="n"/>
      <c r="Q2970" s="15" t="n"/>
      <c r="R2970" s="25" t="n"/>
      <c r="S2970" s="26">
        <f>IF($A2970="","",AND(OR('Assignment Builder'!$B$5="",$B2970='Assignment Builder'!$B$5),OR('Assignment Builder'!$B$6="",ISNUMBER(SEARCH('Assignment Builder'!$B$6,$C2970))),OR('Assignment Builder'!$B$7="",'Assignment Builder'!$B$7=IFERROR(INDEX('Category Dictionary'!$C$5:$C$135,MATCH($L2970,'Category Dictionary'!$D$5:$D$135,0)),"")),OR('Assignment Builder'!$B$8="",$D2970='Assignment Builder'!$B$8),OR('Assignment Builder'!$B$9="",$F2970='Assignment Builder'!$B$9),OR('Assignment Builder'!$B$10="",$O2970='Assignment Builder'!$B$10),OR('Assignment Builder'!$B$11="",$H2970&gt;='Assignment Builder'!$B$11),OR('Assignment Builder'!$B$12="",N($Q2970)&lt;='Assignment Builder'!$B$12)))</f>
        <v/>
      </c>
      <c r="T2970" s="23" t="n"/>
    </row>
    <row r="2971">
      <c r="A2971" s="23" t="n"/>
      <c r="B2971" s="23" t="n"/>
      <c r="C2971" s="24" t="n"/>
      <c r="D2971" s="15" t="n"/>
      <c r="E2971" s="23" t="n"/>
      <c r="F2971" s="15" t="n"/>
      <c r="G2971" s="23" t="n"/>
      <c r="H2971" s="25" t="n"/>
      <c r="I2971" s="15" t="n"/>
      <c r="J2971" s="26">
        <f>IF($A2971="","",LEN($C2971)-LEN(SUBSTITUTE($C2971,",",""))+1)</f>
        <v/>
      </c>
      <c r="K2971" s="26">
        <f>IF($A2971="","",SUMPRODUCT(--ISNUMBER(SEARCH('Category Dictionary'!$D$5:$D$135&amp;"",$C2971)),--('Category Dictionary'!$D$5:$D$135&lt;&gt;"")))</f>
        <v/>
      </c>
      <c r="L2971" s="27">
        <f>IF($A2971="","",TRIM(IF(ISERROR(FIND(",",$C2971)),$C2971,LEFT($C2971,FIND(",",$C2971)-1))))</f>
        <v/>
      </c>
      <c r="M2971" s="28">
        <f>IF($H2971="","",DATE(YEAR($H2971),MONTH($H2971),1))</f>
        <v/>
      </c>
      <c r="N2971" s="26">
        <f>IF($H2971="","",TODAY()-$H2971)</f>
        <v/>
      </c>
      <c r="O2971" s="15" t="n"/>
      <c r="P2971" s="15" t="n"/>
      <c r="Q2971" s="15" t="n"/>
      <c r="R2971" s="25" t="n"/>
      <c r="S2971" s="26">
        <f>IF($A2971="","",AND(OR('Assignment Builder'!$B$5="",$B2971='Assignment Builder'!$B$5),OR('Assignment Builder'!$B$6="",ISNUMBER(SEARCH('Assignment Builder'!$B$6,$C2971))),OR('Assignment Builder'!$B$7="",'Assignment Builder'!$B$7=IFERROR(INDEX('Category Dictionary'!$C$5:$C$135,MATCH($L2971,'Category Dictionary'!$D$5:$D$135,0)),"")),OR('Assignment Builder'!$B$8="",$D2971='Assignment Builder'!$B$8),OR('Assignment Builder'!$B$9="",$F2971='Assignment Builder'!$B$9),OR('Assignment Builder'!$B$10="",$O2971='Assignment Builder'!$B$10),OR('Assignment Builder'!$B$11="",$H2971&gt;='Assignment Builder'!$B$11),OR('Assignment Builder'!$B$12="",N($Q2971)&lt;='Assignment Builder'!$B$12)))</f>
        <v/>
      </c>
      <c r="T2971" s="23" t="n"/>
    </row>
    <row r="2972">
      <c r="A2972" s="23" t="n"/>
      <c r="B2972" s="23" t="n"/>
      <c r="C2972" s="24" t="n"/>
      <c r="D2972" s="15" t="n"/>
      <c r="E2972" s="23" t="n"/>
      <c r="F2972" s="15" t="n"/>
      <c r="G2972" s="23" t="n"/>
      <c r="H2972" s="25" t="n"/>
      <c r="I2972" s="15" t="n"/>
      <c r="J2972" s="26">
        <f>IF($A2972="","",LEN($C2972)-LEN(SUBSTITUTE($C2972,",",""))+1)</f>
        <v/>
      </c>
      <c r="K2972" s="26">
        <f>IF($A2972="","",SUMPRODUCT(--ISNUMBER(SEARCH('Category Dictionary'!$D$5:$D$135&amp;"",$C2972)),--('Category Dictionary'!$D$5:$D$135&lt;&gt;"")))</f>
        <v/>
      </c>
      <c r="L2972" s="27">
        <f>IF($A2972="","",TRIM(IF(ISERROR(FIND(",",$C2972)),$C2972,LEFT($C2972,FIND(",",$C2972)-1))))</f>
        <v/>
      </c>
      <c r="M2972" s="28">
        <f>IF($H2972="","",DATE(YEAR($H2972),MONTH($H2972),1))</f>
        <v/>
      </c>
      <c r="N2972" s="26">
        <f>IF($H2972="","",TODAY()-$H2972)</f>
        <v/>
      </c>
      <c r="O2972" s="15" t="n"/>
      <c r="P2972" s="15" t="n"/>
      <c r="Q2972" s="15" t="n"/>
      <c r="R2972" s="25" t="n"/>
      <c r="S2972" s="26">
        <f>IF($A2972="","",AND(OR('Assignment Builder'!$B$5="",$B2972='Assignment Builder'!$B$5),OR('Assignment Builder'!$B$6="",ISNUMBER(SEARCH('Assignment Builder'!$B$6,$C2972))),OR('Assignment Builder'!$B$7="",'Assignment Builder'!$B$7=IFERROR(INDEX('Category Dictionary'!$C$5:$C$135,MATCH($L2972,'Category Dictionary'!$D$5:$D$135,0)),"")),OR('Assignment Builder'!$B$8="",$D2972='Assignment Builder'!$B$8),OR('Assignment Builder'!$B$9="",$F2972='Assignment Builder'!$B$9),OR('Assignment Builder'!$B$10="",$O2972='Assignment Builder'!$B$10),OR('Assignment Builder'!$B$11="",$H2972&gt;='Assignment Builder'!$B$11),OR('Assignment Builder'!$B$12="",N($Q2972)&lt;='Assignment Builder'!$B$12)))</f>
        <v/>
      </c>
      <c r="T2972" s="23" t="n"/>
    </row>
    <row r="2973">
      <c r="A2973" s="23" t="n"/>
      <c r="B2973" s="23" t="n"/>
      <c r="C2973" s="24" t="n"/>
      <c r="D2973" s="15" t="n"/>
      <c r="E2973" s="23" t="n"/>
      <c r="F2973" s="15" t="n"/>
      <c r="G2973" s="23" t="n"/>
      <c r="H2973" s="25" t="n"/>
      <c r="I2973" s="15" t="n"/>
      <c r="J2973" s="26">
        <f>IF($A2973="","",LEN($C2973)-LEN(SUBSTITUTE($C2973,",",""))+1)</f>
        <v/>
      </c>
      <c r="K2973" s="26">
        <f>IF($A2973="","",SUMPRODUCT(--ISNUMBER(SEARCH('Category Dictionary'!$D$5:$D$135&amp;"",$C2973)),--('Category Dictionary'!$D$5:$D$135&lt;&gt;"")))</f>
        <v/>
      </c>
      <c r="L2973" s="27">
        <f>IF($A2973="","",TRIM(IF(ISERROR(FIND(",",$C2973)),$C2973,LEFT($C2973,FIND(",",$C2973)-1))))</f>
        <v/>
      </c>
      <c r="M2973" s="28">
        <f>IF($H2973="","",DATE(YEAR($H2973),MONTH($H2973),1))</f>
        <v/>
      </c>
      <c r="N2973" s="26">
        <f>IF($H2973="","",TODAY()-$H2973)</f>
        <v/>
      </c>
      <c r="O2973" s="15" t="n"/>
      <c r="P2973" s="15" t="n"/>
      <c r="Q2973" s="15" t="n"/>
      <c r="R2973" s="25" t="n"/>
      <c r="S2973" s="26">
        <f>IF($A2973="","",AND(OR('Assignment Builder'!$B$5="",$B2973='Assignment Builder'!$B$5),OR('Assignment Builder'!$B$6="",ISNUMBER(SEARCH('Assignment Builder'!$B$6,$C2973))),OR('Assignment Builder'!$B$7="",'Assignment Builder'!$B$7=IFERROR(INDEX('Category Dictionary'!$C$5:$C$135,MATCH($L2973,'Category Dictionary'!$D$5:$D$135,0)),"")),OR('Assignment Builder'!$B$8="",$D2973='Assignment Builder'!$B$8),OR('Assignment Builder'!$B$9="",$F2973='Assignment Builder'!$B$9),OR('Assignment Builder'!$B$10="",$O2973='Assignment Builder'!$B$10),OR('Assignment Builder'!$B$11="",$H2973&gt;='Assignment Builder'!$B$11),OR('Assignment Builder'!$B$12="",N($Q2973)&lt;='Assignment Builder'!$B$12)))</f>
        <v/>
      </c>
      <c r="T2973" s="23" t="n"/>
    </row>
    <row r="2974">
      <c r="A2974" s="23" t="n"/>
      <c r="B2974" s="23" t="n"/>
      <c r="C2974" s="24" t="n"/>
      <c r="D2974" s="15" t="n"/>
      <c r="E2974" s="23" t="n"/>
      <c r="F2974" s="15" t="n"/>
      <c r="G2974" s="23" t="n"/>
      <c r="H2974" s="25" t="n"/>
      <c r="I2974" s="15" t="n"/>
      <c r="J2974" s="26">
        <f>IF($A2974="","",LEN($C2974)-LEN(SUBSTITUTE($C2974,",",""))+1)</f>
        <v/>
      </c>
      <c r="K2974" s="26">
        <f>IF($A2974="","",SUMPRODUCT(--ISNUMBER(SEARCH('Category Dictionary'!$D$5:$D$135&amp;"",$C2974)),--('Category Dictionary'!$D$5:$D$135&lt;&gt;"")))</f>
        <v/>
      </c>
      <c r="L2974" s="27">
        <f>IF($A2974="","",TRIM(IF(ISERROR(FIND(",",$C2974)),$C2974,LEFT($C2974,FIND(",",$C2974)-1))))</f>
        <v/>
      </c>
      <c r="M2974" s="28">
        <f>IF($H2974="","",DATE(YEAR($H2974),MONTH($H2974),1))</f>
        <v/>
      </c>
      <c r="N2974" s="26">
        <f>IF($H2974="","",TODAY()-$H2974)</f>
        <v/>
      </c>
      <c r="O2974" s="15" t="n"/>
      <c r="P2974" s="15" t="n"/>
      <c r="Q2974" s="15" t="n"/>
      <c r="R2974" s="25" t="n"/>
      <c r="S2974" s="26">
        <f>IF($A2974="","",AND(OR('Assignment Builder'!$B$5="",$B2974='Assignment Builder'!$B$5),OR('Assignment Builder'!$B$6="",ISNUMBER(SEARCH('Assignment Builder'!$B$6,$C2974))),OR('Assignment Builder'!$B$7="",'Assignment Builder'!$B$7=IFERROR(INDEX('Category Dictionary'!$C$5:$C$135,MATCH($L2974,'Category Dictionary'!$D$5:$D$135,0)),"")),OR('Assignment Builder'!$B$8="",$D2974='Assignment Builder'!$B$8),OR('Assignment Builder'!$B$9="",$F2974='Assignment Builder'!$B$9),OR('Assignment Builder'!$B$10="",$O2974='Assignment Builder'!$B$10),OR('Assignment Builder'!$B$11="",$H2974&gt;='Assignment Builder'!$B$11),OR('Assignment Builder'!$B$12="",N($Q2974)&lt;='Assignment Builder'!$B$12)))</f>
        <v/>
      </c>
      <c r="T2974" s="23" t="n"/>
    </row>
    <row r="2975">
      <c r="A2975" s="23" t="n"/>
      <c r="B2975" s="23" t="n"/>
      <c r="C2975" s="24" t="n"/>
      <c r="D2975" s="15" t="n"/>
      <c r="E2975" s="23" t="n"/>
      <c r="F2975" s="15" t="n"/>
      <c r="G2975" s="23" t="n"/>
      <c r="H2975" s="25" t="n"/>
      <c r="I2975" s="15" t="n"/>
      <c r="J2975" s="26">
        <f>IF($A2975="","",LEN($C2975)-LEN(SUBSTITUTE($C2975,",",""))+1)</f>
        <v/>
      </c>
      <c r="K2975" s="26">
        <f>IF($A2975="","",SUMPRODUCT(--ISNUMBER(SEARCH('Category Dictionary'!$D$5:$D$135&amp;"",$C2975)),--('Category Dictionary'!$D$5:$D$135&lt;&gt;"")))</f>
        <v/>
      </c>
      <c r="L2975" s="27">
        <f>IF($A2975="","",TRIM(IF(ISERROR(FIND(",",$C2975)),$C2975,LEFT($C2975,FIND(",",$C2975)-1))))</f>
        <v/>
      </c>
      <c r="M2975" s="28">
        <f>IF($H2975="","",DATE(YEAR($H2975),MONTH($H2975),1))</f>
        <v/>
      </c>
      <c r="N2975" s="26">
        <f>IF($H2975="","",TODAY()-$H2975)</f>
        <v/>
      </c>
      <c r="O2975" s="15" t="n"/>
      <c r="P2975" s="15" t="n"/>
      <c r="Q2975" s="15" t="n"/>
      <c r="R2975" s="25" t="n"/>
      <c r="S2975" s="26">
        <f>IF($A2975="","",AND(OR('Assignment Builder'!$B$5="",$B2975='Assignment Builder'!$B$5),OR('Assignment Builder'!$B$6="",ISNUMBER(SEARCH('Assignment Builder'!$B$6,$C2975))),OR('Assignment Builder'!$B$7="",'Assignment Builder'!$B$7=IFERROR(INDEX('Category Dictionary'!$C$5:$C$135,MATCH($L2975,'Category Dictionary'!$D$5:$D$135,0)),"")),OR('Assignment Builder'!$B$8="",$D2975='Assignment Builder'!$B$8),OR('Assignment Builder'!$B$9="",$F2975='Assignment Builder'!$B$9),OR('Assignment Builder'!$B$10="",$O2975='Assignment Builder'!$B$10),OR('Assignment Builder'!$B$11="",$H2975&gt;='Assignment Builder'!$B$11),OR('Assignment Builder'!$B$12="",N($Q2975)&lt;='Assignment Builder'!$B$12)))</f>
        <v/>
      </c>
      <c r="T2975" s="23" t="n"/>
    </row>
    <row r="2976">
      <c r="A2976" s="23" t="n"/>
      <c r="B2976" s="23" t="n"/>
      <c r="C2976" s="24" t="n"/>
      <c r="D2976" s="15" t="n"/>
      <c r="E2976" s="23" t="n"/>
      <c r="F2976" s="15" t="n"/>
      <c r="G2976" s="23" t="n"/>
      <c r="H2976" s="25" t="n"/>
      <c r="I2976" s="15" t="n"/>
      <c r="J2976" s="26">
        <f>IF($A2976="","",LEN($C2976)-LEN(SUBSTITUTE($C2976,",",""))+1)</f>
        <v/>
      </c>
      <c r="K2976" s="26">
        <f>IF($A2976="","",SUMPRODUCT(--ISNUMBER(SEARCH('Category Dictionary'!$D$5:$D$135&amp;"",$C2976)),--('Category Dictionary'!$D$5:$D$135&lt;&gt;"")))</f>
        <v/>
      </c>
      <c r="L2976" s="27">
        <f>IF($A2976="","",TRIM(IF(ISERROR(FIND(",",$C2976)),$C2976,LEFT($C2976,FIND(",",$C2976)-1))))</f>
        <v/>
      </c>
      <c r="M2976" s="28">
        <f>IF($H2976="","",DATE(YEAR($H2976),MONTH($H2976),1))</f>
        <v/>
      </c>
      <c r="N2976" s="26">
        <f>IF($H2976="","",TODAY()-$H2976)</f>
        <v/>
      </c>
      <c r="O2976" s="15" t="n"/>
      <c r="P2976" s="15" t="n"/>
      <c r="Q2976" s="15" t="n"/>
      <c r="R2976" s="25" t="n"/>
      <c r="S2976" s="26">
        <f>IF($A2976="","",AND(OR('Assignment Builder'!$B$5="",$B2976='Assignment Builder'!$B$5),OR('Assignment Builder'!$B$6="",ISNUMBER(SEARCH('Assignment Builder'!$B$6,$C2976))),OR('Assignment Builder'!$B$7="",'Assignment Builder'!$B$7=IFERROR(INDEX('Category Dictionary'!$C$5:$C$135,MATCH($L2976,'Category Dictionary'!$D$5:$D$135,0)),"")),OR('Assignment Builder'!$B$8="",$D2976='Assignment Builder'!$B$8),OR('Assignment Builder'!$B$9="",$F2976='Assignment Builder'!$B$9),OR('Assignment Builder'!$B$10="",$O2976='Assignment Builder'!$B$10),OR('Assignment Builder'!$B$11="",$H2976&gt;='Assignment Builder'!$B$11),OR('Assignment Builder'!$B$12="",N($Q2976)&lt;='Assignment Builder'!$B$12)))</f>
        <v/>
      </c>
      <c r="T2976" s="23" t="n"/>
    </row>
    <row r="2977">
      <c r="A2977" s="23" t="n"/>
      <c r="B2977" s="23" t="n"/>
      <c r="C2977" s="24" t="n"/>
      <c r="D2977" s="15" t="n"/>
      <c r="E2977" s="23" t="n"/>
      <c r="F2977" s="15" t="n"/>
      <c r="G2977" s="23" t="n"/>
      <c r="H2977" s="25" t="n"/>
      <c r="I2977" s="15" t="n"/>
      <c r="J2977" s="26">
        <f>IF($A2977="","",LEN($C2977)-LEN(SUBSTITUTE($C2977,",",""))+1)</f>
        <v/>
      </c>
      <c r="K2977" s="26">
        <f>IF($A2977="","",SUMPRODUCT(--ISNUMBER(SEARCH('Category Dictionary'!$D$5:$D$135&amp;"",$C2977)),--('Category Dictionary'!$D$5:$D$135&lt;&gt;"")))</f>
        <v/>
      </c>
      <c r="L2977" s="27">
        <f>IF($A2977="","",TRIM(IF(ISERROR(FIND(",",$C2977)),$C2977,LEFT($C2977,FIND(",",$C2977)-1))))</f>
        <v/>
      </c>
      <c r="M2977" s="28">
        <f>IF($H2977="","",DATE(YEAR($H2977),MONTH($H2977),1))</f>
        <v/>
      </c>
      <c r="N2977" s="26">
        <f>IF($H2977="","",TODAY()-$H2977)</f>
        <v/>
      </c>
      <c r="O2977" s="15" t="n"/>
      <c r="P2977" s="15" t="n"/>
      <c r="Q2977" s="15" t="n"/>
      <c r="R2977" s="25" t="n"/>
      <c r="S2977" s="26">
        <f>IF($A2977="","",AND(OR('Assignment Builder'!$B$5="",$B2977='Assignment Builder'!$B$5),OR('Assignment Builder'!$B$6="",ISNUMBER(SEARCH('Assignment Builder'!$B$6,$C2977))),OR('Assignment Builder'!$B$7="",'Assignment Builder'!$B$7=IFERROR(INDEX('Category Dictionary'!$C$5:$C$135,MATCH($L2977,'Category Dictionary'!$D$5:$D$135,0)),"")),OR('Assignment Builder'!$B$8="",$D2977='Assignment Builder'!$B$8),OR('Assignment Builder'!$B$9="",$F2977='Assignment Builder'!$B$9),OR('Assignment Builder'!$B$10="",$O2977='Assignment Builder'!$B$10),OR('Assignment Builder'!$B$11="",$H2977&gt;='Assignment Builder'!$B$11),OR('Assignment Builder'!$B$12="",N($Q2977)&lt;='Assignment Builder'!$B$12)))</f>
        <v/>
      </c>
      <c r="T2977" s="23" t="n"/>
    </row>
    <row r="2978">
      <c r="A2978" s="23" t="n"/>
      <c r="B2978" s="23" t="n"/>
      <c r="C2978" s="24" t="n"/>
      <c r="D2978" s="15" t="n"/>
      <c r="E2978" s="23" t="n"/>
      <c r="F2978" s="15" t="n"/>
      <c r="G2978" s="23" t="n"/>
      <c r="H2978" s="25" t="n"/>
      <c r="I2978" s="15" t="n"/>
      <c r="J2978" s="26">
        <f>IF($A2978="","",LEN($C2978)-LEN(SUBSTITUTE($C2978,",",""))+1)</f>
        <v/>
      </c>
      <c r="K2978" s="26">
        <f>IF($A2978="","",SUMPRODUCT(--ISNUMBER(SEARCH('Category Dictionary'!$D$5:$D$135&amp;"",$C2978)),--('Category Dictionary'!$D$5:$D$135&lt;&gt;"")))</f>
        <v/>
      </c>
      <c r="L2978" s="27">
        <f>IF($A2978="","",TRIM(IF(ISERROR(FIND(",",$C2978)),$C2978,LEFT($C2978,FIND(",",$C2978)-1))))</f>
        <v/>
      </c>
      <c r="M2978" s="28">
        <f>IF($H2978="","",DATE(YEAR($H2978),MONTH($H2978),1))</f>
        <v/>
      </c>
      <c r="N2978" s="26">
        <f>IF($H2978="","",TODAY()-$H2978)</f>
        <v/>
      </c>
      <c r="O2978" s="15" t="n"/>
      <c r="P2978" s="15" t="n"/>
      <c r="Q2978" s="15" t="n"/>
      <c r="R2978" s="25" t="n"/>
      <c r="S2978" s="26">
        <f>IF($A2978="","",AND(OR('Assignment Builder'!$B$5="",$B2978='Assignment Builder'!$B$5),OR('Assignment Builder'!$B$6="",ISNUMBER(SEARCH('Assignment Builder'!$B$6,$C2978))),OR('Assignment Builder'!$B$7="",'Assignment Builder'!$B$7=IFERROR(INDEX('Category Dictionary'!$C$5:$C$135,MATCH($L2978,'Category Dictionary'!$D$5:$D$135,0)),"")),OR('Assignment Builder'!$B$8="",$D2978='Assignment Builder'!$B$8),OR('Assignment Builder'!$B$9="",$F2978='Assignment Builder'!$B$9),OR('Assignment Builder'!$B$10="",$O2978='Assignment Builder'!$B$10),OR('Assignment Builder'!$B$11="",$H2978&gt;='Assignment Builder'!$B$11),OR('Assignment Builder'!$B$12="",N($Q2978)&lt;='Assignment Builder'!$B$12)))</f>
        <v/>
      </c>
      <c r="T2978" s="23" t="n"/>
    </row>
    <row r="2979">
      <c r="A2979" s="23" t="n"/>
      <c r="B2979" s="23" t="n"/>
      <c r="C2979" s="24" t="n"/>
      <c r="D2979" s="15" t="n"/>
      <c r="E2979" s="23" t="n"/>
      <c r="F2979" s="15" t="n"/>
      <c r="G2979" s="23" t="n"/>
      <c r="H2979" s="25" t="n"/>
      <c r="I2979" s="15" t="n"/>
      <c r="J2979" s="26">
        <f>IF($A2979="","",LEN($C2979)-LEN(SUBSTITUTE($C2979,",",""))+1)</f>
        <v/>
      </c>
      <c r="K2979" s="26">
        <f>IF($A2979="","",SUMPRODUCT(--ISNUMBER(SEARCH('Category Dictionary'!$D$5:$D$135&amp;"",$C2979)),--('Category Dictionary'!$D$5:$D$135&lt;&gt;"")))</f>
        <v/>
      </c>
      <c r="L2979" s="27">
        <f>IF($A2979="","",TRIM(IF(ISERROR(FIND(",",$C2979)),$C2979,LEFT($C2979,FIND(",",$C2979)-1))))</f>
        <v/>
      </c>
      <c r="M2979" s="28">
        <f>IF($H2979="","",DATE(YEAR($H2979),MONTH($H2979),1))</f>
        <v/>
      </c>
      <c r="N2979" s="26">
        <f>IF($H2979="","",TODAY()-$H2979)</f>
        <v/>
      </c>
      <c r="O2979" s="15" t="n"/>
      <c r="P2979" s="15" t="n"/>
      <c r="Q2979" s="15" t="n"/>
      <c r="R2979" s="25" t="n"/>
      <c r="S2979" s="26">
        <f>IF($A2979="","",AND(OR('Assignment Builder'!$B$5="",$B2979='Assignment Builder'!$B$5),OR('Assignment Builder'!$B$6="",ISNUMBER(SEARCH('Assignment Builder'!$B$6,$C2979))),OR('Assignment Builder'!$B$7="",'Assignment Builder'!$B$7=IFERROR(INDEX('Category Dictionary'!$C$5:$C$135,MATCH($L2979,'Category Dictionary'!$D$5:$D$135,0)),"")),OR('Assignment Builder'!$B$8="",$D2979='Assignment Builder'!$B$8),OR('Assignment Builder'!$B$9="",$F2979='Assignment Builder'!$B$9),OR('Assignment Builder'!$B$10="",$O2979='Assignment Builder'!$B$10),OR('Assignment Builder'!$B$11="",$H2979&gt;='Assignment Builder'!$B$11),OR('Assignment Builder'!$B$12="",N($Q2979)&lt;='Assignment Builder'!$B$12)))</f>
        <v/>
      </c>
      <c r="T2979" s="23" t="n"/>
    </row>
    <row r="2980">
      <c r="A2980" s="23" t="n"/>
      <c r="B2980" s="23" t="n"/>
      <c r="C2980" s="24" t="n"/>
      <c r="D2980" s="15" t="n"/>
      <c r="E2980" s="23" t="n"/>
      <c r="F2980" s="15" t="n"/>
      <c r="G2980" s="23" t="n"/>
      <c r="H2980" s="25" t="n"/>
      <c r="I2980" s="15" t="n"/>
      <c r="J2980" s="26">
        <f>IF($A2980="","",LEN($C2980)-LEN(SUBSTITUTE($C2980,",",""))+1)</f>
        <v/>
      </c>
      <c r="K2980" s="26">
        <f>IF($A2980="","",SUMPRODUCT(--ISNUMBER(SEARCH('Category Dictionary'!$D$5:$D$135&amp;"",$C2980)),--('Category Dictionary'!$D$5:$D$135&lt;&gt;"")))</f>
        <v/>
      </c>
      <c r="L2980" s="27">
        <f>IF($A2980="","",TRIM(IF(ISERROR(FIND(",",$C2980)),$C2980,LEFT($C2980,FIND(",",$C2980)-1))))</f>
        <v/>
      </c>
      <c r="M2980" s="28">
        <f>IF($H2980="","",DATE(YEAR($H2980),MONTH($H2980),1))</f>
        <v/>
      </c>
      <c r="N2980" s="26">
        <f>IF($H2980="","",TODAY()-$H2980)</f>
        <v/>
      </c>
      <c r="O2980" s="15" t="n"/>
      <c r="P2980" s="15" t="n"/>
      <c r="Q2980" s="15" t="n"/>
      <c r="R2980" s="25" t="n"/>
      <c r="S2980" s="26">
        <f>IF($A2980="","",AND(OR('Assignment Builder'!$B$5="",$B2980='Assignment Builder'!$B$5),OR('Assignment Builder'!$B$6="",ISNUMBER(SEARCH('Assignment Builder'!$B$6,$C2980))),OR('Assignment Builder'!$B$7="",'Assignment Builder'!$B$7=IFERROR(INDEX('Category Dictionary'!$C$5:$C$135,MATCH($L2980,'Category Dictionary'!$D$5:$D$135,0)),"")),OR('Assignment Builder'!$B$8="",$D2980='Assignment Builder'!$B$8),OR('Assignment Builder'!$B$9="",$F2980='Assignment Builder'!$B$9),OR('Assignment Builder'!$B$10="",$O2980='Assignment Builder'!$B$10),OR('Assignment Builder'!$B$11="",$H2980&gt;='Assignment Builder'!$B$11),OR('Assignment Builder'!$B$12="",N($Q2980)&lt;='Assignment Builder'!$B$12)))</f>
        <v/>
      </c>
      <c r="T2980" s="23" t="n"/>
    </row>
    <row r="2981">
      <c r="A2981" s="23" t="n"/>
      <c r="B2981" s="23" t="n"/>
      <c r="C2981" s="24" t="n"/>
      <c r="D2981" s="15" t="n"/>
      <c r="E2981" s="23" t="n"/>
      <c r="F2981" s="15" t="n"/>
      <c r="G2981" s="23" t="n"/>
      <c r="H2981" s="25" t="n"/>
      <c r="I2981" s="15" t="n"/>
      <c r="J2981" s="26">
        <f>IF($A2981="","",LEN($C2981)-LEN(SUBSTITUTE($C2981,",",""))+1)</f>
        <v/>
      </c>
      <c r="K2981" s="26">
        <f>IF($A2981="","",SUMPRODUCT(--ISNUMBER(SEARCH('Category Dictionary'!$D$5:$D$135&amp;"",$C2981)),--('Category Dictionary'!$D$5:$D$135&lt;&gt;"")))</f>
        <v/>
      </c>
      <c r="L2981" s="27">
        <f>IF($A2981="","",TRIM(IF(ISERROR(FIND(",",$C2981)),$C2981,LEFT($C2981,FIND(",",$C2981)-1))))</f>
        <v/>
      </c>
      <c r="M2981" s="28">
        <f>IF($H2981="","",DATE(YEAR($H2981),MONTH($H2981),1))</f>
        <v/>
      </c>
      <c r="N2981" s="26">
        <f>IF($H2981="","",TODAY()-$H2981)</f>
        <v/>
      </c>
      <c r="O2981" s="15" t="n"/>
      <c r="P2981" s="15" t="n"/>
      <c r="Q2981" s="15" t="n"/>
      <c r="R2981" s="25" t="n"/>
      <c r="S2981" s="26">
        <f>IF($A2981="","",AND(OR('Assignment Builder'!$B$5="",$B2981='Assignment Builder'!$B$5),OR('Assignment Builder'!$B$6="",ISNUMBER(SEARCH('Assignment Builder'!$B$6,$C2981))),OR('Assignment Builder'!$B$7="",'Assignment Builder'!$B$7=IFERROR(INDEX('Category Dictionary'!$C$5:$C$135,MATCH($L2981,'Category Dictionary'!$D$5:$D$135,0)),"")),OR('Assignment Builder'!$B$8="",$D2981='Assignment Builder'!$B$8),OR('Assignment Builder'!$B$9="",$F2981='Assignment Builder'!$B$9),OR('Assignment Builder'!$B$10="",$O2981='Assignment Builder'!$B$10),OR('Assignment Builder'!$B$11="",$H2981&gt;='Assignment Builder'!$B$11),OR('Assignment Builder'!$B$12="",N($Q2981)&lt;='Assignment Builder'!$B$12)))</f>
        <v/>
      </c>
      <c r="T2981" s="23" t="n"/>
    </row>
    <row r="2982">
      <c r="A2982" s="23" t="n"/>
      <c r="B2982" s="23" t="n"/>
      <c r="C2982" s="24" t="n"/>
      <c r="D2982" s="15" t="n"/>
      <c r="E2982" s="23" t="n"/>
      <c r="F2982" s="15" t="n"/>
      <c r="G2982" s="23" t="n"/>
      <c r="H2982" s="25" t="n"/>
      <c r="I2982" s="15" t="n"/>
      <c r="J2982" s="26">
        <f>IF($A2982="","",LEN($C2982)-LEN(SUBSTITUTE($C2982,",",""))+1)</f>
        <v/>
      </c>
      <c r="K2982" s="26">
        <f>IF($A2982="","",SUMPRODUCT(--ISNUMBER(SEARCH('Category Dictionary'!$D$5:$D$135&amp;"",$C2982)),--('Category Dictionary'!$D$5:$D$135&lt;&gt;"")))</f>
        <v/>
      </c>
      <c r="L2982" s="27">
        <f>IF($A2982="","",TRIM(IF(ISERROR(FIND(",",$C2982)),$C2982,LEFT($C2982,FIND(",",$C2982)-1))))</f>
        <v/>
      </c>
      <c r="M2982" s="28">
        <f>IF($H2982="","",DATE(YEAR($H2982),MONTH($H2982),1))</f>
        <v/>
      </c>
      <c r="N2982" s="26">
        <f>IF($H2982="","",TODAY()-$H2982)</f>
        <v/>
      </c>
      <c r="O2982" s="15" t="n"/>
      <c r="P2982" s="15" t="n"/>
      <c r="Q2982" s="15" t="n"/>
      <c r="R2982" s="25" t="n"/>
      <c r="S2982" s="26">
        <f>IF($A2982="","",AND(OR('Assignment Builder'!$B$5="",$B2982='Assignment Builder'!$B$5),OR('Assignment Builder'!$B$6="",ISNUMBER(SEARCH('Assignment Builder'!$B$6,$C2982))),OR('Assignment Builder'!$B$7="",'Assignment Builder'!$B$7=IFERROR(INDEX('Category Dictionary'!$C$5:$C$135,MATCH($L2982,'Category Dictionary'!$D$5:$D$135,0)),"")),OR('Assignment Builder'!$B$8="",$D2982='Assignment Builder'!$B$8),OR('Assignment Builder'!$B$9="",$F2982='Assignment Builder'!$B$9),OR('Assignment Builder'!$B$10="",$O2982='Assignment Builder'!$B$10),OR('Assignment Builder'!$B$11="",$H2982&gt;='Assignment Builder'!$B$11),OR('Assignment Builder'!$B$12="",N($Q2982)&lt;='Assignment Builder'!$B$12)))</f>
        <v/>
      </c>
      <c r="T2982" s="23" t="n"/>
    </row>
    <row r="2983">
      <c r="A2983" s="23" t="n"/>
      <c r="B2983" s="23" t="n"/>
      <c r="C2983" s="24" t="n"/>
      <c r="D2983" s="15" t="n"/>
      <c r="E2983" s="23" t="n"/>
      <c r="F2983" s="15" t="n"/>
      <c r="G2983" s="23" t="n"/>
      <c r="H2983" s="25" t="n"/>
      <c r="I2983" s="15" t="n"/>
      <c r="J2983" s="26">
        <f>IF($A2983="","",LEN($C2983)-LEN(SUBSTITUTE($C2983,",",""))+1)</f>
        <v/>
      </c>
      <c r="K2983" s="26">
        <f>IF($A2983="","",SUMPRODUCT(--ISNUMBER(SEARCH('Category Dictionary'!$D$5:$D$135&amp;"",$C2983)),--('Category Dictionary'!$D$5:$D$135&lt;&gt;"")))</f>
        <v/>
      </c>
      <c r="L2983" s="27">
        <f>IF($A2983="","",TRIM(IF(ISERROR(FIND(",",$C2983)),$C2983,LEFT($C2983,FIND(",",$C2983)-1))))</f>
        <v/>
      </c>
      <c r="M2983" s="28">
        <f>IF($H2983="","",DATE(YEAR($H2983),MONTH($H2983),1))</f>
        <v/>
      </c>
      <c r="N2983" s="26">
        <f>IF($H2983="","",TODAY()-$H2983)</f>
        <v/>
      </c>
      <c r="O2983" s="15" t="n"/>
      <c r="P2983" s="15" t="n"/>
      <c r="Q2983" s="15" t="n"/>
      <c r="R2983" s="25" t="n"/>
      <c r="S2983" s="26">
        <f>IF($A2983="","",AND(OR('Assignment Builder'!$B$5="",$B2983='Assignment Builder'!$B$5),OR('Assignment Builder'!$B$6="",ISNUMBER(SEARCH('Assignment Builder'!$B$6,$C2983))),OR('Assignment Builder'!$B$7="",'Assignment Builder'!$B$7=IFERROR(INDEX('Category Dictionary'!$C$5:$C$135,MATCH($L2983,'Category Dictionary'!$D$5:$D$135,0)),"")),OR('Assignment Builder'!$B$8="",$D2983='Assignment Builder'!$B$8),OR('Assignment Builder'!$B$9="",$F2983='Assignment Builder'!$B$9),OR('Assignment Builder'!$B$10="",$O2983='Assignment Builder'!$B$10),OR('Assignment Builder'!$B$11="",$H2983&gt;='Assignment Builder'!$B$11),OR('Assignment Builder'!$B$12="",N($Q2983)&lt;='Assignment Builder'!$B$12)))</f>
        <v/>
      </c>
      <c r="T2983" s="23" t="n"/>
    </row>
    <row r="2984">
      <c r="A2984" s="23" t="n"/>
      <c r="B2984" s="23" t="n"/>
      <c r="C2984" s="24" t="n"/>
      <c r="D2984" s="15" t="n"/>
      <c r="E2984" s="23" t="n"/>
      <c r="F2984" s="15" t="n"/>
      <c r="G2984" s="23" t="n"/>
      <c r="H2984" s="25" t="n"/>
      <c r="I2984" s="15" t="n"/>
      <c r="J2984" s="26">
        <f>IF($A2984="","",LEN($C2984)-LEN(SUBSTITUTE($C2984,",",""))+1)</f>
        <v/>
      </c>
      <c r="K2984" s="26">
        <f>IF($A2984="","",SUMPRODUCT(--ISNUMBER(SEARCH('Category Dictionary'!$D$5:$D$135&amp;"",$C2984)),--('Category Dictionary'!$D$5:$D$135&lt;&gt;"")))</f>
        <v/>
      </c>
      <c r="L2984" s="27">
        <f>IF($A2984="","",TRIM(IF(ISERROR(FIND(",",$C2984)),$C2984,LEFT($C2984,FIND(",",$C2984)-1))))</f>
        <v/>
      </c>
      <c r="M2984" s="28">
        <f>IF($H2984="","",DATE(YEAR($H2984),MONTH($H2984),1))</f>
        <v/>
      </c>
      <c r="N2984" s="26">
        <f>IF($H2984="","",TODAY()-$H2984)</f>
        <v/>
      </c>
      <c r="O2984" s="15" t="n"/>
      <c r="P2984" s="15" t="n"/>
      <c r="Q2984" s="15" t="n"/>
      <c r="R2984" s="25" t="n"/>
      <c r="S2984" s="26">
        <f>IF($A2984="","",AND(OR('Assignment Builder'!$B$5="",$B2984='Assignment Builder'!$B$5),OR('Assignment Builder'!$B$6="",ISNUMBER(SEARCH('Assignment Builder'!$B$6,$C2984))),OR('Assignment Builder'!$B$7="",'Assignment Builder'!$B$7=IFERROR(INDEX('Category Dictionary'!$C$5:$C$135,MATCH($L2984,'Category Dictionary'!$D$5:$D$135,0)),"")),OR('Assignment Builder'!$B$8="",$D2984='Assignment Builder'!$B$8),OR('Assignment Builder'!$B$9="",$F2984='Assignment Builder'!$B$9),OR('Assignment Builder'!$B$10="",$O2984='Assignment Builder'!$B$10),OR('Assignment Builder'!$B$11="",$H2984&gt;='Assignment Builder'!$B$11),OR('Assignment Builder'!$B$12="",N($Q2984)&lt;='Assignment Builder'!$B$12)))</f>
        <v/>
      </c>
      <c r="T2984" s="23" t="n"/>
    </row>
    <row r="2985">
      <c r="A2985" s="23" t="n"/>
      <c r="B2985" s="23" t="n"/>
      <c r="C2985" s="24" t="n"/>
      <c r="D2985" s="15" t="n"/>
      <c r="E2985" s="23" t="n"/>
      <c r="F2985" s="15" t="n"/>
      <c r="G2985" s="23" t="n"/>
      <c r="H2985" s="25" t="n"/>
      <c r="I2985" s="15" t="n"/>
      <c r="J2985" s="26">
        <f>IF($A2985="","",LEN($C2985)-LEN(SUBSTITUTE($C2985,",",""))+1)</f>
        <v/>
      </c>
      <c r="K2985" s="26">
        <f>IF($A2985="","",SUMPRODUCT(--ISNUMBER(SEARCH('Category Dictionary'!$D$5:$D$135&amp;"",$C2985)),--('Category Dictionary'!$D$5:$D$135&lt;&gt;"")))</f>
        <v/>
      </c>
      <c r="L2985" s="27">
        <f>IF($A2985="","",TRIM(IF(ISERROR(FIND(",",$C2985)),$C2985,LEFT($C2985,FIND(",",$C2985)-1))))</f>
        <v/>
      </c>
      <c r="M2985" s="28">
        <f>IF($H2985="","",DATE(YEAR($H2985),MONTH($H2985),1))</f>
        <v/>
      </c>
      <c r="N2985" s="26">
        <f>IF($H2985="","",TODAY()-$H2985)</f>
        <v/>
      </c>
      <c r="O2985" s="15" t="n"/>
      <c r="P2985" s="15" t="n"/>
      <c r="Q2985" s="15" t="n"/>
      <c r="R2985" s="25" t="n"/>
      <c r="S2985" s="26">
        <f>IF($A2985="","",AND(OR('Assignment Builder'!$B$5="",$B2985='Assignment Builder'!$B$5),OR('Assignment Builder'!$B$6="",ISNUMBER(SEARCH('Assignment Builder'!$B$6,$C2985))),OR('Assignment Builder'!$B$7="",'Assignment Builder'!$B$7=IFERROR(INDEX('Category Dictionary'!$C$5:$C$135,MATCH($L2985,'Category Dictionary'!$D$5:$D$135,0)),"")),OR('Assignment Builder'!$B$8="",$D2985='Assignment Builder'!$B$8),OR('Assignment Builder'!$B$9="",$F2985='Assignment Builder'!$B$9),OR('Assignment Builder'!$B$10="",$O2985='Assignment Builder'!$B$10),OR('Assignment Builder'!$B$11="",$H2985&gt;='Assignment Builder'!$B$11),OR('Assignment Builder'!$B$12="",N($Q2985)&lt;='Assignment Builder'!$B$12)))</f>
        <v/>
      </c>
      <c r="T2985" s="23" t="n"/>
    </row>
    <row r="2986">
      <c r="A2986" s="23" t="n"/>
      <c r="B2986" s="23" t="n"/>
      <c r="C2986" s="24" t="n"/>
      <c r="D2986" s="15" t="n"/>
      <c r="E2986" s="23" t="n"/>
      <c r="F2986" s="15" t="n"/>
      <c r="G2986" s="23" t="n"/>
      <c r="H2986" s="25" t="n"/>
      <c r="I2986" s="15" t="n"/>
      <c r="J2986" s="26">
        <f>IF($A2986="","",LEN($C2986)-LEN(SUBSTITUTE($C2986,",",""))+1)</f>
        <v/>
      </c>
      <c r="K2986" s="26">
        <f>IF($A2986="","",SUMPRODUCT(--ISNUMBER(SEARCH('Category Dictionary'!$D$5:$D$135&amp;"",$C2986)),--('Category Dictionary'!$D$5:$D$135&lt;&gt;"")))</f>
        <v/>
      </c>
      <c r="L2986" s="27">
        <f>IF($A2986="","",TRIM(IF(ISERROR(FIND(",",$C2986)),$C2986,LEFT($C2986,FIND(",",$C2986)-1))))</f>
        <v/>
      </c>
      <c r="M2986" s="28">
        <f>IF($H2986="","",DATE(YEAR($H2986),MONTH($H2986),1))</f>
        <v/>
      </c>
      <c r="N2986" s="26">
        <f>IF($H2986="","",TODAY()-$H2986)</f>
        <v/>
      </c>
      <c r="O2986" s="15" t="n"/>
      <c r="P2986" s="15" t="n"/>
      <c r="Q2986" s="15" t="n"/>
      <c r="R2986" s="25" t="n"/>
      <c r="S2986" s="26">
        <f>IF($A2986="","",AND(OR('Assignment Builder'!$B$5="",$B2986='Assignment Builder'!$B$5),OR('Assignment Builder'!$B$6="",ISNUMBER(SEARCH('Assignment Builder'!$B$6,$C2986))),OR('Assignment Builder'!$B$7="",'Assignment Builder'!$B$7=IFERROR(INDEX('Category Dictionary'!$C$5:$C$135,MATCH($L2986,'Category Dictionary'!$D$5:$D$135,0)),"")),OR('Assignment Builder'!$B$8="",$D2986='Assignment Builder'!$B$8),OR('Assignment Builder'!$B$9="",$F2986='Assignment Builder'!$B$9),OR('Assignment Builder'!$B$10="",$O2986='Assignment Builder'!$B$10),OR('Assignment Builder'!$B$11="",$H2986&gt;='Assignment Builder'!$B$11),OR('Assignment Builder'!$B$12="",N($Q2986)&lt;='Assignment Builder'!$B$12)))</f>
        <v/>
      </c>
      <c r="T2986" s="23" t="n"/>
    </row>
    <row r="2987">
      <c r="A2987" s="23" t="n"/>
      <c r="B2987" s="23" t="n"/>
      <c r="C2987" s="24" t="n"/>
      <c r="D2987" s="15" t="n"/>
      <c r="E2987" s="23" t="n"/>
      <c r="F2987" s="15" t="n"/>
      <c r="G2987" s="23" t="n"/>
      <c r="H2987" s="25" t="n"/>
      <c r="I2987" s="15" t="n"/>
      <c r="J2987" s="26">
        <f>IF($A2987="","",LEN($C2987)-LEN(SUBSTITUTE($C2987,",",""))+1)</f>
        <v/>
      </c>
      <c r="K2987" s="26">
        <f>IF($A2987="","",SUMPRODUCT(--ISNUMBER(SEARCH('Category Dictionary'!$D$5:$D$135&amp;"",$C2987)),--('Category Dictionary'!$D$5:$D$135&lt;&gt;"")))</f>
        <v/>
      </c>
      <c r="L2987" s="27">
        <f>IF($A2987="","",TRIM(IF(ISERROR(FIND(",",$C2987)),$C2987,LEFT($C2987,FIND(",",$C2987)-1))))</f>
        <v/>
      </c>
      <c r="M2987" s="28">
        <f>IF($H2987="","",DATE(YEAR($H2987),MONTH($H2987),1))</f>
        <v/>
      </c>
      <c r="N2987" s="26">
        <f>IF($H2987="","",TODAY()-$H2987)</f>
        <v/>
      </c>
      <c r="O2987" s="15" t="n"/>
      <c r="P2987" s="15" t="n"/>
      <c r="Q2987" s="15" t="n"/>
      <c r="R2987" s="25" t="n"/>
      <c r="S2987" s="26">
        <f>IF($A2987="","",AND(OR('Assignment Builder'!$B$5="",$B2987='Assignment Builder'!$B$5),OR('Assignment Builder'!$B$6="",ISNUMBER(SEARCH('Assignment Builder'!$B$6,$C2987))),OR('Assignment Builder'!$B$7="",'Assignment Builder'!$B$7=IFERROR(INDEX('Category Dictionary'!$C$5:$C$135,MATCH($L2987,'Category Dictionary'!$D$5:$D$135,0)),"")),OR('Assignment Builder'!$B$8="",$D2987='Assignment Builder'!$B$8),OR('Assignment Builder'!$B$9="",$F2987='Assignment Builder'!$B$9),OR('Assignment Builder'!$B$10="",$O2987='Assignment Builder'!$B$10),OR('Assignment Builder'!$B$11="",$H2987&gt;='Assignment Builder'!$B$11),OR('Assignment Builder'!$B$12="",N($Q2987)&lt;='Assignment Builder'!$B$12)))</f>
        <v/>
      </c>
      <c r="T2987" s="23" t="n"/>
    </row>
    <row r="2988">
      <c r="A2988" s="23" t="n"/>
      <c r="B2988" s="23" t="n"/>
      <c r="C2988" s="24" t="n"/>
      <c r="D2988" s="15" t="n"/>
      <c r="E2988" s="23" t="n"/>
      <c r="F2988" s="15" t="n"/>
      <c r="G2988" s="23" t="n"/>
      <c r="H2988" s="25" t="n"/>
      <c r="I2988" s="15" t="n"/>
      <c r="J2988" s="26">
        <f>IF($A2988="","",LEN($C2988)-LEN(SUBSTITUTE($C2988,",",""))+1)</f>
        <v/>
      </c>
      <c r="K2988" s="26">
        <f>IF($A2988="","",SUMPRODUCT(--ISNUMBER(SEARCH('Category Dictionary'!$D$5:$D$135&amp;"",$C2988)),--('Category Dictionary'!$D$5:$D$135&lt;&gt;"")))</f>
        <v/>
      </c>
      <c r="L2988" s="27">
        <f>IF($A2988="","",TRIM(IF(ISERROR(FIND(",",$C2988)),$C2988,LEFT($C2988,FIND(",",$C2988)-1))))</f>
        <v/>
      </c>
      <c r="M2988" s="28">
        <f>IF($H2988="","",DATE(YEAR($H2988),MONTH($H2988),1))</f>
        <v/>
      </c>
      <c r="N2988" s="26">
        <f>IF($H2988="","",TODAY()-$H2988)</f>
        <v/>
      </c>
      <c r="O2988" s="15" t="n"/>
      <c r="P2988" s="15" t="n"/>
      <c r="Q2988" s="15" t="n"/>
      <c r="R2988" s="25" t="n"/>
      <c r="S2988" s="26">
        <f>IF($A2988="","",AND(OR('Assignment Builder'!$B$5="",$B2988='Assignment Builder'!$B$5),OR('Assignment Builder'!$B$6="",ISNUMBER(SEARCH('Assignment Builder'!$B$6,$C2988))),OR('Assignment Builder'!$B$7="",'Assignment Builder'!$B$7=IFERROR(INDEX('Category Dictionary'!$C$5:$C$135,MATCH($L2988,'Category Dictionary'!$D$5:$D$135,0)),"")),OR('Assignment Builder'!$B$8="",$D2988='Assignment Builder'!$B$8),OR('Assignment Builder'!$B$9="",$F2988='Assignment Builder'!$B$9),OR('Assignment Builder'!$B$10="",$O2988='Assignment Builder'!$B$10),OR('Assignment Builder'!$B$11="",$H2988&gt;='Assignment Builder'!$B$11),OR('Assignment Builder'!$B$12="",N($Q2988)&lt;='Assignment Builder'!$B$12)))</f>
        <v/>
      </c>
      <c r="T2988" s="23" t="n"/>
    </row>
    <row r="2989">
      <c r="A2989" s="23" t="n"/>
      <c r="B2989" s="23" t="n"/>
      <c r="C2989" s="24" t="n"/>
      <c r="D2989" s="15" t="n"/>
      <c r="E2989" s="23" t="n"/>
      <c r="F2989" s="15" t="n"/>
      <c r="G2989" s="23" t="n"/>
      <c r="H2989" s="25" t="n"/>
      <c r="I2989" s="15" t="n"/>
      <c r="J2989" s="26">
        <f>IF($A2989="","",LEN($C2989)-LEN(SUBSTITUTE($C2989,",",""))+1)</f>
        <v/>
      </c>
      <c r="K2989" s="26">
        <f>IF($A2989="","",SUMPRODUCT(--ISNUMBER(SEARCH('Category Dictionary'!$D$5:$D$135&amp;"",$C2989)),--('Category Dictionary'!$D$5:$D$135&lt;&gt;"")))</f>
        <v/>
      </c>
      <c r="L2989" s="27">
        <f>IF($A2989="","",TRIM(IF(ISERROR(FIND(",",$C2989)),$C2989,LEFT($C2989,FIND(",",$C2989)-1))))</f>
        <v/>
      </c>
      <c r="M2989" s="28">
        <f>IF($H2989="","",DATE(YEAR($H2989),MONTH($H2989),1))</f>
        <v/>
      </c>
      <c r="N2989" s="26">
        <f>IF($H2989="","",TODAY()-$H2989)</f>
        <v/>
      </c>
      <c r="O2989" s="15" t="n"/>
      <c r="P2989" s="15" t="n"/>
      <c r="Q2989" s="15" t="n"/>
      <c r="R2989" s="25" t="n"/>
      <c r="S2989" s="26">
        <f>IF($A2989="","",AND(OR('Assignment Builder'!$B$5="",$B2989='Assignment Builder'!$B$5),OR('Assignment Builder'!$B$6="",ISNUMBER(SEARCH('Assignment Builder'!$B$6,$C2989))),OR('Assignment Builder'!$B$7="",'Assignment Builder'!$B$7=IFERROR(INDEX('Category Dictionary'!$C$5:$C$135,MATCH($L2989,'Category Dictionary'!$D$5:$D$135,0)),"")),OR('Assignment Builder'!$B$8="",$D2989='Assignment Builder'!$B$8),OR('Assignment Builder'!$B$9="",$F2989='Assignment Builder'!$B$9),OR('Assignment Builder'!$B$10="",$O2989='Assignment Builder'!$B$10),OR('Assignment Builder'!$B$11="",$H2989&gt;='Assignment Builder'!$B$11),OR('Assignment Builder'!$B$12="",N($Q2989)&lt;='Assignment Builder'!$B$12)))</f>
        <v/>
      </c>
      <c r="T2989" s="23" t="n"/>
    </row>
    <row r="2990">
      <c r="A2990" s="23" t="n"/>
      <c r="B2990" s="23" t="n"/>
      <c r="C2990" s="24" t="n"/>
      <c r="D2990" s="15" t="n"/>
      <c r="E2990" s="23" t="n"/>
      <c r="F2990" s="15" t="n"/>
      <c r="G2990" s="23" t="n"/>
      <c r="H2990" s="25" t="n"/>
      <c r="I2990" s="15" t="n"/>
      <c r="J2990" s="26">
        <f>IF($A2990="","",LEN($C2990)-LEN(SUBSTITUTE($C2990,",",""))+1)</f>
        <v/>
      </c>
      <c r="K2990" s="26">
        <f>IF($A2990="","",SUMPRODUCT(--ISNUMBER(SEARCH('Category Dictionary'!$D$5:$D$135&amp;"",$C2990)),--('Category Dictionary'!$D$5:$D$135&lt;&gt;"")))</f>
        <v/>
      </c>
      <c r="L2990" s="27">
        <f>IF($A2990="","",TRIM(IF(ISERROR(FIND(",",$C2990)),$C2990,LEFT($C2990,FIND(",",$C2990)-1))))</f>
        <v/>
      </c>
      <c r="M2990" s="28">
        <f>IF($H2990="","",DATE(YEAR($H2990),MONTH($H2990),1))</f>
        <v/>
      </c>
      <c r="N2990" s="26">
        <f>IF($H2990="","",TODAY()-$H2990)</f>
        <v/>
      </c>
      <c r="O2990" s="15" t="n"/>
      <c r="P2990" s="15" t="n"/>
      <c r="Q2990" s="15" t="n"/>
      <c r="R2990" s="25" t="n"/>
      <c r="S2990" s="26">
        <f>IF($A2990="","",AND(OR('Assignment Builder'!$B$5="",$B2990='Assignment Builder'!$B$5),OR('Assignment Builder'!$B$6="",ISNUMBER(SEARCH('Assignment Builder'!$B$6,$C2990))),OR('Assignment Builder'!$B$7="",'Assignment Builder'!$B$7=IFERROR(INDEX('Category Dictionary'!$C$5:$C$135,MATCH($L2990,'Category Dictionary'!$D$5:$D$135,0)),"")),OR('Assignment Builder'!$B$8="",$D2990='Assignment Builder'!$B$8),OR('Assignment Builder'!$B$9="",$F2990='Assignment Builder'!$B$9),OR('Assignment Builder'!$B$10="",$O2990='Assignment Builder'!$B$10),OR('Assignment Builder'!$B$11="",$H2990&gt;='Assignment Builder'!$B$11),OR('Assignment Builder'!$B$12="",N($Q2990)&lt;='Assignment Builder'!$B$12)))</f>
        <v/>
      </c>
      <c r="T2990" s="23" t="n"/>
    </row>
    <row r="2991">
      <c r="A2991" s="23" t="n"/>
      <c r="B2991" s="23" t="n"/>
      <c r="C2991" s="24" t="n"/>
      <c r="D2991" s="15" t="n"/>
      <c r="E2991" s="23" t="n"/>
      <c r="F2991" s="15" t="n"/>
      <c r="G2991" s="23" t="n"/>
      <c r="H2991" s="25" t="n"/>
      <c r="I2991" s="15" t="n"/>
      <c r="J2991" s="26">
        <f>IF($A2991="","",LEN($C2991)-LEN(SUBSTITUTE($C2991,",",""))+1)</f>
        <v/>
      </c>
      <c r="K2991" s="26">
        <f>IF($A2991="","",SUMPRODUCT(--ISNUMBER(SEARCH('Category Dictionary'!$D$5:$D$135&amp;"",$C2991)),--('Category Dictionary'!$D$5:$D$135&lt;&gt;"")))</f>
        <v/>
      </c>
      <c r="L2991" s="27">
        <f>IF($A2991="","",TRIM(IF(ISERROR(FIND(",",$C2991)),$C2991,LEFT($C2991,FIND(",",$C2991)-1))))</f>
        <v/>
      </c>
      <c r="M2991" s="28">
        <f>IF($H2991="","",DATE(YEAR($H2991),MONTH($H2991),1))</f>
        <v/>
      </c>
      <c r="N2991" s="26">
        <f>IF($H2991="","",TODAY()-$H2991)</f>
        <v/>
      </c>
      <c r="O2991" s="15" t="n"/>
      <c r="P2991" s="15" t="n"/>
      <c r="Q2991" s="15" t="n"/>
      <c r="R2991" s="25" t="n"/>
      <c r="S2991" s="26">
        <f>IF($A2991="","",AND(OR('Assignment Builder'!$B$5="",$B2991='Assignment Builder'!$B$5),OR('Assignment Builder'!$B$6="",ISNUMBER(SEARCH('Assignment Builder'!$B$6,$C2991))),OR('Assignment Builder'!$B$7="",'Assignment Builder'!$B$7=IFERROR(INDEX('Category Dictionary'!$C$5:$C$135,MATCH($L2991,'Category Dictionary'!$D$5:$D$135,0)),"")),OR('Assignment Builder'!$B$8="",$D2991='Assignment Builder'!$B$8),OR('Assignment Builder'!$B$9="",$F2991='Assignment Builder'!$B$9),OR('Assignment Builder'!$B$10="",$O2991='Assignment Builder'!$B$10),OR('Assignment Builder'!$B$11="",$H2991&gt;='Assignment Builder'!$B$11),OR('Assignment Builder'!$B$12="",N($Q2991)&lt;='Assignment Builder'!$B$12)))</f>
        <v/>
      </c>
      <c r="T2991" s="23" t="n"/>
    </row>
    <row r="2992">
      <c r="A2992" s="23" t="n"/>
      <c r="B2992" s="23" t="n"/>
      <c r="C2992" s="24" t="n"/>
      <c r="D2992" s="15" t="n"/>
      <c r="E2992" s="23" t="n"/>
      <c r="F2992" s="15" t="n"/>
      <c r="G2992" s="23" t="n"/>
      <c r="H2992" s="25" t="n"/>
      <c r="I2992" s="15" t="n"/>
      <c r="J2992" s="26">
        <f>IF($A2992="","",LEN($C2992)-LEN(SUBSTITUTE($C2992,",",""))+1)</f>
        <v/>
      </c>
      <c r="K2992" s="26">
        <f>IF($A2992="","",SUMPRODUCT(--ISNUMBER(SEARCH('Category Dictionary'!$D$5:$D$135&amp;"",$C2992)),--('Category Dictionary'!$D$5:$D$135&lt;&gt;"")))</f>
        <v/>
      </c>
      <c r="L2992" s="27">
        <f>IF($A2992="","",TRIM(IF(ISERROR(FIND(",",$C2992)),$C2992,LEFT($C2992,FIND(",",$C2992)-1))))</f>
        <v/>
      </c>
      <c r="M2992" s="28">
        <f>IF($H2992="","",DATE(YEAR($H2992),MONTH($H2992),1))</f>
        <v/>
      </c>
      <c r="N2992" s="26">
        <f>IF($H2992="","",TODAY()-$H2992)</f>
        <v/>
      </c>
      <c r="O2992" s="15" t="n"/>
      <c r="P2992" s="15" t="n"/>
      <c r="Q2992" s="15" t="n"/>
      <c r="R2992" s="25" t="n"/>
      <c r="S2992" s="26">
        <f>IF($A2992="","",AND(OR('Assignment Builder'!$B$5="",$B2992='Assignment Builder'!$B$5),OR('Assignment Builder'!$B$6="",ISNUMBER(SEARCH('Assignment Builder'!$B$6,$C2992))),OR('Assignment Builder'!$B$7="",'Assignment Builder'!$B$7=IFERROR(INDEX('Category Dictionary'!$C$5:$C$135,MATCH($L2992,'Category Dictionary'!$D$5:$D$135,0)),"")),OR('Assignment Builder'!$B$8="",$D2992='Assignment Builder'!$B$8),OR('Assignment Builder'!$B$9="",$F2992='Assignment Builder'!$B$9),OR('Assignment Builder'!$B$10="",$O2992='Assignment Builder'!$B$10),OR('Assignment Builder'!$B$11="",$H2992&gt;='Assignment Builder'!$B$11),OR('Assignment Builder'!$B$12="",N($Q2992)&lt;='Assignment Builder'!$B$12)))</f>
        <v/>
      </c>
      <c r="T2992" s="23" t="n"/>
    </row>
    <row r="2993">
      <c r="A2993" s="23" t="n"/>
      <c r="B2993" s="23" t="n"/>
      <c r="C2993" s="24" t="n"/>
      <c r="D2993" s="15" t="n"/>
      <c r="E2993" s="23" t="n"/>
      <c r="F2993" s="15" t="n"/>
      <c r="G2993" s="23" t="n"/>
      <c r="H2993" s="25" t="n"/>
      <c r="I2993" s="15" t="n"/>
      <c r="J2993" s="26">
        <f>IF($A2993="","",LEN($C2993)-LEN(SUBSTITUTE($C2993,",",""))+1)</f>
        <v/>
      </c>
      <c r="K2993" s="26">
        <f>IF($A2993="","",SUMPRODUCT(--ISNUMBER(SEARCH('Category Dictionary'!$D$5:$D$135&amp;"",$C2993)),--('Category Dictionary'!$D$5:$D$135&lt;&gt;"")))</f>
        <v/>
      </c>
      <c r="L2993" s="27">
        <f>IF($A2993="","",TRIM(IF(ISERROR(FIND(",",$C2993)),$C2993,LEFT($C2993,FIND(",",$C2993)-1))))</f>
        <v/>
      </c>
      <c r="M2993" s="28">
        <f>IF($H2993="","",DATE(YEAR($H2993),MONTH($H2993),1))</f>
        <v/>
      </c>
      <c r="N2993" s="26">
        <f>IF($H2993="","",TODAY()-$H2993)</f>
        <v/>
      </c>
      <c r="O2993" s="15" t="n"/>
      <c r="P2993" s="15" t="n"/>
      <c r="Q2993" s="15" t="n"/>
      <c r="R2993" s="25" t="n"/>
      <c r="S2993" s="26">
        <f>IF($A2993="","",AND(OR('Assignment Builder'!$B$5="",$B2993='Assignment Builder'!$B$5),OR('Assignment Builder'!$B$6="",ISNUMBER(SEARCH('Assignment Builder'!$B$6,$C2993))),OR('Assignment Builder'!$B$7="",'Assignment Builder'!$B$7=IFERROR(INDEX('Category Dictionary'!$C$5:$C$135,MATCH($L2993,'Category Dictionary'!$D$5:$D$135,0)),"")),OR('Assignment Builder'!$B$8="",$D2993='Assignment Builder'!$B$8),OR('Assignment Builder'!$B$9="",$F2993='Assignment Builder'!$B$9),OR('Assignment Builder'!$B$10="",$O2993='Assignment Builder'!$B$10),OR('Assignment Builder'!$B$11="",$H2993&gt;='Assignment Builder'!$B$11),OR('Assignment Builder'!$B$12="",N($Q2993)&lt;='Assignment Builder'!$B$12)))</f>
        <v/>
      </c>
      <c r="T2993" s="23" t="n"/>
    </row>
    <row r="2994">
      <c r="A2994" s="23" t="n"/>
      <c r="B2994" s="23" t="n"/>
      <c r="C2994" s="24" t="n"/>
      <c r="D2994" s="15" t="n"/>
      <c r="E2994" s="23" t="n"/>
      <c r="F2994" s="15" t="n"/>
      <c r="G2994" s="23" t="n"/>
      <c r="H2994" s="25" t="n"/>
      <c r="I2994" s="15" t="n"/>
      <c r="J2994" s="26">
        <f>IF($A2994="","",LEN($C2994)-LEN(SUBSTITUTE($C2994,",",""))+1)</f>
        <v/>
      </c>
      <c r="K2994" s="26">
        <f>IF($A2994="","",SUMPRODUCT(--ISNUMBER(SEARCH('Category Dictionary'!$D$5:$D$135&amp;"",$C2994)),--('Category Dictionary'!$D$5:$D$135&lt;&gt;"")))</f>
        <v/>
      </c>
      <c r="L2994" s="27">
        <f>IF($A2994="","",TRIM(IF(ISERROR(FIND(",",$C2994)),$C2994,LEFT($C2994,FIND(",",$C2994)-1))))</f>
        <v/>
      </c>
      <c r="M2994" s="28">
        <f>IF($H2994="","",DATE(YEAR($H2994),MONTH($H2994),1))</f>
        <v/>
      </c>
      <c r="N2994" s="26">
        <f>IF($H2994="","",TODAY()-$H2994)</f>
        <v/>
      </c>
      <c r="O2994" s="15" t="n"/>
      <c r="P2994" s="15" t="n"/>
      <c r="Q2994" s="15" t="n"/>
      <c r="R2994" s="25" t="n"/>
      <c r="S2994" s="26">
        <f>IF($A2994="","",AND(OR('Assignment Builder'!$B$5="",$B2994='Assignment Builder'!$B$5),OR('Assignment Builder'!$B$6="",ISNUMBER(SEARCH('Assignment Builder'!$B$6,$C2994))),OR('Assignment Builder'!$B$7="",'Assignment Builder'!$B$7=IFERROR(INDEX('Category Dictionary'!$C$5:$C$135,MATCH($L2994,'Category Dictionary'!$D$5:$D$135,0)),"")),OR('Assignment Builder'!$B$8="",$D2994='Assignment Builder'!$B$8),OR('Assignment Builder'!$B$9="",$F2994='Assignment Builder'!$B$9),OR('Assignment Builder'!$B$10="",$O2994='Assignment Builder'!$B$10),OR('Assignment Builder'!$B$11="",$H2994&gt;='Assignment Builder'!$B$11),OR('Assignment Builder'!$B$12="",N($Q2994)&lt;='Assignment Builder'!$B$12)))</f>
        <v/>
      </c>
      <c r="T2994" s="23" t="n"/>
    </row>
    <row r="2995">
      <c r="A2995" s="23" t="n"/>
      <c r="B2995" s="23" t="n"/>
      <c r="C2995" s="24" t="n"/>
      <c r="D2995" s="15" t="n"/>
      <c r="E2995" s="23" t="n"/>
      <c r="F2995" s="15" t="n"/>
      <c r="G2995" s="23" t="n"/>
      <c r="H2995" s="25" t="n"/>
      <c r="I2995" s="15" t="n"/>
      <c r="J2995" s="26">
        <f>IF($A2995="","",LEN($C2995)-LEN(SUBSTITUTE($C2995,",",""))+1)</f>
        <v/>
      </c>
      <c r="K2995" s="26">
        <f>IF($A2995="","",SUMPRODUCT(--ISNUMBER(SEARCH('Category Dictionary'!$D$5:$D$135&amp;"",$C2995)),--('Category Dictionary'!$D$5:$D$135&lt;&gt;"")))</f>
        <v/>
      </c>
      <c r="L2995" s="27">
        <f>IF($A2995="","",TRIM(IF(ISERROR(FIND(",",$C2995)),$C2995,LEFT($C2995,FIND(",",$C2995)-1))))</f>
        <v/>
      </c>
      <c r="M2995" s="28">
        <f>IF($H2995="","",DATE(YEAR($H2995),MONTH($H2995),1))</f>
        <v/>
      </c>
      <c r="N2995" s="26">
        <f>IF($H2995="","",TODAY()-$H2995)</f>
        <v/>
      </c>
      <c r="O2995" s="15" t="n"/>
      <c r="P2995" s="15" t="n"/>
      <c r="Q2995" s="15" t="n"/>
      <c r="R2995" s="25" t="n"/>
      <c r="S2995" s="26">
        <f>IF($A2995="","",AND(OR('Assignment Builder'!$B$5="",$B2995='Assignment Builder'!$B$5),OR('Assignment Builder'!$B$6="",ISNUMBER(SEARCH('Assignment Builder'!$B$6,$C2995))),OR('Assignment Builder'!$B$7="",'Assignment Builder'!$B$7=IFERROR(INDEX('Category Dictionary'!$C$5:$C$135,MATCH($L2995,'Category Dictionary'!$D$5:$D$135,0)),"")),OR('Assignment Builder'!$B$8="",$D2995='Assignment Builder'!$B$8),OR('Assignment Builder'!$B$9="",$F2995='Assignment Builder'!$B$9),OR('Assignment Builder'!$B$10="",$O2995='Assignment Builder'!$B$10),OR('Assignment Builder'!$B$11="",$H2995&gt;='Assignment Builder'!$B$11),OR('Assignment Builder'!$B$12="",N($Q2995)&lt;='Assignment Builder'!$B$12)))</f>
        <v/>
      </c>
      <c r="T2995" s="23" t="n"/>
    </row>
    <row r="2996">
      <c r="A2996" s="23" t="n"/>
      <c r="B2996" s="23" t="n"/>
      <c r="C2996" s="24" t="n"/>
      <c r="D2996" s="15" t="n"/>
      <c r="E2996" s="23" t="n"/>
      <c r="F2996" s="15" t="n"/>
      <c r="G2996" s="23" t="n"/>
      <c r="H2996" s="25" t="n"/>
      <c r="I2996" s="15" t="n"/>
      <c r="J2996" s="26">
        <f>IF($A2996="","",LEN($C2996)-LEN(SUBSTITUTE($C2996,",",""))+1)</f>
        <v/>
      </c>
      <c r="K2996" s="26">
        <f>IF($A2996="","",SUMPRODUCT(--ISNUMBER(SEARCH('Category Dictionary'!$D$5:$D$135&amp;"",$C2996)),--('Category Dictionary'!$D$5:$D$135&lt;&gt;"")))</f>
        <v/>
      </c>
      <c r="L2996" s="27">
        <f>IF($A2996="","",TRIM(IF(ISERROR(FIND(",",$C2996)),$C2996,LEFT($C2996,FIND(",",$C2996)-1))))</f>
        <v/>
      </c>
      <c r="M2996" s="28">
        <f>IF($H2996="","",DATE(YEAR($H2996),MONTH($H2996),1))</f>
        <v/>
      </c>
      <c r="N2996" s="26">
        <f>IF($H2996="","",TODAY()-$H2996)</f>
        <v/>
      </c>
      <c r="O2996" s="15" t="n"/>
      <c r="P2996" s="15" t="n"/>
      <c r="Q2996" s="15" t="n"/>
      <c r="R2996" s="25" t="n"/>
      <c r="S2996" s="26">
        <f>IF($A2996="","",AND(OR('Assignment Builder'!$B$5="",$B2996='Assignment Builder'!$B$5),OR('Assignment Builder'!$B$6="",ISNUMBER(SEARCH('Assignment Builder'!$B$6,$C2996))),OR('Assignment Builder'!$B$7="",'Assignment Builder'!$B$7=IFERROR(INDEX('Category Dictionary'!$C$5:$C$135,MATCH($L2996,'Category Dictionary'!$D$5:$D$135,0)),"")),OR('Assignment Builder'!$B$8="",$D2996='Assignment Builder'!$B$8),OR('Assignment Builder'!$B$9="",$F2996='Assignment Builder'!$B$9),OR('Assignment Builder'!$B$10="",$O2996='Assignment Builder'!$B$10),OR('Assignment Builder'!$B$11="",$H2996&gt;='Assignment Builder'!$B$11),OR('Assignment Builder'!$B$12="",N($Q2996)&lt;='Assignment Builder'!$B$12)))</f>
        <v/>
      </c>
      <c r="T2996" s="23" t="n"/>
    </row>
    <row r="2997">
      <c r="A2997" s="23" t="n"/>
      <c r="B2997" s="23" t="n"/>
      <c r="C2997" s="24" t="n"/>
      <c r="D2997" s="15" t="n"/>
      <c r="E2997" s="23" t="n"/>
      <c r="F2997" s="15" t="n"/>
      <c r="G2997" s="23" t="n"/>
      <c r="H2997" s="25" t="n"/>
      <c r="I2997" s="15" t="n"/>
      <c r="J2997" s="26">
        <f>IF($A2997="","",LEN($C2997)-LEN(SUBSTITUTE($C2997,",",""))+1)</f>
        <v/>
      </c>
      <c r="K2997" s="26">
        <f>IF($A2997="","",SUMPRODUCT(--ISNUMBER(SEARCH('Category Dictionary'!$D$5:$D$135&amp;"",$C2997)),--('Category Dictionary'!$D$5:$D$135&lt;&gt;"")))</f>
        <v/>
      </c>
      <c r="L2997" s="27">
        <f>IF($A2997="","",TRIM(IF(ISERROR(FIND(",",$C2997)),$C2997,LEFT($C2997,FIND(",",$C2997)-1))))</f>
        <v/>
      </c>
      <c r="M2997" s="28">
        <f>IF($H2997="","",DATE(YEAR($H2997),MONTH($H2997),1))</f>
        <v/>
      </c>
      <c r="N2997" s="26">
        <f>IF($H2997="","",TODAY()-$H2997)</f>
        <v/>
      </c>
      <c r="O2997" s="15" t="n"/>
      <c r="P2997" s="15" t="n"/>
      <c r="Q2997" s="15" t="n"/>
      <c r="R2997" s="25" t="n"/>
      <c r="S2997" s="26">
        <f>IF($A2997="","",AND(OR('Assignment Builder'!$B$5="",$B2997='Assignment Builder'!$B$5),OR('Assignment Builder'!$B$6="",ISNUMBER(SEARCH('Assignment Builder'!$B$6,$C2997))),OR('Assignment Builder'!$B$7="",'Assignment Builder'!$B$7=IFERROR(INDEX('Category Dictionary'!$C$5:$C$135,MATCH($L2997,'Category Dictionary'!$D$5:$D$135,0)),"")),OR('Assignment Builder'!$B$8="",$D2997='Assignment Builder'!$B$8),OR('Assignment Builder'!$B$9="",$F2997='Assignment Builder'!$B$9),OR('Assignment Builder'!$B$10="",$O2997='Assignment Builder'!$B$10),OR('Assignment Builder'!$B$11="",$H2997&gt;='Assignment Builder'!$B$11),OR('Assignment Builder'!$B$12="",N($Q2997)&lt;='Assignment Builder'!$B$12)))</f>
        <v/>
      </c>
      <c r="T2997" s="23" t="n"/>
    </row>
    <row r="2998">
      <c r="A2998" s="23" t="n"/>
      <c r="B2998" s="23" t="n"/>
      <c r="C2998" s="24" t="n"/>
      <c r="D2998" s="15" t="n"/>
      <c r="E2998" s="23" t="n"/>
      <c r="F2998" s="15" t="n"/>
      <c r="G2998" s="23" t="n"/>
      <c r="H2998" s="25" t="n"/>
      <c r="I2998" s="15" t="n"/>
      <c r="J2998" s="26">
        <f>IF($A2998="","",LEN($C2998)-LEN(SUBSTITUTE($C2998,",",""))+1)</f>
        <v/>
      </c>
      <c r="K2998" s="26">
        <f>IF($A2998="","",SUMPRODUCT(--ISNUMBER(SEARCH('Category Dictionary'!$D$5:$D$135&amp;"",$C2998)),--('Category Dictionary'!$D$5:$D$135&lt;&gt;"")))</f>
        <v/>
      </c>
      <c r="L2998" s="27">
        <f>IF($A2998="","",TRIM(IF(ISERROR(FIND(",",$C2998)),$C2998,LEFT($C2998,FIND(",",$C2998)-1))))</f>
        <v/>
      </c>
      <c r="M2998" s="28">
        <f>IF($H2998="","",DATE(YEAR($H2998),MONTH($H2998),1))</f>
        <v/>
      </c>
      <c r="N2998" s="26">
        <f>IF($H2998="","",TODAY()-$H2998)</f>
        <v/>
      </c>
      <c r="O2998" s="15" t="n"/>
      <c r="P2998" s="15" t="n"/>
      <c r="Q2998" s="15" t="n"/>
      <c r="R2998" s="25" t="n"/>
      <c r="S2998" s="26">
        <f>IF($A2998="","",AND(OR('Assignment Builder'!$B$5="",$B2998='Assignment Builder'!$B$5),OR('Assignment Builder'!$B$6="",ISNUMBER(SEARCH('Assignment Builder'!$B$6,$C2998))),OR('Assignment Builder'!$B$7="",'Assignment Builder'!$B$7=IFERROR(INDEX('Category Dictionary'!$C$5:$C$135,MATCH($L2998,'Category Dictionary'!$D$5:$D$135,0)),"")),OR('Assignment Builder'!$B$8="",$D2998='Assignment Builder'!$B$8),OR('Assignment Builder'!$B$9="",$F2998='Assignment Builder'!$B$9),OR('Assignment Builder'!$B$10="",$O2998='Assignment Builder'!$B$10),OR('Assignment Builder'!$B$11="",$H2998&gt;='Assignment Builder'!$B$11),OR('Assignment Builder'!$B$12="",N($Q2998)&lt;='Assignment Builder'!$B$12)))</f>
        <v/>
      </c>
      <c r="T2998" s="23" t="n"/>
    </row>
    <row r="2999">
      <c r="A2999" s="23" t="n"/>
      <c r="B2999" s="23" t="n"/>
      <c r="C2999" s="24" t="n"/>
      <c r="D2999" s="15" t="n"/>
      <c r="E2999" s="23" t="n"/>
      <c r="F2999" s="15" t="n"/>
      <c r="G2999" s="23" t="n"/>
      <c r="H2999" s="25" t="n"/>
      <c r="I2999" s="15" t="n"/>
      <c r="J2999" s="26">
        <f>IF($A2999="","",LEN($C2999)-LEN(SUBSTITUTE($C2999,",",""))+1)</f>
        <v/>
      </c>
      <c r="K2999" s="26">
        <f>IF($A2999="","",SUMPRODUCT(--ISNUMBER(SEARCH('Category Dictionary'!$D$5:$D$135&amp;"",$C2999)),--('Category Dictionary'!$D$5:$D$135&lt;&gt;"")))</f>
        <v/>
      </c>
      <c r="L2999" s="27">
        <f>IF($A2999="","",TRIM(IF(ISERROR(FIND(",",$C2999)),$C2999,LEFT($C2999,FIND(",",$C2999)-1))))</f>
        <v/>
      </c>
      <c r="M2999" s="28">
        <f>IF($H2999="","",DATE(YEAR($H2999),MONTH($H2999),1))</f>
        <v/>
      </c>
      <c r="N2999" s="26">
        <f>IF($H2999="","",TODAY()-$H2999)</f>
        <v/>
      </c>
      <c r="O2999" s="15" t="n"/>
      <c r="P2999" s="15" t="n"/>
      <c r="Q2999" s="15" t="n"/>
      <c r="R2999" s="25" t="n"/>
      <c r="S2999" s="26">
        <f>IF($A2999="","",AND(OR('Assignment Builder'!$B$5="",$B2999='Assignment Builder'!$B$5),OR('Assignment Builder'!$B$6="",ISNUMBER(SEARCH('Assignment Builder'!$B$6,$C2999))),OR('Assignment Builder'!$B$7="",'Assignment Builder'!$B$7=IFERROR(INDEX('Category Dictionary'!$C$5:$C$135,MATCH($L2999,'Category Dictionary'!$D$5:$D$135,0)),"")),OR('Assignment Builder'!$B$8="",$D2999='Assignment Builder'!$B$8),OR('Assignment Builder'!$B$9="",$F2999='Assignment Builder'!$B$9),OR('Assignment Builder'!$B$10="",$O2999='Assignment Builder'!$B$10),OR('Assignment Builder'!$B$11="",$H2999&gt;='Assignment Builder'!$B$11),OR('Assignment Builder'!$B$12="",N($Q2999)&lt;='Assignment Builder'!$B$12)))</f>
        <v/>
      </c>
      <c r="T2999" s="23" t="n"/>
    </row>
    <row r="3000">
      <c r="A3000" s="23" t="n"/>
      <c r="B3000" s="23" t="n"/>
      <c r="C3000" s="24" t="n"/>
      <c r="D3000" s="15" t="n"/>
      <c r="E3000" s="23" t="n"/>
      <c r="F3000" s="15" t="n"/>
      <c r="G3000" s="23" t="n"/>
      <c r="H3000" s="25" t="n"/>
      <c r="I3000" s="15" t="n"/>
      <c r="J3000" s="26">
        <f>IF($A3000="","",LEN($C3000)-LEN(SUBSTITUTE($C3000,",",""))+1)</f>
        <v/>
      </c>
      <c r="K3000" s="26">
        <f>IF($A3000="","",SUMPRODUCT(--ISNUMBER(SEARCH('Category Dictionary'!$D$5:$D$135&amp;"",$C3000)),--('Category Dictionary'!$D$5:$D$135&lt;&gt;"")))</f>
        <v/>
      </c>
      <c r="L3000" s="27">
        <f>IF($A3000="","",TRIM(IF(ISERROR(FIND(",",$C3000)),$C3000,LEFT($C3000,FIND(",",$C3000)-1))))</f>
        <v/>
      </c>
      <c r="M3000" s="28">
        <f>IF($H3000="","",DATE(YEAR($H3000),MONTH($H3000),1))</f>
        <v/>
      </c>
      <c r="N3000" s="26">
        <f>IF($H3000="","",TODAY()-$H3000)</f>
        <v/>
      </c>
      <c r="O3000" s="15" t="n"/>
      <c r="P3000" s="15" t="n"/>
      <c r="Q3000" s="15" t="n"/>
      <c r="R3000" s="25" t="n"/>
      <c r="S3000" s="26">
        <f>IF($A3000="","",AND(OR('Assignment Builder'!$B$5="",$B3000='Assignment Builder'!$B$5),OR('Assignment Builder'!$B$6="",ISNUMBER(SEARCH('Assignment Builder'!$B$6,$C3000))),OR('Assignment Builder'!$B$7="",'Assignment Builder'!$B$7=IFERROR(INDEX('Category Dictionary'!$C$5:$C$135,MATCH($L3000,'Category Dictionary'!$D$5:$D$135,0)),"")),OR('Assignment Builder'!$B$8="",$D3000='Assignment Builder'!$B$8),OR('Assignment Builder'!$B$9="",$F3000='Assignment Builder'!$B$9),OR('Assignment Builder'!$B$10="",$O3000='Assignment Builder'!$B$10),OR('Assignment Builder'!$B$11="",$H3000&gt;='Assignment Builder'!$B$11),OR('Assignment Builder'!$B$12="",N($Q3000)&lt;='Assignment Builder'!$B$12)))</f>
        <v/>
      </c>
      <c r="T3000" s="23" t="n"/>
    </row>
    <row r="3001">
      <c r="A3001" s="23" t="n"/>
      <c r="B3001" s="23" t="n"/>
      <c r="C3001" s="24" t="n"/>
      <c r="D3001" s="15" t="n"/>
      <c r="E3001" s="23" t="n"/>
      <c r="F3001" s="15" t="n"/>
      <c r="G3001" s="23" t="n"/>
      <c r="H3001" s="25" t="n"/>
      <c r="I3001" s="15" t="n"/>
      <c r="J3001" s="26">
        <f>IF($A3001="","",LEN($C3001)-LEN(SUBSTITUTE($C3001,",",""))+1)</f>
        <v/>
      </c>
      <c r="K3001" s="26">
        <f>IF($A3001="","",SUMPRODUCT(--ISNUMBER(SEARCH('Category Dictionary'!$D$5:$D$135&amp;"",$C3001)),--('Category Dictionary'!$D$5:$D$135&lt;&gt;"")))</f>
        <v/>
      </c>
      <c r="L3001" s="27">
        <f>IF($A3001="","",TRIM(IF(ISERROR(FIND(",",$C3001)),$C3001,LEFT($C3001,FIND(",",$C3001)-1))))</f>
        <v/>
      </c>
      <c r="M3001" s="28">
        <f>IF($H3001="","",DATE(YEAR($H3001),MONTH($H3001),1))</f>
        <v/>
      </c>
      <c r="N3001" s="26">
        <f>IF($H3001="","",TODAY()-$H3001)</f>
        <v/>
      </c>
      <c r="O3001" s="15" t="n"/>
      <c r="P3001" s="15" t="n"/>
      <c r="Q3001" s="15" t="n"/>
      <c r="R3001" s="25" t="n"/>
      <c r="S3001" s="26">
        <f>IF($A3001="","",AND(OR('Assignment Builder'!$B$5="",$B3001='Assignment Builder'!$B$5),OR('Assignment Builder'!$B$6="",ISNUMBER(SEARCH('Assignment Builder'!$B$6,$C3001))),OR('Assignment Builder'!$B$7="",'Assignment Builder'!$B$7=IFERROR(INDEX('Category Dictionary'!$C$5:$C$135,MATCH($L3001,'Category Dictionary'!$D$5:$D$135,0)),"")),OR('Assignment Builder'!$B$8="",$D3001='Assignment Builder'!$B$8),OR('Assignment Builder'!$B$9="",$F3001='Assignment Builder'!$B$9),OR('Assignment Builder'!$B$10="",$O3001='Assignment Builder'!$B$10),OR('Assignment Builder'!$B$11="",$H3001&gt;='Assignment Builder'!$B$11),OR('Assignment Builder'!$B$12="",N($Q3001)&lt;='Assignment Builder'!$B$12)))</f>
        <v/>
      </c>
      <c r="T3001" s="23" t="n"/>
    </row>
    <row r="3002">
      <c r="A3002" s="23" t="n"/>
      <c r="B3002" s="23" t="n"/>
      <c r="C3002" s="24" t="n"/>
      <c r="D3002" s="15" t="n"/>
      <c r="E3002" s="23" t="n"/>
      <c r="F3002" s="15" t="n"/>
      <c r="G3002" s="23" t="n"/>
      <c r="H3002" s="25" t="n"/>
      <c r="I3002" s="15" t="n"/>
      <c r="J3002" s="26">
        <f>IF($A3002="","",LEN($C3002)-LEN(SUBSTITUTE($C3002,",",""))+1)</f>
        <v/>
      </c>
      <c r="K3002" s="26">
        <f>IF($A3002="","",SUMPRODUCT(--ISNUMBER(SEARCH('Category Dictionary'!$D$5:$D$135&amp;"",$C3002)),--('Category Dictionary'!$D$5:$D$135&lt;&gt;"")))</f>
        <v/>
      </c>
      <c r="L3002" s="27">
        <f>IF($A3002="","",TRIM(IF(ISERROR(FIND(",",$C3002)),$C3002,LEFT($C3002,FIND(",",$C3002)-1))))</f>
        <v/>
      </c>
      <c r="M3002" s="28">
        <f>IF($H3002="","",DATE(YEAR($H3002),MONTH($H3002),1))</f>
        <v/>
      </c>
      <c r="N3002" s="26">
        <f>IF($H3002="","",TODAY()-$H3002)</f>
        <v/>
      </c>
      <c r="O3002" s="15" t="n"/>
      <c r="P3002" s="15" t="n"/>
      <c r="Q3002" s="15" t="n"/>
      <c r="R3002" s="25" t="n"/>
      <c r="S3002" s="26">
        <f>IF($A3002="","",AND(OR('Assignment Builder'!$B$5="",$B3002='Assignment Builder'!$B$5),OR('Assignment Builder'!$B$6="",ISNUMBER(SEARCH('Assignment Builder'!$B$6,$C3002))),OR('Assignment Builder'!$B$7="",'Assignment Builder'!$B$7=IFERROR(INDEX('Category Dictionary'!$C$5:$C$135,MATCH($L3002,'Category Dictionary'!$D$5:$D$135,0)),"")),OR('Assignment Builder'!$B$8="",$D3002='Assignment Builder'!$B$8),OR('Assignment Builder'!$B$9="",$F3002='Assignment Builder'!$B$9),OR('Assignment Builder'!$B$10="",$O3002='Assignment Builder'!$B$10),OR('Assignment Builder'!$B$11="",$H3002&gt;='Assignment Builder'!$B$11),OR('Assignment Builder'!$B$12="",N($Q3002)&lt;='Assignment Builder'!$B$12)))</f>
        <v/>
      </c>
      <c r="T3002" s="23" t="n"/>
    </row>
    <row r="3003">
      <c r="A3003" s="23" t="n"/>
      <c r="B3003" s="23" t="n"/>
      <c r="C3003" s="24" t="n"/>
      <c r="D3003" s="15" t="n"/>
      <c r="E3003" s="23" t="n"/>
      <c r="F3003" s="15" t="n"/>
      <c r="G3003" s="23" t="n"/>
      <c r="H3003" s="25" t="n"/>
      <c r="I3003" s="15" t="n"/>
      <c r="J3003" s="26">
        <f>IF($A3003="","",LEN($C3003)-LEN(SUBSTITUTE($C3003,",",""))+1)</f>
        <v/>
      </c>
      <c r="K3003" s="26">
        <f>IF($A3003="","",SUMPRODUCT(--ISNUMBER(SEARCH('Category Dictionary'!$D$5:$D$135&amp;"",$C3003)),--('Category Dictionary'!$D$5:$D$135&lt;&gt;"")))</f>
        <v/>
      </c>
      <c r="L3003" s="27">
        <f>IF($A3003="","",TRIM(IF(ISERROR(FIND(",",$C3003)),$C3003,LEFT($C3003,FIND(",",$C3003)-1))))</f>
        <v/>
      </c>
      <c r="M3003" s="28">
        <f>IF($H3003="","",DATE(YEAR($H3003),MONTH($H3003),1))</f>
        <v/>
      </c>
      <c r="N3003" s="26">
        <f>IF($H3003="","",TODAY()-$H3003)</f>
        <v/>
      </c>
      <c r="O3003" s="15" t="n"/>
      <c r="P3003" s="15" t="n"/>
      <c r="Q3003" s="15" t="n"/>
      <c r="R3003" s="25" t="n"/>
      <c r="S3003" s="26">
        <f>IF($A3003="","",AND(OR('Assignment Builder'!$B$5="",$B3003='Assignment Builder'!$B$5),OR('Assignment Builder'!$B$6="",ISNUMBER(SEARCH('Assignment Builder'!$B$6,$C3003))),OR('Assignment Builder'!$B$7="",'Assignment Builder'!$B$7=IFERROR(INDEX('Category Dictionary'!$C$5:$C$135,MATCH($L3003,'Category Dictionary'!$D$5:$D$135,0)),"")),OR('Assignment Builder'!$B$8="",$D3003='Assignment Builder'!$B$8),OR('Assignment Builder'!$B$9="",$F3003='Assignment Builder'!$B$9),OR('Assignment Builder'!$B$10="",$O3003='Assignment Builder'!$B$10),OR('Assignment Builder'!$B$11="",$H3003&gt;='Assignment Builder'!$B$11),OR('Assignment Builder'!$B$12="",N($Q3003)&lt;='Assignment Builder'!$B$12)))</f>
        <v/>
      </c>
      <c r="T3003" s="23" t="n"/>
    </row>
    <row r="3004">
      <c r="A3004" s="23" t="n"/>
      <c r="B3004" s="23" t="n"/>
      <c r="C3004" s="24" t="n"/>
      <c r="D3004" s="15" t="n"/>
      <c r="E3004" s="23" t="n"/>
      <c r="F3004" s="15" t="n"/>
      <c r="G3004" s="23" t="n"/>
      <c r="H3004" s="25" t="n"/>
      <c r="I3004" s="15" t="n"/>
      <c r="J3004" s="26">
        <f>IF($A3004="","",LEN($C3004)-LEN(SUBSTITUTE($C3004,",",""))+1)</f>
        <v/>
      </c>
      <c r="K3004" s="26">
        <f>IF($A3004="","",SUMPRODUCT(--ISNUMBER(SEARCH('Category Dictionary'!$D$5:$D$135&amp;"",$C3004)),--('Category Dictionary'!$D$5:$D$135&lt;&gt;"")))</f>
        <v/>
      </c>
      <c r="L3004" s="27">
        <f>IF($A3004="","",TRIM(IF(ISERROR(FIND(",",$C3004)),$C3004,LEFT($C3004,FIND(",",$C3004)-1))))</f>
        <v/>
      </c>
      <c r="M3004" s="28">
        <f>IF($H3004="","",DATE(YEAR($H3004),MONTH($H3004),1))</f>
        <v/>
      </c>
      <c r="N3004" s="26">
        <f>IF($H3004="","",TODAY()-$H3004)</f>
        <v/>
      </c>
      <c r="O3004" s="15" t="n"/>
      <c r="P3004" s="15" t="n"/>
      <c r="Q3004" s="15" t="n"/>
      <c r="R3004" s="25" t="n"/>
      <c r="S3004" s="26">
        <f>IF($A3004="","",AND(OR('Assignment Builder'!$B$5="",$B3004='Assignment Builder'!$B$5),OR('Assignment Builder'!$B$6="",ISNUMBER(SEARCH('Assignment Builder'!$B$6,$C3004))),OR('Assignment Builder'!$B$7="",'Assignment Builder'!$B$7=IFERROR(INDEX('Category Dictionary'!$C$5:$C$135,MATCH($L3004,'Category Dictionary'!$D$5:$D$135,0)),"")),OR('Assignment Builder'!$B$8="",$D3004='Assignment Builder'!$B$8),OR('Assignment Builder'!$B$9="",$F3004='Assignment Builder'!$B$9),OR('Assignment Builder'!$B$10="",$O3004='Assignment Builder'!$B$10),OR('Assignment Builder'!$B$11="",$H3004&gt;='Assignment Builder'!$B$11),OR('Assignment Builder'!$B$12="",N($Q3004)&lt;='Assignment Builder'!$B$12)))</f>
        <v/>
      </c>
      <c r="T3004" s="23" t="n"/>
    </row>
    <row r="3005">
      <c r="A3005" s="23" t="n"/>
      <c r="B3005" s="23" t="n"/>
      <c r="C3005" s="24" t="n"/>
      <c r="D3005" s="15" t="n"/>
      <c r="E3005" s="23" t="n"/>
      <c r="F3005" s="15" t="n"/>
      <c r="G3005" s="23" t="n"/>
      <c r="H3005" s="25" t="n"/>
      <c r="I3005" s="15" t="n"/>
      <c r="J3005" s="26">
        <f>IF($A3005="","",LEN($C3005)-LEN(SUBSTITUTE($C3005,",",""))+1)</f>
        <v/>
      </c>
      <c r="K3005" s="26">
        <f>IF($A3005="","",SUMPRODUCT(--ISNUMBER(SEARCH('Category Dictionary'!$D$5:$D$135&amp;"",$C3005)),--('Category Dictionary'!$D$5:$D$135&lt;&gt;"")))</f>
        <v/>
      </c>
      <c r="L3005" s="27">
        <f>IF($A3005="","",TRIM(IF(ISERROR(FIND(",",$C3005)),$C3005,LEFT($C3005,FIND(",",$C3005)-1))))</f>
        <v/>
      </c>
      <c r="M3005" s="28">
        <f>IF($H3005="","",DATE(YEAR($H3005),MONTH($H3005),1))</f>
        <v/>
      </c>
      <c r="N3005" s="26">
        <f>IF($H3005="","",TODAY()-$H3005)</f>
        <v/>
      </c>
      <c r="O3005" s="15" t="n"/>
      <c r="P3005" s="15" t="n"/>
      <c r="Q3005" s="15" t="n"/>
      <c r="R3005" s="25" t="n"/>
      <c r="S3005" s="26">
        <f>IF($A3005="","",AND(OR('Assignment Builder'!$B$5="",$B3005='Assignment Builder'!$B$5),OR('Assignment Builder'!$B$6="",ISNUMBER(SEARCH('Assignment Builder'!$B$6,$C3005))),OR('Assignment Builder'!$B$7="",'Assignment Builder'!$B$7=IFERROR(INDEX('Category Dictionary'!$C$5:$C$135,MATCH($L3005,'Category Dictionary'!$D$5:$D$135,0)),"")),OR('Assignment Builder'!$B$8="",$D3005='Assignment Builder'!$B$8),OR('Assignment Builder'!$B$9="",$F3005='Assignment Builder'!$B$9),OR('Assignment Builder'!$B$10="",$O3005='Assignment Builder'!$B$10),OR('Assignment Builder'!$B$11="",$H3005&gt;='Assignment Builder'!$B$11),OR('Assignment Builder'!$B$12="",N($Q3005)&lt;='Assignment Builder'!$B$12)))</f>
        <v/>
      </c>
      <c r="T3005" s="23" t="n"/>
    </row>
    <row r="3006">
      <c r="A3006" s="23" t="n"/>
      <c r="B3006" s="23" t="n"/>
      <c r="C3006" s="24" t="n"/>
      <c r="D3006" s="15" t="n"/>
      <c r="E3006" s="23" t="n"/>
      <c r="F3006" s="15" t="n"/>
      <c r="G3006" s="23" t="n"/>
      <c r="H3006" s="25" t="n"/>
      <c r="I3006" s="15" t="n"/>
      <c r="J3006" s="26">
        <f>IF($A3006="","",LEN($C3006)-LEN(SUBSTITUTE($C3006,",",""))+1)</f>
        <v/>
      </c>
      <c r="K3006" s="26">
        <f>IF($A3006="","",SUMPRODUCT(--ISNUMBER(SEARCH('Category Dictionary'!$D$5:$D$135&amp;"",$C3006)),--('Category Dictionary'!$D$5:$D$135&lt;&gt;"")))</f>
        <v/>
      </c>
      <c r="L3006" s="27">
        <f>IF($A3006="","",TRIM(IF(ISERROR(FIND(",",$C3006)),$C3006,LEFT($C3006,FIND(",",$C3006)-1))))</f>
        <v/>
      </c>
      <c r="M3006" s="28">
        <f>IF($H3006="","",DATE(YEAR($H3006),MONTH($H3006),1))</f>
        <v/>
      </c>
      <c r="N3006" s="26">
        <f>IF($H3006="","",TODAY()-$H3006)</f>
        <v/>
      </c>
      <c r="O3006" s="15" t="n"/>
      <c r="P3006" s="15" t="n"/>
      <c r="Q3006" s="15" t="n"/>
      <c r="R3006" s="25" t="n"/>
      <c r="S3006" s="26">
        <f>IF($A3006="","",AND(OR('Assignment Builder'!$B$5="",$B3006='Assignment Builder'!$B$5),OR('Assignment Builder'!$B$6="",ISNUMBER(SEARCH('Assignment Builder'!$B$6,$C3006))),OR('Assignment Builder'!$B$7="",'Assignment Builder'!$B$7=IFERROR(INDEX('Category Dictionary'!$C$5:$C$135,MATCH($L3006,'Category Dictionary'!$D$5:$D$135,0)),"")),OR('Assignment Builder'!$B$8="",$D3006='Assignment Builder'!$B$8),OR('Assignment Builder'!$B$9="",$F3006='Assignment Builder'!$B$9),OR('Assignment Builder'!$B$10="",$O3006='Assignment Builder'!$B$10),OR('Assignment Builder'!$B$11="",$H3006&gt;='Assignment Builder'!$B$11),OR('Assignment Builder'!$B$12="",N($Q3006)&lt;='Assignment Builder'!$B$12)))</f>
        <v/>
      </c>
      <c r="T3006" s="23" t="n"/>
    </row>
    <row r="3007">
      <c r="A3007" s="23" t="n"/>
      <c r="B3007" s="23" t="n"/>
      <c r="C3007" s="24" t="n"/>
      <c r="D3007" s="15" t="n"/>
      <c r="E3007" s="23" t="n"/>
      <c r="F3007" s="15" t="n"/>
      <c r="G3007" s="23" t="n"/>
      <c r="H3007" s="25" t="n"/>
      <c r="I3007" s="15" t="n"/>
      <c r="J3007" s="26">
        <f>IF($A3007="","",LEN($C3007)-LEN(SUBSTITUTE($C3007,",",""))+1)</f>
        <v/>
      </c>
      <c r="K3007" s="26">
        <f>IF($A3007="","",SUMPRODUCT(--ISNUMBER(SEARCH('Category Dictionary'!$D$5:$D$135&amp;"",$C3007)),--('Category Dictionary'!$D$5:$D$135&lt;&gt;"")))</f>
        <v/>
      </c>
      <c r="L3007" s="27">
        <f>IF($A3007="","",TRIM(IF(ISERROR(FIND(",",$C3007)),$C3007,LEFT($C3007,FIND(",",$C3007)-1))))</f>
        <v/>
      </c>
      <c r="M3007" s="28">
        <f>IF($H3007="","",DATE(YEAR($H3007),MONTH($H3007),1))</f>
        <v/>
      </c>
      <c r="N3007" s="26">
        <f>IF($H3007="","",TODAY()-$H3007)</f>
        <v/>
      </c>
      <c r="O3007" s="15" t="n"/>
      <c r="P3007" s="15" t="n"/>
      <c r="Q3007" s="15" t="n"/>
      <c r="R3007" s="25" t="n"/>
      <c r="S3007" s="26">
        <f>IF($A3007="","",AND(OR('Assignment Builder'!$B$5="",$B3007='Assignment Builder'!$B$5),OR('Assignment Builder'!$B$6="",ISNUMBER(SEARCH('Assignment Builder'!$B$6,$C3007))),OR('Assignment Builder'!$B$7="",'Assignment Builder'!$B$7=IFERROR(INDEX('Category Dictionary'!$C$5:$C$135,MATCH($L3007,'Category Dictionary'!$D$5:$D$135,0)),"")),OR('Assignment Builder'!$B$8="",$D3007='Assignment Builder'!$B$8),OR('Assignment Builder'!$B$9="",$F3007='Assignment Builder'!$B$9),OR('Assignment Builder'!$B$10="",$O3007='Assignment Builder'!$B$10),OR('Assignment Builder'!$B$11="",$H3007&gt;='Assignment Builder'!$B$11),OR('Assignment Builder'!$B$12="",N($Q3007)&lt;='Assignment Builder'!$B$12)))</f>
        <v/>
      </c>
      <c r="T3007" s="23" t="n"/>
    </row>
    <row r="3008">
      <c r="A3008" s="23" t="n"/>
      <c r="B3008" s="23" t="n"/>
      <c r="C3008" s="24" t="n"/>
      <c r="D3008" s="15" t="n"/>
      <c r="E3008" s="23" t="n"/>
      <c r="F3008" s="15" t="n"/>
      <c r="G3008" s="23" t="n"/>
      <c r="H3008" s="25" t="n"/>
      <c r="I3008" s="15" t="n"/>
      <c r="J3008" s="26">
        <f>IF($A3008="","",LEN($C3008)-LEN(SUBSTITUTE($C3008,",",""))+1)</f>
        <v/>
      </c>
      <c r="K3008" s="26">
        <f>IF($A3008="","",SUMPRODUCT(--ISNUMBER(SEARCH('Category Dictionary'!$D$5:$D$135&amp;"",$C3008)),--('Category Dictionary'!$D$5:$D$135&lt;&gt;"")))</f>
        <v/>
      </c>
      <c r="L3008" s="27">
        <f>IF($A3008="","",TRIM(IF(ISERROR(FIND(",",$C3008)),$C3008,LEFT($C3008,FIND(",",$C3008)-1))))</f>
        <v/>
      </c>
      <c r="M3008" s="28">
        <f>IF($H3008="","",DATE(YEAR($H3008),MONTH($H3008),1))</f>
        <v/>
      </c>
      <c r="N3008" s="26">
        <f>IF($H3008="","",TODAY()-$H3008)</f>
        <v/>
      </c>
      <c r="O3008" s="15" t="n"/>
      <c r="P3008" s="15" t="n"/>
      <c r="Q3008" s="15" t="n"/>
      <c r="R3008" s="25" t="n"/>
      <c r="S3008" s="26">
        <f>IF($A3008="","",AND(OR('Assignment Builder'!$B$5="",$B3008='Assignment Builder'!$B$5),OR('Assignment Builder'!$B$6="",ISNUMBER(SEARCH('Assignment Builder'!$B$6,$C3008))),OR('Assignment Builder'!$B$7="",'Assignment Builder'!$B$7=IFERROR(INDEX('Category Dictionary'!$C$5:$C$135,MATCH($L3008,'Category Dictionary'!$D$5:$D$135,0)),"")),OR('Assignment Builder'!$B$8="",$D3008='Assignment Builder'!$B$8),OR('Assignment Builder'!$B$9="",$F3008='Assignment Builder'!$B$9),OR('Assignment Builder'!$B$10="",$O3008='Assignment Builder'!$B$10),OR('Assignment Builder'!$B$11="",$H3008&gt;='Assignment Builder'!$B$11),OR('Assignment Builder'!$B$12="",N($Q3008)&lt;='Assignment Builder'!$B$12)))</f>
        <v/>
      </c>
      <c r="T3008" s="23" t="n"/>
    </row>
    <row r="3009">
      <c r="A3009" s="23" t="n"/>
      <c r="B3009" s="23" t="n"/>
      <c r="C3009" s="24" t="n"/>
      <c r="D3009" s="15" t="n"/>
      <c r="E3009" s="23" t="n"/>
      <c r="F3009" s="15" t="n"/>
      <c r="G3009" s="23" t="n"/>
      <c r="H3009" s="25" t="n"/>
      <c r="I3009" s="15" t="n"/>
      <c r="J3009" s="26">
        <f>IF($A3009="","",LEN($C3009)-LEN(SUBSTITUTE($C3009,",",""))+1)</f>
        <v/>
      </c>
      <c r="K3009" s="26">
        <f>IF($A3009="","",SUMPRODUCT(--ISNUMBER(SEARCH('Category Dictionary'!$D$5:$D$135&amp;"",$C3009)),--('Category Dictionary'!$D$5:$D$135&lt;&gt;"")))</f>
        <v/>
      </c>
      <c r="L3009" s="27">
        <f>IF($A3009="","",TRIM(IF(ISERROR(FIND(",",$C3009)),$C3009,LEFT($C3009,FIND(",",$C3009)-1))))</f>
        <v/>
      </c>
      <c r="M3009" s="28">
        <f>IF($H3009="","",DATE(YEAR($H3009),MONTH($H3009),1))</f>
        <v/>
      </c>
      <c r="N3009" s="26">
        <f>IF($H3009="","",TODAY()-$H3009)</f>
        <v/>
      </c>
      <c r="O3009" s="15" t="n"/>
      <c r="P3009" s="15" t="n"/>
      <c r="Q3009" s="15" t="n"/>
      <c r="R3009" s="25" t="n"/>
      <c r="S3009" s="26">
        <f>IF($A3009="","",AND(OR('Assignment Builder'!$B$5="",$B3009='Assignment Builder'!$B$5),OR('Assignment Builder'!$B$6="",ISNUMBER(SEARCH('Assignment Builder'!$B$6,$C3009))),OR('Assignment Builder'!$B$7="",'Assignment Builder'!$B$7=IFERROR(INDEX('Category Dictionary'!$C$5:$C$135,MATCH($L3009,'Category Dictionary'!$D$5:$D$135,0)),"")),OR('Assignment Builder'!$B$8="",$D3009='Assignment Builder'!$B$8),OR('Assignment Builder'!$B$9="",$F3009='Assignment Builder'!$B$9),OR('Assignment Builder'!$B$10="",$O3009='Assignment Builder'!$B$10),OR('Assignment Builder'!$B$11="",$H3009&gt;='Assignment Builder'!$B$11),OR('Assignment Builder'!$B$12="",N($Q3009)&lt;='Assignment Builder'!$B$12)))</f>
        <v/>
      </c>
      <c r="T3009" s="23" t="n"/>
    </row>
    <row r="3010">
      <c r="A3010" s="23" t="n"/>
      <c r="B3010" s="23" t="n"/>
      <c r="C3010" s="24" t="n"/>
      <c r="D3010" s="15" t="n"/>
      <c r="E3010" s="23" t="n"/>
      <c r="F3010" s="15" t="n"/>
      <c r="G3010" s="23" t="n"/>
      <c r="H3010" s="25" t="n"/>
      <c r="I3010" s="15" t="n"/>
      <c r="J3010" s="26">
        <f>IF($A3010="","",LEN($C3010)-LEN(SUBSTITUTE($C3010,",",""))+1)</f>
        <v/>
      </c>
      <c r="K3010" s="26">
        <f>IF($A3010="","",SUMPRODUCT(--ISNUMBER(SEARCH('Category Dictionary'!$D$5:$D$135&amp;"",$C3010)),--('Category Dictionary'!$D$5:$D$135&lt;&gt;"")))</f>
        <v/>
      </c>
      <c r="L3010" s="27">
        <f>IF($A3010="","",TRIM(IF(ISERROR(FIND(",",$C3010)),$C3010,LEFT($C3010,FIND(",",$C3010)-1))))</f>
        <v/>
      </c>
      <c r="M3010" s="28">
        <f>IF($H3010="","",DATE(YEAR($H3010),MONTH($H3010),1))</f>
        <v/>
      </c>
      <c r="N3010" s="26">
        <f>IF($H3010="","",TODAY()-$H3010)</f>
        <v/>
      </c>
      <c r="O3010" s="15" t="n"/>
      <c r="P3010" s="15" t="n"/>
      <c r="Q3010" s="15" t="n"/>
      <c r="R3010" s="25" t="n"/>
      <c r="S3010" s="26">
        <f>IF($A3010="","",AND(OR('Assignment Builder'!$B$5="",$B3010='Assignment Builder'!$B$5),OR('Assignment Builder'!$B$6="",ISNUMBER(SEARCH('Assignment Builder'!$B$6,$C3010))),OR('Assignment Builder'!$B$7="",'Assignment Builder'!$B$7=IFERROR(INDEX('Category Dictionary'!$C$5:$C$135,MATCH($L3010,'Category Dictionary'!$D$5:$D$135,0)),"")),OR('Assignment Builder'!$B$8="",$D3010='Assignment Builder'!$B$8),OR('Assignment Builder'!$B$9="",$F3010='Assignment Builder'!$B$9),OR('Assignment Builder'!$B$10="",$O3010='Assignment Builder'!$B$10),OR('Assignment Builder'!$B$11="",$H3010&gt;='Assignment Builder'!$B$11),OR('Assignment Builder'!$B$12="",N($Q3010)&lt;='Assignment Builder'!$B$12)))</f>
        <v/>
      </c>
      <c r="T3010" s="23" t="n"/>
    </row>
    <row r="3011">
      <c r="A3011" s="23" t="n"/>
      <c r="B3011" s="23" t="n"/>
      <c r="C3011" s="24" t="n"/>
      <c r="D3011" s="15" t="n"/>
      <c r="E3011" s="23" t="n"/>
      <c r="F3011" s="15" t="n"/>
      <c r="G3011" s="23" t="n"/>
      <c r="H3011" s="25" t="n"/>
      <c r="I3011" s="15" t="n"/>
      <c r="J3011" s="26">
        <f>IF($A3011="","",LEN($C3011)-LEN(SUBSTITUTE($C3011,",",""))+1)</f>
        <v/>
      </c>
      <c r="K3011" s="26">
        <f>IF($A3011="","",SUMPRODUCT(--ISNUMBER(SEARCH('Category Dictionary'!$D$5:$D$135&amp;"",$C3011)),--('Category Dictionary'!$D$5:$D$135&lt;&gt;"")))</f>
        <v/>
      </c>
      <c r="L3011" s="27">
        <f>IF($A3011="","",TRIM(IF(ISERROR(FIND(",",$C3011)),$C3011,LEFT($C3011,FIND(",",$C3011)-1))))</f>
        <v/>
      </c>
      <c r="M3011" s="28">
        <f>IF($H3011="","",DATE(YEAR($H3011),MONTH($H3011),1))</f>
        <v/>
      </c>
      <c r="N3011" s="26">
        <f>IF($H3011="","",TODAY()-$H3011)</f>
        <v/>
      </c>
      <c r="O3011" s="15" t="n"/>
      <c r="P3011" s="15" t="n"/>
      <c r="Q3011" s="15" t="n"/>
      <c r="R3011" s="25" t="n"/>
      <c r="S3011" s="26">
        <f>IF($A3011="","",AND(OR('Assignment Builder'!$B$5="",$B3011='Assignment Builder'!$B$5),OR('Assignment Builder'!$B$6="",ISNUMBER(SEARCH('Assignment Builder'!$B$6,$C3011))),OR('Assignment Builder'!$B$7="",'Assignment Builder'!$B$7=IFERROR(INDEX('Category Dictionary'!$C$5:$C$135,MATCH($L3011,'Category Dictionary'!$D$5:$D$135,0)),"")),OR('Assignment Builder'!$B$8="",$D3011='Assignment Builder'!$B$8),OR('Assignment Builder'!$B$9="",$F3011='Assignment Builder'!$B$9),OR('Assignment Builder'!$B$10="",$O3011='Assignment Builder'!$B$10),OR('Assignment Builder'!$B$11="",$H3011&gt;='Assignment Builder'!$B$11),OR('Assignment Builder'!$B$12="",N($Q3011)&lt;='Assignment Builder'!$B$12)))</f>
        <v/>
      </c>
      <c r="T3011" s="23" t="n"/>
    </row>
    <row r="3012">
      <c r="A3012" s="23" t="n"/>
      <c r="B3012" s="23" t="n"/>
      <c r="C3012" s="24" t="n"/>
      <c r="D3012" s="15" t="n"/>
      <c r="E3012" s="23" t="n"/>
      <c r="F3012" s="15" t="n"/>
      <c r="G3012" s="23" t="n"/>
      <c r="H3012" s="25" t="n"/>
      <c r="I3012" s="15" t="n"/>
      <c r="J3012" s="26">
        <f>IF($A3012="","",LEN($C3012)-LEN(SUBSTITUTE($C3012,",",""))+1)</f>
        <v/>
      </c>
      <c r="K3012" s="26">
        <f>IF($A3012="","",SUMPRODUCT(--ISNUMBER(SEARCH('Category Dictionary'!$D$5:$D$135&amp;"",$C3012)),--('Category Dictionary'!$D$5:$D$135&lt;&gt;"")))</f>
        <v/>
      </c>
      <c r="L3012" s="27">
        <f>IF($A3012="","",TRIM(IF(ISERROR(FIND(",",$C3012)),$C3012,LEFT($C3012,FIND(",",$C3012)-1))))</f>
        <v/>
      </c>
      <c r="M3012" s="28">
        <f>IF($H3012="","",DATE(YEAR($H3012),MONTH($H3012),1))</f>
        <v/>
      </c>
      <c r="N3012" s="26">
        <f>IF($H3012="","",TODAY()-$H3012)</f>
        <v/>
      </c>
      <c r="O3012" s="15" t="n"/>
      <c r="P3012" s="15" t="n"/>
      <c r="Q3012" s="15" t="n"/>
      <c r="R3012" s="25" t="n"/>
      <c r="S3012" s="26">
        <f>IF($A3012="","",AND(OR('Assignment Builder'!$B$5="",$B3012='Assignment Builder'!$B$5),OR('Assignment Builder'!$B$6="",ISNUMBER(SEARCH('Assignment Builder'!$B$6,$C3012))),OR('Assignment Builder'!$B$7="",'Assignment Builder'!$B$7=IFERROR(INDEX('Category Dictionary'!$C$5:$C$135,MATCH($L3012,'Category Dictionary'!$D$5:$D$135,0)),"")),OR('Assignment Builder'!$B$8="",$D3012='Assignment Builder'!$B$8),OR('Assignment Builder'!$B$9="",$F3012='Assignment Builder'!$B$9),OR('Assignment Builder'!$B$10="",$O3012='Assignment Builder'!$B$10),OR('Assignment Builder'!$B$11="",$H3012&gt;='Assignment Builder'!$B$11),OR('Assignment Builder'!$B$12="",N($Q3012)&lt;='Assignment Builder'!$B$12)))</f>
        <v/>
      </c>
      <c r="T3012" s="23" t="n"/>
    </row>
    <row r="3013">
      <c r="A3013" s="23" t="n"/>
      <c r="B3013" s="23" t="n"/>
      <c r="C3013" s="24" t="n"/>
      <c r="D3013" s="15" t="n"/>
      <c r="E3013" s="23" t="n"/>
      <c r="F3013" s="15" t="n"/>
      <c r="G3013" s="23" t="n"/>
      <c r="H3013" s="25" t="n"/>
      <c r="I3013" s="15" t="n"/>
      <c r="J3013" s="26">
        <f>IF($A3013="","",LEN($C3013)-LEN(SUBSTITUTE($C3013,",",""))+1)</f>
        <v/>
      </c>
      <c r="K3013" s="26">
        <f>IF($A3013="","",SUMPRODUCT(--ISNUMBER(SEARCH('Category Dictionary'!$D$5:$D$135&amp;"",$C3013)),--('Category Dictionary'!$D$5:$D$135&lt;&gt;"")))</f>
        <v/>
      </c>
      <c r="L3013" s="27">
        <f>IF($A3013="","",TRIM(IF(ISERROR(FIND(",",$C3013)),$C3013,LEFT($C3013,FIND(",",$C3013)-1))))</f>
        <v/>
      </c>
      <c r="M3013" s="28">
        <f>IF($H3013="","",DATE(YEAR($H3013),MONTH($H3013),1))</f>
        <v/>
      </c>
      <c r="N3013" s="26">
        <f>IF($H3013="","",TODAY()-$H3013)</f>
        <v/>
      </c>
      <c r="O3013" s="15" t="n"/>
      <c r="P3013" s="15" t="n"/>
      <c r="Q3013" s="15" t="n"/>
      <c r="R3013" s="25" t="n"/>
      <c r="S3013" s="26">
        <f>IF($A3013="","",AND(OR('Assignment Builder'!$B$5="",$B3013='Assignment Builder'!$B$5),OR('Assignment Builder'!$B$6="",ISNUMBER(SEARCH('Assignment Builder'!$B$6,$C3013))),OR('Assignment Builder'!$B$7="",'Assignment Builder'!$B$7=IFERROR(INDEX('Category Dictionary'!$C$5:$C$135,MATCH($L3013,'Category Dictionary'!$D$5:$D$135,0)),"")),OR('Assignment Builder'!$B$8="",$D3013='Assignment Builder'!$B$8),OR('Assignment Builder'!$B$9="",$F3013='Assignment Builder'!$B$9),OR('Assignment Builder'!$B$10="",$O3013='Assignment Builder'!$B$10),OR('Assignment Builder'!$B$11="",$H3013&gt;='Assignment Builder'!$B$11),OR('Assignment Builder'!$B$12="",N($Q3013)&lt;='Assignment Builder'!$B$12)))</f>
        <v/>
      </c>
      <c r="T3013" s="23" t="n"/>
    </row>
    <row r="3014">
      <c r="A3014" s="23" t="n"/>
      <c r="B3014" s="23" t="n"/>
      <c r="C3014" s="24" t="n"/>
      <c r="D3014" s="15" t="n"/>
      <c r="E3014" s="23" t="n"/>
      <c r="F3014" s="15" t="n"/>
      <c r="G3014" s="23" t="n"/>
      <c r="H3014" s="25" t="n"/>
      <c r="I3014" s="15" t="n"/>
      <c r="J3014" s="26">
        <f>IF($A3014="","",LEN($C3014)-LEN(SUBSTITUTE($C3014,",",""))+1)</f>
        <v/>
      </c>
      <c r="K3014" s="26">
        <f>IF($A3014="","",SUMPRODUCT(--ISNUMBER(SEARCH('Category Dictionary'!$D$5:$D$135&amp;"",$C3014)),--('Category Dictionary'!$D$5:$D$135&lt;&gt;"")))</f>
        <v/>
      </c>
      <c r="L3014" s="27">
        <f>IF($A3014="","",TRIM(IF(ISERROR(FIND(",",$C3014)),$C3014,LEFT($C3014,FIND(",",$C3014)-1))))</f>
        <v/>
      </c>
      <c r="M3014" s="28">
        <f>IF($H3014="","",DATE(YEAR($H3014),MONTH($H3014),1))</f>
        <v/>
      </c>
      <c r="N3014" s="26">
        <f>IF($H3014="","",TODAY()-$H3014)</f>
        <v/>
      </c>
      <c r="O3014" s="15" t="n"/>
      <c r="P3014" s="15" t="n"/>
      <c r="Q3014" s="15" t="n"/>
      <c r="R3014" s="25" t="n"/>
      <c r="S3014" s="26">
        <f>IF($A3014="","",AND(OR('Assignment Builder'!$B$5="",$B3014='Assignment Builder'!$B$5),OR('Assignment Builder'!$B$6="",ISNUMBER(SEARCH('Assignment Builder'!$B$6,$C3014))),OR('Assignment Builder'!$B$7="",'Assignment Builder'!$B$7=IFERROR(INDEX('Category Dictionary'!$C$5:$C$135,MATCH($L3014,'Category Dictionary'!$D$5:$D$135,0)),"")),OR('Assignment Builder'!$B$8="",$D3014='Assignment Builder'!$B$8),OR('Assignment Builder'!$B$9="",$F3014='Assignment Builder'!$B$9),OR('Assignment Builder'!$B$10="",$O3014='Assignment Builder'!$B$10),OR('Assignment Builder'!$B$11="",$H3014&gt;='Assignment Builder'!$B$11),OR('Assignment Builder'!$B$12="",N($Q3014)&lt;='Assignment Builder'!$B$12)))</f>
        <v/>
      </c>
      <c r="T3014" s="23" t="n"/>
    </row>
    <row r="3015">
      <c r="A3015" s="23" t="n"/>
      <c r="B3015" s="23" t="n"/>
      <c r="C3015" s="24" t="n"/>
      <c r="D3015" s="15" t="n"/>
      <c r="E3015" s="23" t="n"/>
      <c r="F3015" s="15" t="n"/>
      <c r="G3015" s="23" t="n"/>
      <c r="H3015" s="25" t="n"/>
      <c r="I3015" s="15" t="n"/>
      <c r="J3015" s="26">
        <f>IF($A3015="","",LEN($C3015)-LEN(SUBSTITUTE($C3015,",",""))+1)</f>
        <v/>
      </c>
      <c r="K3015" s="26">
        <f>IF($A3015="","",SUMPRODUCT(--ISNUMBER(SEARCH('Category Dictionary'!$D$5:$D$135&amp;"",$C3015)),--('Category Dictionary'!$D$5:$D$135&lt;&gt;"")))</f>
        <v/>
      </c>
      <c r="L3015" s="27">
        <f>IF($A3015="","",TRIM(IF(ISERROR(FIND(",",$C3015)),$C3015,LEFT($C3015,FIND(",",$C3015)-1))))</f>
        <v/>
      </c>
      <c r="M3015" s="28">
        <f>IF($H3015="","",DATE(YEAR($H3015),MONTH($H3015),1))</f>
        <v/>
      </c>
      <c r="N3015" s="26">
        <f>IF($H3015="","",TODAY()-$H3015)</f>
        <v/>
      </c>
      <c r="O3015" s="15" t="n"/>
      <c r="P3015" s="15" t="n"/>
      <c r="Q3015" s="15" t="n"/>
      <c r="R3015" s="25" t="n"/>
      <c r="S3015" s="26">
        <f>IF($A3015="","",AND(OR('Assignment Builder'!$B$5="",$B3015='Assignment Builder'!$B$5),OR('Assignment Builder'!$B$6="",ISNUMBER(SEARCH('Assignment Builder'!$B$6,$C3015))),OR('Assignment Builder'!$B$7="",'Assignment Builder'!$B$7=IFERROR(INDEX('Category Dictionary'!$C$5:$C$135,MATCH($L3015,'Category Dictionary'!$D$5:$D$135,0)),"")),OR('Assignment Builder'!$B$8="",$D3015='Assignment Builder'!$B$8),OR('Assignment Builder'!$B$9="",$F3015='Assignment Builder'!$B$9),OR('Assignment Builder'!$B$10="",$O3015='Assignment Builder'!$B$10),OR('Assignment Builder'!$B$11="",$H3015&gt;='Assignment Builder'!$B$11),OR('Assignment Builder'!$B$12="",N($Q3015)&lt;='Assignment Builder'!$B$12)))</f>
        <v/>
      </c>
      <c r="T3015" s="23" t="n"/>
    </row>
    <row r="3016">
      <c r="A3016" s="23" t="n"/>
      <c r="B3016" s="23" t="n"/>
      <c r="C3016" s="24" t="n"/>
      <c r="D3016" s="15" t="n"/>
      <c r="E3016" s="23" t="n"/>
      <c r="F3016" s="15" t="n"/>
      <c r="G3016" s="23" t="n"/>
      <c r="H3016" s="25" t="n"/>
      <c r="I3016" s="15" t="n"/>
      <c r="J3016" s="26">
        <f>IF($A3016="","",LEN($C3016)-LEN(SUBSTITUTE($C3016,",",""))+1)</f>
        <v/>
      </c>
      <c r="K3016" s="26">
        <f>IF($A3016="","",SUMPRODUCT(--ISNUMBER(SEARCH('Category Dictionary'!$D$5:$D$135&amp;"",$C3016)),--('Category Dictionary'!$D$5:$D$135&lt;&gt;"")))</f>
        <v/>
      </c>
      <c r="L3016" s="27">
        <f>IF($A3016="","",TRIM(IF(ISERROR(FIND(",",$C3016)),$C3016,LEFT($C3016,FIND(",",$C3016)-1))))</f>
        <v/>
      </c>
      <c r="M3016" s="28">
        <f>IF($H3016="","",DATE(YEAR($H3016),MONTH($H3016),1))</f>
        <v/>
      </c>
      <c r="N3016" s="26">
        <f>IF($H3016="","",TODAY()-$H3016)</f>
        <v/>
      </c>
      <c r="O3016" s="15" t="n"/>
      <c r="P3016" s="15" t="n"/>
      <c r="Q3016" s="15" t="n"/>
      <c r="R3016" s="25" t="n"/>
      <c r="S3016" s="26">
        <f>IF($A3016="","",AND(OR('Assignment Builder'!$B$5="",$B3016='Assignment Builder'!$B$5),OR('Assignment Builder'!$B$6="",ISNUMBER(SEARCH('Assignment Builder'!$B$6,$C3016))),OR('Assignment Builder'!$B$7="",'Assignment Builder'!$B$7=IFERROR(INDEX('Category Dictionary'!$C$5:$C$135,MATCH($L3016,'Category Dictionary'!$D$5:$D$135,0)),"")),OR('Assignment Builder'!$B$8="",$D3016='Assignment Builder'!$B$8),OR('Assignment Builder'!$B$9="",$F3016='Assignment Builder'!$B$9),OR('Assignment Builder'!$B$10="",$O3016='Assignment Builder'!$B$10),OR('Assignment Builder'!$B$11="",$H3016&gt;='Assignment Builder'!$B$11),OR('Assignment Builder'!$B$12="",N($Q3016)&lt;='Assignment Builder'!$B$12)))</f>
        <v/>
      </c>
      <c r="T3016" s="23" t="n"/>
    </row>
    <row r="3017">
      <c r="A3017" s="23" t="n"/>
      <c r="B3017" s="23" t="n"/>
      <c r="C3017" s="24" t="n"/>
      <c r="D3017" s="15" t="n"/>
      <c r="E3017" s="23" t="n"/>
      <c r="F3017" s="15" t="n"/>
      <c r="G3017" s="23" t="n"/>
      <c r="H3017" s="25" t="n"/>
      <c r="I3017" s="15" t="n"/>
      <c r="J3017" s="26">
        <f>IF($A3017="","",LEN($C3017)-LEN(SUBSTITUTE($C3017,",",""))+1)</f>
        <v/>
      </c>
      <c r="K3017" s="26">
        <f>IF($A3017="","",SUMPRODUCT(--ISNUMBER(SEARCH('Category Dictionary'!$D$5:$D$135&amp;"",$C3017)),--('Category Dictionary'!$D$5:$D$135&lt;&gt;"")))</f>
        <v/>
      </c>
      <c r="L3017" s="27">
        <f>IF($A3017="","",TRIM(IF(ISERROR(FIND(",",$C3017)),$C3017,LEFT($C3017,FIND(",",$C3017)-1))))</f>
        <v/>
      </c>
      <c r="M3017" s="28">
        <f>IF($H3017="","",DATE(YEAR($H3017),MONTH($H3017),1))</f>
        <v/>
      </c>
      <c r="N3017" s="26">
        <f>IF($H3017="","",TODAY()-$H3017)</f>
        <v/>
      </c>
      <c r="O3017" s="15" t="n"/>
      <c r="P3017" s="15" t="n"/>
      <c r="Q3017" s="15" t="n"/>
      <c r="R3017" s="25" t="n"/>
      <c r="S3017" s="26">
        <f>IF($A3017="","",AND(OR('Assignment Builder'!$B$5="",$B3017='Assignment Builder'!$B$5),OR('Assignment Builder'!$B$6="",ISNUMBER(SEARCH('Assignment Builder'!$B$6,$C3017))),OR('Assignment Builder'!$B$7="",'Assignment Builder'!$B$7=IFERROR(INDEX('Category Dictionary'!$C$5:$C$135,MATCH($L3017,'Category Dictionary'!$D$5:$D$135,0)),"")),OR('Assignment Builder'!$B$8="",$D3017='Assignment Builder'!$B$8),OR('Assignment Builder'!$B$9="",$F3017='Assignment Builder'!$B$9),OR('Assignment Builder'!$B$10="",$O3017='Assignment Builder'!$B$10),OR('Assignment Builder'!$B$11="",$H3017&gt;='Assignment Builder'!$B$11),OR('Assignment Builder'!$B$12="",N($Q3017)&lt;='Assignment Builder'!$B$12)))</f>
        <v/>
      </c>
      <c r="T3017" s="23" t="n"/>
    </row>
    <row r="3018">
      <c r="A3018" s="23" t="n"/>
      <c r="B3018" s="23" t="n"/>
      <c r="C3018" s="24" t="n"/>
      <c r="D3018" s="15" t="n"/>
      <c r="E3018" s="23" t="n"/>
      <c r="F3018" s="15" t="n"/>
      <c r="G3018" s="23" t="n"/>
      <c r="H3018" s="25" t="n"/>
      <c r="I3018" s="15" t="n"/>
      <c r="J3018" s="26">
        <f>IF($A3018="","",LEN($C3018)-LEN(SUBSTITUTE($C3018,",",""))+1)</f>
        <v/>
      </c>
      <c r="K3018" s="26">
        <f>IF($A3018="","",SUMPRODUCT(--ISNUMBER(SEARCH('Category Dictionary'!$D$5:$D$135&amp;"",$C3018)),--('Category Dictionary'!$D$5:$D$135&lt;&gt;"")))</f>
        <v/>
      </c>
      <c r="L3018" s="27">
        <f>IF($A3018="","",TRIM(IF(ISERROR(FIND(",",$C3018)),$C3018,LEFT($C3018,FIND(",",$C3018)-1))))</f>
        <v/>
      </c>
      <c r="M3018" s="28">
        <f>IF($H3018="","",DATE(YEAR($H3018),MONTH($H3018),1))</f>
        <v/>
      </c>
      <c r="N3018" s="26">
        <f>IF($H3018="","",TODAY()-$H3018)</f>
        <v/>
      </c>
      <c r="O3018" s="15" t="n"/>
      <c r="P3018" s="15" t="n"/>
      <c r="Q3018" s="15" t="n"/>
      <c r="R3018" s="25" t="n"/>
      <c r="S3018" s="26">
        <f>IF($A3018="","",AND(OR('Assignment Builder'!$B$5="",$B3018='Assignment Builder'!$B$5),OR('Assignment Builder'!$B$6="",ISNUMBER(SEARCH('Assignment Builder'!$B$6,$C3018))),OR('Assignment Builder'!$B$7="",'Assignment Builder'!$B$7=IFERROR(INDEX('Category Dictionary'!$C$5:$C$135,MATCH($L3018,'Category Dictionary'!$D$5:$D$135,0)),"")),OR('Assignment Builder'!$B$8="",$D3018='Assignment Builder'!$B$8),OR('Assignment Builder'!$B$9="",$F3018='Assignment Builder'!$B$9),OR('Assignment Builder'!$B$10="",$O3018='Assignment Builder'!$B$10),OR('Assignment Builder'!$B$11="",$H3018&gt;='Assignment Builder'!$B$11),OR('Assignment Builder'!$B$12="",N($Q3018)&lt;='Assignment Builder'!$B$12)))</f>
        <v/>
      </c>
      <c r="T3018" s="23" t="n"/>
    </row>
    <row r="3019">
      <c r="A3019" s="23" t="n"/>
      <c r="B3019" s="23" t="n"/>
      <c r="C3019" s="24" t="n"/>
      <c r="D3019" s="15" t="n"/>
      <c r="E3019" s="23" t="n"/>
      <c r="F3019" s="15" t="n"/>
      <c r="G3019" s="23" t="n"/>
      <c r="H3019" s="25" t="n"/>
      <c r="I3019" s="15" t="n"/>
      <c r="J3019" s="26">
        <f>IF($A3019="","",LEN($C3019)-LEN(SUBSTITUTE($C3019,",",""))+1)</f>
        <v/>
      </c>
      <c r="K3019" s="26">
        <f>IF($A3019="","",SUMPRODUCT(--ISNUMBER(SEARCH('Category Dictionary'!$D$5:$D$135&amp;"",$C3019)),--('Category Dictionary'!$D$5:$D$135&lt;&gt;"")))</f>
        <v/>
      </c>
      <c r="L3019" s="27">
        <f>IF($A3019="","",TRIM(IF(ISERROR(FIND(",",$C3019)),$C3019,LEFT($C3019,FIND(",",$C3019)-1))))</f>
        <v/>
      </c>
      <c r="M3019" s="28">
        <f>IF($H3019="","",DATE(YEAR($H3019),MONTH($H3019),1))</f>
        <v/>
      </c>
      <c r="N3019" s="26">
        <f>IF($H3019="","",TODAY()-$H3019)</f>
        <v/>
      </c>
      <c r="O3019" s="15" t="n"/>
      <c r="P3019" s="15" t="n"/>
      <c r="Q3019" s="15" t="n"/>
      <c r="R3019" s="25" t="n"/>
      <c r="S3019" s="26">
        <f>IF($A3019="","",AND(OR('Assignment Builder'!$B$5="",$B3019='Assignment Builder'!$B$5),OR('Assignment Builder'!$B$6="",ISNUMBER(SEARCH('Assignment Builder'!$B$6,$C3019))),OR('Assignment Builder'!$B$7="",'Assignment Builder'!$B$7=IFERROR(INDEX('Category Dictionary'!$C$5:$C$135,MATCH($L3019,'Category Dictionary'!$D$5:$D$135,0)),"")),OR('Assignment Builder'!$B$8="",$D3019='Assignment Builder'!$B$8),OR('Assignment Builder'!$B$9="",$F3019='Assignment Builder'!$B$9),OR('Assignment Builder'!$B$10="",$O3019='Assignment Builder'!$B$10),OR('Assignment Builder'!$B$11="",$H3019&gt;='Assignment Builder'!$B$11),OR('Assignment Builder'!$B$12="",N($Q3019)&lt;='Assignment Builder'!$B$12)))</f>
        <v/>
      </c>
      <c r="T3019" s="23" t="n"/>
    </row>
    <row r="3020">
      <c r="A3020" s="23" t="n"/>
      <c r="B3020" s="23" t="n"/>
      <c r="C3020" s="24" t="n"/>
      <c r="D3020" s="15" t="n"/>
      <c r="E3020" s="23" t="n"/>
      <c r="F3020" s="15" t="n"/>
      <c r="G3020" s="23" t="n"/>
      <c r="H3020" s="25" t="n"/>
      <c r="I3020" s="15" t="n"/>
      <c r="J3020" s="26">
        <f>IF($A3020="","",LEN($C3020)-LEN(SUBSTITUTE($C3020,",",""))+1)</f>
        <v/>
      </c>
      <c r="K3020" s="26">
        <f>IF($A3020="","",SUMPRODUCT(--ISNUMBER(SEARCH('Category Dictionary'!$D$5:$D$135&amp;"",$C3020)),--('Category Dictionary'!$D$5:$D$135&lt;&gt;"")))</f>
        <v/>
      </c>
      <c r="L3020" s="27">
        <f>IF($A3020="","",TRIM(IF(ISERROR(FIND(",",$C3020)),$C3020,LEFT($C3020,FIND(",",$C3020)-1))))</f>
        <v/>
      </c>
      <c r="M3020" s="28">
        <f>IF($H3020="","",DATE(YEAR($H3020),MONTH($H3020),1))</f>
        <v/>
      </c>
      <c r="N3020" s="26">
        <f>IF($H3020="","",TODAY()-$H3020)</f>
        <v/>
      </c>
      <c r="O3020" s="15" t="n"/>
      <c r="P3020" s="15" t="n"/>
      <c r="Q3020" s="15" t="n"/>
      <c r="R3020" s="25" t="n"/>
      <c r="S3020" s="26">
        <f>IF($A3020="","",AND(OR('Assignment Builder'!$B$5="",$B3020='Assignment Builder'!$B$5),OR('Assignment Builder'!$B$6="",ISNUMBER(SEARCH('Assignment Builder'!$B$6,$C3020))),OR('Assignment Builder'!$B$7="",'Assignment Builder'!$B$7=IFERROR(INDEX('Category Dictionary'!$C$5:$C$135,MATCH($L3020,'Category Dictionary'!$D$5:$D$135,0)),"")),OR('Assignment Builder'!$B$8="",$D3020='Assignment Builder'!$B$8),OR('Assignment Builder'!$B$9="",$F3020='Assignment Builder'!$B$9),OR('Assignment Builder'!$B$10="",$O3020='Assignment Builder'!$B$10),OR('Assignment Builder'!$B$11="",$H3020&gt;='Assignment Builder'!$B$11),OR('Assignment Builder'!$B$12="",N($Q3020)&lt;='Assignment Builder'!$B$12)))</f>
        <v/>
      </c>
      <c r="T3020" s="23" t="n"/>
    </row>
    <row r="3021">
      <c r="A3021" s="23" t="n"/>
      <c r="B3021" s="23" t="n"/>
      <c r="C3021" s="24" t="n"/>
      <c r="D3021" s="15" t="n"/>
      <c r="E3021" s="23" t="n"/>
      <c r="F3021" s="15" t="n"/>
      <c r="G3021" s="23" t="n"/>
      <c r="H3021" s="25" t="n"/>
      <c r="I3021" s="15" t="n"/>
      <c r="J3021" s="26">
        <f>IF($A3021="","",LEN($C3021)-LEN(SUBSTITUTE($C3021,",",""))+1)</f>
        <v/>
      </c>
      <c r="K3021" s="26">
        <f>IF($A3021="","",SUMPRODUCT(--ISNUMBER(SEARCH('Category Dictionary'!$D$5:$D$135&amp;"",$C3021)),--('Category Dictionary'!$D$5:$D$135&lt;&gt;"")))</f>
        <v/>
      </c>
      <c r="L3021" s="27">
        <f>IF($A3021="","",TRIM(IF(ISERROR(FIND(",",$C3021)),$C3021,LEFT($C3021,FIND(",",$C3021)-1))))</f>
        <v/>
      </c>
      <c r="M3021" s="28">
        <f>IF($H3021="","",DATE(YEAR($H3021),MONTH($H3021),1))</f>
        <v/>
      </c>
      <c r="N3021" s="26">
        <f>IF($H3021="","",TODAY()-$H3021)</f>
        <v/>
      </c>
      <c r="O3021" s="15" t="n"/>
      <c r="P3021" s="15" t="n"/>
      <c r="Q3021" s="15" t="n"/>
      <c r="R3021" s="25" t="n"/>
      <c r="S3021" s="26">
        <f>IF($A3021="","",AND(OR('Assignment Builder'!$B$5="",$B3021='Assignment Builder'!$B$5),OR('Assignment Builder'!$B$6="",ISNUMBER(SEARCH('Assignment Builder'!$B$6,$C3021))),OR('Assignment Builder'!$B$7="",'Assignment Builder'!$B$7=IFERROR(INDEX('Category Dictionary'!$C$5:$C$135,MATCH($L3021,'Category Dictionary'!$D$5:$D$135,0)),"")),OR('Assignment Builder'!$B$8="",$D3021='Assignment Builder'!$B$8),OR('Assignment Builder'!$B$9="",$F3021='Assignment Builder'!$B$9),OR('Assignment Builder'!$B$10="",$O3021='Assignment Builder'!$B$10),OR('Assignment Builder'!$B$11="",$H3021&gt;='Assignment Builder'!$B$11),OR('Assignment Builder'!$B$12="",N($Q3021)&lt;='Assignment Builder'!$B$12)))</f>
        <v/>
      </c>
      <c r="T3021" s="23" t="n"/>
    </row>
    <row r="3022">
      <c r="A3022" s="23" t="n"/>
      <c r="B3022" s="23" t="n"/>
      <c r="C3022" s="24" t="n"/>
      <c r="D3022" s="15" t="n"/>
      <c r="E3022" s="23" t="n"/>
      <c r="F3022" s="15" t="n"/>
      <c r="G3022" s="23" t="n"/>
      <c r="H3022" s="25" t="n"/>
      <c r="I3022" s="15" t="n"/>
      <c r="J3022" s="26">
        <f>IF($A3022="","",LEN($C3022)-LEN(SUBSTITUTE($C3022,",",""))+1)</f>
        <v/>
      </c>
      <c r="K3022" s="26">
        <f>IF($A3022="","",SUMPRODUCT(--ISNUMBER(SEARCH('Category Dictionary'!$D$5:$D$135&amp;"",$C3022)),--('Category Dictionary'!$D$5:$D$135&lt;&gt;"")))</f>
        <v/>
      </c>
      <c r="L3022" s="27">
        <f>IF($A3022="","",TRIM(IF(ISERROR(FIND(",",$C3022)),$C3022,LEFT($C3022,FIND(",",$C3022)-1))))</f>
        <v/>
      </c>
      <c r="M3022" s="28">
        <f>IF($H3022="","",DATE(YEAR($H3022),MONTH($H3022),1))</f>
        <v/>
      </c>
      <c r="N3022" s="26">
        <f>IF($H3022="","",TODAY()-$H3022)</f>
        <v/>
      </c>
      <c r="O3022" s="15" t="n"/>
      <c r="P3022" s="15" t="n"/>
      <c r="Q3022" s="15" t="n"/>
      <c r="R3022" s="25" t="n"/>
      <c r="S3022" s="26">
        <f>IF($A3022="","",AND(OR('Assignment Builder'!$B$5="",$B3022='Assignment Builder'!$B$5),OR('Assignment Builder'!$B$6="",ISNUMBER(SEARCH('Assignment Builder'!$B$6,$C3022))),OR('Assignment Builder'!$B$7="",'Assignment Builder'!$B$7=IFERROR(INDEX('Category Dictionary'!$C$5:$C$135,MATCH($L3022,'Category Dictionary'!$D$5:$D$135,0)),"")),OR('Assignment Builder'!$B$8="",$D3022='Assignment Builder'!$B$8),OR('Assignment Builder'!$B$9="",$F3022='Assignment Builder'!$B$9),OR('Assignment Builder'!$B$10="",$O3022='Assignment Builder'!$B$10),OR('Assignment Builder'!$B$11="",$H3022&gt;='Assignment Builder'!$B$11),OR('Assignment Builder'!$B$12="",N($Q3022)&lt;='Assignment Builder'!$B$12)))</f>
        <v/>
      </c>
      <c r="T3022" s="23" t="n"/>
    </row>
    <row r="3023">
      <c r="A3023" s="23" t="n"/>
      <c r="B3023" s="23" t="n"/>
      <c r="C3023" s="24" t="n"/>
      <c r="D3023" s="15" t="n"/>
      <c r="E3023" s="23" t="n"/>
      <c r="F3023" s="15" t="n"/>
      <c r="G3023" s="23" t="n"/>
      <c r="H3023" s="25" t="n"/>
      <c r="I3023" s="15" t="n"/>
      <c r="J3023" s="26">
        <f>IF($A3023="","",LEN($C3023)-LEN(SUBSTITUTE($C3023,",",""))+1)</f>
        <v/>
      </c>
      <c r="K3023" s="26">
        <f>IF($A3023="","",SUMPRODUCT(--ISNUMBER(SEARCH('Category Dictionary'!$D$5:$D$135&amp;"",$C3023)),--('Category Dictionary'!$D$5:$D$135&lt;&gt;"")))</f>
        <v/>
      </c>
      <c r="L3023" s="27">
        <f>IF($A3023="","",TRIM(IF(ISERROR(FIND(",",$C3023)),$C3023,LEFT($C3023,FIND(",",$C3023)-1))))</f>
        <v/>
      </c>
      <c r="M3023" s="28">
        <f>IF($H3023="","",DATE(YEAR($H3023),MONTH($H3023),1))</f>
        <v/>
      </c>
      <c r="N3023" s="26">
        <f>IF($H3023="","",TODAY()-$H3023)</f>
        <v/>
      </c>
      <c r="O3023" s="15" t="n"/>
      <c r="P3023" s="15" t="n"/>
      <c r="Q3023" s="15" t="n"/>
      <c r="R3023" s="25" t="n"/>
      <c r="S3023" s="26">
        <f>IF($A3023="","",AND(OR('Assignment Builder'!$B$5="",$B3023='Assignment Builder'!$B$5),OR('Assignment Builder'!$B$6="",ISNUMBER(SEARCH('Assignment Builder'!$B$6,$C3023))),OR('Assignment Builder'!$B$7="",'Assignment Builder'!$B$7=IFERROR(INDEX('Category Dictionary'!$C$5:$C$135,MATCH($L3023,'Category Dictionary'!$D$5:$D$135,0)),"")),OR('Assignment Builder'!$B$8="",$D3023='Assignment Builder'!$B$8),OR('Assignment Builder'!$B$9="",$F3023='Assignment Builder'!$B$9),OR('Assignment Builder'!$B$10="",$O3023='Assignment Builder'!$B$10),OR('Assignment Builder'!$B$11="",$H3023&gt;='Assignment Builder'!$B$11),OR('Assignment Builder'!$B$12="",N($Q3023)&lt;='Assignment Builder'!$B$12)))</f>
        <v/>
      </c>
      <c r="T3023" s="23" t="n"/>
    </row>
    <row r="3024">
      <c r="A3024" s="23" t="n"/>
      <c r="B3024" s="23" t="n"/>
      <c r="C3024" s="24" t="n"/>
      <c r="D3024" s="15" t="n"/>
      <c r="E3024" s="23" t="n"/>
      <c r="F3024" s="15" t="n"/>
      <c r="G3024" s="23" t="n"/>
      <c r="H3024" s="25" t="n"/>
      <c r="I3024" s="15" t="n"/>
      <c r="J3024" s="26">
        <f>IF($A3024="","",LEN($C3024)-LEN(SUBSTITUTE($C3024,",",""))+1)</f>
        <v/>
      </c>
      <c r="K3024" s="26">
        <f>IF($A3024="","",SUMPRODUCT(--ISNUMBER(SEARCH('Category Dictionary'!$D$5:$D$135&amp;"",$C3024)),--('Category Dictionary'!$D$5:$D$135&lt;&gt;"")))</f>
        <v/>
      </c>
      <c r="L3024" s="27">
        <f>IF($A3024="","",TRIM(IF(ISERROR(FIND(",",$C3024)),$C3024,LEFT($C3024,FIND(",",$C3024)-1))))</f>
        <v/>
      </c>
      <c r="M3024" s="28">
        <f>IF($H3024="","",DATE(YEAR($H3024),MONTH($H3024),1))</f>
        <v/>
      </c>
      <c r="N3024" s="26">
        <f>IF($H3024="","",TODAY()-$H3024)</f>
        <v/>
      </c>
      <c r="O3024" s="15" t="n"/>
      <c r="P3024" s="15" t="n"/>
      <c r="Q3024" s="15" t="n"/>
      <c r="R3024" s="25" t="n"/>
      <c r="S3024" s="26">
        <f>IF($A3024="","",AND(OR('Assignment Builder'!$B$5="",$B3024='Assignment Builder'!$B$5),OR('Assignment Builder'!$B$6="",ISNUMBER(SEARCH('Assignment Builder'!$B$6,$C3024))),OR('Assignment Builder'!$B$7="",'Assignment Builder'!$B$7=IFERROR(INDEX('Category Dictionary'!$C$5:$C$135,MATCH($L3024,'Category Dictionary'!$D$5:$D$135,0)),"")),OR('Assignment Builder'!$B$8="",$D3024='Assignment Builder'!$B$8),OR('Assignment Builder'!$B$9="",$F3024='Assignment Builder'!$B$9),OR('Assignment Builder'!$B$10="",$O3024='Assignment Builder'!$B$10),OR('Assignment Builder'!$B$11="",$H3024&gt;='Assignment Builder'!$B$11),OR('Assignment Builder'!$B$12="",N($Q3024)&lt;='Assignment Builder'!$B$12)))</f>
        <v/>
      </c>
      <c r="T3024" s="23" t="n"/>
    </row>
    <row r="3025">
      <c r="A3025" s="23" t="n"/>
      <c r="B3025" s="23" t="n"/>
      <c r="C3025" s="24" t="n"/>
      <c r="D3025" s="15" t="n"/>
      <c r="E3025" s="23" t="n"/>
      <c r="F3025" s="15" t="n"/>
      <c r="G3025" s="23" t="n"/>
      <c r="H3025" s="25" t="n"/>
      <c r="I3025" s="15" t="n"/>
      <c r="J3025" s="26">
        <f>IF($A3025="","",LEN($C3025)-LEN(SUBSTITUTE($C3025,",",""))+1)</f>
        <v/>
      </c>
      <c r="K3025" s="26">
        <f>IF($A3025="","",SUMPRODUCT(--ISNUMBER(SEARCH('Category Dictionary'!$D$5:$D$135&amp;"",$C3025)),--('Category Dictionary'!$D$5:$D$135&lt;&gt;"")))</f>
        <v/>
      </c>
      <c r="L3025" s="27">
        <f>IF($A3025="","",TRIM(IF(ISERROR(FIND(",",$C3025)),$C3025,LEFT($C3025,FIND(",",$C3025)-1))))</f>
        <v/>
      </c>
      <c r="M3025" s="28">
        <f>IF($H3025="","",DATE(YEAR($H3025),MONTH($H3025),1))</f>
        <v/>
      </c>
      <c r="N3025" s="26">
        <f>IF($H3025="","",TODAY()-$H3025)</f>
        <v/>
      </c>
      <c r="O3025" s="15" t="n"/>
      <c r="P3025" s="15" t="n"/>
      <c r="Q3025" s="15" t="n"/>
      <c r="R3025" s="25" t="n"/>
      <c r="S3025" s="26">
        <f>IF($A3025="","",AND(OR('Assignment Builder'!$B$5="",$B3025='Assignment Builder'!$B$5),OR('Assignment Builder'!$B$6="",ISNUMBER(SEARCH('Assignment Builder'!$B$6,$C3025))),OR('Assignment Builder'!$B$7="",'Assignment Builder'!$B$7=IFERROR(INDEX('Category Dictionary'!$C$5:$C$135,MATCH($L3025,'Category Dictionary'!$D$5:$D$135,0)),"")),OR('Assignment Builder'!$B$8="",$D3025='Assignment Builder'!$B$8),OR('Assignment Builder'!$B$9="",$F3025='Assignment Builder'!$B$9),OR('Assignment Builder'!$B$10="",$O3025='Assignment Builder'!$B$10),OR('Assignment Builder'!$B$11="",$H3025&gt;='Assignment Builder'!$B$11),OR('Assignment Builder'!$B$12="",N($Q3025)&lt;='Assignment Builder'!$B$12)))</f>
        <v/>
      </c>
      <c r="T3025" s="23" t="n"/>
    </row>
    <row r="3026">
      <c r="A3026" s="23" t="n"/>
      <c r="B3026" s="23" t="n"/>
      <c r="C3026" s="24" t="n"/>
      <c r="D3026" s="15" t="n"/>
      <c r="E3026" s="23" t="n"/>
      <c r="F3026" s="15" t="n"/>
      <c r="G3026" s="23" t="n"/>
      <c r="H3026" s="25" t="n"/>
      <c r="I3026" s="15" t="n"/>
      <c r="J3026" s="26">
        <f>IF($A3026="","",LEN($C3026)-LEN(SUBSTITUTE($C3026,",",""))+1)</f>
        <v/>
      </c>
      <c r="K3026" s="26">
        <f>IF($A3026="","",SUMPRODUCT(--ISNUMBER(SEARCH('Category Dictionary'!$D$5:$D$135&amp;"",$C3026)),--('Category Dictionary'!$D$5:$D$135&lt;&gt;"")))</f>
        <v/>
      </c>
      <c r="L3026" s="27">
        <f>IF($A3026="","",TRIM(IF(ISERROR(FIND(",",$C3026)),$C3026,LEFT($C3026,FIND(",",$C3026)-1))))</f>
        <v/>
      </c>
      <c r="M3026" s="28">
        <f>IF($H3026="","",DATE(YEAR($H3026),MONTH($H3026),1))</f>
        <v/>
      </c>
      <c r="N3026" s="26">
        <f>IF($H3026="","",TODAY()-$H3026)</f>
        <v/>
      </c>
      <c r="O3026" s="15" t="n"/>
      <c r="P3026" s="15" t="n"/>
      <c r="Q3026" s="15" t="n"/>
      <c r="R3026" s="25" t="n"/>
      <c r="S3026" s="26">
        <f>IF($A3026="","",AND(OR('Assignment Builder'!$B$5="",$B3026='Assignment Builder'!$B$5),OR('Assignment Builder'!$B$6="",ISNUMBER(SEARCH('Assignment Builder'!$B$6,$C3026))),OR('Assignment Builder'!$B$7="",'Assignment Builder'!$B$7=IFERROR(INDEX('Category Dictionary'!$C$5:$C$135,MATCH($L3026,'Category Dictionary'!$D$5:$D$135,0)),"")),OR('Assignment Builder'!$B$8="",$D3026='Assignment Builder'!$B$8),OR('Assignment Builder'!$B$9="",$F3026='Assignment Builder'!$B$9),OR('Assignment Builder'!$B$10="",$O3026='Assignment Builder'!$B$10),OR('Assignment Builder'!$B$11="",$H3026&gt;='Assignment Builder'!$B$11),OR('Assignment Builder'!$B$12="",N($Q3026)&lt;='Assignment Builder'!$B$12)))</f>
        <v/>
      </c>
      <c r="T3026" s="23" t="n"/>
    </row>
    <row r="3027">
      <c r="A3027" s="23" t="n"/>
      <c r="B3027" s="23" t="n"/>
      <c r="C3027" s="24" t="n"/>
      <c r="D3027" s="15" t="n"/>
      <c r="E3027" s="23" t="n"/>
      <c r="F3027" s="15" t="n"/>
      <c r="G3027" s="23" t="n"/>
      <c r="H3027" s="25" t="n"/>
      <c r="I3027" s="15" t="n"/>
      <c r="J3027" s="26">
        <f>IF($A3027="","",LEN($C3027)-LEN(SUBSTITUTE($C3027,",",""))+1)</f>
        <v/>
      </c>
      <c r="K3027" s="26">
        <f>IF($A3027="","",SUMPRODUCT(--ISNUMBER(SEARCH('Category Dictionary'!$D$5:$D$135&amp;"",$C3027)),--('Category Dictionary'!$D$5:$D$135&lt;&gt;"")))</f>
        <v/>
      </c>
      <c r="L3027" s="27">
        <f>IF($A3027="","",TRIM(IF(ISERROR(FIND(",",$C3027)),$C3027,LEFT($C3027,FIND(",",$C3027)-1))))</f>
        <v/>
      </c>
      <c r="M3027" s="28">
        <f>IF($H3027="","",DATE(YEAR($H3027),MONTH($H3027),1))</f>
        <v/>
      </c>
      <c r="N3027" s="26">
        <f>IF($H3027="","",TODAY()-$H3027)</f>
        <v/>
      </c>
      <c r="O3027" s="15" t="n"/>
      <c r="P3027" s="15" t="n"/>
      <c r="Q3027" s="15" t="n"/>
      <c r="R3027" s="25" t="n"/>
      <c r="S3027" s="26">
        <f>IF($A3027="","",AND(OR('Assignment Builder'!$B$5="",$B3027='Assignment Builder'!$B$5),OR('Assignment Builder'!$B$6="",ISNUMBER(SEARCH('Assignment Builder'!$B$6,$C3027))),OR('Assignment Builder'!$B$7="",'Assignment Builder'!$B$7=IFERROR(INDEX('Category Dictionary'!$C$5:$C$135,MATCH($L3027,'Category Dictionary'!$D$5:$D$135,0)),"")),OR('Assignment Builder'!$B$8="",$D3027='Assignment Builder'!$B$8),OR('Assignment Builder'!$B$9="",$F3027='Assignment Builder'!$B$9),OR('Assignment Builder'!$B$10="",$O3027='Assignment Builder'!$B$10),OR('Assignment Builder'!$B$11="",$H3027&gt;='Assignment Builder'!$B$11),OR('Assignment Builder'!$B$12="",N($Q3027)&lt;='Assignment Builder'!$B$12)))</f>
        <v/>
      </c>
      <c r="T3027" s="23" t="n"/>
    </row>
    <row r="3028">
      <c r="A3028" s="23" t="n"/>
      <c r="B3028" s="23" t="n"/>
      <c r="C3028" s="24" t="n"/>
      <c r="D3028" s="15" t="n"/>
      <c r="E3028" s="23" t="n"/>
      <c r="F3028" s="15" t="n"/>
      <c r="G3028" s="23" t="n"/>
      <c r="H3028" s="25" t="n"/>
      <c r="I3028" s="15" t="n"/>
      <c r="J3028" s="26">
        <f>IF($A3028="","",LEN($C3028)-LEN(SUBSTITUTE($C3028,",",""))+1)</f>
        <v/>
      </c>
      <c r="K3028" s="26">
        <f>IF($A3028="","",SUMPRODUCT(--ISNUMBER(SEARCH('Category Dictionary'!$D$5:$D$135&amp;"",$C3028)),--('Category Dictionary'!$D$5:$D$135&lt;&gt;"")))</f>
        <v/>
      </c>
      <c r="L3028" s="27">
        <f>IF($A3028="","",TRIM(IF(ISERROR(FIND(",",$C3028)),$C3028,LEFT($C3028,FIND(",",$C3028)-1))))</f>
        <v/>
      </c>
      <c r="M3028" s="28">
        <f>IF($H3028="","",DATE(YEAR($H3028),MONTH($H3028),1))</f>
        <v/>
      </c>
      <c r="N3028" s="26">
        <f>IF($H3028="","",TODAY()-$H3028)</f>
        <v/>
      </c>
      <c r="O3028" s="15" t="n"/>
      <c r="P3028" s="15" t="n"/>
      <c r="Q3028" s="15" t="n"/>
      <c r="R3028" s="25" t="n"/>
      <c r="S3028" s="26">
        <f>IF($A3028="","",AND(OR('Assignment Builder'!$B$5="",$B3028='Assignment Builder'!$B$5),OR('Assignment Builder'!$B$6="",ISNUMBER(SEARCH('Assignment Builder'!$B$6,$C3028))),OR('Assignment Builder'!$B$7="",'Assignment Builder'!$B$7=IFERROR(INDEX('Category Dictionary'!$C$5:$C$135,MATCH($L3028,'Category Dictionary'!$D$5:$D$135,0)),"")),OR('Assignment Builder'!$B$8="",$D3028='Assignment Builder'!$B$8),OR('Assignment Builder'!$B$9="",$F3028='Assignment Builder'!$B$9),OR('Assignment Builder'!$B$10="",$O3028='Assignment Builder'!$B$10),OR('Assignment Builder'!$B$11="",$H3028&gt;='Assignment Builder'!$B$11),OR('Assignment Builder'!$B$12="",N($Q3028)&lt;='Assignment Builder'!$B$12)))</f>
        <v/>
      </c>
      <c r="T3028" s="23" t="n"/>
    </row>
    <row r="3029">
      <c r="A3029" s="23" t="n"/>
      <c r="B3029" s="23" t="n"/>
      <c r="C3029" s="24" t="n"/>
      <c r="D3029" s="15" t="n"/>
      <c r="E3029" s="23" t="n"/>
      <c r="F3029" s="15" t="n"/>
      <c r="G3029" s="23" t="n"/>
      <c r="H3029" s="25" t="n"/>
      <c r="I3029" s="15" t="n"/>
      <c r="J3029" s="26">
        <f>IF($A3029="","",LEN($C3029)-LEN(SUBSTITUTE($C3029,",",""))+1)</f>
        <v/>
      </c>
      <c r="K3029" s="26">
        <f>IF($A3029="","",SUMPRODUCT(--ISNUMBER(SEARCH('Category Dictionary'!$D$5:$D$135&amp;"",$C3029)),--('Category Dictionary'!$D$5:$D$135&lt;&gt;"")))</f>
        <v/>
      </c>
      <c r="L3029" s="27">
        <f>IF($A3029="","",TRIM(IF(ISERROR(FIND(",",$C3029)),$C3029,LEFT($C3029,FIND(",",$C3029)-1))))</f>
        <v/>
      </c>
      <c r="M3029" s="28">
        <f>IF($H3029="","",DATE(YEAR($H3029),MONTH($H3029),1))</f>
        <v/>
      </c>
      <c r="N3029" s="26">
        <f>IF($H3029="","",TODAY()-$H3029)</f>
        <v/>
      </c>
      <c r="O3029" s="15" t="n"/>
      <c r="P3029" s="15" t="n"/>
      <c r="Q3029" s="15" t="n"/>
      <c r="R3029" s="25" t="n"/>
      <c r="S3029" s="26">
        <f>IF($A3029="","",AND(OR('Assignment Builder'!$B$5="",$B3029='Assignment Builder'!$B$5),OR('Assignment Builder'!$B$6="",ISNUMBER(SEARCH('Assignment Builder'!$B$6,$C3029))),OR('Assignment Builder'!$B$7="",'Assignment Builder'!$B$7=IFERROR(INDEX('Category Dictionary'!$C$5:$C$135,MATCH($L3029,'Category Dictionary'!$D$5:$D$135,0)),"")),OR('Assignment Builder'!$B$8="",$D3029='Assignment Builder'!$B$8),OR('Assignment Builder'!$B$9="",$F3029='Assignment Builder'!$B$9),OR('Assignment Builder'!$B$10="",$O3029='Assignment Builder'!$B$10),OR('Assignment Builder'!$B$11="",$H3029&gt;='Assignment Builder'!$B$11),OR('Assignment Builder'!$B$12="",N($Q3029)&lt;='Assignment Builder'!$B$12)))</f>
        <v/>
      </c>
      <c r="T3029" s="23" t="n"/>
    </row>
    <row r="3030">
      <c r="A3030" s="23" t="n"/>
      <c r="B3030" s="23" t="n"/>
      <c r="C3030" s="24" t="n"/>
      <c r="D3030" s="15" t="n"/>
      <c r="E3030" s="23" t="n"/>
      <c r="F3030" s="15" t="n"/>
      <c r="G3030" s="23" t="n"/>
      <c r="H3030" s="25" t="n"/>
      <c r="I3030" s="15" t="n"/>
      <c r="J3030" s="26">
        <f>IF($A3030="","",LEN($C3030)-LEN(SUBSTITUTE($C3030,",",""))+1)</f>
        <v/>
      </c>
      <c r="K3030" s="26">
        <f>IF($A3030="","",SUMPRODUCT(--ISNUMBER(SEARCH('Category Dictionary'!$D$5:$D$135&amp;"",$C3030)),--('Category Dictionary'!$D$5:$D$135&lt;&gt;"")))</f>
        <v/>
      </c>
      <c r="L3030" s="27">
        <f>IF($A3030="","",TRIM(IF(ISERROR(FIND(",",$C3030)),$C3030,LEFT($C3030,FIND(",",$C3030)-1))))</f>
        <v/>
      </c>
      <c r="M3030" s="28">
        <f>IF($H3030="","",DATE(YEAR($H3030),MONTH($H3030),1))</f>
        <v/>
      </c>
      <c r="N3030" s="26">
        <f>IF($H3030="","",TODAY()-$H3030)</f>
        <v/>
      </c>
      <c r="O3030" s="15" t="n"/>
      <c r="P3030" s="15" t="n"/>
      <c r="Q3030" s="15" t="n"/>
      <c r="R3030" s="25" t="n"/>
      <c r="S3030" s="26">
        <f>IF($A3030="","",AND(OR('Assignment Builder'!$B$5="",$B3030='Assignment Builder'!$B$5),OR('Assignment Builder'!$B$6="",ISNUMBER(SEARCH('Assignment Builder'!$B$6,$C3030))),OR('Assignment Builder'!$B$7="",'Assignment Builder'!$B$7=IFERROR(INDEX('Category Dictionary'!$C$5:$C$135,MATCH($L3030,'Category Dictionary'!$D$5:$D$135,0)),"")),OR('Assignment Builder'!$B$8="",$D3030='Assignment Builder'!$B$8),OR('Assignment Builder'!$B$9="",$F3030='Assignment Builder'!$B$9),OR('Assignment Builder'!$B$10="",$O3030='Assignment Builder'!$B$10),OR('Assignment Builder'!$B$11="",$H3030&gt;='Assignment Builder'!$B$11),OR('Assignment Builder'!$B$12="",N($Q3030)&lt;='Assignment Builder'!$B$12)))</f>
        <v/>
      </c>
      <c r="T3030" s="23" t="n"/>
    </row>
    <row r="3031">
      <c r="A3031" s="23" t="n"/>
      <c r="B3031" s="23" t="n"/>
      <c r="C3031" s="24" t="n"/>
      <c r="D3031" s="15" t="n"/>
      <c r="E3031" s="23" t="n"/>
      <c r="F3031" s="15" t="n"/>
      <c r="G3031" s="23" t="n"/>
      <c r="H3031" s="25" t="n"/>
      <c r="I3031" s="15" t="n"/>
      <c r="J3031" s="26">
        <f>IF($A3031="","",LEN($C3031)-LEN(SUBSTITUTE($C3031,",",""))+1)</f>
        <v/>
      </c>
      <c r="K3031" s="26">
        <f>IF($A3031="","",SUMPRODUCT(--ISNUMBER(SEARCH('Category Dictionary'!$D$5:$D$135&amp;"",$C3031)),--('Category Dictionary'!$D$5:$D$135&lt;&gt;"")))</f>
        <v/>
      </c>
      <c r="L3031" s="27">
        <f>IF($A3031="","",TRIM(IF(ISERROR(FIND(",",$C3031)),$C3031,LEFT($C3031,FIND(",",$C3031)-1))))</f>
        <v/>
      </c>
      <c r="M3031" s="28">
        <f>IF($H3031="","",DATE(YEAR($H3031),MONTH($H3031),1))</f>
        <v/>
      </c>
      <c r="N3031" s="26">
        <f>IF($H3031="","",TODAY()-$H3031)</f>
        <v/>
      </c>
      <c r="O3031" s="15" t="n"/>
      <c r="P3031" s="15" t="n"/>
      <c r="Q3031" s="15" t="n"/>
      <c r="R3031" s="25" t="n"/>
      <c r="S3031" s="26">
        <f>IF($A3031="","",AND(OR('Assignment Builder'!$B$5="",$B3031='Assignment Builder'!$B$5),OR('Assignment Builder'!$B$6="",ISNUMBER(SEARCH('Assignment Builder'!$B$6,$C3031))),OR('Assignment Builder'!$B$7="",'Assignment Builder'!$B$7=IFERROR(INDEX('Category Dictionary'!$C$5:$C$135,MATCH($L3031,'Category Dictionary'!$D$5:$D$135,0)),"")),OR('Assignment Builder'!$B$8="",$D3031='Assignment Builder'!$B$8),OR('Assignment Builder'!$B$9="",$F3031='Assignment Builder'!$B$9),OR('Assignment Builder'!$B$10="",$O3031='Assignment Builder'!$B$10),OR('Assignment Builder'!$B$11="",$H3031&gt;='Assignment Builder'!$B$11),OR('Assignment Builder'!$B$12="",N($Q3031)&lt;='Assignment Builder'!$B$12)))</f>
        <v/>
      </c>
      <c r="T3031" s="23" t="n"/>
    </row>
    <row r="3032">
      <c r="A3032" s="23" t="n"/>
      <c r="B3032" s="23" t="n"/>
      <c r="C3032" s="24" t="n"/>
      <c r="D3032" s="15" t="n"/>
      <c r="E3032" s="23" t="n"/>
      <c r="F3032" s="15" t="n"/>
      <c r="G3032" s="23" t="n"/>
      <c r="H3032" s="25" t="n"/>
      <c r="I3032" s="15" t="n"/>
      <c r="J3032" s="26">
        <f>IF($A3032="","",LEN($C3032)-LEN(SUBSTITUTE($C3032,",",""))+1)</f>
        <v/>
      </c>
      <c r="K3032" s="26">
        <f>IF($A3032="","",SUMPRODUCT(--ISNUMBER(SEARCH('Category Dictionary'!$D$5:$D$135&amp;"",$C3032)),--('Category Dictionary'!$D$5:$D$135&lt;&gt;"")))</f>
        <v/>
      </c>
      <c r="L3032" s="27">
        <f>IF($A3032="","",TRIM(IF(ISERROR(FIND(",",$C3032)),$C3032,LEFT($C3032,FIND(",",$C3032)-1))))</f>
        <v/>
      </c>
      <c r="M3032" s="28">
        <f>IF($H3032="","",DATE(YEAR($H3032),MONTH($H3032),1))</f>
        <v/>
      </c>
      <c r="N3032" s="26">
        <f>IF($H3032="","",TODAY()-$H3032)</f>
        <v/>
      </c>
      <c r="O3032" s="15" t="n"/>
      <c r="P3032" s="15" t="n"/>
      <c r="Q3032" s="15" t="n"/>
      <c r="R3032" s="25" t="n"/>
      <c r="S3032" s="26">
        <f>IF($A3032="","",AND(OR('Assignment Builder'!$B$5="",$B3032='Assignment Builder'!$B$5),OR('Assignment Builder'!$B$6="",ISNUMBER(SEARCH('Assignment Builder'!$B$6,$C3032))),OR('Assignment Builder'!$B$7="",'Assignment Builder'!$B$7=IFERROR(INDEX('Category Dictionary'!$C$5:$C$135,MATCH($L3032,'Category Dictionary'!$D$5:$D$135,0)),"")),OR('Assignment Builder'!$B$8="",$D3032='Assignment Builder'!$B$8),OR('Assignment Builder'!$B$9="",$F3032='Assignment Builder'!$B$9),OR('Assignment Builder'!$B$10="",$O3032='Assignment Builder'!$B$10),OR('Assignment Builder'!$B$11="",$H3032&gt;='Assignment Builder'!$B$11),OR('Assignment Builder'!$B$12="",N($Q3032)&lt;='Assignment Builder'!$B$12)))</f>
        <v/>
      </c>
      <c r="T3032" s="23" t="n"/>
    </row>
    <row r="3033">
      <c r="A3033" s="23" t="n"/>
      <c r="B3033" s="23" t="n"/>
      <c r="C3033" s="24" t="n"/>
      <c r="D3033" s="15" t="n"/>
      <c r="E3033" s="23" t="n"/>
      <c r="F3033" s="15" t="n"/>
      <c r="G3033" s="23" t="n"/>
      <c r="H3033" s="25" t="n"/>
      <c r="I3033" s="15" t="n"/>
      <c r="J3033" s="26">
        <f>IF($A3033="","",LEN($C3033)-LEN(SUBSTITUTE($C3033,",",""))+1)</f>
        <v/>
      </c>
      <c r="K3033" s="26">
        <f>IF($A3033="","",SUMPRODUCT(--ISNUMBER(SEARCH('Category Dictionary'!$D$5:$D$135&amp;"",$C3033)),--('Category Dictionary'!$D$5:$D$135&lt;&gt;"")))</f>
        <v/>
      </c>
      <c r="L3033" s="27">
        <f>IF($A3033="","",TRIM(IF(ISERROR(FIND(",",$C3033)),$C3033,LEFT($C3033,FIND(",",$C3033)-1))))</f>
        <v/>
      </c>
      <c r="M3033" s="28">
        <f>IF($H3033="","",DATE(YEAR($H3033),MONTH($H3033),1))</f>
        <v/>
      </c>
      <c r="N3033" s="26">
        <f>IF($H3033="","",TODAY()-$H3033)</f>
        <v/>
      </c>
      <c r="O3033" s="15" t="n"/>
      <c r="P3033" s="15" t="n"/>
      <c r="Q3033" s="15" t="n"/>
      <c r="R3033" s="25" t="n"/>
      <c r="S3033" s="26">
        <f>IF($A3033="","",AND(OR('Assignment Builder'!$B$5="",$B3033='Assignment Builder'!$B$5),OR('Assignment Builder'!$B$6="",ISNUMBER(SEARCH('Assignment Builder'!$B$6,$C3033))),OR('Assignment Builder'!$B$7="",'Assignment Builder'!$B$7=IFERROR(INDEX('Category Dictionary'!$C$5:$C$135,MATCH($L3033,'Category Dictionary'!$D$5:$D$135,0)),"")),OR('Assignment Builder'!$B$8="",$D3033='Assignment Builder'!$B$8),OR('Assignment Builder'!$B$9="",$F3033='Assignment Builder'!$B$9),OR('Assignment Builder'!$B$10="",$O3033='Assignment Builder'!$B$10),OR('Assignment Builder'!$B$11="",$H3033&gt;='Assignment Builder'!$B$11),OR('Assignment Builder'!$B$12="",N($Q3033)&lt;='Assignment Builder'!$B$12)))</f>
        <v/>
      </c>
      <c r="T3033" s="23" t="n"/>
    </row>
    <row r="3034">
      <c r="A3034" s="23" t="n"/>
      <c r="B3034" s="23" t="n"/>
      <c r="C3034" s="24" t="n"/>
      <c r="D3034" s="15" t="n"/>
      <c r="E3034" s="23" t="n"/>
      <c r="F3034" s="15" t="n"/>
      <c r="G3034" s="23" t="n"/>
      <c r="H3034" s="25" t="n"/>
      <c r="I3034" s="15" t="n"/>
      <c r="J3034" s="26">
        <f>IF($A3034="","",LEN($C3034)-LEN(SUBSTITUTE($C3034,",",""))+1)</f>
        <v/>
      </c>
      <c r="K3034" s="26">
        <f>IF($A3034="","",SUMPRODUCT(--ISNUMBER(SEARCH('Category Dictionary'!$D$5:$D$135&amp;"",$C3034)),--('Category Dictionary'!$D$5:$D$135&lt;&gt;"")))</f>
        <v/>
      </c>
      <c r="L3034" s="27">
        <f>IF($A3034="","",TRIM(IF(ISERROR(FIND(",",$C3034)),$C3034,LEFT($C3034,FIND(",",$C3034)-1))))</f>
        <v/>
      </c>
      <c r="M3034" s="28">
        <f>IF($H3034="","",DATE(YEAR($H3034),MONTH($H3034),1))</f>
        <v/>
      </c>
      <c r="N3034" s="26">
        <f>IF($H3034="","",TODAY()-$H3034)</f>
        <v/>
      </c>
      <c r="O3034" s="15" t="n"/>
      <c r="P3034" s="15" t="n"/>
      <c r="Q3034" s="15" t="n"/>
      <c r="R3034" s="25" t="n"/>
      <c r="S3034" s="26">
        <f>IF($A3034="","",AND(OR('Assignment Builder'!$B$5="",$B3034='Assignment Builder'!$B$5),OR('Assignment Builder'!$B$6="",ISNUMBER(SEARCH('Assignment Builder'!$B$6,$C3034))),OR('Assignment Builder'!$B$7="",'Assignment Builder'!$B$7=IFERROR(INDEX('Category Dictionary'!$C$5:$C$135,MATCH($L3034,'Category Dictionary'!$D$5:$D$135,0)),"")),OR('Assignment Builder'!$B$8="",$D3034='Assignment Builder'!$B$8),OR('Assignment Builder'!$B$9="",$F3034='Assignment Builder'!$B$9),OR('Assignment Builder'!$B$10="",$O3034='Assignment Builder'!$B$10),OR('Assignment Builder'!$B$11="",$H3034&gt;='Assignment Builder'!$B$11),OR('Assignment Builder'!$B$12="",N($Q3034)&lt;='Assignment Builder'!$B$12)))</f>
        <v/>
      </c>
      <c r="T3034" s="23" t="n"/>
    </row>
    <row r="3035">
      <c r="A3035" s="23" t="n"/>
      <c r="B3035" s="23" t="n"/>
      <c r="C3035" s="24" t="n"/>
      <c r="D3035" s="15" t="n"/>
      <c r="E3035" s="23" t="n"/>
      <c r="F3035" s="15" t="n"/>
      <c r="G3035" s="23" t="n"/>
      <c r="H3035" s="25" t="n"/>
      <c r="I3035" s="15" t="n"/>
      <c r="J3035" s="26">
        <f>IF($A3035="","",LEN($C3035)-LEN(SUBSTITUTE($C3035,",",""))+1)</f>
        <v/>
      </c>
      <c r="K3035" s="26">
        <f>IF($A3035="","",SUMPRODUCT(--ISNUMBER(SEARCH('Category Dictionary'!$D$5:$D$135&amp;"",$C3035)),--('Category Dictionary'!$D$5:$D$135&lt;&gt;"")))</f>
        <v/>
      </c>
      <c r="L3035" s="27">
        <f>IF($A3035="","",TRIM(IF(ISERROR(FIND(",",$C3035)),$C3035,LEFT($C3035,FIND(",",$C3035)-1))))</f>
        <v/>
      </c>
      <c r="M3035" s="28">
        <f>IF($H3035="","",DATE(YEAR($H3035),MONTH($H3035),1))</f>
        <v/>
      </c>
      <c r="N3035" s="26">
        <f>IF($H3035="","",TODAY()-$H3035)</f>
        <v/>
      </c>
      <c r="O3035" s="15" t="n"/>
      <c r="P3035" s="15" t="n"/>
      <c r="Q3035" s="15" t="n"/>
      <c r="R3035" s="25" t="n"/>
      <c r="S3035" s="26">
        <f>IF($A3035="","",AND(OR('Assignment Builder'!$B$5="",$B3035='Assignment Builder'!$B$5),OR('Assignment Builder'!$B$6="",ISNUMBER(SEARCH('Assignment Builder'!$B$6,$C3035))),OR('Assignment Builder'!$B$7="",'Assignment Builder'!$B$7=IFERROR(INDEX('Category Dictionary'!$C$5:$C$135,MATCH($L3035,'Category Dictionary'!$D$5:$D$135,0)),"")),OR('Assignment Builder'!$B$8="",$D3035='Assignment Builder'!$B$8),OR('Assignment Builder'!$B$9="",$F3035='Assignment Builder'!$B$9),OR('Assignment Builder'!$B$10="",$O3035='Assignment Builder'!$B$10),OR('Assignment Builder'!$B$11="",$H3035&gt;='Assignment Builder'!$B$11),OR('Assignment Builder'!$B$12="",N($Q3035)&lt;='Assignment Builder'!$B$12)))</f>
        <v/>
      </c>
      <c r="T3035" s="23" t="n"/>
    </row>
    <row r="3036">
      <c r="A3036" s="23" t="n"/>
      <c r="B3036" s="23" t="n"/>
      <c r="C3036" s="24" t="n"/>
      <c r="D3036" s="15" t="n"/>
      <c r="E3036" s="23" t="n"/>
      <c r="F3036" s="15" t="n"/>
      <c r="G3036" s="23" t="n"/>
      <c r="H3036" s="25" t="n"/>
      <c r="I3036" s="15" t="n"/>
      <c r="J3036" s="26">
        <f>IF($A3036="","",LEN($C3036)-LEN(SUBSTITUTE($C3036,",",""))+1)</f>
        <v/>
      </c>
      <c r="K3036" s="26">
        <f>IF($A3036="","",SUMPRODUCT(--ISNUMBER(SEARCH('Category Dictionary'!$D$5:$D$135&amp;"",$C3036)),--('Category Dictionary'!$D$5:$D$135&lt;&gt;"")))</f>
        <v/>
      </c>
      <c r="L3036" s="27">
        <f>IF($A3036="","",TRIM(IF(ISERROR(FIND(",",$C3036)),$C3036,LEFT($C3036,FIND(",",$C3036)-1))))</f>
        <v/>
      </c>
      <c r="M3036" s="28">
        <f>IF($H3036="","",DATE(YEAR($H3036),MONTH($H3036),1))</f>
        <v/>
      </c>
      <c r="N3036" s="26">
        <f>IF($H3036="","",TODAY()-$H3036)</f>
        <v/>
      </c>
      <c r="O3036" s="15" t="n"/>
      <c r="P3036" s="15" t="n"/>
      <c r="Q3036" s="15" t="n"/>
      <c r="R3036" s="25" t="n"/>
      <c r="S3036" s="26">
        <f>IF($A3036="","",AND(OR('Assignment Builder'!$B$5="",$B3036='Assignment Builder'!$B$5),OR('Assignment Builder'!$B$6="",ISNUMBER(SEARCH('Assignment Builder'!$B$6,$C3036))),OR('Assignment Builder'!$B$7="",'Assignment Builder'!$B$7=IFERROR(INDEX('Category Dictionary'!$C$5:$C$135,MATCH($L3036,'Category Dictionary'!$D$5:$D$135,0)),"")),OR('Assignment Builder'!$B$8="",$D3036='Assignment Builder'!$B$8),OR('Assignment Builder'!$B$9="",$F3036='Assignment Builder'!$B$9),OR('Assignment Builder'!$B$10="",$O3036='Assignment Builder'!$B$10),OR('Assignment Builder'!$B$11="",$H3036&gt;='Assignment Builder'!$B$11),OR('Assignment Builder'!$B$12="",N($Q3036)&lt;='Assignment Builder'!$B$12)))</f>
        <v/>
      </c>
      <c r="T3036" s="23" t="n"/>
    </row>
    <row r="3037">
      <c r="A3037" s="23" t="n"/>
      <c r="B3037" s="23" t="n"/>
      <c r="C3037" s="24" t="n"/>
      <c r="D3037" s="15" t="n"/>
      <c r="E3037" s="23" t="n"/>
      <c r="F3037" s="15" t="n"/>
      <c r="G3037" s="23" t="n"/>
      <c r="H3037" s="25" t="n"/>
      <c r="I3037" s="15" t="n"/>
      <c r="J3037" s="26">
        <f>IF($A3037="","",LEN($C3037)-LEN(SUBSTITUTE($C3037,",",""))+1)</f>
        <v/>
      </c>
      <c r="K3037" s="26">
        <f>IF($A3037="","",SUMPRODUCT(--ISNUMBER(SEARCH('Category Dictionary'!$D$5:$D$135&amp;"",$C3037)),--('Category Dictionary'!$D$5:$D$135&lt;&gt;"")))</f>
        <v/>
      </c>
      <c r="L3037" s="27">
        <f>IF($A3037="","",TRIM(IF(ISERROR(FIND(",",$C3037)),$C3037,LEFT($C3037,FIND(",",$C3037)-1))))</f>
        <v/>
      </c>
      <c r="M3037" s="28">
        <f>IF($H3037="","",DATE(YEAR($H3037),MONTH($H3037),1))</f>
        <v/>
      </c>
      <c r="N3037" s="26">
        <f>IF($H3037="","",TODAY()-$H3037)</f>
        <v/>
      </c>
      <c r="O3037" s="15" t="n"/>
      <c r="P3037" s="15" t="n"/>
      <c r="Q3037" s="15" t="n"/>
      <c r="R3037" s="25" t="n"/>
      <c r="S3037" s="26">
        <f>IF($A3037="","",AND(OR('Assignment Builder'!$B$5="",$B3037='Assignment Builder'!$B$5),OR('Assignment Builder'!$B$6="",ISNUMBER(SEARCH('Assignment Builder'!$B$6,$C3037))),OR('Assignment Builder'!$B$7="",'Assignment Builder'!$B$7=IFERROR(INDEX('Category Dictionary'!$C$5:$C$135,MATCH($L3037,'Category Dictionary'!$D$5:$D$135,0)),"")),OR('Assignment Builder'!$B$8="",$D3037='Assignment Builder'!$B$8),OR('Assignment Builder'!$B$9="",$F3037='Assignment Builder'!$B$9),OR('Assignment Builder'!$B$10="",$O3037='Assignment Builder'!$B$10),OR('Assignment Builder'!$B$11="",$H3037&gt;='Assignment Builder'!$B$11),OR('Assignment Builder'!$B$12="",N($Q3037)&lt;='Assignment Builder'!$B$12)))</f>
        <v/>
      </c>
      <c r="T3037" s="23" t="n"/>
    </row>
    <row r="3038">
      <c r="A3038" s="23" t="n"/>
      <c r="B3038" s="23" t="n"/>
      <c r="C3038" s="24" t="n"/>
      <c r="D3038" s="15" t="n"/>
      <c r="E3038" s="23" t="n"/>
      <c r="F3038" s="15" t="n"/>
      <c r="G3038" s="23" t="n"/>
      <c r="H3038" s="25" t="n"/>
      <c r="I3038" s="15" t="n"/>
      <c r="J3038" s="26">
        <f>IF($A3038="","",LEN($C3038)-LEN(SUBSTITUTE($C3038,",",""))+1)</f>
        <v/>
      </c>
      <c r="K3038" s="26">
        <f>IF($A3038="","",SUMPRODUCT(--ISNUMBER(SEARCH('Category Dictionary'!$D$5:$D$135&amp;"",$C3038)),--('Category Dictionary'!$D$5:$D$135&lt;&gt;"")))</f>
        <v/>
      </c>
      <c r="L3038" s="27">
        <f>IF($A3038="","",TRIM(IF(ISERROR(FIND(",",$C3038)),$C3038,LEFT($C3038,FIND(",",$C3038)-1))))</f>
        <v/>
      </c>
      <c r="M3038" s="28">
        <f>IF($H3038="","",DATE(YEAR($H3038),MONTH($H3038),1))</f>
        <v/>
      </c>
      <c r="N3038" s="26">
        <f>IF($H3038="","",TODAY()-$H3038)</f>
        <v/>
      </c>
      <c r="O3038" s="15" t="n"/>
      <c r="P3038" s="15" t="n"/>
      <c r="Q3038" s="15" t="n"/>
      <c r="R3038" s="25" t="n"/>
      <c r="S3038" s="26">
        <f>IF($A3038="","",AND(OR('Assignment Builder'!$B$5="",$B3038='Assignment Builder'!$B$5),OR('Assignment Builder'!$B$6="",ISNUMBER(SEARCH('Assignment Builder'!$B$6,$C3038))),OR('Assignment Builder'!$B$7="",'Assignment Builder'!$B$7=IFERROR(INDEX('Category Dictionary'!$C$5:$C$135,MATCH($L3038,'Category Dictionary'!$D$5:$D$135,0)),"")),OR('Assignment Builder'!$B$8="",$D3038='Assignment Builder'!$B$8),OR('Assignment Builder'!$B$9="",$F3038='Assignment Builder'!$B$9),OR('Assignment Builder'!$B$10="",$O3038='Assignment Builder'!$B$10),OR('Assignment Builder'!$B$11="",$H3038&gt;='Assignment Builder'!$B$11),OR('Assignment Builder'!$B$12="",N($Q3038)&lt;='Assignment Builder'!$B$12)))</f>
        <v/>
      </c>
      <c r="T3038" s="23" t="n"/>
    </row>
    <row r="3039">
      <c r="A3039" s="23" t="n"/>
      <c r="B3039" s="23" t="n"/>
      <c r="C3039" s="24" t="n"/>
      <c r="D3039" s="15" t="n"/>
      <c r="E3039" s="23" t="n"/>
      <c r="F3039" s="15" t="n"/>
      <c r="G3039" s="23" t="n"/>
      <c r="H3039" s="25" t="n"/>
      <c r="I3039" s="15" t="n"/>
      <c r="J3039" s="26">
        <f>IF($A3039="","",LEN($C3039)-LEN(SUBSTITUTE($C3039,",",""))+1)</f>
        <v/>
      </c>
      <c r="K3039" s="26">
        <f>IF($A3039="","",SUMPRODUCT(--ISNUMBER(SEARCH('Category Dictionary'!$D$5:$D$135&amp;"",$C3039)),--('Category Dictionary'!$D$5:$D$135&lt;&gt;"")))</f>
        <v/>
      </c>
      <c r="L3039" s="27">
        <f>IF($A3039="","",TRIM(IF(ISERROR(FIND(",",$C3039)),$C3039,LEFT($C3039,FIND(",",$C3039)-1))))</f>
        <v/>
      </c>
      <c r="M3039" s="28">
        <f>IF($H3039="","",DATE(YEAR($H3039),MONTH($H3039),1))</f>
        <v/>
      </c>
      <c r="N3039" s="26">
        <f>IF($H3039="","",TODAY()-$H3039)</f>
        <v/>
      </c>
      <c r="O3039" s="15" t="n"/>
      <c r="P3039" s="15" t="n"/>
      <c r="Q3039" s="15" t="n"/>
      <c r="R3039" s="25" t="n"/>
      <c r="S3039" s="26">
        <f>IF($A3039="","",AND(OR('Assignment Builder'!$B$5="",$B3039='Assignment Builder'!$B$5),OR('Assignment Builder'!$B$6="",ISNUMBER(SEARCH('Assignment Builder'!$B$6,$C3039))),OR('Assignment Builder'!$B$7="",'Assignment Builder'!$B$7=IFERROR(INDEX('Category Dictionary'!$C$5:$C$135,MATCH($L3039,'Category Dictionary'!$D$5:$D$135,0)),"")),OR('Assignment Builder'!$B$8="",$D3039='Assignment Builder'!$B$8),OR('Assignment Builder'!$B$9="",$F3039='Assignment Builder'!$B$9),OR('Assignment Builder'!$B$10="",$O3039='Assignment Builder'!$B$10),OR('Assignment Builder'!$B$11="",$H3039&gt;='Assignment Builder'!$B$11),OR('Assignment Builder'!$B$12="",N($Q3039)&lt;='Assignment Builder'!$B$12)))</f>
        <v/>
      </c>
      <c r="T3039" s="23" t="n"/>
    </row>
    <row r="3040">
      <c r="A3040" s="23" t="n"/>
      <c r="B3040" s="23" t="n"/>
      <c r="C3040" s="24" t="n"/>
      <c r="D3040" s="15" t="n"/>
      <c r="E3040" s="23" t="n"/>
      <c r="F3040" s="15" t="n"/>
      <c r="G3040" s="23" t="n"/>
      <c r="H3040" s="25" t="n"/>
      <c r="I3040" s="15" t="n"/>
      <c r="J3040" s="26">
        <f>IF($A3040="","",LEN($C3040)-LEN(SUBSTITUTE($C3040,",",""))+1)</f>
        <v/>
      </c>
      <c r="K3040" s="26">
        <f>IF($A3040="","",SUMPRODUCT(--ISNUMBER(SEARCH('Category Dictionary'!$D$5:$D$135&amp;"",$C3040)),--('Category Dictionary'!$D$5:$D$135&lt;&gt;"")))</f>
        <v/>
      </c>
      <c r="L3040" s="27">
        <f>IF($A3040="","",TRIM(IF(ISERROR(FIND(",",$C3040)),$C3040,LEFT($C3040,FIND(",",$C3040)-1))))</f>
        <v/>
      </c>
      <c r="M3040" s="28">
        <f>IF($H3040="","",DATE(YEAR($H3040),MONTH($H3040),1))</f>
        <v/>
      </c>
      <c r="N3040" s="26">
        <f>IF($H3040="","",TODAY()-$H3040)</f>
        <v/>
      </c>
      <c r="O3040" s="15" t="n"/>
      <c r="P3040" s="15" t="n"/>
      <c r="Q3040" s="15" t="n"/>
      <c r="R3040" s="25" t="n"/>
      <c r="S3040" s="26">
        <f>IF($A3040="","",AND(OR('Assignment Builder'!$B$5="",$B3040='Assignment Builder'!$B$5),OR('Assignment Builder'!$B$6="",ISNUMBER(SEARCH('Assignment Builder'!$B$6,$C3040))),OR('Assignment Builder'!$B$7="",'Assignment Builder'!$B$7=IFERROR(INDEX('Category Dictionary'!$C$5:$C$135,MATCH($L3040,'Category Dictionary'!$D$5:$D$135,0)),"")),OR('Assignment Builder'!$B$8="",$D3040='Assignment Builder'!$B$8),OR('Assignment Builder'!$B$9="",$F3040='Assignment Builder'!$B$9),OR('Assignment Builder'!$B$10="",$O3040='Assignment Builder'!$B$10),OR('Assignment Builder'!$B$11="",$H3040&gt;='Assignment Builder'!$B$11),OR('Assignment Builder'!$B$12="",N($Q3040)&lt;='Assignment Builder'!$B$12)))</f>
        <v/>
      </c>
      <c r="T3040" s="23" t="n"/>
    </row>
    <row r="3041">
      <c r="A3041" s="23" t="n"/>
      <c r="B3041" s="23" t="n"/>
      <c r="C3041" s="24" t="n"/>
      <c r="D3041" s="15" t="n"/>
      <c r="E3041" s="23" t="n"/>
      <c r="F3041" s="15" t="n"/>
      <c r="G3041" s="23" t="n"/>
      <c r="H3041" s="25" t="n"/>
      <c r="I3041" s="15" t="n"/>
      <c r="J3041" s="26">
        <f>IF($A3041="","",LEN($C3041)-LEN(SUBSTITUTE($C3041,",",""))+1)</f>
        <v/>
      </c>
      <c r="K3041" s="26">
        <f>IF($A3041="","",SUMPRODUCT(--ISNUMBER(SEARCH('Category Dictionary'!$D$5:$D$135&amp;"",$C3041)),--('Category Dictionary'!$D$5:$D$135&lt;&gt;"")))</f>
        <v/>
      </c>
      <c r="L3041" s="27">
        <f>IF($A3041="","",TRIM(IF(ISERROR(FIND(",",$C3041)),$C3041,LEFT($C3041,FIND(",",$C3041)-1))))</f>
        <v/>
      </c>
      <c r="M3041" s="28">
        <f>IF($H3041="","",DATE(YEAR($H3041),MONTH($H3041),1))</f>
        <v/>
      </c>
      <c r="N3041" s="26">
        <f>IF($H3041="","",TODAY()-$H3041)</f>
        <v/>
      </c>
      <c r="O3041" s="15" t="n"/>
      <c r="P3041" s="15" t="n"/>
      <c r="Q3041" s="15" t="n"/>
      <c r="R3041" s="25" t="n"/>
      <c r="S3041" s="26">
        <f>IF($A3041="","",AND(OR('Assignment Builder'!$B$5="",$B3041='Assignment Builder'!$B$5),OR('Assignment Builder'!$B$6="",ISNUMBER(SEARCH('Assignment Builder'!$B$6,$C3041))),OR('Assignment Builder'!$B$7="",'Assignment Builder'!$B$7=IFERROR(INDEX('Category Dictionary'!$C$5:$C$135,MATCH($L3041,'Category Dictionary'!$D$5:$D$135,0)),"")),OR('Assignment Builder'!$B$8="",$D3041='Assignment Builder'!$B$8),OR('Assignment Builder'!$B$9="",$F3041='Assignment Builder'!$B$9),OR('Assignment Builder'!$B$10="",$O3041='Assignment Builder'!$B$10),OR('Assignment Builder'!$B$11="",$H3041&gt;='Assignment Builder'!$B$11),OR('Assignment Builder'!$B$12="",N($Q3041)&lt;='Assignment Builder'!$B$12)))</f>
        <v/>
      </c>
      <c r="T3041" s="23" t="n"/>
    </row>
    <row r="3042">
      <c r="A3042" s="23" t="n"/>
      <c r="B3042" s="23" t="n"/>
      <c r="C3042" s="24" t="n"/>
      <c r="D3042" s="15" t="n"/>
      <c r="E3042" s="23" t="n"/>
      <c r="F3042" s="15" t="n"/>
      <c r="G3042" s="23" t="n"/>
      <c r="H3042" s="25" t="n"/>
      <c r="I3042" s="15" t="n"/>
      <c r="J3042" s="26">
        <f>IF($A3042="","",LEN($C3042)-LEN(SUBSTITUTE($C3042,",",""))+1)</f>
        <v/>
      </c>
      <c r="K3042" s="26">
        <f>IF($A3042="","",SUMPRODUCT(--ISNUMBER(SEARCH('Category Dictionary'!$D$5:$D$135&amp;"",$C3042)),--('Category Dictionary'!$D$5:$D$135&lt;&gt;"")))</f>
        <v/>
      </c>
      <c r="L3042" s="27">
        <f>IF($A3042="","",TRIM(IF(ISERROR(FIND(",",$C3042)),$C3042,LEFT($C3042,FIND(",",$C3042)-1))))</f>
        <v/>
      </c>
      <c r="M3042" s="28">
        <f>IF($H3042="","",DATE(YEAR($H3042),MONTH($H3042),1))</f>
        <v/>
      </c>
      <c r="N3042" s="26">
        <f>IF($H3042="","",TODAY()-$H3042)</f>
        <v/>
      </c>
      <c r="O3042" s="15" t="n"/>
      <c r="P3042" s="15" t="n"/>
      <c r="Q3042" s="15" t="n"/>
      <c r="R3042" s="25" t="n"/>
      <c r="S3042" s="26">
        <f>IF($A3042="","",AND(OR('Assignment Builder'!$B$5="",$B3042='Assignment Builder'!$B$5),OR('Assignment Builder'!$B$6="",ISNUMBER(SEARCH('Assignment Builder'!$B$6,$C3042))),OR('Assignment Builder'!$B$7="",'Assignment Builder'!$B$7=IFERROR(INDEX('Category Dictionary'!$C$5:$C$135,MATCH($L3042,'Category Dictionary'!$D$5:$D$135,0)),"")),OR('Assignment Builder'!$B$8="",$D3042='Assignment Builder'!$B$8),OR('Assignment Builder'!$B$9="",$F3042='Assignment Builder'!$B$9),OR('Assignment Builder'!$B$10="",$O3042='Assignment Builder'!$B$10),OR('Assignment Builder'!$B$11="",$H3042&gt;='Assignment Builder'!$B$11),OR('Assignment Builder'!$B$12="",N($Q3042)&lt;='Assignment Builder'!$B$12)))</f>
        <v/>
      </c>
      <c r="T3042" s="23" t="n"/>
    </row>
    <row r="3043">
      <c r="A3043" s="23" t="n"/>
      <c r="B3043" s="23" t="n"/>
      <c r="C3043" s="24" t="n"/>
      <c r="D3043" s="15" t="n"/>
      <c r="E3043" s="23" t="n"/>
      <c r="F3043" s="15" t="n"/>
      <c r="G3043" s="23" t="n"/>
      <c r="H3043" s="25" t="n"/>
      <c r="I3043" s="15" t="n"/>
      <c r="J3043" s="26">
        <f>IF($A3043="","",LEN($C3043)-LEN(SUBSTITUTE($C3043,",",""))+1)</f>
        <v/>
      </c>
      <c r="K3043" s="26">
        <f>IF($A3043="","",SUMPRODUCT(--ISNUMBER(SEARCH('Category Dictionary'!$D$5:$D$135&amp;"",$C3043)),--('Category Dictionary'!$D$5:$D$135&lt;&gt;"")))</f>
        <v/>
      </c>
      <c r="L3043" s="27">
        <f>IF($A3043="","",TRIM(IF(ISERROR(FIND(",",$C3043)),$C3043,LEFT($C3043,FIND(",",$C3043)-1))))</f>
        <v/>
      </c>
      <c r="M3043" s="28">
        <f>IF($H3043="","",DATE(YEAR($H3043),MONTH($H3043),1))</f>
        <v/>
      </c>
      <c r="N3043" s="26">
        <f>IF($H3043="","",TODAY()-$H3043)</f>
        <v/>
      </c>
      <c r="O3043" s="15" t="n"/>
      <c r="P3043" s="15" t="n"/>
      <c r="Q3043" s="15" t="n"/>
      <c r="R3043" s="25" t="n"/>
      <c r="S3043" s="26">
        <f>IF($A3043="","",AND(OR('Assignment Builder'!$B$5="",$B3043='Assignment Builder'!$B$5),OR('Assignment Builder'!$B$6="",ISNUMBER(SEARCH('Assignment Builder'!$B$6,$C3043))),OR('Assignment Builder'!$B$7="",'Assignment Builder'!$B$7=IFERROR(INDEX('Category Dictionary'!$C$5:$C$135,MATCH($L3043,'Category Dictionary'!$D$5:$D$135,0)),"")),OR('Assignment Builder'!$B$8="",$D3043='Assignment Builder'!$B$8),OR('Assignment Builder'!$B$9="",$F3043='Assignment Builder'!$B$9),OR('Assignment Builder'!$B$10="",$O3043='Assignment Builder'!$B$10),OR('Assignment Builder'!$B$11="",$H3043&gt;='Assignment Builder'!$B$11),OR('Assignment Builder'!$B$12="",N($Q3043)&lt;='Assignment Builder'!$B$12)))</f>
        <v/>
      </c>
      <c r="T3043" s="23" t="n"/>
    </row>
    <row r="3044">
      <c r="A3044" s="23" t="n"/>
      <c r="B3044" s="23" t="n"/>
      <c r="C3044" s="24" t="n"/>
      <c r="D3044" s="15" t="n"/>
      <c r="E3044" s="23" t="n"/>
      <c r="F3044" s="15" t="n"/>
      <c r="G3044" s="23" t="n"/>
      <c r="H3044" s="25" t="n"/>
      <c r="I3044" s="15" t="n"/>
      <c r="J3044" s="26">
        <f>IF($A3044="","",LEN($C3044)-LEN(SUBSTITUTE($C3044,",",""))+1)</f>
        <v/>
      </c>
      <c r="K3044" s="26">
        <f>IF($A3044="","",SUMPRODUCT(--ISNUMBER(SEARCH('Category Dictionary'!$D$5:$D$135&amp;"",$C3044)),--('Category Dictionary'!$D$5:$D$135&lt;&gt;"")))</f>
        <v/>
      </c>
      <c r="L3044" s="27">
        <f>IF($A3044="","",TRIM(IF(ISERROR(FIND(",",$C3044)),$C3044,LEFT($C3044,FIND(",",$C3044)-1))))</f>
        <v/>
      </c>
      <c r="M3044" s="28">
        <f>IF($H3044="","",DATE(YEAR($H3044),MONTH($H3044),1))</f>
        <v/>
      </c>
      <c r="N3044" s="26">
        <f>IF($H3044="","",TODAY()-$H3044)</f>
        <v/>
      </c>
      <c r="O3044" s="15" t="n"/>
      <c r="P3044" s="15" t="n"/>
      <c r="Q3044" s="15" t="n"/>
      <c r="R3044" s="25" t="n"/>
      <c r="S3044" s="26">
        <f>IF($A3044="","",AND(OR('Assignment Builder'!$B$5="",$B3044='Assignment Builder'!$B$5),OR('Assignment Builder'!$B$6="",ISNUMBER(SEARCH('Assignment Builder'!$B$6,$C3044))),OR('Assignment Builder'!$B$7="",'Assignment Builder'!$B$7=IFERROR(INDEX('Category Dictionary'!$C$5:$C$135,MATCH($L3044,'Category Dictionary'!$D$5:$D$135,0)),"")),OR('Assignment Builder'!$B$8="",$D3044='Assignment Builder'!$B$8),OR('Assignment Builder'!$B$9="",$F3044='Assignment Builder'!$B$9),OR('Assignment Builder'!$B$10="",$O3044='Assignment Builder'!$B$10),OR('Assignment Builder'!$B$11="",$H3044&gt;='Assignment Builder'!$B$11),OR('Assignment Builder'!$B$12="",N($Q3044)&lt;='Assignment Builder'!$B$12)))</f>
        <v/>
      </c>
      <c r="T3044" s="23" t="n"/>
    </row>
    <row r="3045">
      <c r="A3045" s="23" t="n"/>
      <c r="B3045" s="23" t="n"/>
      <c r="C3045" s="24" t="n"/>
      <c r="D3045" s="15" t="n"/>
      <c r="E3045" s="23" t="n"/>
      <c r="F3045" s="15" t="n"/>
      <c r="G3045" s="23" t="n"/>
      <c r="H3045" s="25" t="n"/>
      <c r="I3045" s="15" t="n"/>
      <c r="J3045" s="26">
        <f>IF($A3045="","",LEN($C3045)-LEN(SUBSTITUTE($C3045,",",""))+1)</f>
        <v/>
      </c>
      <c r="K3045" s="26">
        <f>IF($A3045="","",SUMPRODUCT(--ISNUMBER(SEARCH('Category Dictionary'!$D$5:$D$135&amp;"",$C3045)),--('Category Dictionary'!$D$5:$D$135&lt;&gt;"")))</f>
        <v/>
      </c>
      <c r="L3045" s="27">
        <f>IF($A3045="","",TRIM(IF(ISERROR(FIND(",",$C3045)),$C3045,LEFT($C3045,FIND(",",$C3045)-1))))</f>
        <v/>
      </c>
      <c r="M3045" s="28">
        <f>IF($H3045="","",DATE(YEAR($H3045),MONTH($H3045),1))</f>
        <v/>
      </c>
      <c r="N3045" s="26">
        <f>IF($H3045="","",TODAY()-$H3045)</f>
        <v/>
      </c>
      <c r="O3045" s="15" t="n"/>
      <c r="P3045" s="15" t="n"/>
      <c r="Q3045" s="15" t="n"/>
      <c r="R3045" s="25" t="n"/>
      <c r="S3045" s="26">
        <f>IF($A3045="","",AND(OR('Assignment Builder'!$B$5="",$B3045='Assignment Builder'!$B$5),OR('Assignment Builder'!$B$6="",ISNUMBER(SEARCH('Assignment Builder'!$B$6,$C3045))),OR('Assignment Builder'!$B$7="",'Assignment Builder'!$B$7=IFERROR(INDEX('Category Dictionary'!$C$5:$C$135,MATCH($L3045,'Category Dictionary'!$D$5:$D$135,0)),"")),OR('Assignment Builder'!$B$8="",$D3045='Assignment Builder'!$B$8),OR('Assignment Builder'!$B$9="",$F3045='Assignment Builder'!$B$9),OR('Assignment Builder'!$B$10="",$O3045='Assignment Builder'!$B$10),OR('Assignment Builder'!$B$11="",$H3045&gt;='Assignment Builder'!$B$11),OR('Assignment Builder'!$B$12="",N($Q3045)&lt;='Assignment Builder'!$B$12)))</f>
        <v/>
      </c>
      <c r="T3045" s="23" t="n"/>
    </row>
    <row r="3046">
      <c r="A3046" s="23" t="n"/>
      <c r="B3046" s="23" t="n"/>
      <c r="C3046" s="24" t="n"/>
      <c r="D3046" s="15" t="n"/>
      <c r="E3046" s="23" t="n"/>
      <c r="F3046" s="15" t="n"/>
      <c r="G3046" s="23" t="n"/>
      <c r="H3046" s="25" t="n"/>
      <c r="I3046" s="15" t="n"/>
      <c r="J3046" s="26">
        <f>IF($A3046="","",LEN($C3046)-LEN(SUBSTITUTE($C3046,",",""))+1)</f>
        <v/>
      </c>
      <c r="K3046" s="26">
        <f>IF($A3046="","",SUMPRODUCT(--ISNUMBER(SEARCH('Category Dictionary'!$D$5:$D$135&amp;"",$C3046)),--('Category Dictionary'!$D$5:$D$135&lt;&gt;"")))</f>
        <v/>
      </c>
      <c r="L3046" s="27">
        <f>IF($A3046="","",TRIM(IF(ISERROR(FIND(",",$C3046)),$C3046,LEFT($C3046,FIND(",",$C3046)-1))))</f>
        <v/>
      </c>
      <c r="M3046" s="28">
        <f>IF($H3046="","",DATE(YEAR($H3046),MONTH($H3046),1))</f>
        <v/>
      </c>
      <c r="N3046" s="26">
        <f>IF($H3046="","",TODAY()-$H3046)</f>
        <v/>
      </c>
      <c r="O3046" s="15" t="n"/>
      <c r="P3046" s="15" t="n"/>
      <c r="Q3046" s="15" t="n"/>
      <c r="R3046" s="25" t="n"/>
      <c r="S3046" s="26">
        <f>IF($A3046="","",AND(OR('Assignment Builder'!$B$5="",$B3046='Assignment Builder'!$B$5),OR('Assignment Builder'!$B$6="",ISNUMBER(SEARCH('Assignment Builder'!$B$6,$C3046))),OR('Assignment Builder'!$B$7="",'Assignment Builder'!$B$7=IFERROR(INDEX('Category Dictionary'!$C$5:$C$135,MATCH($L3046,'Category Dictionary'!$D$5:$D$135,0)),"")),OR('Assignment Builder'!$B$8="",$D3046='Assignment Builder'!$B$8),OR('Assignment Builder'!$B$9="",$F3046='Assignment Builder'!$B$9),OR('Assignment Builder'!$B$10="",$O3046='Assignment Builder'!$B$10),OR('Assignment Builder'!$B$11="",$H3046&gt;='Assignment Builder'!$B$11),OR('Assignment Builder'!$B$12="",N($Q3046)&lt;='Assignment Builder'!$B$12)))</f>
        <v/>
      </c>
      <c r="T3046" s="23" t="n"/>
    </row>
    <row r="3047">
      <c r="A3047" s="23" t="n"/>
      <c r="B3047" s="23" t="n"/>
      <c r="C3047" s="24" t="n"/>
      <c r="D3047" s="15" t="n"/>
      <c r="E3047" s="23" t="n"/>
      <c r="F3047" s="15" t="n"/>
      <c r="G3047" s="23" t="n"/>
      <c r="H3047" s="25" t="n"/>
      <c r="I3047" s="15" t="n"/>
      <c r="J3047" s="26">
        <f>IF($A3047="","",LEN($C3047)-LEN(SUBSTITUTE($C3047,",",""))+1)</f>
        <v/>
      </c>
      <c r="K3047" s="26">
        <f>IF($A3047="","",SUMPRODUCT(--ISNUMBER(SEARCH('Category Dictionary'!$D$5:$D$135&amp;"",$C3047)),--('Category Dictionary'!$D$5:$D$135&lt;&gt;"")))</f>
        <v/>
      </c>
      <c r="L3047" s="27">
        <f>IF($A3047="","",TRIM(IF(ISERROR(FIND(",",$C3047)),$C3047,LEFT($C3047,FIND(",",$C3047)-1))))</f>
        <v/>
      </c>
      <c r="M3047" s="28">
        <f>IF($H3047="","",DATE(YEAR($H3047),MONTH($H3047),1))</f>
        <v/>
      </c>
      <c r="N3047" s="26">
        <f>IF($H3047="","",TODAY()-$H3047)</f>
        <v/>
      </c>
      <c r="O3047" s="15" t="n"/>
      <c r="P3047" s="15" t="n"/>
      <c r="Q3047" s="15" t="n"/>
      <c r="R3047" s="25" t="n"/>
      <c r="S3047" s="26">
        <f>IF($A3047="","",AND(OR('Assignment Builder'!$B$5="",$B3047='Assignment Builder'!$B$5),OR('Assignment Builder'!$B$6="",ISNUMBER(SEARCH('Assignment Builder'!$B$6,$C3047))),OR('Assignment Builder'!$B$7="",'Assignment Builder'!$B$7=IFERROR(INDEX('Category Dictionary'!$C$5:$C$135,MATCH($L3047,'Category Dictionary'!$D$5:$D$135,0)),"")),OR('Assignment Builder'!$B$8="",$D3047='Assignment Builder'!$B$8),OR('Assignment Builder'!$B$9="",$F3047='Assignment Builder'!$B$9),OR('Assignment Builder'!$B$10="",$O3047='Assignment Builder'!$B$10),OR('Assignment Builder'!$B$11="",$H3047&gt;='Assignment Builder'!$B$11),OR('Assignment Builder'!$B$12="",N($Q3047)&lt;='Assignment Builder'!$B$12)))</f>
        <v/>
      </c>
      <c r="T3047" s="23" t="n"/>
    </row>
    <row r="3048">
      <c r="A3048" s="23" t="n"/>
      <c r="B3048" s="23" t="n"/>
      <c r="C3048" s="24" t="n"/>
      <c r="D3048" s="15" t="n"/>
      <c r="E3048" s="23" t="n"/>
      <c r="F3048" s="15" t="n"/>
      <c r="G3048" s="23" t="n"/>
      <c r="H3048" s="25" t="n"/>
      <c r="I3048" s="15" t="n"/>
      <c r="J3048" s="26">
        <f>IF($A3048="","",LEN($C3048)-LEN(SUBSTITUTE($C3048,",",""))+1)</f>
        <v/>
      </c>
      <c r="K3048" s="26">
        <f>IF($A3048="","",SUMPRODUCT(--ISNUMBER(SEARCH('Category Dictionary'!$D$5:$D$135&amp;"",$C3048)),--('Category Dictionary'!$D$5:$D$135&lt;&gt;"")))</f>
        <v/>
      </c>
      <c r="L3048" s="27">
        <f>IF($A3048="","",TRIM(IF(ISERROR(FIND(",",$C3048)),$C3048,LEFT($C3048,FIND(",",$C3048)-1))))</f>
        <v/>
      </c>
      <c r="M3048" s="28">
        <f>IF($H3048="","",DATE(YEAR($H3048),MONTH($H3048),1))</f>
        <v/>
      </c>
      <c r="N3048" s="26">
        <f>IF($H3048="","",TODAY()-$H3048)</f>
        <v/>
      </c>
      <c r="O3048" s="15" t="n"/>
      <c r="P3048" s="15" t="n"/>
      <c r="Q3048" s="15" t="n"/>
      <c r="R3048" s="25" t="n"/>
      <c r="S3048" s="26">
        <f>IF($A3048="","",AND(OR('Assignment Builder'!$B$5="",$B3048='Assignment Builder'!$B$5),OR('Assignment Builder'!$B$6="",ISNUMBER(SEARCH('Assignment Builder'!$B$6,$C3048))),OR('Assignment Builder'!$B$7="",'Assignment Builder'!$B$7=IFERROR(INDEX('Category Dictionary'!$C$5:$C$135,MATCH($L3048,'Category Dictionary'!$D$5:$D$135,0)),"")),OR('Assignment Builder'!$B$8="",$D3048='Assignment Builder'!$B$8),OR('Assignment Builder'!$B$9="",$F3048='Assignment Builder'!$B$9),OR('Assignment Builder'!$B$10="",$O3048='Assignment Builder'!$B$10),OR('Assignment Builder'!$B$11="",$H3048&gt;='Assignment Builder'!$B$11),OR('Assignment Builder'!$B$12="",N($Q3048)&lt;='Assignment Builder'!$B$12)))</f>
        <v/>
      </c>
      <c r="T3048" s="23" t="n"/>
    </row>
    <row r="3049">
      <c r="A3049" s="23" t="n"/>
      <c r="B3049" s="23" t="n"/>
      <c r="C3049" s="24" t="n"/>
      <c r="D3049" s="15" t="n"/>
      <c r="E3049" s="23" t="n"/>
      <c r="F3049" s="15" t="n"/>
      <c r="G3049" s="23" t="n"/>
      <c r="H3049" s="25" t="n"/>
      <c r="I3049" s="15" t="n"/>
      <c r="J3049" s="26">
        <f>IF($A3049="","",LEN($C3049)-LEN(SUBSTITUTE($C3049,",",""))+1)</f>
        <v/>
      </c>
      <c r="K3049" s="26">
        <f>IF($A3049="","",SUMPRODUCT(--ISNUMBER(SEARCH('Category Dictionary'!$D$5:$D$135&amp;"",$C3049)),--('Category Dictionary'!$D$5:$D$135&lt;&gt;"")))</f>
        <v/>
      </c>
      <c r="L3049" s="27">
        <f>IF($A3049="","",TRIM(IF(ISERROR(FIND(",",$C3049)),$C3049,LEFT($C3049,FIND(",",$C3049)-1))))</f>
        <v/>
      </c>
      <c r="M3049" s="28">
        <f>IF($H3049="","",DATE(YEAR($H3049),MONTH($H3049),1))</f>
        <v/>
      </c>
      <c r="N3049" s="26">
        <f>IF($H3049="","",TODAY()-$H3049)</f>
        <v/>
      </c>
      <c r="O3049" s="15" t="n"/>
      <c r="P3049" s="15" t="n"/>
      <c r="Q3049" s="15" t="n"/>
      <c r="R3049" s="25" t="n"/>
      <c r="S3049" s="26">
        <f>IF($A3049="","",AND(OR('Assignment Builder'!$B$5="",$B3049='Assignment Builder'!$B$5),OR('Assignment Builder'!$B$6="",ISNUMBER(SEARCH('Assignment Builder'!$B$6,$C3049))),OR('Assignment Builder'!$B$7="",'Assignment Builder'!$B$7=IFERROR(INDEX('Category Dictionary'!$C$5:$C$135,MATCH($L3049,'Category Dictionary'!$D$5:$D$135,0)),"")),OR('Assignment Builder'!$B$8="",$D3049='Assignment Builder'!$B$8),OR('Assignment Builder'!$B$9="",$F3049='Assignment Builder'!$B$9),OR('Assignment Builder'!$B$10="",$O3049='Assignment Builder'!$B$10),OR('Assignment Builder'!$B$11="",$H3049&gt;='Assignment Builder'!$B$11),OR('Assignment Builder'!$B$12="",N($Q3049)&lt;='Assignment Builder'!$B$12)))</f>
        <v/>
      </c>
      <c r="T3049" s="23" t="n"/>
    </row>
    <row r="3050">
      <c r="A3050" s="23" t="n"/>
      <c r="B3050" s="23" t="n"/>
      <c r="C3050" s="24" t="n"/>
      <c r="D3050" s="15" t="n"/>
      <c r="E3050" s="23" t="n"/>
      <c r="F3050" s="15" t="n"/>
      <c r="G3050" s="23" t="n"/>
      <c r="H3050" s="25" t="n"/>
      <c r="I3050" s="15" t="n"/>
      <c r="J3050" s="26">
        <f>IF($A3050="","",LEN($C3050)-LEN(SUBSTITUTE($C3050,",",""))+1)</f>
        <v/>
      </c>
      <c r="K3050" s="26">
        <f>IF($A3050="","",SUMPRODUCT(--ISNUMBER(SEARCH('Category Dictionary'!$D$5:$D$135&amp;"",$C3050)),--('Category Dictionary'!$D$5:$D$135&lt;&gt;"")))</f>
        <v/>
      </c>
      <c r="L3050" s="27">
        <f>IF($A3050="","",TRIM(IF(ISERROR(FIND(",",$C3050)),$C3050,LEFT($C3050,FIND(",",$C3050)-1))))</f>
        <v/>
      </c>
      <c r="M3050" s="28">
        <f>IF($H3050="","",DATE(YEAR($H3050),MONTH($H3050),1))</f>
        <v/>
      </c>
      <c r="N3050" s="26">
        <f>IF($H3050="","",TODAY()-$H3050)</f>
        <v/>
      </c>
      <c r="O3050" s="15" t="n"/>
      <c r="P3050" s="15" t="n"/>
      <c r="Q3050" s="15" t="n"/>
      <c r="R3050" s="25" t="n"/>
      <c r="S3050" s="26">
        <f>IF($A3050="","",AND(OR('Assignment Builder'!$B$5="",$B3050='Assignment Builder'!$B$5),OR('Assignment Builder'!$B$6="",ISNUMBER(SEARCH('Assignment Builder'!$B$6,$C3050))),OR('Assignment Builder'!$B$7="",'Assignment Builder'!$B$7=IFERROR(INDEX('Category Dictionary'!$C$5:$C$135,MATCH($L3050,'Category Dictionary'!$D$5:$D$135,0)),"")),OR('Assignment Builder'!$B$8="",$D3050='Assignment Builder'!$B$8),OR('Assignment Builder'!$B$9="",$F3050='Assignment Builder'!$B$9),OR('Assignment Builder'!$B$10="",$O3050='Assignment Builder'!$B$10),OR('Assignment Builder'!$B$11="",$H3050&gt;='Assignment Builder'!$B$11),OR('Assignment Builder'!$B$12="",N($Q3050)&lt;='Assignment Builder'!$B$12)))</f>
        <v/>
      </c>
      <c r="T3050" s="23" t="n"/>
    </row>
    <row r="3051">
      <c r="A3051" s="23" t="n"/>
      <c r="B3051" s="23" t="n"/>
      <c r="C3051" s="24" t="n"/>
      <c r="D3051" s="15" t="n"/>
      <c r="E3051" s="23" t="n"/>
      <c r="F3051" s="15" t="n"/>
      <c r="G3051" s="23" t="n"/>
      <c r="H3051" s="25" t="n"/>
      <c r="I3051" s="15" t="n"/>
      <c r="J3051" s="26">
        <f>IF($A3051="","",LEN($C3051)-LEN(SUBSTITUTE($C3051,",",""))+1)</f>
        <v/>
      </c>
      <c r="K3051" s="26">
        <f>IF($A3051="","",SUMPRODUCT(--ISNUMBER(SEARCH('Category Dictionary'!$D$5:$D$135&amp;"",$C3051)),--('Category Dictionary'!$D$5:$D$135&lt;&gt;"")))</f>
        <v/>
      </c>
      <c r="L3051" s="27">
        <f>IF($A3051="","",TRIM(IF(ISERROR(FIND(",",$C3051)),$C3051,LEFT($C3051,FIND(",",$C3051)-1))))</f>
        <v/>
      </c>
      <c r="M3051" s="28">
        <f>IF($H3051="","",DATE(YEAR($H3051),MONTH($H3051),1))</f>
        <v/>
      </c>
      <c r="N3051" s="26">
        <f>IF($H3051="","",TODAY()-$H3051)</f>
        <v/>
      </c>
      <c r="O3051" s="15" t="n"/>
      <c r="P3051" s="15" t="n"/>
      <c r="Q3051" s="15" t="n"/>
      <c r="R3051" s="25" t="n"/>
      <c r="S3051" s="26">
        <f>IF($A3051="","",AND(OR('Assignment Builder'!$B$5="",$B3051='Assignment Builder'!$B$5),OR('Assignment Builder'!$B$6="",ISNUMBER(SEARCH('Assignment Builder'!$B$6,$C3051))),OR('Assignment Builder'!$B$7="",'Assignment Builder'!$B$7=IFERROR(INDEX('Category Dictionary'!$C$5:$C$135,MATCH($L3051,'Category Dictionary'!$D$5:$D$135,0)),"")),OR('Assignment Builder'!$B$8="",$D3051='Assignment Builder'!$B$8),OR('Assignment Builder'!$B$9="",$F3051='Assignment Builder'!$B$9),OR('Assignment Builder'!$B$10="",$O3051='Assignment Builder'!$B$10),OR('Assignment Builder'!$B$11="",$H3051&gt;='Assignment Builder'!$B$11),OR('Assignment Builder'!$B$12="",N($Q3051)&lt;='Assignment Builder'!$B$12)))</f>
        <v/>
      </c>
      <c r="T3051" s="23" t="n"/>
    </row>
    <row r="3052">
      <c r="A3052" s="23" t="n"/>
      <c r="B3052" s="23" t="n"/>
      <c r="C3052" s="24" t="n"/>
      <c r="D3052" s="15" t="n"/>
      <c r="E3052" s="23" t="n"/>
      <c r="F3052" s="15" t="n"/>
      <c r="G3052" s="23" t="n"/>
      <c r="H3052" s="25" t="n"/>
      <c r="I3052" s="15" t="n"/>
      <c r="J3052" s="26">
        <f>IF($A3052="","",LEN($C3052)-LEN(SUBSTITUTE($C3052,",",""))+1)</f>
        <v/>
      </c>
      <c r="K3052" s="26">
        <f>IF($A3052="","",SUMPRODUCT(--ISNUMBER(SEARCH('Category Dictionary'!$D$5:$D$135&amp;"",$C3052)),--('Category Dictionary'!$D$5:$D$135&lt;&gt;"")))</f>
        <v/>
      </c>
      <c r="L3052" s="27">
        <f>IF($A3052="","",TRIM(IF(ISERROR(FIND(",",$C3052)),$C3052,LEFT($C3052,FIND(",",$C3052)-1))))</f>
        <v/>
      </c>
      <c r="M3052" s="28">
        <f>IF($H3052="","",DATE(YEAR($H3052),MONTH($H3052),1))</f>
        <v/>
      </c>
      <c r="N3052" s="26">
        <f>IF($H3052="","",TODAY()-$H3052)</f>
        <v/>
      </c>
      <c r="O3052" s="15" t="n"/>
      <c r="P3052" s="15" t="n"/>
      <c r="Q3052" s="15" t="n"/>
      <c r="R3052" s="25" t="n"/>
      <c r="S3052" s="26">
        <f>IF($A3052="","",AND(OR('Assignment Builder'!$B$5="",$B3052='Assignment Builder'!$B$5),OR('Assignment Builder'!$B$6="",ISNUMBER(SEARCH('Assignment Builder'!$B$6,$C3052))),OR('Assignment Builder'!$B$7="",'Assignment Builder'!$B$7=IFERROR(INDEX('Category Dictionary'!$C$5:$C$135,MATCH($L3052,'Category Dictionary'!$D$5:$D$135,0)),"")),OR('Assignment Builder'!$B$8="",$D3052='Assignment Builder'!$B$8),OR('Assignment Builder'!$B$9="",$F3052='Assignment Builder'!$B$9),OR('Assignment Builder'!$B$10="",$O3052='Assignment Builder'!$B$10),OR('Assignment Builder'!$B$11="",$H3052&gt;='Assignment Builder'!$B$11),OR('Assignment Builder'!$B$12="",N($Q3052)&lt;='Assignment Builder'!$B$12)))</f>
        <v/>
      </c>
      <c r="T3052" s="23" t="n"/>
    </row>
    <row r="3053">
      <c r="A3053" s="23" t="n"/>
      <c r="B3053" s="23" t="n"/>
      <c r="C3053" s="24" t="n"/>
      <c r="D3053" s="15" t="n"/>
      <c r="E3053" s="23" t="n"/>
      <c r="F3053" s="15" t="n"/>
      <c r="G3053" s="23" t="n"/>
      <c r="H3053" s="25" t="n"/>
      <c r="I3053" s="15" t="n"/>
      <c r="J3053" s="26">
        <f>IF($A3053="","",LEN($C3053)-LEN(SUBSTITUTE($C3053,",",""))+1)</f>
        <v/>
      </c>
      <c r="K3053" s="26">
        <f>IF($A3053="","",SUMPRODUCT(--ISNUMBER(SEARCH('Category Dictionary'!$D$5:$D$135&amp;"",$C3053)),--('Category Dictionary'!$D$5:$D$135&lt;&gt;"")))</f>
        <v/>
      </c>
      <c r="L3053" s="27">
        <f>IF($A3053="","",TRIM(IF(ISERROR(FIND(",",$C3053)),$C3053,LEFT($C3053,FIND(",",$C3053)-1))))</f>
        <v/>
      </c>
      <c r="M3053" s="28">
        <f>IF($H3053="","",DATE(YEAR($H3053),MONTH($H3053),1))</f>
        <v/>
      </c>
      <c r="N3053" s="26">
        <f>IF($H3053="","",TODAY()-$H3053)</f>
        <v/>
      </c>
      <c r="O3053" s="15" t="n"/>
      <c r="P3053" s="15" t="n"/>
      <c r="Q3053" s="15" t="n"/>
      <c r="R3053" s="25" t="n"/>
      <c r="S3053" s="26">
        <f>IF($A3053="","",AND(OR('Assignment Builder'!$B$5="",$B3053='Assignment Builder'!$B$5),OR('Assignment Builder'!$B$6="",ISNUMBER(SEARCH('Assignment Builder'!$B$6,$C3053))),OR('Assignment Builder'!$B$7="",'Assignment Builder'!$B$7=IFERROR(INDEX('Category Dictionary'!$C$5:$C$135,MATCH($L3053,'Category Dictionary'!$D$5:$D$135,0)),"")),OR('Assignment Builder'!$B$8="",$D3053='Assignment Builder'!$B$8),OR('Assignment Builder'!$B$9="",$F3053='Assignment Builder'!$B$9),OR('Assignment Builder'!$B$10="",$O3053='Assignment Builder'!$B$10),OR('Assignment Builder'!$B$11="",$H3053&gt;='Assignment Builder'!$B$11),OR('Assignment Builder'!$B$12="",N($Q3053)&lt;='Assignment Builder'!$B$12)))</f>
        <v/>
      </c>
      <c r="T3053" s="23" t="n"/>
    </row>
    <row r="3054">
      <c r="A3054" s="23" t="n"/>
      <c r="B3054" s="23" t="n"/>
      <c r="C3054" s="24" t="n"/>
      <c r="D3054" s="15" t="n"/>
      <c r="E3054" s="23" t="n"/>
      <c r="F3054" s="15" t="n"/>
      <c r="G3054" s="23" t="n"/>
      <c r="H3054" s="25" t="n"/>
      <c r="I3054" s="15" t="n"/>
      <c r="J3054" s="26">
        <f>IF($A3054="","",LEN($C3054)-LEN(SUBSTITUTE($C3054,",",""))+1)</f>
        <v/>
      </c>
      <c r="K3054" s="26">
        <f>IF($A3054="","",SUMPRODUCT(--ISNUMBER(SEARCH('Category Dictionary'!$D$5:$D$135&amp;"",$C3054)),--('Category Dictionary'!$D$5:$D$135&lt;&gt;"")))</f>
        <v/>
      </c>
      <c r="L3054" s="27">
        <f>IF($A3054="","",TRIM(IF(ISERROR(FIND(",",$C3054)),$C3054,LEFT($C3054,FIND(",",$C3054)-1))))</f>
        <v/>
      </c>
      <c r="M3054" s="28">
        <f>IF($H3054="","",DATE(YEAR($H3054),MONTH($H3054),1))</f>
        <v/>
      </c>
      <c r="N3054" s="26">
        <f>IF($H3054="","",TODAY()-$H3054)</f>
        <v/>
      </c>
      <c r="O3054" s="15" t="n"/>
      <c r="P3054" s="15" t="n"/>
      <c r="Q3054" s="15" t="n"/>
      <c r="R3054" s="25" t="n"/>
      <c r="S3054" s="26">
        <f>IF($A3054="","",AND(OR('Assignment Builder'!$B$5="",$B3054='Assignment Builder'!$B$5),OR('Assignment Builder'!$B$6="",ISNUMBER(SEARCH('Assignment Builder'!$B$6,$C3054))),OR('Assignment Builder'!$B$7="",'Assignment Builder'!$B$7=IFERROR(INDEX('Category Dictionary'!$C$5:$C$135,MATCH($L3054,'Category Dictionary'!$D$5:$D$135,0)),"")),OR('Assignment Builder'!$B$8="",$D3054='Assignment Builder'!$B$8),OR('Assignment Builder'!$B$9="",$F3054='Assignment Builder'!$B$9),OR('Assignment Builder'!$B$10="",$O3054='Assignment Builder'!$B$10),OR('Assignment Builder'!$B$11="",$H3054&gt;='Assignment Builder'!$B$11),OR('Assignment Builder'!$B$12="",N($Q3054)&lt;='Assignment Builder'!$B$12)))</f>
        <v/>
      </c>
      <c r="T3054" s="23" t="n"/>
    </row>
    <row r="3055">
      <c r="A3055" s="23" t="n"/>
      <c r="B3055" s="23" t="n"/>
      <c r="C3055" s="24" t="n"/>
      <c r="D3055" s="15" t="n"/>
      <c r="E3055" s="23" t="n"/>
      <c r="F3055" s="15" t="n"/>
      <c r="G3055" s="23" t="n"/>
      <c r="H3055" s="25" t="n"/>
      <c r="I3055" s="15" t="n"/>
      <c r="J3055" s="26">
        <f>IF($A3055="","",LEN($C3055)-LEN(SUBSTITUTE($C3055,",",""))+1)</f>
        <v/>
      </c>
      <c r="K3055" s="26">
        <f>IF($A3055="","",SUMPRODUCT(--ISNUMBER(SEARCH('Category Dictionary'!$D$5:$D$135&amp;"",$C3055)),--('Category Dictionary'!$D$5:$D$135&lt;&gt;"")))</f>
        <v/>
      </c>
      <c r="L3055" s="27">
        <f>IF($A3055="","",TRIM(IF(ISERROR(FIND(",",$C3055)),$C3055,LEFT($C3055,FIND(",",$C3055)-1))))</f>
        <v/>
      </c>
      <c r="M3055" s="28">
        <f>IF($H3055="","",DATE(YEAR($H3055),MONTH($H3055),1))</f>
        <v/>
      </c>
      <c r="N3055" s="26">
        <f>IF($H3055="","",TODAY()-$H3055)</f>
        <v/>
      </c>
      <c r="O3055" s="15" t="n"/>
      <c r="P3055" s="15" t="n"/>
      <c r="Q3055" s="15" t="n"/>
      <c r="R3055" s="25" t="n"/>
      <c r="S3055" s="26">
        <f>IF($A3055="","",AND(OR('Assignment Builder'!$B$5="",$B3055='Assignment Builder'!$B$5),OR('Assignment Builder'!$B$6="",ISNUMBER(SEARCH('Assignment Builder'!$B$6,$C3055))),OR('Assignment Builder'!$B$7="",'Assignment Builder'!$B$7=IFERROR(INDEX('Category Dictionary'!$C$5:$C$135,MATCH($L3055,'Category Dictionary'!$D$5:$D$135,0)),"")),OR('Assignment Builder'!$B$8="",$D3055='Assignment Builder'!$B$8),OR('Assignment Builder'!$B$9="",$F3055='Assignment Builder'!$B$9),OR('Assignment Builder'!$B$10="",$O3055='Assignment Builder'!$B$10),OR('Assignment Builder'!$B$11="",$H3055&gt;='Assignment Builder'!$B$11),OR('Assignment Builder'!$B$12="",N($Q3055)&lt;='Assignment Builder'!$B$12)))</f>
        <v/>
      </c>
      <c r="T3055" s="23" t="n"/>
    </row>
    <row r="3056">
      <c r="A3056" s="23" t="n"/>
      <c r="B3056" s="23" t="n"/>
      <c r="C3056" s="24" t="n"/>
      <c r="D3056" s="15" t="n"/>
      <c r="E3056" s="23" t="n"/>
      <c r="F3056" s="15" t="n"/>
      <c r="G3056" s="23" t="n"/>
      <c r="H3056" s="25" t="n"/>
      <c r="I3056" s="15" t="n"/>
      <c r="J3056" s="26">
        <f>IF($A3056="","",LEN($C3056)-LEN(SUBSTITUTE($C3056,",",""))+1)</f>
        <v/>
      </c>
      <c r="K3056" s="26">
        <f>IF($A3056="","",SUMPRODUCT(--ISNUMBER(SEARCH('Category Dictionary'!$D$5:$D$135&amp;"",$C3056)),--('Category Dictionary'!$D$5:$D$135&lt;&gt;"")))</f>
        <v/>
      </c>
      <c r="L3056" s="27">
        <f>IF($A3056="","",TRIM(IF(ISERROR(FIND(",",$C3056)),$C3056,LEFT($C3056,FIND(",",$C3056)-1))))</f>
        <v/>
      </c>
      <c r="M3056" s="28">
        <f>IF($H3056="","",DATE(YEAR($H3056),MONTH($H3056),1))</f>
        <v/>
      </c>
      <c r="N3056" s="26">
        <f>IF($H3056="","",TODAY()-$H3056)</f>
        <v/>
      </c>
      <c r="O3056" s="15" t="n"/>
      <c r="P3056" s="15" t="n"/>
      <c r="Q3056" s="15" t="n"/>
      <c r="R3056" s="25" t="n"/>
      <c r="S3056" s="26">
        <f>IF($A3056="","",AND(OR('Assignment Builder'!$B$5="",$B3056='Assignment Builder'!$B$5),OR('Assignment Builder'!$B$6="",ISNUMBER(SEARCH('Assignment Builder'!$B$6,$C3056))),OR('Assignment Builder'!$B$7="",'Assignment Builder'!$B$7=IFERROR(INDEX('Category Dictionary'!$C$5:$C$135,MATCH($L3056,'Category Dictionary'!$D$5:$D$135,0)),"")),OR('Assignment Builder'!$B$8="",$D3056='Assignment Builder'!$B$8),OR('Assignment Builder'!$B$9="",$F3056='Assignment Builder'!$B$9),OR('Assignment Builder'!$B$10="",$O3056='Assignment Builder'!$B$10),OR('Assignment Builder'!$B$11="",$H3056&gt;='Assignment Builder'!$B$11),OR('Assignment Builder'!$B$12="",N($Q3056)&lt;='Assignment Builder'!$B$12)))</f>
        <v/>
      </c>
      <c r="T3056" s="23" t="n"/>
    </row>
    <row r="3057">
      <c r="A3057" s="23" t="n"/>
      <c r="B3057" s="23" t="n"/>
      <c r="C3057" s="24" t="n"/>
      <c r="D3057" s="15" t="n"/>
      <c r="E3057" s="23" t="n"/>
      <c r="F3057" s="15" t="n"/>
      <c r="G3057" s="23" t="n"/>
      <c r="H3057" s="25" t="n"/>
      <c r="I3057" s="15" t="n"/>
      <c r="J3057" s="26">
        <f>IF($A3057="","",LEN($C3057)-LEN(SUBSTITUTE($C3057,",",""))+1)</f>
        <v/>
      </c>
      <c r="K3057" s="26">
        <f>IF($A3057="","",SUMPRODUCT(--ISNUMBER(SEARCH('Category Dictionary'!$D$5:$D$135&amp;"",$C3057)),--('Category Dictionary'!$D$5:$D$135&lt;&gt;"")))</f>
        <v/>
      </c>
      <c r="L3057" s="27">
        <f>IF($A3057="","",TRIM(IF(ISERROR(FIND(",",$C3057)),$C3057,LEFT($C3057,FIND(",",$C3057)-1))))</f>
        <v/>
      </c>
      <c r="M3057" s="28">
        <f>IF($H3057="","",DATE(YEAR($H3057),MONTH($H3057),1))</f>
        <v/>
      </c>
      <c r="N3057" s="26">
        <f>IF($H3057="","",TODAY()-$H3057)</f>
        <v/>
      </c>
      <c r="O3057" s="15" t="n"/>
      <c r="P3057" s="15" t="n"/>
      <c r="Q3057" s="15" t="n"/>
      <c r="R3057" s="25" t="n"/>
      <c r="S3057" s="26">
        <f>IF($A3057="","",AND(OR('Assignment Builder'!$B$5="",$B3057='Assignment Builder'!$B$5),OR('Assignment Builder'!$B$6="",ISNUMBER(SEARCH('Assignment Builder'!$B$6,$C3057))),OR('Assignment Builder'!$B$7="",'Assignment Builder'!$B$7=IFERROR(INDEX('Category Dictionary'!$C$5:$C$135,MATCH($L3057,'Category Dictionary'!$D$5:$D$135,0)),"")),OR('Assignment Builder'!$B$8="",$D3057='Assignment Builder'!$B$8),OR('Assignment Builder'!$B$9="",$F3057='Assignment Builder'!$B$9),OR('Assignment Builder'!$B$10="",$O3057='Assignment Builder'!$B$10),OR('Assignment Builder'!$B$11="",$H3057&gt;='Assignment Builder'!$B$11),OR('Assignment Builder'!$B$12="",N($Q3057)&lt;='Assignment Builder'!$B$12)))</f>
        <v/>
      </c>
      <c r="T3057" s="23" t="n"/>
    </row>
    <row r="3058">
      <c r="A3058" s="23" t="n"/>
      <c r="B3058" s="23" t="n"/>
      <c r="C3058" s="24" t="n"/>
      <c r="D3058" s="15" t="n"/>
      <c r="E3058" s="23" t="n"/>
      <c r="F3058" s="15" t="n"/>
      <c r="G3058" s="23" t="n"/>
      <c r="H3058" s="25" t="n"/>
      <c r="I3058" s="15" t="n"/>
      <c r="J3058" s="26">
        <f>IF($A3058="","",LEN($C3058)-LEN(SUBSTITUTE($C3058,",",""))+1)</f>
        <v/>
      </c>
      <c r="K3058" s="26">
        <f>IF($A3058="","",SUMPRODUCT(--ISNUMBER(SEARCH('Category Dictionary'!$D$5:$D$135&amp;"",$C3058)),--('Category Dictionary'!$D$5:$D$135&lt;&gt;"")))</f>
        <v/>
      </c>
      <c r="L3058" s="27">
        <f>IF($A3058="","",TRIM(IF(ISERROR(FIND(",",$C3058)),$C3058,LEFT($C3058,FIND(",",$C3058)-1))))</f>
        <v/>
      </c>
      <c r="M3058" s="28">
        <f>IF($H3058="","",DATE(YEAR($H3058),MONTH($H3058),1))</f>
        <v/>
      </c>
      <c r="N3058" s="26">
        <f>IF($H3058="","",TODAY()-$H3058)</f>
        <v/>
      </c>
      <c r="O3058" s="15" t="n"/>
      <c r="P3058" s="15" t="n"/>
      <c r="Q3058" s="15" t="n"/>
      <c r="R3058" s="25" t="n"/>
      <c r="S3058" s="26">
        <f>IF($A3058="","",AND(OR('Assignment Builder'!$B$5="",$B3058='Assignment Builder'!$B$5),OR('Assignment Builder'!$B$6="",ISNUMBER(SEARCH('Assignment Builder'!$B$6,$C3058))),OR('Assignment Builder'!$B$7="",'Assignment Builder'!$B$7=IFERROR(INDEX('Category Dictionary'!$C$5:$C$135,MATCH($L3058,'Category Dictionary'!$D$5:$D$135,0)),"")),OR('Assignment Builder'!$B$8="",$D3058='Assignment Builder'!$B$8),OR('Assignment Builder'!$B$9="",$F3058='Assignment Builder'!$B$9),OR('Assignment Builder'!$B$10="",$O3058='Assignment Builder'!$B$10),OR('Assignment Builder'!$B$11="",$H3058&gt;='Assignment Builder'!$B$11),OR('Assignment Builder'!$B$12="",N($Q3058)&lt;='Assignment Builder'!$B$12)))</f>
        <v/>
      </c>
      <c r="T3058" s="23" t="n"/>
    </row>
    <row r="3059">
      <c r="A3059" s="23" t="n"/>
      <c r="B3059" s="23" t="n"/>
      <c r="C3059" s="24" t="n"/>
      <c r="D3059" s="15" t="n"/>
      <c r="E3059" s="23" t="n"/>
      <c r="F3059" s="15" t="n"/>
      <c r="G3059" s="23" t="n"/>
      <c r="H3059" s="25" t="n"/>
      <c r="I3059" s="15" t="n"/>
      <c r="J3059" s="26">
        <f>IF($A3059="","",LEN($C3059)-LEN(SUBSTITUTE($C3059,",",""))+1)</f>
        <v/>
      </c>
      <c r="K3059" s="26">
        <f>IF($A3059="","",SUMPRODUCT(--ISNUMBER(SEARCH('Category Dictionary'!$D$5:$D$135&amp;"",$C3059)),--('Category Dictionary'!$D$5:$D$135&lt;&gt;"")))</f>
        <v/>
      </c>
      <c r="L3059" s="27">
        <f>IF($A3059="","",TRIM(IF(ISERROR(FIND(",",$C3059)),$C3059,LEFT($C3059,FIND(",",$C3059)-1))))</f>
        <v/>
      </c>
      <c r="M3059" s="28">
        <f>IF($H3059="","",DATE(YEAR($H3059),MONTH($H3059),1))</f>
        <v/>
      </c>
      <c r="N3059" s="26">
        <f>IF($H3059="","",TODAY()-$H3059)</f>
        <v/>
      </c>
      <c r="O3059" s="15" t="n"/>
      <c r="P3059" s="15" t="n"/>
      <c r="Q3059" s="15" t="n"/>
      <c r="R3059" s="25" t="n"/>
      <c r="S3059" s="26">
        <f>IF($A3059="","",AND(OR('Assignment Builder'!$B$5="",$B3059='Assignment Builder'!$B$5),OR('Assignment Builder'!$B$6="",ISNUMBER(SEARCH('Assignment Builder'!$B$6,$C3059))),OR('Assignment Builder'!$B$7="",'Assignment Builder'!$B$7=IFERROR(INDEX('Category Dictionary'!$C$5:$C$135,MATCH($L3059,'Category Dictionary'!$D$5:$D$135,0)),"")),OR('Assignment Builder'!$B$8="",$D3059='Assignment Builder'!$B$8),OR('Assignment Builder'!$B$9="",$F3059='Assignment Builder'!$B$9),OR('Assignment Builder'!$B$10="",$O3059='Assignment Builder'!$B$10),OR('Assignment Builder'!$B$11="",$H3059&gt;='Assignment Builder'!$B$11),OR('Assignment Builder'!$B$12="",N($Q3059)&lt;='Assignment Builder'!$B$12)))</f>
        <v/>
      </c>
      <c r="T3059" s="23" t="n"/>
    </row>
    <row r="3060">
      <c r="A3060" s="23" t="n"/>
      <c r="B3060" s="23" t="n"/>
      <c r="C3060" s="24" t="n"/>
      <c r="D3060" s="15" t="n"/>
      <c r="E3060" s="23" t="n"/>
      <c r="F3060" s="15" t="n"/>
      <c r="G3060" s="23" t="n"/>
      <c r="H3060" s="25" t="n"/>
      <c r="I3060" s="15" t="n"/>
      <c r="J3060" s="26">
        <f>IF($A3060="","",LEN($C3060)-LEN(SUBSTITUTE($C3060,",",""))+1)</f>
        <v/>
      </c>
      <c r="K3060" s="26">
        <f>IF($A3060="","",SUMPRODUCT(--ISNUMBER(SEARCH('Category Dictionary'!$D$5:$D$135&amp;"",$C3060)),--('Category Dictionary'!$D$5:$D$135&lt;&gt;"")))</f>
        <v/>
      </c>
      <c r="L3060" s="27">
        <f>IF($A3060="","",TRIM(IF(ISERROR(FIND(",",$C3060)),$C3060,LEFT($C3060,FIND(",",$C3060)-1))))</f>
        <v/>
      </c>
      <c r="M3060" s="28">
        <f>IF($H3060="","",DATE(YEAR($H3060),MONTH($H3060),1))</f>
        <v/>
      </c>
      <c r="N3060" s="26">
        <f>IF($H3060="","",TODAY()-$H3060)</f>
        <v/>
      </c>
      <c r="O3060" s="15" t="n"/>
      <c r="P3060" s="15" t="n"/>
      <c r="Q3060" s="15" t="n"/>
      <c r="R3060" s="25" t="n"/>
      <c r="S3060" s="26">
        <f>IF($A3060="","",AND(OR('Assignment Builder'!$B$5="",$B3060='Assignment Builder'!$B$5),OR('Assignment Builder'!$B$6="",ISNUMBER(SEARCH('Assignment Builder'!$B$6,$C3060))),OR('Assignment Builder'!$B$7="",'Assignment Builder'!$B$7=IFERROR(INDEX('Category Dictionary'!$C$5:$C$135,MATCH($L3060,'Category Dictionary'!$D$5:$D$135,0)),"")),OR('Assignment Builder'!$B$8="",$D3060='Assignment Builder'!$B$8),OR('Assignment Builder'!$B$9="",$F3060='Assignment Builder'!$B$9),OR('Assignment Builder'!$B$10="",$O3060='Assignment Builder'!$B$10),OR('Assignment Builder'!$B$11="",$H3060&gt;='Assignment Builder'!$B$11),OR('Assignment Builder'!$B$12="",N($Q3060)&lt;='Assignment Builder'!$B$12)))</f>
        <v/>
      </c>
      <c r="T3060" s="23" t="n"/>
    </row>
    <row r="3061">
      <c r="A3061" s="23" t="n"/>
      <c r="B3061" s="23" t="n"/>
      <c r="C3061" s="24" t="n"/>
      <c r="D3061" s="15" t="n"/>
      <c r="E3061" s="23" t="n"/>
      <c r="F3061" s="15" t="n"/>
      <c r="G3061" s="23" t="n"/>
      <c r="H3061" s="25" t="n"/>
      <c r="I3061" s="15" t="n"/>
      <c r="J3061" s="26">
        <f>IF($A3061="","",LEN($C3061)-LEN(SUBSTITUTE($C3061,",",""))+1)</f>
        <v/>
      </c>
      <c r="K3061" s="26">
        <f>IF($A3061="","",SUMPRODUCT(--ISNUMBER(SEARCH('Category Dictionary'!$D$5:$D$135&amp;"",$C3061)),--('Category Dictionary'!$D$5:$D$135&lt;&gt;"")))</f>
        <v/>
      </c>
      <c r="L3061" s="27">
        <f>IF($A3061="","",TRIM(IF(ISERROR(FIND(",",$C3061)),$C3061,LEFT($C3061,FIND(",",$C3061)-1))))</f>
        <v/>
      </c>
      <c r="M3061" s="28">
        <f>IF($H3061="","",DATE(YEAR($H3061),MONTH($H3061),1))</f>
        <v/>
      </c>
      <c r="N3061" s="26">
        <f>IF($H3061="","",TODAY()-$H3061)</f>
        <v/>
      </c>
      <c r="O3061" s="15" t="n"/>
      <c r="P3061" s="15" t="n"/>
      <c r="Q3061" s="15" t="n"/>
      <c r="R3061" s="25" t="n"/>
      <c r="S3061" s="26">
        <f>IF($A3061="","",AND(OR('Assignment Builder'!$B$5="",$B3061='Assignment Builder'!$B$5),OR('Assignment Builder'!$B$6="",ISNUMBER(SEARCH('Assignment Builder'!$B$6,$C3061))),OR('Assignment Builder'!$B$7="",'Assignment Builder'!$B$7=IFERROR(INDEX('Category Dictionary'!$C$5:$C$135,MATCH($L3061,'Category Dictionary'!$D$5:$D$135,0)),"")),OR('Assignment Builder'!$B$8="",$D3061='Assignment Builder'!$B$8),OR('Assignment Builder'!$B$9="",$F3061='Assignment Builder'!$B$9),OR('Assignment Builder'!$B$10="",$O3061='Assignment Builder'!$B$10),OR('Assignment Builder'!$B$11="",$H3061&gt;='Assignment Builder'!$B$11),OR('Assignment Builder'!$B$12="",N($Q3061)&lt;='Assignment Builder'!$B$12)))</f>
        <v/>
      </c>
      <c r="T3061" s="23" t="n"/>
    </row>
    <row r="3062">
      <c r="A3062" s="23" t="n"/>
      <c r="B3062" s="23" t="n"/>
      <c r="C3062" s="24" t="n"/>
      <c r="D3062" s="15" t="n"/>
      <c r="E3062" s="23" t="n"/>
      <c r="F3062" s="15" t="n"/>
      <c r="G3062" s="23" t="n"/>
      <c r="H3062" s="25" t="n"/>
      <c r="I3062" s="15" t="n"/>
      <c r="J3062" s="26">
        <f>IF($A3062="","",LEN($C3062)-LEN(SUBSTITUTE($C3062,",",""))+1)</f>
        <v/>
      </c>
      <c r="K3062" s="26">
        <f>IF($A3062="","",SUMPRODUCT(--ISNUMBER(SEARCH('Category Dictionary'!$D$5:$D$135&amp;"",$C3062)),--('Category Dictionary'!$D$5:$D$135&lt;&gt;"")))</f>
        <v/>
      </c>
      <c r="L3062" s="27">
        <f>IF($A3062="","",TRIM(IF(ISERROR(FIND(",",$C3062)),$C3062,LEFT($C3062,FIND(",",$C3062)-1))))</f>
        <v/>
      </c>
      <c r="M3062" s="28">
        <f>IF($H3062="","",DATE(YEAR($H3062),MONTH($H3062),1))</f>
        <v/>
      </c>
      <c r="N3062" s="26">
        <f>IF($H3062="","",TODAY()-$H3062)</f>
        <v/>
      </c>
      <c r="O3062" s="15" t="n"/>
      <c r="P3062" s="15" t="n"/>
      <c r="Q3062" s="15" t="n"/>
      <c r="R3062" s="25" t="n"/>
      <c r="S3062" s="26">
        <f>IF($A3062="","",AND(OR('Assignment Builder'!$B$5="",$B3062='Assignment Builder'!$B$5),OR('Assignment Builder'!$B$6="",ISNUMBER(SEARCH('Assignment Builder'!$B$6,$C3062))),OR('Assignment Builder'!$B$7="",'Assignment Builder'!$B$7=IFERROR(INDEX('Category Dictionary'!$C$5:$C$135,MATCH($L3062,'Category Dictionary'!$D$5:$D$135,0)),"")),OR('Assignment Builder'!$B$8="",$D3062='Assignment Builder'!$B$8),OR('Assignment Builder'!$B$9="",$F3062='Assignment Builder'!$B$9),OR('Assignment Builder'!$B$10="",$O3062='Assignment Builder'!$B$10),OR('Assignment Builder'!$B$11="",$H3062&gt;='Assignment Builder'!$B$11),OR('Assignment Builder'!$B$12="",N($Q3062)&lt;='Assignment Builder'!$B$12)))</f>
        <v/>
      </c>
      <c r="T3062" s="23" t="n"/>
    </row>
    <row r="3063">
      <c r="A3063" s="23" t="n"/>
      <c r="B3063" s="23" t="n"/>
      <c r="C3063" s="24" t="n"/>
      <c r="D3063" s="15" t="n"/>
      <c r="E3063" s="23" t="n"/>
      <c r="F3063" s="15" t="n"/>
      <c r="G3063" s="23" t="n"/>
      <c r="H3063" s="25" t="n"/>
      <c r="I3063" s="15" t="n"/>
      <c r="J3063" s="26">
        <f>IF($A3063="","",LEN($C3063)-LEN(SUBSTITUTE($C3063,",",""))+1)</f>
        <v/>
      </c>
      <c r="K3063" s="26">
        <f>IF($A3063="","",SUMPRODUCT(--ISNUMBER(SEARCH('Category Dictionary'!$D$5:$D$135&amp;"",$C3063)),--('Category Dictionary'!$D$5:$D$135&lt;&gt;"")))</f>
        <v/>
      </c>
      <c r="L3063" s="27">
        <f>IF($A3063="","",TRIM(IF(ISERROR(FIND(",",$C3063)),$C3063,LEFT($C3063,FIND(",",$C3063)-1))))</f>
        <v/>
      </c>
      <c r="M3063" s="28">
        <f>IF($H3063="","",DATE(YEAR($H3063),MONTH($H3063),1))</f>
        <v/>
      </c>
      <c r="N3063" s="26">
        <f>IF($H3063="","",TODAY()-$H3063)</f>
        <v/>
      </c>
      <c r="O3063" s="15" t="n"/>
      <c r="P3063" s="15" t="n"/>
      <c r="Q3063" s="15" t="n"/>
      <c r="R3063" s="25" t="n"/>
      <c r="S3063" s="26">
        <f>IF($A3063="","",AND(OR('Assignment Builder'!$B$5="",$B3063='Assignment Builder'!$B$5),OR('Assignment Builder'!$B$6="",ISNUMBER(SEARCH('Assignment Builder'!$B$6,$C3063))),OR('Assignment Builder'!$B$7="",'Assignment Builder'!$B$7=IFERROR(INDEX('Category Dictionary'!$C$5:$C$135,MATCH($L3063,'Category Dictionary'!$D$5:$D$135,0)),"")),OR('Assignment Builder'!$B$8="",$D3063='Assignment Builder'!$B$8),OR('Assignment Builder'!$B$9="",$F3063='Assignment Builder'!$B$9),OR('Assignment Builder'!$B$10="",$O3063='Assignment Builder'!$B$10),OR('Assignment Builder'!$B$11="",$H3063&gt;='Assignment Builder'!$B$11),OR('Assignment Builder'!$B$12="",N($Q3063)&lt;='Assignment Builder'!$B$12)))</f>
        <v/>
      </c>
      <c r="T3063" s="23" t="n"/>
    </row>
    <row r="3064">
      <c r="A3064" s="23" t="n"/>
      <c r="B3064" s="23" t="n"/>
      <c r="C3064" s="24" t="n"/>
      <c r="D3064" s="15" t="n"/>
      <c r="E3064" s="23" t="n"/>
      <c r="F3064" s="15" t="n"/>
      <c r="G3064" s="23" t="n"/>
      <c r="H3064" s="25" t="n"/>
      <c r="I3064" s="15" t="n"/>
      <c r="J3064" s="26">
        <f>IF($A3064="","",LEN($C3064)-LEN(SUBSTITUTE($C3064,",",""))+1)</f>
        <v/>
      </c>
      <c r="K3064" s="26">
        <f>IF($A3064="","",SUMPRODUCT(--ISNUMBER(SEARCH('Category Dictionary'!$D$5:$D$135&amp;"",$C3064)),--('Category Dictionary'!$D$5:$D$135&lt;&gt;"")))</f>
        <v/>
      </c>
      <c r="L3064" s="27">
        <f>IF($A3064="","",TRIM(IF(ISERROR(FIND(",",$C3064)),$C3064,LEFT($C3064,FIND(",",$C3064)-1))))</f>
        <v/>
      </c>
      <c r="M3064" s="28">
        <f>IF($H3064="","",DATE(YEAR($H3064),MONTH($H3064),1))</f>
        <v/>
      </c>
      <c r="N3064" s="26">
        <f>IF($H3064="","",TODAY()-$H3064)</f>
        <v/>
      </c>
      <c r="O3064" s="15" t="n"/>
      <c r="P3064" s="15" t="n"/>
      <c r="Q3064" s="15" t="n"/>
      <c r="R3064" s="25" t="n"/>
      <c r="S3064" s="26">
        <f>IF($A3064="","",AND(OR('Assignment Builder'!$B$5="",$B3064='Assignment Builder'!$B$5),OR('Assignment Builder'!$B$6="",ISNUMBER(SEARCH('Assignment Builder'!$B$6,$C3064))),OR('Assignment Builder'!$B$7="",'Assignment Builder'!$B$7=IFERROR(INDEX('Category Dictionary'!$C$5:$C$135,MATCH($L3064,'Category Dictionary'!$D$5:$D$135,0)),"")),OR('Assignment Builder'!$B$8="",$D3064='Assignment Builder'!$B$8),OR('Assignment Builder'!$B$9="",$F3064='Assignment Builder'!$B$9),OR('Assignment Builder'!$B$10="",$O3064='Assignment Builder'!$B$10),OR('Assignment Builder'!$B$11="",$H3064&gt;='Assignment Builder'!$B$11),OR('Assignment Builder'!$B$12="",N($Q3064)&lt;='Assignment Builder'!$B$12)))</f>
        <v/>
      </c>
      <c r="T3064" s="23" t="n"/>
    </row>
    <row r="3065">
      <c r="A3065" s="23" t="n"/>
      <c r="B3065" s="23" t="n"/>
      <c r="C3065" s="24" t="n"/>
      <c r="D3065" s="15" t="n"/>
      <c r="E3065" s="23" t="n"/>
      <c r="F3065" s="15" t="n"/>
      <c r="G3065" s="23" t="n"/>
      <c r="H3065" s="25" t="n"/>
      <c r="I3065" s="15" t="n"/>
      <c r="J3065" s="26">
        <f>IF($A3065="","",LEN($C3065)-LEN(SUBSTITUTE($C3065,",",""))+1)</f>
        <v/>
      </c>
      <c r="K3065" s="26">
        <f>IF($A3065="","",SUMPRODUCT(--ISNUMBER(SEARCH('Category Dictionary'!$D$5:$D$135&amp;"",$C3065)),--('Category Dictionary'!$D$5:$D$135&lt;&gt;"")))</f>
        <v/>
      </c>
      <c r="L3065" s="27">
        <f>IF($A3065="","",TRIM(IF(ISERROR(FIND(",",$C3065)),$C3065,LEFT($C3065,FIND(",",$C3065)-1))))</f>
        <v/>
      </c>
      <c r="M3065" s="28">
        <f>IF($H3065="","",DATE(YEAR($H3065),MONTH($H3065),1))</f>
        <v/>
      </c>
      <c r="N3065" s="26">
        <f>IF($H3065="","",TODAY()-$H3065)</f>
        <v/>
      </c>
      <c r="O3065" s="15" t="n"/>
      <c r="P3065" s="15" t="n"/>
      <c r="Q3065" s="15" t="n"/>
      <c r="R3065" s="25" t="n"/>
      <c r="S3065" s="26">
        <f>IF($A3065="","",AND(OR('Assignment Builder'!$B$5="",$B3065='Assignment Builder'!$B$5),OR('Assignment Builder'!$B$6="",ISNUMBER(SEARCH('Assignment Builder'!$B$6,$C3065))),OR('Assignment Builder'!$B$7="",'Assignment Builder'!$B$7=IFERROR(INDEX('Category Dictionary'!$C$5:$C$135,MATCH($L3065,'Category Dictionary'!$D$5:$D$135,0)),"")),OR('Assignment Builder'!$B$8="",$D3065='Assignment Builder'!$B$8),OR('Assignment Builder'!$B$9="",$F3065='Assignment Builder'!$B$9),OR('Assignment Builder'!$B$10="",$O3065='Assignment Builder'!$B$10),OR('Assignment Builder'!$B$11="",$H3065&gt;='Assignment Builder'!$B$11),OR('Assignment Builder'!$B$12="",N($Q3065)&lt;='Assignment Builder'!$B$12)))</f>
        <v/>
      </c>
      <c r="T3065" s="23" t="n"/>
    </row>
    <row r="3066">
      <c r="A3066" s="23" t="n"/>
      <c r="B3066" s="23" t="n"/>
      <c r="C3066" s="24" t="n"/>
      <c r="D3066" s="15" t="n"/>
      <c r="E3066" s="23" t="n"/>
      <c r="F3066" s="15" t="n"/>
      <c r="G3066" s="23" t="n"/>
      <c r="H3066" s="25" t="n"/>
      <c r="I3066" s="15" t="n"/>
      <c r="J3066" s="26">
        <f>IF($A3066="","",LEN($C3066)-LEN(SUBSTITUTE($C3066,",",""))+1)</f>
        <v/>
      </c>
      <c r="K3066" s="26">
        <f>IF($A3066="","",SUMPRODUCT(--ISNUMBER(SEARCH('Category Dictionary'!$D$5:$D$135&amp;"",$C3066)),--('Category Dictionary'!$D$5:$D$135&lt;&gt;"")))</f>
        <v/>
      </c>
      <c r="L3066" s="27">
        <f>IF($A3066="","",TRIM(IF(ISERROR(FIND(",",$C3066)),$C3066,LEFT($C3066,FIND(",",$C3066)-1))))</f>
        <v/>
      </c>
      <c r="M3066" s="28">
        <f>IF($H3066="","",DATE(YEAR($H3066),MONTH($H3066),1))</f>
        <v/>
      </c>
      <c r="N3066" s="26">
        <f>IF($H3066="","",TODAY()-$H3066)</f>
        <v/>
      </c>
      <c r="O3066" s="15" t="n"/>
      <c r="P3066" s="15" t="n"/>
      <c r="Q3066" s="15" t="n"/>
      <c r="R3066" s="25" t="n"/>
      <c r="S3066" s="26">
        <f>IF($A3066="","",AND(OR('Assignment Builder'!$B$5="",$B3066='Assignment Builder'!$B$5),OR('Assignment Builder'!$B$6="",ISNUMBER(SEARCH('Assignment Builder'!$B$6,$C3066))),OR('Assignment Builder'!$B$7="",'Assignment Builder'!$B$7=IFERROR(INDEX('Category Dictionary'!$C$5:$C$135,MATCH($L3066,'Category Dictionary'!$D$5:$D$135,0)),"")),OR('Assignment Builder'!$B$8="",$D3066='Assignment Builder'!$B$8),OR('Assignment Builder'!$B$9="",$F3066='Assignment Builder'!$B$9),OR('Assignment Builder'!$B$10="",$O3066='Assignment Builder'!$B$10),OR('Assignment Builder'!$B$11="",$H3066&gt;='Assignment Builder'!$B$11),OR('Assignment Builder'!$B$12="",N($Q3066)&lt;='Assignment Builder'!$B$12)))</f>
        <v/>
      </c>
      <c r="T3066" s="23" t="n"/>
    </row>
    <row r="3067">
      <c r="A3067" s="23" t="n"/>
      <c r="B3067" s="23" t="n"/>
      <c r="C3067" s="24" t="n"/>
      <c r="D3067" s="15" t="n"/>
      <c r="E3067" s="23" t="n"/>
      <c r="F3067" s="15" t="n"/>
      <c r="G3067" s="23" t="n"/>
      <c r="H3067" s="25" t="n"/>
      <c r="I3067" s="15" t="n"/>
      <c r="J3067" s="26">
        <f>IF($A3067="","",LEN($C3067)-LEN(SUBSTITUTE($C3067,",",""))+1)</f>
        <v/>
      </c>
      <c r="K3067" s="26">
        <f>IF($A3067="","",SUMPRODUCT(--ISNUMBER(SEARCH('Category Dictionary'!$D$5:$D$135&amp;"",$C3067)),--('Category Dictionary'!$D$5:$D$135&lt;&gt;"")))</f>
        <v/>
      </c>
      <c r="L3067" s="27">
        <f>IF($A3067="","",TRIM(IF(ISERROR(FIND(",",$C3067)),$C3067,LEFT($C3067,FIND(",",$C3067)-1))))</f>
        <v/>
      </c>
      <c r="M3067" s="28">
        <f>IF($H3067="","",DATE(YEAR($H3067),MONTH($H3067),1))</f>
        <v/>
      </c>
      <c r="N3067" s="26">
        <f>IF($H3067="","",TODAY()-$H3067)</f>
        <v/>
      </c>
      <c r="O3067" s="15" t="n"/>
      <c r="P3067" s="15" t="n"/>
      <c r="Q3067" s="15" t="n"/>
      <c r="R3067" s="25" t="n"/>
      <c r="S3067" s="26">
        <f>IF($A3067="","",AND(OR('Assignment Builder'!$B$5="",$B3067='Assignment Builder'!$B$5),OR('Assignment Builder'!$B$6="",ISNUMBER(SEARCH('Assignment Builder'!$B$6,$C3067))),OR('Assignment Builder'!$B$7="",'Assignment Builder'!$B$7=IFERROR(INDEX('Category Dictionary'!$C$5:$C$135,MATCH($L3067,'Category Dictionary'!$D$5:$D$135,0)),"")),OR('Assignment Builder'!$B$8="",$D3067='Assignment Builder'!$B$8),OR('Assignment Builder'!$B$9="",$F3067='Assignment Builder'!$B$9),OR('Assignment Builder'!$B$10="",$O3067='Assignment Builder'!$B$10),OR('Assignment Builder'!$B$11="",$H3067&gt;='Assignment Builder'!$B$11),OR('Assignment Builder'!$B$12="",N($Q3067)&lt;='Assignment Builder'!$B$12)))</f>
        <v/>
      </c>
      <c r="T3067" s="23" t="n"/>
    </row>
    <row r="3068">
      <c r="A3068" s="23" t="n"/>
      <c r="B3068" s="23" t="n"/>
      <c r="C3068" s="24" t="n"/>
      <c r="D3068" s="15" t="n"/>
      <c r="E3068" s="23" t="n"/>
      <c r="F3068" s="15" t="n"/>
      <c r="G3068" s="23" t="n"/>
      <c r="H3068" s="25" t="n"/>
      <c r="I3068" s="15" t="n"/>
      <c r="J3068" s="26">
        <f>IF($A3068="","",LEN($C3068)-LEN(SUBSTITUTE($C3068,",",""))+1)</f>
        <v/>
      </c>
      <c r="K3068" s="26">
        <f>IF($A3068="","",SUMPRODUCT(--ISNUMBER(SEARCH('Category Dictionary'!$D$5:$D$135&amp;"",$C3068)),--('Category Dictionary'!$D$5:$D$135&lt;&gt;"")))</f>
        <v/>
      </c>
      <c r="L3068" s="27">
        <f>IF($A3068="","",TRIM(IF(ISERROR(FIND(",",$C3068)),$C3068,LEFT($C3068,FIND(",",$C3068)-1))))</f>
        <v/>
      </c>
      <c r="M3068" s="28">
        <f>IF($H3068="","",DATE(YEAR($H3068),MONTH($H3068),1))</f>
        <v/>
      </c>
      <c r="N3068" s="26">
        <f>IF($H3068="","",TODAY()-$H3068)</f>
        <v/>
      </c>
      <c r="O3068" s="15" t="n"/>
      <c r="P3068" s="15" t="n"/>
      <c r="Q3068" s="15" t="n"/>
      <c r="R3068" s="25" t="n"/>
      <c r="S3068" s="26">
        <f>IF($A3068="","",AND(OR('Assignment Builder'!$B$5="",$B3068='Assignment Builder'!$B$5),OR('Assignment Builder'!$B$6="",ISNUMBER(SEARCH('Assignment Builder'!$B$6,$C3068))),OR('Assignment Builder'!$B$7="",'Assignment Builder'!$B$7=IFERROR(INDEX('Category Dictionary'!$C$5:$C$135,MATCH($L3068,'Category Dictionary'!$D$5:$D$135,0)),"")),OR('Assignment Builder'!$B$8="",$D3068='Assignment Builder'!$B$8),OR('Assignment Builder'!$B$9="",$F3068='Assignment Builder'!$B$9),OR('Assignment Builder'!$B$10="",$O3068='Assignment Builder'!$B$10),OR('Assignment Builder'!$B$11="",$H3068&gt;='Assignment Builder'!$B$11),OR('Assignment Builder'!$B$12="",N($Q3068)&lt;='Assignment Builder'!$B$12)))</f>
        <v/>
      </c>
      <c r="T3068" s="23" t="n"/>
    </row>
    <row r="3069">
      <c r="A3069" s="23" t="n"/>
      <c r="B3069" s="23" t="n"/>
      <c r="C3069" s="24" t="n"/>
      <c r="D3069" s="15" t="n"/>
      <c r="E3069" s="23" t="n"/>
      <c r="F3069" s="15" t="n"/>
      <c r="G3069" s="23" t="n"/>
      <c r="H3069" s="25" t="n"/>
      <c r="I3069" s="15" t="n"/>
      <c r="J3069" s="26">
        <f>IF($A3069="","",LEN($C3069)-LEN(SUBSTITUTE($C3069,",",""))+1)</f>
        <v/>
      </c>
      <c r="K3069" s="26">
        <f>IF($A3069="","",SUMPRODUCT(--ISNUMBER(SEARCH('Category Dictionary'!$D$5:$D$135&amp;"",$C3069)),--('Category Dictionary'!$D$5:$D$135&lt;&gt;"")))</f>
        <v/>
      </c>
      <c r="L3069" s="27">
        <f>IF($A3069="","",TRIM(IF(ISERROR(FIND(",",$C3069)),$C3069,LEFT($C3069,FIND(",",$C3069)-1))))</f>
        <v/>
      </c>
      <c r="M3069" s="28">
        <f>IF($H3069="","",DATE(YEAR($H3069),MONTH($H3069),1))</f>
        <v/>
      </c>
      <c r="N3069" s="26">
        <f>IF($H3069="","",TODAY()-$H3069)</f>
        <v/>
      </c>
      <c r="O3069" s="15" t="n"/>
      <c r="P3069" s="15" t="n"/>
      <c r="Q3069" s="15" t="n"/>
      <c r="R3069" s="25" t="n"/>
      <c r="S3069" s="26">
        <f>IF($A3069="","",AND(OR('Assignment Builder'!$B$5="",$B3069='Assignment Builder'!$B$5),OR('Assignment Builder'!$B$6="",ISNUMBER(SEARCH('Assignment Builder'!$B$6,$C3069))),OR('Assignment Builder'!$B$7="",'Assignment Builder'!$B$7=IFERROR(INDEX('Category Dictionary'!$C$5:$C$135,MATCH($L3069,'Category Dictionary'!$D$5:$D$135,0)),"")),OR('Assignment Builder'!$B$8="",$D3069='Assignment Builder'!$B$8),OR('Assignment Builder'!$B$9="",$F3069='Assignment Builder'!$B$9),OR('Assignment Builder'!$B$10="",$O3069='Assignment Builder'!$B$10),OR('Assignment Builder'!$B$11="",$H3069&gt;='Assignment Builder'!$B$11),OR('Assignment Builder'!$B$12="",N($Q3069)&lt;='Assignment Builder'!$B$12)))</f>
        <v/>
      </c>
      <c r="T3069" s="23" t="n"/>
    </row>
    <row r="3070">
      <c r="A3070" s="23" t="n"/>
      <c r="B3070" s="23" t="n"/>
      <c r="C3070" s="24" t="n"/>
      <c r="D3070" s="15" t="n"/>
      <c r="E3070" s="23" t="n"/>
      <c r="F3070" s="15" t="n"/>
      <c r="G3070" s="23" t="n"/>
      <c r="H3070" s="25" t="n"/>
      <c r="I3070" s="15" t="n"/>
      <c r="J3070" s="26">
        <f>IF($A3070="","",LEN($C3070)-LEN(SUBSTITUTE($C3070,",",""))+1)</f>
        <v/>
      </c>
      <c r="K3070" s="26">
        <f>IF($A3070="","",SUMPRODUCT(--ISNUMBER(SEARCH('Category Dictionary'!$D$5:$D$135&amp;"",$C3070)),--('Category Dictionary'!$D$5:$D$135&lt;&gt;"")))</f>
        <v/>
      </c>
      <c r="L3070" s="27">
        <f>IF($A3070="","",TRIM(IF(ISERROR(FIND(",",$C3070)),$C3070,LEFT($C3070,FIND(",",$C3070)-1))))</f>
        <v/>
      </c>
      <c r="M3070" s="28">
        <f>IF($H3070="","",DATE(YEAR($H3070),MONTH($H3070),1))</f>
        <v/>
      </c>
      <c r="N3070" s="26">
        <f>IF($H3070="","",TODAY()-$H3070)</f>
        <v/>
      </c>
      <c r="O3070" s="15" t="n"/>
      <c r="P3070" s="15" t="n"/>
      <c r="Q3070" s="15" t="n"/>
      <c r="R3070" s="25" t="n"/>
      <c r="S3070" s="26">
        <f>IF($A3070="","",AND(OR('Assignment Builder'!$B$5="",$B3070='Assignment Builder'!$B$5),OR('Assignment Builder'!$B$6="",ISNUMBER(SEARCH('Assignment Builder'!$B$6,$C3070))),OR('Assignment Builder'!$B$7="",'Assignment Builder'!$B$7=IFERROR(INDEX('Category Dictionary'!$C$5:$C$135,MATCH($L3070,'Category Dictionary'!$D$5:$D$135,0)),"")),OR('Assignment Builder'!$B$8="",$D3070='Assignment Builder'!$B$8),OR('Assignment Builder'!$B$9="",$F3070='Assignment Builder'!$B$9),OR('Assignment Builder'!$B$10="",$O3070='Assignment Builder'!$B$10),OR('Assignment Builder'!$B$11="",$H3070&gt;='Assignment Builder'!$B$11),OR('Assignment Builder'!$B$12="",N($Q3070)&lt;='Assignment Builder'!$B$12)))</f>
        <v/>
      </c>
      <c r="T3070" s="23" t="n"/>
    </row>
    <row r="3071">
      <c r="A3071" s="23" t="n"/>
      <c r="B3071" s="23" t="n"/>
      <c r="C3071" s="24" t="n"/>
      <c r="D3071" s="15" t="n"/>
      <c r="E3071" s="23" t="n"/>
      <c r="F3071" s="15" t="n"/>
      <c r="G3071" s="23" t="n"/>
      <c r="H3071" s="25" t="n"/>
      <c r="I3071" s="15" t="n"/>
      <c r="J3071" s="26">
        <f>IF($A3071="","",LEN($C3071)-LEN(SUBSTITUTE($C3071,",",""))+1)</f>
        <v/>
      </c>
      <c r="K3071" s="26">
        <f>IF($A3071="","",SUMPRODUCT(--ISNUMBER(SEARCH('Category Dictionary'!$D$5:$D$135&amp;"",$C3071)),--('Category Dictionary'!$D$5:$D$135&lt;&gt;"")))</f>
        <v/>
      </c>
      <c r="L3071" s="27">
        <f>IF($A3071="","",TRIM(IF(ISERROR(FIND(",",$C3071)),$C3071,LEFT($C3071,FIND(",",$C3071)-1))))</f>
        <v/>
      </c>
      <c r="M3071" s="28">
        <f>IF($H3071="","",DATE(YEAR($H3071),MONTH($H3071),1))</f>
        <v/>
      </c>
      <c r="N3071" s="26">
        <f>IF($H3071="","",TODAY()-$H3071)</f>
        <v/>
      </c>
      <c r="O3071" s="15" t="n"/>
      <c r="P3071" s="15" t="n"/>
      <c r="Q3071" s="15" t="n"/>
      <c r="R3071" s="25" t="n"/>
      <c r="S3071" s="26">
        <f>IF($A3071="","",AND(OR('Assignment Builder'!$B$5="",$B3071='Assignment Builder'!$B$5),OR('Assignment Builder'!$B$6="",ISNUMBER(SEARCH('Assignment Builder'!$B$6,$C3071))),OR('Assignment Builder'!$B$7="",'Assignment Builder'!$B$7=IFERROR(INDEX('Category Dictionary'!$C$5:$C$135,MATCH($L3071,'Category Dictionary'!$D$5:$D$135,0)),"")),OR('Assignment Builder'!$B$8="",$D3071='Assignment Builder'!$B$8),OR('Assignment Builder'!$B$9="",$F3071='Assignment Builder'!$B$9),OR('Assignment Builder'!$B$10="",$O3071='Assignment Builder'!$B$10),OR('Assignment Builder'!$B$11="",$H3071&gt;='Assignment Builder'!$B$11),OR('Assignment Builder'!$B$12="",N($Q3071)&lt;='Assignment Builder'!$B$12)))</f>
        <v/>
      </c>
      <c r="T3071" s="23" t="n"/>
    </row>
    <row r="3072">
      <c r="A3072" s="23" t="n"/>
      <c r="B3072" s="23" t="n"/>
      <c r="C3072" s="24" t="n"/>
      <c r="D3072" s="15" t="n"/>
      <c r="E3072" s="23" t="n"/>
      <c r="F3072" s="15" t="n"/>
      <c r="G3072" s="23" t="n"/>
      <c r="H3072" s="25" t="n"/>
      <c r="I3072" s="15" t="n"/>
      <c r="J3072" s="26">
        <f>IF($A3072="","",LEN($C3072)-LEN(SUBSTITUTE($C3072,",",""))+1)</f>
        <v/>
      </c>
      <c r="K3072" s="26">
        <f>IF($A3072="","",SUMPRODUCT(--ISNUMBER(SEARCH('Category Dictionary'!$D$5:$D$135&amp;"",$C3072)),--('Category Dictionary'!$D$5:$D$135&lt;&gt;"")))</f>
        <v/>
      </c>
      <c r="L3072" s="27">
        <f>IF($A3072="","",TRIM(IF(ISERROR(FIND(",",$C3072)),$C3072,LEFT($C3072,FIND(",",$C3072)-1))))</f>
        <v/>
      </c>
      <c r="M3072" s="28">
        <f>IF($H3072="","",DATE(YEAR($H3072),MONTH($H3072),1))</f>
        <v/>
      </c>
      <c r="N3072" s="26">
        <f>IF($H3072="","",TODAY()-$H3072)</f>
        <v/>
      </c>
      <c r="O3072" s="15" t="n"/>
      <c r="P3072" s="15" t="n"/>
      <c r="Q3072" s="15" t="n"/>
      <c r="R3072" s="25" t="n"/>
      <c r="S3072" s="26">
        <f>IF($A3072="","",AND(OR('Assignment Builder'!$B$5="",$B3072='Assignment Builder'!$B$5),OR('Assignment Builder'!$B$6="",ISNUMBER(SEARCH('Assignment Builder'!$B$6,$C3072))),OR('Assignment Builder'!$B$7="",'Assignment Builder'!$B$7=IFERROR(INDEX('Category Dictionary'!$C$5:$C$135,MATCH($L3072,'Category Dictionary'!$D$5:$D$135,0)),"")),OR('Assignment Builder'!$B$8="",$D3072='Assignment Builder'!$B$8),OR('Assignment Builder'!$B$9="",$F3072='Assignment Builder'!$B$9),OR('Assignment Builder'!$B$10="",$O3072='Assignment Builder'!$B$10),OR('Assignment Builder'!$B$11="",$H3072&gt;='Assignment Builder'!$B$11),OR('Assignment Builder'!$B$12="",N($Q3072)&lt;='Assignment Builder'!$B$12)))</f>
        <v/>
      </c>
      <c r="T3072" s="23" t="n"/>
    </row>
    <row r="3073">
      <c r="A3073" s="23" t="n"/>
      <c r="B3073" s="23" t="n"/>
      <c r="C3073" s="24" t="n"/>
      <c r="D3073" s="15" t="n"/>
      <c r="E3073" s="23" t="n"/>
      <c r="F3073" s="15" t="n"/>
      <c r="G3073" s="23" t="n"/>
      <c r="H3073" s="25" t="n"/>
      <c r="I3073" s="15" t="n"/>
      <c r="J3073" s="26">
        <f>IF($A3073="","",LEN($C3073)-LEN(SUBSTITUTE($C3073,",",""))+1)</f>
        <v/>
      </c>
      <c r="K3073" s="26">
        <f>IF($A3073="","",SUMPRODUCT(--ISNUMBER(SEARCH('Category Dictionary'!$D$5:$D$135&amp;"",$C3073)),--('Category Dictionary'!$D$5:$D$135&lt;&gt;"")))</f>
        <v/>
      </c>
      <c r="L3073" s="27">
        <f>IF($A3073="","",TRIM(IF(ISERROR(FIND(",",$C3073)),$C3073,LEFT($C3073,FIND(",",$C3073)-1))))</f>
        <v/>
      </c>
      <c r="M3073" s="28">
        <f>IF($H3073="","",DATE(YEAR($H3073),MONTH($H3073),1))</f>
        <v/>
      </c>
      <c r="N3073" s="26">
        <f>IF($H3073="","",TODAY()-$H3073)</f>
        <v/>
      </c>
      <c r="O3073" s="15" t="n"/>
      <c r="P3073" s="15" t="n"/>
      <c r="Q3073" s="15" t="n"/>
      <c r="R3073" s="25" t="n"/>
      <c r="S3073" s="26">
        <f>IF($A3073="","",AND(OR('Assignment Builder'!$B$5="",$B3073='Assignment Builder'!$B$5),OR('Assignment Builder'!$B$6="",ISNUMBER(SEARCH('Assignment Builder'!$B$6,$C3073))),OR('Assignment Builder'!$B$7="",'Assignment Builder'!$B$7=IFERROR(INDEX('Category Dictionary'!$C$5:$C$135,MATCH($L3073,'Category Dictionary'!$D$5:$D$135,0)),"")),OR('Assignment Builder'!$B$8="",$D3073='Assignment Builder'!$B$8),OR('Assignment Builder'!$B$9="",$F3073='Assignment Builder'!$B$9),OR('Assignment Builder'!$B$10="",$O3073='Assignment Builder'!$B$10),OR('Assignment Builder'!$B$11="",$H3073&gt;='Assignment Builder'!$B$11),OR('Assignment Builder'!$B$12="",N($Q3073)&lt;='Assignment Builder'!$B$12)))</f>
        <v/>
      </c>
      <c r="T3073" s="23" t="n"/>
    </row>
    <row r="3074">
      <c r="A3074" s="23" t="n"/>
      <c r="B3074" s="23" t="n"/>
      <c r="C3074" s="24" t="n"/>
      <c r="D3074" s="15" t="n"/>
      <c r="E3074" s="23" t="n"/>
      <c r="F3074" s="15" t="n"/>
      <c r="G3074" s="23" t="n"/>
      <c r="H3074" s="25" t="n"/>
      <c r="I3074" s="15" t="n"/>
      <c r="J3074" s="26">
        <f>IF($A3074="","",LEN($C3074)-LEN(SUBSTITUTE($C3074,",",""))+1)</f>
        <v/>
      </c>
      <c r="K3074" s="26">
        <f>IF($A3074="","",SUMPRODUCT(--ISNUMBER(SEARCH('Category Dictionary'!$D$5:$D$135&amp;"",$C3074)),--('Category Dictionary'!$D$5:$D$135&lt;&gt;"")))</f>
        <v/>
      </c>
      <c r="L3074" s="27">
        <f>IF($A3074="","",TRIM(IF(ISERROR(FIND(",",$C3074)),$C3074,LEFT($C3074,FIND(",",$C3074)-1))))</f>
        <v/>
      </c>
      <c r="M3074" s="28">
        <f>IF($H3074="","",DATE(YEAR($H3074),MONTH($H3074),1))</f>
        <v/>
      </c>
      <c r="N3074" s="26">
        <f>IF($H3074="","",TODAY()-$H3074)</f>
        <v/>
      </c>
      <c r="O3074" s="15" t="n"/>
      <c r="P3074" s="15" t="n"/>
      <c r="Q3074" s="15" t="n"/>
      <c r="R3074" s="25" t="n"/>
      <c r="S3074" s="26">
        <f>IF($A3074="","",AND(OR('Assignment Builder'!$B$5="",$B3074='Assignment Builder'!$B$5),OR('Assignment Builder'!$B$6="",ISNUMBER(SEARCH('Assignment Builder'!$B$6,$C3074))),OR('Assignment Builder'!$B$7="",'Assignment Builder'!$B$7=IFERROR(INDEX('Category Dictionary'!$C$5:$C$135,MATCH($L3074,'Category Dictionary'!$D$5:$D$135,0)),"")),OR('Assignment Builder'!$B$8="",$D3074='Assignment Builder'!$B$8),OR('Assignment Builder'!$B$9="",$F3074='Assignment Builder'!$B$9),OR('Assignment Builder'!$B$10="",$O3074='Assignment Builder'!$B$10),OR('Assignment Builder'!$B$11="",$H3074&gt;='Assignment Builder'!$B$11),OR('Assignment Builder'!$B$12="",N($Q3074)&lt;='Assignment Builder'!$B$12)))</f>
        <v/>
      </c>
      <c r="T3074" s="23" t="n"/>
    </row>
    <row r="3075">
      <c r="A3075" s="23" t="n"/>
      <c r="B3075" s="23" t="n"/>
      <c r="C3075" s="24" t="n"/>
      <c r="D3075" s="15" t="n"/>
      <c r="E3075" s="23" t="n"/>
      <c r="F3075" s="15" t="n"/>
      <c r="G3075" s="23" t="n"/>
      <c r="H3075" s="25" t="n"/>
      <c r="I3075" s="15" t="n"/>
      <c r="J3075" s="26">
        <f>IF($A3075="","",LEN($C3075)-LEN(SUBSTITUTE($C3075,",",""))+1)</f>
        <v/>
      </c>
      <c r="K3075" s="26">
        <f>IF($A3075="","",SUMPRODUCT(--ISNUMBER(SEARCH('Category Dictionary'!$D$5:$D$135&amp;"",$C3075)),--('Category Dictionary'!$D$5:$D$135&lt;&gt;"")))</f>
        <v/>
      </c>
      <c r="L3075" s="27">
        <f>IF($A3075="","",TRIM(IF(ISERROR(FIND(",",$C3075)),$C3075,LEFT($C3075,FIND(",",$C3075)-1))))</f>
        <v/>
      </c>
      <c r="M3075" s="28">
        <f>IF($H3075="","",DATE(YEAR($H3075),MONTH($H3075),1))</f>
        <v/>
      </c>
      <c r="N3075" s="26">
        <f>IF($H3075="","",TODAY()-$H3075)</f>
        <v/>
      </c>
      <c r="O3075" s="15" t="n"/>
      <c r="P3075" s="15" t="n"/>
      <c r="Q3075" s="15" t="n"/>
      <c r="R3075" s="25" t="n"/>
      <c r="S3075" s="26">
        <f>IF($A3075="","",AND(OR('Assignment Builder'!$B$5="",$B3075='Assignment Builder'!$B$5),OR('Assignment Builder'!$B$6="",ISNUMBER(SEARCH('Assignment Builder'!$B$6,$C3075))),OR('Assignment Builder'!$B$7="",'Assignment Builder'!$B$7=IFERROR(INDEX('Category Dictionary'!$C$5:$C$135,MATCH($L3075,'Category Dictionary'!$D$5:$D$135,0)),"")),OR('Assignment Builder'!$B$8="",$D3075='Assignment Builder'!$B$8),OR('Assignment Builder'!$B$9="",$F3075='Assignment Builder'!$B$9),OR('Assignment Builder'!$B$10="",$O3075='Assignment Builder'!$B$10),OR('Assignment Builder'!$B$11="",$H3075&gt;='Assignment Builder'!$B$11),OR('Assignment Builder'!$B$12="",N($Q3075)&lt;='Assignment Builder'!$B$12)))</f>
        <v/>
      </c>
      <c r="T3075" s="23" t="n"/>
    </row>
    <row r="3076">
      <c r="A3076" s="23" t="n"/>
      <c r="B3076" s="23" t="n"/>
      <c r="C3076" s="24" t="n"/>
      <c r="D3076" s="15" t="n"/>
      <c r="E3076" s="23" t="n"/>
      <c r="F3076" s="15" t="n"/>
      <c r="G3076" s="23" t="n"/>
      <c r="H3076" s="25" t="n"/>
      <c r="I3076" s="15" t="n"/>
      <c r="J3076" s="26">
        <f>IF($A3076="","",LEN($C3076)-LEN(SUBSTITUTE($C3076,",",""))+1)</f>
        <v/>
      </c>
      <c r="K3076" s="26">
        <f>IF($A3076="","",SUMPRODUCT(--ISNUMBER(SEARCH('Category Dictionary'!$D$5:$D$135&amp;"",$C3076)),--('Category Dictionary'!$D$5:$D$135&lt;&gt;"")))</f>
        <v/>
      </c>
      <c r="L3076" s="27">
        <f>IF($A3076="","",TRIM(IF(ISERROR(FIND(",",$C3076)),$C3076,LEFT($C3076,FIND(",",$C3076)-1))))</f>
        <v/>
      </c>
      <c r="M3076" s="28">
        <f>IF($H3076="","",DATE(YEAR($H3076),MONTH($H3076),1))</f>
        <v/>
      </c>
      <c r="N3076" s="26">
        <f>IF($H3076="","",TODAY()-$H3076)</f>
        <v/>
      </c>
      <c r="O3076" s="15" t="n"/>
      <c r="P3076" s="15" t="n"/>
      <c r="Q3076" s="15" t="n"/>
      <c r="R3076" s="25" t="n"/>
      <c r="S3076" s="26">
        <f>IF($A3076="","",AND(OR('Assignment Builder'!$B$5="",$B3076='Assignment Builder'!$B$5),OR('Assignment Builder'!$B$6="",ISNUMBER(SEARCH('Assignment Builder'!$B$6,$C3076))),OR('Assignment Builder'!$B$7="",'Assignment Builder'!$B$7=IFERROR(INDEX('Category Dictionary'!$C$5:$C$135,MATCH($L3076,'Category Dictionary'!$D$5:$D$135,0)),"")),OR('Assignment Builder'!$B$8="",$D3076='Assignment Builder'!$B$8),OR('Assignment Builder'!$B$9="",$F3076='Assignment Builder'!$B$9),OR('Assignment Builder'!$B$10="",$O3076='Assignment Builder'!$B$10),OR('Assignment Builder'!$B$11="",$H3076&gt;='Assignment Builder'!$B$11),OR('Assignment Builder'!$B$12="",N($Q3076)&lt;='Assignment Builder'!$B$12)))</f>
        <v/>
      </c>
      <c r="T3076" s="23" t="n"/>
    </row>
    <row r="3077">
      <c r="A3077" s="23" t="n"/>
      <c r="B3077" s="23" t="n"/>
      <c r="C3077" s="24" t="n"/>
      <c r="D3077" s="15" t="n"/>
      <c r="E3077" s="23" t="n"/>
      <c r="F3077" s="15" t="n"/>
      <c r="G3077" s="23" t="n"/>
      <c r="H3077" s="25" t="n"/>
      <c r="I3077" s="15" t="n"/>
      <c r="J3077" s="26">
        <f>IF($A3077="","",LEN($C3077)-LEN(SUBSTITUTE($C3077,",",""))+1)</f>
        <v/>
      </c>
      <c r="K3077" s="26">
        <f>IF($A3077="","",SUMPRODUCT(--ISNUMBER(SEARCH('Category Dictionary'!$D$5:$D$135&amp;"",$C3077)),--('Category Dictionary'!$D$5:$D$135&lt;&gt;"")))</f>
        <v/>
      </c>
      <c r="L3077" s="27">
        <f>IF($A3077="","",TRIM(IF(ISERROR(FIND(",",$C3077)),$C3077,LEFT($C3077,FIND(",",$C3077)-1))))</f>
        <v/>
      </c>
      <c r="M3077" s="28">
        <f>IF($H3077="","",DATE(YEAR($H3077),MONTH($H3077),1))</f>
        <v/>
      </c>
      <c r="N3077" s="26">
        <f>IF($H3077="","",TODAY()-$H3077)</f>
        <v/>
      </c>
      <c r="O3077" s="15" t="n"/>
      <c r="P3077" s="15" t="n"/>
      <c r="Q3077" s="15" t="n"/>
      <c r="R3077" s="25" t="n"/>
      <c r="S3077" s="26">
        <f>IF($A3077="","",AND(OR('Assignment Builder'!$B$5="",$B3077='Assignment Builder'!$B$5),OR('Assignment Builder'!$B$6="",ISNUMBER(SEARCH('Assignment Builder'!$B$6,$C3077))),OR('Assignment Builder'!$B$7="",'Assignment Builder'!$B$7=IFERROR(INDEX('Category Dictionary'!$C$5:$C$135,MATCH($L3077,'Category Dictionary'!$D$5:$D$135,0)),"")),OR('Assignment Builder'!$B$8="",$D3077='Assignment Builder'!$B$8),OR('Assignment Builder'!$B$9="",$F3077='Assignment Builder'!$B$9),OR('Assignment Builder'!$B$10="",$O3077='Assignment Builder'!$B$10),OR('Assignment Builder'!$B$11="",$H3077&gt;='Assignment Builder'!$B$11),OR('Assignment Builder'!$B$12="",N($Q3077)&lt;='Assignment Builder'!$B$12)))</f>
        <v/>
      </c>
      <c r="T3077" s="23" t="n"/>
    </row>
    <row r="3078">
      <c r="A3078" s="23" t="n"/>
      <c r="B3078" s="23" t="n"/>
      <c r="C3078" s="24" t="n"/>
      <c r="D3078" s="15" t="n"/>
      <c r="E3078" s="23" t="n"/>
      <c r="F3078" s="15" t="n"/>
      <c r="G3078" s="23" t="n"/>
      <c r="H3078" s="25" t="n"/>
      <c r="I3078" s="15" t="n"/>
      <c r="J3078" s="26">
        <f>IF($A3078="","",LEN($C3078)-LEN(SUBSTITUTE($C3078,",",""))+1)</f>
        <v/>
      </c>
      <c r="K3078" s="26">
        <f>IF($A3078="","",SUMPRODUCT(--ISNUMBER(SEARCH('Category Dictionary'!$D$5:$D$135&amp;"",$C3078)),--('Category Dictionary'!$D$5:$D$135&lt;&gt;"")))</f>
        <v/>
      </c>
      <c r="L3078" s="27">
        <f>IF($A3078="","",TRIM(IF(ISERROR(FIND(",",$C3078)),$C3078,LEFT($C3078,FIND(",",$C3078)-1))))</f>
        <v/>
      </c>
      <c r="M3078" s="28">
        <f>IF($H3078="","",DATE(YEAR($H3078),MONTH($H3078),1))</f>
        <v/>
      </c>
      <c r="N3078" s="26">
        <f>IF($H3078="","",TODAY()-$H3078)</f>
        <v/>
      </c>
      <c r="O3078" s="15" t="n"/>
      <c r="P3078" s="15" t="n"/>
      <c r="Q3078" s="15" t="n"/>
      <c r="R3078" s="25" t="n"/>
      <c r="S3078" s="26">
        <f>IF($A3078="","",AND(OR('Assignment Builder'!$B$5="",$B3078='Assignment Builder'!$B$5),OR('Assignment Builder'!$B$6="",ISNUMBER(SEARCH('Assignment Builder'!$B$6,$C3078))),OR('Assignment Builder'!$B$7="",'Assignment Builder'!$B$7=IFERROR(INDEX('Category Dictionary'!$C$5:$C$135,MATCH($L3078,'Category Dictionary'!$D$5:$D$135,0)),"")),OR('Assignment Builder'!$B$8="",$D3078='Assignment Builder'!$B$8),OR('Assignment Builder'!$B$9="",$F3078='Assignment Builder'!$B$9),OR('Assignment Builder'!$B$10="",$O3078='Assignment Builder'!$B$10),OR('Assignment Builder'!$B$11="",$H3078&gt;='Assignment Builder'!$B$11),OR('Assignment Builder'!$B$12="",N($Q3078)&lt;='Assignment Builder'!$B$12)))</f>
        <v/>
      </c>
      <c r="T3078" s="23" t="n"/>
    </row>
    <row r="3079">
      <c r="A3079" s="23" t="n"/>
      <c r="B3079" s="23" t="n"/>
      <c r="C3079" s="24" t="n"/>
      <c r="D3079" s="15" t="n"/>
      <c r="E3079" s="23" t="n"/>
      <c r="F3079" s="15" t="n"/>
      <c r="G3079" s="23" t="n"/>
      <c r="H3079" s="25" t="n"/>
      <c r="I3079" s="15" t="n"/>
      <c r="J3079" s="26">
        <f>IF($A3079="","",LEN($C3079)-LEN(SUBSTITUTE($C3079,",",""))+1)</f>
        <v/>
      </c>
      <c r="K3079" s="26">
        <f>IF($A3079="","",SUMPRODUCT(--ISNUMBER(SEARCH('Category Dictionary'!$D$5:$D$135&amp;"",$C3079)),--('Category Dictionary'!$D$5:$D$135&lt;&gt;"")))</f>
        <v/>
      </c>
      <c r="L3079" s="27">
        <f>IF($A3079="","",TRIM(IF(ISERROR(FIND(",",$C3079)),$C3079,LEFT($C3079,FIND(",",$C3079)-1))))</f>
        <v/>
      </c>
      <c r="M3079" s="28">
        <f>IF($H3079="","",DATE(YEAR($H3079),MONTH($H3079),1))</f>
        <v/>
      </c>
      <c r="N3079" s="26">
        <f>IF($H3079="","",TODAY()-$H3079)</f>
        <v/>
      </c>
      <c r="O3079" s="15" t="n"/>
      <c r="P3079" s="15" t="n"/>
      <c r="Q3079" s="15" t="n"/>
      <c r="R3079" s="25" t="n"/>
      <c r="S3079" s="26">
        <f>IF($A3079="","",AND(OR('Assignment Builder'!$B$5="",$B3079='Assignment Builder'!$B$5),OR('Assignment Builder'!$B$6="",ISNUMBER(SEARCH('Assignment Builder'!$B$6,$C3079))),OR('Assignment Builder'!$B$7="",'Assignment Builder'!$B$7=IFERROR(INDEX('Category Dictionary'!$C$5:$C$135,MATCH($L3079,'Category Dictionary'!$D$5:$D$135,0)),"")),OR('Assignment Builder'!$B$8="",$D3079='Assignment Builder'!$B$8),OR('Assignment Builder'!$B$9="",$F3079='Assignment Builder'!$B$9),OR('Assignment Builder'!$B$10="",$O3079='Assignment Builder'!$B$10),OR('Assignment Builder'!$B$11="",$H3079&gt;='Assignment Builder'!$B$11),OR('Assignment Builder'!$B$12="",N($Q3079)&lt;='Assignment Builder'!$B$12)))</f>
        <v/>
      </c>
      <c r="T3079" s="23" t="n"/>
    </row>
    <row r="3080">
      <c r="A3080" s="23" t="n"/>
      <c r="B3080" s="23" t="n"/>
      <c r="C3080" s="24" t="n"/>
      <c r="D3080" s="15" t="n"/>
      <c r="E3080" s="23" t="n"/>
      <c r="F3080" s="15" t="n"/>
      <c r="G3080" s="23" t="n"/>
      <c r="H3080" s="25" t="n"/>
      <c r="I3080" s="15" t="n"/>
      <c r="J3080" s="26">
        <f>IF($A3080="","",LEN($C3080)-LEN(SUBSTITUTE($C3080,",",""))+1)</f>
        <v/>
      </c>
      <c r="K3080" s="26">
        <f>IF($A3080="","",SUMPRODUCT(--ISNUMBER(SEARCH('Category Dictionary'!$D$5:$D$135&amp;"",$C3080)),--('Category Dictionary'!$D$5:$D$135&lt;&gt;"")))</f>
        <v/>
      </c>
      <c r="L3080" s="27">
        <f>IF($A3080="","",TRIM(IF(ISERROR(FIND(",",$C3080)),$C3080,LEFT($C3080,FIND(",",$C3080)-1))))</f>
        <v/>
      </c>
      <c r="M3080" s="28">
        <f>IF($H3080="","",DATE(YEAR($H3080),MONTH($H3080),1))</f>
        <v/>
      </c>
      <c r="N3080" s="26">
        <f>IF($H3080="","",TODAY()-$H3080)</f>
        <v/>
      </c>
      <c r="O3080" s="15" t="n"/>
      <c r="P3080" s="15" t="n"/>
      <c r="Q3080" s="15" t="n"/>
      <c r="R3080" s="25" t="n"/>
      <c r="S3080" s="26">
        <f>IF($A3080="","",AND(OR('Assignment Builder'!$B$5="",$B3080='Assignment Builder'!$B$5),OR('Assignment Builder'!$B$6="",ISNUMBER(SEARCH('Assignment Builder'!$B$6,$C3080))),OR('Assignment Builder'!$B$7="",'Assignment Builder'!$B$7=IFERROR(INDEX('Category Dictionary'!$C$5:$C$135,MATCH($L3080,'Category Dictionary'!$D$5:$D$135,0)),"")),OR('Assignment Builder'!$B$8="",$D3080='Assignment Builder'!$B$8),OR('Assignment Builder'!$B$9="",$F3080='Assignment Builder'!$B$9),OR('Assignment Builder'!$B$10="",$O3080='Assignment Builder'!$B$10),OR('Assignment Builder'!$B$11="",$H3080&gt;='Assignment Builder'!$B$11),OR('Assignment Builder'!$B$12="",N($Q3080)&lt;='Assignment Builder'!$B$12)))</f>
        <v/>
      </c>
      <c r="T3080" s="23" t="n"/>
    </row>
    <row r="3081">
      <c r="A3081" s="23" t="n"/>
      <c r="B3081" s="23" t="n"/>
      <c r="C3081" s="24" t="n"/>
      <c r="D3081" s="15" t="n"/>
      <c r="E3081" s="23" t="n"/>
      <c r="F3081" s="15" t="n"/>
      <c r="G3081" s="23" t="n"/>
      <c r="H3081" s="25" t="n"/>
      <c r="I3081" s="15" t="n"/>
      <c r="J3081" s="26">
        <f>IF($A3081="","",LEN($C3081)-LEN(SUBSTITUTE($C3081,",",""))+1)</f>
        <v/>
      </c>
      <c r="K3081" s="26">
        <f>IF($A3081="","",SUMPRODUCT(--ISNUMBER(SEARCH('Category Dictionary'!$D$5:$D$135&amp;"",$C3081)),--('Category Dictionary'!$D$5:$D$135&lt;&gt;"")))</f>
        <v/>
      </c>
      <c r="L3081" s="27">
        <f>IF($A3081="","",TRIM(IF(ISERROR(FIND(",",$C3081)),$C3081,LEFT($C3081,FIND(",",$C3081)-1))))</f>
        <v/>
      </c>
      <c r="M3081" s="28">
        <f>IF($H3081="","",DATE(YEAR($H3081),MONTH($H3081),1))</f>
        <v/>
      </c>
      <c r="N3081" s="26">
        <f>IF($H3081="","",TODAY()-$H3081)</f>
        <v/>
      </c>
      <c r="O3081" s="15" t="n"/>
      <c r="P3081" s="15" t="n"/>
      <c r="Q3081" s="15" t="n"/>
      <c r="R3081" s="25" t="n"/>
      <c r="S3081" s="26">
        <f>IF($A3081="","",AND(OR('Assignment Builder'!$B$5="",$B3081='Assignment Builder'!$B$5),OR('Assignment Builder'!$B$6="",ISNUMBER(SEARCH('Assignment Builder'!$B$6,$C3081))),OR('Assignment Builder'!$B$7="",'Assignment Builder'!$B$7=IFERROR(INDEX('Category Dictionary'!$C$5:$C$135,MATCH($L3081,'Category Dictionary'!$D$5:$D$135,0)),"")),OR('Assignment Builder'!$B$8="",$D3081='Assignment Builder'!$B$8),OR('Assignment Builder'!$B$9="",$F3081='Assignment Builder'!$B$9),OR('Assignment Builder'!$B$10="",$O3081='Assignment Builder'!$B$10),OR('Assignment Builder'!$B$11="",$H3081&gt;='Assignment Builder'!$B$11),OR('Assignment Builder'!$B$12="",N($Q3081)&lt;='Assignment Builder'!$B$12)))</f>
        <v/>
      </c>
      <c r="T3081" s="23" t="n"/>
    </row>
    <row r="3082">
      <c r="A3082" s="23" t="n"/>
      <c r="B3082" s="23" t="n"/>
      <c r="C3082" s="24" t="n"/>
      <c r="D3082" s="15" t="n"/>
      <c r="E3082" s="23" t="n"/>
      <c r="F3082" s="15" t="n"/>
      <c r="G3082" s="23" t="n"/>
      <c r="H3082" s="25" t="n"/>
      <c r="I3082" s="15" t="n"/>
      <c r="J3082" s="26">
        <f>IF($A3082="","",LEN($C3082)-LEN(SUBSTITUTE($C3082,",",""))+1)</f>
        <v/>
      </c>
      <c r="K3082" s="26">
        <f>IF($A3082="","",SUMPRODUCT(--ISNUMBER(SEARCH('Category Dictionary'!$D$5:$D$135&amp;"",$C3082)),--('Category Dictionary'!$D$5:$D$135&lt;&gt;"")))</f>
        <v/>
      </c>
      <c r="L3082" s="27">
        <f>IF($A3082="","",TRIM(IF(ISERROR(FIND(",",$C3082)),$C3082,LEFT($C3082,FIND(",",$C3082)-1))))</f>
        <v/>
      </c>
      <c r="M3082" s="28">
        <f>IF($H3082="","",DATE(YEAR($H3082),MONTH($H3082),1))</f>
        <v/>
      </c>
      <c r="N3082" s="26">
        <f>IF($H3082="","",TODAY()-$H3082)</f>
        <v/>
      </c>
      <c r="O3082" s="15" t="n"/>
      <c r="P3082" s="15" t="n"/>
      <c r="Q3082" s="15" t="n"/>
      <c r="R3082" s="25" t="n"/>
      <c r="S3082" s="26">
        <f>IF($A3082="","",AND(OR('Assignment Builder'!$B$5="",$B3082='Assignment Builder'!$B$5),OR('Assignment Builder'!$B$6="",ISNUMBER(SEARCH('Assignment Builder'!$B$6,$C3082))),OR('Assignment Builder'!$B$7="",'Assignment Builder'!$B$7=IFERROR(INDEX('Category Dictionary'!$C$5:$C$135,MATCH($L3082,'Category Dictionary'!$D$5:$D$135,0)),"")),OR('Assignment Builder'!$B$8="",$D3082='Assignment Builder'!$B$8),OR('Assignment Builder'!$B$9="",$F3082='Assignment Builder'!$B$9),OR('Assignment Builder'!$B$10="",$O3082='Assignment Builder'!$B$10),OR('Assignment Builder'!$B$11="",$H3082&gt;='Assignment Builder'!$B$11),OR('Assignment Builder'!$B$12="",N($Q3082)&lt;='Assignment Builder'!$B$12)))</f>
        <v/>
      </c>
      <c r="T3082" s="23" t="n"/>
    </row>
    <row r="3083">
      <c r="A3083" s="23" t="n"/>
      <c r="B3083" s="23" t="n"/>
      <c r="C3083" s="24" t="n"/>
      <c r="D3083" s="15" t="n"/>
      <c r="E3083" s="23" t="n"/>
      <c r="F3083" s="15" t="n"/>
      <c r="G3083" s="23" t="n"/>
      <c r="H3083" s="25" t="n"/>
      <c r="I3083" s="15" t="n"/>
      <c r="J3083" s="26">
        <f>IF($A3083="","",LEN($C3083)-LEN(SUBSTITUTE($C3083,",",""))+1)</f>
        <v/>
      </c>
      <c r="K3083" s="26">
        <f>IF($A3083="","",SUMPRODUCT(--ISNUMBER(SEARCH('Category Dictionary'!$D$5:$D$135&amp;"",$C3083)),--('Category Dictionary'!$D$5:$D$135&lt;&gt;"")))</f>
        <v/>
      </c>
      <c r="L3083" s="27">
        <f>IF($A3083="","",TRIM(IF(ISERROR(FIND(",",$C3083)),$C3083,LEFT($C3083,FIND(",",$C3083)-1))))</f>
        <v/>
      </c>
      <c r="M3083" s="28">
        <f>IF($H3083="","",DATE(YEAR($H3083),MONTH($H3083),1))</f>
        <v/>
      </c>
      <c r="N3083" s="26">
        <f>IF($H3083="","",TODAY()-$H3083)</f>
        <v/>
      </c>
      <c r="O3083" s="15" t="n"/>
      <c r="P3083" s="15" t="n"/>
      <c r="Q3083" s="15" t="n"/>
      <c r="R3083" s="25" t="n"/>
      <c r="S3083" s="26">
        <f>IF($A3083="","",AND(OR('Assignment Builder'!$B$5="",$B3083='Assignment Builder'!$B$5),OR('Assignment Builder'!$B$6="",ISNUMBER(SEARCH('Assignment Builder'!$B$6,$C3083))),OR('Assignment Builder'!$B$7="",'Assignment Builder'!$B$7=IFERROR(INDEX('Category Dictionary'!$C$5:$C$135,MATCH($L3083,'Category Dictionary'!$D$5:$D$135,0)),"")),OR('Assignment Builder'!$B$8="",$D3083='Assignment Builder'!$B$8),OR('Assignment Builder'!$B$9="",$F3083='Assignment Builder'!$B$9),OR('Assignment Builder'!$B$10="",$O3083='Assignment Builder'!$B$10),OR('Assignment Builder'!$B$11="",$H3083&gt;='Assignment Builder'!$B$11),OR('Assignment Builder'!$B$12="",N($Q3083)&lt;='Assignment Builder'!$B$12)))</f>
        <v/>
      </c>
      <c r="T3083" s="23" t="n"/>
    </row>
    <row r="3084">
      <c r="A3084" s="23" t="n"/>
      <c r="B3084" s="23" t="n"/>
      <c r="C3084" s="24" t="n"/>
      <c r="D3084" s="15" t="n"/>
      <c r="E3084" s="23" t="n"/>
      <c r="F3084" s="15" t="n"/>
      <c r="G3084" s="23" t="n"/>
      <c r="H3084" s="25" t="n"/>
      <c r="I3084" s="15" t="n"/>
      <c r="J3084" s="26">
        <f>IF($A3084="","",LEN($C3084)-LEN(SUBSTITUTE($C3084,",",""))+1)</f>
        <v/>
      </c>
      <c r="K3084" s="26">
        <f>IF($A3084="","",SUMPRODUCT(--ISNUMBER(SEARCH('Category Dictionary'!$D$5:$D$135&amp;"",$C3084)),--('Category Dictionary'!$D$5:$D$135&lt;&gt;"")))</f>
        <v/>
      </c>
      <c r="L3084" s="27">
        <f>IF($A3084="","",TRIM(IF(ISERROR(FIND(",",$C3084)),$C3084,LEFT($C3084,FIND(",",$C3084)-1))))</f>
        <v/>
      </c>
      <c r="M3084" s="28">
        <f>IF($H3084="","",DATE(YEAR($H3084),MONTH($H3084),1))</f>
        <v/>
      </c>
      <c r="N3084" s="26">
        <f>IF($H3084="","",TODAY()-$H3084)</f>
        <v/>
      </c>
      <c r="O3084" s="15" t="n"/>
      <c r="P3084" s="15" t="n"/>
      <c r="Q3084" s="15" t="n"/>
      <c r="R3084" s="25" t="n"/>
      <c r="S3084" s="26">
        <f>IF($A3084="","",AND(OR('Assignment Builder'!$B$5="",$B3084='Assignment Builder'!$B$5),OR('Assignment Builder'!$B$6="",ISNUMBER(SEARCH('Assignment Builder'!$B$6,$C3084))),OR('Assignment Builder'!$B$7="",'Assignment Builder'!$B$7=IFERROR(INDEX('Category Dictionary'!$C$5:$C$135,MATCH($L3084,'Category Dictionary'!$D$5:$D$135,0)),"")),OR('Assignment Builder'!$B$8="",$D3084='Assignment Builder'!$B$8),OR('Assignment Builder'!$B$9="",$F3084='Assignment Builder'!$B$9),OR('Assignment Builder'!$B$10="",$O3084='Assignment Builder'!$B$10),OR('Assignment Builder'!$B$11="",$H3084&gt;='Assignment Builder'!$B$11),OR('Assignment Builder'!$B$12="",N($Q3084)&lt;='Assignment Builder'!$B$12)))</f>
        <v/>
      </c>
      <c r="T3084" s="23" t="n"/>
    </row>
    <row r="3085">
      <c r="A3085" s="23" t="n"/>
      <c r="B3085" s="23" t="n"/>
      <c r="C3085" s="24" t="n"/>
      <c r="D3085" s="15" t="n"/>
      <c r="E3085" s="23" t="n"/>
      <c r="F3085" s="15" t="n"/>
      <c r="G3085" s="23" t="n"/>
      <c r="H3085" s="25" t="n"/>
      <c r="I3085" s="15" t="n"/>
      <c r="J3085" s="26">
        <f>IF($A3085="","",LEN($C3085)-LEN(SUBSTITUTE($C3085,",",""))+1)</f>
        <v/>
      </c>
      <c r="K3085" s="26">
        <f>IF($A3085="","",SUMPRODUCT(--ISNUMBER(SEARCH('Category Dictionary'!$D$5:$D$135&amp;"",$C3085)),--('Category Dictionary'!$D$5:$D$135&lt;&gt;"")))</f>
        <v/>
      </c>
      <c r="L3085" s="27">
        <f>IF($A3085="","",TRIM(IF(ISERROR(FIND(",",$C3085)),$C3085,LEFT($C3085,FIND(",",$C3085)-1))))</f>
        <v/>
      </c>
      <c r="M3085" s="28">
        <f>IF($H3085="","",DATE(YEAR($H3085),MONTH($H3085),1))</f>
        <v/>
      </c>
      <c r="N3085" s="26">
        <f>IF($H3085="","",TODAY()-$H3085)</f>
        <v/>
      </c>
      <c r="O3085" s="15" t="n"/>
      <c r="P3085" s="15" t="n"/>
      <c r="Q3085" s="15" t="n"/>
      <c r="R3085" s="25" t="n"/>
      <c r="S3085" s="26">
        <f>IF($A3085="","",AND(OR('Assignment Builder'!$B$5="",$B3085='Assignment Builder'!$B$5),OR('Assignment Builder'!$B$6="",ISNUMBER(SEARCH('Assignment Builder'!$B$6,$C3085))),OR('Assignment Builder'!$B$7="",'Assignment Builder'!$B$7=IFERROR(INDEX('Category Dictionary'!$C$5:$C$135,MATCH($L3085,'Category Dictionary'!$D$5:$D$135,0)),"")),OR('Assignment Builder'!$B$8="",$D3085='Assignment Builder'!$B$8),OR('Assignment Builder'!$B$9="",$F3085='Assignment Builder'!$B$9),OR('Assignment Builder'!$B$10="",$O3085='Assignment Builder'!$B$10),OR('Assignment Builder'!$B$11="",$H3085&gt;='Assignment Builder'!$B$11),OR('Assignment Builder'!$B$12="",N($Q3085)&lt;='Assignment Builder'!$B$12)))</f>
        <v/>
      </c>
      <c r="T3085" s="23" t="n"/>
    </row>
    <row r="3086">
      <c r="A3086" s="23" t="n"/>
      <c r="B3086" s="23" t="n"/>
      <c r="C3086" s="24" t="n"/>
      <c r="D3086" s="15" t="n"/>
      <c r="E3086" s="23" t="n"/>
      <c r="F3086" s="15" t="n"/>
      <c r="G3086" s="23" t="n"/>
      <c r="H3086" s="25" t="n"/>
      <c r="I3086" s="15" t="n"/>
      <c r="J3086" s="26">
        <f>IF($A3086="","",LEN($C3086)-LEN(SUBSTITUTE($C3086,",",""))+1)</f>
        <v/>
      </c>
      <c r="K3086" s="26">
        <f>IF($A3086="","",SUMPRODUCT(--ISNUMBER(SEARCH('Category Dictionary'!$D$5:$D$135&amp;"",$C3086)),--('Category Dictionary'!$D$5:$D$135&lt;&gt;"")))</f>
        <v/>
      </c>
      <c r="L3086" s="27">
        <f>IF($A3086="","",TRIM(IF(ISERROR(FIND(",",$C3086)),$C3086,LEFT($C3086,FIND(",",$C3086)-1))))</f>
        <v/>
      </c>
      <c r="M3086" s="28">
        <f>IF($H3086="","",DATE(YEAR($H3086),MONTH($H3086),1))</f>
        <v/>
      </c>
      <c r="N3086" s="26">
        <f>IF($H3086="","",TODAY()-$H3086)</f>
        <v/>
      </c>
      <c r="O3086" s="15" t="n"/>
      <c r="P3086" s="15" t="n"/>
      <c r="Q3086" s="15" t="n"/>
      <c r="R3086" s="25" t="n"/>
      <c r="S3086" s="26">
        <f>IF($A3086="","",AND(OR('Assignment Builder'!$B$5="",$B3086='Assignment Builder'!$B$5),OR('Assignment Builder'!$B$6="",ISNUMBER(SEARCH('Assignment Builder'!$B$6,$C3086))),OR('Assignment Builder'!$B$7="",'Assignment Builder'!$B$7=IFERROR(INDEX('Category Dictionary'!$C$5:$C$135,MATCH($L3086,'Category Dictionary'!$D$5:$D$135,0)),"")),OR('Assignment Builder'!$B$8="",$D3086='Assignment Builder'!$B$8),OR('Assignment Builder'!$B$9="",$F3086='Assignment Builder'!$B$9),OR('Assignment Builder'!$B$10="",$O3086='Assignment Builder'!$B$10),OR('Assignment Builder'!$B$11="",$H3086&gt;='Assignment Builder'!$B$11),OR('Assignment Builder'!$B$12="",N($Q3086)&lt;='Assignment Builder'!$B$12)))</f>
        <v/>
      </c>
      <c r="T3086" s="23" t="n"/>
    </row>
    <row r="3087">
      <c r="A3087" s="23" t="n"/>
      <c r="B3087" s="23" t="n"/>
      <c r="C3087" s="24" t="n"/>
      <c r="D3087" s="15" t="n"/>
      <c r="E3087" s="23" t="n"/>
      <c r="F3087" s="15" t="n"/>
      <c r="G3087" s="23" t="n"/>
      <c r="H3087" s="25" t="n"/>
      <c r="I3087" s="15" t="n"/>
      <c r="J3087" s="26">
        <f>IF($A3087="","",LEN($C3087)-LEN(SUBSTITUTE($C3087,",",""))+1)</f>
        <v/>
      </c>
      <c r="K3087" s="26">
        <f>IF($A3087="","",SUMPRODUCT(--ISNUMBER(SEARCH('Category Dictionary'!$D$5:$D$135&amp;"",$C3087)),--('Category Dictionary'!$D$5:$D$135&lt;&gt;"")))</f>
        <v/>
      </c>
      <c r="L3087" s="27">
        <f>IF($A3087="","",TRIM(IF(ISERROR(FIND(",",$C3087)),$C3087,LEFT($C3087,FIND(",",$C3087)-1))))</f>
        <v/>
      </c>
      <c r="M3087" s="28">
        <f>IF($H3087="","",DATE(YEAR($H3087),MONTH($H3087),1))</f>
        <v/>
      </c>
      <c r="N3087" s="26">
        <f>IF($H3087="","",TODAY()-$H3087)</f>
        <v/>
      </c>
      <c r="O3087" s="15" t="n"/>
      <c r="P3087" s="15" t="n"/>
      <c r="Q3087" s="15" t="n"/>
      <c r="R3087" s="25" t="n"/>
      <c r="S3087" s="26">
        <f>IF($A3087="","",AND(OR('Assignment Builder'!$B$5="",$B3087='Assignment Builder'!$B$5),OR('Assignment Builder'!$B$6="",ISNUMBER(SEARCH('Assignment Builder'!$B$6,$C3087))),OR('Assignment Builder'!$B$7="",'Assignment Builder'!$B$7=IFERROR(INDEX('Category Dictionary'!$C$5:$C$135,MATCH($L3087,'Category Dictionary'!$D$5:$D$135,0)),"")),OR('Assignment Builder'!$B$8="",$D3087='Assignment Builder'!$B$8),OR('Assignment Builder'!$B$9="",$F3087='Assignment Builder'!$B$9),OR('Assignment Builder'!$B$10="",$O3087='Assignment Builder'!$B$10),OR('Assignment Builder'!$B$11="",$H3087&gt;='Assignment Builder'!$B$11),OR('Assignment Builder'!$B$12="",N($Q3087)&lt;='Assignment Builder'!$B$12)))</f>
        <v/>
      </c>
      <c r="T3087" s="23" t="n"/>
    </row>
    <row r="3088">
      <c r="A3088" s="23" t="n"/>
      <c r="B3088" s="23" t="n"/>
      <c r="C3088" s="24" t="n"/>
      <c r="D3088" s="15" t="n"/>
      <c r="E3088" s="23" t="n"/>
      <c r="F3088" s="15" t="n"/>
      <c r="G3088" s="23" t="n"/>
      <c r="H3088" s="25" t="n"/>
      <c r="I3088" s="15" t="n"/>
      <c r="J3088" s="26">
        <f>IF($A3088="","",LEN($C3088)-LEN(SUBSTITUTE($C3088,",",""))+1)</f>
        <v/>
      </c>
      <c r="K3088" s="26">
        <f>IF($A3088="","",SUMPRODUCT(--ISNUMBER(SEARCH('Category Dictionary'!$D$5:$D$135&amp;"",$C3088)),--('Category Dictionary'!$D$5:$D$135&lt;&gt;"")))</f>
        <v/>
      </c>
      <c r="L3088" s="27">
        <f>IF($A3088="","",TRIM(IF(ISERROR(FIND(",",$C3088)),$C3088,LEFT($C3088,FIND(",",$C3088)-1))))</f>
        <v/>
      </c>
      <c r="M3088" s="28">
        <f>IF($H3088="","",DATE(YEAR($H3088),MONTH($H3088),1))</f>
        <v/>
      </c>
      <c r="N3088" s="26">
        <f>IF($H3088="","",TODAY()-$H3088)</f>
        <v/>
      </c>
      <c r="O3088" s="15" t="n"/>
      <c r="P3088" s="15" t="n"/>
      <c r="Q3088" s="15" t="n"/>
      <c r="R3088" s="25" t="n"/>
      <c r="S3088" s="26">
        <f>IF($A3088="","",AND(OR('Assignment Builder'!$B$5="",$B3088='Assignment Builder'!$B$5),OR('Assignment Builder'!$B$6="",ISNUMBER(SEARCH('Assignment Builder'!$B$6,$C3088))),OR('Assignment Builder'!$B$7="",'Assignment Builder'!$B$7=IFERROR(INDEX('Category Dictionary'!$C$5:$C$135,MATCH($L3088,'Category Dictionary'!$D$5:$D$135,0)),"")),OR('Assignment Builder'!$B$8="",$D3088='Assignment Builder'!$B$8),OR('Assignment Builder'!$B$9="",$F3088='Assignment Builder'!$B$9),OR('Assignment Builder'!$B$10="",$O3088='Assignment Builder'!$B$10),OR('Assignment Builder'!$B$11="",$H3088&gt;='Assignment Builder'!$B$11),OR('Assignment Builder'!$B$12="",N($Q3088)&lt;='Assignment Builder'!$B$12)))</f>
        <v/>
      </c>
      <c r="T3088" s="23" t="n"/>
    </row>
    <row r="3089">
      <c r="A3089" s="23" t="n"/>
      <c r="B3089" s="23" t="n"/>
      <c r="C3089" s="24" t="n"/>
      <c r="D3089" s="15" t="n"/>
      <c r="E3089" s="23" t="n"/>
      <c r="F3089" s="15" t="n"/>
      <c r="G3089" s="23" t="n"/>
      <c r="H3089" s="25" t="n"/>
      <c r="I3089" s="15" t="n"/>
      <c r="J3089" s="26">
        <f>IF($A3089="","",LEN($C3089)-LEN(SUBSTITUTE($C3089,",",""))+1)</f>
        <v/>
      </c>
      <c r="K3089" s="26">
        <f>IF($A3089="","",SUMPRODUCT(--ISNUMBER(SEARCH('Category Dictionary'!$D$5:$D$135&amp;"",$C3089)),--('Category Dictionary'!$D$5:$D$135&lt;&gt;"")))</f>
        <v/>
      </c>
      <c r="L3089" s="27">
        <f>IF($A3089="","",TRIM(IF(ISERROR(FIND(",",$C3089)),$C3089,LEFT($C3089,FIND(",",$C3089)-1))))</f>
        <v/>
      </c>
      <c r="M3089" s="28">
        <f>IF($H3089="","",DATE(YEAR($H3089),MONTH($H3089),1))</f>
        <v/>
      </c>
      <c r="N3089" s="26">
        <f>IF($H3089="","",TODAY()-$H3089)</f>
        <v/>
      </c>
      <c r="O3089" s="15" t="n"/>
      <c r="P3089" s="15" t="n"/>
      <c r="Q3089" s="15" t="n"/>
      <c r="R3089" s="25" t="n"/>
      <c r="S3089" s="26">
        <f>IF($A3089="","",AND(OR('Assignment Builder'!$B$5="",$B3089='Assignment Builder'!$B$5),OR('Assignment Builder'!$B$6="",ISNUMBER(SEARCH('Assignment Builder'!$B$6,$C3089))),OR('Assignment Builder'!$B$7="",'Assignment Builder'!$B$7=IFERROR(INDEX('Category Dictionary'!$C$5:$C$135,MATCH($L3089,'Category Dictionary'!$D$5:$D$135,0)),"")),OR('Assignment Builder'!$B$8="",$D3089='Assignment Builder'!$B$8),OR('Assignment Builder'!$B$9="",$F3089='Assignment Builder'!$B$9),OR('Assignment Builder'!$B$10="",$O3089='Assignment Builder'!$B$10),OR('Assignment Builder'!$B$11="",$H3089&gt;='Assignment Builder'!$B$11),OR('Assignment Builder'!$B$12="",N($Q3089)&lt;='Assignment Builder'!$B$12)))</f>
        <v/>
      </c>
      <c r="T3089" s="23" t="n"/>
    </row>
    <row r="3090">
      <c r="A3090" s="23" t="n"/>
      <c r="B3090" s="23" t="n"/>
      <c r="C3090" s="24" t="n"/>
      <c r="D3090" s="15" t="n"/>
      <c r="E3090" s="23" t="n"/>
      <c r="F3090" s="15" t="n"/>
      <c r="G3090" s="23" t="n"/>
      <c r="H3090" s="25" t="n"/>
      <c r="I3090" s="15" t="n"/>
      <c r="J3090" s="26">
        <f>IF($A3090="","",LEN($C3090)-LEN(SUBSTITUTE($C3090,",",""))+1)</f>
        <v/>
      </c>
      <c r="K3090" s="26">
        <f>IF($A3090="","",SUMPRODUCT(--ISNUMBER(SEARCH('Category Dictionary'!$D$5:$D$135&amp;"",$C3090)),--('Category Dictionary'!$D$5:$D$135&lt;&gt;"")))</f>
        <v/>
      </c>
      <c r="L3090" s="27">
        <f>IF($A3090="","",TRIM(IF(ISERROR(FIND(",",$C3090)),$C3090,LEFT($C3090,FIND(",",$C3090)-1))))</f>
        <v/>
      </c>
      <c r="M3090" s="28">
        <f>IF($H3090="","",DATE(YEAR($H3090),MONTH($H3090),1))</f>
        <v/>
      </c>
      <c r="N3090" s="26">
        <f>IF($H3090="","",TODAY()-$H3090)</f>
        <v/>
      </c>
      <c r="O3090" s="15" t="n"/>
      <c r="P3090" s="15" t="n"/>
      <c r="Q3090" s="15" t="n"/>
      <c r="R3090" s="25" t="n"/>
      <c r="S3090" s="26">
        <f>IF($A3090="","",AND(OR('Assignment Builder'!$B$5="",$B3090='Assignment Builder'!$B$5),OR('Assignment Builder'!$B$6="",ISNUMBER(SEARCH('Assignment Builder'!$B$6,$C3090))),OR('Assignment Builder'!$B$7="",'Assignment Builder'!$B$7=IFERROR(INDEX('Category Dictionary'!$C$5:$C$135,MATCH($L3090,'Category Dictionary'!$D$5:$D$135,0)),"")),OR('Assignment Builder'!$B$8="",$D3090='Assignment Builder'!$B$8),OR('Assignment Builder'!$B$9="",$F3090='Assignment Builder'!$B$9),OR('Assignment Builder'!$B$10="",$O3090='Assignment Builder'!$B$10),OR('Assignment Builder'!$B$11="",$H3090&gt;='Assignment Builder'!$B$11),OR('Assignment Builder'!$B$12="",N($Q3090)&lt;='Assignment Builder'!$B$12)))</f>
        <v/>
      </c>
      <c r="T3090" s="23" t="n"/>
    </row>
    <row r="3091">
      <c r="A3091" s="23" t="n"/>
      <c r="B3091" s="23" t="n"/>
      <c r="C3091" s="24" t="n"/>
      <c r="D3091" s="15" t="n"/>
      <c r="E3091" s="23" t="n"/>
      <c r="F3091" s="15" t="n"/>
      <c r="G3091" s="23" t="n"/>
      <c r="H3091" s="25" t="n"/>
      <c r="I3091" s="15" t="n"/>
      <c r="J3091" s="26">
        <f>IF($A3091="","",LEN($C3091)-LEN(SUBSTITUTE($C3091,",",""))+1)</f>
        <v/>
      </c>
      <c r="K3091" s="26">
        <f>IF($A3091="","",SUMPRODUCT(--ISNUMBER(SEARCH('Category Dictionary'!$D$5:$D$135&amp;"",$C3091)),--('Category Dictionary'!$D$5:$D$135&lt;&gt;"")))</f>
        <v/>
      </c>
      <c r="L3091" s="27">
        <f>IF($A3091="","",TRIM(IF(ISERROR(FIND(",",$C3091)),$C3091,LEFT($C3091,FIND(",",$C3091)-1))))</f>
        <v/>
      </c>
      <c r="M3091" s="28">
        <f>IF($H3091="","",DATE(YEAR($H3091),MONTH($H3091),1))</f>
        <v/>
      </c>
      <c r="N3091" s="26">
        <f>IF($H3091="","",TODAY()-$H3091)</f>
        <v/>
      </c>
      <c r="O3091" s="15" t="n"/>
      <c r="P3091" s="15" t="n"/>
      <c r="Q3091" s="15" t="n"/>
      <c r="R3091" s="25" t="n"/>
      <c r="S3091" s="26">
        <f>IF($A3091="","",AND(OR('Assignment Builder'!$B$5="",$B3091='Assignment Builder'!$B$5),OR('Assignment Builder'!$B$6="",ISNUMBER(SEARCH('Assignment Builder'!$B$6,$C3091))),OR('Assignment Builder'!$B$7="",'Assignment Builder'!$B$7=IFERROR(INDEX('Category Dictionary'!$C$5:$C$135,MATCH($L3091,'Category Dictionary'!$D$5:$D$135,0)),"")),OR('Assignment Builder'!$B$8="",$D3091='Assignment Builder'!$B$8),OR('Assignment Builder'!$B$9="",$F3091='Assignment Builder'!$B$9),OR('Assignment Builder'!$B$10="",$O3091='Assignment Builder'!$B$10),OR('Assignment Builder'!$B$11="",$H3091&gt;='Assignment Builder'!$B$11),OR('Assignment Builder'!$B$12="",N($Q3091)&lt;='Assignment Builder'!$B$12)))</f>
        <v/>
      </c>
      <c r="T3091" s="23" t="n"/>
    </row>
    <row r="3092">
      <c r="A3092" s="23" t="n"/>
      <c r="B3092" s="23" t="n"/>
      <c r="C3092" s="24" t="n"/>
      <c r="D3092" s="15" t="n"/>
      <c r="E3092" s="23" t="n"/>
      <c r="F3092" s="15" t="n"/>
      <c r="G3092" s="23" t="n"/>
      <c r="H3092" s="25" t="n"/>
      <c r="I3092" s="15" t="n"/>
      <c r="J3092" s="26">
        <f>IF($A3092="","",LEN($C3092)-LEN(SUBSTITUTE($C3092,",",""))+1)</f>
        <v/>
      </c>
      <c r="K3092" s="26">
        <f>IF($A3092="","",SUMPRODUCT(--ISNUMBER(SEARCH('Category Dictionary'!$D$5:$D$135&amp;"",$C3092)),--('Category Dictionary'!$D$5:$D$135&lt;&gt;"")))</f>
        <v/>
      </c>
      <c r="L3092" s="27">
        <f>IF($A3092="","",TRIM(IF(ISERROR(FIND(",",$C3092)),$C3092,LEFT($C3092,FIND(",",$C3092)-1))))</f>
        <v/>
      </c>
      <c r="M3092" s="28">
        <f>IF($H3092="","",DATE(YEAR($H3092),MONTH($H3092),1))</f>
        <v/>
      </c>
      <c r="N3092" s="26">
        <f>IF($H3092="","",TODAY()-$H3092)</f>
        <v/>
      </c>
      <c r="O3092" s="15" t="n"/>
      <c r="P3092" s="15" t="n"/>
      <c r="Q3092" s="15" t="n"/>
      <c r="R3092" s="25" t="n"/>
      <c r="S3092" s="26">
        <f>IF($A3092="","",AND(OR('Assignment Builder'!$B$5="",$B3092='Assignment Builder'!$B$5),OR('Assignment Builder'!$B$6="",ISNUMBER(SEARCH('Assignment Builder'!$B$6,$C3092))),OR('Assignment Builder'!$B$7="",'Assignment Builder'!$B$7=IFERROR(INDEX('Category Dictionary'!$C$5:$C$135,MATCH($L3092,'Category Dictionary'!$D$5:$D$135,0)),"")),OR('Assignment Builder'!$B$8="",$D3092='Assignment Builder'!$B$8),OR('Assignment Builder'!$B$9="",$F3092='Assignment Builder'!$B$9),OR('Assignment Builder'!$B$10="",$O3092='Assignment Builder'!$B$10),OR('Assignment Builder'!$B$11="",$H3092&gt;='Assignment Builder'!$B$11),OR('Assignment Builder'!$B$12="",N($Q3092)&lt;='Assignment Builder'!$B$12)))</f>
        <v/>
      </c>
      <c r="T3092" s="23" t="n"/>
    </row>
    <row r="3093">
      <c r="A3093" s="23" t="n"/>
      <c r="B3093" s="23" t="n"/>
      <c r="C3093" s="24" t="n"/>
      <c r="D3093" s="15" t="n"/>
      <c r="E3093" s="23" t="n"/>
      <c r="F3093" s="15" t="n"/>
      <c r="G3093" s="23" t="n"/>
      <c r="H3093" s="25" t="n"/>
      <c r="I3093" s="15" t="n"/>
      <c r="J3093" s="26">
        <f>IF($A3093="","",LEN($C3093)-LEN(SUBSTITUTE($C3093,",",""))+1)</f>
        <v/>
      </c>
      <c r="K3093" s="26">
        <f>IF($A3093="","",SUMPRODUCT(--ISNUMBER(SEARCH('Category Dictionary'!$D$5:$D$135&amp;"",$C3093)),--('Category Dictionary'!$D$5:$D$135&lt;&gt;"")))</f>
        <v/>
      </c>
      <c r="L3093" s="27">
        <f>IF($A3093="","",TRIM(IF(ISERROR(FIND(",",$C3093)),$C3093,LEFT($C3093,FIND(",",$C3093)-1))))</f>
        <v/>
      </c>
      <c r="M3093" s="28">
        <f>IF($H3093="","",DATE(YEAR($H3093),MONTH($H3093),1))</f>
        <v/>
      </c>
      <c r="N3093" s="26">
        <f>IF($H3093="","",TODAY()-$H3093)</f>
        <v/>
      </c>
      <c r="O3093" s="15" t="n"/>
      <c r="P3093" s="15" t="n"/>
      <c r="Q3093" s="15" t="n"/>
      <c r="R3093" s="25" t="n"/>
      <c r="S3093" s="26">
        <f>IF($A3093="","",AND(OR('Assignment Builder'!$B$5="",$B3093='Assignment Builder'!$B$5),OR('Assignment Builder'!$B$6="",ISNUMBER(SEARCH('Assignment Builder'!$B$6,$C3093))),OR('Assignment Builder'!$B$7="",'Assignment Builder'!$B$7=IFERROR(INDEX('Category Dictionary'!$C$5:$C$135,MATCH($L3093,'Category Dictionary'!$D$5:$D$135,0)),"")),OR('Assignment Builder'!$B$8="",$D3093='Assignment Builder'!$B$8),OR('Assignment Builder'!$B$9="",$F3093='Assignment Builder'!$B$9),OR('Assignment Builder'!$B$10="",$O3093='Assignment Builder'!$B$10),OR('Assignment Builder'!$B$11="",$H3093&gt;='Assignment Builder'!$B$11),OR('Assignment Builder'!$B$12="",N($Q3093)&lt;='Assignment Builder'!$B$12)))</f>
        <v/>
      </c>
      <c r="T3093" s="23" t="n"/>
    </row>
    <row r="3094">
      <c r="A3094" s="23" t="n"/>
      <c r="B3094" s="23" t="n"/>
      <c r="C3094" s="24" t="n"/>
      <c r="D3094" s="15" t="n"/>
      <c r="E3094" s="23" t="n"/>
      <c r="F3094" s="15" t="n"/>
      <c r="G3094" s="23" t="n"/>
      <c r="H3094" s="25" t="n"/>
      <c r="I3094" s="15" t="n"/>
      <c r="J3094" s="26">
        <f>IF($A3094="","",LEN($C3094)-LEN(SUBSTITUTE($C3094,",",""))+1)</f>
        <v/>
      </c>
      <c r="K3094" s="26">
        <f>IF($A3094="","",SUMPRODUCT(--ISNUMBER(SEARCH('Category Dictionary'!$D$5:$D$135&amp;"",$C3094)),--('Category Dictionary'!$D$5:$D$135&lt;&gt;"")))</f>
        <v/>
      </c>
      <c r="L3094" s="27">
        <f>IF($A3094="","",TRIM(IF(ISERROR(FIND(",",$C3094)),$C3094,LEFT($C3094,FIND(",",$C3094)-1))))</f>
        <v/>
      </c>
      <c r="M3094" s="28">
        <f>IF($H3094="","",DATE(YEAR($H3094),MONTH($H3094),1))</f>
        <v/>
      </c>
      <c r="N3094" s="26">
        <f>IF($H3094="","",TODAY()-$H3094)</f>
        <v/>
      </c>
      <c r="O3094" s="15" t="n"/>
      <c r="P3094" s="15" t="n"/>
      <c r="Q3094" s="15" t="n"/>
      <c r="R3094" s="25" t="n"/>
      <c r="S3094" s="26">
        <f>IF($A3094="","",AND(OR('Assignment Builder'!$B$5="",$B3094='Assignment Builder'!$B$5),OR('Assignment Builder'!$B$6="",ISNUMBER(SEARCH('Assignment Builder'!$B$6,$C3094))),OR('Assignment Builder'!$B$7="",'Assignment Builder'!$B$7=IFERROR(INDEX('Category Dictionary'!$C$5:$C$135,MATCH($L3094,'Category Dictionary'!$D$5:$D$135,0)),"")),OR('Assignment Builder'!$B$8="",$D3094='Assignment Builder'!$B$8),OR('Assignment Builder'!$B$9="",$F3094='Assignment Builder'!$B$9),OR('Assignment Builder'!$B$10="",$O3094='Assignment Builder'!$B$10),OR('Assignment Builder'!$B$11="",$H3094&gt;='Assignment Builder'!$B$11),OR('Assignment Builder'!$B$12="",N($Q3094)&lt;='Assignment Builder'!$B$12)))</f>
        <v/>
      </c>
      <c r="T3094" s="23" t="n"/>
    </row>
    <row r="3095">
      <c r="A3095" s="23" t="n"/>
      <c r="B3095" s="23" t="n"/>
      <c r="C3095" s="24" t="n"/>
      <c r="D3095" s="15" t="n"/>
      <c r="E3095" s="23" t="n"/>
      <c r="F3095" s="15" t="n"/>
      <c r="G3095" s="23" t="n"/>
      <c r="H3095" s="25" t="n"/>
      <c r="I3095" s="15" t="n"/>
      <c r="J3095" s="26">
        <f>IF($A3095="","",LEN($C3095)-LEN(SUBSTITUTE($C3095,",",""))+1)</f>
        <v/>
      </c>
      <c r="K3095" s="26">
        <f>IF($A3095="","",SUMPRODUCT(--ISNUMBER(SEARCH('Category Dictionary'!$D$5:$D$135&amp;"",$C3095)),--('Category Dictionary'!$D$5:$D$135&lt;&gt;"")))</f>
        <v/>
      </c>
      <c r="L3095" s="27">
        <f>IF($A3095="","",TRIM(IF(ISERROR(FIND(",",$C3095)),$C3095,LEFT($C3095,FIND(",",$C3095)-1))))</f>
        <v/>
      </c>
      <c r="M3095" s="28">
        <f>IF($H3095="","",DATE(YEAR($H3095),MONTH($H3095),1))</f>
        <v/>
      </c>
      <c r="N3095" s="26">
        <f>IF($H3095="","",TODAY()-$H3095)</f>
        <v/>
      </c>
      <c r="O3095" s="15" t="n"/>
      <c r="P3095" s="15" t="n"/>
      <c r="Q3095" s="15" t="n"/>
      <c r="R3095" s="25" t="n"/>
      <c r="S3095" s="26">
        <f>IF($A3095="","",AND(OR('Assignment Builder'!$B$5="",$B3095='Assignment Builder'!$B$5),OR('Assignment Builder'!$B$6="",ISNUMBER(SEARCH('Assignment Builder'!$B$6,$C3095))),OR('Assignment Builder'!$B$7="",'Assignment Builder'!$B$7=IFERROR(INDEX('Category Dictionary'!$C$5:$C$135,MATCH($L3095,'Category Dictionary'!$D$5:$D$135,0)),"")),OR('Assignment Builder'!$B$8="",$D3095='Assignment Builder'!$B$8),OR('Assignment Builder'!$B$9="",$F3095='Assignment Builder'!$B$9),OR('Assignment Builder'!$B$10="",$O3095='Assignment Builder'!$B$10),OR('Assignment Builder'!$B$11="",$H3095&gt;='Assignment Builder'!$B$11),OR('Assignment Builder'!$B$12="",N($Q3095)&lt;='Assignment Builder'!$B$12)))</f>
        <v/>
      </c>
      <c r="T3095" s="23" t="n"/>
    </row>
    <row r="3096">
      <c r="A3096" s="23" t="n"/>
      <c r="B3096" s="23" t="n"/>
      <c r="C3096" s="24" t="n"/>
      <c r="D3096" s="15" t="n"/>
      <c r="E3096" s="23" t="n"/>
      <c r="F3096" s="15" t="n"/>
      <c r="G3096" s="23" t="n"/>
      <c r="H3096" s="25" t="n"/>
      <c r="I3096" s="15" t="n"/>
      <c r="J3096" s="26">
        <f>IF($A3096="","",LEN($C3096)-LEN(SUBSTITUTE($C3096,",",""))+1)</f>
        <v/>
      </c>
      <c r="K3096" s="26">
        <f>IF($A3096="","",SUMPRODUCT(--ISNUMBER(SEARCH('Category Dictionary'!$D$5:$D$135&amp;"",$C3096)),--('Category Dictionary'!$D$5:$D$135&lt;&gt;"")))</f>
        <v/>
      </c>
      <c r="L3096" s="27">
        <f>IF($A3096="","",TRIM(IF(ISERROR(FIND(",",$C3096)),$C3096,LEFT($C3096,FIND(",",$C3096)-1))))</f>
        <v/>
      </c>
      <c r="M3096" s="28">
        <f>IF($H3096="","",DATE(YEAR($H3096),MONTH($H3096),1))</f>
        <v/>
      </c>
      <c r="N3096" s="26">
        <f>IF($H3096="","",TODAY()-$H3096)</f>
        <v/>
      </c>
      <c r="O3096" s="15" t="n"/>
      <c r="P3096" s="15" t="n"/>
      <c r="Q3096" s="15" t="n"/>
      <c r="R3096" s="25" t="n"/>
      <c r="S3096" s="26">
        <f>IF($A3096="","",AND(OR('Assignment Builder'!$B$5="",$B3096='Assignment Builder'!$B$5),OR('Assignment Builder'!$B$6="",ISNUMBER(SEARCH('Assignment Builder'!$B$6,$C3096))),OR('Assignment Builder'!$B$7="",'Assignment Builder'!$B$7=IFERROR(INDEX('Category Dictionary'!$C$5:$C$135,MATCH($L3096,'Category Dictionary'!$D$5:$D$135,0)),"")),OR('Assignment Builder'!$B$8="",$D3096='Assignment Builder'!$B$8),OR('Assignment Builder'!$B$9="",$F3096='Assignment Builder'!$B$9),OR('Assignment Builder'!$B$10="",$O3096='Assignment Builder'!$B$10),OR('Assignment Builder'!$B$11="",$H3096&gt;='Assignment Builder'!$B$11),OR('Assignment Builder'!$B$12="",N($Q3096)&lt;='Assignment Builder'!$B$12)))</f>
        <v/>
      </c>
      <c r="T3096" s="23" t="n"/>
    </row>
    <row r="3097">
      <c r="A3097" s="23" t="n"/>
      <c r="B3097" s="23" t="n"/>
      <c r="C3097" s="24" t="n"/>
      <c r="D3097" s="15" t="n"/>
      <c r="E3097" s="23" t="n"/>
      <c r="F3097" s="15" t="n"/>
      <c r="G3097" s="23" t="n"/>
      <c r="H3097" s="25" t="n"/>
      <c r="I3097" s="15" t="n"/>
      <c r="J3097" s="26">
        <f>IF($A3097="","",LEN($C3097)-LEN(SUBSTITUTE($C3097,",",""))+1)</f>
        <v/>
      </c>
      <c r="K3097" s="26">
        <f>IF($A3097="","",SUMPRODUCT(--ISNUMBER(SEARCH('Category Dictionary'!$D$5:$D$135&amp;"",$C3097)),--('Category Dictionary'!$D$5:$D$135&lt;&gt;"")))</f>
        <v/>
      </c>
      <c r="L3097" s="27">
        <f>IF($A3097="","",TRIM(IF(ISERROR(FIND(",",$C3097)),$C3097,LEFT($C3097,FIND(",",$C3097)-1))))</f>
        <v/>
      </c>
      <c r="M3097" s="28">
        <f>IF($H3097="","",DATE(YEAR($H3097),MONTH($H3097),1))</f>
        <v/>
      </c>
      <c r="N3097" s="26">
        <f>IF($H3097="","",TODAY()-$H3097)</f>
        <v/>
      </c>
      <c r="O3097" s="15" t="n"/>
      <c r="P3097" s="15" t="n"/>
      <c r="Q3097" s="15" t="n"/>
      <c r="R3097" s="25" t="n"/>
      <c r="S3097" s="26">
        <f>IF($A3097="","",AND(OR('Assignment Builder'!$B$5="",$B3097='Assignment Builder'!$B$5),OR('Assignment Builder'!$B$6="",ISNUMBER(SEARCH('Assignment Builder'!$B$6,$C3097))),OR('Assignment Builder'!$B$7="",'Assignment Builder'!$B$7=IFERROR(INDEX('Category Dictionary'!$C$5:$C$135,MATCH($L3097,'Category Dictionary'!$D$5:$D$135,0)),"")),OR('Assignment Builder'!$B$8="",$D3097='Assignment Builder'!$B$8),OR('Assignment Builder'!$B$9="",$F3097='Assignment Builder'!$B$9),OR('Assignment Builder'!$B$10="",$O3097='Assignment Builder'!$B$10),OR('Assignment Builder'!$B$11="",$H3097&gt;='Assignment Builder'!$B$11),OR('Assignment Builder'!$B$12="",N($Q3097)&lt;='Assignment Builder'!$B$12)))</f>
        <v/>
      </c>
      <c r="T3097" s="23" t="n"/>
    </row>
    <row r="3098">
      <c r="A3098" s="23" t="n"/>
      <c r="B3098" s="23" t="n"/>
      <c r="C3098" s="24" t="n"/>
      <c r="D3098" s="15" t="n"/>
      <c r="E3098" s="23" t="n"/>
      <c r="F3098" s="15" t="n"/>
      <c r="G3098" s="23" t="n"/>
      <c r="H3098" s="25" t="n"/>
      <c r="I3098" s="15" t="n"/>
      <c r="J3098" s="26">
        <f>IF($A3098="","",LEN($C3098)-LEN(SUBSTITUTE($C3098,",",""))+1)</f>
        <v/>
      </c>
      <c r="K3098" s="26">
        <f>IF($A3098="","",SUMPRODUCT(--ISNUMBER(SEARCH('Category Dictionary'!$D$5:$D$135&amp;"",$C3098)),--('Category Dictionary'!$D$5:$D$135&lt;&gt;"")))</f>
        <v/>
      </c>
      <c r="L3098" s="27">
        <f>IF($A3098="","",TRIM(IF(ISERROR(FIND(",",$C3098)),$C3098,LEFT($C3098,FIND(",",$C3098)-1))))</f>
        <v/>
      </c>
      <c r="M3098" s="28">
        <f>IF($H3098="","",DATE(YEAR($H3098),MONTH($H3098),1))</f>
        <v/>
      </c>
      <c r="N3098" s="26">
        <f>IF($H3098="","",TODAY()-$H3098)</f>
        <v/>
      </c>
      <c r="O3098" s="15" t="n"/>
      <c r="P3098" s="15" t="n"/>
      <c r="Q3098" s="15" t="n"/>
      <c r="R3098" s="25" t="n"/>
      <c r="S3098" s="26">
        <f>IF($A3098="","",AND(OR('Assignment Builder'!$B$5="",$B3098='Assignment Builder'!$B$5),OR('Assignment Builder'!$B$6="",ISNUMBER(SEARCH('Assignment Builder'!$B$6,$C3098))),OR('Assignment Builder'!$B$7="",'Assignment Builder'!$B$7=IFERROR(INDEX('Category Dictionary'!$C$5:$C$135,MATCH($L3098,'Category Dictionary'!$D$5:$D$135,0)),"")),OR('Assignment Builder'!$B$8="",$D3098='Assignment Builder'!$B$8),OR('Assignment Builder'!$B$9="",$F3098='Assignment Builder'!$B$9),OR('Assignment Builder'!$B$10="",$O3098='Assignment Builder'!$B$10),OR('Assignment Builder'!$B$11="",$H3098&gt;='Assignment Builder'!$B$11),OR('Assignment Builder'!$B$12="",N($Q3098)&lt;='Assignment Builder'!$B$12)))</f>
        <v/>
      </c>
      <c r="T3098" s="23" t="n"/>
    </row>
    <row r="3099">
      <c r="A3099" s="23" t="n"/>
      <c r="B3099" s="23" t="n"/>
      <c r="C3099" s="24" t="n"/>
      <c r="D3099" s="15" t="n"/>
      <c r="E3099" s="23" t="n"/>
      <c r="F3099" s="15" t="n"/>
      <c r="G3099" s="23" t="n"/>
      <c r="H3099" s="25" t="n"/>
      <c r="I3099" s="15" t="n"/>
      <c r="J3099" s="26">
        <f>IF($A3099="","",LEN($C3099)-LEN(SUBSTITUTE($C3099,",",""))+1)</f>
        <v/>
      </c>
      <c r="K3099" s="26">
        <f>IF($A3099="","",SUMPRODUCT(--ISNUMBER(SEARCH('Category Dictionary'!$D$5:$D$135&amp;"",$C3099)),--('Category Dictionary'!$D$5:$D$135&lt;&gt;"")))</f>
        <v/>
      </c>
      <c r="L3099" s="27">
        <f>IF($A3099="","",TRIM(IF(ISERROR(FIND(",",$C3099)),$C3099,LEFT($C3099,FIND(",",$C3099)-1))))</f>
        <v/>
      </c>
      <c r="M3099" s="28">
        <f>IF($H3099="","",DATE(YEAR($H3099),MONTH($H3099),1))</f>
        <v/>
      </c>
      <c r="N3099" s="26">
        <f>IF($H3099="","",TODAY()-$H3099)</f>
        <v/>
      </c>
      <c r="O3099" s="15" t="n"/>
      <c r="P3099" s="15" t="n"/>
      <c r="Q3099" s="15" t="n"/>
      <c r="R3099" s="25" t="n"/>
      <c r="S3099" s="26">
        <f>IF($A3099="","",AND(OR('Assignment Builder'!$B$5="",$B3099='Assignment Builder'!$B$5),OR('Assignment Builder'!$B$6="",ISNUMBER(SEARCH('Assignment Builder'!$B$6,$C3099))),OR('Assignment Builder'!$B$7="",'Assignment Builder'!$B$7=IFERROR(INDEX('Category Dictionary'!$C$5:$C$135,MATCH($L3099,'Category Dictionary'!$D$5:$D$135,0)),"")),OR('Assignment Builder'!$B$8="",$D3099='Assignment Builder'!$B$8),OR('Assignment Builder'!$B$9="",$F3099='Assignment Builder'!$B$9),OR('Assignment Builder'!$B$10="",$O3099='Assignment Builder'!$B$10),OR('Assignment Builder'!$B$11="",$H3099&gt;='Assignment Builder'!$B$11),OR('Assignment Builder'!$B$12="",N($Q3099)&lt;='Assignment Builder'!$B$12)))</f>
        <v/>
      </c>
      <c r="T3099" s="23" t="n"/>
    </row>
    <row r="3100">
      <c r="A3100" s="23" t="n"/>
      <c r="B3100" s="23" t="n"/>
      <c r="C3100" s="24" t="n"/>
      <c r="D3100" s="15" t="n"/>
      <c r="E3100" s="23" t="n"/>
      <c r="F3100" s="15" t="n"/>
      <c r="G3100" s="23" t="n"/>
      <c r="H3100" s="25" t="n"/>
      <c r="I3100" s="15" t="n"/>
      <c r="J3100" s="26">
        <f>IF($A3100="","",LEN($C3100)-LEN(SUBSTITUTE($C3100,",",""))+1)</f>
        <v/>
      </c>
      <c r="K3100" s="26">
        <f>IF($A3100="","",SUMPRODUCT(--ISNUMBER(SEARCH('Category Dictionary'!$D$5:$D$135&amp;"",$C3100)),--('Category Dictionary'!$D$5:$D$135&lt;&gt;"")))</f>
        <v/>
      </c>
      <c r="L3100" s="27">
        <f>IF($A3100="","",TRIM(IF(ISERROR(FIND(",",$C3100)),$C3100,LEFT($C3100,FIND(",",$C3100)-1))))</f>
        <v/>
      </c>
      <c r="M3100" s="28">
        <f>IF($H3100="","",DATE(YEAR($H3100),MONTH($H3100),1))</f>
        <v/>
      </c>
      <c r="N3100" s="26">
        <f>IF($H3100="","",TODAY()-$H3100)</f>
        <v/>
      </c>
      <c r="O3100" s="15" t="n"/>
      <c r="P3100" s="15" t="n"/>
      <c r="Q3100" s="15" t="n"/>
      <c r="R3100" s="25" t="n"/>
      <c r="S3100" s="26">
        <f>IF($A3100="","",AND(OR('Assignment Builder'!$B$5="",$B3100='Assignment Builder'!$B$5),OR('Assignment Builder'!$B$6="",ISNUMBER(SEARCH('Assignment Builder'!$B$6,$C3100))),OR('Assignment Builder'!$B$7="",'Assignment Builder'!$B$7=IFERROR(INDEX('Category Dictionary'!$C$5:$C$135,MATCH($L3100,'Category Dictionary'!$D$5:$D$135,0)),"")),OR('Assignment Builder'!$B$8="",$D3100='Assignment Builder'!$B$8),OR('Assignment Builder'!$B$9="",$F3100='Assignment Builder'!$B$9),OR('Assignment Builder'!$B$10="",$O3100='Assignment Builder'!$B$10),OR('Assignment Builder'!$B$11="",$H3100&gt;='Assignment Builder'!$B$11),OR('Assignment Builder'!$B$12="",N($Q3100)&lt;='Assignment Builder'!$B$12)))</f>
        <v/>
      </c>
      <c r="T3100" s="23" t="n"/>
    </row>
    <row r="3101">
      <c r="A3101" s="23" t="n"/>
      <c r="B3101" s="23" t="n"/>
      <c r="C3101" s="24" t="n"/>
      <c r="D3101" s="15" t="n"/>
      <c r="E3101" s="23" t="n"/>
      <c r="F3101" s="15" t="n"/>
      <c r="G3101" s="23" t="n"/>
      <c r="H3101" s="25" t="n"/>
      <c r="I3101" s="15" t="n"/>
      <c r="J3101" s="26">
        <f>IF($A3101="","",LEN($C3101)-LEN(SUBSTITUTE($C3101,",",""))+1)</f>
        <v/>
      </c>
      <c r="K3101" s="26">
        <f>IF($A3101="","",SUMPRODUCT(--ISNUMBER(SEARCH('Category Dictionary'!$D$5:$D$135&amp;"",$C3101)),--('Category Dictionary'!$D$5:$D$135&lt;&gt;"")))</f>
        <v/>
      </c>
      <c r="L3101" s="27">
        <f>IF($A3101="","",TRIM(IF(ISERROR(FIND(",",$C3101)),$C3101,LEFT($C3101,FIND(",",$C3101)-1))))</f>
        <v/>
      </c>
      <c r="M3101" s="28">
        <f>IF($H3101="","",DATE(YEAR($H3101),MONTH($H3101),1))</f>
        <v/>
      </c>
      <c r="N3101" s="26">
        <f>IF($H3101="","",TODAY()-$H3101)</f>
        <v/>
      </c>
      <c r="O3101" s="15" t="n"/>
      <c r="P3101" s="15" t="n"/>
      <c r="Q3101" s="15" t="n"/>
      <c r="R3101" s="25" t="n"/>
      <c r="S3101" s="26">
        <f>IF($A3101="","",AND(OR('Assignment Builder'!$B$5="",$B3101='Assignment Builder'!$B$5),OR('Assignment Builder'!$B$6="",ISNUMBER(SEARCH('Assignment Builder'!$B$6,$C3101))),OR('Assignment Builder'!$B$7="",'Assignment Builder'!$B$7=IFERROR(INDEX('Category Dictionary'!$C$5:$C$135,MATCH($L3101,'Category Dictionary'!$D$5:$D$135,0)),"")),OR('Assignment Builder'!$B$8="",$D3101='Assignment Builder'!$B$8),OR('Assignment Builder'!$B$9="",$F3101='Assignment Builder'!$B$9),OR('Assignment Builder'!$B$10="",$O3101='Assignment Builder'!$B$10),OR('Assignment Builder'!$B$11="",$H3101&gt;='Assignment Builder'!$B$11),OR('Assignment Builder'!$B$12="",N($Q3101)&lt;='Assignment Builder'!$B$12)))</f>
        <v/>
      </c>
      <c r="T3101" s="23" t="n"/>
    </row>
    <row r="3102">
      <c r="A3102" s="23" t="n"/>
      <c r="B3102" s="23" t="n"/>
      <c r="C3102" s="24" t="n"/>
      <c r="D3102" s="15" t="n"/>
      <c r="E3102" s="23" t="n"/>
      <c r="F3102" s="15" t="n"/>
      <c r="G3102" s="23" t="n"/>
      <c r="H3102" s="25" t="n"/>
      <c r="I3102" s="15" t="n"/>
      <c r="J3102" s="26">
        <f>IF($A3102="","",LEN($C3102)-LEN(SUBSTITUTE($C3102,",",""))+1)</f>
        <v/>
      </c>
      <c r="K3102" s="26">
        <f>IF($A3102="","",SUMPRODUCT(--ISNUMBER(SEARCH('Category Dictionary'!$D$5:$D$135&amp;"",$C3102)),--('Category Dictionary'!$D$5:$D$135&lt;&gt;"")))</f>
        <v/>
      </c>
      <c r="L3102" s="27">
        <f>IF($A3102="","",TRIM(IF(ISERROR(FIND(",",$C3102)),$C3102,LEFT($C3102,FIND(",",$C3102)-1))))</f>
        <v/>
      </c>
      <c r="M3102" s="28">
        <f>IF($H3102="","",DATE(YEAR($H3102),MONTH($H3102),1))</f>
        <v/>
      </c>
      <c r="N3102" s="26">
        <f>IF($H3102="","",TODAY()-$H3102)</f>
        <v/>
      </c>
      <c r="O3102" s="15" t="n"/>
      <c r="P3102" s="15" t="n"/>
      <c r="Q3102" s="15" t="n"/>
      <c r="R3102" s="25" t="n"/>
      <c r="S3102" s="26">
        <f>IF($A3102="","",AND(OR('Assignment Builder'!$B$5="",$B3102='Assignment Builder'!$B$5),OR('Assignment Builder'!$B$6="",ISNUMBER(SEARCH('Assignment Builder'!$B$6,$C3102))),OR('Assignment Builder'!$B$7="",'Assignment Builder'!$B$7=IFERROR(INDEX('Category Dictionary'!$C$5:$C$135,MATCH($L3102,'Category Dictionary'!$D$5:$D$135,0)),"")),OR('Assignment Builder'!$B$8="",$D3102='Assignment Builder'!$B$8),OR('Assignment Builder'!$B$9="",$F3102='Assignment Builder'!$B$9),OR('Assignment Builder'!$B$10="",$O3102='Assignment Builder'!$B$10),OR('Assignment Builder'!$B$11="",$H3102&gt;='Assignment Builder'!$B$11),OR('Assignment Builder'!$B$12="",N($Q3102)&lt;='Assignment Builder'!$B$12)))</f>
        <v/>
      </c>
      <c r="T3102" s="23" t="n"/>
    </row>
    <row r="3103">
      <c r="A3103" s="23" t="n"/>
      <c r="B3103" s="23" t="n"/>
      <c r="C3103" s="24" t="n"/>
      <c r="D3103" s="15" t="n"/>
      <c r="E3103" s="23" t="n"/>
      <c r="F3103" s="15" t="n"/>
      <c r="G3103" s="23" t="n"/>
      <c r="H3103" s="25" t="n"/>
      <c r="I3103" s="15" t="n"/>
      <c r="J3103" s="26">
        <f>IF($A3103="","",LEN($C3103)-LEN(SUBSTITUTE($C3103,",",""))+1)</f>
        <v/>
      </c>
      <c r="K3103" s="26">
        <f>IF($A3103="","",SUMPRODUCT(--ISNUMBER(SEARCH('Category Dictionary'!$D$5:$D$135&amp;"",$C3103)),--('Category Dictionary'!$D$5:$D$135&lt;&gt;"")))</f>
        <v/>
      </c>
      <c r="L3103" s="27">
        <f>IF($A3103="","",TRIM(IF(ISERROR(FIND(",",$C3103)),$C3103,LEFT($C3103,FIND(",",$C3103)-1))))</f>
        <v/>
      </c>
      <c r="M3103" s="28">
        <f>IF($H3103="","",DATE(YEAR($H3103),MONTH($H3103),1))</f>
        <v/>
      </c>
      <c r="N3103" s="26">
        <f>IF($H3103="","",TODAY()-$H3103)</f>
        <v/>
      </c>
      <c r="O3103" s="15" t="n"/>
      <c r="P3103" s="15" t="n"/>
      <c r="Q3103" s="15" t="n"/>
      <c r="R3103" s="25" t="n"/>
      <c r="S3103" s="26">
        <f>IF($A3103="","",AND(OR('Assignment Builder'!$B$5="",$B3103='Assignment Builder'!$B$5),OR('Assignment Builder'!$B$6="",ISNUMBER(SEARCH('Assignment Builder'!$B$6,$C3103))),OR('Assignment Builder'!$B$7="",'Assignment Builder'!$B$7=IFERROR(INDEX('Category Dictionary'!$C$5:$C$135,MATCH($L3103,'Category Dictionary'!$D$5:$D$135,0)),"")),OR('Assignment Builder'!$B$8="",$D3103='Assignment Builder'!$B$8),OR('Assignment Builder'!$B$9="",$F3103='Assignment Builder'!$B$9),OR('Assignment Builder'!$B$10="",$O3103='Assignment Builder'!$B$10),OR('Assignment Builder'!$B$11="",$H3103&gt;='Assignment Builder'!$B$11),OR('Assignment Builder'!$B$12="",N($Q3103)&lt;='Assignment Builder'!$B$12)))</f>
        <v/>
      </c>
      <c r="T3103" s="23" t="n"/>
    </row>
    <row r="3104">
      <c r="A3104" s="23" t="n"/>
      <c r="B3104" s="23" t="n"/>
      <c r="C3104" s="24" t="n"/>
      <c r="D3104" s="15" t="n"/>
      <c r="E3104" s="23" t="n"/>
      <c r="F3104" s="15" t="n"/>
      <c r="G3104" s="23" t="n"/>
      <c r="H3104" s="25" t="n"/>
      <c r="I3104" s="15" t="n"/>
      <c r="J3104" s="26">
        <f>IF($A3104="","",LEN($C3104)-LEN(SUBSTITUTE($C3104,",",""))+1)</f>
        <v/>
      </c>
      <c r="K3104" s="26">
        <f>IF($A3104="","",SUMPRODUCT(--ISNUMBER(SEARCH('Category Dictionary'!$D$5:$D$135&amp;"",$C3104)),--('Category Dictionary'!$D$5:$D$135&lt;&gt;"")))</f>
        <v/>
      </c>
      <c r="L3104" s="27">
        <f>IF($A3104="","",TRIM(IF(ISERROR(FIND(",",$C3104)),$C3104,LEFT($C3104,FIND(",",$C3104)-1))))</f>
        <v/>
      </c>
      <c r="M3104" s="28">
        <f>IF($H3104="","",DATE(YEAR($H3104),MONTH($H3104),1))</f>
        <v/>
      </c>
      <c r="N3104" s="26">
        <f>IF($H3104="","",TODAY()-$H3104)</f>
        <v/>
      </c>
      <c r="O3104" s="15" t="n"/>
      <c r="P3104" s="15" t="n"/>
      <c r="Q3104" s="15" t="n"/>
      <c r="R3104" s="25" t="n"/>
      <c r="S3104" s="26">
        <f>IF($A3104="","",AND(OR('Assignment Builder'!$B$5="",$B3104='Assignment Builder'!$B$5),OR('Assignment Builder'!$B$6="",ISNUMBER(SEARCH('Assignment Builder'!$B$6,$C3104))),OR('Assignment Builder'!$B$7="",'Assignment Builder'!$B$7=IFERROR(INDEX('Category Dictionary'!$C$5:$C$135,MATCH($L3104,'Category Dictionary'!$D$5:$D$135,0)),"")),OR('Assignment Builder'!$B$8="",$D3104='Assignment Builder'!$B$8),OR('Assignment Builder'!$B$9="",$F3104='Assignment Builder'!$B$9),OR('Assignment Builder'!$B$10="",$O3104='Assignment Builder'!$B$10),OR('Assignment Builder'!$B$11="",$H3104&gt;='Assignment Builder'!$B$11),OR('Assignment Builder'!$B$12="",N($Q3104)&lt;='Assignment Builder'!$B$12)))</f>
        <v/>
      </c>
      <c r="T3104" s="23" t="n"/>
    </row>
    <row r="3105">
      <c r="A3105" s="23" t="n"/>
      <c r="B3105" s="23" t="n"/>
      <c r="C3105" s="24" t="n"/>
      <c r="D3105" s="15" t="n"/>
      <c r="E3105" s="23" t="n"/>
      <c r="F3105" s="15" t="n"/>
      <c r="G3105" s="23" t="n"/>
      <c r="H3105" s="25" t="n"/>
      <c r="I3105" s="15" t="n"/>
      <c r="J3105" s="26">
        <f>IF($A3105="","",LEN($C3105)-LEN(SUBSTITUTE($C3105,",",""))+1)</f>
        <v/>
      </c>
      <c r="K3105" s="26">
        <f>IF($A3105="","",SUMPRODUCT(--ISNUMBER(SEARCH('Category Dictionary'!$D$5:$D$135&amp;"",$C3105)),--('Category Dictionary'!$D$5:$D$135&lt;&gt;"")))</f>
        <v/>
      </c>
      <c r="L3105" s="27">
        <f>IF($A3105="","",TRIM(IF(ISERROR(FIND(",",$C3105)),$C3105,LEFT($C3105,FIND(",",$C3105)-1))))</f>
        <v/>
      </c>
      <c r="M3105" s="28">
        <f>IF($H3105="","",DATE(YEAR($H3105),MONTH($H3105),1))</f>
        <v/>
      </c>
      <c r="N3105" s="26">
        <f>IF($H3105="","",TODAY()-$H3105)</f>
        <v/>
      </c>
      <c r="O3105" s="15" t="n"/>
      <c r="P3105" s="15" t="n"/>
      <c r="Q3105" s="15" t="n"/>
      <c r="R3105" s="25" t="n"/>
      <c r="S3105" s="26">
        <f>IF($A3105="","",AND(OR('Assignment Builder'!$B$5="",$B3105='Assignment Builder'!$B$5),OR('Assignment Builder'!$B$6="",ISNUMBER(SEARCH('Assignment Builder'!$B$6,$C3105))),OR('Assignment Builder'!$B$7="",'Assignment Builder'!$B$7=IFERROR(INDEX('Category Dictionary'!$C$5:$C$135,MATCH($L3105,'Category Dictionary'!$D$5:$D$135,0)),"")),OR('Assignment Builder'!$B$8="",$D3105='Assignment Builder'!$B$8),OR('Assignment Builder'!$B$9="",$F3105='Assignment Builder'!$B$9),OR('Assignment Builder'!$B$10="",$O3105='Assignment Builder'!$B$10),OR('Assignment Builder'!$B$11="",$H3105&gt;='Assignment Builder'!$B$11),OR('Assignment Builder'!$B$12="",N($Q3105)&lt;='Assignment Builder'!$B$12)))</f>
        <v/>
      </c>
      <c r="T3105" s="23" t="n"/>
    </row>
    <row r="3106">
      <c r="A3106" s="23" t="n"/>
      <c r="B3106" s="23" t="n"/>
      <c r="C3106" s="24" t="n"/>
      <c r="D3106" s="15" t="n"/>
      <c r="E3106" s="23" t="n"/>
      <c r="F3106" s="15" t="n"/>
      <c r="G3106" s="23" t="n"/>
      <c r="H3106" s="25" t="n"/>
      <c r="I3106" s="15" t="n"/>
      <c r="J3106" s="26">
        <f>IF($A3106="","",LEN($C3106)-LEN(SUBSTITUTE($C3106,",",""))+1)</f>
        <v/>
      </c>
      <c r="K3106" s="26">
        <f>IF($A3106="","",SUMPRODUCT(--ISNUMBER(SEARCH('Category Dictionary'!$D$5:$D$135&amp;"",$C3106)),--('Category Dictionary'!$D$5:$D$135&lt;&gt;"")))</f>
        <v/>
      </c>
      <c r="L3106" s="27">
        <f>IF($A3106="","",TRIM(IF(ISERROR(FIND(",",$C3106)),$C3106,LEFT($C3106,FIND(",",$C3106)-1))))</f>
        <v/>
      </c>
      <c r="M3106" s="28">
        <f>IF($H3106="","",DATE(YEAR($H3106),MONTH($H3106),1))</f>
        <v/>
      </c>
      <c r="N3106" s="26">
        <f>IF($H3106="","",TODAY()-$H3106)</f>
        <v/>
      </c>
      <c r="O3106" s="15" t="n"/>
      <c r="P3106" s="15" t="n"/>
      <c r="Q3106" s="15" t="n"/>
      <c r="R3106" s="25" t="n"/>
      <c r="S3106" s="26">
        <f>IF($A3106="","",AND(OR('Assignment Builder'!$B$5="",$B3106='Assignment Builder'!$B$5),OR('Assignment Builder'!$B$6="",ISNUMBER(SEARCH('Assignment Builder'!$B$6,$C3106))),OR('Assignment Builder'!$B$7="",'Assignment Builder'!$B$7=IFERROR(INDEX('Category Dictionary'!$C$5:$C$135,MATCH($L3106,'Category Dictionary'!$D$5:$D$135,0)),"")),OR('Assignment Builder'!$B$8="",$D3106='Assignment Builder'!$B$8),OR('Assignment Builder'!$B$9="",$F3106='Assignment Builder'!$B$9),OR('Assignment Builder'!$B$10="",$O3106='Assignment Builder'!$B$10),OR('Assignment Builder'!$B$11="",$H3106&gt;='Assignment Builder'!$B$11),OR('Assignment Builder'!$B$12="",N($Q3106)&lt;='Assignment Builder'!$B$12)))</f>
        <v/>
      </c>
      <c r="T3106" s="23" t="n"/>
    </row>
    <row r="3107">
      <c r="A3107" s="23" t="n"/>
      <c r="B3107" s="23" t="n"/>
      <c r="C3107" s="24" t="n"/>
      <c r="D3107" s="15" t="n"/>
      <c r="E3107" s="23" t="n"/>
      <c r="F3107" s="15" t="n"/>
      <c r="G3107" s="23" t="n"/>
      <c r="H3107" s="25" t="n"/>
      <c r="I3107" s="15" t="n"/>
      <c r="J3107" s="26">
        <f>IF($A3107="","",LEN($C3107)-LEN(SUBSTITUTE($C3107,",",""))+1)</f>
        <v/>
      </c>
      <c r="K3107" s="26">
        <f>IF($A3107="","",SUMPRODUCT(--ISNUMBER(SEARCH('Category Dictionary'!$D$5:$D$135&amp;"",$C3107)),--('Category Dictionary'!$D$5:$D$135&lt;&gt;"")))</f>
        <v/>
      </c>
      <c r="L3107" s="27">
        <f>IF($A3107="","",TRIM(IF(ISERROR(FIND(",",$C3107)),$C3107,LEFT($C3107,FIND(",",$C3107)-1))))</f>
        <v/>
      </c>
      <c r="M3107" s="28">
        <f>IF($H3107="","",DATE(YEAR($H3107),MONTH($H3107),1))</f>
        <v/>
      </c>
      <c r="N3107" s="26">
        <f>IF($H3107="","",TODAY()-$H3107)</f>
        <v/>
      </c>
      <c r="O3107" s="15" t="n"/>
      <c r="P3107" s="15" t="n"/>
      <c r="Q3107" s="15" t="n"/>
      <c r="R3107" s="25" t="n"/>
      <c r="S3107" s="26">
        <f>IF($A3107="","",AND(OR('Assignment Builder'!$B$5="",$B3107='Assignment Builder'!$B$5),OR('Assignment Builder'!$B$6="",ISNUMBER(SEARCH('Assignment Builder'!$B$6,$C3107))),OR('Assignment Builder'!$B$7="",'Assignment Builder'!$B$7=IFERROR(INDEX('Category Dictionary'!$C$5:$C$135,MATCH($L3107,'Category Dictionary'!$D$5:$D$135,0)),"")),OR('Assignment Builder'!$B$8="",$D3107='Assignment Builder'!$B$8),OR('Assignment Builder'!$B$9="",$F3107='Assignment Builder'!$B$9),OR('Assignment Builder'!$B$10="",$O3107='Assignment Builder'!$B$10),OR('Assignment Builder'!$B$11="",$H3107&gt;='Assignment Builder'!$B$11),OR('Assignment Builder'!$B$12="",N($Q3107)&lt;='Assignment Builder'!$B$12)))</f>
        <v/>
      </c>
      <c r="T3107" s="23" t="n"/>
    </row>
    <row r="3108">
      <c r="A3108" s="23" t="n"/>
      <c r="B3108" s="23" t="n"/>
      <c r="C3108" s="24" t="n"/>
      <c r="D3108" s="15" t="n"/>
      <c r="E3108" s="23" t="n"/>
      <c r="F3108" s="15" t="n"/>
      <c r="G3108" s="23" t="n"/>
      <c r="H3108" s="25" t="n"/>
      <c r="I3108" s="15" t="n"/>
      <c r="J3108" s="26">
        <f>IF($A3108="","",LEN($C3108)-LEN(SUBSTITUTE($C3108,",",""))+1)</f>
        <v/>
      </c>
      <c r="K3108" s="26">
        <f>IF($A3108="","",SUMPRODUCT(--ISNUMBER(SEARCH('Category Dictionary'!$D$5:$D$135&amp;"",$C3108)),--('Category Dictionary'!$D$5:$D$135&lt;&gt;"")))</f>
        <v/>
      </c>
      <c r="L3108" s="27">
        <f>IF($A3108="","",TRIM(IF(ISERROR(FIND(",",$C3108)),$C3108,LEFT($C3108,FIND(",",$C3108)-1))))</f>
        <v/>
      </c>
      <c r="M3108" s="28">
        <f>IF($H3108="","",DATE(YEAR($H3108),MONTH($H3108),1))</f>
        <v/>
      </c>
      <c r="N3108" s="26">
        <f>IF($H3108="","",TODAY()-$H3108)</f>
        <v/>
      </c>
      <c r="O3108" s="15" t="n"/>
      <c r="P3108" s="15" t="n"/>
      <c r="Q3108" s="15" t="n"/>
      <c r="R3108" s="25" t="n"/>
      <c r="S3108" s="26">
        <f>IF($A3108="","",AND(OR('Assignment Builder'!$B$5="",$B3108='Assignment Builder'!$B$5),OR('Assignment Builder'!$B$6="",ISNUMBER(SEARCH('Assignment Builder'!$B$6,$C3108))),OR('Assignment Builder'!$B$7="",'Assignment Builder'!$B$7=IFERROR(INDEX('Category Dictionary'!$C$5:$C$135,MATCH($L3108,'Category Dictionary'!$D$5:$D$135,0)),"")),OR('Assignment Builder'!$B$8="",$D3108='Assignment Builder'!$B$8),OR('Assignment Builder'!$B$9="",$F3108='Assignment Builder'!$B$9),OR('Assignment Builder'!$B$10="",$O3108='Assignment Builder'!$B$10),OR('Assignment Builder'!$B$11="",$H3108&gt;='Assignment Builder'!$B$11),OR('Assignment Builder'!$B$12="",N($Q3108)&lt;='Assignment Builder'!$B$12)))</f>
        <v/>
      </c>
      <c r="T3108" s="23" t="n"/>
    </row>
    <row r="3109">
      <c r="A3109" s="23" t="n"/>
      <c r="B3109" s="23" t="n"/>
      <c r="C3109" s="24" t="n"/>
      <c r="D3109" s="15" t="n"/>
      <c r="E3109" s="23" t="n"/>
      <c r="F3109" s="15" t="n"/>
      <c r="G3109" s="23" t="n"/>
      <c r="H3109" s="25" t="n"/>
      <c r="I3109" s="15" t="n"/>
      <c r="J3109" s="26">
        <f>IF($A3109="","",LEN($C3109)-LEN(SUBSTITUTE($C3109,",",""))+1)</f>
        <v/>
      </c>
      <c r="K3109" s="26">
        <f>IF($A3109="","",SUMPRODUCT(--ISNUMBER(SEARCH('Category Dictionary'!$D$5:$D$135&amp;"",$C3109)),--('Category Dictionary'!$D$5:$D$135&lt;&gt;"")))</f>
        <v/>
      </c>
      <c r="L3109" s="27">
        <f>IF($A3109="","",TRIM(IF(ISERROR(FIND(",",$C3109)),$C3109,LEFT($C3109,FIND(",",$C3109)-1))))</f>
        <v/>
      </c>
      <c r="M3109" s="28">
        <f>IF($H3109="","",DATE(YEAR($H3109),MONTH($H3109),1))</f>
        <v/>
      </c>
      <c r="N3109" s="26">
        <f>IF($H3109="","",TODAY()-$H3109)</f>
        <v/>
      </c>
      <c r="O3109" s="15" t="n"/>
      <c r="P3109" s="15" t="n"/>
      <c r="Q3109" s="15" t="n"/>
      <c r="R3109" s="25" t="n"/>
      <c r="S3109" s="26">
        <f>IF($A3109="","",AND(OR('Assignment Builder'!$B$5="",$B3109='Assignment Builder'!$B$5),OR('Assignment Builder'!$B$6="",ISNUMBER(SEARCH('Assignment Builder'!$B$6,$C3109))),OR('Assignment Builder'!$B$7="",'Assignment Builder'!$B$7=IFERROR(INDEX('Category Dictionary'!$C$5:$C$135,MATCH($L3109,'Category Dictionary'!$D$5:$D$135,0)),"")),OR('Assignment Builder'!$B$8="",$D3109='Assignment Builder'!$B$8),OR('Assignment Builder'!$B$9="",$F3109='Assignment Builder'!$B$9),OR('Assignment Builder'!$B$10="",$O3109='Assignment Builder'!$B$10),OR('Assignment Builder'!$B$11="",$H3109&gt;='Assignment Builder'!$B$11),OR('Assignment Builder'!$B$12="",N($Q3109)&lt;='Assignment Builder'!$B$12)))</f>
        <v/>
      </c>
      <c r="T3109" s="23" t="n"/>
    </row>
    <row r="3110">
      <c r="A3110" s="23" t="n"/>
      <c r="B3110" s="23" t="n"/>
      <c r="C3110" s="24" t="n"/>
      <c r="D3110" s="15" t="n"/>
      <c r="E3110" s="23" t="n"/>
      <c r="F3110" s="15" t="n"/>
      <c r="G3110" s="23" t="n"/>
      <c r="H3110" s="25" t="n"/>
      <c r="I3110" s="15" t="n"/>
      <c r="J3110" s="26">
        <f>IF($A3110="","",LEN($C3110)-LEN(SUBSTITUTE($C3110,",",""))+1)</f>
        <v/>
      </c>
      <c r="K3110" s="26">
        <f>IF($A3110="","",SUMPRODUCT(--ISNUMBER(SEARCH('Category Dictionary'!$D$5:$D$135&amp;"",$C3110)),--('Category Dictionary'!$D$5:$D$135&lt;&gt;"")))</f>
        <v/>
      </c>
      <c r="L3110" s="27">
        <f>IF($A3110="","",TRIM(IF(ISERROR(FIND(",",$C3110)),$C3110,LEFT($C3110,FIND(",",$C3110)-1))))</f>
        <v/>
      </c>
      <c r="M3110" s="28">
        <f>IF($H3110="","",DATE(YEAR($H3110),MONTH($H3110),1))</f>
        <v/>
      </c>
      <c r="N3110" s="26">
        <f>IF($H3110="","",TODAY()-$H3110)</f>
        <v/>
      </c>
      <c r="O3110" s="15" t="n"/>
      <c r="P3110" s="15" t="n"/>
      <c r="Q3110" s="15" t="n"/>
      <c r="R3110" s="25" t="n"/>
      <c r="S3110" s="26">
        <f>IF($A3110="","",AND(OR('Assignment Builder'!$B$5="",$B3110='Assignment Builder'!$B$5),OR('Assignment Builder'!$B$6="",ISNUMBER(SEARCH('Assignment Builder'!$B$6,$C3110))),OR('Assignment Builder'!$B$7="",'Assignment Builder'!$B$7=IFERROR(INDEX('Category Dictionary'!$C$5:$C$135,MATCH($L3110,'Category Dictionary'!$D$5:$D$135,0)),"")),OR('Assignment Builder'!$B$8="",$D3110='Assignment Builder'!$B$8),OR('Assignment Builder'!$B$9="",$F3110='Assignment Builder'!$B$9),OR('Assignment Builder'!$B$10="",$O3110='Assignment Builder'!$B$10),OR('Assignment Builder'!$B$11="",$H3110&gt;='Assignment Builder'!$B$11),OR('Assignment Builder'!$B$12="",N($Q3110)&lt;='Assignment Builder'!$B$12)))</f>
        <v/>
      </c>
      <c r="T3110" s="23" t="n"/>
    </row>
    <row r="3111">
      <c r="A3111" s="23" t="n"/>
      <c r="B3111" s="23" t="n"/>
      <c r="C3111" s="24" t="n"/>
      <c r="D3111" s="15" t="n"/>
      <c r="E3111" s="23" t="n"/>
      <c r="F3111" s="15" t="n"/>
      <c r="G3111" s="23" t="n"/>
      <c r="H3111" s="25" t="n"/>
      <c r="I3111" s="15" t="n"/>
      <c r="J3111" s="26">
        <f>IF($A3111="","",LEN($C3111)-LEN(SUBSTITUTE($C3111,",",""))+1)</f>
        <v/>
      </c>
      <c r="K3111" s="26">
        <f>IF($A3111="","",SUMPRODUCT(--ISNUMBER(SEARCH('Category Dictionary'!$D$5:$D$135&amp;"",$C3111)),--('Category Dictionary'!$D$5:$D$135&lt;&gt;"")))</f>
        <v/>
      </c>
      <c r="L3111" s="27">
        <f>IF($A3111="","",TRIM(IF(ISERROR(FIND(",",$C3111)),$C3111,LEFT($C3111,FIND(",",$C3111)-1))))</f>
        <v/>
      </c>
      <c r="M3111" s="28">
        <f>IF($H3111="","",DATE(YEAR($H3111),MONTH($H3111),1))</f>
        <v/>
      </c>
      <c r="N3111" s="26">
        <f>IF($H3111="","",TODAY()-$H3111)</f>
        <v/>
      </c>
      <c r="O3111" s="15" t="n"/>
      <c r="P3111" s="15" t="n"/>
      <c r="Q3111" s="15" t="n"/>
      <c r="R3111" s="25" t="n"/>
      <c r="S3111" s="26">
        <f>IF($A3111="","",AND(OR('Assignment Builder'!$B$5="",$B3111='Assignment Builder'!$B$5),OR('Assignment Builder'!$B$6="",ISNUMBER(SEARCH('Assignment Builder'!$B$6,$C3111))),OR('Assignment Builder'!$B$7="",'Assignment Builder'!$B$7=IFERROR(INDEX('Category Dictionary'!$C$5:$C$135,MATCH($L3111,'Category Dictionary'!$D$5:$D$135,0)),"")),OR('Assignment Builder'!$B$8="",$D3111='Assignment Builder'!$B$8),OR('Assignment Builder'!$B$9="",$F3111='Assignment Builder'!$B$9),OR('Assignment Builder'!$B$10="",$O3111='Assignment Builder'!$B$10),OR('Assignment Builder'!$B$11="",$H3111&gt;='Assignment Builder'!$B$11),OR('Assignment Builder'!$B$12="",N($Q3111)&lt;='Assignment Builder'!$B$12)))</f>
        <v/>
      </c>
      <c r="T3111" s="23" t="n"/>
    </row>
    <row r="3112">
      <c r="A3112" s="23" t="n"/>
      <c r="B3112" s="23" t="n"/>
      <c r="C3112" s="24" t="n"/>
      <c r="D3112" s="15" t="n"/>
      <c r="E3112" s="23" t="n"/>
      <c r="F3112" s="15" t="n"/>
      <c r="G3112" s="23" t="n"/>
      <c r="H3112" s="25" t="n"/>
      <c r="I3112" s="15" t="n"/>
      <c r="J3112" s="26">
        <f>IF($A3112="","",LEN($C3112)-LEN(SUBSTITUTE($C3112,",",""))+1)</f>
        <v/>
      </c>
      <c r="K3112" s="26">
        <f>IF($A3112="","",SUMPRODUCT(--ISNUMBER(SEARCH('Category Dictionary'!$D$5:$D$135&amp;"",$C3112)),--('Category Dictionary'!$D$5:$D$135&lt;&gt;"")))</f>
        <v/>
      </c>
      <c r="L3112" s="27">
        <f>IF($A3112="","",TRIM(IF(ISERROR(FIND(",",$C3112)),$C3112,LEFT($C3112,FIND(",",$C3112)-1))))</f>
        <v/>
      </c>
      <c r="M3112" s="28">
        <f>IF($H3112="","",DATE(YEAR($H3112),MONTH($H3112),1))</f>
        <v/>
      </c>
      <c r="N3112" s="26">
        <f>IF($H3112="","",TODAY()-$H3112)</f>
        <v/>
      </c>
      <c r="O3112" s="15" t="n"/>
      <c r="P3112" s="15" t="n"/>
      <c r="Q3112" s="15" t="n"/>
      <c r="R3112" s="25" t="n"/>
      <c r="S3112" s="26">
        <f>IF($A3112="","",AND(OR('Assignment Builder'!$B$5="",$B3112='Assignment Builder'!$B$5),OR('Assignment Builder'!$B$6="",ISNUMBER(SEARCH('Assignment Builder'!$B$6,$C3112))),OR('Assignment Builder'!$B$7="",'Assignment Builder'!$B$7=IFERROR(INDEX('Category Dictionary'!$C$5:$C$135,MATCH($L3112,'Category Dictionary'!$D$5:$D$135,0)),"")),OR('Assignment Builder'!$B$8="",$D3112='Assignment Builder'!$B$8),OR('Assignment Builder'!$B$9="",$F3112='Assignment Builder'!$B$9),OR('Assignment Builder'!$B$10="",$O3112='Assignment Builder'!$B$10),OR('Assignment Builder'!$B$11="",$H3112&gt;='Assignment Builder'!$B$11),OR('Assignment Builder'!$B$12="",N($Q3112)&lt;='Assignment Builder'!$B$12)))</f>
        <v/>
      </c>
      <c r="T3112" s="23" t="n"/>
    </row>
    <row r="3113">
      <c r="A3113" s="23" t="n"/>
      <c r="B3113" s="23" t="n"/>
      <c r="C3113" s="24" t="n"/>
      <c r="D3113" s="15" t="n"/>
      <c r="E3113" s="23" t="n"/>
      <c r="F3113" s="15" t="n"/>
      <c r="G3113" s="23" t="n"/>
      <c r="H3113" s="25" t="n"/>
      <c r="I3113" s="15" t="n"/>
      <c r="J3113" s="26">
        <f>IF($A3113="","",LEN($C3113)-LEN(SUBSTITUTE($C3113,",",""))+1)</f>
        <v/>
      </c>
      <c r="K3113" s="26">
        <f>IF($A3113="","",SUMPRODUCT(--ISNUMBER(SEARCH('Category Dictionary'!$D$5:$D$135&amp;"",$C3113)),--('Category Dictionary'!$D$5:$D$135&lt;&gt;"")))</f>
        <v/>
      </c>
      <c r="L3113" s="27">
        <f>IF($A3113="","",TRIM(IF(ISERROR(FIND(",",$C3113)),$C3113,LEFT($C3113,FIND(",",$C3113)-1))))</f>
        <v/>
      </c>
      <c r="M3113" s="28">
        <f>IF($H3113="","",DATE(YEAR($H3113),MONTH($H3113),1))</f>
        <v/>
      </c>
      <c r="N3113" s="26">
        <f>IF($H3113="","",TODAY()-$H3113)</f>
        <v/>
      </c>
      <c r="O3113" s="15" t="n"/>
      <c r="P3113" s="15" t="n"/>
      <c r="Q3113" s="15" t="n"/>
      <c r="R3113" s="25" t="n"/>
      <c r="S3113" s="26">
        <f>IF($A3113="","",AND(OR('Assignment Builder'!$B$5="",$B3113='Assignment Builder'!$B$5),OR('Assignment Builder'!$B$6="",ISNUMBER(SEARCH('Assignment Builder'!$B$6,$C3113))),OR('Assignment Builder'!$B$7="",'Assignment Builder'!$B$7=IFERROR(INDEX('Category Dictionary'!$C$5:$C$135,MATCH($L3113,'Category Dictionary'!$D$5:$D$135,0)),"")),OR('Assignment Builder'!$B$8="",$D3113='Assignment Builder'!$B$8),OR('Assignment Builder'!$B$9="",$F3113='Assignment Builder'!$B$9),OR('Assignment Builder'!$B$10="",$O3113='Assignment Builder'!$B$10),OR('Assignment Builder'!$B$11="",$H3113&gt;='Assignment Builder'!$B$11),OR('Assignment Builder'!$B$12="",N($Q3113)&lt;='Assignment Builder'!$B$12)))</f>
        <v/>
      </c>
      <c r="T3113" s="23" t="n"/>
    </row>
    <row r="3114">
      <c r="A3114" s="23" t="n"/>
      <c r="B3114" s="23" t="n"/>
      <c r="C3114" s="24" t="n"/>
      <c r="D3114" s="15" t="n"/>
      <c r="E3114" s="23" t="n"/>
      <c r="F3114" s="15" t="n"/>
      <c r="G3114" s="23" t="n"/>
      <c r="H3114" s="25" t="n"/>
      <c r="I3114" s="15" t="n"/>
      <c r="J3114" s="26">
        <f>IF($A3114="","",LEN($C3114)-LEN(SUBSTITUTE($C3114,",",""))+1)</f>
        <v/>
      </c>
      <c r="K3114" s="26">
        <f>IF($A3114="","",SUMPRODUCT(--ISNUMBER(SEARCH('Category Dictionary'!$D$5:$D$135&amp;"",$C3114)),--('Category Dictionary'!$D$5:$D$135&lt;&gt;"")))</f>
        <v/>
      </c>
      <c r="L3114" s="27">
        <f>IF($A3114="","",TRIM(IF(ISERROR(FIND(",",$C3114)),$C3114,LEFT($C3114,FIND(",",$C3114)-1))))</f>
        <v/>
      </c>
      <c r="M3114" s="28">
        <f>IF($H3114="","",DATE(YEAR($H3114),MONTH($H3114),1))</f>
        <v/>
      </c>
      <c r="N3114" s="26">
        <f>IF($H3114="","",TODAY()-$H3114)</f>
        <v/>
      </c>
      <c r="O3114" s="15" t="n"/>
      <c r="P3114" s="15" t="n"/>
      <c r="Q3114" s="15" t="n"/>
      <c r="R3114" s="25" t="n"/>
      <c r="S3114" s="26">
        <f>IF($A3114="","",AND(OR('Assignment Builder'!$B$5="",$B3114='Assignment Builder'!$B$5),OR('Assignment Builder'!$B$6="",ISNUMBER(SEARCH('Assignment Builder'!$B$6,$C3114))),OR('Assignment Builder'!$B$7="",'Assignment Builder'!$B$7=IFERROR(INDEX('Category Dictionary'!$C$5:$C$135,MATCH($L3114,'Category Dictionary'!$D$5:$D$135,0)),"")),OR('Assignment Builder'!$B$8="",$D3114='Assignment Builder'!$B$8),OR('Assignment Builder'!$B$9="",$F3114='Assignment Builder'!$B$9),OR('Assignment Builder'!$B$10="",$O3114='Assignment Builder'!$B$10),OR('Assignment Builder'!$B$11="",$H3114&gt;='Assignment Builder'!$B$11),OR('Assignment Builder'!$B$12="",N($Q3114)&lt;='Assignment Builder'!$B$12)))</f>
        <v/>
      </c>
      <c r="T3114" s="23" t="n"/>
    </row>
    <row r="3115">
      <c r="A3115" s="23" t="n"/>
      <c r="B3115" s="23" t="n"/>
      <c r="C3115" s="24" t="n"/>
      <c r="D3115" s="15" t="n"/>
      <c r="E3115" s="23" t="n"/>
      <c r="F3115" s="15" t="n"/>
      <c r="G3115" s="23" t="n"/>
      <c r="H3115" s="25" t="n"/>
      <c r="I3115" s="15" t="n"/>
      <c r="J3115" s="26">
        <f>IF($A3115="","",LEN($C3115)-LEN(SUBSTITUTE($C3115,",",""))+1)</f>
        <v/>
      </c>
      <c r="K3115" s="26">
        <f>IF($A3115="","",SUMPRODUCT(--ISNUMBER(SEARCH('Category Dictionary'!$D$5:$D$135&amp;"",$C3115)),--('Category Dictionary'!$D$5:$D$135&lt;&gt;"")))</f>
        <v/>
      </c>
      <c r="L3115" s="27">
        <f>IF($A3115="","",TRIM(IF(ISERROR(FIND(",",$C3115)),$C3115,LEFT($C3115,FIND(",",$C3115)-1))))</f>
        <v/>
      </c>
      <c r="M3115" s="28">
        <f>IF($H3115="","",DATE(YEAR($H3115),MONTH($H3115),1))</f>
        <v/>
      </c>
      <c r="N3115" s="26">
        <f>IF($H3115="","",TODAY()-$H3115)</f>
        <v/>
      </c>
      <c r="O3115" s="15" t="n"/>
      <c r="P3115" s="15" t="n"/>
      <c r="Q3115" s="15" t="n"/>
      <c r="R3115" s="25" t="n"/>
      <c r="S3115" s="26">
        <f>IF($A3115="","",AND(OR('Assignment Builder'!$B$5="",$B3115='Assignment Builder'!$B$5),OR('Assignment Builder'!$B$6="",ISNUMBER(SEARCH('Assignment Builder'!$B$6,$C3115))),OR('Assignment Builder'!$B$7="",'Assignment Builder'!$B$7=IFERROR(INDEX('Category Dictionary'!$C$5:$C$135,MATCH($L3115,'Category Dictionary'!$D$5:$D$135,0)),"")),OR('Assignment Builder'!$B$8="",$D3115='Assignment Builder'!$B$8),OR('Assignment Builder'!$B$9="",$F3115='Assignment Builder'!$B$9),OR('Assignment Builder'!$B$10="",$O3115='Assignment Builder'!$B$10),OR('Assignment Builder'!$B$11="",$H3115&gt;='Assignment Builder'!$B$11),OR('Assignment Builder'!$B$12="",N($Q3115)&lt;='Assignment Builder'!$B$12)))</f>
        <v/>
      </c>
      <c r="T3115" s="23" t="n"/>
    </row>
    <row r="3116">
      <c r="A3116" s="23" t="n"/>
      <c r="B3116" s="23" t="n"/>
      <c r="C3116" s="24" t="n"/>
      <c r="D3116" s="15" t="n"/>
      <c r="E3116" s="23" t="n"/>
      <c r="F3116" s="15" t="n"/>
      <c r="G3116" s="23" t="n"/>
      <c r="H3116" s="25" t="n"/>
      <c r="I3116" s="15" t="n"/>
      <c r="J3116" s="26">
        <f>IF($A3116="","",LEN($C3116)-LEN(SUBSTITUTE($C3116,",",""))+1)</f>
        <v/>
      </c>
      <c r="K3116" s="26">
        <f>IF($A3116="","",SUMPRODUCT(--ISNUMBER(SEARCH('Category Dictionary'!$D$5:$D$135&amp;"",$C3116)),--('Category Dictionary'!$D$5:$D$135&lt;&gt;"")))</f>
        <v/>
      </c>
      <c r="L3116" s="27">
        <f>IF($A3116="","",TRIM(IF(ISERROR(FIND(",",$C3116)),$C3116,LEFT($C3116,FIND(",",$C3116)-1))))</f>
        <v/>
      </c>
      <c r="M3116" s="28">
        <f>IF($H3116="","",DATE(YEAR($H3116),MONTH($H3116),1))</f>
        <v/>
      </c>
      <c r="N3116" s="26">
        <f>IF($H3116="","",TODAY()-$H3116)</f>
        <v/>
      </c>
      <c r="O3116" s="15" t="n"/>
      <c r="P3116" s="15" t="n"/>
      <c r="Q3116" s="15" t="n"/>
      <c r="R3116" s="25" t="n"/>
      <c r="S3116" s="26">
        <f>IF($A3116="","",AND(OR('Assignment Builder'!$B$5="",$B3116='Assignment Builder'!$B$5),OR('Assignment Builder'!$B$6="",ISNUMBER(SEARCH('Assignment Builder'!$B$6,$C3116))),OR('Assignment Builder'!$B$7="",'Assignment Builder'!$B$7=IFERROR(INDEX('Category Dictionary'!$C$5:$C$135,MATCH($L3116,'Category Dictionary'!$D$5:$D$135,0)),"")),OR('Assignment Builder'!$B$8="",$D3116='Assignment Builder'!$B$8),OR('Assignment Builder'!$B$9="",$F3116='Assignment Builder'!$B$9),OR('Assignment Builder'!$B$10="",$O3116='Assignment Builder'!$B$10),OR('Assignment Builder'!$B$11="",$H3116&gt;='Assignment Builder'!$B$11),OR('Assignment Builder'!$B$12="",N($Q3116)&lt;='Assignment Builder'!$B$12)))</f>
        <v/>
      </c>
      <c r="T3116" s="23" t="n"/>
    </row>
    <row r="3117">
      <c r="A3117" s="23" t="n"/>
      <c r="B3117" s="23" t="n"/>
      <c r="C3117" s="24" t="n"/>
      <c r="D3117" s="15" t="n"/>
      <c r="E3117" s="23" t="n"/>
      <c r="F3117" s="15" t="n"/>
      <c r="G3117" s="23" t="n"/>
      <c r="H3117" s="25" t="n"/>
      <c r="I3117" s="15" t="n"/>
      <c r="J3117" s="26">
        <f>IF($A3117="","",LEN($C3117)-LEN(SUBSTITUTE($C3117,",",""))+1)</f>
        <v/>
      </c>
      <c r="K3117" s="26">
        <f>IF($A3117="","",SUMPRODUCT(--ISNUMBER(SEARCH('Category Dictionary'!$D$5:$D$135&amp;"",$C3117)),--('Category Dictionary'!$D$5:$D$135&lt;&gt;"")))</f>
        <v/>
      </c>
      <c r="L3117" s="27">
        <f>IF($A3117="","",TRIM(IF(ISERROR(FIND(",",$C3117)),$C3117,LEFT($C3117,FIND(",",$C3117)-1))))</f>
        <v/>
      </c>
      <c r="M3117" s="28">
        <f>IF($H3117="","",DATE(YEAR($H3117),MONTH($H3117),1))</f>
        <v/>
      </c>
      <c r="N3117" s="26">
        <f>IF($H3117="","",TODAY()-$H3117)</f>
        <v/>
      </c>
      <c r="O3117" s="15" t="n"/>
      <c r="P3117" s="15" t="n"/>
      <c r="Q3117" s="15" t="n"/>
      <c r="R3117" s="25" t="n"/>
      <c r="S3117" s="26">
        <f>IF($A3117="","",AND(OR('Assignment Builder'!$B$5="",$B3117='Assignment Builder'!$B$5),OR('Assignment Builder'!$B$6="",ISNUMBER(SEARCH('Assignment Builder'!$B$6,$C3117))),OR('Assignment Builder'!$B$7="",'Assignment Builder'!$B$7=IFERROR(INDEX('Category Dictionary'!$C$5:$C$135,MATCH($L3117,'Category Dictionary'!$D$5:$D$135,0)),"")),OR('Assignment Builder'!$B$8="",$D3117='Assignment Builder'!$B$8),OR('Assignment Builder'!$B$9="",$F3117='Assignment Builder'!$B$9),OR('Assignment Builder'!$B$10="",$O3117='Assignment Builder'!$B$10),OR('Assignment Builder'!$B$11="",$H3117&gt;='Assignment Builder'!$B$11),OR('Assignment Builder'!$B$12="",N($Q3117)&lt;='Assignment Builder'!$B$12)))</f>
        <v/>
      </c>
      <c r="T3117" s="23" t="n"/>
    </row>
    <row r="3118">
      <c r="A3118" s="23" t="n"/>
      <c r="B3118" s="23" t="n"/>
      <c r="C3118" s="24" t="n"/>
      <c r="D3118" s="15" t="n"/>
      <c r="E3118" s="23" t="n"/>
      <c r="F3118" s="15" t="n"/>
      <c r="G3118" s="23" t="n"/>
      <c r="H3118" s="25" t="n"/>
      <c r="I3118" s="15" t="n"/>
      <c r="J3118" s="26">
        <f>IF($A3118="","",LEN($C3118)-LEN(SUBSTITUTE($C3118,",",""))+1)</f>
        <v/>
      </c>
      <c r="K3118" s="26">
        <f>IF($A3118="","",SUMPRODUCT(--ISNUMBER(SEARCH('Category Dictionary'!$D$5:$D$135&amp;"",$C3118)),--('Category Dictionary'!$D$5:$D$135&lt;&gt;"")))</f>
        <v/>
      </c>
      <c r="L3118" s="27">
        <f>IF($A3118="","",TRIM(IF(ISERROR(FIND(",",$C3118)),$C3118,LEFT($C3118,FIND(",",$C3118)-1))))</f>
        <v/>
      </c>
      <c r="M3118" s="28">
        <f>IF($H3118="","",DATE(YEAR($H3118),MONTH($H3118),1))</f>
        <v/>
      </c>
      <c r="N3118" s="26">
        <f>IF($H3118="","",TODAY()-$H3118)</f>
        <v/>
      </c>
      <c r="O3118" s="15" t="n"/>
      <c r="P3118" s="15" t="n"/>
      <c r="Q3118" s="15" t="n"/>
      <c r="R3118" s="25" t="n"/>
      <c r="S3118" s="26">
        <f>IF($A3118="","",AND(OR('Assignment Builder'!$B$5="",$B3118='Assignment Builder'!$B$5),OR('Assignment Builder'!$B$6="",ISNUMBER(SEARCH('Assignment Builder'!$B$6,$C3118))),OR('Assignment Builder'!$B$7="",'Assignment Builder'!$B$7=IFERROR(INDEX('Category Dictionary'!$C$5:$C$135,MATCH($L3118,'Category Dictionary'!$D$5:$D$135,0)),"")),OR('Assignment Builder'!$B$8="",$D3118='Assignment Builder'!$B$8),OR('Assignment Builder'!$B$9="",$F3118='Assignment Builder'!$B$9),OR('Assignment Builder'!$B$10="",$O3118='Assignment Builder'!$B$10),OR('Assignment Builder'!$B$11="",$H3118&gt;='Assignment Builder'!$B$11),OR('Assignment Builder'!$B$12="",N($Q3118)&lt;='Assignment Builder'!$B$12)))</f>
        <v/>
      </c>
      <c r="T3118" s="23" t="n"/>
    </row>
    <row r="3119">
      <c r="A3119" s="23" t="n"/>
      <c r="B3119" s="23" t="n"/>
      <c r="C3119" s="24" t="n"/>
      <c r="D3119" s="15" t="n"/>
      <c r="E3119" s="23" t="n"/>
      <c r="F3119" s="15" t="n"/>
      <c r="G3119" s="23" t="n"/>
      <c r="H3119" s="25" t="n"/>
      <c r="I3119" s="15" t="n"/>
      <c r="J3119" s="26">
        <f>IF($A3119="","",LEN($C3119)-LEN(SUBSTITUTE($C3119,",",""))+1)</f>
        <v/>
      </c>
      <c r="K3119" s="26">
        <f>IF($A3119="","",SUMPRODUCT(--ISNUMBER(SEARCH('Category Dictionary'!$D$5:$D$135&amp;"",$C3119)),--('Category Dictionary'!$D$5:$D$135&lt;&gt;"")))</f>
        <v/>
      </c>
      <c r="L3119" s="27">
        <f>IF($A3119="","",TRIM(IF(ISERROR(FIND(",",$C3119)),$C3119,LEFT($C3119,FIND(",",$C3119)-1))))</f>
        <v/>
      </c>
      <c r="M3119" s="28">
        <f>IF($H3119="","",DATE(YEAR($H3119),MONTH($H3119),1))</f>
        <v/>
      </c>
      <c r="N3119" s="26">
        <f>IF($H3119="","",TODAY()-$H3119)</f>
        <v/>
      </c>
      <c r="O3119" s="15" t="n"/>
      <c r="P3119" s="15" t="n"/>
      <c r="Q3119" s="15" t="n"/>
      <c r="R3119" s="25" t="n"/>
      <c r="S3119" s="26">
        <f>IF($A3119="","",AND(OR('Assignment Builder'!$B$5="",$B3119='Assignment Builder'!$B$5),OR('Assignment Builder'!$B$6="",ISNUMBER(SEARCH('Assignment Builder'!$B$6,$C3119))),OR('Assignment Builder'!$B$7="",'Assignment Builder'!$B$7=IFERROR(INDEX('Category Dictionary'!$C$5:$C$135,MATCH($L3119,'Category Dictionary'!$D$5:$D$135,0)),"")),OR('Assignment Builder'!$B$8="",$D3119='Assignment Builder'!$B$8),OR('Assignment Builder'!$B$9="",$F3119='Assignment Builder'!$B$9),OR('Assignment Builder'!$B$10="",$O3119='Assignment Builder'!$B$10),OR('Assignment Builder'!$B$11="",$H3119&gt;='Assignment Builder'!$B$11),OR('Assignment Builder'!$B$12="",N($Q3119)&lt;='Assignment Builder'!$B$12)))</f>
        <v/>
      </c>
      <c r="T3119" s="23" t="n"/>
    </row>
    <row r="3120">
      <c r="A3120" s="23" t="n"/>
      <c r="B3120" s="23" t="n"/>
      <c r="C3120" s="24" t="n"/>
      <c r="D3120" s="15" t="n"/>
      <c r="E3120" s="23" t="n"/>
      <c r="F3120" s="15" t="n"/>
      <c r="G3120" s="23" t="n"/>
      <c r="H3120" s="25" t="n"/>
      <c r="I3120" s="15" t="n"/>
      <c r="J3120" s="26">
        <f>IF($A3120="","",LEN($C3120)-LEN(SUBSTITUTE($C3120,",",""))+1)</f>
        <v/>
      </c>
      <c r="K3120" s="26">
        <f>IF($A3120="","",SUMPRODUCT(--ISNUMBER(SEARCH('Category Dictionary'!$D$5:$D$135&amp;"",$C3120)),--('Category Dictionary'!$D$5:$D$135&lt;&gt;"")))</f>
        <v/>
      </c>
      <c r="L3120" s="27">
        <f>IF($A3120="","",TRIM(IF(ISERROR(FIND(",",$C3120)),$C3120,LEFT($C3120,FIND(",",$C3120)-1))))</f>
        <v/>
      </c>
      <c r="M3120" s="28">
        <f>IF($H3120="","",DATE(YEAR($H3120),MONTH($H3120),1))</f>
        <v/>
      </c>
      <c r="N3120" s="26">
        <f>IF($H3120="","",TODAY()-$H3120)</f>
        <v/>
      </c>
      <c r="O3120" s="15" t="n"/>
      <c r="P3120" s="15" t="n"/>
      <c r="Q3120" s="15" t="n"/>
      <c r="R3120" s="25" t="n"/>
      <c r="S3120" s="26">
        <f>IF($A3120="","",AND(OR('Assignment Builder'!$B$5="",$B3120='Assignment Builder'!$B$5),OR('Assignment Builder'!$B$6="",ISNUMBER(SEARCH('Assignment Builder'!$B$6,$C3120))),OR('Assignment Builder'!$B$7="",'Assignment Builder'!$B$7=IFERROR(INDEX('Category Dictionary'!$C$5:$C$135,MATCH($L3120,'Category Dictionary'!$D$5:$D$135,0)),"")),OR('Assignment Builder'!$B$8="",$D3120='Assignment Builder'!$B$8),OR('Assignment Builder'!$B$9="",$F3120='Assignment Builder'!$B$9),OR('Assignment Builder'!$B$10="",$O3120='Assignment Builder'!$B$10),OR('Assignment Builder'!$B$11="",$H3120&gt;='Assignment Builder'!$B$11),OR('Assignment Builder'!$B$12="",N($Q3120)&lt;='Assignment Builder'!$B$12)))</f>
        <v/>
      </c>
      <c r="T3120" s="23" t="n"/>
    </row>
    <row r="3121">
      <c r="A3121" s="23" t="n"/>
      <c r="B3121" s="23" t="n"/>
      <c r="C3121" s="24" t="n"/>
      <c r="D3121" s="15" t="n"/>
      <c r="E3121" s="23" t="n"/>
      <c r="F3121" s="15" t="n"/>
      <c r="G3121" s="23" t="n"/>
      <c r="H3121" s="25" t="n"/>
      <c r="I3121" s="15" t="n"/>
      <c r="J3121" s="26">
        <f>IF($A3121="","",LEN($C3121)-LEN(SUBSTITUTE($C3121,",",""))+1)</f>
        <v/>
      </c>
      <c r="K3121" s="26">
        <f>IF($A3121="","",SUMPRODUCT(--ISNUMBER(SEARCH('Category Dictionary'!$D$5:$D$135&amp;"",$C3121)),--('Category Dictionary'!$D$5:$D$135&lt;&gt;"")))</f>
        <v/>
      </c>
      <c r="L3121" s="27">
        <f>IF($A3121="","",TRIM(IF(ISERROR(FIND(",",$C3121)),$C3121,LEFT($C3121,FIND(",",$C3121)-1))))</f>
        <v/>
      </c>
      <c r="M3121" s="28">
        <f>IF($H3121="","",DATE(YEAR($H3121),MONTH($H3121),1))</f>
        <v/>
      </c>
      <c r="N3121" s="26">
        <f>IF($H3121="","",TODAY()-$H3121)</f>
        <v/>
      </c>
      <c r="O3121" s="15" t="n"/>
      <c r="P3121" s="15" t="n"/>
      <c r="Q3121" s="15" t="n"/>
      <c r="R3121" s="25" t="n"/>
      <c r="S3121" s="26">
        <f>IF($A3121="","",AND(OR('Assignment Builder'!$B$5="",$B3121='Assignment Builder'!$B$5),OR('Assignment Builder'!$B$6="",ISNUMBER(SEARCH('Assignment Builder'!$B$6,$C3121))),OR('Assignment Builder'!$B$7="",'Assignment Builder'!$B$7=IFERROR(INDEX('Category Dictionary'!$C$5:$C$135,MATCH($L3121,'Category Dictionary'!$D$5:$D$135,0)),"")),OR('Assignment Builder'!$B$8="",$D3121='Assignment Builder'!$B$8),OR('Assignment Builder'!$B$9="",$F3121='Assignment Builder'!$B$9),OR('Assignment Builder'!$B$10="",$O3121='Assignment Builder'!$B$10),OR('Assignment Builder'!$B$11="",$H3121&gt;='Assignment Builder'!$B$11),OR('Assignment Builder'!$B$12="",N($Q3121)&lt;='Assignment Builder'!$B$12)))</f>
        <v/>
      </c>
      <c r="T3121" s="23" t="n"/>
    </row>
    <row r="3122">
      <c r="A3122" s="23" t="n"/>
      <c r="B3122" s="23" t="n"/>
      <c r="C3122" s="24" t="n"/>
      <c r="D3122" s="15" t="n"/>
      <c r="E3122" s="23" t="n"/>
      <c r="F3122" s="15" t="n"/>
      <c r="G3122" s="23" t="n"/>
      <c r="H3122" s="25" t="n"/>
      <c r="I3122" s="15" t="n"/>
      <c r="J3122" s="26">
        <f>IF($A3122="","",LEN($C3122)-LEN(SUBSTITUTE($C3122,",",""))+1)</f>
        <v/>
      </c>
      <c r="K3122" s="26">
        <f>IF($A3122="","",SUMPRODUCT(--ISNUMBER(SEARCH('Category Dictionary'!$D$5:$D$135&amp;"",$C3122)),--('Category Dictionary'!$D$5:$D$135&lt;&gt;"")))</f>
        <v/>
      </c>
      <c r="L3122" s="27">
        <f>IF($A3122="","",TRIM(IF(ISERROR(FIND(",",$C3122)),$C3122,LEFT($C3122,FIND(",",$C3122)-1))))</f>
        <v/>
      </c>
      <c r="M3122" s="28">
        <f>IF($H3122="","",DATE(YEAR($H3122),MONTH($H3122),1))</f>
        <v/>
      </c>
      <c r="N3122" s="26">
        <f>IF($H3122="","",TODAY()-$H3122)</f>
        <v/>
      </c>
      <c r="O3122" s="15" t="n"/>
      <c r="P3122" s="15" t="n"/>
      <c r="Q3122" s="15" t="n"/>
      <c r="R3122" s="25" t="n"/>
      <c r="S3122" s="26">
        <f>IF($A3122="","",AND(OR('Assignment Builder'!$B$5="",$B3122='Assignment Builder'!$B$5),OR('Assignment Builder'!$B$6="",ISNUMBER(SEARCH('Assignment Builder'!$B$6,$C3122))),OR('Assignment Builder'!$B$7="",'Assignment Builder'!$B$7=IFERROR(INDEX('Category Dictionary'!$C$5:$C$135,MATCH($L3122,'Category Dictionary'!$D$5:$D$135,0)),"")),OR('Assignment Builder'!$B$8="",$D3122='Assignment Builder'!$B$8),OR('Assignment Builder'!$B$9="",$F3122='Assignment Builder'!$B$9),OR('Assignment Builder'!$B$10="",$O3122='Assignment Builder'!$B$10),OR('Assignment Builder'!$B$11="",$H3122&gt;='Assignment Builder'!$B$11),OR('Assignment Builder'!$B$12="",N($Q3122)&lt;='Assignment Builder'!$B$12)))</f>
        <v/>
      </c>
      <c r="T3122" s="23" t="n"/>
    </row>
    <row r="3123">
      <c r="A3123" s="23" t="n"/>
      <c r="B3123" s="23" t="n"/>
      <c r="C3123" s="24" t="n"/>
      <c r="D3123" s="15" t="n"/>
      <c r="E3123" s="23" t="n"/>
      <c r="F3123" s="15" t="n"/>
      <c r="G3123" s="23" t="n"/>
      <c r="H3123" s="25" t="n"/>
      <c r="I3123" s="15" t="n"/>
      <c r="J3123" s="26">
        <f>IF($A3123="","",LEN($C3123)-LEN(SUBSTITUTE($C3123,",",""))+1)</f>
        <v/>
      </c>
      <c r="K3123" s="26">
        <f>IF($A3123="","",SUMPRODUCT(--ISNUMBER(SEARCH('Category Dictionary'!$D$5:$D$135&amp;"",$C3123)),--('Category Dictionary'!$D$5:$D$135&lt;&gt;"")))</f>
        <v/>
      </c>
      <c r="L3123" s="27">
        <f>IF($A3123="","",TRIM(IF(ISERROR(FIND(",",$C3123)),$C3123,LEFT($C3123,FIND(",",$C3123)-1))))</f>
        <v/>
      </c>
      <c r="M3123" s="28">
        <f>IF($H3123="","",DATE(YEAR($H3123),MONTH($H3123),1))</f>
        <v/>
      </c>
      <c r="N3123" s="26">
        <f>IF($H3123="","",TODAY()-$H3123)</f>
        <v/>
      </c>
      <c r="O3123" s="15" t="n"/>
      <c r="P3123" s="15" t="n"/>
      <c r="Q3123" s="15" t="n"/>
      <c r="R3123" s="25" t="n"/>
      <c r="S3123" s="26">
        <f>IF($A3123="","",AND(OR('Assignment Builder'!$B$5="",$B3123='Assignment Builder'!$B$5),OR('Assignment Builder'!$B$6="",ISNUMBER(SEARCH('Assignment Builder'!$B$6,$C3123))),OR('Assignment Builder'!$B$7="",'Assignment Builder'!$B$7=IFERROR(INDEX('Category Dictionary'!$C$5:$C$135,MATCH($L3123,'Category Dictionary'!$D$5:$D$135,0)),"")),OR('Assignment Builder'!$B$8="",$D3123='Assignment Builder'!$B$8),OR('Assignment Builder'!$B$9="",$F3123='Assignment Builder'!$B$9),OR('Assignment Builder'!$B$10="",$O3123='Assignment Builder'!$B$10),OR('Assignment Builder'!$B$11="",$H3123&gt;='Assignment Builder'!$B$11),OR('Assignment Builder'!$B$12="",N($Q3123)&lt;='Assignment Builder'!$B$12)))</f>
        <v/>
      </c>
      <c r="T3123" s="23" t="n"/>
    </row>
    <row r="3124">
      <c r="A3124" s="23" t="n"/>
      <c r="B3124" s="23" t="n"/>
      <c r="C3124" s="24" t="n"/>
      <c r="D3124" s="15" t="n"/>
      <c r="E3124" s="23" t="n"/>
      <c r="F3124" s="15" t="n"/>
      <c r="G3124" s="23" t="n"/>
      <c r="H3124" s="25" t="n"/>
      <c r="I3124" s="15" t="n"/>
      <c r="J3124" s="26">
        <f>IF($A3124="","",LEN($C3124)-LEN(SUBSTITUTE($C3124,",",""))+1)</f>
        <v/>
      </c>
      <c r="K3124" s="26">
        <f>IF($A3124="","",SUMPRODUCT(--ISNUMBER(SEARCH('Category Dictionary'!$D$5:$D$135&amp;"",$C3124)),--('Category Dictionary'!$D$5:$D$135&lt;&gt;"")))</f>
        <v/>
      </c>
      <c r="L3124" s="27">
        <f>IF($A3124="","",TRIM(IF(ISERROR(FIND(",",$C3124)),$C3124,LEFT($C3124,FIND(",",$C3124)-1))))</f>
        <v/>
      </c>
      <c r="M3124" s="28">
        <f>IF($H3124="","",DATE(YEAR($H3124),MONTH($H3124),1))</f>
        <v/>
      </c>
      <c r="N3124" s="26">
        <f>IF($H3124="","",TODAY()-$H3124)</f>
        <v/>
      </c>
      <c r="O3124" s="15" t="n"/>
      <c r="P3124" s="15" t="n"/>
      <c r="Q3124" s="15" t="n"/>
      <c r="R3124" s="25" t="n"/>
      <c r="S3124" s="26">
        <f>IF($A3124="","",AND(OR('Assignment Builder'!$B$5="",$B3124='Assignment Builder'!$B$5),OR('Assignment Builder'!$B$6="",ISNUMBER(SEARCH('Assignment Builder'!$B$6,$C3124))),OR('Assignment Builder'!$B$7="",'Assignment Builder'!$B$7=IFERROR(INDEX('Category Dictionary'!$C$5:$C$135,MATCH($L3124,'Category Dictionary'!$D$5:$D$135,0)),"")),OR('Assignment Builder'!$B$8="",$D3124='Assignment Builder'!$B$8),OR('Assignment Builder'!$B$9="",$F3124='Assignment Builder'!$B$9),OR('Assignment Builder'!$B$10="",$O3124='Assignment Builder'!$B$10),OR('Assignment Builder'!$B$11="",$H3124&gt;='Assignment Builder'!$B$11),OR('Assignment Builder'!$B$12="",N($Q3124)&lt;='Assignment Builder'!$B$12)))</f>
        <v/>
      </c>
      <c r="T3124" s="23" t="n"/>
    </row>
    <row r="3125">
      <c r="A3125" s="23" t="n"/>
      <c r="B3125" s="23" t="n"/>
      <c r="C3125" s="24" t="n"/>
      <c r="D3125" s="15" t="n"/>
      <c r="E3125" s="23" t="n"/>
      <c r="F3125" s="15" t="n"/>
      <c r="G3125" s="23" t="n"/>
      <c r="H3125" s="25" t="n"/>
      <c r="I3125" s="15" t="n"/>
      <c r="J3125" s="26">
        <f>IF($A3125="","",LEN($C3125)-LEN(SUBSTITUTE($C3125,",",""))+1)</f>
        <v/>
      </c>
      <c r="K3125" s="26">
        <f>IF($A3125="","",SUMPRODUCT(--ISNUMBER(SEARCH('Category Dictionary'!$D$5:$D$135&amp;"",$C3125)),--('Category Dictionary'!$D$5:$D$135&lt;&gt;"")))</f>
        <v/>
      </c>
      <c r="L3125" s="27">
        <f>IF($A3125="","",TRIM(IF(ISERROR(FIND(",",$C3125)),$C3125,LEFT($C3125,FIND(",",$C3125)-1))))</f>
        <v/>
      </c>
      <c r="M3125" s="28">
        <f>IF($H3125="","",DATE(YEAR($H3125),MONTH($H3125),1))</f>
        <v/>
      </c>
      <c r="N3125" s="26">
        <f>IF($H3125="","",TODAY()-$H3125)</f>
        <v/>
      </c>
      <c r="O3125" s="15" t="n"/>
      <c r="P3125" s="15" t="n"/>
      <c r="Q3125" s="15" t="n"/>
      <c r="R3125" s="25" t="n"/>
      <c r="S3125" s="26">
        <f>IF($A3125="","",AND(OR('Assignment Builder'!$B$5="",$B3125='Assignment Builder'!$B$5),OR('Assignment Builder'!$B$6="",ISNUMBER(SEARCH('Assignment Builder'!$B$6,$C3125))),OR('Assignment Builder'!$B$7="",'Assignment Builder'!$B$7=IFERROR(INDEX('Category Dictionary'!$C$5:$C$135,MATCH($L3125,'Category Dictionary'!$D$5:$D$135,0)),"")),OR('Assignment Builder'!$B$8="",$D3125='Assignment Builder'!$B$8),OR('Assignment Builder'!$B$9="",$F3125='Assignment Builder'!$B$9),OR('Assignment Builder'!$B$10="",$O3125='Assignment Builder'!$B$10),OR('Assignment Builder'!$B$11="",$H3125&gt;='Assignment Builder'!$B$11),OR('Assignment Builder'!$B$12="",N($Q3125)&lt;='Assignment Builder'!$B$12)))</f>
        <v/>
      </c>
      <c r="T3125" s="23" t="n"/>
    </row>
    <row r="3126">
      <c r="A3126" s="23" t="n"/>
      <c r="B3126" s="23" t="n"/>
      <c r="C3126" s="24" t="n"/>
      <c r="D3126" s="15" t="n"/>
      <c r="E3126" s="23" t="n"/>
      <c r="F3126" s="15" t="n"/>
      <c r="G3126" s="23" t="n"/>
      <c r="H3126" s="25" t="n"/>
      <c r="I3126" s="15" t="n"/>
      <c r="J3126" s="26">
        <f>IF($A3126="","",LEN($C3126)-LEN(SUBSTITUTE($C3126,",",""))+1)</f>
        <v/>
      </c>
      <c r="K3126" s="26">
        <f>IF($A3126="","",SUMPRODUCT(--ISNUMBER(SEARCH('Category Dictionary'!$D$5:$D$135&amp;"",$C3126)),--('Category Dictionary'!$D$5:$D$135&lt;&gt;"")))</f>
        <v/>
      </c>
      <c r="L3126" s="27">
        <f>IF($A3126="","",TRIM(IF(ISERROR(FIND(",",$C3126)),$C3126,LEFT($C3126,FIND(",",$C3126)-1))))</f>
        <v/>
      </c>
      <c r="M3126" s="28">
        <f>IF($H3126="","",DATE(YEAR($H3126),MONTH($H3126),1))</f>
        <v/>
      </c>
      <c r="N3126" s="26">
        <f>IF($H3126="","",TODAY()-$H3126)</f>
        <v/>
      </c>
      <c r="O3126" s="15" t="n"/>
      <c r="P3126" s="15" t="n"/>
      <c r="Q3126" s="15" t="n"/>
      <c r="R3126" s="25" t="n"/>
      <c r="S3126" s="26">
        <f>IF($A3126="","",AND(OR('Assignment Builder'!$B$5="",$B3126='Assignment Builder'!$B$5),OR('Assignment Builder'!$B$6="",ISNUMBER(SEARCH('Assignment Builder'!$B$6,$C3126))),OR('Assignment Builder'!$B$7="",'Assignment Builder'!$B$7=IFERROR(INDEX('Category Dictionary'!$C$5:$C$135,MATCH($L3126,'Category Dictionary'!$D$5:$D$135,0)),"")),OR('Assignment Builder'!$B$8="",$D3126='Assignment Builder'!$B$8),OR('Assignment Builder'!$B$9="",$F3126='Assignment Builder'!$B$9),OR('Assignment Builder'!$B$10="",$O3126='Assignment Builder'!$B$10),OR('Assignment Builder'!$B$11="",$H3126&gt;='Assignment Builder'!$B$11),OR('Assignment Builder'!$B$12="",N($Q3126)&lt;='Assignment Builder'!$B$12)))</f>
        <v/>
      </c>
      <c r="T3126" s="23" t="n"/>
    </row>
    <row r="3127">
      <c r="A3127" s="23" t="n"/>
      <c r="B3127" s="23" t="n"/>
      <c r="C3127" s="24" t="n"/>
      <c r="D3127" s="15" t="n"/>
      <c r="E3127" s="23" t="n"/>
      <c r="F3127" s="15" t="n"/>
      <c r="G3127" s="23" t="n"/>
      <c r="H3127" s="25" t="n"/>
      <c r="I3127" s="15" t="n"/>
      <c r="J3127" s="26">
        <f>IF($A3127="","",LEN($C3127)-LEN(SUBSTITUTE($C3127,",",""))+1)</f>
        <v/>
      </c>
      <c r="K3127" s="26">
        <f>IF($A3127="","",SUMPRODUCT(--ISNUMBER(SEARCH('Category Dictionary'!$D$5:$D$135&amp;"",$C3127)),--('Category Dictionary'!$D$5:$D$135&lt;&gt;"")))</f>
        <v/>
      </c>
      <c r="L3127" s="27">
        <f>IF($A3127="","",TRIM(IF(ISERROR(FIND(",",$C3127)),$C3127,LEFT($C3127,FIND(",",$C3127)-1))))</f>
        <v/>
      </c>
      <c r="M3127" s="28">
        <f>IF($H3127="","",DATE(YEAR($H3127),MONTH($H3127),1))</f>
        <v/>
      </c>
      <c r="N3127" s="26">
        <f>IF($H3127="","",TODAY()-$H3127)</f>
        <v/>
      </c>
      <c r="O3127" s="15" t="n"/>
      <c r="P3127" s="15" t="n"/>
      <c r="Q3127" s="15" t="n"/>
      <c r="R3127" s="25" t="n"/>
      <c r="S3127" s="26">
        <f>IF($A3127="","",AND(OR('Assignment Builder'!$B$5="",$B3127='Assignment Builder'!$B$5),OR('Assignment Builder'!$B$6="",ISNUMBER(SEARCH('Assignment Builder'!$B$6,$C3127))),OR('Assignment Builder'!$B$7="",'Assignment Builder'!$B$7=IFERROR(INDEX('Category Dictionary'!$C$5:$C$135,MATCH($L3127,'Category Dictionary'!$D$5:$D$135,0)),"")),OR('Assignment Builder'!$B$8="",$D3127='Assignment Builder'!$B$8),OR('Assignment Builder'!$B$9="",$F3127='Assignment Builder'!$B$9),OR('Assignment Builder'!$B$10="",$O3127='Assignment Builder'!$B$10),OR('Assignment Builder'!$B$11="",$H3127&gt;='Assignment Builder'!$B$11),OR('Assignment Builder'!$B$12="",N($Q3127)&lt;='Assignment Builder'!$B$12)))</f>
        <v/>
      </c>
      <c r="T3127" s="23" t="n"/>
    </row>
    <row r="3128">
      <c r="A3128" s="23" t="n"/>
      <c r="B3128" s="23" t="n"/>
      <c r="C3128" s="24" t="n"/>
      <c r="D3128" s="15" t="n"/>
      <c r="E3128" s="23" t="n"/>
      <c r="F3128" s="15" t="n"/>
      <c r="G3128" s="23" t="n"/>
      <c r="H3128" s="25" t="n"/>
      <c r="I3128" s="15" t="n"/>
      <c r="J3128" s="26">
        <f>IF($A3128="","",LEN($C3128)-LEN(SUBSTITUTE($C3128,",",""))+1)</f>
        <v/>
      </c>
      <c r="K3128" s="26">
        <f>IF($A3128="","",SUMPRODUCT(--ISNUMBER(SEARCH('Category Dictionary'!$D$5:$D$135&amp;"",$C3128)),--('Category Dictionary'!$D$5:$D$135&lt;&gt;"")))</f>
        <v/>
      </c>
      <c r="L3128" s="27">
        <f>IF($A3128="","",TRIM(IF(ISERROR(FIND(",",$C3128)),$C3128,LEFT($C3128,FIND(",",$C3128)-1))))</f>
        <v/>
      </c>
      <c r="M3128" s="28">
        <f>IF($H3128="","",DATE(YEAR($H3128),MONTH($H3128),1))</f>
        <v/>
      </c>
      <c r="N3128" s="26">
        <f>IF($H3128="","",TODAY()-$H3128)</f>
        <v/>
      </c>
      <c r="O3128" s="15" t="n"/>
      <c r="P3128" s="15" t="n"/>
      <c r="Q3128" s="15" t="n"/>
      <c r="R3128" s="25" t="n"/>
      <c r="S3128" s="26">
        <f>IF($A3128="","",AND(OR('Assignment Builder'!$B$5="",$B3128='Assignment Builder'!$B$5),OR('Assignment Builder'!$B$6="",ISNUMBER(SEARCH('Assignment Builder'!$B$6,$C3128))),OR('Assignment Builder'!$B$7="",'Assignment Builder'!$B$7=IFERROR(INDEX('Category Dictionary'!$C$5:$C$135,MATCH($L3128,'Category Dictionary'!$D$5:$D$135,0)),"")),OR('Assignment Builder'!$B$8="",$D3128='Assignment Builder'!$B$8),OR('Assignment Builder'!$B$9="",$F3128='Assignment Builder'!$B$9),OR('Assignment Builder'!$B$10="",$O3128='Assignment Builder'!$B$10),OR('Assignment Builder'!$B$11="",$H3128&gt;='Assignment Builder'!$B$11),OR('Assignment Builder'!$B$12="",N($Q3128)&lt;='Assignment Builder'!$B$12)))</f>
        <v/>
      </c>
      <c r="T3128" s="23" t="n"/>
    </row>
    <row r="3129">
      <c r="A3129" s="23" t="n"/>
      <c r="B3129" s="23" t="n"/>
      <c r="C3129" s="24" t="n"/>
      <c r="D3129" s="15" t="n"/>
      <c r="E3129" s="23" t="n"/>
      <c r="F3129" s="15" t="n"/>
      <c r="G3129" s="23" t="n"/>
      <c r="H3129" s="25" t="n"/>
      <c r="I3129" s="15" t="n"/>
      <c r="J3129" s="26">
        <f>IF($A3129="","",LEN($C3129)-LEN(SUBSTITUTE($C3129,",",""))+1)</f>
        <v/>
      </c>
      <c r="K3129" s="26">
        <f>IF($A3129="","",SUMPRODUCT(--ISNUMBER(SEARCH('Category Dictionary'!$D$5:$D$135&amp;"",$C3129)),--('Category Dictionary'!$D$5:$D$135&lt;&gt;"")))</f>
        <v/>
      </c>
      <c r="L3129" s="27">
        <f>IF($A3129="","",TRIM(IF(ISERROR(FIND(",",$C3129)),$C3129,LEFT($C3129,FIND(",",$C3129)-1))))</f>
        <v/>
      </c>
      <c r="M3129" s="28">
        <f>IF($H3129="","",DATE(YEAR($H3129),MONTH($H3129),1))</f>
        <v/>
      </c>
      <c r="N3129" s="26">
        <f>IF($H3129="","",TODAY()-$H3129)</f>
        <v/>
      </c>
      <c r="O3129" s="15" t="n"/>
      <c r="P3129" s="15" t="n"/>
      <c r="Q3129" s="15" t="n"/>
      <c r="R3129" s="25" t="n"/>
      <c r="S3129" s="26">
        <f>IF($A3129="","",AND(OR('Assignment Builder'!$B$5="",$B3129='Assignment Builder'!$B$5),OR('Assignment Builder'!$B$6="",ISNUMBER(SEARCH('Assignment Builder'!$B$6,$C3129))),OR('Assignment Builder'!$B$7="",'Assignment Builder'!$B$7=IFERROR(INDEX('Category Dictionary'!$C$5:$C$135,MATCH($L3129,'Category Dictionary'!$D$5:$D$135,0)),"")),OR('Assignment Builder'!$B$8="",$D3129='Assignment Builder'!$B$8),OR('Assignment Builder'!$B$9="",$F3129='Assignment Builder'!$B$9),OR('Assignment Builder'!$B$10="",$O3129='Assignment Builder'!$B$10),OR('Assignment Builder'!$B$11="",$H3129&gt;='Assignment Builder'!$B$11),OR('Assignment Builder'!$B$12="",N($Q3129)&lt;='Assignment Builder'!$B$12)))</f>
        <v/>
      </c>
      <c r="T3129" s="23" t="n"/>
    </row>
    <row r="3130">
      <c r="A3130" s="23" t="n"/>
      <c r="B3130" s="23" t="n"/>
      <c r="C3130" s="24" t="n"/>
      <c r="D3130" s="15" t="n"/>
      <c r="E3130" s="23" t="n"/>
      <c r="F3130" s="15" t="n"/>
      <c r="G3130" s="23" t="n"/>
      <c r="H3130" s="25" t="n"/>
      <c r="I3130" s="15" t="n"/>
      <c r="J3130" s="26">
        <f>IF($A3130="","",LEN($C3130)-LEN(SUBSTITUTE($C3130,",",""))+1)</f>
        <v/>
      </c>
      <c r="K3130" s="26">
        <f>IF($A3130="","",SUMPRODUCT(--ISNUMBER(SEARCH('Category Dictionary'!$D$5:$D$135&amp;"",$C3130)),--('Category Dictionary'!$D$5:$D$135&lt;&gt;"")))</f>
        <v/>
      </c>
      <c r="L3130" s="27">
        <f>IF($A3130="","",TRIM(IF(ISERROR(FIND(",",$C3130)),$C3130,LEFT($C3130,FIND(",",$C3130)-1))))</f>
        <v/>
      </c>
      <c r="M3130" s="28">
        <f>IF($H3130="","",DATE(YEAR($H3130),MONTH($H3130),1))</f>
        <v/>
      </c>
      <c r="N3130" s="26">
        <f>IF($H3130="","",TODAY()-$H3130)</f>
        <v/>
      </c>
      <c r="O3130" s="15" t="n"/>
      <c r="P3130" s="15" t="n"/>
      <c r="Q3130" s="15" t="n"/>
      <c r="R3130" s="25" t="n"/>
      <c r="S3130" s="26">
        <f>IF($A3130="","",AND(OR('Assignment Builder'!$B$5="",$B3130='Assignment Builder'!$B$5),OR('Assignment Builder'!$B$6="",ISNUMBER(SEARCH('Assignment Builder'!$B$6,$C3130))),OR('Assignment Builder'!$B$7="",'Assignment Builder'!$B$7=IFERROR(INDEX('Category Dictionary'!$C$5:$C$135,MATCH($L3130,'Category Dictionary'!$D$5:$D$135,0)),"")),OR('Assignment Builder'!$B$8="",$D3130='Assignment Builder'!$B$8),OR('Assignment Builder'!$B$9="",$F3130='Assignment Builder'!$B$9),OR('Assignment Builder'!$B$10="",$O3130='Assignment Builder'!$B$10),OR('Assignment Builder'!$B$11="",$H3130&gt;='Assignment Builder'!$B$11),OR('Assignment Builder'!$B$12="",N($Q3130)&lt;='Assignment Builder'!$B$12)))</f>
        <v/>
      </c>
      <c r="T3130" s="23" t="n"/>
    </row>
    <row r="3131">
      <c r="A3131" s="23" t="n"/>
      <c r="B3131" s="23" t="n"/>
      <c r="C3131" s="24" t="n"/>
      <c r="D3131" s="15" t="n"/>
      <c r="E3131" s="23" t="n"/>
      <c r="F3131" s="15" t="n"/>
      <c r="G3131" s="23" t="n"/>
      <c r="H3131" s="25" t="n"/>
      <c r="I3131" s="15" t="n"/>
      <c r="J3131" s="26">
        <f>IF($A3131="","",LEN($C3131)-LEN(SUBSTITUTE($C3131,",",""))+1)</f>
        <v/>
      </c>
      <c r="K3131" s="26">
        <f>IF($A3131="","",SUMPRODUCT(--ISNUMBER(SEARCH('Category Dictionary'!$D$5:$D$135&amp;"",$C3131)),--('Category Dictionary'!$D$5:$D$135&lt;&gt;"")))</f>
        <v/>
      </c>
      <c r="L3131" s="27">
        <f>IF($A3131="","",TRIM(IF(ISERROR(FIND(",",$C3131)),$C3131,LEFT($C3131,FIND(",",$C3131)-1))))</f>
        <v/>
      </c>
      <c r="M3131" s="28">
        <f>IF($H3131="","",DATE(YEAR($H3131),MONTH($H3131),1))</f>
        <v/>
      </c>
      <c r="N3131" s="26">
        <f>IF($H3131="","",TODAY()-$H3131)</f>
        <v/>
      </c>
      <c r="O3131" s="15" t="n"/>
      <c r="P3131" s="15" t="n"/>
      <c r="Q3131" s="15" t="n"/>
      <c r="R3131" s="25" t="n"/>
      <c r="S3131" s="26">
        <f>IF($A3131="","",AND(OR('Assignment Builder'!$B$5="",$B3131='Assignment Builder'!$B$5),OR('Assignment Builder'!$B$6="",ISNUMBER(SEARCH('Assignment Builder'!$B$6,$C3131))),OR('Assignment Builder'!$B$7="",'Assignment Builder'!$B$7=IFERROR(INDEX('Category Dictionary'!$C$5:$C$135,MATCH($L3131,'Category Dictionary'!$D$5:$D$135,0)),"")),OR('Assignment Builder'!$B$8="",$D3131='Assignment Builder'!$B$8),OR('Assignment Builder'!$B$9="",$F3131='Assignment Builder'!$B$9),OR('Assignment Builder'!$B$10="",$O3131='Assignment Builder'!$B$10),OR('Assignment Builder'!$B$11="",$H3131&gt;='Assignment Builder'!$B$11),OR('Assignment Builder'!$B$12="",N($Q3131)&lt;='Assignment Builder'!$B$12)))</f>
        <v/>
      </c>
      <c r="T3131" s="23" t="n"/>
    </row>
    <row r="3132">
      <c r="A3132" s="23" t="n"/>
      <c r="B3132" s="23" t="n"/>
      <c r="C3132" s="24" t="n"/>
      <c r="D3132" s="15" t="n"/>
      <c r="E3132" s="23" t="n"/>
      <c r="F3132" s="15" t="n"/>
      <c r="G3132" s="23" t="n"/>
      <c r="H3132" s="25" t="n"/>
      <c r="I3132" s="15" t="n"/>
      <c r="J3132" s="26">
        <f>IF($A3132="","",LEN($C3132)-LEN(SUBSTITUTE($C3132,",",""))+1)</f>
        <v/>
      </c>
      <c r="K3132" s="26">
        <f>IF($A3132="","",SUMPRODUCT(--ISNUMBER(SEARCH('Category Dictionary'!$D$5:$D$135&amp;"",$C3132)),--('Category Dictionary'!$D$5:$D$135&lt;&gt;"")))</f>
        <v/>
      </c>
      <c r="L3132" s="27">
        <f>IF($A3132="","",TRIM(IF(ISERROR(FIND(",",$C3132)),$C3132,LEFT($C3132,FIND(",",$C3132)-1))))</f>
        <v/>
      </c>
      <c r="M3132" s="28">
        <f>IF($H3132="","",DATE(YEAR($H3132),MONTH($H3132),1))</f>
        <v/>
      </c>
      <c r="N3132" s="26">
        <f>IF($H3132="","",TODAY()-$H3132)</f>
        <v/>
      </c>
      <c r="O3132" s="15" t="n"/>
      <c r="P3132" s="15" t="n"/>
      <c r="Q3132" s="15" t="n"/>
      <c r="R3132" s="25" t="n"/>
      <c r="S3132" s="26">
        <f>IF($A3132="","",AND(OR('Assignment Builder'!$B$5="",$B3132='Assignment Builder'!$B$5),OR('Assignment Builder'!$B$6="",ISNUMBER(SEARCH('Assignment Builder'!$B$6,$C3132))),OR('Assignment Builder'!$B$7="",'Assignment Builder'!$B$7=IFERROR(INDEX('Category Dictionary'!$C$5:$C$135,MATCH($L3132,'Category Dictionary'!$D$5:$D$135,0)),"")),OR('Assignment Builder'!$B$8="",$D3132='Assignment Builder'!$B$8),OR('Assignment Builder'!$B$9="",$F3132='Assignment Builder'!$B$9),OR('Assignment Builder'!$B$10="",$O3132='Assignment Builder'!$B$10),OR('Assignment Builder'!$B$11="",$H3132&gt;='Assignment Builder'!$B$11),OR('Assignment Builder'!$B$12="",N($Q3132)&lt;='Assignment Builder'!$B$12)))</f>
        <v/>
      </c>
      <c r="T3132" s="23" t="n"/>
    </row>
    <row r="3133">
      <c r="A3133" s="23" t="n"/>
      <c r="B3133" s="23" t="n"/>
      <c r="C3133" s="24" t="n"/>
      <c r="D3133" s="15" t="n"/>
      <c r="E3133" s="23" t="n"/>
      <c r="F3133" s="15" t="n"/>
      <c r="G3133" s="23" t="n"/>
      <c r="H3133" s="25" t="n"/>
      <c r="I3133" s="15" t="n"/>
      <c r="J3133" s="26">
        <f>IF($A3133="","",LEN($C3133)-LEN(SUBSTITUTE($C3133,",",""))+1)</f>
        <v/>
      </c>
      <c r="K3133" s="26">
        <f>IF($A3133="","",SUMPRODUCT(--ISNUMBER(SEARCH('Category Dictionary'!$D$5:$D$135&amp;"",$C3133)),--('Category Dictionary'!$D$5:$D$135&lt;&gt;"")))</f>
        <v/>
      </c>
      <c r="L3133" s="27">
        <f>IF($A3133="","",TRIM(IF(ISERROR(FIND(",",$C3133)),$C3133,LEFT($C3133,FIND(",",$C3133)-1))))</f>
        <v/>
      </c>
      <c r="M3133" s="28">
        <f>IF($H3133="","",DATE(YEAR($H3133),MONTH($H3133),1))</f>
        <v/>
      </c>
      <c r="N3133" s="26">
        <f>IF($H3133="","",TODAY()-$H3133)</f>
        <v/>
      </c>
      <c r="O3133" s="15" t="n"/>
      <c r="P3133" s="15" t="n"/>
      <c r="Q3133" s="15" t="n"/>
      <c r="R3133" s="25" t="n"/>
      <c r="S3133" s="26">
        <f>IF($A3133="","",AND(OR('Assignment Builder'!$B$5="",$B3133='Assignment Builder'!$B$5),OR('Assignment Builder'!$B$6="",ISNUMBER(SEARCH('Assignment Builder'!$B$6,$C3133))),OR('Assignment Builder'!$B$7="",'Assignment Builder'!$B$7=IFERROR(INDEX('Category Dictionary'!$C$5:$C$135,MATCH($L3133,'Category Dictionary'!$D$5:$D$135,0)),"")),OR('Assignment Builder'!$B$8="",$D3133='Assignment Builder'!$B$8),OR('Assignment Builder'!$B$9="",$F3133='Assignment Builder'!$B$9),OR('Assignment Builder'!$B$10="",$O3133='Assignment Builder'!$B$10),OR('Assignment Builder'!$B$11="",$H3133&gt;='Assignment Builder'!$B$11),OR('Assignment Builder'!$B$12="",N($Q3133)&lt;='Assignment Builder'!$B$12)))</f>
        <v/>
      </c>
      <c r="T3133" s="23" t="n"/>
    </row>
    <row r="3134">
      <c r="A3134" s="23" t="n"/>
      <c r="B3134" s="23" t="n"/>
      <c r="C3134" s="24" t="n"/>
      <c r="D3134" s="15" t="n"/>
      <c r="E3134" s="23" t="n"/>
      <c r="F3134" s="15" t="n"/>
      <c r="G3134" s="23" t="n"/>
      <c r="H3134" s="25" t="n"/>
      <c r="I3134" s="15" t="n"/>
      <c r="J3134" s="26">
        <f>IF($A3134="","",LEN($C3134)-LEN(SUBSTITUTE($C3134,",",""))+1)</f>
        <v/>
      </c>
      <c r="K3134" s="26">
        <f>IF($A3134="","",SUMPRODUCT(--ISNUMBER(SEARCH('Category Dictionary'!$D$5:$D$135&amp;"",$C3134)),--('Category Dictionary'!$D$5:$D$135&lt;&gt;"")))</f>
        <v/>
      </c>
      <c r="L3134" s="27">
        <f>IF($A3134="","",TRIM(IF(ISERROR(FIND(",",$C3134)),$C3134,LEFT($C3134,FIND(",",$C3134)-1))))</f>
        <v/>
      </c>
      <c r="M3134" s="28">
        <f>IF($H3134="","",DATE(YEAR($H3134),MONTH($H3134),1))</f>
        <v/>
      </c>
      <c r="N3134" s="26">
        <f>IF($H3134="","",TODAY()-$H3134)</f>
        <v/>
      </c>
      <c r="O3134" s="15" t="n"/>
      <c r="P3134" s="15" t="n"/>
      <c r="Q3134" s="15" t="n"/>
      <c r="R3134" s="25" t="n"/>
      <c r="S3134" s="26">
        <f>IF($A3134="","",AND(OR('Assignment Builder'!$B$5="",$B3134='Assignment Builder'!$B$5),OR('Assignment Builder'!$B$6="",ISNUMBER(SEARCH('Assignment Builder'!$B$6,$C3134))),OR('Assignment Builder'!$B$7="",'Assignment Builder'!$B$7=IFERROR(INDEX('Category Dictionary'!$C$5:$C$135,MATCH($L3134,'Category Dictionary'!$D$5:$D$135,0)),"")),OR('Assignment Builder'!$B$8="",$D3134='Assignment Builder'!$B$8),OR('Assignment Builder'!$B$9="",$F3134='Assignment Builder'!$B$9),OR('Assignment Builder'!$B$10="",$O3134='Assignment Builder'!$B$10),OR('Assignment Builder'!$B$11="",$H3134&gt;='Assignment Builder'!$B$11),OR('Assignment Builder'!$B$12="",N($Q3134)&lt;='Assignment Builder'!$B$12)))</f>
        <v/>
      </c>
      <c r="T3134" s="23" t="n"/>
    </row>
    <row r="3135">
      <c r="A3135" s="23" t="n"/>
      <c r="B3135" s="23" t="n"/>
      <c r="C3135" s="24" t="n"/>
      <c r="D3135" s="15" t="n"/>
      <c r="E3135" s="23" t="n"/>
      <c r="F3135" s="15" t="n"/>
      <c r="G3135" s="23" t="n"/>
      <c r="H3135" s="25" t="n"/>
      <c r="I3135" s="15" t="n"/>
      <c r="J3135" s="26">
        <f>IF($A3135="","",LEN($C3135)-LEN(SUBSTITUTE($C3135,",",""))+1)</f>
        <v/>
      </c>
      <c r="K3135" s="26">
        <f>IF($A3135="","",SUMPRODUCT(--ISNUMBER(SEARCH('Category Dictionary'!$D$5:$D$135&amp;"",$C3135)),--('Category Dictionary'!$D$5:$D$135&lt;&gt;"")))</f>
        <v/>
      </c>
      <c r="L3135" s="27">
        <f>IF($A3135="","",TRIM(IF(ISERROR(FIND(",",$C3135)),$C3135,LEFT($C3135,FIND(",",$C3135)-1))))</f>
        <v/>
      </c>
      <c r="M3135" s="28">
        <f>IF($H3135="","",DATE(YEAR($H3135),MONTH($H3135),1))</f>
        <v/>
      </c>
      <c r="N3135" s="26">
        <f>IF($H3135="","",TODAY()-$H3135)</f>
        <v/>
      </c>
      <c r="O3135" s="15" t="n"/>
      <c r="P3135" s="15" t="n"/>
      <c r="Q3135" s="15" t="n"/>
      <c r="R3135" s="25" t="n"/>
      <c r="S3135" s="26">
        <f>IF($A3135="","",AND(OR('Assignment Builder'!$B$5="",$B3135='Assignment Builder'!$B$5),OR('Assignment Builder'!$B$6="",ISNUMBER(SEARCH('Assignment Builder'!$B$6,$C3135))),OR('Assignment Builder'!$B$7="",'Assignment Builder'!$B$7=IFERROR(INDEX('Category Dictionary'!$C$5:$C$135,MATCH($L3135,'Category Dictionary'!$D$5:$D$135,0)),"")),OR('Assignment Builder'!$B$8="",$D3135='Assignment Builder'!$B$8),OR('Assignment Builder'!$B$9="",$F3135='Assignment Builder'!$B$9),OR('Assignment Builder'!$B$10="",$O3135='Assignment Builder'!$B$10),OR('Assignment Builder'!$B$11="",$H3135&gt;='Assignment Builder'!$B$11),OR('Assignment Builder'!$B$12="",N($Q3135)&lt;='Assignment Builder'!$B$12)))</f>
        <v/>
      </c>
      <c r="T3135" s="23" t="n"/>
    </row>
    <row r="3136">
      <c r="A3136" s="23" t="n"/>
      <c r="B3136" s="23" t="n"/>
      <c r="C3136" s="24" t="n"/>
      <c r="D3136" s="15" t="n"/>
      <c r="E3136" s="23" t="n"/>
      <c r="F3136" s="15" t="n"/>
      <c r="G3136" s="23" t="n"/>
      <c r="H3136" s="25" t="n"/>
      <c r="I3136" s="15" t="n"/>
      <c r="J3136" s="26">
        <f>IF($A3136="","",LEN($C3136)-LEN(SUBSTITUTE($C3136,",",""))+1)</f>
        <v/>
      </c>
      <c r="K3136" s="26">
        <f>IF($A3136="","",SUMPRODUCT(--ISNUMBER(SEARCH('Category Dictionary'!$D$5:$D$135&amp;"",$C3136)),--('Category Dictionary'!$D$5:$D$135&lt;&gt;"")))</f>
        <v/>
      </c>
      <c r="L3136" s="27">
        <f>IF($A3136="","",TRIM(IF(ISERROR(FIND(",",$C3136)),$C3136,LEFT($C3136,FIND(",",$C3136)-1))))</f>
        <v/>
      </c>
      <c r="M3136" s="28">
        <f>IF($H3136="","",DATE(YEAR($H3136),MONTH($H3136),1))</f>
        <v/>
      </c>
      <c r="N3136" s="26">
        <f>IF($H3136="","",TODAY()-$H3136)</f>
        <v/>
      </c>
      <c r="O3136" s="15" t="n"/>
      <c r="P3136" s="15" t="n"/>
      <c r="Q3136" s="15" t="n"/>
      <c r="R3136" s="25" t="n"/>
      <c r="S3136" s="26">
        <f>IF($A3136="","",AND(OR('Assignment Builder'!$B$5="",$B3136='Assignment Builder'!$B$5),OR('Assignment Builder'!$B$6="",ISNUMBER(SEARCH('Assignment Builder'!$B$6,$C3136))),OR('Assignment Builder'!$B$7="",'Assignment Builder'!$B$7=IFERROR(INDEX('Category Dictionary'!$C$5:$C$135,MATCH($L3136,'Category Dictionary'!$D$5:$D$135,0)),"")),OR('Assignment Builder'!$B$8="",$D3136='Assignment Builder'!$B$8),OR('Assignment Builder'!$B$9="",$F3136='Assignment Builder'!$B$9),OR('Assignment Builder'!$B$10="",$O3136='Assignment Builder'!$B$10),OR('Assignment Builder'!$B$11="",$H3136&gt;='Assignment Builder'!$B$11),OR('Assignment Builder'!$B$12="",N($Q3136)&lt;='Assignment Builder'!$B$12)))</f>
        <v/>
      </c>
      <c r="T3136" s="23" t="n"/>
    </row>
    <row r="3137">
      <c r="A3137" s="23" t="n"/>
      <c r="B3137" s="23" t="n"/>
      <c r="C3137" s="24" t="n"/>
      <c r="D3137" s="15" t="n"/>
      <c r="E3137" s="23" t="n"/>
      <c r="F3137" s="15" t="n"/>
      <c r="G3137" s="23" t="n"/>
      <c r="H3137" s="25" t="n"/>
      <c r="I3137" s="15" t="n"/>
      <c r="J3137" s="26">
        <f>IF($A3137="","",LEN($C3137)-LEN(SUBSTITUTE($C3137,",",""))+1)</f>
        <v/>
      </c>
      <c r="K3137" s="26">
        <f>IF($A3137="","",SUMPRODUCT(--ISNUMBER(SEARCH('Category Dictionary'!$D$5:$D$135&amp;"",$C3137)),--('Category Dictionary'!$D$5:$D$135&lt;&gt;"")))</f>
        <v/>
      </c>
      <c r="L3137" s="27">
        <f>IF($A3137="","",TRIM(IF(ISERROR(FIND(",",$C3137)),$C3137,LEFT($C3137,FIND(",",$C3137)-1))))</f>
        <v/>
      </c>
      <c r="M3137" s="28">
        <f>IF($H3137="","",DATE(YEAR($H3137),MONTH($H3137),1))</f>
        <v/>
      </c>
      <c r="N3137" s="26">
        <f>IF($H3137="","",TODAY()-$H3137)</f>
        <v/>
      </c>
      <c r="O3137" s="15" t="n"/>
      <c r="P3137" s="15" t="n"/>
      <c r="Q3137" s="15" t="n"/>
      <c r="R3137" s="25" t="n"/>
      <c r="S3137" s="26">
        <f>IF($A3137="","",AND(OR('Assignment Builder'!$B$5="",$B3137='Assignment Builder'!$B$5),OR('Assignment Builder'!$B$6="",ISNUMBER(SEARCH('Assignment Builder'!$B$6,$C3137))),OR('Assignment Builder'!$B$7="",'Assignment Builder'!$B$7=IFERROR(INDEX('Category Dictionary'!$C$5:$C$135,MATCH($L3137,'Category Dictionary'!$D$5:$D$135,0)),"")),OR('Assignment Builder'!$B$8="",$D3137='Assignment Builder'!$B$8),OR('Assignment Builder'!$B$9="",$F3137='Assignment Builder'!$B$9),OR('Assignment Builder'!$B$10="",$O3137='Assignment Builder'!$B$10),OR('Assignment Builder'!$B$11="",$H3137&gt;='Assignment Builder'!$B$11),OR('Assignment Builder'!$B$12="",N($Q3137)&lt;='Assignment Builder'!$B$12)))</f>
        <v/>
      </c>
      <c r="T3137" s="23" t="n"/>
    </row>
    <row r="3138">
      <c r="A3138" s="23" t="n"/>
      <c r="B3138" s="23" t="n"/>
      <c r="C3138" s="24" t="n"/>
      <c r="D3138" s="15" t="n"/>
      <c r="E3138" s="23" t="n"/>
      <c r="F3138" s="15" t="n"/>
      <c r="G3138" s="23" t="n"/>
      <c r="H3138" s="25" t="n"/>
      <c r="I3138" s="15" t="n"/>
      <c r="J3138" s="26">
        <f>IF($A3138="","",LEN($C3138)-LEN(SUBSTITUTE($C3138,",",""))+1)</f>
        <v/>
      </c>
      <c r="K3138" s="26">
        <f>IF($A3138="","",SUMPRODUCT(--ISNUMBER(SEARCH('Category Dictionary'!$D$5:$D$135&amp;"",$C3138)),--('Category Dictionary'!$D$5:$D$135&lt;&gt;"")))</f>
        <v/>
      </c>
      <c r="L3138" s="27">
        <f>IF($A3138="","",TRIM(IF(ISERROR(FIND(",",$C3138)),$C3138,LEFT($C3138,FIND(",",$C3138)-1))))</f>
        <v/>
      </c>
      <c r="M3138" s="28">
        <f>IF($H3138="","",DATE(YEAR($H3138),MONTH($H3138),1))</f>
        <v/>
      </c>
      <c r="N3138" s="26">
        <f>IF($H3138="","",TODAY()-$H3138)</f>
        <v/>
      </c>
      <c r="O3138" s="15" t="n"/>
      <c r="P3138" s="15" t="n"/>
      <c r="Q3138" s="15" t="n"/>
      <c r="R3138" s="25" t="n"/>
      <c r="S3138" s="26">
        <f>IF($A3138="","",AND(OR('Assignment Builder'!$B$5="",$B3138='Assignment Builder'!$B$5),OR('Assignment Builder'!$B$6="",ISNUMBER(SEARCH('Assignment Builder'!$B$6,$C3138))),OR('Assignment Builder'!$B$7="",'Assignment Builder'!$B$7=IFERROR(INDEX('Category Dictionary'!$C$5:$C$135,MATCH($L3138,'Category Dictionary'!$D$5:$D$135,0)),"")),OR('Assignment Builder'!$B$8="",$D3138='Assignment Builder'!$B$8),OR('Assignment Builder'!$B$9="",$F3138='Assignment Builder'!$B$9),OR('Assignment Builder'!$B$10="",$O3138='Assignment Builder'!$B$10),OR('Assignment Builder'!$B$11="",$H3138&gt;='Assignment Builder'!$B$11),OR('Assignment Builder'!$B$12="",N($Q3138)&lt;='Assignment Builder'!$B$12)))</f>
        <v/>
      </c>
      <c r="T3138" s="23" t="n"/>
    </row>
    <row r="3139">
      <c r="A3139" s="23" t="n"/>
      <c r="B3139" s="23" t="n"/>
      <c r="C3139" s="24" t="n"/>
      <c r="D3139" s="15" t="n"/>
      <c r="E3139" s="23" t="n"/>
      <c r="F3139" s="15" t="n"/>
      <c r="G3139" s="23" t="n"/>
      <c r="H3139" s="25" t="n"/>
      <c r="I3139" s="15" t="n"/>
      <c r="J3139" s="26">
        <f>IF($A3139="","",LEN($C3139)-LEN(SUBSTITUTE($C3139,",",""))+1)</f>
        <v/>
      </c>
      <c r="K3139" s="26">
        <f>IF($A3139="","",SUMPRODUCT(--ISNUMBER(SEARCH('Category Dictionary'!$D$5:$D$135&amp;"",$C3139)),--('Category Dictionary'!$D$5:$D$135&lt;&gt;"")))</f>
        <v/>
      </c>
      <c r="L3139" s="27">
        <f>IF($A3139="","",TRIM(IF(ISERROR(FIND(",",$C3139)),$C3139,LEFT($C3139,FIND(",",$C3139)-1))))</f>
        <v/>
      </c>
      <c r="M3139" s="28">
        <f>IF($H3139="","",DATE(YEAR($H3139),MONTH($H3139),1))</f>
        <v/>
      </c>
      <c r="N3139" s="26">
        <f>IF($H3139="","",TODAY()-$H3139)</f>
        <v/>
      </c>
      <c r="O3139" s="15" t="n"/>
      <c r="P3139" s="15" t="n"/>
      <c r="Q3139" s="15" t="n"/>
      <c r="R3139" s="25" t="n"/>
      <c r="S3139" s="26">
        <f>IF($A3139="","",AND(OR('Assignment Builder'!$B$5="",$B3139='Assignment Builder'!$B$5),OR('Assignment Builder'!$B$6="",ISNUMBER(SEARCH('Assignment Builder'!$B$6,$C3139))),OR('Assignment Builder'!$B$7="",'Assignment Builder'!$B$7=IFERROR(INDEX('Category Dictionary'!$C$5:$C$135,MATCH($L3139,'Category Dictionary'!$D$5:$D$135,0)),"")),OR('Assignment Builder'!$B$8="",$D3139='Assignment Builder'!$B$8),OR('Assignment Builder'!$B$9="",$F3139='Assignment Builder'!$B$9),OR('Assignment Builder'!$B$10="",$O3139='Assignment Builder'!$B$10),OR('Assignment Builder'!$B$11="",$H3139&gt;='Assignment Builder'!$B$11),OR('Assignment Builder'!$B$12="",N($Q3139)&lt;='Assignment Builder'!$B$12)))</f>
        <v/>
      </c>
      <c r="T3139" s="23" t="n"/>
    </row>
    <row r="3140">
      <c r="A3140" s="23" t="n"/>
      <c r="B3140" s="23" t="n"/>
      <c r="C3140" s="24" t="n"/>
      <c r="D3140" s="15" t="n"/>
      <c r="E3140" s="23" t="n"/>
      <c r="F3140" s="15" t="n"/>
      <c r="G3140" s="23" t="n"/>
      <c r="H3140" s="25" t="n"/>
      <c r="I3140" s="15" t="n"/>
      <c r="J3140" s="26">
        <f>IF($A3140="","",LEN($C3140)-LEN(SUBSTITUTE($C3140,",",""))+1)</f>
        <v/>
      </c>
      <c r="K3140" s="26">
        <f>IF($A3140="","",SUMPRODUCT(--ISNUMBER(SEARCH('Category Dictionary'!$D$5:$D$135&amp;"",$C3140)),--('Category Dictionary'!$D$5:$D$135&lt;&gt;"")))</f>
        <v/>
      </c>
      <c r="L3140" s="27">
        <f>IF($A3140="","",TRIM(IF(ISERROR(FIND(",",$C3140)),$C3140,LEFT($C3140,FIND(",",$C3140)-1))))</f>
        <v/>
      </c>
      <c r="M3140" s="28">
        <f>IF($H3140="","",DATE(YEAR($H3140),MONTH($H3140),1))</f>
        <v/>
      </c>
      <c r="N3140" s="26">
        <f>IF($H3140="","",TODAY()-$H3140)</f>
        <v/>
      </c>
      <c r="O3140" s="15" t="n"/>
      <c r="P3140" s="15" t="n"/>
      <c r="Q3140" s="15" t="n"/>
      <c r="R3140" s="25" t="n"/>
      <c r="S3140" s="26">
        <f>IF($A3140="","",AND(OR('Assignment Builder'!$B$5="",$B3140='Assignment Builder'!$B$5),OR('Assignment Builder'!$B$6="",ISNUMBER(SEARCH('Assignment Builder'!$B$6,$C3140))),OR('Assignment Builder'!$B$7="",'Assignment Builder'!$B$7=IFERROR(INDEX('Category Dictionary'!$C$5:$C$135,MATCH($L3140,'Category Dictionary'!$D$5:$D$135,0)),"")),OR('Assignment Builder'!$B$8="",$D3140='Assignment Builder'!$B$8),OR('Assignment Builder'!$B$9="",$F3140='Assignment Builder'!$B$9),OR('Assignment Builder'!$B$10="",$O3140='Assignment Builder'!$B$10),OR('Assignment Builder'!$B$11="",$H3140&gt;='Assignment Builder'!$B$11),OR('Assignment Builder'!$B$12="",N($Q3140)&lt;='Assignment Builder'!$B$12)))</f>
        <v/>
      </c>
      <c r="T3140" s="23" t="n"/>
    </row>
    <row r="3141">
      <c r="A3141" s="23" t="n"/>
      <c r="B3141" s="23" t="n"/>
      <c r="C3141" s="24" t="n"/>
      <c r="D3141" s="15" t="n"/>
      <c r="E3141" s="23" t="n"/>
      <c r="F3141" s="15" t="n"/>
      <c r="G3141" s="23" t="n"/>
      <c r="H3141" s="25" t="n"/>
      <c r="I3141" s="15" t="n"/>
      <c r="J3141" s="26">
        <f>IF($A3141="","",LEN($C3141)-LEN(SUBSTITUTE($C3141,",",""))+1)</f>
        <v/>
      </c>
      <c r="K3141" s="26">
        <f>IF($A3141="","",SUMPRODUCT(--ISNUMBER(SEARCH('Category Dictionary'!$D$5:$D$135&amp;"",$C3141)),--('Category Dictionary'!$D$5:$D$135&lt;&gt;"")))</f>
        <v/>
      </c>
      <c r="L3141" s="27">
        <f>IF($A3141="","",TRIM(IF(ISERROR(FIND(",",$C3141)),$C3141,LEFT($C3141,FIND(",",$C3141)-1))))</f>
        <v/>
      </c>
      <c r="M3141" s="28">
        <f>IF($H3141="","",DATE(YEAR($H3141),MONTH($H3141),1))</f>
        <v/>
      </c>
      <c r="N3141" s="26">
        <f>IF($H3141="","",TODAY()-$H3141)</f>
        <v/>
      </c>
      <c r="O3141" s="15" t="n"/>
      <c r="P3141" s="15" t="n"/>
      <c r="Q3141" s="15" t="n"/>
      <c r="R3141" s="25" t="n"/>
      <c r="S3141" s="26">
        <f>IF($A3141="","",AND(OR('Assignment Builder'!$B$5="",$B3141='Assignment Builder'!$B$5),OR('Assignment Builder'!$B$6="",ISNUMBER(SEARCH('Assignment Builder'!$B$6,$C3141))),OR('Assignment Builder'!$B$7="",'Assignment Builder'!$B$7=IFERROR(INDEX('Category Dictionary'!$C$5:$C$135,MATCH($L3141,'Category Dictionary'!$D$5:$D$135,0)),"")),OR('Assignment Builder'!$B$8="",$D3141='Assignment Builder'!$B$8),OR('Assignment Builder'!$B$9="",$F3141='Assignment Builder'!$B$9),OR('Assignment Builder'!$B$10="",$O3141='Assignment Builder'!$B$10),OR('Assignment Builder'!$B$11="",$H3141&gt;='Assignment Builder'!$B$11),OR('Assignment Builder'!$B$12="",N($Q3141)&lt;='Assignment Builder'!$B$12)))</f>
        <v/>
      </c>
      <c r="T3141" s="23" t="n"/>
    </row>
    <row r="3142">
      <c r="A3142" s="23" t="n"/>
      <c r="B3142" s="23" t="n"/>
      <c r="C3142" s="24" t="n"/>
      <c r="D3142" s="15" t="n"/>
      <c r="E3142" s="23" t="n"/>
      <c r="F3142" s="15" t="n"/>
      <c r="G3142" s="23" t="n"/>
      <c r="H3142" s="25" t="n"/>
      <c r="I3142" s="15" t="n"/>
      <c r="J3142" s="26">
        <f>IF($A3142="","",LEN($C3142)-LEN(SUBSTITUTE($C3142,",",""))+1)</f>
        <v/>
      </c>
      <c r="K3142" s="26">
        <f>IF($A3142="","",SUMPRODUCT(--ISNUMBER(SEARCH('Category Dictionary'!$D$5:$D$135&amp;"",$C3142)),--('Category Dictionary'!$D$5:$D$135&lt;&gt;"")))</f>
        <v/>
      </c>
      <c r="L3142" s="27">
        <f>IF($A3142="","",TRIM(IF(ISERROR(FIND(",",$C3142)),$C3142,LEFT($C3142,FIND(",",$C3142)-1))))</f>
        <v/>
      </c>
      <c r="M3142" s="28">
        <f>IF($H3142="","",DATE(YEAR($H3142),MONTH($H3142),1))</f>
        <v/>
      </c>
      <c r="N3142" s="26">
        <f>IF($H3142="","",TODAY()-$H3142)</f>
        <v/>
      </c>
      <c r="O3142" s="15" t="n"/>
      <c r="P3142" s="15" t="n"/>
      <c r="Q3142" s="15" t="n"/>
      <c r="R3142" s="25" t="n"/>
      <c r="S3142" s="26">
        <f>IF($A3142="","",AND(OR('Assignment Builder'!$B$5="",$B3142='Assignment Builder'!$B$5),OR('Assignment Builder'!$B$6="",ISNUMBER(SEARCH('Assignment Builder'!$B$6,$C3142))),OR('Assignment Builder'!$B$7="",'Assignment Builder'!$B$7=IFERROR(INDEX('Category Dictionary'!$C$5:$C$135,MATCH($L3142,'Category Dictionary'!$D$5:$D$135,0)),"")),OR('Assignment Builder'!$B$8="",$D3142='Assignment Builder'!$B$8),OR('Assignment Builder'!$B$9="",$F3142='Assignment Builder'!$B$9),OR('Assignment Builder'!$B$10="",$O3142='Assignment Builder'!$B$10),OR('Assignment Builder'!$B$11="",$H3142&gt;='Assignment Builder'!$B$11),OR('Assignment Builder'!$B$12="",N($Q3142)&lt;='Assignment Builder'!$B$12)))</f>
        <v/>
      </c>
      <c r="T3142" s="23" t="n"/>
    </row>
    <row r="3143">
      <c r="A3143" s="23" t="n"/>
      <c r="B3143" s="23" t="n"/>
      <c r="C3143" s="24" t="n"/>
      <c r="D3143" s="15" t="n"/>
      <c r="E3143" s="23" t="n"/>
      <c r="F3143" s="15" t="n"/>
      <c r="G3143" s="23" t="n"/>
      <c r="H3143" s="25" t="n"/>
      <c r="I3143" s="15" t="n"/>
      <c r="J3143" s="26">
        <f>IF($A3143="","",LEN($C3143)-LEN(SUBSTITUTE($C3143,",",""))+1)</f>
        <v/>
      </c>
      <c r="K3143" s="26">
        <f>IF($A3143="","",SUMPRODUCT(--ISNUMBER(SEARCH('Category Dictionary'!$D$5:$D$135&amp;"",$C3143)),--('Category Dictionary'!$D$5:$D$135&lt;&gt;"")))</f>
        <v/>
      </c>
      <c r="L3143" s="27">
        <f>IF($A3143="","",TRIM(IF(ISERROR(FIND(",",$C3143)),$C3143,LEFT($C3143,FIND(",",$C3143)-1))))</f>
        <v/>
      </c>
      <c r="M3143" s="28">
        <f>IF($H3143="","",DATE(YEAR($H3143),MONTH($H3143),1))</f>
        <v/>
      </c>
      <c r="N3143" s="26">
        <f>IF($H3143="","",TODAY()-$H3143)</f>
        <v/>
      </c>
      <c r="O3143" s="15" t="n"/>
      <c r="P3143" s="15" t="n"/>
      <c r="Q3143" s="15" t="n"/>
      <c r="R3143" s="25" t="n"/>
      <c r="S3143" s="26">
        <f>IF($A3143="","",AND(OR('Assignment Builder'!$B$5="",$B3143='Assignment Builder'!$B$5),OR('Assignment Builder'!$B$6="",ISNUMBER(SEARCH('Assignment Builder'!$B$6,$C3143))),OR('Assignment Builder'!$B$7="",'Assignment Builder'!$B$7=IFERROR(INDEX('Category Dictionary'!$C$5:$C$135,MATCH($L3143,'Category Dictionary'!$D$5:$D$135,0)),"")),OR('Assignment Builder'!$B$8="",$D3143='Assignment Builder'!$B$8),OR('Assignment Builder'!$B$9="",$F3143='Assignment Builder'!$B$9),OR('Assignment Builder'!$B$10="",$O3143='Assignment Builder'!$B$10),OR('Assignment Builder'!$B$11="",$H3143&gt;='Assignment Builder'!$B$11),OR('Assignment Builder'!$B$12="",N($Q3143)&lt;='Assignment Builder'!$B$12)))</f>
        <v/>
      </c>
      <c r="T3143" s="23" t="n"/>
    </row>
    <row r="3144">
      <c r="A3144" s="23" t="n"/>
      <c r="B3144" s="23" t="n"/>
      <c r="C3144" s="24" t="n"/>
      <c r="D3144" s="15" t="n"/>
      <c r="E3144" s="23" t="n"/>
      <c r="F3144" s="15" t="n"/>
      <c r="G3144" s="23" t="n"/>
      <c r="H3144" s="25" t="n"/>
      <c r="I3144" s="15" t="n"/>
      <c r="J3144" s="26">
        <f>IF($A3144="","",LEN($C3144)-LEN(SUBSTITUTE($C3144,",",""))+1)</f>
        <v/>
      </c>
      <c r="K3144" s="26">
        <f>IF($A3144="","",SUMPRODUCT(--ISNUMBER(SEARCH('Category Dictionary'!$D$5:$D$135&amp;"",$C3144)),--('Category Dictionary'!$D$5:$D$135&lt;&gt;"")))</f>
        <v/>
      </c>
      <c r="L3144" s="27">
        <f>IF($A3144="","",TRIM(IF(ISERROR(FIND(",",$C3144)),$C3144,LEFT($C3144,FIND(",",$C3144)-1))))</f>
        <v/>
      </c>
      <c r="M3144" s="28">
        <f>IF($H3144="","",DATE(YEAR($H3144),MONTH($H3144),1))</f>
        <v/>
      </c>
      <c r="N3144" s="26">
        <f>IF($H3144="","",TODAY()-$H3144)</f>
        <v/>
      </c>
      <c r="O3144" s="15" t="n"/>
      <c r="P3144" s="15" t="n"/>
      <c r="Q3144" s="15" t="n"/>
      <c r="R3144" s="25" t="n"/>
      <c r="S3144" s="26">
        <f>IF($A3144="","",AND(OR('Assignment Builder'!$B$5="",$B3144='Assignment Builder'!$B$5),OR('Assignment Builder'!$B$6="",ISNUMBER(SEARCH('Assignment Builder'!$B$6,$C3144))),OR('Assignment Builder'!$B$7="",'Assignment Builder'!$B$7=IFERROR(INDEX('Category Dictionary'!$C$5:$C$135,MATCH($L3144,'Category Dictionary'!$D$5:$D$135,0)),"")),OR('Assignment Builder'!$B$8="",$D3144='Assignment Builder'!$B$8),OR('Assignment Builder'!$B$9="",$F3144='Assignment Builder'!$B$9),OR('Assignment Builder'!$B$10="",$O3144='Assignment Builder'!$B$10),OR('Assignment Builder'!$B$11="",$H3144&gt;='Assignment Builder'!$B$11),OR('Assignment Builder'!$B$12="",N($Q3144)&lt;='Assignment Builder'!$B$12)))</f>
        <v/>
      </c>
      <c r="T3144" s="23" t="n"/>
    </row>
    <row r="3145">
      <c r="A3145" s="23" t="n"/>
      <c r="B3145" s="23" t="n"/>
      <c r="C3145" s="24" t="n"/>
      <c r="D3145" s="15" t="n"/>
      <c r="E3145" s="23" t="n"/>
      <c r="F3145" s="15" t="n"/>
      <c r="G3145" s="23" t="n"/>
      <c r="H3145" s="25" t="n"/>
      <c r="I3145" s="15" t="n"/>
      <c r="J3145" s="26">
        <f>IF($A3145="","",LEN($C3145)-LEN(SUBSTITUTE($C3145,",",""))+1)</f>
        <v/>
      </c>
      <c r="K3145" s="26">
        <f>IF($A3145="","",SUMPRODUCT(--ISNUMBER(SEARCH('Category Dictionary'!$D$5:$D$135&amp;"",$C3145)),--('Category Dictionary'!$D$5:$D$135&lt;&gt;"")))</f>
        <v/>
      </c>
      <c r="L3145" s="27">
        <f>IF($A3145="","",TRIM(IF(ISERROR(FIND(",",$C3145)),$C3145,LEFT($C3145,FIND(",",$C3145)-1))))</f>
        <v/>
      </c>
      <c r="M3145" s="28">
        <f>IF($H3145="","",DATE(YEAR($H3145),MONTH($H3145),1))</f>
        <v/>
      </c>
      <c r="N3145" s="26">
        <f>IF($H3145="","",TODAY()-$H3145)</f>
        <v/>
      </c>
      <c r="O3145" s="15" t="n"/>
      <c r="P3145" s="15" t="n"/>
      <c r="Q3145" s="15" t="n"/>
      <c r="R3145" s="25" t="n"/>
      <c r="S3145" s="26">
        <f>IF($A3145="","",AND(OR('Assignment Builder'!$B$5="",$B3145='Assignment Builder'!$B$5),OR('Assignment Builder'!$B$6="",ISNUMBER(SEARCH('Assignment Builder'!$B$6,$C3145))),OR('Assignment Builder'!$B$7="",'Assignment Builder'!$B$7=IFERROR(INDEX('Category Dictionary'!$C$5:$C$135,MATCH($L3145,'Category Dictionary'!$D$5:$D$135,0)),"")),OR('Assignment Builder'!$B$8="",$D3145='Assignment Builder'!$B$8),OR('Assignment Builder'!$B$9="",$F3145='Assignment Builder'!$B$9),OR('Assignment Builder'!$B$10="",$O3145='Assignment Builder'!$B$10),OR('Assignment Builder'!$B$11="",$H3145&gt;='Assignment Builder'!$B$11),OR('Assignment Builder'!$B$12="",N($Q3145)&lt;='Assignment Builder'!$B$12)))</f>
        <v/>
      </c>
      <c r="T3145" s="23" t="n"/>
    </row>
    <row r="3146">
      <c r="A3146" s="23" t="n"/>
      <c r="B3146" s="23" t="n"/>
      <c r="C3146" s="24" t="n"/>
      <c r="D3146" s="15" t="n"/>
      <c r="E3146" s="23" t="n"/>
      <c r="F3146" s="15" t="n"/>
      <c r="G3146" s="23" t="n"/>
      <c r="H3146" s="25" t="n"/>
      <c r="I3146" s="15" t="n"/>
      <c r="J3146" s="26">
        <f>IF($A3146="","",LEN($C3146)-LEN(SUBSTITUTE($C3146,",",""))+1)</f>
        <v/>
      </c>
      <c r="K3146" s="26">
        <f>IF($A3146="","",SUMPRODUCT(--ISNUMBER(SEARCH('Category Dictionary'!$D$5:$D$135&amp;"",$C3146)),--('Category Dictionary'!$D$5:$D$135&lt;&gt;"")))</f>
        <v/>
      </c>
      <c r="L3146" s="27">
        <f>IF($A3146="","",TRIM(IF(ISERROR(FIND(",",$C3146)),$C3146,LEFT($C3146,FIND(",",$C3146)-1))))</f>
        <v/>
      </c>
      <c r="M3146" s="28">
        <f>IF($H3146="","",DATE(YEAR($H3146),MONTH($H3146),1))</f>
        <v/>
      </c>
      <c r="N3146" s="26">
        <f>IF($H3146="","",TODAY()-$H3146)</f>
        <v/>
      </c>
      <c r="O3146" s="15" t="n"/>
      <c r="P3146" s="15" t="n"/>
      <c r="Q3146" s="15" t="n"/>
      <c r="R3146" s="25" t="n"/>
      <c r="S3146" s="26">
        <f>IF($A3146="","",AND(OR('Assignment Builder'!$B$5="",$B3146='Assignment Builder'!$B$5),OR('Assignment Builder'!$B$6="",ISNUMBER(SEARCH('Assignment Builder'!$B$6,$C3146))),OR('Assignment Builder'!$B$7="",'Assignment Builder'!$B$7=IFERROR(INDEX('Category Dictionary'!$C$5:$C$135,MATCH($L3146,'Category Dictionary'!$D$5:$D$135,0)),"")),OR('Assignment Builder'!$B$8="",$D3146='Assignment Builder'!$B$8),OR('Assignment Builder'!$B$9="",$F3146='Assignment Builder'!$B$9),OR('Assignment Builder'!$B$10="",$O3146='Assignment Builder'!$B$10),OR('Assignment Builder'!$B$11="",$H3146&gt;='Assignment Builder'!$B$11),OR('Assignment Builder'!$B$12="",N($Q3146)&lt;='Assignment Builder'!$B$12)))</f>
        <v/>
      </c>
      <c r="T3146" s="23" t="n"/>
    </row>
    <row r="3147">
      <c r="A3147" s="23" t="n"/>
      <c r="B3147" s="23" t="n"/>
      <c r="C3147" s="24" t="n"/>
      <c r="D3147" s="15" t="n"/>
      <c r="E3147" s="23" t="n"/>
      <c r="F3147" s="15" t="n"/>
      <c r="G3147" s="23" t="n"/>
      <c r="H3147" s="25" t="n"/>
      <c r="I3147" s="15" t="n"/>
      <c r="J3147" s="26">
        <f>IF($A3147="","",LEN($C3147)-LEN(SUBSTITUTE($C3147,",",""))+1)</f>
        <v/>
      </c>
      <c r="K3147" s="26">
        <f>IF($A3147="","",SUMPRODUCT(--ISNUMBER(SEARCH('Category Dictionary'!$D$5:$D$135&amp;"",$C3147)),--('Category Dictionary'!$D$5:$D$135&lt;&gt;"")))</f>
        <v/>
      </c>
      <c r="L3147" s="27">
        <f>IF($A3147="","",TRIM(IF(ISERROR(FIND(",",$C3147)),$C3147,LEFT($C3147,FIND(",",$C3147)-1))))</f>
        <v/>
      </c>
      <c r="M3147" s="28">
        <f>IF($H3147="","",DATE(YEAR($H3147),MONTH($H3147),1))</f>
        <v/>
      </c>
      <c r="N3147" s="26">
        <f>IF($H3147="","",TODAY()-$H3147)</f>
        <v/>
      </c>
      <c r="O3147" s="15" t="n"/>
      <c r="P3147" s="15" t="n"/>
      <c r="Q3147" s="15" t="n"/>
      <c r="R3147" s="25" t="n"/>
      <c r="S3147" s="26">
        <f>IF($A3147="","",AND(OR('Assignment Builder'!$B$5="",$B3147='Assignment Builder'!$B$5),OR('Assignment Builder'!$B$6="",ISNUMBER(SEARCH('Assignment Builder'!$B$6,$C3147))),OR('Assignment Builder'!$B$7="",'Assignment Builder'!$B$7=IFERROR(INDEX('Category Dictionary'!$C$5:$C$135,MATCH($L3147,'Category Dictionary'!$D$5:$D$135,0)),"")),OR('Assignment Builder'!$B$8="",$D3147='Assignment Builder'!$B$8),OR('Assignment Builder'!$B$9="",$F3147='Assignment Builder'!$B$9),OR('Assignment Builder'!$B$10="",$O3147='Assignment Builder'!$B$10),OR('Assignment Builder'!$B$11="",$H3147&gt;='Assignment Builder'!$B$11),OR('Assignment Builder'!$B$12="",N($Q3147)&lt;='Assignment Builder'!$B$12)))</f>
        <v/>
      </c>
      <c r="T3147" s="23" t="n"/>
    </row>
    <row r="3148">
      <c r="A3148" s="23" t="n"/>
      <c r="B3148" s="23" t="n"/>
      <c r="C3148" s="24" t="n"/>
      <c r="D3148" s="15" t="n"/>
      <c r="E3148" s="23" t="n"/>
      <c r="F3148" s="15" t="n"/>
      <c r="G3148" s="23" t="n"/>
      <c r="H3148" s="25" t="n"/>
      <c r="I3148" s="15" t="n"/>
      <c r="J3148" s="26">
        <f>IF($A3148="","",LEN($C3148)-LEN(SUBSTITUTE($C3148,",",""))+1)</f>
        <v/>
      </c>
      <c r="K3148" s="26">
        <f>IF($A3148="","",SUMPRODUCT(--ISNUMBER(SEARCH('Category Dictionary'!$D$5:$D$135&amp;"",$C3148)),--('Category Dictionary'!$D$5:$D$135&lt;&gt;"")))</f>
        <v/>
      </c>
      <c r="L3148" s="27">
        <f>IF($A3148="","",TRIM(IF(ISERROR(FIND(",",$C3148)),$C3148,LEFT($C3148,FIND(",",$C3148)-1))))</f>
        <v/>
      </c>
      <c r="M3148" s="28">
        <f>IF($H3148="","",DATE(YEAR($H3148),MONTH($H3148),1))</f>
        <v/>
      </c>
      <c r="N3148" s="26">
        <f>IF($H3148="","",TODAY()-$H3148)</f>
        <v/>
      </c>
      <c r="O3148" s="15" t="n"/>
      <c r="P3148" s="15" t="n"/>
      <c r="Q3148" s="15" t="n"/>
      <c r="R3148" s="25" t="n"/>
      <c r="S3148" s="26">
        <f>IF($A3148="","",AND(OR('Assignment Builder'!$B$5="",$B3148='Assignment Builder'!$B$5),OR('Assignment Builder'!$B$6="",ISNUMBER(SEARCH('Assignment Builder'!$B$6,$C3148))),OR('Assignment Builder'!$B$7="",'Assignment Builder'!$B$7=IFERROR(INDEX('Category Dictionary'!$C$5:$C$135,MATCH($L3148,'Category Dictionary'!$D$5:$D$135,0)),"")),OR('Assignment Builder'!$B$8="",$D3148='Assignment Builder'!$B$8),OR('Assignment Builder'!$B$9="",$F3148='Assignment Builder'!$B$9),OR('Assignment Builder'!$B$10="",$O3148='Assignment Builder'!$B$10),OR('Assignment Builder'!$B$11="",$H3148&gt;='Assignment Builder'!$B$11),OR('Assignment Builder'!$B$12="",N($Q3148)&lt;='Assignment Builder'!$B$12)))</f>
        <v/>
      </c>
      <c r="T3148" s="23" t="n"/>
    </row>
    <row r="3149">
      <c r="A3149" s="23" t="n"/>
      <c r="B3149" s="23" t="n"/>
      <c r="C3149" s="24" t="n"/>
      <c r="D3149" s="15" t="n"/>
      <c r="E3149" s="23" t="n"/>
      <c r="F3149" s="15" t="n"/>
      <c r="G3149" s="23" t="n"/>
      <c r="H3149" s="25" t="n"/>
      <c r="I3149" s="15" t="n"/>
      <c r="J3149" s="26">
        <f>IF($A3149="","",LEN($C3149)-LEN(SUBSTITUTE($C3149,",",""))+1)</f>
        <v/>
      </c>
      <c r="K3149" s="26">
        <f>IF($A3149="","",SUMPRODUCT(--ISNUMBER(SEARCH('Category Dictionary'!$D$5:$D$135&amp;"",$C3149)),--('Category Dictionary'!$D$5:$D$135&lt;&gt;"")))</f>
        <v/>
      </c>
      <c r="L3149" s="27">
        <f>IF($A3149="","",TRIM(IF(ISERROR(FIND(",",$C3149)),$C3149,LEFT($C3149,FIND(",",$C3149)-1))))</f>
        <v/>
      </c>
      <c r="M3149" s="28">
        <f>IF($H3149="","",DATE(YEAR($H3149),MONTH($H3149),1))</f>
        <v/>
      </c>
      <c r="N3149" s="26">
        <f>IF($H3149="","",TODAY()-$H3149)</f>
        <v/>
      </c>
      <c r="O3149" s="15" t="n"/>
      <c r="P3149" s="15" t="n"/>
      <c r="Q3149" s="15" t="n"/>
      <c r="R3149" s="25" t="n"/>
      <c r="S3149" s="26">
        <f>IF($A3149="","",AND(OR('Assignment Builder'!$B$5="",$B3149='Assignment Builder'!$B$5),OR('Assignment Builder'!$B$6="",ISNUMBER(SEARCH('Assignment Builder'!$B$6,$C3149))),OR('Assignment Builder'!$B$7="",'Assignment Builder'!$B$7=IFERROR(INDEX('Category Dictionary'!$C$5:$C$135,MATCH($L3149,'Category Dictionary'!$D$5:$D$135,0)),"")),OR('Assignment Builder'!$B$8="",$D3149='Assignment Builder'!$B$8),OR('Assignment Builder'!$B$9="",$F3149='Assignment Builder'!$B$9),OR('Assignment Builder'!$B$10="",$O3149='Assignment Builder'!$B$10),OR('Assignment Builder'!$B$11="",$H3149&gt;='Assignment Builder'!$B$11),OR('Assignment Builder'!$B$12="",N($Q3149)&lt;='Assignment Builder'!$B$12)))</f>
        <v/>
      </c>
      <c r="T3149" s="23" t="n"/>
    </row>
    <row r="3150">
      <c r="A3150" s="23" t="n"/>
      <c r="B3150" s="23" t="n"/>
      <c r="C3150" s="24" t="n"/>
      <c r="D3150" s="15" t="n"/>
      <c r="E3150" s="23" t="n"/>
      <c r="F3150" s="15" t="n"/>
      <c r="G3150" s="23" t="n"/>
      <c r="H3150" s="25" t="n"/>
      <c r="I3150" s="15" t="n"/>
      <c r="J3150" s="26">
        <f>IF($A3150="","",LEN($C3150)-LEN(SUBSTITUTE($C3150,",",""))+1)</f>
        <v/>
      </c>
      <c r="K3150" s="26">
        <f>IF($A3150="","",SUMPRODUCT(--ISNUMBER(SEARCH('Category Dictionary'!$D$5:$D$135&amp;"",$C3150)),--('Category Dictionary'!$D$5:$D$135&lt;&gt;"")))</f>
        <v/>
      </c>
      <c r="L3150" s="27">
        <f>IF($A3150="","",TRIM(IF(ISERROR(FIND(",",$C3150)),$C3150,LEFT($C3150,FIND(",",$C3150)-1))))</f>
        <v/>
      </c>
      <c r="M3150" s="28">
        <f>IF($H3150="","",DATE(YEAR($H3150),MONTH($H3150),1))</f>
        <v/>
      </c>
      <c r="N3150" s="26">
        <f>IF($H3150="","",TODAY()-$H3150)</f>
        <v/>
      </c>
      <c r="O3150" s="15" t="n"/>
      <c r="P3150" s="15" t="n"/>
      <c r="Q3150" s="15" t="n"/>
      <c r="R3150" s="25" t="n"/>
      <c r="S3150" s="26">
        <f>IF($A3150="","",AND(OR('Assignment Builder'!$B$5="",$B3150='Assignment Builder'!$B$5),OR('Assignment Builder'!$B$6="",ISNUMBER(SEARCH('Assignment Builder'!$B$6,$C3150))),OR('Assignment Builder'!$B$7="",'Assignment Builder'!$B$7=IFERROR(INDEX('Category Dictionary'!$C$5:$C$135,MATCH($L3150,'Category Dictionary'!$D$5:$D$135,0)),"")),OR('Assignment Builder'!$B$8="",$D3150='Assignment Builder'!$B$8),OR('Assignment Builder'!$B$9="",$F3150='Assignment Builder'!$B$9),OR('Assignment Builder'!$B$10="",$O3150='Assignment Builder'!$B$10),OR('Assignment Builder'!$B$11="",$H3150&gt;='Assignment Builder'!$B$11),OR('Assignment Builder'!$B$12="",N($Q3150)&lt;='Assignment Builder'!$B$12)))</f>
        <v/>
      </c>
      <c r="T3150" s="23" t="n"/>
    </row>
    <row r="3151">
      <c r="A3151" s="23" t="n"/>
      <c r="B3151" s="23" t="n"/>
      <c r="C3151" s="24" t="n"/>
      <c r="D3151" s="15" t="n"/>
      <c r="E3151" s="23" t="n"/>
      <c r="F3151" s="15" t="n"/>
      <c r="G3151" s="23" t="n"/>
      <c r="H3151" s="25" t="n"/>
      <c r="I3151" s="15" t="n"/>
      <c r="J3151" s="26">
        <f>IF($A3151="","",LEN($C3151)-LEN(SUBSTITUTE($C3151,",",""))+1)</f>
        <v/>
      </c>
      <c r="K3151" s="26">
        <f>IF($A3151="","",SUMPRODUCT(--ISNUMBER(SEARCH('Category Dictionary'!$D$5:$D$135&amp;"",$C3151)),--('Category Dictionary'!$D$5:$D$135&lt;&gt;"")))</f>
        <v/>
      </c>
      <c r="L3151" s="27">
        <f>IF($A3151="","",TRIM(IF(ISERROR(FIND(",",$C3151)),$C3151,LEFT($C3151,FIND(",",$C3151)-1))))</f>
        <v/>
      </c>
      <c r="M3151" s="28">
        <f>IF($H3151="","",DATE(YEAR($H3151),MONTH($H3151),1))</f>
        <v/>
      </c>
      <c r="N3151" s="26">
        <f>IF($H3151="","",TODAY()-$H3151)</f>
        <v/>
      </c>
      <c r="O3151" s="15" t="n"/>
      <c r="P3151" s="15" t="n"/>
      <c r="Q3151" s="15" t="n"/>
      <c r="R3151" s="25" t="n"/>
      <c r="S3151" s="26">
        <f>IF($A3151="","",AND(OR('Assignment Builder'!$B$5="",$B3151='Assignment Builder'!$B$5),OR('Assignment Builder'!$B$6="",ISNUMBER(SEARCH('Assignment Builder'!$B$6,$C3151))),OR('Assignment Builder'!$B$7="",'Assignment Builder'!$B$7=IFERROR(INDEX('Category Dictionary'!$C$5:$C$135,MATCH($L3151,'Category Dictionary'!$D$5:$D$135,0)),"")),OR('Assignment Builder'!$B$8="",$D3151='Assignment Builder'!$B$8),OR('Assignment Builder'!$B$9="",$F3151='Assignment Builder'!$B$9),OR('Assignment Builder'!$B$10="",$O3151='Assignment Builder'!$B$10),OR('Assignment Builder'!$B$11="",$H3151&gt;='Assignment Builder'!$B$11),OR('Assignment Builder'!$B$12="",N($Q3151)&lt;='Assignment Builder'!$B$12)))</f>
        <v/>
      </c>
      <c r="T3151" s="23" t="n"/>
    </row>
    <row r="3152">
      <c r="A3152" s="23" t="n"/>
      <c r="B3152" s="23" t="n"/>
      <c r="C3152" s="24" t="n"/>
      <c r="D3152" s="15" t="n"/>
      <c r="E3152" s="23" t="n"/>
      <c r="F3152" s="15" t="n"/>
      <c r="G3152" s="23" t="n"/>
      <c r="H3152" s="25" t="n"/>
      <c r="I3152" s="15" t="n"/>
      <c r="J3152" s="26">
        <f>IF($A3152="","",LEN($C3152)-LEN(SUBSTITUTE($C3152,",",""))+1)</f>
        <v/>
      </c>
      <c r="K3152" s="26">
        <f>IF($A3152="","",SUMPRODUCT(--ISNUMBER(SEARCH('Category Dictionary'!$D$5:$D$135&amp;"",$C3152)),--('Category Dictionary'!$D$5:$D$135&lt;&gt;"")))</f>
        <v/>
      </c>
      <c r="L3152" s="27">
        <f>IF($A3152="","",TRIM(IF(ISERROR(FIND(",",$C3152)),$C3152,LEFT($C3152,FIND(",",$C3152)-1))))</f>
        <v/>
      </c>
      <c r="M3152" s="28">
        <f>IF($H3152="","",DATE(YEAR($H3152),MONTH($H3152),1))</f>
        <v/>
      </c>
      <c r="N3152" s="26">
        <f>IF($H3152="","",TODAY()-$H3152)</f>
        <v/>
      </c>
      <c r="O3152" s="15" t="n"/>
      <c r="P3152" s="15" t="n"/>
      <c r="Q3152" s="15" t="n"/>
      <c r="R3152" s="25" t="n"/>
      <c r="S3152" s="26">
        <f>IF($A3152="","",AND(OR('Assignment Builder'!$B$5="",$B3152='Assignment Builder'!$B$5),OR('Assignment Builder'!$B$6="",ISNUMBER(SEARCH('Assignment Builder'!$B$6,$C3152))),OR('Assignment Builder'!$B$7="",'Assignment Builder'!$B$7=IFERROR(INDEX('Category Dictionary'!$C$5:$C$135,MATCH($L3152,'Category Dictionary'!$D$5:$D$135,0)),"")),OR('Assignment Builder'!$B$8="",$D3152='Assignment Builder'!$B$8),OR('Assignment Builder'!$B$9="",$F3152='Assignment Builder'!$B$9),OR('Assignment Builder'!$B$10="",$O3152='Assignment Builder'!$B$10),OR('Assignment Builder'!$B$11="",$H3152&gt;='Assignment Builder'!$B$11),OR('Assignment Builder'!$B$12="",N($Q3152)&lt;='Assignment Builder'!$B$12)))</f>
        <v/>
      </c>
      <c r="T3152" s="23" t="n"/>
    </row>
    <row r="3153">
      <c r="A3153" s="23" t="n"/>
      <c r="B3153" s="23" t="n"/>
      <c r="C3153" s="24" t="n"/>
      <c r="D3153" s="15" t="n"/>
      <c r="E3153" s="23" t="n"/>
      <c r="F3153" s="15" t="n"/>
      <c r="G3153" s="23" t="n"/>
      <c r="H3153" s="25" t="n"/>
      <c r="I3153" s="15" t="n"/>
      <c r="J3153" s="26">
        <f>IF($A3153="","",LEN($C3153)-LEN(SUBSTITUTE($C3153,",",""))+1)</f>
        <v/>
      </c>
      <c r="K3153" s="26">
        <f>IF($A3153="","",SUMPRODUCT(--ISNUMBER(SEARCH('Category Dictionary'!$D$5:$D$135&amp;"",$C3153)),--('Category Dictionary'!$D$5:$D$135&lt;&gt;"")))</f>
        <v/>
      </c>
      <c r="L3153" s="27">
        <f>IF($A3153="","",TRIM(IF(ISERROR(FIND(",",$C3153)),$C3153,LEFT($C3153,FIND(",",$C3153)-1))))</f>
        <v/>
      </c>
      <c r="M3153" s="28">
        <f>IF($H3153="","",DATE(YEAR($H3153),MONTH($H3153),1))</f>
        <v/>
      </c>
      <c r="N3153" s="26">
        <f>IF($H3153="","",TODAY()-$H3153)</f>
        <v/>
      </c>
      <c r="O3153" s="15" t="n"/>
      <c r="P3153" s="15" t="n"/>
      <c r="Q3153" s="15" t="n"/>
      <c r="R3153" s="25" t="n"/>
      <c r="S3153" s="26">
        <f>IF($A3153="","",AND(OR('Assignment Builder'!$B$5="",$B3153='Assignment Builder'!$B$5),OR('Assignment Builder'!$B$6="",ISNUMBER(SEARCH('Assignment Builder'!$B$6,$C3153))),OR('Assignment Builder'!$B$7="",'Assignment Builder'!$B$7=IFERROR(INDEX('Category Dictionary'!$C$5:$C$135,MATCH($L3153,'Category Dictionary'!$D$5:$D$135,0)),"")),OR('Assignment Builder'!$B$8="",$D3153='Assignment Builder'!$B$8),OR('Assignment Builder'!$B$9="",$F3153='Assignment Builder'!$B$9),OR('Assignment Builder'!$B$10="",$O3153='Assignment Builder'!$B$10),OR('Assignment Builder'!$B$11="",$H3153&gt;='Assignment Builder'!$B$11),OR('Assignment Builder'!$B$12="",N($Q3153)&lt;='Assignment Builder'!$B$12)))</f>
        <v/>
      </c>
      <c r="T3153" s="23" t="n"/>
    </row>
    <row r="3154">
      <c r="A3154" s="23" t="n"/>
      <c r="B3154" s="23" t="n"/>
      <c r="C3154" s="24" t="n"/>
      <c r="D3154" s="15" t="n"/>
      <c r="E3154" s="23" t="n"/>
      <c r="F3154" s="15" t="n"/>
      <c r="G3154" s="23" t="n"/>
      <c r="H3154" s="25" t="n"/>
      <c r="I3154" s="15" t="n"/>
      <c r="J3154" s="26">
        <f>IF($A3154="","",LEN($C3154)-LEN(SUBSTITUTE($C3154,",",""))+1)</f>
        <v/>
      </c>
      <c r="K3154" s="26">
        <f>IF($A3154="","",SUMPRODUCT(--ISNUMBER(SEARCH('Category Dictionary'!$D$5:$D$135&amp;"",$C3154)),--('Category Dictionary'!$D$5:$D$135&lt;&gt;"")))</f>
        <v/>
      </c>
      <c r="L3154" s="27">
        <f>IF($A3154="","",TRIM(IF(ISERROR(FIND(",",$C3154)),$C3154,LEFT($C3154,FIND(",",$C3154)-1))))</f>
        <v/>
      </c>
      <c r="M3154" s="28">
        <f>IF($H3154="","",DATE(YEAR($H3154),MONTH($H3154),1))</f>
        <v/>
      </c>
      <c r="N3154" s="26">
        <f>IF($H3154="","",TODAY()-$H3154)</f>
        <v/>
      </c>
      <c r="O3154" s="15" t="n"/>
      <c r="P3154" s="15" t="n"/>
      <c r="Q3154" s="15" t="n"/>
      <c r="R3154" s="25" t="n"/>
      <c r="S3154" s="26">
        <f>IF($A3154="","",AND(OR('Assignment Builder'!$B$5="",$B3154='Assignment Builder'!$B$5),OR('Assignment Builder'!$B$6="",ISNUMBER(SEARCH('Assignment Builder'!$B$6,$C3154))),OR('Assignment Builder'!$B$7="",'Assignment Builder'!$B$7=IFERROR(INDEX('Category Dictionary'!$C$5:$C$135,MATCH($L3154,'Category Dictionary'!$D$5:$D$135,0)),"")),OR('Assignment Builder'!$B$8="",$D3154='Assignment Builder'!$B$8),OR('Assignment Builder'!$B$9="",$F3154='Assignment Builder'!$B$9),OR('Assignment Builder'!$B$10="",$O3154='Assignment Builder'!$B$10),OR('Assignment Builder'!$B$11="",$H3154&gt;='Assignment Builder'!$B$11),OR('Assignment Builder'!$B$12="",N($Q3154)&lt;='Assignment Builder'!$B$12)))</f>
        <v/>
      </c>
      <c r="T3154" s="23" t="n"/>
    </row>
    <row r="3155">
      <c r="A3155" s="23" t="n"/>
      <c r="B3155" s="23" t="n"/>
      <c r="C3155" s="24" t="n"/>
      <c r="D3155" s="15" t="n"/>
      <c r="E3155" s="23" t="n"/>
      <c r="F3155" s="15" t="n"/>
      <c r="G3155" s="23" t="n"/>
      <c r="H3155" s="25" t="n"/>
      <c r="I3155" s="15" t="n"/>
      <c r="J3155" s="26">
        <f>IF($A3155="","",LEN($C3155)-LEN(SUBSTITUTE($C3155,",",""))+1)</f>
        <v/>
      </c>
      <c r="K3155" s="26">
        <f>IF($A3155="","",SUMPRODUCT(--ISNUMBER(SEARCH('Category Dictionary'!$D$5:$D$135&amp;"",$C3155)),--('Category Dictionary'!$D$5:$D$135&lt;&gt;"")))</f>
        <v/>
      </c>
      <c r="L3155" s="27">
        <f>IF($A3155="","",TRIM(IF(ISERROR(FIND(",",$C3155)),$C3155,LEFT($C3155,FIND(",",$C3155)-1))))</f>
        <v/>
      </c>
      <c r="M3155" s="28">
        <f>IF($H3155="","",DATE(YEAR($H3155),MONTH($H3155),1))</f>
        <v/>
      </c>
      <c r="N3155" s="26">
        <f>IF($H3155="","",TODAY()-$H3155)</f>
        <v/>
      </c>
      <c r="O3155" s="15" t="n"/>
      <c r="P3155" s="15" t="n"/>
      <c r="Q3155" s="15" t="n"/>
      <c r="R3155" s="25" t="n"/>
      <c r="S3155" s="26">
        <f>IF($A3155="","",AND(OR('Assignment Builder'!$B$5="",$B3155='Assignment Builder'!$B$5),OR('Assignment Builder'!$B$6="",ISNUMBER(SEARCH('Assignment Builder'!$B$6,$C3155))),OR('Assignment Builder'!$B$7="",'Assignment Builder'!$B$7=IFERROR(INDEX('Category Dictionary'!$C$5:$C$135,MATCH($L3155,'Category Dictionary'!$D$5:$D$135,0)),"")),OR('Assignment Builder'!$B$8="",$D3155='Assignment Builder'!$B$8),OR('Assignment Builder'!$B$9="",$F3155='Assignment Builder'!$B$9),OR('Assignment Builder'!$B$10="",$O3155='Assignment Builder'!$B$10),OR('Assignment Builder'!$B$11="",$H3155&gt;='Assignment Builder'!$B$11),OR('Assignment Builder'!$B$12="",N($Q3155)&lt;='Assignment Builder'!$B$12)))</f>
        <v/>
      </c>
      <c r="T3155" s="23" t="n"/>
    </row>
    <row r="3156">
      <c r="A3156" s="23" t="n"/>
      <c r="B3156" s="23" t="n"/>
      <c r="C3156" s="24" t="n"/>
      <c r="D3156" s="15" t="n"/>
      <c r="E3156" s="23" t="n"/>
      <c r="F3156" s="15" t="n"/>
      <c r="G3156" s="23" t="n"/>
      <c r="H3156" s="25" t="n"/>
      <c r="I3156" s="15" t="n"/>
      <c r="J3156" s="26">
        <f>IF($A3156="","",LEN($C3156)-LEN(SUBSTITUTE($C3156,",",""))+1)</f>
        <v/>
      </c>
      <c r="K3156" s="26">
        <f>IF($A3156="","",SUMPRODUCT(--ISNUMBER(SEARCH('Category Dictionary'!$D$5:$D$135&amp;"",$C3156)),--('Category Dictionary'!$D$5:$D$135&lt;&gt;"")))</f>
        <v/>
      </c>
      <c r="L3156" s="27">
        <f>IF($A3156="","",TRIM(IF(ISERROR(FIND(",",$C3156)),$C3156,LEFT($C3156,FIND(",",$C3156)-1))))</f>
        <v/>
      </c>
      <c r="M3156" s="28">
        <f>IF($H3156="","",DATE(YEAR($H3156),MONTH($H3156),1))</f>
        <v/>
      </c>
      <c r="N3156" s="26">
        <f>IF($H3156="","",TODAY()-$H3156)</f>
        <v/>
      </c>
      <c r="O3156" s="15" t="n"/>
      <c r="P3156" s="15" t="n"/>
      <c r="Q3156" s="15" t="n"/>
      <c r="R3156" s="25" t="n"/>
      <c r="S3156" s="26">
        <f>IF($A3156="","",AND(OR('Assignment Builder'!$B$5="",$B3156='Assignment Builder'!$B$5),OR('Assignment Builder'!$B$6="",ISNUMBER(SEARCH('Assignment Builder'!$B$6,$C3156))),OR('Assignment Builder'!$B$7="",'Assignment Builder'!$B$7=IFERROR(INDEX('Category Dictionary'!$C$5:$C$135,MATCH($L3156,'Category Dictionary'!$D$5:$D$135,0)),"")),OR('Assignment Builder'!$B$8="",$D3156='Assignment Builder'!$B$8),OR('Assignment Builder'!$B$9="",$F3156='Assignment Builder'!$B$9),OR('Assignment Builder'!$B$10="",$O3156='Assignment Builder'!$B$10),OR('Assignment Builder'!$B$11="",$H3156&gt;='Assignment Builder'!$B$11),OR('Assignment Builder'!$B$12="",N($Q3156)&lt;='Assignment Builder'!$B$12)))</f>
        <v/>
      </c>
      <c r="T3156" s="23" t="n"/>
    </row>
    <row r="3157">
      <c r="A3157" s="23" t="n"/>
      <c r="B3157" s="23" t="n"/>
      <c r="C3157" s="24" t="n"/>
      <c r="D3157" s="15" t="n"/>
      <c r="E3157" s="23" t="n"/>
      <c r="F3157" s="15" t="n"/>
      <c r="G3157" s="23" t="n"/>
      <c r="H3157" s="25" t="n"/>
      <c r="I3157" s="15" t="n"/>
      <c r="J3157" s="26">
        <f>IF($A3157="","",LEN($C3157)-LEN(SUBSTITUTE($C3157,",",""))+1)</f>
        <v/>
      </c>
      <c r="K3157" s="26">
        <f>IF($A3157="","",SUMPRODUCT(--ISNUMBER(SEARCH('Category Dictionary'!$D$5:$D$135&amp;"",$C3157)),--('Category Dictionary'!$D$5:$D$135&lt;&gt;"")))</f>
        <v/>
      </c>
      <c r="L3157" s="27">
        <f>IF($A3157="","",TRIM(IF(ISERROR(FIND(",",$C3157)),$C3157,LEFT($C3157,FIND(",",$C3157)-1))))</f>
        <v/>
      </c>
      <c r="M3157" s="28">
        <f>IF($H3157="","",DATE(YEAR($H3157),MONTH($H3157),1))</f>
        <v/>
      </c>
      <c r="N3157" s="26">
        <f>IF($H3157="","",TODAY()-$H3157)</f>
        <v/>
      </c>
      <c r="O3157" s="15" t="n"/>
      <c r="P3157" s="15" t="n"/>
      <c r="Q3157" s="15" t="n"/>
      <c r="R3157" s="25" t="n"/>
      <c r="S3157" s="26">
        <f>IF($A3157="","",AND(OR('Assignment Builder'!$B$5="",$B3157='Assignment Builder'!$B$5),OR('Assignment Builder'!$B$6="",ISNUMBER(SEARCH('Assignment Builder'!$B$6,$C3157))),OR('Assignment Builder'!$B$7="",'Assignment Builder'!$B$7=IFERROR(INDEX('Category Dictionary'!$C$5:$C$135,MATCH($L3157,'Category Dictionary'!$D$5:$D$135,0)),"")),OR('Assignment Builder'!$B$8="",$D3157='Assignment Builder'!$B$8),OR('Assignment Builder'!$B$9="",$F3157='Assignment Builder'!$B$9),OR('Assignment Builder'!$B$10="",$O3157='Assignment Builder'!$B$10),OR('Assignment Builder'!$B$11="",$H3157&gt;='Assignment Builder'!$B$11),OR('Assignment Builder'!$B$12="",N($Q3157)&lt;='Assignment Builder'!$B$12)))</f>
        <v/>
      </c>
      <c r="T3157" s="23" t="n"/>
    </row>
    <row r="3158">
      <c r="A3158" s="23" t="n"/>
      <c r="B3158" s="23" t="n"/>
      <c r="C3158" s="24" t="n"/>
      <c r="D3158" s="15" t="n"/>
      <c r="E3158" s="23" t="n"/>
      <c r="F3158" s="15" t="n"/>
      <c r="G3158" s="23" t="n"/>
      <c r="H3158" s="25" t="n"/>
      <c r="I3158" s="15" t="n"/>
      <c r="J3158" s="26">
        <f>IF($A3158="","",LEN($C3158)-LEN(SUBSTITUTE($C3158,",",""))+1)</f>
        <v/>
      </c>
      <c r="K3158" s="26">
        <f>IF($A3158="","",SUMPRODUCT(--ISNUMBER(SEARCH('Category Dictionary'!$D$5:$D$135&amp;"",$C3158)),--('Category Dictionary'!$D$5:$D$135&lt;&gt;"")))</f>
        <v/>
      </c>
      <c r="L3158" s="27">
        <f>IF($A3158="","",TRIM(IF(ISERROR(FIND(",",$C3158)),$C3158,LEFT($C3158,FIND(",",$C3158)-1))))</f>
        <v/>
      </c>
      <c r="M3158" s="28">
        <f>IF($H3158="","",DATE(YEAR($H3158),MONTH($H3158),1))</f>
        <v/>
      </c>
      <c r="N3158" s="26">
        <f>IF($H3158="","",TODAY()-$H3158)</f>
        <v/>
      </c>
      <c r="O3158" s="15" t="n"/>
      <c r="P3158" s="15" t="n"/>
      <c r="Q3158" s="15" t="n"/>
      <c r="R3158" s="25" t="n"/>
      <c r="S3158" s="26">
        <f>IF($A3158="","",AND(OR('Assignment Builder'!$B$5="",$B3158='Assignment Builder'!$B$5),OR('Assignment Builder'!$B$6="",ISNUMBER(SEARCH('Assignment Builder'!$B$6,$C3158))),OR('Assignment Builder'!$B$7="",'Assignment Builder'!$B$7=IFERROR(INDEX('Category Dictionary'!$C$5:$C$135,MATCH($L3158,'Category Dictionary'!$D$5:$D$135,0)),"")),OR('Assignment Builder'!$B$8="",$D3158='Assignment Builder'!$B$8),OR('Assignment Builder'!$B$9="",$F3158='Assignment Builder'!$B$9),OR('Assignment Builder'!$B$10="",$O3158='Assignment Builder'!$B$10),OR('Assignment Builder'!$B$11="",$H3158&gt;='Assignment Builder'!$B$11),OR('Assignment Builder'!$B$12="",N($Q3158)&lt;='Assignment Builder'!$B$12)))</f>
        <v/>
      </c>
      <c r="T3158" s="23" t="n"/>
    </row>
    <row r="3159">
      <c r="A3159" s="23" t="n"/>
      <c r="B3159" s="23" t="n"/>
      <c r="C3159" s="24" t="n"/>
      <c r="D3159" s="15" t="n"/>
      <c r="E3159" s="23" t="n"/>
      <c r="F3159" s="15" t="n"/>
      <c r="G3159" s="23" t="n"/>
      <c r="H3159" s="25" t="n"/>
      <c r="I3159" s="15" t="n"/>
      <c r="J3159" s="26">
        <f>IF($A3159="","",LEN($C3159)-LEN(SUBSTITUTE($C3159,",",""))+1)</f>
        <v/>
      </c>
      <c r="K3159" s="26">
        <f>IF($A3159="","",SUMPRODUCT(--ISNUMBER(SEARCH('Category Dictionary'!$D$5:$D$135&amp;"",$C3159)),--('Category Dictionary'!$D$5:$D$135&lt;&gt;"")))</f>
        <v/>
      </c>
      <c r="L3159" s="27">
        <f>IF($A3159="","",TRIM(IF(ISERROR(FIND(",",$C3159)),$C3159,LEFT($C3159,FIND(",",$C3159)-1))))</f>
        <v/>
      </c>
      <c r="M3159" s="28">
        <f>IF($H3159="","",DATE(YEAR($H3159),MONTH($H3159),1))</f>
        <v/>
      </c>
      <c r="N3159" s="26">
        <f>IF($H3159="","",TODAY()-$H3159)</f>
        <v/>
      </c>
      <c r="O3159" s="15" t="n"/>
      <c r="P3159" s="15" t="n"/>
      <c r="Q3159" s="15" t="n"/>
      <c r="R3159" s="25" t="n"/>
      <c r="S3159" s="26">
        <f>IF($A3159="","",AND(OR('Assignment Builder'!$B$5="",$B3159='Assignment Builder'!$B$5),OR('Assignment Builder'!$B$6="",ISNUMBER(SEARCH('Assignment Builder'!$B$6,$C3159))),OR('Assignment Builder'!$B$7="",'Assignment Builder'!$B$7=IFERROR(INDEX('Category Dictionary'!$C$5:$C$135,MATCH($L3159,'Category Dictionary'!$D$5:$D$135,0)),"")),OR('Assignment Builder'!$B$8="",$D3159='Assignment Builder'!$B$8),OR('Assignment Builder'!$B$9="",$F3159='Assignment Builder'!$B$9),OR('Assignment Builder'!$B$10="",$O3159='Assignment Builder'!$B$10),OR('Assignment Builder'!$B$11="",$H3159&gt;='Assignment Builder'!$B$11),OR('Assignment Builder'!$B$12="",N($Q3159)&lt;='Assignment Builder'!$B$12)))</f>
        <v/>
      </c>
      <c r="T3159" s="23" t="n"/>
    </row>
    <row r="3160">
      <c r="A3160" s="23" t="n"/>
      <c r="B3160" s="23" t="n"/>
      <c r="C3160" s="24" t="n"/>
      <c r="D3160" s="15" t="n"/>
      <c r="E3160" s="23" t="n"/>
      <c r="F3160" s="15" t="n"/>
      <c r="G3160" s="23" t="n"/>
      <c r="H3160" s="25" t="n"/>
      <c r="I3160" s="15" t="n"/>
      <c r="J3160" s="26">
        <f>IF($A3160="","",LEN($C3160)-LEN(SUBSTITUTE($C3160,",",""))+1)</f>
        <v/>
      </c>
      <c r="K3160" s="26">
        <f>IF($A3160="","",SUMPRODUCT(--ISNUMBER(SEARCH('Category Dictionary'!$D$5:$D$135&amp;"",$C3160)),--('Category Dictionary'!$D$5:$D$135&lt;&gt;"")))</f>
        <v/>
      </c>
      <c r="L3160" s="27">
        <f>IF($A3160="","",TRIM(IF(ISERROR(FIND(",",$C3160)),$C3160,LEFT($C3160,FIND(",",$C3160)-1))))</f>
        <v/>
      </c>
      <c r="M3160" s="28">
        <f>IF($H3160="","",DATE(YEAR($H3160),MONTH($H3160),1))</f>
        <v/>
      </c>
      <c r="N3160" s="26">
        <f>IF($H3160="","",TODAY()-$H3160)</f>
        <v/>
      </c>
      <c r="O3160" s="15" t="n"/>
      <c r="P3160" s="15" t="n"/>
      <c r="Q3160" s="15" t="n"/>
      <c r="R3160" s="25" t="n"/>
      <c r="S3160" s="26">
        <f>IF($A3160="","",AND(OR('Assignment Builder'!$B$5="",$B3160='Assignment Builder'!$B$5),OR('Assignment Builder'!$B$6="",ISNUMBER(SEARCH('Assignment Builder'!$B$6,$C3160))),OR('Assignment Builder'!$B$7="",'Assignment Builder'!$B$7=IFERROR(INDEX('Category Dictionary'!$C$5:$C$135,MATCH($L3160,'Category Dictionary'!$D$5:$D$135,0)),"")),OR('Assignment Builder'!$B$8="",$D3160='Assignment Builder'!$B$8),OR('Assignment Builder'!$B$9="",$F3160='Assignment Builder'!$B$9),OR('Assignment Builder'!$B$10="",$O3160='Assignment Builder'!$B$10),OR('Assignment Builder'!$B$11="",$H3160&gt;='Assignment Builder'!$B$11),OR('Assignment Builder'!$B$12="",N($Q3160)&lt;='Assignment Builder'!$B$12)))</f>
        <v/>
      </c>
      <c r="T3160" s="23" t="n"/>
    </row>
    <row r="3161">
      <c r="A3161" s="23" t="n"/>
      <c r="B3161" s="23" t="n"/>
      <c r="C3161" s="24" t="n"/>
      <c r="D3161" s="15" t="n"/>
      <c r="E3161" s="23" t="n"/>
      <c r="F3161" s="15" t="n"/>
      <c r="G3161" s="23" t="n"/>
      <c r="H3161" s="25" t="n"/>
      <c r="I3161" s="15" t="n"/>
      <c r="J3161" s="26">
        <f>IF($A3161="","",LEN($C3161)-LEN(SUBSTITUTE($C3161,",",""))+1)</f>
        <v/>
      </c>
      <c r="K3161" s="26">
        <f>IF($A3161="","",SUMPRODUCT(--ISNUMBER(SEARCH('Category Dictionary'!$D$5:$D$135&amp;"",$C3161)),--('Category Dictionary'!$D$5:$D$135&lt;&gt;"")))</f>
        <v/>
      </c>
      <c r="L3161" s="27">
        <f>IF($A3161="","",TRIM(IF(ISERROR(FIND(",",$C3161)),$C3161,LEFT($C3161,FIND(",",$C3161)-1))))</f>
        <v/>
      </c>
      <c r="M3161" s="28">
        <f>IF($H3161="","",DATE(YEAR($H3161),MONTH($H3161),1))</f>
        <v/>
      </c>
      <c r="N3161" s="26">
        <f>IF($H3161="","",TODAY()-$H3161)</f>
        <v/>
      </c>
      <c r="O3161" s="15" t="n"/>
      <c r="P3161" s="15" t="n"/>
      <c r="Q3161" s="15" t="n"/>
      <c r="R3161" s="25" t="n"/>
      <c r="S3161" s="26">
        <f>IF($A3161="","",AND(OR('Assignment Builder'!$B$5="",$B3161='Assignment Builder'!$B$5),OR('Assignment Builder'!$B$6="",ISNUMBER(SEARCH('Assignment Builder'!$B$6,$C3161))),OR('Assignment Builder'!$B$7="",'Assignment Builder'!$B$7=IFERROR(INDEX('Category Dictionary'!$C$5:$C$135,MATCH($L3161,'Category Dictionary'!$D$5:$D$135,0)),"")),OR('Assignment Builder'!$B$8="",$D3161='Assignment Builder'!$B$8),OR('Assignment Builder'!$B$9="",$F3161='Assignment Builder'!$B$9),OR('Assignment Builder'!$B$10="",$O3161='Assignment Builder'!$B$10),OR('Assignment Builder'!$B$11="",$H3161&gt;='Assignment Builder'!$B$11),OR('Assignment Builder'!$B$12="",N($Q3161)&lt;='Assignment Builder'!$B$12)))</f>
        <v/>
      </c>
      <c r="T3161" s="23" t="n"/>
    </row>
    <row r="3162">
      <c r="A3162" s="23" t="n"/>
      <c r="B3162" s="23" t="n"/>
      <c r="C3162" s="24" t="n"/>
      <c r="D3162" s="15" t="n"/>
      <c r="E3162" s="23" t="n"/>
      <c r="F3162" s="15" t="n"/>
      <c r="G3162" s="23" t="n"/>
      <c r="H3162" s="25" t="n"/>
      <c r="I3162" s="15" t="n"/>
      <c r="J3162" s="26">
        <f>IF($A3162="","",LEN($C3162)-LEN(SUBSTITUTE($C3162,",",""))+1)</f>
        <v/>
      </c>
      <c r="K3162" s="26">
        <f>IF($A3162="","",SUMPRODUCT(--ISNUMBER(SEARCH('Category Dictionary'!$D$5:$D$135&amp;"",$C3162)),--('Category Dictionary'!$D$5:$D$135&lt;&gt;"")))</f>
        <v/>
      </c>
      <c r="L3162" s="27">
        <f>IF($A3162="","",TRIM(IF(ISERROR(FIND(",",$C3162)),$C3162,LEFT($C3162,FIND(",",$C3162)-1))))</f>
        <v/>
      </c>
      <c r="M3162" s="28">
        <f>IF($H3162="","",DATE(YEAR($H3162),MONTH($H3162),1))</f>
        <v/>
      </c>
      <c r="N3162" s="26">
        <f>IF($H3162="","",TODAY()-$H3162)</f>
        <v/>
      </c>
      <c r="O3162" s="15" t="n"/>
      <c r="P3162" s="15" t="n"/>
      <c r="Q3162" s="15" t="n"/>
      <c r="R3162" s="25" t="n"/>
      <c r="S3162" s="26">
        <f>IF($A3162="","",AND(OR('Assignment Builder'!$B$5="",$B3162='Assignment Builder'!$B$5),OR('Assignment Builder'!$B$6="",ISNUMBER(SEARCH('Assignment Builder'!$B$6,$C3162))),OR('Assignment Builder'!$B$7="",'Assignment Builder'!$B$7=IFERROR(INDEX('Category Dictionary'!$C$5:$C$135,MATCH($L3162,'Category Dictionary'!$D$5:$D$135,0)),"")),OR('Assignment Builder'!$B$8="",$D3162='Assignment Builder'!$B$8),OR('Assignment Builder'!$B$9="",$F3162='Assignment Builder'!$B$9),OR('Assignment Builder'!$B$10="",$O3162='Assignment Builder'!$B$10),OR('Assignment Builder'!$B$11="",$H3162&gt;='Assignment Builder'!$B$11),OR('Assignment Builder'!$B$12="",N($Q3162)&lt;='Assignment Builder'!$B$12)))</f>
        <v/>
      </c>
      <c r="T3162" s="23" t="n"/>
    </row>
    <row r="3163">
      <c r="A3163" s="23" t="n"/>
      <c r="B3163" s="23" t="n"/>
      <c r="C3163" s="24" t="n"/>
      <c r="D3163" s="15" t="n"/>
      <c r="E3163" s="23" t="n"/>
      <c r="F3163" s="15" t="n"/>
      <c r="G3163" s="23" t="n"/>
      <c r="H3163" s="25" t="n"/>
      <c r="I3163" s="15" t="n"/>
      <c r="J3163" s="26">
        <f>IF($A3163="","",LEN($C3163)-LEN(SUBSTITUTE($C3163,",",""))+1)</f>
        <v/>
      </c>
      <c r="K3163" s="26">
        <f>IF($A3163="","",SUMPRODUCT(--ISNUMBER(SEARCH('Category Dictionary'!$D$5:$D$135&amp;"",$C3163)),--('Category Dictionary'!$D$5:$D$135&lt;&gt;"")))</f>
        <v/>
      </c>
      <c r="L3163" s="27">
        <f>IF($A3163="","",TRIM(IF(ISERROR(FIND(",",$C3163)),$C3163,LEFT($C3163,FIND(",",$C3163)-1))))</f>
        <v/>
      </c>
      <c r="M3163" s="28">
        <f>IF($H3163="","",DATE(YEAR($H3163),MONTH($H3163),1))</f>
        <v/>
      </c>
      <c r="N3163" s="26">
        <f>IF($H3163="","",TODAY()-$H3163)</f>
        <v/>
      </c>
      <c r="O3163" s="15" t="n"/>
      <c r="P3163" s="15" t="n"/>
      <c r="Q3163" s="15" t="n"/>
      <c r="R3163" s="25" t="n"/>
      <c r="S3163" s="26">
        <f>IF($A3163="","",AND(OR('Assignment Builder'!$B$5="",$B3163='Assignment Builder'!$B$5),OR('Assignment Builder'!$B$6="",ISNUMBER(SEARCH('Assignment Builder'!$B$6,$C3163))),OR('Assignment Builder'!$B$7="",'Assignment Builder'!$B$7=IFERROR(INDEX('Category Dictionary'!$C$5:$C$135,MATCH($L3163,'Category Dictionary'!$D$5:$D$135,0)),"")),OR('Assignment Builder'!$B$8="",$D3163='Assignment Builder'!$B$8),OR('Assignment Builder'!$B$9="",$F3163='Assignment Builder'!$B$9),OR('Assignment Builder'!$B$10="",$O3163='Assignment Builder'!$B$10),OR('Assignment Builder'!$B$11="",$H3163&gt;='Assignment Builder'!$B$11),OR('Assignment Builder'!$B$12="",N($Q3163)&lt;='Assignment Builder'!$B$12)))</f>
        <v/>
      </c>
      <c r="T3163" s="23" t="n"/>
    </row>
    <row r="3164">
      <c r="A3164" s="23" t="n"/>
      <c r="B3164" s="23" t="n"/>
      <c r="C3164" s="24" t="n"/>
      <c r="D3164" s="15" t="n"/>
      <c r="E3164" s="23" t="n"/>
      <c r="F3164" s="15" t="n"/>
      <c r="G3164" s="23" t="n"/>
      <c r="H3164" s="25" t="n"/>
      <c r="I3164" s="15" t="n"/>
      <c r="J3164" s="26">
        <f>IF($A3164="","",LEN($C3164)-LEN(SUBSTITUTE($C3164,",",""))+1)</f>
        <v/>
      </c>
      <c r="K3164" s="26">
        <f>IF($A3164="","",SUMPRODUCT(--ISNUMBER(SEARCH('Category Dictionary'!$D$5:$D$135&amp;"",$C3164)),--('Category Dictionary'!$D$5:$D$135&lt;&gt;"")))</f>
        <v/>
      </c>
      <c r="L3164" s="27">
        <f>IF($A3164="","",TRIM(IF(ISERROR(FIND(",",$C3164)),$C3164,LEFT($C3164,FIND(",",$C3164)-1))))</f>
        <v/>
      </c>
      <c r="M3164" s="28">
        <f>IF($H3164="","",DATE(YEAR($H3164),MONTH($H3164),1))</f>
        <v/>
      </c>
      <c r="N3164" s="26">
        <f>IF($H3164="","",TODAY()-$H3164)</f>
        <v/>
      </c>
      <c r="O3164" s="15" t="n"/>
      <c r="P3164" s="15" t="n"/>
      <c r="Q3164" s="15" t="n"/>
      <c r="R3164" s="25" t="n"/>
      <c r="S3164" s="26">
        <f>IF($A3164="","",AND(OR('Assignment Builder'!$B$5="",$B3164='Assignment Builder'!$B$5),OR('Assignment Builder'!$B$6="",ISNUMBER(SEARCH('Assignment Builder'!$B$6,$C3164))),OR('Assignment Builder'!$B$7="",'Assignment Builder'!$B$7=IFERROR(INDEX('Category Dictionary'!$C$5:$C$135,MATCH($L3164,'Category Dictionary'!$D$5:$D$135,0)),"")),OR('Assignment Builder'!$B$8="",$D3164='Assignment Builder'!$B$8),OR('Assignment Builder'!$B$9="",$F3164='Assignment Builder'!$B$9),OR('Assignment Builder'!$B$10="",$O3164='Assignment Builder'!$B$10),OR('Assignment Builder'!$B$11="",$H3164&gt;='Assignment Builder'!$B$11),OR('Assignment Builder'!$B$12="",N($Q3164)&lt;='Assignment Builder'!$B$12)))</f>
        <v/>
      </c>
      <c r="T3164" s="23" t="n"/>
    </row>
    <row r="3165">
      <c r="A3165" s="23" t="n"/>
      <c r="B3165" s="23" t="n"/>
      <c r="C3165" s="24" t="n"/>
      <c r="D3165" s="15" t="n"/>
      <c r="E3165" s="23" t="n"/>
      <c r="F3165" s="15" t="n"/>
      <c r="G3165" s="23" t="n"/>
      <c r="H3165" s="25" t="n"/>
      <c r="I3165" s="15" t="n"/>
      <c r="J3165" s="26">
        <f>IF($A3165="","",LEN($C3165)-LEN(SUBSTITUTE($C3165,",",""))+1)</f>
        <v/>
      </c>
      <c r="K3165" s="26">
        <f>IF($A3165="","",SUMPRODUCT(--ISNUMBER(SEARCH('Category Dictionary'!$D$5:$D$135&amp;"",$C3165)),--('Category Dictionary'!$D$5:$D$135&lt;&gt;"")))</f>
        <v/>
      </c>
      <c r="L3165" s="27">
        <f>IF($A3165="","",TRIM(IF(ISERROR(FIND(",",$C3165)),$C3165,LEFT($C3165,FIND(",",$C3165)-1))))</f>
        <v/>
      </c>
      <c r="M3165" s="28">
        <f>IF($H3165="","",DATE(YEAR($H3165),MONTH($H3165),1))</f>
        <v/>
      </c>
      <c r="N3165" s="26">
        <f>IF($H3165="","",TODAY()-$H3165)</f>
        <v/>
      </c>
      <c r="O3165" s="15" t="n"/>
      <c r="P3165" s="15" t="n"/>
      <c r="Q3165" s="15" t="n"/>
      <c r="R3165" s="25" t="n"/>
      <c r="S3165" s="26">
        <f>IF($A3165="","",AND(OR('Assignment Builder'!$B$5="",$B3165='Assignment Builder'!$B$5),OR('Assignment Builder'!$B$6="",ISNUMBER(SEARCH('Assignment Builder'!$B$6,$C3165))),OR('Assignment Builder'!$B$7="",'Assignment Builder'!$B$7=IFERROR(INDEX('Category Dictionary'!$C$5:$C$135,MATCH($L3165,'Category Dictionary'!$D$5:$D$135,0)),"")),OR('Assignment Builder'!$B$8="",$D3165='Assignment Builder'!$B$8),OR('Assignment Builder'!$B$9="",$F3165='Assignment Builder'!$B$9),OR('Assignment Builder'!$B$10="",$O3165='Assignment Builder'!$B$10),OR('Assignment Builder'!$B$11="",$H3165&gt;='Assignment Builder'!$B$11),OR('Assignment Builder'!$B$12="",N($Q3165)&lt;='Assignment Builder'!$B$12)))</f>
        <v/>
      </c>
      <c r="T3165" s="23" t="n"/>
    </row>
    <row r="3166">
      <c r="A3166" s="23" t="n"/>
      <c r="B3166" s="23" t="n"/>
      <c r="C3166" s="24" t="n"/>
      <c r="D3166" s="15" t="n"/>
      <c r="E3166" s="23" t="n"/>
      <c r="F3166" s="15" t="n"/>
      <c r="G3166" s="23" t="n"/>
      <c r="H3166" s="25" t="n"/>
      <c r="I3166" s="15" t="n"/>
      <c r="J3166" s="26">
        <f>IF($A3166="","",LEN($C3166)-LEN(SUBSTITUTE($C3166,",",""))+1)</f>
        <v/>
      </c>
      <c r="K3166" s="26">
        <f>IF($A3166="","",SUMPRODUCT(--ISNUMBER(SEARCH('Category Dictionary'!$D$5:$D$135&amp;"",$C3166)),--('Category Dictionary'!$D$5:$D$135&lt;&gt;"")))</f>
        <v/>
      </c>
      <c r="L3166" s="27">
        <f>IF($A3166="","",TRIM(IF(ISERROR(FIND(",",$C3166)),$C3166,LEFT($C3166,FIND(",",$C3166)-1))))</f>
        <v/>
      </c>
      <c r="M3166" s="28">
        <f>IF($H3166="","",DATE(YEAR($H3166),MONTH($H3166),1))</f>
        <v/>
      </c>
      <c r="N3166" s="26">
        <f>IF($H3166="","",TODAY()-$H3166)</f>
        <v/>
      </c>
      <c r="O3166" s="15" t="n"/>
      <c r="P3166" s="15" t="n"/>
      <c r="Q3166" s="15" t="n"/>
      <c r="R3166" s="25" t="n"/>
      <c r="S3166" s="26">
        <f>IF($A3166="","",AND(OR('Assignment Builder'!$B$5="",$B3166='Assignment Builder'!$B$5),OR('Assignment Builder'!$B$6="",ISNUMBER(SEARCH('Assignment Builder'!$B$6,$C3166))),OR('Assignment Builder'!$B$7="",'Assignment Builder'!$B$7=IFERROR(INDEX('Category Dictionary'!$C$5:$C$135,MATCH($L3166,'Category Dictionary'!$D$5:$D$135,0)),"")),OR('Assignment Builder'!$B$8="",$D3166='Assignment Builder'!$B$8),OR('Assignment Builder'!$B$9="",$F3166='Assignment Builder'!$B$9),OR('Assignment Builder'!$B$10="",$O3166='Assignment Builder'!$B$10),OR('Assignment Builder'!$B$11="",$H3166&gt;='Assignment Builder'!$B$11),OR('Assignment Builder'!$B$12="",N($Q3166)&lt;='Assignment Builder'!$B$12)))</f>
        <v/>
      </c>
      <c r="T3166" s="23" t="n"/>
    </row>
    <row r="3167">
      <c r="A3167" s="23" t="n"/>
      <c r="B3167" s="23" t="n"/>
      <c r="C3167" s="24" t="n"/>
      <c r="D3167" s="15" t="n"/>
      <c r="E3167" s="23" t="n"/>
      <c r="F3167" s="15" t="n"/>
      <c r="G3167" s="23" t="n"/>
      <c r="H3167" s="25" t="n"/>
      <c r="I3167" s="15" t="n"/>
      <c r="J3167" s="26">
        <f>IF($A3167="","",LEN($C3167)-LEN(SUBSTITUTE($C3167,",",""))+1)</f>
        <v/>
      </c>
      <c r="K3167" s="26">
        <f>IF($A3167="","",SUMPRODUCT(--ISNUMBER(SEARCH('Category Dictionary'!$D$5:$D$135&amp;"",$C3167)),--('Category Dictionary'!$D$5:$D$135&lt;&gt;"")))</f>
        <v/>
      </c>
      <c r="L3167" s="27">
        <f>IF($A3167="","",TRIM(IF(ISERROR(FIND(",",$C3167)),$C3167,LEFT($C3167,FIND(",",$C3167)-1))))</f>
        <v/>
      </c>
      <c r="M3167" s="28">
        <f>IF($H3167="","",DATE(YEAR($H3167),MONTH($H3167),1))</f>
        <v/>
      </c>
      <c r="N3167" s="26">
        <f>IF($H3167="","",TODAY()-$H3167)</f>
        <v/>
      </c>
      <c r="O3167" s="15" t="n"/>
      <c r="P3167" s="15" t="n"/>
      <c r="Q3167" s="15" t="n"/>
      <c r="R3167" s="25" t="n"/>
      <c r="S3167" s="26">
        <f>IF($A3167="","",AND(OR('Assignment Builder'!$B$5="",$B3167='Assignment Builder'!$B$5),OR('Assignment Builder'!$B$6="",ISNUMBER(SEARCH('Assignment Builder'!$B$6,$C3167))),OR('Assignment Builder'!$B$7="",'Assignment Builder'!$B$7=IFERROR(INDEX('Category Dictionary'!$C$5:$C$135,MATCH($L3167,'Category Dictionary'!$D$5:$D$135,0)),"")),OR('Assignment Builder'!$B$8="",$D3167='Assignment Builder'!$B$8),OR('Assignment Builder'!$B$9="",$F3167='Assignment Builder'!$B$9),OR('Assignment Builder'!$B$10="",$O3167='Assignment Builder'!$B$10),OR('Assignment Builder'!$B$11="",$H3167&gt;='Assignment Builder'!$B$11),OR('Assignment Builder'!$B$12="",N($Q3167)&lt;='Assignment Builder'!$B$12)))</f>
        <v/>
      </c>
      <c r="T3167" s="23" t="n"/>
    </row>
    <row r="3168">
      <c r="A3168" s="23" t="n"/>
      <c r="B3168" s="23" t="n"/>
      <c r="C3168" s="24" t="n"/>
      <c r="D3168" s="15" t="n"/>
      <c r="E3168" s="23" t="n"/>
      <c r="F3168" s="15" t="n"/>
      <c r="G3168" s="23" t="n"/>
      <c r="H3168" s="25" t="n"/>
      <c r="I3168" s="15" t="n"/>
      <c r="J3168" s="26">
        <f>IF($A3168="","",LEN($C3168)-LEN(SUBSTITUTE($C3168,",",""))+1)</f>
        <v/>
      </c>
      <c r="K3168" s="26">
        <f>IF($A3168="","",SUMPRODUCT(--ISNUMBER(SEARCH('Category Dictionary'!$D$5:$D$135&amp;"",$C3168)),--('Category Dictionary'!$D$5:$D$135&lt;&gt;"")))</f>
        <v/>
      </c>
      <c r="L3168" s="27">
        <f>IF($A3168="","",TRIM(IF(ISERROR(FIND(",",$C3168)),$C3168,LEFT($C3168,FIND(",",$C3168)-1))))</f>
        <v/>
      </c>
      <c r="M3168" s="28">
        <f>IF($H3168="","",DATE(YEAR($H3168),MONTH($H3168),1))</f>
        <v/>
      </c>
      <c r="N3168" s="26">
        <f>IF($H3168="","",TODAY()-$H3168)</f>
        <v/>
      </c>
      <c r="O3168" s="15" t="n"/>
      <c r="P3168" s="15" t="n"/>
      <c r="Q3168" s="15" t="n"/>
      <c r="R3168" s="25" t="n"/>
      <c r="S3168" s="26">
        <f>IF($A3168="","",AND(OR('Assignment Builder'!$B$5="",$B3168='Assignment Builder'!$B$5),OR('Assignment Builder'!$B$6="",ISNUMBER(SEARCH('Assignment Builder'!$B$6,$C3168))),OR('Assignment Builder'!$B$7="",'Assignment Builder'!$B$7=IFERROR(INDEX('Category Dictionary'!$C$5:$C$135,MATCH($L3168,'Category Dictionary'!$D$5:$D$135,0)),"")),OR('Assignment Builder'!$B$8="",$D3168='Assignment Builder'!$B$8),OR('Assignment Builder'!$B$9="",$F3168='Assignment Builder'!$B$9),OR('Assignment Builder'!$B$10="",$O3168='Assignment Builder'!$B$10),OR('Assignment Builder'!$B$11="",$H3168&gt;='Assignment Builder'!$B$11),OR('Assignment Builder'!$B$12="",N($Q3168)&lt;='Assignment Builder'!$B$12)))</f>
        <v/>
      </c>
      <c r="T3168" s="23" t="n"/>
    </row>
    <row r="3169">
      <c r="A3169" s="23" t="n"/>
      <c r="B3169" s="23" t="n"/>
      <c r="C3169" s="24" t="n"/>
      <c r="D3169" s="15" t="n"/>
      <c r="E3169" s="23" t="n"/>
      <c r="F3169" s="15" t="n"/>
      <c r="G3169" s="23" t="n"/>
      <c r="H3169" s="25" t="n"/>
      <c r="I3169" s="15" t="n"/>
      <c r="J3169" s="26">
        <f>IF($A3169="","",LEN($C3169)-LEN(SUBSTITUTE($C3169,",",""))+1)</f>
        <v/>
      </c>
      <c r="K3169" s="26">
        <f>IF($A3169="","",SUMPRODUCT(--ISNUMBER(SEARCH('Category Dictionary'!$D$5:$D$135&amp;"",$C3169)),--('Category Dictionary'!$D$5:$D$135&lt;&gt;"")))</f>
        <v/>
      </c>
      <c r="L3169" s="27">
        <f>IF($A3169="","",TRIM(IF(ISERROR(FIND(",",$C3169)),$C3169,LEFT($C3169,FIND(",",$C3169)-1))))</f>
        <v/>
      </c>
      <c r="M3169" s="28">
        <f>IF($H3169="","",DATE(YEAR($H3169),MONTH($H3169),1))</f>
        <v/>
      </c>
      <c r="N3169" s="26">
        <f>IF($H3169="","",TODAY()-$H3169)</f>
        <v/>
      </c>
      <c r="O3169" s="15" t="n"/>
      <c r="P3169" s="15" t="n"/>
      <c r="Q3169" s="15" t="n"/>
      <c r="R3169" s="25" t="n"/>
      <c r="S3169" s="26">
        <f>IF($A3169="","",AND(OR('Assignment Builder'!$B$5="",$B3169='Assignment Builder'!$B$5),OR('Assignment Builder'!$B$6="",ISNUMBER(SEARCH('Assignment Builder'!$B$6,$C3169))),OR('Assignment Builder'!$B$7="",'Assignment Builder'!$B$7=IFERROR(INDEX('Category Dictionary'!$C$5:$C$135,MATCH($L3169,'Category Dictionary'!$D$5:$D$135,0)),"")),OR('Assignment Builder'!$B$8="",$D3169='Assignment Builder'!$B$8),OR('Assignment Builder'!$B$9="",$F3169='Assignment Builder'!$B$9),OR('Assignment Builder'!$B$10="",$O3169='Assignment Builder'!$B$10),OR('Assignment Builder'!$B$11="",$H3169&gt;='Assignment Builder'!$B$11),OR('Assignment Builder'!$B$12="",N($Q3169)&lt;='Assignment Builder'!$B$12)))</f>
        <v/>
      </c>
      <c r="T3169" s="23" t="n"/>
    </row>
    <row r="3170">
      <c r="A3170" s="23" t="n"/>
      <c r="B3170" s="23" t="n"/>
      <c r="C3170" s="24" t="n"/>
      <c r="D3170" s="15" t="n"/>
      <c r="E3170" s="23" t="n"/>
      <c r="F3170" s="15" t="n"/>
      <c r="G3170" s="23" t="n"/>
      <c r="H3170" s="25" t="n"/>
      <c r="I3170" s="15" t="n"/>
      <c r="J3170" s="26">
        <f>IF($A3170="","",LEN($C3170)-LEN(SUBSTITUTE($C3170,",",""))+1)</f>
        <v/>
      </c>
      <c r="K3170" s="26">
        <f>IF($A3170="","",SUMPRODUCT(--ISNUMBER(SEARCH('Category Dictionary'!$D$5:$D$135&amp;"",$C3170)),--('Category Dictionary'!$D$5:$D$135&lt;&gt;"")))</f>
        <v/>
      </c>
      <c r="L3170" s="27">
        <f>IF($A3170="","",TRIM(IF(ISERROR(FIND(",",$C3170)),$C3170,LEFT($C3170,FIND(",",$C3170)-1))))</f>
        <v/>
      </c>
      <c r="M3170" s="28">
        <f>IF($H3170="","",DATE(YEAR($H3170),MONTH($H3170),1))</f>
        <v/>
      </c>
      <c r="N3170" s="26">
        <f>IF($H3170="","",TODAY()-$H3170)</f>
        <v/>
      </c>
      <c r="O3170" s="15" t="n"/>
      <c r="P3170" s="15" t="n"/>
      <c r="Q3170" s="15" t="n"/>
      <c r="R3170" s="25" t="n"/>
      <c r="S3170" s="26">
        <f>IF($A3170="","",AND(OR('Assignment Builder'!$B$5="",$B3170='Assignment Builder'!$B$5),OR('Assignment Builder'!$B$6="",ISNUMBER(SEARCH('Assignment Builder'!$B$6,$C3170))),OR('Assignment Builder'!$B$7="",'Assignment Builder'!$B$7=IFERROR(INDEX('Category Dictionary'!$C$5:$C$135,MATCH($L3170,'Category Dictionary'!$D$5:$D$135,0)),"")),OR('Assignment Builder'!$B$8="",$D3170='Assignment Builder'!$B$8),OR('Assignment Builder'!$B$9="",$F3170='Assignment Builder'!$B$9),OR('Assignment Builder'!$B$10="",$O3170='Assignment Builder'!$B$10),OR('Assignment Builder'!$B$11="",$H3170&gt;='Assignment Builder'!$B$11),OR('Assignment Builder'!$B$12="",N($Q3170)&lt;='Assignment Builder'!$B$12)))</f>
        <v/>
      </c>
      <c r="T3170" s="23" t="n"/>
    </row>
    <row r="3171">
      <c r="A3171" s="23" t="n"/>
      <c r="B3171" s="23" t="n"/>
      <c r="C3171" s="24" t="n"/>
      <c r="D3171" s="15" t="n"/>
      <c r="E3171" s="23" t="n"/>
      <c r="F3171" s="15" t="n"/>
      <c r="G3171" s="23" t="n"/>
      <c r="H3171" s="25" t="n"/>
      <c r="I3171" s="15" t="n"/>
      <c r="J3171" s="26">
        <f>IF($A3171="","",LEN($C3171)-LEN(SUBSTITUTE($C3171,",",""))+1)</f>
        <v/>
      </c>
      <c r="K3171" s="26">
        <f>IF($A3171="","",SUMPRODUCT(--ISNUMBER(SEARCH('Category Dictionary'!$D$5:$D$135&amp;"",$C3171)),--('Category Dictionary'!$D$5:$D$135&lt;&gt;"")))</f>
        <v/>
      </c>
      <c r="L3171" s="27">
        <f>IF($A3171="","",TRIM(IF(ISERROR(FIND(",",$C3171)),$C3171,LEFT($C3171,FIND(",",$C3171)-1))))</f>
        <v/>
      </c>
      <c r="M3171" s="28">
        <f>IF($H3171="","",DATE(YEAR($H3171),MONTH($H3171),1))</f>
        <v/>
      </c>
      <c r="N3171" s="26">
        <f>IF($H3171="","",TODAY()-$H3171)</f>
        <v/>
      </c>
      <c r="O3171" s="15" t="n"/>
      <c r="P3171" s="15" t="n"/>
      <c r="Q3171" s="15" t="n"/>
      <c r="R3171" s="25" t="n"/>
      <c r="S3171" s="26">
        <f>IF($A3171="","",AND(OR('Assignment Builder'!$B$5="",$B3171='Assignment Builder'!$B$5),OR('Assignment Builder'!$B$6="",ISNUMBER(SEARCH('Assignment Builder'!$B$6,$C3171))),OR('Assignment Builder'!$B$7="",'Assignment Builder'!$B$7=IFERROR(INDEX('Category Dictionary'!$C$5:$C$135,MATCH($L3171,'Category Dictionary'!$D$5:$D$135,0)),"")),OR('Assignment Builder'!$B$8="",$D3171='Assignment Builder'!$B$8),OR('Assignment Builder'!$B$9="",$F3171='Assignment Builder'!$B$9),OR('Assignment Builder'!$B$10="",$O3171='Assignment Builder'!$B$10),OR('Assignment Builder'!$B$11="",$H3171&gt;='Assignment Builder'!$B$11),OR('Assignment Builder'!$B$12="",N($Q3171)&lt;='Assignment Builder'!$B$12)))</f>
        <v/>
      </c>
      <c r="T3171" s="23" t="n"/>
    </row>
    <row r="3172">
      <c r="A3172" s="23" t="n"/>
      <c r="B3172" s="23" t="n"/>
      <c r="C3172" s="24" t="n"/>
      <c r="D3172" s="15" t="n"/>
      <c r="E3172" s="23" t="n"/>
      <c r="F3172" s="15" t="n"/>
      <c r="G3172" s="23" t="n"/>
      <c r="H3172" s="25" t="n"/>
      <c r="I3172" s="15" t="n"/>
      <c r="J3172" s="26">
        <f>IF($A3172="","",LEN($C3172)-LEN(SUBSTITUTE($C3172,",",""))+1)</f>
        <v/>
      </c>
      <c r="K3172" s="26">
        <f>IF($A3172="","",SUMPRODUCT(--ISNUMBER(SEARCH('Category Dictionary'!$D$5:$D$135&amp;"",$C3172)),--('Category Dictionary'!$D$5:$D$135&lt;&gt;"")))</f>
        <v/>
      </c>
      <c r="L3172" s="27">
        <f>IF($A3172="","",TRIM(IF(ISERROR(FIND(",",$C3172)),$C3172,LEFT($C3172,FIND(",",$C3172)-1))))</f>
        <v/>
      </c>
      <c r="M3172" s="28">
        <f>IF($H3172="","",DATE(YEAR($H3172),MONTH($H3172),1))</f>
        <v/>
      </c>
      <c r="N3172" s="26">
        <f>IF($H3172="","",TODAY()-$H3172)</f>
        <v/>
      </c>
      <c r="O3172" s="15" t="n"/>
      <c r="P3172" s="15" t="n"/>
      <c r="Q3172" s="15" t="n"/>
      <c r="R3172" s="25" t="n"/>
      <c r="S3172" s="26">
        <f>IF($A3172="","",AND(OR('Assignment Builder'!$B$5="",$B3172='Assignment Builder'!$B$5),OR('Assignment Builder'!$B$6="",ISNUMBER(SEARCH('Assignment Builder'!$B$6,$C3172))),OR('Assignment Builder'!$B$7="",'Assignment Builder'!$B$7=IFERROR(INDEX('Category Dictionary'!$C$5:$C$135,MATCH($L3172,'Category Dictionary'!$D$5:$D$135,0)),"")),OR('Assignment Builder'!$B$8="",$D3172='Assignment Builder'!$B$8),OR('Assignment Builder'!$B$9="",$F3172='Assignment Builder'!$B$9),OR('Assignment Builder'!$B$10="",$O3172='Assignment Builder'!$B$10),OR('Assignment Builder'!$B$11="",$H3172&gt;='Assignment Builder'!$B$11),OR('Assignment Builder'!$B$12="",N($Q3172)&lt;='Assignment Builder'!$B$12)))</f>
        <v/>
      </c>
      <c r="T3172" s="23" t="n"/>
    </row>
    <row r="3173">
      <c r="A3173" s="23" t="n"/>
      <c r="B3173" s="23" t="n"/>
      <c r="C3173" s="24" t="n"/>
      <c r="D3173" s="15" t="n"/>
      <c r="E3173" s="23" t="n"/>
      <c r="F3173" s="15" t="n"/>
      <c r="G3173" s="23" t="n"/>
      <c r="H3173" s="25" t="n"/>
      <c r="I3173" s="15" t="n"/>
      <c r="J3173" s="26">
        <f>IF($A3173="","",LEN($C3173)-LEN(SUBSTITUTE($C3173,",",""))+1)</f>
        <v/>
      </c>
      <c r="K3173" s="26">
        <f>IF($A3173="","",SUMPRODUCT(--ISNUMBER(SEARCH('Category Dictionary'!$D$5:$D$135&amp;"",$C3173)),--('Category Dictionary'!$D$5:$D$135&lt;&gt;"")))</f>
        <v/>
      </c>
      <c r="L3173" s="27">
        <f>IF($A3173="","",TRIM(IF(ISERROR(FIND(",",$C3173)),$C3173,LEFT($C3173,FIND(",",$C3173)-1))))</f>
        <v/>
      </c>
      <c r="M3173" s="28">
        <f>IF($H3173="","",DATE(YEAR($H3173),MONTH($H3173),1))</f>
        <v/>
      </c>
      <c r="N3173" s="26">
        <f>IF($H3173="","",TODAY()-$H3173)</f>
        <v/>
      </c>
      <c r="O3173" s="15" t="n"/>
      <c r="P3173" s="15" t="n"/>
      <c r="Q3173" s="15" t="n"/>
      <c r="R3173" s="25" t="n"/>
      <c r="S3173" s="26">
        <f>IF($A3173="","",AND(OR('Assignment Builder'!$B$5="",$B3173='Assignment Builder'!$B$5),OR('Assignment Builder'!$B$6="",ISNUMBER(SEARCH('Assignment Builder'!$B$6,$C3173))),OR('Assignment Builder'!$B$7="",'Assignment Builder'!$B$7=IFERROR(INDEX('Category Dictionary'!$C$5:$C$135,MATCH($L3173,'Category Dictionary'!$D$5:$D$135,0)),"")),OR('Assignment Builder'!$B$8="",$D3173='Assignment Builder'!$B$8),OR('Assignment Builder'!$B$9="",$F3173='Assignment Builder'!$B$9),OR('Assignment Builder'!$B$10="",$O3173='Assignment Builder'!$B$10),OR('Assignment Builder'!$B$11="",$H3173&gt;='Assignment Builder'!$B$11),OR('Assignment Builder'!$B$12="",N($Q3173)&lt;='Assignment Builder'!$B$12)))</f>
        <v/>
      </c>
      <c r="T3173" s="23" t="n"/>
    </row>
    <row r="3174">
      <c r="A3174" s="23" t="n"/>
      <c r="B3174" s="23" t="n"/>
      <c r="C3174" s="24" t="n"/>
      <c r="D3174" s="15" t="n"/>
      <c r="E3174" s="23" t="n"/>
      <c r="F3174" s="15" t="n"/>
      <c r="G3174" s="23" t="n"/>
      <c r="H3174" s="25" t="n"/>
      <c r="I3174" s="15" t="n"/>
      <c r="J3174" s="26">
        <f>IF($A3174="","",LEN($C3174)-LEN(SUBSTITUTE($C3174,",",""))+1)</f>
        <v/>
      </c>
      <c r="K3174" s="26">
        <f>IF($A3174="","",SUMPRODUCT(--ISNUMBER(SEARCH('Category Dictionary'!$D$5:$D$135&amp;"",$C3174)),--('Category Dictionary'!$D$5:$D$135&lt;&gt;"")))</f>
        <v/>
      </c>
      <c r="L3174" s="27">
        <f>IF($A3174="","",TRIM(IF(ISERROR(FIND(",",$C3174)),$C3174,LEFT($C3174,FIND(",",$C3174)-1))))</f>
        <v/>
      </c>
      <c r="M3174" s="28">
        <f>IF($H3174="","",DATE(YEAR($H3174),MONTH($H3174),1))</f>
        <v/>
      </c>
      <c r="N3174" s="26">
        <f>IF($H3174="","",TODAY()-$H3174)</f>
        <v/>
      </c>
      <c r="O3174" s="15" t="n"/>
      <c r="P3174" s="15" t="n"/>
      <c r="Q3174" s="15" t="n"/>
      <c r="R3174" s="25" t="n"/>
      <c r="S3174" s="26">
        <f>IF($A3174="","",AND(OR('Assignment Builder'!$B$5="",$B3174='Assignment Builder'!$B$5),OR('Assignment Builder'!$B$6="",ISNUMBER(SEARCH('Assignment Builder'!$B$6,$C3174))),OR('Assignment Builder'!$B$7="",'Assignment Builder'!$B$7=IFERROR(INDEX('Category Dictionary'!$C$5:$C$135,MATCH($L3174,'Category Dictionary'!$D$5:$D$135,0)),"")),OR('Assignment Builder'!$B$8="",$D3174='Assignment Builder'!$B$8),OR('Assignment Builder'!$B$9="",$F3174='Assignment Builder'!$B$9),OR('Assignment Builder'!$B$10="",$O3174='Assignment Builder'!$B$10),OR('Assignment Builder'!$B$11="",$H3174&gt;='Assignment Builder'!$B$11),OR('Assignment Builder'!$B$12="",N($Q3174)&lt;='Assignment Builder'!$B$12)))</f>
        <v/>
      </c>
      <c r="T3174" s="23" t="n"/>
    </row>
    <row r="3175">
      <c r="A3175" s="23" t="n"/>
      <c r="B3175" s="23" t="n"/>
      <c r="C3175" s="24" t="n"/>
      <c r="D3175" s="15" t="n"/>
      <c r="E3175" s="23" t="n"/>
      <c r="F3175" s="15" t="n"/>
      <c r="G3175" s="23" t="n"/>
      <c r="H3175" s="25" t="n"/>
      <c r="I3175" s="15" t="n"/>
      <c r="J3175" s="26">
        <f>IF($A3175="","",LEN($C3175)-LEN(SUBSTITUTE($C3175,",",""))+1)</f>
        <v/>
      </c>
      <c r="K3175" s="26">
        <f>IF($A3175="","",SUMPRODUCT(--ISNUMBER(SEARCH('Category Dictionary'!$D$5:$D$135&amp;"",$C3175)),--('Category Dictionary'!$D$5:$D$135&lt;&gt;"")))</f>
        <v/>
      </c>
      <c r="L3175" s="27">
        <f>IF($A3175="","",TRIM(IF(ISERROR(FIND(",",$C3175)),$C3175,LEFT($C3175,FIND(",",$C3175)-1))))</f>
        <v/>
      </c>
      <c r="M3175" s="28">
        <f>IF($H3175="","",DATE(YEAR($H3175),MONTH($H3175),1))</f>
        <v/>
      </c>
      <c r="N3175" s="26">
        <f>IF($H3175="","",TODAY()-$H3175)</f>
        <v/>
      </c>
      <c r="O3175" s="15" t="n"/>
      <c r="P3175" s="15" t="n"/>
      <c r="Q3175" s="15" t="n"/>
      <c r="R3175" s="25" t="n"/>
      <c r="S3175" s="26">
        <f>IF($A3175="","",AND(OR('Assignment Builder'!$B$5="",$B3175='Assignment Builder'!$B$5),OR('Assignment Builder'!$B$6="",ISNUMBER(SEARCH('Assignment Builder'!$B$6,$C3175))),OR('Assignment Builder'!$B$7="",'Assignment Builder'!$B$7=IFERROR(INDEX('Category Dictionary'!$C$5:$C$135,MATCH($L3175,'Category Dictionary'!$D$5:$D$135,0)),"")),OR('Assignment Builder'!$B$8="",$D3175='Assignment Builder'!$B$8),OR('Assignment Builder'!$B$9="",$F3175='Assignment Builder'!$B$9),OR('Assignment Builder'!$B$10="",$O3175='Assignment Builder'!$B$10),OR('Assignment Builder'!$B$11="",$H3175&gt;='Assignment Builder'!$B$11),OR('Assignment Builder'!$B$12="",N($Q3175)&lt;='Assignment Builder'!$B$12)))</f>
        <v/>
      </c>
      <c r="T3175" s="23" t="n"/>
    </row>
    <row r="3176">
      <c r="A3176" s="23" t="n"/>
      <c r="B3176" s="23" t="n"/>
      <c r="C3176" s="24" t="n"/>
      <c r="D3176" s="15" t="n"/>
      <c r="E3176" s="23" t="n"/>
      <c r="F3176" s="15" t="n"/>
      <c r="G3176" s="23" t="n"/>
      <c r="H3176" s="25" t="n"/>
      <c r="I3176" s="15" t="n"/>
      <c r="J3176" s="26">
        <f>IF($A3176="","",LEN($C3176)-LEN(SUBSTITUTE($C3176,",",""))+1)</f>
        <v/>
      </c>
      <c r="K3176" s="26">
        <f>IF($A3176="","",SUMPRODUCT(--ISNUMBER(SEARCH('Category Dictionary'!$D$5:$D$135&amp;"",$C3176)),--('Category Dictionary'!$D$5:$D$135&lt;&gt;"")))</f>
        <v/>
      </c>
      <c r="L3176" s="27">
        <f>IF($A3176="","",TRIM(IF(ISERROR(FIND(",",$C3176)),$C3176,LEFT($C3176,FIND(",",$C3176)-1))))</f>
        <v/>
      </c>
      <c r="M3176" s="28">
        <f>IF($H3176="","",DATE(YEAR($H3176),MONTH($H3176),1))</f>
        <v/>
      </c>
      <c r="N3176" s="26">
        <f>IF($H3176="","",TODAY()-$H3176)</f>
        <v/>
      </c>
      <c r="O3176" s="15" t="n"/>
      <c r="P3176" s="15" t="n"/>
      <c r="Q3176" s="15" t="n"/>
      <c r="R3176" s="25" t="n"/>
      <c r="S3176" s="26">
        <f>IF($A3176="","",AND(OR('Assignment Builder'!$B$5="",$B3176='Assignment Builder'!$B$5),OR('Assignment Builder'!$B$6="",ISNUMBER(SEARCH('Assignment Builder'!$B$6,$C3176))),OR('Assignment Builder'!$B$7="",'Assignment Builder'!$B$7=IFERROR(INDEX('Category Dictionary'!$C$5:$C$135,MATCH($L3176,'Category Dictionary'!$D$5:$D$135,0)),"")),OR('Assignment Builder'!$B$8="",$D3176='Assignment Builder'!$B$8),OR('Assignment Builder'!$B$9="",$F3176='Assignment Builder'!$B$9),OR('Assignment Builder'!$B$10="",$O3176='Assignment Builder'!$B$10),OR('Assignment Builder'!$B$11="",$H3176&gt;='Assignment Builder'!$B$11),OR('Assignment Builder'!$B$12="",N($Q3176)&lt;='Assignment Builder'!$B$12)))</f>
        <v/>
      </c>
      <c r="T3176" s="23" t="n"/>
    </row>
    <row r="3177">
      <c r="A3177" s="23" t="n"/>
      <c r="B3177" s="23" t="n"/>
      <c r="C3177" s="24" t="n"/>
      <c r="D3177" s="15" t="n"/>
      <c r="E3177" s="23" t="n"/>
      <c r="F3177" s="15" t="n"/>
      <c r="G3177" s="23" t="n"/>
      <c r="H3177" s="25" t="n"/>
      <c r="I3177" s="15" t="n"/>
      <c r="J3177" s="26">
        <f>IF($A3177="","",LEN($C3177)-LEN(SUBSTITUTE($C3177,",",""))+1)</f>
        <v/>
      </c>
      <c r="K3177" s="26">
        <f>IF($A3177="","",SUMPRODUCT(--ISNUMBER(SEARCH('Category Dictionary'!$D$5:$D$135&amp;"",$C3177)),--('Category Dictionary'!$D$5:$D$135&lt;&gt;"")))</f>
        <v/>
      </c>
      <c r="L3177" s="27">
        <f>IF($A3177="","",TRIM(IF(ISERROR(FIND(",",$C3177)),$C3177,LEFT($C3177,FIND(",",$C3177)-1))))</f>
        <v/>
      </c>
      <c r="M3177" s="28">
        <f>IF($H3177="","",DATE(YEAR($H3177),MONTH($H3177),1))</f>
        <v/>
      </c>
      <c r="N3177" s="26">
        <f>IF($H3177="","",TODAY()-$H3177)</f>
        <v/>
      </c>
      <c r="O3177" s="15" t="n"/>
      <c r="P3177" s="15" t="n"/>
      <c r="Q3177" s="15" t="n"/>
      <c r="R3177" s="25" t="n"/>
      <c r="S3177" s="26">
        <f>IF($A3177="","",AND(OR('Assignment Builder'!$B$5="",$B3177='Assignment Builder'!$B$5),OR('Assignment Builder'!$B$6="",ISNUMBER(SEARCH('Assignment Builder'!$B$6,$C3177))),OR('Assignment Builder'!$B$7="",'Assignment Builder'!$B$7=IFERROR(INDEX('Category Dictionary'!$C$5:$C$135,MATCH($L3177,'Category Dictionary'!$D$5:$D$135,0)),"")),OR('Assignment Builder'!$B$8="",$D3177='Assignment Builder'!$B$8),OR('Assignment Builder'!$B$9="",$F3177='Assignment Builder'!$B$9),OR('Assignment Builder'!$B$10="",$O3177='Assignment Builder'!$B$10),OR('Assignment Builder'!$B$11="",$H3177&gt;='Assignment Builder'!$B$11),OR('Assignment Builder'!$B$12="",N($Q3177)&lt;='Assignment Builder'!$B$12)))</f>
        <v/>
      </c>
      <c r="T3177" s="23" t="n"/>
    </row>
    <row r="3178">
      <c r="A3178" s="23" t="n"/>
      <c r="B3178" s="23" t="n"/>
      <c r="C3178" s="24" t="n"/>
      <c r="D3178" s="15" t="n"/>
      <c r="E3178" s="23" t="n"/>
      <c r="F3178" s="15" t="n"/>
      <c r="G3178" s="23" t="n"/>
      <c r="H3178" s="25" t="n"/>
      <c r="I3178" s="15" t="n"/>
      <c r="J3178" s="26">
        <f>IF($A3178="","",LEN($C3178)-LEN(SUBSTITUTE($C3178,",",""))+1)</f>
        <v/>
      </c>
      <c r="K3178" s="26">
        <f>IF($A3178="","",SUMPRODUCT(--ISNUMBER(SEARCH('Category Dictionary'!$D$5:$D$135&amp;"",$C3178)),--('Category Dictionary'!$D$5:$D$135&lt;&gt;"")))</f>
        <v/>
      </c>
      <c r="L3178" s="27">
        <f>IF($A3178="","",TRIM(IF(ISERROR(FIND(",",$C3178)),$C3178,LEFT($C3178,FIND(",",$C3178)-1))))</f>
        <v/>
      </c>
      <c r="M3178" s="28">
        <f>IF($H3178="","",DATE(YEAR($H3178),MONTH($H3178),1))</f>
        <v/>
      </c>
      <c r="N3178" s="26">
        <f>IF($H3178="","",TODAY()-$H3178)</f>
        <v/>
      </c>
      <c r="O3178" s="15" t="n"/>
      <c r="P3178" s="15" t="n"/>
      <c r="Q3178" s="15" t="n"/>
      <c r="R3178" s="25" t="n"/>
      <c r="S3178" s="26">
        <f>IF($A3178="","",AND(OR('Assignment Builder'!$B$5="",$B3178='Assignment Builder'!$B$5),OR('Assignment Builder'!$B$6="",ISNUMBER(SEARCH('Assignment Builder'!$B$6,$C3178))),OR('Assignment Builder'!$B$7="",'Assignment Builder'!$B$7=IFERROR(INDEX('Category Dictionary'!$C$5:$C$135,MATCH($L3178,'Category Dictionary'!$D$5:$D$135,0)),"")),OR('Assignment Builder'!$B$8="",$D3178='Assignment Builder'!$B$8),OR('Assignment Builder'!$B$9="",$F3178='Assignment Builder'!$B$9),OR('Assignment Builder'!$B$10="",$O3178='Assignment Builder'!$B$10),OR('Assignment Builder'!$B$11="",$H3178&gt;='Assignment Builder'!$B$11),OR('Assignment Builder'!$B$12="",N($Q3178)&lt;='Assignment Builder'!$B$12)))</f>
        <v/>
      </c>
      <c r="T3178" s="23" t="n"/>
    </row>
    <row r="3179">
      <c r="A3179" s="23" t="n"/>
      <c r="B3179" s="23" t="n"/>
      <c r="C3179" s="24" t="n"/>
      <c r="D3179" s="15" t="n"/>
      <c r="E3179" s="23" t="n"/>
      <c r="F3179" s="15" t="n"/>
      <c r="G3179" s="23" t="n"/>
      <c r="H3179" s="25" t="n"/>
      <c r="I3179" s="15" t="n"/>
      <c r="J3179" s="26">
        <f>IF($A3179="","",LEN($C3179)-LEN(SUBSTITUTE($C3179,",",""))+1)</f>
        <v/>
      </c>
      <c r="K3179" s="26">
        <f>IF($A3179="","",SUMPRODUCT(--ISNUMBER(SEARCH('Category Dictionary'!$D$5:$D$135&amp;"",$C3179)),--('Category Dictionary'!$D$5:$D$135&lt;&gt;"")))</f>
        <v/>
      </c>
      <c r="L3179" s="27">
        <f>IF($A3179="","",TRIM(IF(ISERROR(FIND(",",$C3179)),$C3179,LEFT($C3179,FIND(",",$C3179)-1))))</f>
        <v/>
      </c>
      <c r="M3179" s="28">
        <f>IF($H3179="","",DATE(YEAR($H3179),MONTH($H3179),1))</f>
        <v/>
      </c>
      <c r="N3179" s="26">
        <f>IF($H3179="","",TODAY()-$H3179)</f>
        <v/>
      </c>
      <c r="O3179" s="15" t="n"/>
      <c r="P3179" s="15" t="n"/>
      <c r="Q3179" s="15" t="n"/>
      <c r="R3179" s="25" t="n"/>
      <c r="S3179" s="26">
        <f>IF($A3179="","",AND(OR('Assignment Builder'!$B$5="",$B3179='Assignment Builder'!$B$5),OR('Assignment Builder'!$B$6="",ISNUMBER(SEARCH('Assignment Builder'!$B$6,$C3179))),OR('Assignment Builder'!$B$7="",'Assignment Builder'!$B$7=IFERROR(INDEX('Category Dictionary'!$C$5:$C$135,MATCH($L3179,'Category Dictionary'!$D$5:$D$135,0)),"")),OR('Assignment Builder'!$B$8="",$D3179='Assignment Builder'!$B$8),OR('Assignment Builder'!$B$9="",$F3179='Assignment Builder'!$B$9),OR('Assignment Builder'!$B$10="",$O3179='Assignment Builder'!$B$10),OR('Assignment Builder'!$B$11="",$H3179&gt;='Assignment Builder'!$B$11),OR('Assignment Builder'!$B$12="",N($Q3179)&lt;='Assignment Builder'!$B$12)))</f>
        <v/>
      </c>
      <c r="T3179" s="23" t="n"/>
    </row>
    <row r="3180">
      <c r="A3180" s="23" t="n"/>
      <c r="B3180" s="23" t="n"/>
      <c r="C3180" s="24" t="n"/>
      <c r="D3180" s="15" t="n"/>
      <c r="E3180" s="23" t="n"/>
      <c r="F3180" s="15" t="n"/>
      <c r="G3180" s="23" t="n"/>
      <c r="H3180" s="25" t="n"/>
      <c r="I3180" s="15" t="n"/>
      <c r="J3180" s="26">
        <f>IF($A3180="","",LEN($C3180)-LEN(SUBSTITUTE($C3180,",",""))+1)</f>
        <v/>
      </c>
      <c r="K3180" s="26">
        <f>IF($A3180="","",SUMPRODUCT(--ISNUMBER(SEARCH('Category Dictionary'!$D$5:$D$135&amp;"",$C3180)),--('Category Dictionary'!$D$5:$D$135&lt;&gt;"")))</f>
        <v/>
      </c>
      <c r="L3180" s="27">
        <f>IF($A3180="","",TRIM(IF(ISERROR(FIND(",",$C3180)),$C3180,LEFT($C3180,FIND(",",$C3180)-1))))</f>
        <v/>
      </c>
      <c r="M3180" s="28">
        <f>IF($H3180="","",DATE(YEAR($H3180),MONTH($H3180),1))</f>
        <v/>
      </c>
      <c r="N3180" s="26">
        <f>IF($H3180="","",TODAY()-$H3180)</f>
        <v/>
      </c>
      <c r="O3180" s="15" t="n"/>
      <c r="P3180" s="15" t="n"/>
      <c r="Q3180" s="15" t="n"/>
      <c r="R3180" s="25" t="n"/>
      <c r="S3180" s="26">
        <f>IF($A3180="","",AND(OR('Assignment Builder'!$B$5="",$B3180='Assignment Builder'!$B$5),OR('Assignment Builder'!$B$6="",ISNUMBER(SEARCH('Assignment Builder'!$B$6,$C3180))),OR('Assignment Builder'!$B$7="",'Assignment Builder'!$B$7=IFERROR(INDEX('Category Dictionary'!$C$5:$C$135,MATCH($L3180,'Category Dictionary'!$D$5:$D$135,0)),"")),OR('Assignment Builder'!$B$8="",$D3180='Assignment Builder'!$B$8),OR('Assignment Builder'!$B$9="",$F3180='Assignment Builder'!$B$9),OR('Assignment Builder'!$B$10="",$O3180='Assignment Builder'!$B$10),OR('Assignment Builder'!$B$11="",$H3180&gt;='Assignment Builder'!$B$11),OR('Assignment Builder'!$B$12="",N($Q3180)&lt;='Assignment Builder'!$B$12)))</f>
        <v/>
      </c>
      <c r="T3180" s="23" t="n"/>
    </row>
    <row r="3181">
      <c r="A3181" s="23" t="n"/>
      <c r="B3181" s="23" t="n"/>
      <c r="C3181" s="24" t="n"/>
      <c r="D3181" s="15" t="n"/>
      <c r="E3181" s="23" t="n"/>
      <c r="F3181" s="15" t="n"/>
      <c r="G3181" s="23" t="n"/>
      <c r="H3181" s="25" t="n"/>
      <c r="I3181" s="15" t="n"/>
      <c r="J3181" s="26">
        <f>IF($A3181="","",LEN($C3181)-LEN(SUBSTITUTE($C3181,",",""))+1)</f>
        <v/>
      </c>
      <c r="K3181" s="26">
        <f>IF($A3181="","",SUMPRODUCT(--ISNUMBER(SEARCH('Category Dictionary'!$D$5:$D$135&amp;"",$C3181)),--('Category Dictionary'!$D$5:$D$135&lt;&gt;"")))</f>
        <v/>
      </c>
      <c r="L3181" s="27">
        <f>IF($A3181="","",TRIM(IF(ISERROR(FIND(",",$C3181)),$C3181,LEFT($C3181,FIND(",",$C3181)-1))))</f>
        <v/>
      </c>
      <c r="M3181" s="28">
        <f>IF($H3181="","",DATE(YEAR($H3181),MONTH($H3181),1))</f>
        <v/>
      </c>
      <c r="N3181" s="26">
        <f>IF($H3181="","",TODAY()-$H3181)</f>
        <v/>
      </c>
      <c r="O3181" s="15" t="n"/>
      <c r="P3181" s="15" t="n"/>
      <c r="Q3181" s="15" t="n"/>
      <c r="R3181" s="25" t="n"/>
      <c r="S3181" s="26">
        <f>IF($A3181="","",AND(OR('Assignment Builder'!$B$5="",$B3181='Assignment Builder'!$B$5),OR('Assignment Builder'!$B$6="",ISNUMBER(SEARCH('Assignment Builder'!$B$6,$C3181))),OR('Assignment Builder'!$B$7="",'Assignment Builder'!$B$7=IFERROR(INDEX('Category Dictionary'!$C$5:$C$135,MATCH($L3181,'Category Dictionary'!$D$5:$D$135,0)),"")),OR('Assignment Builder'!$B$8="",$D3181='Assignment Builder'!$B$8),OR('Assignment Builder'!$B$9="",$F3181='Assignment Builder'!$B$9),OR('Assignment Builder'!$B$10="",$O3181='Assignment Builder'!$B$10),OR('Assignment Builder'!$B$11="",$H3181&gt;='Assignment Builder'!$B$11),OR('Assignment Builder'!$B$12="",N($Q3181)&lt;='Assignment Builder'!$B$12)))</f>
        <v/>
      </c>
      <c r="T3181" s="23" t="n"/>
    </row>
    <row r="3182">
      <c r="A3182" s="23" t="n"/>
      <c r="B3182" s="23" t="n"/>
      <c r="C3182" s="24" t="n"/>
      <c r="D3182" s="15" t="n"/>
      <c r="E3182" s="23" t="n"/>
      <c r="F3182" s="15" t="n"/>
      <c r="G3182" s="23" t="n"/>
      <c r="H3182" s="25" t="n"/>
      <c r="I3182" s="15" t="n"/>
      <c r="J3182" s="26">
        <f>IF($A3182="","",LEN($C3182)-LEN(SUBSTITUTE($C3182,",",""))+1)</f>
        <v/>
      </c>
      <c r="K3182" s="26">
        <f>IF($A3182="","",SUMPRODUCT(--ISNUMBER(SEARCH('Category Dictionary'!$D$5:$D$135&amp;"",$C3182)),--('Category Dictionary'!$D$5:$D$135&lt;&gt;"")))</f>
        <v/>
      </c>
      <c r="L3182" s="27">
        <f>IF($A3182="","",TRIM(IF(ISERROR(FIND(",",$C3182)),$C3182,LEFT($C3182,FIND(",",$C3182)-1))))</f>
        <v/>
      </c>
      <c r="M3182" s="28">
        <f>IF($H3182="","",DATE(YEAR($H3182),MONTH($H3182),1))</f>
        <v/>
      </c>
      <c r="N3182" s="26">
        <f>IF($H3182="","",TODAY()-$H3182)</f>
        <v/>
      </c>
      <c r="O3182" s="15" t="n"/>
      <c r="P3182" s="15" t="n"/>
      <c r="Q3182" s="15" t="n"/>
      <c r="R3182" s="25" t="n"/>
      <c r="S3182" s="26">
        <f>IF($A3182="","",AND(OR('Assignment Builder'!$B$5="",$B3182='Assignment Builder'!$B$5),OR('Assignment Builder'!$B$6="",ISNUMBER(SEARCH('Assignment Builder'!$B$6,$C3182))),OR('Assignment Builder'!$B$7="",'Assignment Builder'!$B$7=IFERROR(INDEX('Category Dictionary'!$C$5:$C$135,MATCH($L3182,'Category Dictionary'!$D$5:$D$135,0)),"")),OR('Assignment Builder'!$B$8="",$D3182='Assignment Builder'!$B$8),OR('Assignment Builder'!$B$9="",$F3182='Assignment Builder'!$B$9),OR('Assignment Builder'!$B$10="",$O3182='Assignment Builder'!$B$10),OR('Assignment Builder'!$B$11="",$H3182&gt;='Assignment Builder'!$B$11),OR('Assignment Builder'!$B$12="",N($Q3182)&lt;='Assignment Builder'!$B$12)))</f>
        <v/>
      </c>
      <c r="T3182" s="23" t="n"/>
    </row>
    <row r="3183">
      <c r="A3183" s="23" t="n"/>
      <c r="B3183" s="23" t="n"/>
      <c r="C3183" s="24" t="n"/>
      <c r="D3183" s="15" t="n"/>
      <c r="E3183" s="23" t="n"/>
      <c r="F3183" s="15" t="n"/>
      <c r="G3183" s="23" t="n"/>
      <c r="H3183" s="25" t="n"/>
      <c r="I3183" s="15" t="n"/>
      <c r="J3183" s="26">
        <f>IF($A3183="","",LEN($C3183)-LEN(SUBSTITUTE($C3183,",",""))+1)</f>
        <v/>
      </c>
      <c r="K3183" s="26">
        <f>IF($A3183="","",SUMPRODUCT(--ISNUMBER(SEARCH('Category Dictionary'!$D$5:$D$135&amp;"",$C3183)),--('Category Dictionary'!$D$5:$D$135&lt;&gt;"")))</f>
        <v/>
      </c>
      <c r="L3183" s="27">
        <f>IF($A3183="","",TRIM(IF(ISERROR(FIND(",",$C3183)),$C3183,LEFT($C3183,FIND(",",$C3183)-1))))</f>
        <v/>
      </c>
      <c r="M3183" s="28">
        <f>IF($H3183="","",DATE(YEAR($H3183),MONTH($H3183),1))</f>
        <v/>
      </c>
      <c r="N3183" s="26">
        <f>IF($H3183="","",TODAY()-$H3183)</f>
        <v/>
      </c>
      <c r="O3183" s="15" t="n"/>
      <c r="P3183" s="15" t="n"/>
      <c r="Q3183" s="15" t="n"/>
      <c r="R3183" s="25" t="n"/>
      <c r="S3183" s="26">
        <f>IF($A3183="","",AND(OR('Assignment Builder'!$B$5="",$B3183='Assignment Builder'!$B$5),OR('Assignment Builder'!$B$6="",ISNUMBER(SEARCH('Assignment Builder'!$B$6,$C3183))),OR('Assignment Builder'!$B$7="",'Assignment Builder'!$B$7=IFERROR(INDEX('Category Dictionary'!$C$5:$C$135,MATCH($L3183,'Category Dictionary'!$D$5:$D$135,0)),"")),OR('Assignment Builder'!$B$8="",$D3183='Assignment Builder'!$B$8),OR('Assignment Builder'!$B$9="",$F3183='Assignment Builder'!$B$9),OR('Assignment Builder'!$B$10="",$O3183='Assignment Builder'!$B$10),OR('Assignment Builder'!$B$11="",$H3183&gt;='Assignment Builder'!$B$11),OR('Assignment Builder'!$B$12="",N($Q3183)&lt;='Assignment Builder'!$B$12)))</f>
        <v/>
      </c>
      <c r="T3183" s="23" t="n"/>
    </row>
    <row r="3184">
      <c r="A3184" s="23" t="n"/>
      <c r="B3184" s="23" t="n"/>
      <c r="C3184" s="24" t="n"/>
      <c r="D3184" s="15" t="n"/>
      <c r="E3184" s="23" t="n"/>
      <c r="F3184" s="15" t="n"/>
      <c r="G3184" s="23" t="n"/>
      <c r="H3184" s="25" t="n"/>
      <c r="I3184" s="15" t="n"/>
      <c r="J3184" s="26">
        <f>IF($A3184="","",LEN($C3184)-LEN(SUBSTITUTE($C3184,",",""))+1)</f>
        <v/>
      </c>
      <c r="K3184" s="26">
        <f>IF($A3184="","",SUMPRODUCT(--ISNUMBER(SEARCH('Category Dictionary'!$D$5:$D$135&amp;"",$C3184)),--('Category Dictionary'!$D$5:$D$135&lt;&gt;"")))</f>
        <v/>
      </c>
      <c r="L3184" s="27">
        <f>IF($A3184="","",TRIM(IF(ISERROR(FIND(",",$C3184)),$C3184,LEFT($C3184,FIND(",",$C3184)-1))))</f>
        <v/>
      </c>
      <c r="M3184" s="28">
        <f>IF($H3184="","",DATE(YEAR($H3184),MONTH($H3184),1))</f>
        <v/>
      </c>
      <c r="N3184" s="26">
        <f>IF($H3184="","",TODAY()-$H3184)</f>
        <v/>
      </c>
      <c r="O3184" s="15" t="n"/>
      <c r="P3184" s="15" t="n"/>
      <c r="Q3184" s="15" t="n"/>
      <c r="R3184" s="25" t="n"/>
      <c r="S3184" s="26">
        <f>IF($A3184="","",AND(OR('Assignment Builder'!$B$5="",$B3184='Assignment Builder'!$B$5),OR('Assignment Builder'!$B$6="",ISNUMBER(SEARCH('Assignment Builder'!$B$6,$C3184))),OR('Assignment Builder'!$B$7="",'Assignment Builder'!$B$7=IFERROR(INDEX('Category Dictionary'!$C$5:$C$135,MATCH($L3184,'Category Dictionary'!$D$5:$D$135,0)),"")),OR('Assignment Builder'!$B$8="",$D3184='Assignment Builder'!$B$8),OR('Assignment Builder'!$B$9="",$F3184='Assignment Builder'!$B$9),OR('Assignment Builder'!$B$10="",$O3184='Assignment Builder'!$B$10),OR('Assignment Builder'!$B$11="",$H3184&gt;='Assignment Builder'!$B$11),OR('Assignment Builder'!$B$12="",N($Q3184)&lt;='Assignment Builder'!$B$12)))</f>
        <v/>
      </c>
      <c r="T3184" s="23" t="n"/>
    </row>
    <row r="3185">
      <c r="A3185" s="23" t="n"/>
      <c r="B3185" s="23" t="n"/>
      <c r="C3185" s="24" t="n"/>
      <c r="D3185" s="15" t="n"/>
      <c r="E3185" s="23" t="n"/>
      <c r="F3185" s="15" t="n"/>
      <c r="G3185" s="23" t="n"/>
      <c r="H3185" s="25" t="n"/>
      <c r="I3185" s="15" t="n"/>
      <c r="J3185" s="26">
        <f>IF($A3185="","",LEN($C3185)-LEN(SUBSTITUTE($C3185,",",""))+1)</f>
        <v/>
      </c>
      <c r="K3185" s="26">
        <f>IF($A3185="","",SUMPRODUCT(--ISNUMBER(SEARCH('Category Dictionary'!$D$5:$D$135&amp;"",$C3185)),--('Category Dictionary'!$D$5:$D$135&lt;&gt;"")))</f>
        <v/>
      </c>
      <c r="L3185" s="27">
        <f>IF($A3185="","",TRIM(IF(ISERROR(FIND(",",$C3185)),$C3185,LEFT($C3185,FIND(",",$C3185)-1))))</f>
        <v/>
      </c>
      <c r="M3185" s="28">
        <f>IF($H3185="","",DATE(YEAR($H3185),MONTH($H3185),1))</f>
        <v/>
      </c>
      <c r="N3185" s="26">
        <f>IF($H3185="","",TODAY()-$H3185)</f>
        <v/>
      </c>
      <c r="O3185" s="15" t="n"/>
      <c r="P3185" s="15" t="n"/>
      <c r="Q3185" s="15" t="n"/>
      <c r="R3185" s="25" t="n"/>
      <c r="S3185" s="26">
        <f>IF($A3185="","",AND(OR('Assignment Builder'!$B$5="",$B3185='Assignment Builder'!$B$5),OR('Assignment Builder'!$B$6="",ISNUMBER(SEARCH('Assignment Builder'!$B$6,$C3185))),OR('Assignment Builder'!$B$7="",'Assignment Builder'!$B$7=IFERROR(INDEX('Category Dictionary'!$C$5:$C$135,MATCH($L3185,'Category Dictionary'!$D$5:$D$135,0)),"")),OR('Assignment Builder'!$B$8="",$D3185='Assignment Builder'!$B$8),OR('Assignment Builder'!$B$9="",$F3185='Assignment Builder'!$B$9),OR('Assignment Builder'!$B$10="",$O3185='Assignment Builder'!$B$10),OR('Assignment Builder'!$B$11="",$H3185&gt;='Assignment Builder'!$B$11),OR('Assignment Builder'!$B$12="",N($Q3185)&lt;='Assignment Builder'!$B$12)))</f>
        <v/>
      </c>
      <c r="T3185" s="23" t="n"/>
    </row>
    <row r="3186">
      <c r="A3186" s="23" t="n"/>
      <c r="B3186" s="23" t="n"/>
      <c r="C3186" s="24" t="n"/>
      <c r="D3186" s="15" t="n"/>
      <c r="E3186" s="23" t="n"/>
      <c r="F3186" s="15" t="n"/>
      <c r="G3186" s="23" t="n"/>
      <c r="H3186" s="25" t="n"/>
      <c r="I3186" s="15" t="n"/>
      <c r="J3186" s="26">
        <f>IF($A3186="","",LEN($C3186)-LEN(SUBSTITUTE($C3186,",",""))+1)</f>
        <v/>
      </c>
      <c r="K3186" s="26">
        <f>IF($A3186="","",SUMPRODUCT(--ISNUMBER(SEARCH('Category Dictionary'!$D$5:$D$135&amp;"",$C3186)),--('Category Dictionary'!$D$5:$D$135&lt;&gt;"")))</f>
        <v/>
      </c>
      <c r="L3186" s="27">
        <f>IF($A3186="","",TRIM(IF(ISERROR(FIND(",",$C3186)),$C3186,LEFT($C3186,FIND(",",$C3186)-1))))</f>
        <v/>
      </c>
      <c r="M3186" s="28">
        <f>IF($H3186="","",DATE(YEAR($H3186),MONTH($H3186),1))</f>
        <v/>
      </c>
      <c r="N3186" s="26">
        <f>IF($H3186="","",TODAY()-$H3186)</f>
        <v/>
      </c>
      <c r="O3186" s="15" t="n"/>
      <c r="P3186" s="15" t="n"/>
      <c r="Q3186" s="15" t="n"/>
      <c r="R3186" s="25" t="n"/>
      <c r="S3186" s="26">
        <f>IF($A3186="","",AND(OR('Assignment Builder'!$B$5="",$B3186='Assignment Builder'!$B$5),OR('Assignment Builder'!$B$6="",ISNUMBER(SEARCH('Assignment Builder'!$B$6,$C3186))),OR('Assignment Builder'!$B$7="",'Assignment Builder'!$B$7=IFERROR(INDEX('Category Dictionary'!$C$5:$C$135,MATCH($L3186,'Category Dictionary'!$D$5:$D$135,0)),"")),OR('Assignment Builder'!$B$8="",$D3186='Assignment Builder'!$B$8),OR('Assignment Builder'!$B$9="",$F3186='Assignment Builder'!$B$9),OR('Assignment Builder'!$B$10="",$O3186='Assignment Builder'!$B$10),OR('Assignment Builder'!$B$11="",$H3186&gt;='Assignment Builder'!$B$11),OR('Assignment Builder'!$B$12="",N($Q3186)&lt;='Assignment Builder'!$B$12)))</f>
        <v/>
      </c>
      <c r="T3186" s="23" t="n"/>
    </row>
    <row r="3187">
      <c r="A3187" s="23" t="n"/>
      <c r="B3187" s="23" t="n"/>
      <c r="C3187" s="24" t="n"/>
      <c r="D3187" s="15" t="n"/>
      <c r="E3187" s="23" t="n"/>
      <c r="F3187" s="15" t="n"/>
      <c r="G3187" s="23" t="n"/>
      <c r="H3187" s="25" t="n"/>
      <c r="I3187" s="15" t="n"/>
      <c r="J3187" s="26">
        <f>IF($A3187="","",LEN($C3187)-LEN(SUBSTITUTE($C3187,",",""))+1)</f>
        <v/>
      </c>
      <c r="K3187" s="26">
        <f>IF($A3187="","",SUMPRODUCT(--ISNUMBER(SEARCH('Category Dictionary'!$D$5:$D$135&amp;"",$C3187)),--('Category Dictionary'!$D$5:$D$135&lt;&gt;"")))</f>
        <v/>
      </c>
      <c r="L3187" s="27">
        <f>IF($A3187="","",TRIM(IF(ISERROR(FIND(",",$C3187)),$C3187,LEFT($C3187,FIND(",",$C3187)-1))))</f>
        <v/>
      </c>
      <c r="M3187" s="28">
        <f>IF($H3187="","",DATE(YEAR($H3187),MONTH($H3187),1))</f>
        <v/>
      </c>
      <c r="N3187" s="26">
        <f>IF($H3187="","",TODAY()-$H3187)</f>
        <v/>
      </c>
      <c r="O3187" s="15" t="n"/>
      <c r="P3187" s="15" t="n"/>
      <c r="Q3187" s="15" t="n"/>
      <c r="R3187" s="25" t="n"/>
      <c r="S3187" s="26">
        <f>IF($A3187="","",AND(OR('Assignment Builder'!$B$5="",$B3187='Assignment Builder'!$B$5),OR('Assignment Builder'!$B$6="",ISNUMBER(SEARCH('Assignment Builder'!$B$6,$C3187))),OR('Assignment Builder'!$B$7="",'Assignment Builder'!$B$7=IFERROR(INDEX('Category Dictionary'!$C$5:$C$135,MATCH($L3187,'Category Dictionary'!$D$5:$D$135,0)),"")),OR('Assignment Builder'!$B$8="",$D3187='Assignment Builder'!$B$8),OR('Assignment Builder'!$B$9="",$F3187='Assignment Builder'!$B$9),OR('Assignment Builder'!$B$10="",$O3187='Assignment Builder'!$B$10),OR('Assignment Builder'!$B$11="",$H3187&gt;='Assignment Builder'!$B$11),OR('Assignment Builder'!$B$12="",N($Q3187)&lt;='Assignment Builder'!$B$12)))</f>
        <v/>
      </c>
      <c r="T3187" s="23" t="n"/>
    </row>
    <row r="3188">
      <c r="A3188" s="23" t="n"/>
      <c r="B3188" s="23" t="n"/>
      <c r="C3188" s="24" t="n"/>
      <c r="D3188" s="15" t="n"/>
      <c r="E3188" s="23" t="n"/>
      <c r="F3188" s="15" t="n"/>
      <c r="G3188" s="23" t="n"/>
      <c r="H3188" s="25" t="n"/>
      <c r="I3188" s="15" t="n"/>
      <c r="J3188" s="26">
        <f>IF($A3188="","",LEN($C3188)-LEN(SUBSTITUTE($C3188,",",""))+1)</f>
        <v/>
      </c>
      <c r="K3188" s="26">
        <f>IF($A3188="","",SUMPRODUCT(--ISNUMBER(SEARCH('Category Dictionary'!$D$5:$D$135&amp;"",$C3188)),--('Category Dictionary'!$D$5:$D$135&lt;&gt;"")))</f>
        <v/>
      </c>
      <c r="L3188" s="27">
        <f>IF($A3188="","",TRIM(IF(ISERROR(FIND(",",$C3188)),$C3188,LEFT($C3188,FIND(",",$C3188)-1))))</f>
        <v/>
      </c>
      <c r="M3188" s="28">
        <f>IF($H3188="","",DATE(YEAR($H3188),MONTH($H3188),1))</f>
        <v/>
      </c>
      <c r="N3188" s="26">
        <f>IF($H3188="","",TODAY()-$H3188)</f>
        <v/>
      </c>
      <c r="O3188" s="15" t="n"/>
      <c r="P3188" s="15" t="n"/>
      <c r="Q3188" s="15" t="n"/>
      <c r="R3188" s="25" t="n"/>
      <c r="S3188" s="26">
        <f>IF($A3188="","",AND(OR('Assignment Builder'!$B$5="",$B3188='Assignment Builder'!$B$5),OR('Assignment Builder'!$B$6="",ISNUMBER(SEARCH('Assignment Builder'!$B$6,$C3188))),OR('Assignment Builder'!$B$7="",'Assignment Builder'!$B$7=IFERROR(INDEX('Category Dictionary'!$C$5:$C$135,MATCH($L3188,'Category Dictionary'!$D$5:$D$135,0)),"")),OR('Assignment Builder'!$B$8="",$D3188='Assignment Builder'!$B$8),OR('Assignment Builder'!$B$9="",$F3188='Assignment Builder'!$B$9),OR('Assignment Builder'!$B$10="",$O3188='Assignment Builder'!$B$10),OR('Assignment Builder'!$B$11="",$H3188&gt;='Assignment Builder'!$B$11),OR('Assignment Builder'!$B$12="",N($Q3188)&lt;='Assignment Builder'!$B$12)))</f>
        <v/>
      </c>
      <c r="T3188" s="23" t="n"/>
    </row>
    <row r="3189">
      <c r="A3189" s="23" t="n"/>
      <c r="B3189" s="23" t="n"/>
      <c r="C3189" s="24" t="n"/>
      <c r="D3189" s="15" t="n"/>
      <c r="E3189" s="23" t="n"/>
      <c r="F3189" s="15" t="n"/>
      <c r="G3189" s="23" t="n"/>
      <c r="H3189" s="25" t="n"/>
      <c r="I3189" s="15" t="n"/>
      <c r="J3189" s="26">
        <f>IF($A3189="","",LEN($C3189)-LEN(SUBSTITUTE($C3189,",",""))+1)</f>
        <v/>
      </c>
      <c r="K3189" s="26">
        <f>IF($A3189="","",SUMPRODUCT(--ISNUMBER(SEARCH('Category Dictionary'!$D$5:$D$135&amp;"",$C3189)),--('Category Dictionary'!$D$5:$D$135&lt;&gt;"")))</f>
        <v/>
      </c>
      <c r="L3189" s="27">
        <f>IF($A3189="","",TRIM(IF(ISERROR(FIND(",",$C3189)),$C3189,LEFT($C3189,FIND(",",$C3189)-1))))</f>
        <v/>
      </c>
      <c r="M3189" s="28">
        <f>IF($H3189="","",DATE(YEAR($H3189),MONTH($H3189),1))</f>
        <v/>
      </c>
      <c r="N3189" s="26">
        <f>IF($H3189="","",TODAY()-$H3189)</f>
        <v/>
      </c>
      <c r="O3189" s="15" t="n"/>
      <c r="P3189" s="15" t="n"/>
      <c r="Q3189" s="15" t="n"/>
      <c r="R3189" s="25" t="n"/>
      <c r="S3189" s="26">
        <f>IF($A3189="","",AND(OR('Assignment Builder'!$B$5="",$B3189='Assignment Builder'!$B$5),OR('Assignment Builder'!$B$6="",ISNUMBER(SEARCH('Assignment Builder'!$B$6,$C3189))),OR('Assignment Builder'!$B$7="",'Assignment Builder'!$B$7=IFERROR(INDEX('Category Dictionary'!$C$5:$C$135,MATCH($L3189,'Category Dictionary'!$D$5:$D$135,0)),"")),OR('Assignment Builder'!$B$8="",$D3189='Assignment Builder'!$B$8),OR('Assignment Builder'!$B$9="",$F3189='Assignment Builder'!$B$9),OR('Assignment Builder'!$B$10="",$O3189='Assignment Builder'!$B$10),OR('Assignment Builder'!$B$11="",$H3189&gt;='Assignment Builder'!$B$11),OR('Assignment Builder'!$B$12="",N($Q3189)&lt;='Assignment Builder'!$B$12)))</f>
        <v/>
      </c>
      <c r="T3189" s="23" t="n"/>
    </row>
    <row r="3190">
      <c r="A3190" s="23" t="n"/>
      <c r="B3190" s="23" t="n"/>
      <c r="C3190" s="24" t="n"/>
      <c r="D3190" s="15" t="n"/>
      <c r="E3190" s="23" t="n"/>
      <c r="F3190" s="15" t="n"/>
      <c r="G3190" s="23" t="n"/>
      <c r="H3190" s="25" t="n"/>
      <c r="I3190" s="15" t="n"/>
      <c r="J3190" s="26">
        <f>IF($A3190="","",LEN($C3190)-LEN(SUBSTITUTE($C3190,",",""))+1)</f>
        <v/>
      </c>
      <c r="K3190" s="26">
        <f>IF($A3190="","",SUMPRODUCT(--ISNUMBER(SEARCH('Category Dictionary'!$D$5:$D$135&amp;"",$C3190)),--('Category Dictionary'!$D$5:$D$135&lt;&gt;"")))</f>
        <v/>
      </c>
      <c r="L3190" s="27">
        <f>IF($A3190="","",TRIM(IF(ISERROR(FIND(",",$C3190)),$C3190,LEFT($C3190,FIND(",",$C3190)-1))))</f>
        <v/>
      </c>
      <c r="M3190" s="28">
        <f>IF($H3190="","",DATE(YEAR($H3190),MONTH($H3190),1))</f>
        <v/>
      </c>
      <c r="N3190" s="26">
        <f>IF($H3190="","",TODAY()-$H3190)</f>
        <v/>
      </c>
      <c r="O3190" s="15" t="n"/>
      <c r="P3190" s="15" t="n"/>
      <c r="Q3190" s="15" t="n"/>
      <c r="R3190" s="25" t="n"/>
      <c r="S3190" s="26">
        <f>IF($A3190="","",AND(OR('Assignment Builder'!$B$5="",$B3190='Assignment Builder'!$B$5),OR('Assignment Builder'!$B$6="",ISNUMBER(SEARCH('Assignment Builder'!$B$6,$C3190))),OR('Assignment Builder'!$B$7="",'Assignment Builder'!$B$7=IFERROR(INDEX('Category Dictionary'!$C$5:$C$135,MATCH($L3190,'Category Dictionary'!$D$5:$D$135,0)),"")),OR('Assignment Builder'!$B$8="",$D3190='Assignment Builder'!$B$8),OR('Assignment Builder'!$B$9="",$F3190='Assignment Builder'!$B$9),OR('Assignment Builder'!$B$10="",$O3190='Assignment Builder'!$B$10),OR('Assignment Builder'!$B$11="",$H3190&gt;='Assignment Builder'!$B$11),OR('Assignment Builder'!$B$12="",N($Q3190)&lt;='Assignment Builder'!$B$12)))</f>
        <v/>
      </c>
      <c r="T3190" s="23" t="n"/>
    </row>
    <row r="3191">
      <c r="A3191" s="23" t="n"/>
      <c r="B3191" s="23" t="n"/>
      <c r="C3191" s="24" t="n"/>
      <c r="D3191" s="15" t="n"/>
      <c r="E3191" s="23" t="n"/>
      <c r="F3191" s="15" t="n"/>
      <c r="G3191" s="23" t="n"/>
      <c r="H3191" s="25" t="n"/>
      <c r="I3191" s="15" t="n"/>
      <c r="J3191" s="26">
        <f>IF($A3191="","",LEN($C3191)-LEN(SUBSTITUTE($C3191,",",""))+1)</f>
        <v/>
      </c>
      <c r="K3191" s="26">
        <f>IF($A3191="","",SUMPRODUCT(--ISNUMBER(SEARCH('Category Dictionary'!$D$5:$D$135&amp;"",$C3191)),--('Category Dictionary'!$D$5:$D$135&lt;&gt;"")))</f>
        <v/>
      </c>
      <c r="L3191" s="27">
        <f>IF($A3191="","",TRIM(IF(ISERROR(FIND(",",$C3191)),$C3191,LEFT($C3191,FIND(",",$C3191)-1))))</f>
        <v/>
      </c>
      <c r="M3191" s="28">
        <f>IF($H3191="","",DATE(YEAR($H3191),MONTH($H3191),1))</f>
        <v/>
      </c>
      <c r="N3191" s="26">
        <f>IF($H3191="","",TODAY()-$H3191)</f>
        <v/>
      </c>
      <c r="O3191" s="15" t="n"/>
      <c r="P3191" s="15" t="n"/>
      <c r="Q3191" s="15" t="n"/>
      <c r="R3191" s="25" t="n"/>
      <c r="S3191" s="26">
        <f>IF($A3191="","",AND(OR('Assignment Builder'!$B$5="",$B3191='Assignment Builder'!$B$5),OR('Assignment Builder'!$B$6="",ISNUMBER(SEARCH('Assignment Builder'!$B$6,$C3191))),OR('Assignment Builder'!$B$7="",'Assignment Builder'!$B$7=IFERROR(INDEX('Category Dictionary'!$C$5:$C$135,MATCH($L3191,'Category Dictionary'!$D$5:$D$135,0)),"")),OR('Assignment Builder'!$B$8="",$D3191='Assignment Builder'!$B$8),OR('Assignment Builder'!$B$9="",$F3191='Assignment Builder'!$B$9),OR('Assignment Builder'!$B$10="",$O3191='Assignment Builder'!$B$10),OR('Assignment Builder'!$B$11="",$H3191&gt;='Assignment Builder'!$B$11),OR('Assignment Builder'!$B$12="",N($Q3191)&lt;='Assignment Builder'!$B$12)))</f>
        <v/>
      </c>
      <c r="T3191" s="23" t="n"/>
    </row>
    <row r="3192">
      <c r="A3192" s="23" t="n"/>
      <c r="B3192" s="23" t="n"/>
      <c r="C3192" s="24" t="n"/>
      <c r="D3192" s="15" t="n"/>
      <c r="E3192" s="23" t="n"/>
      <c r="F3192" s="15" t="n"/>
      <c r="G3192" s="23" t="n"/>
      <c r="H3192" s="25" t="n"/>
      <c r="I3192" s="15" t="n"/>
      <c r="J3192" s="26">
        <f>IF($A3192="","",LEN($C3192)-LEN(SUBSTITUTE($C3192,",",""))+1)</f>
        <v/>
      </c>
      <c r="K3192" s="26">
        <f>IF($A3192="","",SUMPRODUCT(--ISNUMBER(SEARCH('Category Dictionary'!$D$5:$D$135&amp;"",$C3192)),--('Category Dictionary'!$D$5:$D$135&lt;&gt;"")))</f>
        <v/>
      </c>
      <c r="L3192" s="27">
        <f>IF($A3192="","",TRIM(IF(ISERROR(FIND(",",$C3192)),$C3192,LEFT($C3192,FIND(",",$C3192)-1))))</f>
        <v/>
      </c>
      <c r="M3192" s="28">
        <f>IF($H3192="","",DATE(YEAR($H3192),MONTH($H3192),1))</f>
        <v/>
      </c>
      <c r="N3192" s="26">
        <f>IF($H3192="","",TODAY()-$H3192)</f>
        <v/>
      </c>
      <c r="O3192" s="15" t="n"/>
      <c r="P3192" s="15" t="n"/>
      <c r="Q3192" s="15" t="n"/>
      <c r="R3192" s="25" t="n"/>
      <c r="S3192" s="26">
        <f>IF($A3192="","",AND(OR('Assignment Builder'!$B$5="",$B3192='Assignment Builder'!$B$5),OR('Assignment Builder'!$B$6="",ISNUMBER(SEARCH('Assignment Builder'!$B$6,$C3192))),OR('Assignment Builder'!$B$7="",'Assignment Builder'!$B$7=IFERROR(INDEX('Category Dictionary'!$C$5:$C$135,MATCH($L3192,'Category Dictionary'!$D$5:$D$135,0)),"")),OR('Assignment Builder'!$B$8="",$D3192='Assignment Builder'!$B$8),OR('Assignment Builder'!$B$9="",$F3192='Assignment Builder'!$B$9),OR('Assignment Builder'!$B$10="",$O3192='Assignment Builder'!$B$10),OR('Assignment Builder'!$B$11="",$H3192&gt;='Assignment Builder'!$B$11),OR('Assignment Builder'!$B$12="",N($Q3192)&lt;='Assignment Builder'!$B$12)))</f>
        <v/>
      </c>
      <c r="T3192" s="23" t="n"/>
    </row>
    <row r="3193">
      <c r="A3193" s="23" t="n"/>
      <c r="B3193" s="23" t="n"/>
      <c r="C3193" s="24" t="n"/>
      <c r="D3193" s="15" t="n"/>
      <c r="E3193" s="23" t="n"/>
      <c r="F3193" s="15" t="n"/>
      <c r="G3193" s="23" t="n"/>
      <c r="H3193" s="25" t="n"/>
      <c r="I3193" s="15" t="n"/>
      <c r="J3193" s="26">
        <f>IF($A3193="","",LEN($C3193)-LEN(SUBSTITUTE($C3193,",",""))+1)</f>
        <v/>
      </c>
      <c r="K3193" s="26">
        <f>IF($A3193="","",SUMPRODUCT(--ISNUMBER(SEARCH('Category Dictionary'!$D$5:$D$135&amp;"",$C3193)),--('Category Dictionary'!$D$5:$D$135&lt;&gt;"")))</f>
        <v/>
      </c>
      <c r="L3193" s="27">
        <f>IF($A3193="","",TRIM(IF(ISERROR(FIND(",",$C3193)),$C3193,LEFT($C3193,FIND(",",$C3193)-1))))</f>
        <v/>
      </c>
      <c r="M3193" s="28">
        <f>IF($H3193="","",DATE(YEAR($H3193),MONTH($H3193),1))</f>
        <v/>
      </c>
      <c r="N3193" s="26">
        <f>IF($H3193="","",TODAY()-$H3193)</f>
        <v/>
      </c>
      <c r="O3193" s="15" t="n"/>
      <c r="P3193" s="15" t="n"/>
      <c r="Q3193" s="15" t="n"/>
      <c r="R3193" s="25" t="n"/>
      <c r="S3193" s="26">
        <f>IF($A3193="","",AND(OR('Assignment Builder'!$B$5="",$B3193='Assignment Builder'!$B$5),OR('Assignment Builder'!$B$6="",ISNUMBER(SEARCH('Assignment Builder'!$B$6,$C3193))),OR('Assignment Builder'!$B$7="",'Assignment Builder'!$B$7=IFERROR(INDEX('Category Dictionary'!$C$5:$C$135,MATCH($L3193,'Category Dictionary'!$D$5:$D$135,0)),"")),OR('Assignment Builder'!$B$8="",$D3193='Assignment Builder'!$B$8),OR('Assignment Builder'!$B$9="",$F3193='Assignment Builder'!$B$9),OR('Assignment Builder'!$B$10="",$O3193='Assignment Builder'!$B$10),OR('Assignment Builder'!$B$11="",$H3193&gt;='Assignment Builder'!$B$11),OR('Assignment Builder'!$B$12="",N($Q3193)&lt;='Assignment Builder'!$B$12)))</f>
        <v/>
      </c>
      <c r="T3193" s="23" t="n"/>
    </row>
    <row r="3194">
      <c r="A3194" s="23" t="n"/>
      <c r="B3194" s="23" t="n"/>
      <c r="C3194" s="24" t="n"/>
      <c r="D3194" s="15" t="n"/>
      <c r="E3194" s="23" t="n"/>
      <c r="F3194" s="15" t="n"/>
      <c r="G3194" s="23" t="n"/>
      <c r="H3194" s="25" t="n"/>
      <c r="I3194" s="15" t="n"/>
      <c r="J3194" s="26">
        <f>IF($A3194="","",LEN($C3194)-LEN(SUBSTITUTE($C3194,",",""))+1)</f>
        <v/>
      </c>
      <c r="K3194" s="26">
        <f>IF($A3194="","",SUMPRODUCT(--ISNUMBER(SEARCH('Category Dictionary'!$D$5:$D$135&amp;"",$C3194)),--('Category Dictionary'!$D$5:$D$135&lt;&gt;"")))</f>
        <v/>
      </c>
      <c r="L3194" s="27">
        <f>IF($A3194="","",TRIM(IF(ISERROR(FIND(",",$C3194)),$C3194,LEFT($C3194,FIND(",",$C3194)-1))))</f>
        <v/>
      </c>
      <c r="M3194" s="28">
        <f>IF($H3194="","",DATE(YEAR($H3194),MONTH($H3194),1))</f>
        <v/>
      </c>
      <c r="N3194" s="26">
        <f>IF($H3194="","",TODAY()-$H3194)</f>
        <v/>
      </c>
      <c r="O3194" s="15" t="n"/>
      <c r="P3194" s="15" t="n"/>
      <c r="Q3194" s="15" t="n"/>
      <c r="R3194" s="25" t="n"/>
      <c r="S3194" s="26">
        <f>IF($A3194="","",AND(OR('Assignment Builder'!$B$5="",$B3194='Assignment Builder'!$B$5),OR('Assignment Builder'!$B$6="",ISNUMBER(SEARCH('Assignment Builder'!$B$6,$C3194))),OR('Assignment Builder'!$B$7="",'Assignment Builder'!$B$7=IFERROR(INDEX('Category Dictionary'!$C$5:$C$135,MATCH($L3194,'Category Dictionary'!$D$5:$D$135,0)),"")),OR('Assignment Builder'!$B$8="",$D3194='Assignment Builder'!$B$8),OR('Assignment Builder'!$B$9="",$F3194='Assignment Builder'!$B$9),OR('Assignment Builder'!$B$10="",$O3194='Assignment Builder'!$B$10),OR('Assignment Builder'!$B$11="",$H3194&gt;='Assignment Builder'!$B$11),OR('Assignment Builder'!$B$12="",N($Q3194)&lt;='Assignment Builder'!$B$12)))</f>
        <v/>
      </c>
      <c r="T3194" s="23" t="n"/>
    </row>
    <row r="3195">
      <c r="A3195" s="23" t="n"/>
      <c r="B3195" s="23" t="n"/>
      <c r="C3195" s="24" t="n"/>
      <c r="D3195" s="15" t="n"/>
      <c r="E3195" s="23" t="n"/>
      <c r="F3195" s="15" t="n"/>
      <c r="G3195" s="23" t="n"/>
      <c r="H3195" s="25" t="n"/>
      <c r="I3195" s="15" t="n"/>
      <c r="J3195" s="26">
        <f>IF($A3195="","",LEN($C3195)-LEN(SUBSTITUTE($C3195,",",""))+1)</f>
        <v/>
      </c>
      <c r="K3195" s="26">
        <f>IF($A3195="","",SUMPRODUCT(--ISNUMBER(SEARCH('Category Dictionary'!$D$5:$D$135&amp;"",$C3195)),--('Category Dictionary'!$D$5:$D$135&lt;&gt;"")))</f>
        <v/>
      </c>
      <c r="L3195" s="27">
        <f>IF($A3195="","",TRIM(IF(ISERROR(FIND(",",$C3195)),$C3195,LEFT($C3195,FIND(",",$C3195)-1))))</f>
        <v/>
      </c>
      <c r="M3195" s="28">
        <f>IF($H3195="","",DATE(YEAR($H3195),MONTH($H3195),1))</f>
        <v/>
      </c>
      <c r="N3195" s="26">
        <f>IF($H3195="","",TODAY()-$H3195)</f>
        <v/>
      </c>
      <c r="O3195" s="15" t="n"/>
      <c r="P3195" s="15" t="n"/>
      <c r="Q3195" s="15" t="n"/>
      <c r="R3195" s="25" t="n"/>
      <c r="S3195" s="26">
        <f>IF($A3195="","",AND(OR('Assignment Builder'!$B$5="",$B3195='Assignment Builder'!$B$5),OR('Assignment Builder'!$B$6="",ISNUMBER(SEARCH('Assignment Builder'!$B$6,$C3195))),OR('Assignment Builder'!$B$7="",'Assignment Builder'!$B$7=IFERROR(INDEX('Category Dictionary'!$C$5:$C$135,MATCH($L3195,'Category Dictionary'!$D$5:$D$135,0)),"")),OR('Assignment Builder'!$B$8="",$D3195='Assignment Builder'!$B$8),OR('Assignment Builder'!$B$9="",$F3195='Assignment Builder'!$B$9),OR('Assignment Builder'!$B$10="",$O3195='Assignment Builder'!$B$10),OR('Assignment Builder'!$B$11="",$H3195&gt;='Assignment Builder'!$B$11),OR('Assignment Builder'!$B$12="",N($Q3195)&lt;='Assignment Builder'!$B$12)))</f>
        <v/>
      </c>
      <c r="T3195" s="23" t="n"/>
    </row>
    <row r="3196">
      <c r="A3196" s="23" t="n"/>
      <c r="B3196" s="23" t="n"/>
      <c r="C3196" s="24" t="n"/>
      <c r="D3196" s="15" t="n"/>
      <c r="E3196" s="23" t="n"/>
      <c r="F3196" s="15" t="n"/>
      <c r="G3196" s="23" t="n"/>
      <c r="H3196" s="25" t="n"/>
      <c r="I3196" s="15" t="n"/>
      <c r="J3196" s="26">
        <f>IF($A3196="","",LEN($C3196)-LEN(SUBSTITUTE($C3196,",",""))+1)</f>
        <v/>
      </c>
      <c r="K3196" s="26">
        <f>IF($A3196="","",SUMPRODUCT(--ISNUMBER(SEARCH('Category Dictionary'!$D$5:$D$135&amp;"",$C3196)),--('Category Dictionary'!$D$5:$D$135&lt;&gt;"")))</f>
        <v/>
      </c>
      <c r="L3196" s="27">
        <f>IF($A3196="","",TRIM(IF(ISERROR(FIND(",",$C3196)),$C3196,LEFT($C3196,FIND(",",$C3196)-1))))</f>
        <v/>
      </c>
      <c r="M3196" s="28">
        <f>IF($H3196="","",DATE(YEAR($H3196),MONTH($H3196),1))</f>
        <v/>
      </c>
      <c r="N3196" s="26">
        <f>IF($H3196="","",TODAY()-$H3196)</f>
        <v/>
      </c>
      <c r="O3196" s="15" t="n"/>
      <c r="P3196" s="15" t="n"/>
      <c r="Q3196" s="15" t="n"/>
      <c r="R3196" s="25" t="n"/>
      <c r="S3196" s="26">
        <f>IF($A3196="","",AND(OR('Assignment Builder'!$B$5="",$B3196='Assignment Builder'!$B$5),OR('Assignment Builder'!$B$6="",ISNUMBER(SEARCH('Assignment Builder'!$B$6,$C3196))),OR('Assignment Builder'!$B$7="",'Assignment Builder'!$B$7=IFERROR(INDEX('Category Dictionary'!$C$5:$C$135,MATCH($L3196,'Category Dictionary'!$D$5:$D$135,0)),"")),OR('Assignment Builder'!$B$8="",$D3196='Assignment Builder'!$B$8),OR('Assignment Builder'!$B$9="",$F3196='Assignment Builder'!$B$9),OR('Assignment Builder'!$B$10="",$O3196='Assignment Builder'!$B$10),OR('Assignment Builder'!$B$11="",$H3196&gt;='Assignment Builder'!$B$11),OR('Assignment Builder'!$B$12="",N($Q3196)&lt;='Assignment Builder'!$B$12)))</f>
        <v/>
      </c>
      <c r="T3196" s="23" t="n"/>
    </row>
    <row r="3197">
      <c r="A3197" s="23" t="n"/>
      <c r="B3197" s="23" t="n"/>
      <c r="C3197" s="24" t="n"/>
      <c r="D3197" s="15" t="n"/>
      <c r="E3197" s="23" t="n"/>
      <c r="F3197" s="15" t="n"/>
      <c r="G3197" s="23" t="n"/>
      <c r="H3197" s="25" t="n"/>
      <c r="I3197" s="15" t="n"/>
      <c r="J3197" s="26">
        <f>IF($A3197="","",LEN($C3197)-LEN(SUBSTITUTE($C3197,",",""))+1)</f>
        <v/>
      </c>
      <c r="K3197" s="26">
        <f>IF($A3197="","",SUMPRODUCT(--ISNUMBER(SEARCH('Category Dictionary'!$D$5:$D$135&amp;"",$C3197)),--('Category Dictionary'!$D$5:$D$135&lt;&gt;"")))</f>
        <v/>
      </c>
      <c r="L3197" s="27">
        <f>IF($A3197="","",TRIM(IF(ISERROR(FIND(",",$C3197)),$C3197,LEFT($C3197,FIND(",",$C3197)-1))))</f>
        <v/>
      </c>
      <c r="M3197" s="28">
        <f>IF($H3197="","",DATE(YEAR($H3197),MONTH($H3197),1))</f>
        <v/>
      </c>
      <c r="N3197" s="26">
        <f>IF($H3197="","",TODAY()-$H3197)</f>
        <v/>
      </c>
      <c r="O3197" s="15" t="n"/>
      <c r="P3197" s="15" t="n"/>
      <c r="Q3197" s="15" t="n"/>
      <c r="R3197" s="25" t="n"/>
      <c r="S3197" s="26">
        <f>IF($A3197="","",AND(OR('Assignment Builder'!$B$5="",$B3197='Assignment Builder'!$B$5),OR('Assignment Builder'!$B$6="",ISNUMBER(SEARCH('Assignment Builder'!$B$6,$C3197))),OR('Assignment Builder'!$B$7="",'Assignment Builder'!$B$7=IFERROR(INDEX('Category Dictionary'!$C$5:$C$135,MATCH($L3197,'Category Dictionary'!$D$5:$D$135,0)),"")),OR('Assignment Builder'!$B$8="",$D3197='Assignment Builder'!$B$8),OR('Assignment Builder'!$B$9="",$F3197='Assignment Builder'!$B$9),OR('Assignment Builder'!$B$10="",$O3197='Assignment Builder'!$B$10),OR('Assignment Builder'!$B$11="",$H3197&gt;='Assignment Builder'!$B$11),OR('Assignment Builder'!$B$12="",N($Q3197)&lt;='Assignment Builder'!$B$12)))</f>
        <v/>
      </c>
      <c r="T3197" s="23" t="n"/>
    </row>
    <row r="3198">
      <c r="A3198" s="23" t="n"/>
      <c r="B3198" s="23" t="n"/>
      <c r="C3198" s="24" t="n"/>
      <c r="D3198" s="15" t="n"/>
      <c r="E3198" s="23" t="n"/>
      <c r="F3198" s="15" t="n"/>
      <c r="G3198" s="23" t="n"/>
      <c r="H3198" s="25" t="n"/>
      <c r="I3198" s="15" t="n"/>
      <c r="J3198" s="26">
        <f>IF($A3198="","",LEN($C3198)-LEN(SUBSTITUTE($C3198,",",""))+1)</f>
        <v/>
      </c>
      <c r="K3198" s="26">
        <f>IF($A3198="","",SUMPRODUCT(--ISNUMBER(SEARCH('Category Dictionary'!$D$5:$D$135&amp;"",$C3198)),--('Category Dictionary'!$D$5:$D$135&lt;&gt;"")))</f>
        <v/>
      </c>
      <c r="L3198" s="27">
        <f>IF($A3198="","",TRIM(IF(ISERROR(FIND(",",$C3198)),$C3198,LEFT($C3198,FIND(",",$C3198)-1))))</f>
        <v/>
      </c>
      <c r="M3198" s="28">
        <f>IF($H3198="","",DATE(YEAR($H3198),MONTH($H3198),1))</f>
        <v/>
      </c>
      <c r="N3198" s="26">
        <f>IF($H3198="","",TODAY()-$H3198)</f>
        <v/>
      </c>
      <c r="O3198" s="15" t="n"/>
      <c r="P3198" s="15" t="n"/>
      <c r="Q3198" s="15" t="n"/>
      <c r="R3198" s="25" t="n"/>
      <c r="S3198" s="26">
        <f>IF($A3198="","",AND(OR('Assignment Builder'!$B$5="",$B3198='Assignment Builder'!$B$5),OR('Assignment Builder'!$B$6="",ISNUMBER(SEARCH('Assignment Builder'!$B$6,$C3198))),OR('Assignment Builder'!$B$7="",'Assignment Builder'!$B$7=IFERROR(INDEX('Category Dictionary'!$C$5:$C$135,MATCH($L3198,'Category Dictionary'!$D$5:$D$135,0)),"")),OR('Assignment Builder'!$B$8="",$D3198='Assignment Builder'!$B$8),OR('Assignment Builder'!$B$9="",$F3198='Assignment Builder'!$B$9),OR('Assignment Builder'!$B$10="",$O3198='Assignment Builder'!$B$10),OR('Assignment Builder'!$B$11="",$H3198&gt;='Assignment Builder'!$B$11),OR('Assignment Builder'!$B$12="",N($Q3198)&lt;='Assignment Builder'!$B$12)))</f>
        <v/>
      </c>
      <c r="T3198" s="23" t="n"/>
    </row>
    <row r="3199">
      <c r="A3199" s="23" t="n"/>
      <c r="B3199" s="23" t="n"/>
      <c r="C3199" s="24" t="n"/>
      <c r="D3199" s="15" t="n"/>
      <c r="E3199" s="23" t="n"/>
      <c r="F3199" s="15" t="n"/>
      <c r="G3199" s="23" t="n"/>
      <c r="H3199" s="25" t="n"/>
      <c r="I3199" s="15" t="n"/>
      <c r="J3199" s="26">
        <f>IF($A3199="","",LEN($C3199)-LEN(SUBSTITUTE($C3199,",",""))+1)</f>
        <v/>
      </c>
      <c r="K3199" s="26">
        <f>IF($A3199="","",SUMPRODUCT(--ISNUMBER(SEARCH('Category Dictionary'!$D$5:$D$135&amp;"",$C3199)),--('Category Dictionary'!$D$5:$D$135&lt;&gt;"")))</f>
        <v/>
      </c>
      <c r="L3199" s="27">
        <f>IF($A3199="","",TRIM(IF(ISERROR(FIND(",",$C3199)),$C3199,LEFT($C3199,FIND(",",$C3199)-1))))</f>
        <v/>
      </c>
      <c r="M3199" s="28">
        <f>IF($H3199="","",DATE(YEAR($H3199),MONTH($H3199),1))</f>
        <v/>
      </c>
      <c r="N3199" s="26">
        <f>IF($H3199="","",TODAY()-$H3199)</f>
        <v/>
      </c>
      <c r="O3199" s="15" t="n"/>
      <c r="P3199" s="15" t="n"/>
      <c r="Q3199" s="15" t="n"/>
      <c r="R3199" s="25" t="n"/>
      <c r="S3199" s="26">
        <f>IF($A3199="","",AND(OR('Assignment Builder'!$B$5="",$B3199='Assignment Builder'!$B$5),OR('Assignment Builder'!$B$6="",ISNUMBER(SEARCH('Assignment Builder'!$B$6,$C3199))),OR('Assignment Builder'!$B$7="",'Assignment Builder'!$B$7=IFERROR(INDEX('Category Dictionary'!$C$5:$C$135,MATCH($L3199,'Category Dictionary'!$D$5:$D$135,0)),"")),OR('Assignment Builder'!$B$8="",$D3199='Assignment Builder'!$B$8),OR('Assignment Builder'!$B$9="",$F3199='Assignment Builder'!$B$9),OR('Assignment Builder'!$B$10="",$O3199='Assignment Builder'!$B$10),OR('Assignment Builder'!$B$11="",$H3199&gt;='Assignment Builder'!$B$11),OR('Assignment Builder'!$B$12="",N($Q3199)&lt;='Assignment Builder'!$B$12)))</f>
        <v/>
      </c>
      <c r="T3199" s="23" t="n"/>
    </row>
    <row r="3200">
      <c r="A3200" s="23" t="n"/>
      <c r="B3200" s="23" t="n"/>
      <c r="C3200" s="24" t="n"/>
      <c r="D3200" s="15" t="n"/>
      <c r="E3200" s="23" t="n"/>
      <c r="F3200" s="15" t="n"/>
      <c r="G3200" s="23" t="n"/>
      <c r="H3200" s="25" t="n"/>
      <c r="I3200" s="15" t="n"/>
      <c r="J3200" s="26">
        <f>IF($A3200="","",LEN($C3200)-LEN(SUBSTITUTE($C3200,",",""))+1)</f>
        <v/>
      </c>
      <c r="K3200" s="26">
        <f>IF($A3200="","",SUMPRODUCT(--ISNUMBER(SEARCH('Category Dictionary'!$D$5:$D$135&amp;"",$C3200)),--('Category Dictionary'!$D$5:$D$135&lt;&gt;"")))</f>
        <v/>
      </c>
      <c r="L3200" s="27">
        <f>IF($A3200="","",TRIM(IF(ISERROR(FIND(",",$C3200)),$C3200,LEFT($C3200,FIND(",",$C3200)-1))))</f>
        <v/>
      </c>
      <c r="M3200" s="28">
        <f>IF($H3200="","",DATE(YEAR($H3200),MONTH($H3200),1))</f>
        <v/>
      </c>
      <c r="N3200" s="26">
        <f>IF($H3200="","",TODAY()-$H3200)</f>
        <v/>
      </c>
      <c r="O3200" s="15" t="n"/>
      <c r="P3200" s="15" t="n"/>
      <c r="Q3200" s="15" t="n"/>
      <c r="R3200" s="25" t="n"/>
      <c r="S3200" s="26">
        <f>IF($A3200="","",AND(OR('Assignment Builder'!$B$5="",$B3200='Assignment Builder'!$B$5),OR('Assignment Builder'!$B$6="",ISNUMBER(SEARCH('Assignment Builder'!$B$6,$C3200))),OR('Assignment Builder'!$B$7="",'Assignment Builder'!$B$7=IFERROR(INDEX('Category Dictionary'!$C$5:$C$135,MATCH($L3200,'Category Dictionary'!$D$5:$D$135,0)),"")),OR('Assignment Builder'!$B$8="",$D3200='Assignment Builder'!$B$8),OR('Assignment Builder'!$B$9="",$F3200='Assignment Builder'!$B$9),OR('Assignment Builder'!$B$10="",$O3200='Assignment Builder'!$B$10),OR('Assignment Builder'!$B$11="",$H3200&gt;='Assignment Builder'!$B$11),OR('Assignment Builder'!$B$12="",N($Q3200)&lt;='Assignment Builder'!$B$12)))</f>
        <v/>
      </c>
      <c r="T3200" s="23" t="n"/>
    </row>
    <row r="3201">
      <c r="A3201" s="23" t="n"/>
      <c r="B3201" s="23" t="n"/>
      <c r="C3201" s="24" t="n"/>
      <c r="D3201" s="15" t="n"/>
      <c r="E3201" s="23" t="n"/>
      <c r="F3201" s="15" t="n"/>
      <c r="G3201" s="23" t="n"/>
      <c r="H3201" s="25" t="n"/>
      <c r="I3201" s="15" t="n"/>
      <c r="J3201" s="26">
        <f>IF($A3201="","",LEN($C3201)-LEN(SUBSTITUTE($C3201,",",""))+1)</f>
        <v/>
      </c>
      <c r="K3201" s="26">
        <f>IF($A3201="","",SUMPRODUCT(--ISNUMBER(SEARCH('Category Dictionary'!$D$5:$D$135&amp;"",$C3201)),--('Category Dictionary'!$D$5:$D$135&lt;&gt;"")))</f>
        <v/>
      </c>
      <c r="L3201" s="27">
        <f>IF($A3201="","",TRIM(IF(ISERROR(FIND(",",$C3201)),$C3201,LEFT($C3201,FIND(",",$C3201)-1))))</f>
        <v/>
      </c>
      <c r="M3201" s="28">
        <f>IF($H3201="","",DATE(YEAR($H3201),MONTH($H3201),1))</f>
        <v/>
      </c>
      <c r="N3201" s="26">
        <f>IF($H3201="","",TODAY()-$H3201)</f>
        <v/>
      </c>
      <c r="O3201" s="15" t="n"/>
      <c r="P3201" s="15" t="n"/>
      <c r="Q3201" s="15" t="n"/>
      <c r="R3201" s="25" t="n"/>
      <c r="S3201" s="26">
        <f>IF($A3201="","",AND(OR('Assignment Builder'!$B$5="",$B3201='Assignment Builder'!$B$5),OR('Assignment Builder'!$B$6="",ISNUMBER(SEARCH('Assignment Builder'!$B$6,$C3201))),OR('Assignment Builder'!$B$7="",'Assignment Builder'!$B$7=IFERROR(INDEX('Category Dictionary'!$C$5:$C$135,MATCH($L3201,'Category Dictionary'!$D$5:$D$135,0)),"")),OR('Assignment Builder'!$B$8="",$D3201='Assignment Builder'!$B$8),OR('Assignment Builder'!$B$9="",$F3201='Assignment Builder'!$B$9),OR('Assignment Builder'!$B$10="",$O3201='Assignment Builder'!$B$10),OR('Assignment Builder'!$B$11="",$H3201&gt;='Assignment Builder'!$B$11),OR('Assignment Builder'!$B$12="",N($Q3201)&lt;='Assignment Builder'!$B$12)))</f>
        <v/>
      </c>
      <c r="T3201" s="23" t="n"/>
    </row>
    <row r="3202">
      <c r="A3202" s="23" t="n"/>
      <c r="B3202" s="23" t="n"/>
      <c r="C3202" s="24" t="n"/>
      <c r="D3202" s="15" t="n"/>
      <c r="E3202" s="23" t="n"/>
      <c r="F3202" s="15" t="n"/>
      <c r="G3202" s="23" t="n"/>
      <c r="H3202" s="25" t="n"/>
      <c r="I3202" s="15" t="n"/>
      <c r="J3202" s="26">
        <f>IF($A3202="","",LEN($C3202)-LEN(SUBSTITUTE($C3202,",",""))+1)</f>
        <v/>
      </c>
      <c r="K3202" s="26">
        <f>IF($A3202="","",SUMPRODUCT(--ISNUMBER(SEARCH('Category Dictionary'!$D$5:$D$135&amp;"",$C3202)),--('Category Dictionary'!$D$5:$D$135&lt;&gt;"")))</f>
        <v/>
      </c>
      <c r="L3202" s="27">
        <f>IF($A3202="","",TRIM(IF(ISERROR(FIND(",",$C3202)),$C3202,LEFT($C3202,FIND(",",$C3202)-1))))</f>
        <v/>
      </c>
      <c r="M3202" s="28">
        <f>IF($H3202="","",DATE(YEAR($H3202),MONTH($H3202),1))</f>
        <v/>
      </c>
      <c r="N3202" s="26">
        <f>IF($H3202="","",TODAY()-$H3202)</f>
        <v/>
      </c>
      <c r="O3202" s="15" t="n"/>
      <c r="P3202" s="15" t="n"/>
      <c r="Q3202" s="15" t="n"/>
      <c r="R3202" s="25" t="n"/>
      <c r="S3202" s="26">
        <f>IF($A3202="","",AND(OR('Assignment Builder'!$B$5="",$B3202='Assignment Builder'!$B$5),OR('Assignment Builder'!$B$6="",ISNUMBER(SEARCH('Assignment Builder'!$B$6,$C3202))),OR('Assignment Builder'!$B$7="",'Assignment Builder'!$B$7=IFERROR(INDEX('Category Dictionary'!$C$5:$C$135,MATCH($L3202,'Category Dictionary'!$D$5:$D$135,0)),"")),OR('Assignment Builder'!$B$8="",$D3202='Assignment Builder'!$B$8),OR('Assignment Builder'!$B$9="",$F3202='Assignment Builder'!$B$9),OR('Assignment Builder'!$B$10="",$O3202='Assignment Builder'!$B$10),OR('Assignment Builder'!$B$11="",$H3202&gt;='Assignment Builder'!$B$11),OR('Assignment Builder'!$B$12="",N($Q3202)&lt;='Assignment Builder'!$B$12)))</f>
        <v/>
      </c>
      <c r="T3202" s="23" t="n"/>
    </row>
    <row r="3203">
      <c r="A3203" s="23" t="n"/>
      <c r="B3203" s="23" t="n"/>
      <c r="C3203" s="24" t="n"/>
      <c r="D3203" s="15" t="n"/>
      <c r="E3203" s="23" t="n"/>
      <c r="F3203" s="15" t="n"/>
      <c r="G3203" s="23" t="n"/>
      <c r="H3203" s="25" t="n"/>
      <c r="I3203" s="15" t="n"/>
      <c r="J3203" s="26">
        <f>IF($A3203="","",LEN($C3203)-LEN(SUBSTITUTE($C3203,",",""))+1)</f>
        <v/>
      </c>
      <c r="K3203" s="26">
        <f>IF($A3203="","",SUMPRODUCT(--ISNUMBER(SEARCH('Category Dictionary'!$D$5:$D$135&amp;"",$C3203)),--('Category Dictionary'!$D$5:$D$135&lt;&gt;"")))</f>
        <v/>
      </c>
      <c r="L3203" s="27">
        <f>IF($A3203="","",TRIM(IF(ISERROR(FIND(",",$C3203)),$C3203,LEFT($C3203,FIND(",",$C3203)-1))))</f>
        <v/>
      </c>
      <c r="M3203" s="28">
        <f>IF($H3203="","",DATE(YEAR($H3203),MONTH($H3203),1))</f>
        <v/>
      </c>
      <c r="N3203" s="26">
        <f>IF($H3203="","",TODAY()-$H3203)</f>
        <v/>
      </c>
      <c r="O3203" s="15" t="n"/>
      <c r="P3203" s="15" t="n"/>
      <c r="Q3203" s="15" t="n"/>
      <c r="R3203" s="25" t="n"/>
      <c r="S3203" s="26">
        <f>IF($A3203="","",AND(OR('Assignment Builder'!$B$5="",$B3203='Assignment Builder'!$B$5),OR('Assignment Builder'!$B$6="",ISNUMBER(SEARCH('Assignment Builder'!$B$6,$C3203))),OR('Assignment Builder'!$B$7="",'Assignment Builder'!$B$7=IFERROR(INDEX('Category Dictionary'!$C$5:$C$135,MATCH($L3203,'Category Dictionary'!$D$5:$D$135,0)),"")),OR('Assignment Builder'!$B$8="",$D3203='Assignment Builder'!$B$8),OR('Assignment Builder'!$B$9="",$F3203='Assignment Builder'!$B$9),OR('Assignment Builder'!$B$10="",$O3203='Assignment Builder'!$B$10),OR('Assignment Builder'!$B$11="",$H3203&gt;='Assignment Builder'!$B$11),OR('Assignment Builder'!$B$12="",N($Q3203)&lt;='Assignment Builder'!$B$12)))</f>
        <v/>
      </c>
      <c r="T3203" s="23" t="n"/>
    </row>
    <row r="3204">
      <c r="A3204" s="23" t="n"/>
      <c r="B3204" s="23" t="n"/>
      <c r="C3204" s="24" t="n"/>
      <c r="D3204" s="15" t="n"/>
      <c r="E3204" s="23" t="n"/>
      <c r="F3204" s="15" t="n"/>
      <c r="G3204" s="23" t="n"/>
      <c r="H3204" s="25" t="n"/>
      <c r="I3204" s="15" t="n"/>
      <c r="J3204" s="26">
        <f>IF($A3204="","",LEN($C3204)-LEN(SUBSTITUTE($C3204,",",""))+1)</f>
        <v/>
      </c>
      <c r="K3204" s="26">
        <f>IF($A3204="","",SUMPRODUCT(--ISNUMBER(SEARCH('Category Dictionary'!$D$5:$D$135&amp;"",$C3204)),--('Category Dictionary'!$D$5:$D$135&lt;&gt;"")))</f>
        <v/>
      </c>
      <c r="L3204" s="27">
        <f>IF($A3204="","",TRIM(IF(ISERROR(FIND(",",$C3204)),$C3204,LEFT($C3204,FIND(",",$C3204)-1))))</f>
        <v/>
      </c>
      <c r="M3204" s="28">
        <f>IF($H3204="","",DATE(YEAR($H3204),MONTH($H3204),1))</f>
        <v/>
      </c>
      <c r="N3204" s="26">
        <f>IF($H3204="","",TODAY()-$H3204)</f>
        <v/>
      </c>
      <c r="O3204" s="15" t="n"/>
      <c r="P3204" s="15" t="n"/>
      <c r="Q3204" s="15" t="n"/>
      <c r="R3204" s="25" t="n"/>
      <c r="S3204" s="26">
        <f>IF($A3204="","",AND(OR('Assignment Builder'!$B$5="",$B3204='Assignment Builder'!$B$5),OR('Assignment Builder'!$B$6="",ISNUMBER(SEARCH('Assignment Builder'!$B$6,$C3204))),OR('Assignment Builder'!$B$7="",'Assignment Builder'!$B$7=IFERROR(INDEX('Category Dictionary'!$C$5:$C$135,MATCH($L3204,'Category Dictionary'!$D$5:$D$135,0)),"")),OR('Assignment Builder'!$B$8="",$D3204='Assignment Builder'!$B$8),OR('Assignment Builder'!$B$9="",$F3204='Assignment Builder'!$B$9),OR('Assignment Builder'!$B$10="",$O3204='Assignment Builder'!$B$10),OR('Assignment Builder'!$B$11="",$H3204&gt;='Assignment Builder'!$B$11),OR('Assignment Builder'!$B$12="",N($Q3204)&lt;='Assignment Builder'!$B$12)))</f>
        <v/>
      </c>
      <c r="T3204" s="23" t="n"/>
    </row>
    <row r="3205">
      <c r="A3205" s="23" t="n"/>
      <c r="B3205" s="23" t="n"/>
      <c r="C3205" s="24" t="n"/>
      <c r="D3205" s="15" t="n"/>
      <c r="E3205" s="23" t="n"/>
      <c r="F3205" s="15" t="n"/>
      <c r="G3205" s="23" t="n"/>
      <c r="H3205" s="25" t="n"/>
      <c r="I3205" s="15" t="n"/>
      <c r="J3205" s="26">
        <f>IF($A3205="","",LEN($C3205)-LEN(SUBSTITUTE($C3205,",",""))+1)</f>
        <v/>
      </c>
      <c r="K3205" s="26">
        <f>IF($A3205="","",SUMPRODUCT(--ISNUMBER(SEARCH('Category Dictionary'!$D$5:$D$135&amp;"",$C3205)),--('Category Dictionary'!$D$5:$D$135&lt;&gt;"")))</f>
        <v/>
      </c>
      <c r="L3205" s="27">
        <f>IF($A3205="","",TRIM(IF(ISERROR(FIND(",",$C3205)),$C3205,LEFT($C3205,FIND(",",$C3205)-1))))</f>
        <v/>
      </c>
      <c r="M3205" s="28">
        <f>IF($H3205="","",DATE(YEAR($H3205),MONTH($H3205),1))</f>
        <v/>
      </c>
      <c r="N3205" s="26">
        <f>IF($H3205="","",TODAY()-$H3205)</f>
        <v/>
      </c>
      <c r="O3205" s="15" t="n"/>
      <c r="P3205" s="15" t="n"/>
      <c r="Q3205" s="15" t="n"/>
      <c r="R3205" s="25" t="n"/>
      <c r="S3205" s="26">
        <f>IF($A3205="","",AND(OR('Assignment Builder'!$B$5="",$B3205='Assignment Builder'!$B$5),OR('Assignment Builder'!$B$6="",ISNUMBER(SEARCH('Assignment Builder'!$B$6,$C3205))),OR('Assignment Builder'!$B$7="",'Assignment Builder'!$B$7=IFERROR(INDEX('Category Dictionary'!$C$5:$C$135,MATCH($L3205,'Category Dictionary'!$D$5:$D$135,0)),"")),OR('Assignment Builder'!$B$8="",$D3205='Assignment Builder'!$B$8),OR('Assignment Builder'!$B$9="",$F3205='Assignment Builder'!$B$9),OR('Assignment Builder'!$B$10="",$O3205='Assignment Builder'!$B$10),OR('Assignment Builder'!$B$11="",$H3205&gt;='Assignment Builder'!$B$11),OR('Assignment Builder'!$B$12="",N($Q3205)&lt;='Assignment Builder'!$B$12)))</f>
        <v/>
      </c>
      <c r="T3205" s="23" t="n"/>
    </row>
    <row r="3206">
      <c r="A3206" s="23" t="n"/>
      <c r="B3206" s="23" t="n"/>
      <c r="C3206" s="24" t="n"/>
      <c r="D3206" s="15" t="n"/>
      <c r="E3206" s="23" t="n"/>
      <c r="F3206" s="15" t="n"/>
      <c r="G3206" s="23" t="n"/>
      <c r="H3206" s="25" t="n"/>
      <c r="I3206" s="15" t="n"/>
      <c r="J3206" s="26">
        <f>IF($A3206="","",LEN($C3206)-LEN(SUBSTITUTE($C3206,",",""))+1)</f>
        <v/>
      </c>
      <c r="K3206" s="26">
        <f>IF($A3206="","",SUMPRODUCT(--ISNUMBER(SEARCH('Category Dictionary'!$D$5:$D$135&amp;"",$C3206)),--('Category Dictionary'!$D$5:$D$135&lt;&gt;"")))</f>
        <v/>
      </c>
      <c r="L3206" s="27">
        <f>IF($A3206="","",TRIM(IF(ISERROR(FIND(",",$C3206)),$C3206,LEFT($C3206,FIND(",",$C3206)-1))))</f>
        <v/>
      </c>
      <c r="M3206" s="28">
        <f>IF($H3206="","",DATE(YEAR($H3206),MONTH($H3206),1))</f>
        <v/>
      </c>
      <c r="N3206" s="26">
        <f>IF($H3206="","",TODAY()-$H3206)</f>
        <v/>
      </c>
      <c r="O3206" s="15" t="n"/>
      <c r="P3206" s="15" t="n"/>
      <c r="Q3206" s="15" t="n"/>
      <c r="R3206" s="25" t="n"/>
      <c r="S3206" s="26">
        <f>IF($A3206="","",AND(OR('Assignment Builder'!$B$5="",$B3206='Assignment Builder'!$B$5),OR('Assignment Builder'!$B$6="",ISNUMBER(SEARCH('Assignment Builder'!$B$6,$C3206))),OR('Assignment Builder'!$B$7="",'Assignment Builder'!$B$7=IFERROR(INDEX('Category Dictionary'!$C$5:$C$135,MATCH($L3206,'Category Dictionary'!$D$5:$D$135,0)),"")),OR('Assignment Builder'!$B$8="",$D3206='Assignment Builder'!$B$8),OR('Assignment Builder'!$B$9="",$F3206='Assignment Builder'!$B$9),OR('Assignment Builder'!$B$10="",$O3206='Assignment Builder'!$B$10),OR('Assignment Builder'!$B$11="",$H3206&gt;='Assignment Builder'!$B$11),OR('Assignment Builder'!$B$12="",N($Q3206)&lt;='Assignment Builder'!$B$12)))</f>
        <v/>
      </c>
      <c r="T3206" s="23" t="n"/>
    </row>
    <row r="3207">
      <c r="A3207" s="23" t="n"/>
      <c r="B3207" s="23" t="n"/>
      <c r="C3207" s="24" t="n"/>
      <c r="D3207" s="15" t="n"/>
      <c r="E3207" s="23" t="n"/>
      <c r="F3207" s="15" t="n"/>
      <c r="G3207" s="23" t="n"/>
      <c r="H3207" s="25" t="n"/>
      <c r="I3207" s="15" t="n"/>
      <c r="J3207" s="26">
        <f>IF($A3207="","",LEN($C3207)-LEN(SUBSTITUTE($C3207,",",""))+1)</f>
        <v/>
      </c>
      <c r="K3207" s="26">
        <f>IF($A3207="","",SUMPRODUCT(--ISNUMBER(SEARCH('Category Dictionary'!$D$5:$D$135&amp;"",$C3207)),--('Category Dictionary'!$D$5:$D$135&lt;&gt;"")))</f>
        <v/>
      </c>
      <c r="L3207" s="27">
        <f>IF($A3207="","",TRIM(IF(ISERROR(FIND(",",$C3207)),$C3207,LEFT($C3207,FIND(",",$C3207)-1))))</f>
        <v/>
      </c>
      <c r="M3207" s="28">
        <f>IF($H3207="","",DATE(YEAR($H3207),MONTH($H3207),1))</f>
        <v/>
      </c>
      <c r="N3207" s="26">
        <f>IF($H3207="","",TODAY()-$H3207)</f>
        <v/>
      </c>
      <c r="O3207" s="15" t="n"/>
      <c r="P3207" s="15" t="n"/>
      <c r="Q3207" s="15" t="n"/>
      <c r="R3207" s="25" t="n"/>
      <c r="S3207" s="26">
        <f>IF($A3207="","",AND(OR('Assignment Builder'!$B$5="",$B3207='Assignment Builder'!$B$5),OR('Assignment Builder'!$B$6="",ISNUMBER(SEARCH('Assignment Builder'!$B$6,$C3207))),OR('Assignment Builder'!$B$7="",'Assignment Builder'!$B$7=IFERROR(INDEX('Category Dictionary'!$C$5:$C$135,MATCH($L3207,'Category Dictionary'!$D$5:$D$135,0)),"")),OR('Assignment Builder'!$B$8="",$D3207='Assignment Builder'!$B$8),OR('Assignment Builder'!$B$9="",$F3207='Assignment Builder'!$B$9),OR('Assignment Builder'!$B$10="",$O3207='Assignment Builder'!$B$10),OR('Assignment Builder'!$B$11="",$H3207&gt;='Assignment Builder'!$B$11),OR('Assignment Builder'!$B$12="",N($Q3207)&lt;='Assignment Builder'!$B$12)))</f>
        <v/>
      </c>
      <c r="T3207" s="23" t="n"/>
    </row>
    <row r="3208">
      <c r="A3208" s="23" t="n"/>
      <c r="B3208" s="23" t="n"/>
      <c r="C3208" s="24" t="n"/>
      <c r="D3208" s="15" t="n"/>
      <c r="E3208" s="23" t="n"/>
      <c r="F3208" s="15" t="n"/>
      <c r="G3208" s="23" t="n"/>
      <c r="H3208" s="25" t="n"/>
      <c r="I3208" s="15" t="n"/>
      <c r="J3208" s="26">
        <f>IF($A3208="","",LEN($C3208)-LEN(SUBSTITUTE($C3208,",",""))+1)</f>
        <v/>
      </c>
      <c r="K3208" s="26">
        <f>IF($A3208="","",SUMPRODUCT(--ISNUMBER(SEARCH('Category Dictionary'!$D$5:$D$135&amp;"",$C3208)),--('Category Dictionary'!$D$5:$D$135&lt;&gt;"")))</f>
        <v/>
      </c>
      <c r="L3208" s="27">
        <f>IF($A3208="","",TRIM(IF(ISERROR(FIND(",",$C3208)),$C3208,LEFT($C3208,FIND(",",$C3208)-1))))</f>
        <v/>
      </c>
      <c r="M3208" s="28">
        <f>IF($H3208="","",DATE(YEAR($H3208),MONTH($H3208),1))</f>
        <v/>
      </c>
      <c r="N3208" s="26">
        <f>IF($H3208="","",TODAY()-$H3208)</f>
        <v/>
      </c>
      <c r="O3208" s="15" t="n"/>
      <c r="P3208" s="15" t="n"/>
      <c r="Q3208" s="15" t="n"/>
      <c r="R3208" s="25" t="n"/>
      <c r="S3208" s="26">
        <f>IF($A3208="","",AND(OR('Assignment Builder'!$B$5="",$B3208='Assignment Builder'!$B$5),OR('Assignment Builder'!$B$6="",ISNUMBER(SEARCH('Assignment Builder'!$B$6,$C3208))),OR('Assignment Builder'!$B$7="",'Assignment Builder'!$B$7=IFERROR(INDEX('Category Dictionary'!$C$5:$C$135,MATCH($L3208,'Category Dictionary'!$D$5:$D$135,0)),"")),OR('Assignment Builder'!$B$8="",$D3208='Assignment Builder'!$B$8),OR('Assignment Builder'!$B$9="",$F3208='Assignment Builder'!$B$9),OR('Assignment Builder'!$B$10="",$O3208='Assignment Builder'!$B$10),OR('Assignment Builder'!$B$11="",$H3208&gt;='Assignment Builder'!$B$11),OR('Assignment Builder'!$B$12="",N($Q3208)&lt;='Assignment Builder'!$B$12)))</f>
        <v/>
      </c>
      <c r="T3208" s="23" t="n"/>
    </row>
    <row r="3209">
      <c r="A3209" s="23" t="n"/>
      <c r="B3209" s="23" t="n"/>
      <c r="C3209" s="24" t="n"/>
      <c r="D3209" s="15" t="n"/>
      <c r="E3209" s="23" t="n"/>
      <c r="F3209" s="15" t="n"/>
      <c r="G3209" s="23" t="n"/>
      <c r="H3209" s="25" t="n"/>
      <c r="I3209" s="15" t="n"/>
      <c r="J3209" s="26">
        <f>IF($A3209="","",LEN($C3209)-LEN(SUBSTITUTE($C3209,",",""))+1)</f>
        <v/>
      </c>
      <c r="K3209" s="26">
        <f>IF($A3209="","",SUMPRODUCT(--ISNUMBER(SEARCH('Category Dictionary'!$D$5:$D$135&amp;"",$C3209)),--('Category Dictionary'!$D$5:$D$135&lt;&gt;"")))</f>
        <v/>
      </c>
      <c r="L3209" s="27">
        <f>IF($A3209="","",TRIM(IF(ISERROR(FIND(",",$C3209)),$C3209,LEFT($C3209,FIND(",",$C3209)-1))))</f>
        <v/>
      </c>
      <c r="M3209" s="28">
        <f>IF($H3209="","",DATE(YEAR($H3209),MONTH($H3209),1))</f>
        <v/>
      </c>
      <c r="N3209" s="26">
        <f>IF($H3209="","",TODAY()-$H3209)</f>
        <v/>
      </c>
      <c r="O3209" s="15" t="n"/>
      <c r="P3209" s="15" t="n"/>
      <c r="Q3209" s="15" t="n"/>
      <c r="R3209" s="25" t="n"/>
      <c r="S3209" s="26">
        <f>IF($A3209="","",AND(OR('Assignment Builder'!$B$5="",$B3209='Assignment Builder'!$B$5),OR('Assignment Builder'!$B$6="",ISNUMBER(SEARCH('Assignment Builder'!$B$6,$C3209))),OR('Assignment Builder'!$B$7="",'Assignment Builder'!$B$7=IFERROR(INDEX('Category Dictionary'!$C$5:$C$135,MATCH($L3209,'Category Dictionary'!$D$5:$D$135,0)),"")),OR('Assignment Builder'!$B$8="",$D3209='Assignment Builder'!$B$8),OR('Assignment Builder'!$B$9="",$F3209='Assignment Builder'!$B$9),OR('Assignment Builder'!$B$10="",$O3209='Assignment Builder'!$B$10),OR('Assignment Builder'!$B$11="",$H3209&gt;='Assignment Builder'!$B$11),OR('Assignment Builder'!$B$12="",N($Q3209)&lt;='Assignment Builder'!$B$12)))</f>
        <v/>
      </c>
      <c r="T3209" s="23" t="n"/>
    </row>
    <row r="3210">
      <c r="A3210" s="23" t="n"/>
      <c r="B3210" s="23" t="n"/>
      <c r="C3210" s="24" t="n"/>
      <c r="D3210" s="15" t="n"/>
      <c r="E3210" s="23" t="n"/>
      <c r="F3210" s="15" t="n"/>
      <c r="G3210" s="23" t="n"/>
      <c r="H3210" s="25" t="n"/>
      <c r="I3210" s="15" t="n"/>
      <c r="J3210" s="26">
        <f>IF($A3210="","",LEN($C3210)-LEN(SUBSTITUTE($C3210,",",""))+1)</f>
        <v/>
      </c>
      <c r="K3210" s="26">
        <f>IF($A3210="","",SUMPRODUCT(--ISNUMBER(SEARCH('Category Dictionary'!$D$5:$D$135&amp;"",$C3210)),--('Category Dictionary'!$D$5:$D$135&lt;&gt;"")))</f>
        <v/>
      </c>
      <c r="L3210" s="27">
        <f>IF($A3210="","",TRIM(IF(ISERROR(FIND(",",$C3210)),$C3210,LEFT($C3210,FIND(",",$C3210)-1))))</f>
        <v/>
      </c>
      <c r="M3210" s="28">
        <f>IF($H3210="","",DATE(YEAR($H3210),MONTH($H3210),1))</f>
        <v/>
      </c>
      <c r="N3210" s="26">
        <f>IF($H3210="","",TODAY()-$H3210)</f>
        <v/>
      </c>
      <c r="O3210" s="15" t="n"/>
      <c r="P3210" s="15" t="n"/>
      <c r="Q3210" s="15" t="n"/>
      <c r="R3210" s="25" t="n"/>
      <c r="S3210" s="26">
        <f>IF($A3210="","",AND(OR('Assignment Builder'!$B$5="",$B3210='Assignment Builder'!$B$5),OR('Assignment Builder'!$B$6="",ISNUMBER(SEARCH('Assignment Builder'!$B$6,$C3210))),OR('Assignment Builder'!$B$7="",'Assignment Builder'!$B$7=IFERROR(INDEX('Category Dictionary'!$C$5:$C$135,MATCH($L3210,'Category Dictionary'!$D$5:$D$135,0)),"")),OR('Assignment Builder'!$B$8="",$D3210='Assignment Builder'!$B$8),OR('Assignment Builder'!$B$9="",$F3210='Assignment Builder'!$B$9),OR('Assignment Builder'!$B$10="",$O3210='Assignment Builder'!$B$10),OR('Assignment Builder'!$B$11="",$H3210&gt;='Assignment Builder'!$B$11),OR('Assignment Builder'!$B$12="",N($Q3210)&lt;='Assignment Builder'!$B$12)))</f>
        <v/>
      </c>
      <c r="T3210" s="23" t="n"/>
    </row>
    <row r="3211">
      <c r="A3211" s="23" t="n"/>
      <c r="B3211" s="23" t="n"/>
      <c r="C3211" s="24" t="n"/>
      <c r="D3211" s="15" t="n"/>
      <c r="E3211" s="23" t="n"/>
      <c r="F3211" s="15" t="n"/>
      <c r="G3211" s="23" t="n"/>
      <c r="H3211" s="25" t="n"/>
      <c r="I3211" s="15" t="n"/>
      <c r="J3211" s="26">
        <f>IF($A3211="","",LEN($C3211)-LEN(SUBSTITUTE($C3211,",",""))+1)</f>
        <v/>
      </c>
      <c r="K3211" s="26">
        <f>IF($A3211="","",SUMPRODUCT(--ISNUMBER(SEARCH('Category Dictionary'!$D$5:$D$135&amp;"",$C3211)),--('Category Dictionary'!$D$5:$D$135&lt;&gt;"")))</f>
        <v/>
      </c>
      <c r="L3211" s="27">
        <f>IF($A3211="","",TRIM(IF(ISERROR(FIND(",",$C3211)),$C3211,LEFT($C3211,FIND(",",$C3211)-1))))</f>
        <v/>
      </c>
      <c r="M3211" s="28">
        <f>IF($H3211="","",DATE(YEAR($H3211),MONTH($H3211),1))</f>
        <v/>
      </c>
      <c r="N3211" s="26">
        <f>IF($H3211="","",TODAY()-$H3211)</f>
        <v/>
      </c>
      <c r="O3211" s="15" t="n"/>
      <c r="P3211" s="15" t="n"/>
      <c r="Q3211" s="15" t="n"/>
      <c r="R3211" s="25" t="n"/>
      <c r="S3211" s="26">
        <f>IF($A3211="","",AND(OR('Assignment Builder'!$B$5="",$B3211='Assignment Builder'!$B$5),OR('Assignment Builder'!$B$6="",ISNUMBER(SEARCH('Assignment Builder'!$B$6,$C3211))),OR('Assignment Builder'!$B$7="",'Assignment Builder'!$B$7=IFERROR(INDEX('Category Dictionary'!$C$5:$C$135,MATCH($L3211,'Category Dictionary'!$D$5:$D$135,0)),"")),OR('Assignment Builder'!$B$8="",$D3211='Assignment Builder'!$B$8),OR('Assignment Builder'!$B$9="",$F3211='Assignment Builder'!$B$9),OR('Assignment Builder'!$B$10="",$O3211='Assignment Builder'!$B$10),OR('Assignment Builder'!$B$11="",$H3211&gt;='Assignment Builder'!$B$11),OR('Assignment Builder'!$B$12="",N($Q3211)&lt;='Assignment Builder'!$B$12)))</f>
        <v/>
      </c>
      <c r="T3211" s="23" t="n"/>
    </row>
    <row r="3212">
      <c r="A3212" s="23" t="n"/>
      <c r="B3212" s="23" t="n"/>
      <c r="C3212" s="24" t="n"/>
      <c r="D3212" s="15" t="n"/>
      <c r="E3212" s="23" t="n"/>
      <c r="F3212" s="15" t="n"/>
      <c r="G3212" s="23" t="n"/>
      <c r="H3212" s="25" t="n"/>
      <c r="I3212" s="15" t="n"/>
      <c r="J3212" s="26">
        <f>IF($A3212="","",LEN($C3212)-LEN(SUBSTITUTE($C3212,",",""))+1)</f>
        <v/>
      </c>
      <c r="K3212" s="26">
        <f>IF($A3212="","",SUMPRODUCT(--ISNUMBER(SEARCH('Category Dictionary'!$D$5:$D$135&amp;"",$C3212)),--('Category Dictionary'!$D$5:$D$135&lt;&gt;"")))</f>
        <v/>
      </c>
      <c r="L3212" s="27">
        <f>IF($A3212="","",TRIM(IF(ISERROR(FIND(",",$C3212)),$C3212,LEFT($C3212,FIND(",",$C3212)-1))))</f>
        <v/>
      </c>
      <c r="M3212" s="28">
        <f>IF($H3212="","",DATE(YEAR($H3212),MONTH($H3212),1))</f>
        <v/>
      </c>
      <c r="N3212" s="26">
        <f>IF($H3212="","",TODAY()-$H3212)</f>
        <v/>
      </c>
      <c r="O3212" s="15" t="n"/>
      <c r="P3212" s="15" t="n"/>
      <c r="Q3212" s="15" t="n"/>
      <c r="R3212" s="25" t="n"/>
      <c r="S3212" s="26">
        <f>IF($A3212="","",AND(OR('Assignment Builder'!$B$5="",$B3212='Assignment Builder'!$B$5),OR('Assignment Builder'!$B$6="",ISNUMBER(SEARCH('Assignment Builder'!$B$6,$C3212))),OR('Assignment Builder'!$B$7="",'Assignment Builder'!$B$7=IFERROR(INDEX('Category Dictionary'!$C$5:$C$135,MATCH($L3212,'Category Dictionary'!$D$5:$D$135,0)),"")),OR('Assignment Builder'!$B$8="",$D3212='Assignment Builder'!$B$8),OR('Assignment Builder'!$B$9="",$F3212='Assignment Builder'!$B$9),OR('Assignment Builder'!$B$10="",$O3212='Assignment Builder'!$B$10),OR('Assignment Builder'!$B$11="",$H3212&gt;='Assignment Builder'!$B$11),OR('Assignment Builder'!$B$12="",N($Q3212)&lt;='Assignment Builder'!$B$12)))</f>
        <v/>
      </c>
      <c r="T3212" s="23" t="n"/>
    </row>
    <row r="3213">
      <c r="A3213" s="23" t="n"/>
      <c r="B3213" s="23" t="n"/>
      <c r="C3213" s="24" t="n"/>
      <c r="D3213" s="15" t="n"/>
      <c r="E3213" s="23" t="n"/>
      <c r="F3213" s="15" t="n"/>
      <c r="G3213" s="23" t="n"/>
      <c r="H3213" s="25" t="n"/>
      <c r="I3213" s="15" t="n"/>
      <c r="J3213" s="26">
        <f>IF($A3213="","",LEN($C3213)-LEN(SUBSTITUTE($C3213,",",""))+1)</f>
        <v/>
      </c>
      <c r="K3213" s="26">
        <f>IF($A3213="","",SUMPRODUCT(--ISNUMBER(SEARCH('Category Dictionary'!$D$5:$D$135&amp;"",$C3213)),--('Category Dictionary'!$D$5:$D$135&lt;&gt;"")))</f>
        <v/>
      </c>
      <c r="L3213" s="27">
        <f>IF($A3213="","",TRIM(IF(ISERROR(FIND(",",$C3213)),$C3213,LEFT($C3213,FIND(",",$C3213)-1))))</f>
        <v/>
      </c>
      <c r="M3213" s="28">
        <f>IF($H3213="","",DATE(YEAR($H3213),MONTH($H3213),1))</f>
        <v/>
      </c>
      <c r="N3213" s="26">
        <f>IF($H3213="","",TODAY()-$H3213)</f>
        <v/>
      </c>
      <c r="O3213" s="15" t="n"/>
      <c r="P3213" s="15" t="n"/>
      <c r="Q3213" s="15" t="n"/>
      <c r="R3213" s="25" t="n"/>
      <c r="S3213" s="26">
        <f>IF($A3213="","",AND(OR('Assignment Builder'!$B$5="",$B3213='Assignment Builder'!$B$5),OR('Assignment Builder'!$B$6="",ISNUMBER(SEARCH('Assignment Builder'!$B$6,$C3213))),OR('Assignment Builder'!$B$7="",'Assignment Builder'!$B$7=IFERROR(INDEX('Category Dictionary'!$C$5:$C$135,MATCH($L3213,'Category Dictionary'!$D$5:$D$135,0)),"")),OR('Assignment Builder'!$B$8="",$D3213='Assignment Builder'!$B$8),OR('Assignment Builder'!$B$9="",$F3213='Assignment Builder'!$B$9),OR('Assignment Builder'!$B$10="",$O3213='Assignment Builder'!$B$10),OR('Assignment Builder'!$B$11="",$H3213&gt;='Assignment Builder'!$B$11),OR('Assignment Builder'!$B$12="",N($Q3213)&lt;='Assignment Builder'!$B$12)))</f>
        <v/>
      </c>
      <c r="T3213" s="23" t="n"/>
    </row>
    <row r="3214">
      <c r="A3214" s="23" t="n"/>
      <c r="B3214" s="23" t="n"/>
      <c r="C3214" s="24" t="n"/>
      <c r="D3214" s="15" t="n"/>
      <c r="E3214" s="23" t="n"/>
      <c r="F3214" s="15" t="n"/>
      <c r="G3214" s="23" t="n"/>
      <c r="H3214" s="25" t="n"/>
      <c r="I3214" s="15" t="n"/>
      <c r="J3214" s="26">
        <f>IF($A3214="","",LEN($C3214)-LEN(SUBSTITUTE($C3214,",",""))+1)</f>
        <v/>
      </c>
      <c r="K3214" s="26">
        <f>IF($A3214="","",SUMPRODUCT(--ISNUMBER(SEARCH('Category Dictionary'!$D$5:$D$135&amp;"",$C3214)),--('Category Dictionary'!$D$5:$D$135&lt;&gt;"")))</f>
        <v/>
      </c>
      <c r="L3214" s="27">
        <f>IF($A3214="","",TRIM(IF(ISERROR(FIND(",",$C3214)),$C3214,LEFT($C3214,FIND(",",$C3214)-1))))</f>
        <v/>
      </c>
      <c r="M3214" s="28">
        <f>IF($H3214="","",DATE(YEAR($H3214),MONTH($H3214),1))</f>
        <v/>
      </c>
      <c r="N3214" s="26">
        <f>IF($H3214="","",TODAY()-$H3214)</f>
        <v/>
      </c>
      <c r="O3214" s="15" t="n"/>
      <c r="P3214" s="15" t="n"/>
      <c r="Q3214" s="15" t="n"/>
      <c r="R3214" s="25" t="n"/>
      <c r="S3214" s="26">
        <f>IF($A3214="","",AND(OR('Assignment Builder'!$B$5="",$B3214='Assignment Builder'!$B$5),OR('Assignment Builder'!$B$6="",ISNUMBER(SEARCH('Assignment Builder'!$B$6,$C3214))),OR('Assignment Builder'!$B$7="",'Assignment Builder'!$B$7=IFERROR(INDEX('Category Dictionary'!$C$5:$C$135,MATCH($L3214,'Category Dictionary'!$D$5:$D$135,0)),"")),OR('Assignment Builder'!$B$8="",$D3214='Assignment Builder'!$B$8),OR('Assignment Builder'!$B$9="",$F3214='Assignment Builder'!$B$9),OR('Assignment Builder'!$B$10="",$O3214='Assignment Builder'!$B$10),OR('Assignment Builder'!$B$11="",$H3214&gt;='Assignment Builder'!$B$11),OR('Assignment Builder'!$B$12="",N($Q3214)&lt;='Assignment Builder'!$B$12)))</f>
        <v/>
      </c>
      <c r="T3214" s="23" t="n"/>
    </row>
    <row r="3215">
      <c r="A3215" s="23" t="n"/>
      <c r="B3215" s="23" t="n"/>
      <c r="C3215" s="24" t="n"/>
      <c r="D3215" s="15" t="n"/>
      <c r="E3215" s="23" t="n"/>
      <c r="F3215" s="15" t="n"/>
      <c r="G3215" s="23" t="n"/>
      <c r="H3215" s="25" t="n"/>
      <c r="I3215" s="15" t="n"/>
      <c r="J3215" s="26">
        <f>IF($A3215="","",LEN($C3215)-LEN(SUBSTITUTE($C3215,",",""))+1)</f>
        <v/>
      </c>
      <c r="K3215" s="26">
        <f>IF($A3215="","",SUMPRODUCT(--ISNUMBER(SEARCH('Category Dictionary'!$D$5:$D$135&amp;"",$C3215)),--('Category Dictionary'!$D$5:$D$135&lt;&gt;"")))</f>
        <v/>
      </c>
      <c r="L3215" s="27">
        <f>IF($A3215="","",TRIM(IF(ISERROR(FIND(",",$C3215)),$C3215,LEFT($C3215,FIND(",",$C3215)-1))))</f>
        <v/>
      </c>
      <c r="M3215" s="28">
        <f>IF($H3215="","",DATE(YEAR($H3215),MONTH($H3215),1))</f>
        <v/>
      </c>
      <c r="N3215" s="26">
        <f>IF($H3215="","",TODAY()-$H3215)</f>
        <v/>
      </c>
      <c r="O3215" s="15" t="n"/>
      <c r="P3215" s="15" t="n"/>
      <c r="Q3215" s="15" t="n"/>
      <c r="R3215" s="25" t="n"/>
      <c r="S3215" s="26">
        <f>IF($A3215="","",AND(OR('Assignment Builder'!$B$5="",$B3215='Assignment Builder'!$B$5),OR('Assignment Builder'!$B$6="",ISNUMBER(SEARCH('Assignment Builder'!$B$6,$C3215))),OR('Assignment Builder'!$B$7="",'Assignment Builder'!$B$7=IFERROR(INDEX('Category Dictionary'!$C$5:$C$135,MATCH($L3215,'Category Dictionary'!$D$5:$D$135,0)),"")),OR('Assignment Builder'!$B$8="",$D3215='Assignment Builder'!$B$8),OR('Assignment Builder'!$B$9="",$F3215='Assignment Builder'!$B$9),OR('Assignment Builder'!$B$10="",$O3215='Assignment Builder'!$B$10),OR('Assignment Builder'!$B$11="",$H3215&gt;='Assignment Builder'!$B$11),OR('Assignment Builder'!$B$12="",N($Q3215)&lt;='Assignment Builder'!$B$12)))</f>
        <v/>
      </c>
      <c r="T3215" s="23" t="n"/>
    </row>
    <row r="3216">
      <c r="A3216" s="23" t="n"/>
      <c r="B3216" s="23" t="n"/>
      <c r="C3216" s="24" t="n"/>
      <c r="D3216" s="15" t="n"/>
      <c r="E3216" s="23" t="n"/>
      <c r="F3216" s="15" t="n"/>
      <c r="G3216" s="23" t="n"/>
      <c r="H3216" s="25" t="n"/>
      <c r="I3216" s="15" t="n"/>
      <c r="J3216" s="26">
        <f>IF($A3216="","",LEN($C3216)-LEN(SUBSTITUTE($C3216,",",""))+1)</f>
        <v/>
      </c>
      <c r="K3216" s="26">
        <f>IF($A3216="","",SUMPRODUCT(--ISNUMBER(SEARCH('Category Dictionary'!$D$5:$D$135&amp;"",$C3216)),--('Category Dictionary'!$D$5:$D$135&lt;&gt;"")))</f>
        <v/>
      </c>
      <c r="L3216" s="27">
        <f>IF($A3216="","",TRIM(IF(ISERROR(FIND(",",$C3216)),$C3216,LEFT($C3216,FIND(",",$C3216)-1))))</f>
        <v/>
      </c>
      <c r="M3216" s="28">
        <f>IF($H3216="","",DATE(YEAR($H3216),MONTH($H3216),1))</f>
        <v/>
      </c>
      <c r="N3216" s="26">
        <f>IF($H3216="","",TODAY()-$H3216)</f>
        <v/>
      </c>
      <c r="O3216" s="15" t="n"/>
      <c r="P3216" s="15" t="n"/>
      <c r="Q3216" s="15" t="n"/>
      <c r="R3216" s="25" t="n"/>
      <c r="S3216" s="26">
        <f>IF($A3216="","",AND(OR('Assignment Builder'!$B$5="",$B3216='Assignment Builder'!$B$5),OR('Assignment Builder'!$B$6="",ISNUMBER(SEARCH('Assignment Builder'!$B$6,$C3216))),OR('Assignment Builder'!$B$7="",'Assignment Builder'!$B$7=IFERROR(INDEX('Category Dictionary'!$C$5:$C$135,MATCH($L3216,'Category Dictionary'!$D$5:$D$135,0)),"")),OR('Assignment Builder'!$B$8="",$D3216='Assignment Builder'!$B$8),OR('Assignment Builder'!$B$9="",$F3216='Assignment Builder'!$B$9),OR('Assignment Builder'!$B$10="",$O3216='Assignment Builder'!$B$10),OR('Assignment Builder'!$B$11="",$H3216&gt;='Assignment Builder'!$B$11),OR('Assignment Builder'!$B$12="",N($Q3216)&lt;='Assignment Builder'!$B$12)))</f>
        <v/>
      </c>
      <c r="T3216" s="23" t="n"/>
    </row>
    <row r="3217">
      <c r="A3217" s="23" t="n"/>
      <c r="B3217" s="23" t="n"/>
      <c r="C3217" s="24" t="n"/>
      <c r="D3217" s="15" t="n"/>
      <c r="E3217" s="23" t="n"/>
      <c r="F3217" s="15" t="n"/>
      <c r="G3217" s="23" t="n"/>
      <c r="H3217" s="25" t="n"/>
      <c r="I3217" s="15" t="n"/>
      <c r="J3217" s="26">
        <f>IF($A3217="","",LEN($C3217)-LEN(SUBSTITUTE($C3217,",",""))+1)</f>
        <v/>
      </c>
      <c r="K3217" s="26">
        <f>IF($A3217="","",SUMPRODUCT(--ISNUMBER(SEARCH('Category Dictionary'!$D$5:$D$135&amp;"",$C3217)),--('Category Dictionary'!$D$5:$D$135&lt;&gt;"")))</f>
        <v/>
      </c>
      <c r="L3217" s="27">
        <f>IF($A3217="","",TRIM(IF(ISERROR(FIND(",",$C3217)),$C3217,LEFT($C3217,FIND(",",$C3217)-1))))</f>
        <v/>
      </c>
      <c r="M3217" s="28">
        <f>IF($H3217="","",DATE(YEAR($H3217),MONTH($H3217),1))</f>
        <v/>
      </c>
      <c r="N3217" s="26">
        <f>IF($H3217="","",TODAY()-$H3217)</f>
        <v/>
      </c>
      <c r="O3217" s="15" t="n"/>
      <c r="P3217" s="15" t="n"/>
      <c r="Q3217" s="15" t="n"/>
      <c r="R3217" s="25" t="n"/>
      <c r="S3217" s="26">
        <f>IF($A3217="","",AND(OR('Assignment Builder'!$B$5="",$B3217='Assignment Builder'!$B$5),OR('Assignment Builder'!$B$6="",ISNUMBER(SEARCH('Assignment Builder'!$B$6,$C3217))),OR('Assignment Builder'!$B$7="",'Assignment Builder'!$B$7=IFERROR(INDEX('Category Dictionary'!$C$5:$C$135,MATCH($L3217,'Category Dictionary'!$D$5:$D$135,0)),"")),OR('Assignment Builder'!$B$8="",$D3217='Assignment Builder'!$B$8),OR('Assignment Builder'!$B$9="",$F3217='Assignment Builder'!$B$9),OR('Assignment Builder'!$B$10="",$O3217='Assignment Builder'!$B$10),OR('Assignment Builder'!$B$11="",$H3217&gt;='Assignment Builder'!$B$11),OR('Assignment Builder'!$B$12="",N($Q3217)&lt;='Assignment Builder'!$B$12)))</f>
        <v/>
      </c>
      <c r="T3217" s="23" t="n"/>
    </row>
    <row r="3218">
      <c r="A3218" s="23" t="n"/>
      <c r="B3218" s="23" t="n"/>
      <c r="C3218" s="24" t="n"/>
      <c r="D3218" s="15" t="n"/>
      <c r="E3218" s="23" t="n"/>
      <c r="F3218" s="15" t="n"/>
      <c r="G3218" s="23" t="n"/>
      <c r="H3218" s="25" t="n"/>
      <c r="I3218" s="15" t="n"/>
      <c r="J3218" s="26">
        <f>IF($A3218="","",LEN($C3218)-LEN(SUBSTITUTE($C3218,",",""))+1)</f>
        <v/>
      </c>
      <c r="K3218" s="26">
        <f>IF($A3218="","",SUMPRODUCT(--ISNUMBER(SEARCH('Category Dictionary'!$D$5:$D$135&amp;"",$C3218)),--('Category Dictionary'!$D$5:$D$135&lt;&gt;"")))</f>
        <v/>
      </c>
      <c r="L3218" s="27">
        <f>IF($A3218="","",TRIM(IF(ISERROR(FIND(",",$C3218)),$C3218,LEFT($C3218,FIND(",",$C3218)-1))))</f>
        <v/>
      </c>
      <c r="M3218" s="28">
        <f>IF($H3218="","",DATE(YEAR($H3218),MONTH($H3218),1))</f>
        <v/>
      </c>
      <c r="N3218" s="26">
        <f>IF($H3218="","",TODAY()-$H3218)</f>
        <v/>
      </c>
      <c r="O3218" s="15" t="n"/>
      <c r="P3218" s="15" t="n"/>
      <c r="Q3218" s="15" t="n"/>
      <c r="R3218" s="25" t="n"/>
      <c r="S3218" s="26">
        <f>IF($A3218="","",AND(OR('Assignment Builder'!$B$5="",$B3218='Assignment Builder'!$B$5),OR('Assignment Builder'!$B$6="",ISNUMBER(SEARCH('Assignment Builder'!$B$6,$C3218))),OR('Assignment Builder'!$B$7="",'Assignment Builder'!$B$7=IFERROR(INDEX('Category Dictionary'!$C$5:$C$135,MATCH($L3218,'Category Dictionary'!$D$5:$D$135,0)),"")),OR('Assignment Builder'!$B$8="",$D3218='Assignment Builder'!$B$8),OR('Assignment Builder'!$B$9="",$F3218='Assignment Builder'!$B$9),OR('Assignment Builder'!$B$10="",$O3218='Assignment Builder'!$B$10),OR('Assignment Builder'!$B$11="",$H3218&gt;='Assignment Builder'!$B$11),OR('Assignment Builder'!$B$12="",N($Q3218)&lt;='Assignment Builder'!$B$12)))</f>
        <v/>
      </c>
      <c r="T3218" s="23" t="n"/>
    </row>
    <row r="3219">
      <c r="A3219" s="23" t="n"/>
      <c r="B3219" s="23" t="n"/>
      <c r="C3219" s="24" t="n"/>
      <c r="D3219" s="15" t="n"/>
      <c r="E3219" s="23" t="n"/>
      <c r="F3219" s="15" t="n"/>
      <c r="G3219" s="23" t="n"/>
      <c r="H3219" s="25" t="n"/>
      <c r="I3219" s="15" t="n"/>
      <c r="J3219" s="26">
        <f>IF($A3219="","",LEN($C3219)-LEN(SUBSTITUTE($C3219,",",""))+1)</f>
        <v/>
      </c>
      <c r="K3219" s="26">
        <f>IF($A3219="","",SUMPRODUCT(--ISNUMBER(SEARCH('Category Dictionary'!$D$5:$D$135&amp;"",$C3219)),--('Category Dictionary'!$D$5:$D$135&lt;&gt;"")))</f>
        <v/>
      </c>
      <c r="L3219" s="27">
        <f>IF($A3219="","",TRIM(IF(ISERROR(FIND(",",$C3219)),$C3219,LEFT($C3219,FIND(",",$C3219)-1))))</f>
        <v/>
      </c>
      <c r="M3219" s="28">
        <f>IF($H3219="","",DATE(YEAR($H3219),MONTH($H3219),1))</f>
        <v/>
      </c>
      <c r="N3219" s="26">
        <f>IF($H3219="","",TODAY()-$H3219)</f>
        <v/>
      </c>
      <c r="O3219" s="15" t="n"/>
      <c r="P3219" s="15" t="n"/>
      <c r="Q3219" s="15" t="n"/>
      <c r="R3219" s="25" t="n"/>
      <c r="S3219" s="26">
        <f>IF($A3219="","",AND(OR('Assignment Builder'!$B$5="",$B3219='Assignment Builder'!$B$5),OR('Assignment Builder'!$B$6="",ISNUMBER(SEARCH('Assignment Builder'!$B$6,$C3219))),OR('Assignment Builder'!$B$7="",'Assignment Builder'!$B$7=IFERROR(INDEX('Category Dictionary'!$C$5:$C$135,MATCH($L3219,'Category Dictionary'!$D$5:$D$135,0)),"")),OR('Assignment Builder'!$B$8="",$D3219='Assignment Builder'!$B$8),OR('Assignment Builder'!$B$9="",$F3219='Assignment Builder'!$B$9),OR('Assignment Builder'!$B$10="",$O3219='Assignment Builder'!$B$10),OR('Assignment Builder'!$B$11="",$H3219&gt;='Assignment Builder'!$B$11),OR('Assignment Builder'!$B$12="",N($Q3219)&lt;='Assignment Builder'!$B$12)))</f>
        <v/>
      </c>
      <c r="T3219" s="23" t="n"/>
    </row>
    <row r="3220">
      <c r="A3220" s="23" t="n"/>
      <c r="B3220" s="23" t="n"/>
      <c r="C3220" s="24" t="n"/>
      <c r="D3220" s="15" t="n"/>
      <c r="E3220" s="23" t="n"/>
      <c r="F3220" s="15" t="n"/>
      <c r="G3220" s="23" t="n"/>
      <c r="H3220" s="25" t="n"/>
      <c r="I3220" s="15" t="n"/>
      <c r="J3220" s="26">
        <f>IF($A3220="","",LEN($C3220)-LEN(SUBSTITUTE($C3220,",",""))+1)</f>
        <v/>
      </c>
      <c r="K3220" s="26">
        <f>IF($A3220="","",SUMPRODUCT(--ISNUMBER(SEARCH('Category Dictionary'!$D$5:$D$135&amp;"",$C3220)),--('Category Dictionary'!$D$5:$D$135&lt;&gt;"")))</f>
        <v/>
      </c>
      <c r="L3220" s="27">
        <f>IF($A3220="","",TRIM(IF(ISERROR(FIND(",",$C3220)),$C3220,LEFT($C3220,FIND(",",$C3220)-1))))</f>
        <v/>
      </c>
      <c r="M3220" s="28">
        <f>IF($H3220="","",DATE(YEAR($H3220),MONTH($H3220),1))</f>
        <v/>
      </c>
      <c r="N3220" s="26">
        <f>IF($H3220="","",TODAY()-$H3220)</f>
        <v/>
      </c>
      <c r="O3220" s="15" t="n"/>
      <c r="P3220" s="15" t="n"/>
      <c r="Q3220" s="15" t="n"/>
      <c r="R3220" s="25" t="n"/>
      <c r="S3220" s="26">
        <f>IF($A3220="","",AND(OR('Assignment Builder'!$B$5="",$B3220='Assignment Builder'!$B$5),OR('Assignment Builder'!$B$6="",ISNUMBER(SEARCH('Assignment Builder'!$B$6,$C3220))),OR('Assignment Builder'!$B$7="",'Assignment Builder'!$B$7=IFERROR(INDEX('Category Dictionary'!$C$5:$C$135,MATCH($L3220,'Category Dictionary'!$D$5:$D$135,0)),"")),OR('Assignment Builder'!$B$8="",$D3220='Assignment Builder'!$B$8),OR('Assignment Builder'!$B$9="",$F3220='Assignment Builder'!$B$9),OR('Assignment Builder'!$B$10="",$O3220='Assignment Builder'!$B$10),OR('Assignment Builder'!$B$11="",$H3220&gt;='Assignment Builder'!$B$11),OR('Assignment Builder'!$B$12="",N($Q3220)&lt;='Assignment Builder'!$B$12)))</f>
        <v/>
      </c>
      <c r="T3220" s="23" t="n"/>
    </row>
    <row r="3221">
      <c r="A3221" s="23" t="n"/>
      <c r="B3221" s="23" t="n"/>
      <c r="C3221" s="24" t="n"/>
      <c r="D3221" s="15" t="n"/>
      <c r="E3221" s="23" t="n"/>
      <c r="F3221" s="15" t="n"/>
      <c r="G3221" s="23" t="n"/>
      <c r="H3221" s="25" t="n"/>
      <c r="I3221" s="15" t="n"/>
      <c r="J3221" s="26">
        <f>IF($A3221="","",LEN($C3221)-LEN(SUBSTITUTE($C3221,",",""))+1)</f>
        <v/>
      </c>
      <c r="K3221" s="26">
        <f>IF($A3221="","",SUMPRODUCT(--ISNUMBER(SEARCH('Category Dictionary'!$D$5:$D$135&amp;"",$C3221)),--('Category Dictionary'!$D$5:$D$135&lt;&gt;"")))</f>
        <v/>
      </c>
      <c r="L3221" s="27">
        <f>IF($A3221="","",TRIM(IF(ISERROR(FIND(",",$C3221)),$C3221,LEFT($C3221,FIND(",",$C3221)-1))))</f>
        <v/>
      </c>
      <c r="M3221" s="28">
        <f>IF($H3221="","",DATE(YEAR($H3221),MONTH($H3221),1))</f>
        <v/>
      </c>
      <c r="N3221" s="26">
        <f>IF($H3221="","",TODAY()-$H3221)</f>
        <v/>
      </c>
      <c r="O3221" s="15" t="n"/>
      <c r="P3221" s="15" t="n"/>
      <c r="Q3221" s="15" t="n"/>
      <c r="R3221" s="25" t="n"/>
      <c r="S3221" s="26">
        <f>IF($A3221="","",AND(OR('Assignment Builder'!$B$5="",$B3221='Assignment Builder'!$B$5),OR('Assignment Builder'!$B$6="",ISNUMBER(SEARCH('Assignment Builder'!$B$6,$C3221))),OR('Assignment Builder'!$B$7="",'Assignment Builder'!$B$7=IFERROR(INDEX('Category Dictionary'!$C$5:$C$135,MATCH($L3221,'Category Dictionary'!$D$5:$D$135,0)),"")),OR('Assignment Builder'!$B$8="",$D3221='Assignment Builder'!$B$8),OR('Assignment Builder'!$B$9="",$F3221='Assignment Builder'!$B$9),OR('Assignment Builder'!$B$10="",$O3221='Assignment Builder'!$B$10),OR('Assignment Builder'!$B$11="",$H3221&gt;='Assignment Builder'!$B$11),OR('Assignment Builder'!$B$12="",N($Q3221)&lt;='Assignment Builder'!$B$12)))</f>
        <v/>
      </c>
      <c r="T3221" s="23" t="n"/>
    </row>
    <row r="3222">
      <c r="A3222" s="23" t="n"/>
      <c r="B3222" s="23" t="n"/>
      <c r="C3222" s="24" t="n"/>
      <c r="D3222" s="15" t="n"/>
      <c r="E3222" s="23" t="n"/>
      <c r="F3222" s="15" t="n"/>
      <c r="G3222" s="23" t="n"/>
      <c r="H3222" s="25" t="n"/>
      <c r="I3222" s="15" t="n"/>
      <c r="J3222" s="26">
        <f>IF($A3222="","",LEN($C3222)-LEN(SUBSTITUTE($C3222,",",""))+1)</f>
        <v/>
      </c>
      <c r="K3222" s="26">
        <f>IF($A3222="","",SUMPRODUCT(--ISNUMBER(SEARCH('Category Dictionary'!$D$5:$D$135&amp;"",$C3222)),--('Category Dictionary'!$D$5:$D$135&lt;&gt;"")))</f>
        <v/>
      </c>
      <c r="L3222" s="27">
        <f>IF($A3222="","",TRIM(IF(ISERROR(FIND(",",$C3222)),$C3222,LEFT($C3222,FIND(",",$C3222)-1))))</f>
        <v/>
      </c>
      <c r="M3222" s="28">
        <f>IF($H3222="","",DATE(YEAR($H3222),MONTH($H3222),1))</f>
        <v/>
      </c>
      <c r="N3222" s="26">
        <f>IF($H3222="","",TODAY()-$H3222)</f>
        <v/>
      </c>
      <c r="O3222" s="15" t="n"/>
      <c r="P3222" s="15" t="n"/>
      <c r="Q3222" s="15" t="n"/>
      <c r="R3222" s="25" t="n"/>
      <c r="S3222" s="26">
        <f>IF($A3222="","",AND(OR('Assignment Builder'!$B$5="",$B3222='Assignment Builder'!$B$5),OR('Assignment Builder'!$B$6="",ISNUMBER(SEARCH('Assignment Builder'!$B$6,$C3222))),OR('Assignment Builder'!$B$7="",'Assignment Builder'!$B$7=IFERROR(INDEX('Category Dictionary'!$C$5:$C$135,MATCH($L3222,'Category Dictionary'!$D$5:$D$135,0)),"")),OR('Assignment Builder'!$B$8="",$D3222='Assignment Builder'!$B$8),OR('Assignment Builder'!$B$9="",$F3222='Assignment Builder'!$B$9),OR('Assignment Builder'!$B$10="",$O3222='Assignment Builder'!$B$10),OR('Assignment Builder'!$B$11="",$H3222&gt;='Assignment Builder'!$B$11),OR('Assignment Builder'!$B$12="",N($Q3222)&lt;='Assignment Builder'!$B$12)))</f>
        <v/>
      </c>
      <c r="T3222" s="23" t="n"/>
    </row>
    <row r="3223">
      <c r="A3223" s="23" t="n"/>
      <c r="B3223" s="23" t="n"/>
      <c r="C3223" s="24" t="n"/>
      <c r="D3223" s="15" t="n"/>
      <c r="E3223" s="23" t="n"/>
      <c r="F3223" s="15" t="n"/>
      <c r="G3223" s="23" t="n"/>
      <c r="H3223" s="25" t="n"/>
      <c r="I3223" s="15" t="n"/>
      <c r="J3223" s="26">
        <f>IF($A3223="","",LEN($C3223)-LEN(SUBSTITUTE($C3223,",",""))+1)</f>
        <v/>
      </c>
      <c r="K3223" s="26">
        <f>IF($A3223="","",SUMPRODUCT(--ISNUMBER(SEARCH('Category Dictionary'!$D$5:$D$135&amp;"",$C3223)),--('Category Dictionary'!$D$5:$D$135&lt;&gt;"")))</f>
        <v/>
      </c>
      <c r="L3223" s="27">
        <f>IF($A3223="","",TRIM(IF(ISERROR(FIND(",",$C3223)),$C3223,LEFT($C3223,FIND(",",$C3223)-1))))</f>
        <v/>
      </c>
      <c r="M3223" s="28">
        <f>IF($H3223="","",DATE(YEAR($H3223),MONTH($H3223),1))</f>
        <v/>
      </c>
      <c r="N3223" s="26">
        <f>IF($H3223="","",TODAY()-$H3223)</f>
        <v/>
      </c>
      <c r="O3223" s="15" t="n"/>
      <c r="P3223" s="15" t="n"/>
      <c r="Q3223" s="15" t="n"/>
      <c r="R3223" s="25" t="n"/>
      <c r="S3223" s="26">
        <f>IF($A3223="","",AND(OR('Assignment Builder'!$B$5="",$B3223='Assignment Builder'!$B$5),OR('Assignment Builder'!$B$6="",ISNUMBER(SEARCH('Assignment Builder'!$B$6,$C3223))),OR('Assignment Builder'!$B$7="",'Assignment Builder'!$B$7=IFERROR(INDEX('Category Dictionary'!$C$5:$C$135,MATCH($L3223,'Category Dictionary'!$D$5:$D$135,0)),"")),OR('Assignment Builder'!$B$8="",$D3223='Assignment Builder'!$B$8),OR('Assignment Builder'!$B$9="",$F3223='Assignment Builder'!$B$9),OR('Assignment Builder'!$B$10="",$O3223='Assignment Builder'!$B$10),OR('Assignment Builder'!$B$11="",$H3223&gt;='Assignment Builder'!$B$11),OR('Assignment Builder'!$B$12="",N($Q3223)&lt;='Assignment Builder'!$B$12)))</f>
        <v/>
      </c>
      <c r="T3223" s="23" t="n"/>
    </row>
    <row r="3224">
      <c r="A3224" s="23" t="n"/>
      <c r="B3224" s="23" t="n"/>
      <c r="C3224" s="24" t="n"/>
      <c r="D3224" s="15" t="n"/>
      <c r="E3224" s="23" t="n"/>
      <c r="F3224" s="15" t="n"/>
      <c r="G3224" s="23" t="n"/>
      <c r="H3224" s="25" t="n"/>
      <c r="I3224" s="15" t="n"/>
      <c r="J3224" s="26">
        <f>IF($A3224="","",LEN($C3224)-LEN(SUBSTITUTE($C3224,",",""))+1)</f>
        <v/>
      </c>
      <c r="K3224" s="26">
        <f>IF($A3224="","",SUMPRODUCT(--ISNUMBER(SEARCH('Category Dictionary'!$D$5:$D$135&amp;"",$C3224)),--('Category Dictionary'!$D$5:$D$135&lt;&gt;"")))</f>
        <v/>
      </c>
      <c r="L3224" s="27">
        <f>IF($A3224="","",TRIM(IF(ISERROR(FIND(",",$C3224)),$C3224,LEFT($C3224,FIND(",",$C3224)-1))))</f>
        <v/>
      </c>
      <c r="M3224" s="28">
        <f>IF($H3224="","",DATE(YEAR($H3224),MONTH($H3224),1))</f>
        <v/>
      </c>
      <c r="N3224" s="26">
        <f>IF($H3224="","",TODAY()-$H3224)</f>
        <v/>
      </c>
      <c r="O3224" s="15" t="n"/>
      <c r="P3224" s="15" t="n"/>
      <c r="Q3224" s="15" t="n"/>
      <c r="R3224" s="25" t="n"/>
      <c r="S3224" s="26">
        <f>IF($A3224="","",AND(OR('Assignment Builder'!$B$5="",$B3224='Assignment Builder'!$B$5),OR('Assignment Builder'!$B$6="",ISNUMBER(SEARCH('Assignment Builder'!$B$6,$C3224))),OR('Assignment Builder'!$B$7="",'Assignment Builder'!$B$7=IFERROR(INDEX('Category Dictionary'!$C$5:$C$135,MATCH($L3224,'Category Dictionary'!$D$5:$D$135,0)),"")),OR('Assignment Builder'!$B$8="",$D3224='Assignment Builder'!$B$8),OR('Assignment Builder'!$B$9="",$F3224='Assignment Builder'!$B$9),OR('Assignment Builder'!$B$10="",$O3224='Assignment Builder'!$B$10),OR('Assignment Builder'!$B$11="",$H3224&gt;='Assignment Builder'!$B$11),OR('Assignment Builder'!$B$12="",N($Q3224)&lt;='Assignment Builder'!$B$12)))</f>
        <v/>
      </c>
      <c r="T3224" s="23" t="n"/>
    </row>
    <row r="3225">
      <c r="A3225" s="23" t="n"/>
      <c r="B3225" s="23" t="n"/>
      <c r="C3225" s="24" t="n"/>
      <c r="D3225" s="15" t="n"/>
      <c r="E3225" s="23" t="n"/>
      <c r="F3225" s="15" t="n"/>
      <c r="G3225" s="23" t="n"/>
      <c r="H3225" s="25" t="n"/>
      <c r="I3225" s="15" t="n"/>
      <c r="J3225" s="26">
        <f>IF($A3225="","",LEN($C3225)-LEN(SUBSTITUTE($C3225,",",""))+1)</f>
        <v/>
      </c>
      <c r="K3225" s="26">
        <f>IF($A3225="","",SUMPRODUCT(--ISNUMBER(SEARCH('Category Dictionary'!$D$5:$D$135&amp;"",$C3225)),--('Category Dictionary'!$D$5:$D$135&lt;&gt;"")))</f>
        <v/>
      </c>
      <c r="L3225" s="27">
        <f>IF($A3225="","",TRIM(IF(ISERROR(FIND(",",$C3225)),$C3225,LEFT($C3225,FIND(",",$C3225)-1))))</f>
        <v/>
      </c>
      <c r="M3225" s="28">
        <f>IF($H3225="","",DATE(YEAR($H3225),MONTH($H3225),1))</f>
        <v/>
      </c>
      <c r="N3225" s="26">
        <f>IF($H3225="","",TODAY()-$H3225)</f>
        <v/>
      </c>
      <c r="O3225" s="15" t="n"/>
      <c r="P3225" s="15" t="n"/>
      <c r="Q3225" s="15" t="n"/>
      <c r="R3225" s="25" t="n"/>
      <c r="S3225" s="26">
        <f>IF($A3225="","",AND(OR('Assignment Builder'!$B$5="",$B3225='Assignment Builder'!$B$5),OR('Assignment Builder'!$B$6="",ISNUMBER(SEARCH('Assignment Builder'!$B$6,$C3225))),OR('Assignment Builder'!$B$7="",'Assignment Builder'!$B$7=IFERROR(INDEX('Category Dictionary'!$C$5:$C$135,MATCH($L3225,'Category Dictionary'!$D$5:$D$135,0)),"")),OR('Assignment Builder'!$B$8="",$D3225='Assignment Builder'!$B$8),OR('Assignment Builder'!$B$9="",$F3225='Assignment Builder'!$B$9),OR('Assignment Builder'!$B$10="",$O3225='Assignment Builder'!$B$10),OR('Assignment Builder'!$B$11="",$H3225&gt;='Assignment Builder'!$B$11),OR('Assignment Builder'!$B$12="",N($Q3225)&lt;='Assignment Builder'!$B$12)))</f>
        <v/>
      </c>
      <c r="T3225" s="23" t="n"/>
    </row>
    <row r="3226">
      <c r="A3226" s="23" t="n"/>
      <c r="B3226" s="23" t="n"/>
      <c r="C3226" s="24" t="n"/>
      <c r="D3226" s="15" t="n"/>
      <c r="E3226" s="23" t="n"/>
      <c r="F3226" s="15" t="n"/>
      <c r="G3226" s="23" t="n"/>
      <c r="H3226" s="25" t="n"/>
      <c r="I3226" s="15" t="n"/>
      <c r="J3226" s="26">
        <f>IF($A3226="","",LEN($C3226)-LEN(SUBSTITUTE($C3226,",",""))+1)</f>
        <v/>
      </c>
      <c r="K3226" s="26">
        <f>IF($A3226="","",SUMPRODUCT(--ISNUMBER(SEARCH('Category Dictionary'!$D$5:$D$135&amp;"",$C3226)),--('Category Dictionary'!$D$5:$D$135&lt;&gt;"")))</f>
        <v/>
      </c>
      <c r="L3226" s="27">
        <f>IF($A3226="","",TRIM(IF(ISERROR(FIND(",",$C3226)),$C3226,LEFT($C3226,FIND(",",$C3226)-1))))</f>
        <v/>
      </c>
      <c r="M3226" s="28">
        <f>IF($H3226="","",DATE(YEAR($H3226),MONTH($H3226),1))</f>
        <v/>
      </c>
      <c r="N3226" s="26">
        <f>IF($H3226="","",TODAY()-$H3226)</f>
        <v/>
      </c>
      <c r="O3226" s="15" t="n"/>
      <c r="P3226" s="15" t="n"/>
      <c r="Q3226" s="15" t="n"/>
      <c r="R3226" s="25" t="n"/>
      <c r="S3226" s="26">
        <f>IF($A3226="","",AND(OR('Assignment Builder'!$B$5="",$B3226='Assignment Builder'!$B$5),OR('Assignment Builder'!$B$6="",ISNUMBER(SEARCH('Assignment Builder'!$B$6,$C3226))),OR('Assignment Builder'!$B$7="",'Assignment Builder'!$B$7=IFERROR(INDEX('Category Dictionary'!$C$5:$C$135,MATCH($L3226,'Category Dictionary'!$D$5:$D$135,0)),"")),OR('Assignment Builder'!$B$8="",$D3226='Assignment Builder'!$B$8),OR('Assignment Builder'!$B$9="",$F3226='Assignment Builder'!$B$9),OR('Assignment Builder'!$B$10="",$O3226='Assignment Builder'!$B$10),OR('Assignment Builder'!$B$11="",$H3226&gt;='Assignment Builder'!$B$11),OR('Assignment Builder'!$B$12="",N($Q3226)&lt;='Assignment Builder'!$B$12)))</f>
        <v/>
      </c>
      <c r="T3226" s="23" t="n"/>
    </row>
    <row r="3227">
      <c r="A3227" s="23" t="n"/>
      <c r="B3227" s="23" t="n"/>
      <c r="C3227" s="24" t="n"/>
      <c r="D3227" s="15" t="n"/>
      <c r="E3227" s="23" t="n"/>
      <c r="F3227" s="15" t="n"/>
      <c r="G3227" s="23" t="n"/>
      <c r="H3227" s="25" t="n"/>
      <c r="I3227" s="15" t="n"/>
      <c r="J3227" s="26">
        <f>IF($A3227="","",LEN($C3227)-LEN(SUBSTITUTE($C3227,",",""))+1)</f>
        <v/>
      </c>
      <c r="K3227" s="26">
        <f>IF($A3227="","",SUMPRODUCT(--ISNUMBER(SEARCH('Category Dictionary'!$D$5:$D$135&amp;"",$C3227)),--('Category Dictionary'!$D$5:$D$135&lt;&gt;"")))</f>
        <v/>
      </c>
      <c r="L3227" s="27">
        <f>IF($A3227="","",TRIM(IF(ISERROR(FIND(",",$C3227)),$C3227,LEFT($C3227,FIND(",",$C3227)-1))))</f>
        <v/>
      </c>
      <c r="M3227" s="28">
        <f>IF($H3227="","",DATE(YEAR($H3227),MONTH($H3227),1))</f>
        <v/>
      </c>
      <c r="N3227" s="26">
        <f>IF($H3227="","",TODAY()-$H3227)</f>
        <v/>
      </c>
      <c r="O3227" s="15" t="n"/>
      <c r="P3227" s="15" t="n"/>
      <c r="Q3227" s="15" t="n"/>
      <c r="R3227" s="25" t="n"/>
      <c r="S3227" s="26">
        <f>IF($A3227="","",AND(OR('Assignment Builder'!$B$5="",$B3227='Assignment Builder'!$B$5),OR('Assignment Builder'!$B$6="",ISNUMBER(SEARCH('Assignment Builder'!$B$6,$C3227))),OR('Assignment Builder'!$B$7="",'Assignment Builder'!$B$7=IFERROR(INDEX('Category Dictionary'!$C$5:$C$135,MATCH($L3227,'Category Dictionary'!$D$5:$D$135,0)),"")),OR('Assignment Builder'!$B$8="",$D3227='Assignment Builder'!$B$8),OR('Assignment Builder'!$B$9="",$F3227='Assignment Builder'!$B$9),OR('Assignment Builder'!$B$10="",$O3227='Assignment Builder'!$B$10),OR('Assignment Builder'!$B$11="",$H3227&gt;='Assignment Builder'!$B$11),OR('Assignment Builder'!$B$12="",N($Q3227)&lt;='Assignment Builder'!$B$12)))</f>
        <v/>
      </c>
      <c r="T3227" s="23" t="n"/>
    </row>
    <row r="3228">
      <c r="A3228" s="23" t="n"/>
      <c r="B3228" s="23" t="n"/>
      <c r="C3228" s="24" t="n"/>
      <c r="D3228" s="15" t="n"/>
      <c r="E3228" s="23" t="n"/>
      <c r="F3228" s="15" t="n"/>
      <c r="G3228" s="23" t="n"/>
      <c r="H3228" s="25" t="n"/>
      <c r="I3228" s="15" t="n"/>
      <c r="J3228" s="26">
        <f>IF($A3228="","",LEN($C3228)-LEN(SUBSTITUTE($C3228,",",""))+1)</f>
        <v/>
      </c>
      <c r="K3228" s="26">
        <f>IF($A3228="","",SUMPRODUCT(--ISNUMBER(SEARCH('Category Dictionary'!$D$5:$D$135&amp;"",$C3228)),--('Category Dictionary'!$D$5:$D$135&lt;&gt;"")))</f>
        <v/>
      </c>
      <c r="L3228" s="27">
        <f>IF($A3228="","",TRIM(IF(ISERROR(FIND(",",$C3228)),$C3228,LEFT($C3228,FIND(",",$C3228)-1))))</f>
        <v/>
      </c>
      <c r="M3228" s="28">
        <f>IF($H3228="","",DATE(YEAR($H3228),MONTH($H3228),1))</f>
        <v/>
      </c>
      <c r="N3228" s="26">
        <f>IF($H3228="","",TODAY()-$H3228)</f>
        <v/>
      </c>
      <c r="O3228" s="15" t="n"/>
      <c r="P3228" s="15" t="n"/>
      <c r="Q3228" s="15" t="n"/>
      <c r="R3228" s="25" t="n"/>
      <c r="S3228" s="26">
        <f>IF($A3228="","",AND(OR('Assignment Builder'!$B$5="",$B3228='Assignment Builder'!$B$5),OR('Assignment Builder'!$B$6="",ISNUMBER(SEARCH('Assignment Builder'!$B$6,$C3228))),OR('Assignment Builder'!$B$7="",'Assignment Builder'!$B$7=IFERROR(INDEX('Category Dictionary'!$C$5:$C$135,MATCH($L3228,'Category Dictionary'!$D$5:$D$135,0)),"")),OR('Assignment Builder'!$B$8="",$D3228='Assignment Builder'!$B$8),OR('Assignment Builder'!$B$9="",$F3228='Assignment Builder'!$B$9),OR('Assignment Builder'!$B$10="",$O3228='Assignment Builder'!$B$10),OR('Assignment Builder'!$B$11="",$H3228&gt;='Assignment Builder'!$B$11),OR('Assignment Builder'!$B$12="",N($Q3228)&lt;='Assignment Builder'!$B$12)))</f>
        <v/>
      </c>
      <c r="T3228" s="23" t="n"/>
    </row>
    <row r="3229">
      <c r="A3229" s="23" t="n"/>
      <c r="B3229" s="23" t="n"/>
      <c r="C3229" s="24" t="n"/>
      <c r="D3229" s="15" t="n"/>
      <c r="E3229" s="23" t="n"/>
      <c r="F3229" s="15" t="n"/>
      <c r="G3229" s="23" t="n"/>
      <c r="H3229" s="25" t="n"/>
      <c r="I3229" s="15" t="n"/>
      <c r="J3229" s="26">
        <f>IF($A3229="","",LEN($C3229)-LEN(SUBSTITUTE($C3229,",",""))+1)</f>
        <v/>
      </c>
      <c r="K3229" s="26">
        <f>IF($A3229="","",SUMPRODUCT(--ISNUMBER(SEARCH('Category Dictionary'!$D$5:$D$135&amp;"",$C3229)),--('Category Dictionary'!$D$5:$D$135&lt;&gt;"")))</f>
        <v/>
      </c>
      <c r="L3229" s="27">
        <f>IF($A3229="","",TRIM(IF(ISERROR(FIND(",",$C3229)),$C3229,LEFT($C3229,FIND(",",$C3229)-1))))</f>
        <v/>
      </c>
      <c r="M3229" s="28">
        <f>IF($H3229="","",DATE(YEAR($H3229),MONTH($H3229),1))</f>
        <v/>
      </c>
      <c r="N3229" s="26">
        <f>IF($H3229="","",TODAY()-$H3229)</f>
        <v/>
      </c>
      <c r="O3229" s="15" t="n"/>
      <c r="P3229" s="15" t="n"/>
      <c r="Q3229" s="15" t="n"/>
      <c r="R3229" s="25" t="n"/>
      <c r="S3229" s="26">
        <f>IF($A3229="","",AND(OR('Assignment Builder'!$B$5="",$B3229='Assignment Builder'!$B$5),OR('Assignment Builder'!$B$6="",ISNUMBER(SEARCH('Assignment Builder'!$B$6,$C3229))),OR('Assignment Builder'!$B$7="",'Assignment Builder'!$B$7=IFERROR(INDEX('Category Dictionary'!$C$5:$C$135,MATCH($L3229,'Category Dictionary'!$D$5:$D$135,0)),"")),OR('Assignment Builder'!$B$8="",$D3229='Assignment Builder'!$B$8),OR('Assignment Builder'!$B$9="",$F3229='Assignment Builder'!$B$9),OR('Assignment Builder'!$B$10="",$O3229='Assignment Builder'!$B$10),OR('Assignment Builder'!$B$11="",$H3229&gt;='Assignment Builder'!$B$11),OR('Assignment Builder'!$B$12="",N($Q3229)&lt;='Assignment Builder'!$B$12)))</f>
        <v/>
      </c>
      <c r="T3229" s="23" t="n"/>
    </row>
    <row r="3230">
      <c r="A3230" s="23" t="n"/>
      <c r="B3230" s="23" t="n"/>
      <c r="C3230" s="24" t="n"/>
      <c r="D3230" s="15" t="n"/>
      <c r="E3230" s="23" t="n"/>
      <c r="F3230" s="15" t="n"/>
      <c r="G3230" s="23" t="n"/>
      <c r="H3230" s="25" t="n"/>
      <c r="I3230" s="15" t="n"/>
      <c r="J3230" s="26">
        <f>IF($A3230="","",LEN($C3230)-LEN(SUBSTITUTE($C3230,",",""))+1)</f>
        <v/>
      </c>
      <c r="K3230" s="26">
        <f>IF($A3230="","",SUMPRODUCT(--ISNUMBER(SEARCH('Category Dictionary'!$D$5:$D$135&amp;"",$C3230)),--('Category Dictionary'!$D$5:$D$135&lt;&gt;"")))</f>
        <v/>
      </c>
      <c r="L3230" s="27">
        <f>IF($A3230="","",TRIM(IF(ISERROR(FIND(",",$C3230)),$C3230,LEFT($C3230,FIND(",",$C3230)-1))))</f>
        <v/>
      </c>
      <c r="M3230" s="28">
        <f>IF($H3230="","",DATE(YEAR($H3230),MONTH($H3230),1))</f>
        <v/>
      </c>
      <c r="N3230" s="26">
        <f>IF($H3230="","",TODAY()-$H3230)</f>
        <v/>
      </c>
      <c r="O3230" s="15" t="n"/>
      <c r="P3230" s="15" t="n"/>
      <c r="Q3230" s="15" t="n"/>
      <c r="R3230" s="25" t="n"/>
      <c r="S3230" s="26">
        <f>IF($A3230="","",AND(OR('Assignment Builder'!$B$5="",$B3230='Assignment Builder'!$B$5),OR('Assignment Builder'!$B$6="",ISNUMBER(SEARCH('Assignment Builder'!$B$6,$C3230))),OR('Assignment Builder'!$B$7="",'Assignment Builder'!$B$7=IFERROR(INDEX('Category Dictionary'!$C$5:$C$135,MATCH($L3230,'Category Dictionary'!$D$5:$D$135,0)),"")),OR('Assignment Builder'!$B$8="",$D3230='Assignment Builder'!$B$8),OR('Assignment Builder'!$B$9="",$F3230='Assignment Builder'!$B$9),OR('Assignment Builder'!$B$10="",$O3230='Assignment Builder'!$B$10),OR('Assignment Builder'!$B$11="",$H3230&gt;='Assignment Builder'!$B$11),OR('Assignment Builder'!$B$12="",N($Q3230)&lt;='Assignment Builder'!$B$12)))</f>
        <v/>
      </c>
      <c r="T3230" s="23" t="n"/>
    </row>
    <row r="3231">
      <c r="A3231" s="23" t="n"/>
      <c r="B3231" s="23" t="n"/>
      <c r="C3231" s="24" t="n"/>
      <c r="D3231" s="15" t="n"/>
      <c r="E3231" s="23" t="n"/>
      <c r="F3231" s="15" t="n"/>
      <c r="G3231" s="23" t="n"/>
      <c r="H3231" s="25" t="n"/>
      <c r="I3231" s="15" t="n"/>
      <c r="J3231" s="26">
        <f>IF($A3231="","",LEN($C3231)-LEN(SUBSTITUTE($C3231,",",""))+1)</f>
        <v/>
      </c>
      <c r="K3231" s="26">
        <f>IF($A3231="","",SUMPRODUCT(--ISNUMBER(SEARCH('Category Dictionary'!$D$5:$D$135&amp;"",$C3231)),--('Category Dictionary'!$D$5:$D$135&lt;&gt;"")))</f>
        <v/>
      </c>
      <c r="L3231" s="27">
        <f>IF($A3231="","",TRIM(IF(ISERROR(FIND(",",$C3231)),$C3231,LEFT($C3231,FIND(",",$C3231)-1))))</f>
        <v/>
      </c>
      <c r="M3231" s="28">
        <f>IF($H3231="","",DATE(YEAR($H3231),MONTH($H3231),1))</f>
        <v/>
      </c>
      <c r="N3231" s="26">
        <f>IF($H3231="","",TODAY()-$H3231)</f>
        <v/>
      </c>
      <c r="O3231" s="15" t="n"/>
      <c r="P3231" s="15" t="n"/>
      <c r="Q3231" s="15" t="n"/>
      <c r="R3231" s="25" t="n"/>
      <c r="S3231" s="26">
        <f>IF($A3231="","",AND(OR('Assignment Builder'!$B$5="",$B3231='Assignment Builder'!$B$5),OR('Assignment Builder'!$B$6="",ISNUMBER(SEARCH('Assignment Builder'!$B$6,$C3231))),OR('Assignment Builder'!$B$7="",'Assignment Builder'!$B$7=IFERROR(INDEX('Category Dictionary'!$C$5:$C$135,MATCH($L3231,'Category Dictionary'!$D$5:$D$135,0)),"")),OR('Assignment Builder'!$B$8="",$D3231='Assignment Builder'!$B$8),OR('Assignment Builder'!$B$9="",$F3231='Assignment Builder'!$B$9),OR('Assignment Builder'!$B$10="",$O3231='Assignment Builder'!$B$10),OR('Assignment Builder'!$B$11="",$H3231&gt;='Assignment Builder'!$B$11),OR('Assignment Builder'!$B$12="",N($Q3231)&lt;='Assignment Builder'!$B$12)))</f>
        <v/>
      </c>
      <c r="T3231" s="23" t="n"/>
    </row>
    <row r="3232">
      <c r="A3232" s="23" t="n"/>
      <c r="B3232" s="23" t="n"/>
      <c r="C3232" s="24" t="n"/>
      <c r="D3232" s="15" t="n"/>
      <c r="E3232" s="23" t="n"/>
      <c r="F3232" s="15" t="n"/>
      <c r="G3232" s="23" t="n"/>
      <c r="H3232" s="25" t="n"/>
      <c r="I3232" s="15" t="n"/>
      <c r="J3232" s="26">
        <f>IF($A3232="","",LEN($C3232)-LEN(SUBSTITUTE($C3232,",",""))+1)</f>
        <v/>
      </c>
      <c r="K3232" s="26">
        <f>IF($A3232="","",SUMPRODUCT(--ISNUMBER(SEARCH('Category Dictionary'!$D$5:$D$135&amp;"",$C3232)),--('Category Dictionary'!$D$5:$D$135&lt;&gt;"")))</f>
        <v/>
      </c>
      <c r="L3232" s="27">
        <f>IF($A3232="","",TRIM(IF(ISERROR(FIND(",",$C3232)),$C3232,LEFT($C3232,FIND(",",$C3232)-1))))</f>
        <v/>
      </c>
      <c r="M3232" s="28">
        <f>IF($H3232="","",DATE(YEAR($H3232),MONTH($H3232),1))</f>
        <v/>
      </c>
      <c r="N3232" s="26">
        <f>IF($H3232="","",TODAY()-$H3232)</f>
        <v/>
      </c>
      <c r="O3232" s="15" t="n"/>
      <c r="P3232" s="15" t="n"/>
      <c r="Q3232" s="15" t="n"/>
      <c r="R3232" s="25" t="n"/>
      <c r="S3232" s="26">
        <f>IF($A3232="","",AND(OR('Assignment Builder'!$B$5="",$B3232='Assignment Builder'!$B$5),OR('Assignment Builder'!$B$6="",ISNUMBER(SEARCH('Assignment Builder'!$B$6,$C3232))),OR('Assignment Builder'!$B$7="",'Assignment Builder'!$B$7=IFERROR(INDEX('Category Dictionary'!$C$5:$C$135,MATCH($L3232,'Category Dictionary'!$D$5:$D$135,0)),"")),OR('Assignment Builder'!$B$8="",$D3232='Assignment Builder'!$B$8),OR('Assignment Builder'!$B$9="",$F3232='Assignment Builder'!$B$9),OR('Assignment Builder'!$B$10="",$O3232='Assignment Builder'!$B$10),OR('Assignment Builder'!$B$11="",$H3232&gt;='Assignment Builder'!$B$11),OR('Assignment Builder'!$B$12="",N($Q3232)&lt;='Assignment Builder'!$B$12)))</f>
        <v/>
      </c>
      <c r="T3232" s="23" t="n"/>
    </row>
    <row r="3233">
      <c r="A3233" s="23" t="n"/>
      <c r="B3233" s="23" t="n"/>
      <c r="C3233" s="24" t="n"/>
      <c r="D3233" s="15" t="n"/>
      <c r="E3233" s="23" t="n"/>
      <c r="F3233" s="15" t="n"/>
      <c r="G3233" s="23" t="n"/>
      <c r="H3233" s="25" t="n"/>
      <c r="I3233" s="15" t="n"/>
      <c r="J3233" s="26">
        <f>IF($A3233="","",LEN($C3233)-LEN(SUBSTITUTE($C3233,",",""))+1)</f>
        <v/>
      </c>
      <c r="K3233" s="26">
        <f>IF($A3233="","",SUMPRODUCT(--ISNUMBER(SEARCH('Category Dictionary'!$D$5:$D$135&amp;"",$C3233)),--('Category Dictionary'!$D$5:$D$135&lt;&gt;"")))</f>
        <v/>
      </c>
      <c r="L3233" s="27">
        <f>IF($A3233="","",TRIM(IF(ISERROR(FIND(",",$C3233)),$C3233,LEFT($C3233,FIND(",",$C3233)-1))))</f>
        <v/>
      </c>
      <c r="M3233" s="28">
        <f>IF($H3233="","",DATE(YEAR($H3233),MONTH($H3233),1))</f>
        <v/>
      </c>
      <c r="N3233" s="26">
        <f>IF($H3233="","",TODAY()-$H3233)</f>
        <v/>
      </c>
      <c r="O3233" s="15" t="n"/>
      <c r="P3233" s="15" t="n"/>
      <c r="Q3233" s="15" t="n"/>
      <c r="R3233" s="25" t="n"/>
      <c r="S3233" s="26">
        <f>IF($A3233="","",AND(OR('Assignment Builder'!$B$5="",$B3233='Assignment Builder'!$B$5),OR('Assignment Builder'!$B$6="",ISNUMBER(SEARCH('Assignment Builder'!$B$6,$C3233))),OR('Assignment Builder'!$B$7="",'Assignment Builder'!$B$7=IFERROR(INDEX('Category Dictionary'!$C$5:$C$135,MATCH($L3233,'Category Dictionary'!$D$5:$D$135,0)),"")),OR('Assignment Builder'!$B$8="",$D3233='Assignment Builder'!$B$8),OR('Assignment Builder'!$B$9="",$F3233='Assignment Builder'!$B$9),OR('Assignment Builder'!$B$10="",$O3233='Assignment Builder'!$B$10),OR('Assignment Builder'!$B$11="",$H3233&gt;='Assignment Builder'!$B$11),OR('Assignment Builder'!$B$12="",N($Q3233)&lt;='Assignment Builder'!$B$12)))</f>
        <v/>
      </c>
      <c r="T3233" s="23" t="n"/>
    </row>
    <row r="3234">
      <c r="A3234" s="23" t="n"/>
      <c r="B3234" s="23" t="n"/>
      <c r="C3234" s="24" t="n"/>
      <c r="D3234" s="15" t="n"/>
      <c r="E3234" s="23" t="n"/>
      <c r="F3234" s="15" t="n"/>
      <c r="G3234" s="23" t="n"/>
      <c r="H3234" s="25" t="n"/>
      <c r="I3234" s="15" t="n"/>
      <c r="J3234" s="26">
        <f>IF($A3234="","",LEN($C3234)-LEN(SUBSTITUTE($C3234,",",""))+1)</f>
        <v/>
      </c>
      <c r="K3234" s="26">
        <f>IF($A3234="","",SUMPRODUCT(--ISNUMBER(SEARCH('Category Dictionary'!$D$5:$D$135&amp;"",$C3234)),--('Category Dictionary'!$D$5:$D$135&lt;&gt;"")))</f>
        <v/>
      </c>
      <c r="L3234" s="27">
        <f>IF($A3234="","",TRIM(IF(ISERROR(FIND(",",$C3234)),$C3234,LEFT($C3234,FIND(",",$C3234)-1))))</f>
        <v/>
      </c>
      <c r="M3234" s="28">
        <f>IF($H3234="","",DATE(YEAR($H3234),MONTH($H3234),1))</f>
        <v/>
      </c>
      <c r="N3234" s="26">
        <f>IF($H3234="","",TODAY()-$H3234)</f>
        <v/>
      </c>
      <c r="O3234" s="15" t="n"/>
      <c r="P3234" s="15" t="n"/>
      <c r="Q3234" s="15" t="n"/>
      <c r="R3234" s="25" t="n"/>
      <c r="S3234" s="26">
        <f>IF($A3234="","",AND(OR('Assignment Builder'!$B$5="",$B3234='Assignment Builder'!$B$5),OR('Assignment Builder'!$B$6="",ISNUMBER(SEARCH('Assignment Builder'!$B$6,$C3234))),OR('Assignment Builder'!$B$7="",'Assignment Builder'!$B$7=IFERROR(INDEX('Category Dictionary'!$C$5:$C$135,MATCH($L3234,'Category Dictionary'!$D$5:$D$135,0)),"")),OR('Assignment Builder'!$B$8="",$D3234='Assignment Builder'!$B$8),OR('Assignment Builder'!$B$9="",$F3234='Assignment Builder'!$B$9),OR('Assignment Builder'!$B$10="",$O3234='Assignment Builder'!$B$10),OR('Assignment Builder'!$B$11="",$H3234&gt;='Assignment Builder'!$B$11),OR('Assignment Builder'!$B$12="",N($Q3234)&lt;='Assignment Builder'!$B$12)))</f>
        <v/>
      </c>
      <c r="T3234" s="23" t="n"/>
    </row>
    <row r="3235">
      <c r="A3235" s="23" t="n"/>
      <c r="B3235" s="23" t="n"/>
      <c r="C3235" s="24" t="n"/>
      <c r="D3235" s="15" t="n"/>
      <c r="E3235" s="23" t="n"/>
      <c r="F3235" s="15" t="n"/>
      <c r="G3235" s="23" t="n"/>
      <c r="H3235" s="25" t="n"/>
      <c r="I3235" s="15" t="n"/>
      <c r="J3235" s="26">
        <f>IF($A3235="","",LEN($C3235)-LEN(SUBSTITUTE($C3235,",",""))+1)</f>
        <v/>
      </c>
      <c r="K3235" s="26">
        <f>IF($A3235="","",SUMPRODUCT(--ISNUMBER(SEARCH('Category Dictionary'!$D$5:$D$135&amp;"",$C3235)),--('Category Dictionary'!$D$5:$D$135&lt;&gt;"")))</f>
        <v/>
      </c>
      <c r="L3235" s="27">
        <f>IF($A3235="","",TRIM(IF(ISERROR(FIND(",",$C3235)),$C3235,LEFT($C3235,FIND(",",$C3235)-1))))</f>
        <v/>
      </c>
      <c r="M3235" s="28">
        <f>IF($H3235="","",DATE(YEAR($H3235),MONTH($H3235),1))</f>
        <v/>
      </c>
      <c r="N3235" s="26">
        <f>IF($H3235="","",TODAY()-$H3235)</f>
        <v/>
      </c>
      <c r="O3235" s="15" t="n"/>
      <c r="P3235" s="15" t="n"/>
      <c r="Q3235" s="15" t="n"/>
      <c r="R3235" s="25" t="n"/>
      <c r="S3235" s="26">
        <f>IF($A3235="","",AND(OR('Assignment Builder'!$B$5="",$B3235='Assignment Builder'!$B$5),OR('Assignment Builder'!$B$6="",ISNUMBER(SEARCH('Assignment Builder'!$B$6,$C3235))),OR('Assignment Builder'!$B$7="",'Assignment Builder'!$B$7=IFERROR(INDEX('Category Dictionary'!$C$5:$C$135,MATCH($L3235,'Category Dictionary'!$D$5:$D$135,0)),"")),OR('Assignment Builder'!$B$8="",$D3235='Assignment Builder'!$B$8),OR('Assignment Builder'!$B$9="",$F3235='Assignment Builder'!$B$9),OR('Assignment Builder'!$B$10="",$O3235='Assignment Builder'!$B$10),OR('Assignment Builder'!$B$11="",$H3235&gt;='Assignment Builder'!$B$11),OR('Assignment Builder'!$B$12="",N($Q3235)&lt;='Assignment Builder'!$B$12)))</f>
        <v/>
      </c>
      <c r="T3235" s="23" t="n"/>
    </row>
    <row r="3236">
      <c r="A3236" s="23" t="n"/>
      <c r="B3236" s="23" t="n"/>
      <c r="C3236" s="24" t="n"/>
      <c r="D3236" s="15" t="n"/>
      <c r="E3236" s="23" t="n"/>
      <c r="F3236" s="15" t="n"/>
      <c r="G3236" s="23" t="n"/>
      <c r="H3236" s="25" t="n"/>
      <c r="I3236" s="15" t="n"/>
      <c r="J3236" s="26">
        <f>IF($A3236="","",LEN($C3236)-LEN(SUBSTITUTE($C3236,",",""))+1)</f>
        <v/>
      </c>
      <c r="K3236" s="26">
        <f>IF($A3236="","",SUMPRODUCT(--ISNUMBER(SEARCH('Category Dictionary'!$D$5:$D$135&amp;"",$C3236)),--('Category Dictionary'!$D$5:$D$135&lt;&gt;"")))</f>
        <v/>
      </c>
      <c r="L3236" s="27">
        <f>IF($A3236="","",TRIM(IF(ISERROR(FIND(",",$C3236)),$C3236,LEFT($C3236,FIND(",",$C3236)-1))))</f>
        <v/>
      </c>
      <c r="M3236" s="28">
        <f>IF($H3236="","",DATE(YEAR($H3236),MONTH($H3236),1))</f>
        <v/>
      </c>
      <c r="N3236" s="26">
        <f>IF($H3236="","",TODAY()-$H3236)</f>
        <v/>
      </c>
      <c r="O3236" s="15" t="n"/>
      <c r="P3236" s="15" t="n"/>
      <c r="Q3236" s="15" t="n"/>
      <c r="R3236" s="25" t="n"/>
      <c r="S3236" s="26">
        <f>IF($A3236="","",AND(OR('Assignment Builder'!$B$5="",$B3236='Assignment Builder'!$B$5),OR('Assignment Builder'!$B$6="",ISNUMBER(SEARCH('Assignment Builder'!$B$6,$C3236))),OR('Assignment Builder'!$B$7="",'Assignment Builder'!$B$7=IFERROR(INDEX('Category Dictionary'!$C$5:$C$135,MATCH($L3236,'Category Dictionary'!$D$5:$D$135,0)),"")),OR('Assignment Builder'!$B$8="",$D3236='Assignment Builder'!$B$8),OR('Assignment Builder'!$B$9="",$F3236='Assignment Builder'!$B$9),OR('Assignment Builder'!$B$10="",$O3236='Assignment Builder'!$B$10),OR('Assignment Builder'!$B$11="",$H3236&gt;='Assignment Builder'!$B$11),OR('Assignment Builder'!$B$12="",N($Q3236)&lt;='Assignment Builder'!$B$12)))</f>
        <v/>
      </c>
      <c r="T3236" s="23" t="n"/>
    </row>
    <row r="3237">
      <c r="A3237" s="23" t="n"/>
      <c r="B3237" s="23" t="n"/>
      <c r="C3237" s="24" t="n"/>
      <c r="D3237" s="15" t="n"/>
      <c r="E3237" s="23" t="n"/>
      <c r="F3237" s="15" t="n"/>
      <c r="G3237" s="23" t="n"/>
      <c r="H3237" s="25" t="n"/>
      <c r="I3237" s="15" t="n"/>
      <c r="J3237" s="26">
        <f>IF($A3237="","",LEN($C3237)-LEN(SUBSTITUTE($C3237,",",""))+1)</f>
        <v/>
      </c>
      <c r="K3237" s="26">
        <f>IF($A3237="","",SUMPRODUCT(--ISNUMBER(SEARCH('Category Dictionary'!$D$5:$D$135&amp;"",$C3237)),--('Category Dictionary'!$D$5:$D$135&lt;&gt;"")))</f>
        <v/>
      </c>
      <c r="L3237" s="27">
        <f>IF($A3237="","",TRIM(IF(ISERROR(FIND(",",$C3237)),$C3237,LEFT($C3237,FIND(",",$C3237)-1))))</f>
        <v/>
      </c>
      <c r="M3237" s="28">
        <f>IF($H3237="","",DATE(YEAR($H3237),MONTH($H3237),1))</f>
        <v/>
      </c>
      <c r="N3237" s="26">
        <f>IF($H3237="","",TODAY()-$H3237)</f>
        <v/>
      </c>
      <c r="O3237" s="15" t="n"/>
      <c r="P3237" s="15" t="n"/>
      <c r="Q3237" s="15" t="n"/>
      <c r="R3237" s="25" t="n"/>
      <c r="S3237" s="26">
        <f>IF($A3237="","",AND(OR('Assignment Builder'!$B$5="",$B3237='Assignment Builder'!$B$5),OR('Assignment Builder'!$B$6="",ISNUMBER(SEARCH('Assignment Builder'!$B$6,$C3237))),OR('Assignment Builder'!$B$7="",'Assignment Builder'!$B$7=IFERROR(INDEX('Category Dictionary'!$C$5:$C$135,MATCH($L3237,'Category Dictionary'!$D$5:$D$135,0)),"")),OR('Assignment Builder'!$B$8="",$D3237='Assignment Builder'!$B$8),OR('Assignment Builder'!$B$9="",$F3237='Assignment Builder'!$B$9),OR('Assignment Builder'!$B$10="",$O3237='Assignment Builder'!$B$10),OR('Assignment Builder'!$B$11="",$H3237&gt;='Assignment Builder'!$B$11),OR('Assignment Builder'!$B$12="",N($Q3237)&lt;='Assignment Builder'!$B$12)))</f>
        <v/>
      </c>
      <c r="T3237" s="23" t="n"/>
    </row>
    <row r="3238">
      <c r="A3238" s="23" t="n"/>
      <c r="B3238" s="23" t="n"/>
      <c r="C3238" s="24" t="n"/>
      <c r="D3238" s="15" t="n"/>
      <c r="E3238" s="23" t="n"/>
      <c r="F3238" s="15" t="n"/>
      <c r="G3238" s="23" t="n"/>
      <c r="H3238" s="25" t="n"/>
      <c r="I3238" s="15" t="n"/>
      <c r="J3238" s="26">
        <f>IF($A3238="","",LEN($C3238)-LEN(SUBSTITUTE($C3238,",",""))+1)</f>
        <v/>
      </c>
      <c r="K3238" s="26">
        <f>IF($A3238="","",SUMPRODUCT(--ISNUMBER(SEARCH('Category Dictionary'!$D$5:$D$135&amp;"",$C3238)),--('Category Dictionary'!$D$5:$D$135&lt;&gt;"")))</f>
        <v/>
      </c>
      <c r="L3238" s="27">
        <f>IF($A3238="","",TRIM(IF(ISERROR(FIND(",",$C3238)),$C3238,LEFT($C3238,FIND(",",$C3238)-1))))</f>
        <v/>
      </c>
      <c r="M3238" s="28">
        <f>IF($H3238="","",DATE(YEAR($H3238),MONTH($H3238),1))</f>
        <v/>
      </c>
      <c r="N3238" s="26">
        <f>IF($H3238="","",TODAY()-$H3238)</f>
        <v/>
      </c>
      <c r="O3238" s="15" t="n"/>
      <c r="P3238" s="15" t="n"/>
      <c r="Q3238" s="15" t="n"/>
      <c r="R3238" s="25" t="n"/>
      <c r="S3238" s="26">
        <f>IF($A3238="","",AND(OR('Assignment Builder'!$B$5="",$B3238='Assignment Builder'!$B$5),OR('Assignment Builder'!$B$6="",ISNUMBER(SEARCH('Assignment Builder'!$B$6,$C3238))),OR('Assignment Builder'!$B$7="",'Assignment Builder'!$B$7=IFERROR(INDEX('Category Dictionary'!$C$5:$C$135,MATCH($L3238,'Category Dictionary'!$D$5:$D$135,0)),"")),OR('Assignment Builder'!$B$8="",$D3238='Assignment Builder'!$B$8),OR('Assignment Builder'!$B$9="",$F3238='Assignment Builder'!$B$9),OR('Assignment Builder'!$B$10="",$O3238='Assignment Builder'!$B$10),OR('Assignment Builder'!$B$11="",$H3238&gt;='Assignment Builder'!$B$11),OR('Assignment Builder'!$B$12="",N($Q3238)&lt;='Assignment Builder'!$B$12)))</f>
        <v/>
      </c>
      <c r="T3238" s="23" t="n"/>
    </row>
    <row r="3239">
      <c r="A3239" s="23" t="n"/>
      <c r="B3239" s="23" t="n"/>
      <c r="C3239" s="24" t="n"/>
      <c r="D3239" s="15" t="n"/>
      <c r="E3239" s="23" t="n"/>
      <c r="F3239" s="15" t="n"/>
      <c r="G3239" s="23" t="n"/>
      <c r="H3239" s="25" t="n"/>
      <c r="I3239" s="15" t="n"/>
      <c r="J3239" s="26">
        <f>IF($A3239="","",LEN($C3239)-LEN(SUBSTITUTE($C3239,",",""))+1)</f>
        <v/>
      </c>
      <c r="K3239" s="26">
        <f>IF($A3239="","",SUMPRODUCT(--ISNUMBER(SEARCH('Category Dictionary'!$D$5:$D$135&amp;"",$C3239)),--('Category Dictionary'!$D$5:$D$135&lt;&gt;"")))</f>
        <v/>
      </c>
      <c r="L3239" s="27">
        <f>IF($A3239="","",TRIM(IF(ISERROR(FIND(",",$C3239)),$C3239,LEFT($C3239,FIND(",",$C3239)-1))))</f>
        <v/>
      </c>
      <c r="M3239" s="28">
        <f>IF($H3239="","",DATE(YEAR($H3239),MONTH($H3239),1))</f>
        <v/>
      </c>
      <c r="N3239" s="26">
        <f>IF($H3239="","",TODAY()-$H3239)</f>
        <v/>
      </c>
      <c r="O3239" s="15" t="n"/>
      <c r="P3239" s="15" t="n"/>
      <c r="Q3239" s="15" t="n"/>
      <c r="R3239" s="25" t="n"/>
      <c r="S3239" s="26">
        <f>IF($A3239="","",AND(OR('Assignment Builder'!$B$5="",$B3239='Assignment Builder'!$B$5),OR('Assignment Builder'!$B$6="",ISNUMBER(SEARCH('Assignment Builder'!$B$6,$C3239))),OR('Assignment Builder'!$B$7="",'Assignment Builder'!$B$7=IFERROR(INDEX('Category Dictionary'!$C$5:$C$135,MATCH($L3239,'Category Dictionary'!$D$5:$D$135,0)),"")),OR('Assignment Builder'!$B$8="",$D3239='Assignment Builder'!$B$8),OR('Assignment Builder'!$B$9="",$F3239='Assignment Builder'!$B$9),OR('Assignment Builder'!$B$10="",$O3239='Assignment Builder'!$B$10),OR('Assignment Builder'!$B$11="",$H3239&gt;='Assignment Builder'!$B$11),OR('Assignment Builder'!$B$12="",N($Q3239)&lt;='Assignment Builder'!$B$12)))</f>
        <v/>
      </c>
      <c r="T3239" s="23" t="n"/>
    </row>
    <row r="3240">
      <c r="A3240" s="23" t="n"/>
      <c r="B3240" s="23" t="n"/>
      <c r="C3240" s="24" t="n"/>
      <c r="D3240" s="15" t="n"/>
      <c r="E3240" s="23" t="n"/>
      <c r="F3240" s="15" t="n"/>
      <c r="G3240" s="23" t="n"/>
      <c r="H3240" s="25" t="n"/>
      <c r="I3240" s="15" t="n"/>
      <c r="J3240" s="26">
        <f>IF($A3240="","",LEN($C3240)-LEN(SUBSTITUTE($C3240,",",""))+1)</f>
        <v/>
      </c>
      <c r="K3240" s="26">
        <f>IF($A3240="","",SUMPRODUCT(--ISNUMBER(SEARCH('Category Dictionary'!$D$5:$D$135&amp;"",$C3240)),--('Category Dictionary'!$D$5:$D$135&lt;&gt;"")))</f>
        <v/>
      </c>
      <c r="L3240" s="27">
        <f>IF($A3240="","",TRIM(IF(ISERROR(FIND(",",$C3240)),$C3240,LEFT($C3240,FIND(",",$C3240)-1))))</f>
        <v/>
      </c>
      <c r="M3240" s="28">
        <f>IF($H3240="","",DATE(YEAR($H3240),MONTH($H3240),1))</f>
        <v/>
      </c>
      <c r="N3240" s="26">
        <f>IF($H3240="","",TODAY()-$H3240)</f>
        <v/>
      </c>
      <c r="O3240" s="15" t="n"/>
      <c r="P3240" s="15" t="n"/>
      <c r="Q3240" s="15" t="n"/>
      <c r="R3240" s="25" t="n"/>
      <c r="S3240" s="26">
        <f>IF($A3240="","",AND(OR('Assignment Builder'!$B$5="",$B3240='Assignment Builder'!$B$5),OR('Assignment Builder'!$B$6="",ISNUMBER(SEARCH('Assignment Builder'!$B$6,$C3240))),OR('Assignment Builder'!$B$7="",'Assignment Builder'!$B$7=IFERROR(INDEX('Category Dictionary'!$C$5:$C$135,MATCH($L3240,'Category Dictionary'!$D$5:$D$135,0)),"")),OR('Assignment Builder'!$B$8="",$D3240='Assignment Builder'!$B$8),OR('Assignment Builder'!$B$9="",$F3240='Assignment Builder'!$B$9),OR('Assignment Builder'!$B$10="",$O3240='Assignment Builder'!$B$10),OR('Assignment Builder'!$B$11="",$H3240&gt;='Assignment Builder'!$B$11),OR('Assignment Builder'!$B$12="",N($Q3240)&lt;='Assignment Builder'!$B$12)))</f>
        <v/>
      </c>
      <c r="T3240" s="23" t="n"/>
    </row>
    <row r="3241">
      <c r="A3241" s="23" t="n"/>
      <c r="B3241" s="23" t="n"/>
      <c r="C3241" s="24" t="n"/>
      <c r="D3241" s="15" t="n"/>
      <c r="E3241" s="23" t="n"/>
      <c r="F3241" s="15" t="n"/>
      <c r="G3241" s="23" t="n"/>
      <c r="H3241" s="25" t="n"/>
      <c r="I3241" s="15" t="n"/>
      <c r="J3241" s="26">
        <f>IF($A3241="","",LEN($C3241)-LEN(SUBSTITUTE($C3241,",",""))+1)</f>
        <v/>
      </c>
      <c r="K3241" s="26">
        <f>IF($A3241="","",SUMPRODUCT(--ISNUMBER(SEARCH('Category Dictionary'!$D$5:$D$135&amp;"",$C3241)),--('Category Dictionary'!$D$5:$D$135&lt;&gt;"")))</f>
        <v/>
      </c>
      <c r="L3241" s="27">
        <f>IF($A3241="","",TRIM(IF(ISERROR(FIND(",",$C3241)),$C3241,LEFT($C3241,FIND(",",$C3241)-1))))</f>
        <v/>
      </c>
      <c r="M3241" s="28">
        <f>IF($H3241="","",DATE(YEAR($H3241),MONTH($H3241),1))</f>
        <v/>
      </c>
      <c r="N3241" s="26">
        <f>IF($H3241="","",TODAY()-$H3241)</f>
        <v/>
      </c>
      <c r="O3241" s="15" t="n"/>
      <c r="P3241" s="15" t="n"/>
      <c r="Q3241" s="15" t="n"/>
      <c r="R3241" s="25" t="n"/>
      <c r="S3241" s="26">
        <f>IF($A3241="","",AND(OR('Assignment Builder'!$B$5="",$B3241='Assignment Builder'!$B$5),OR('Assignment Builder'!$B$6="",ISNUMBER(SEARCH('Assignment Builder'!$B$6,$C3241))),OR('Assignment Builder'!$B$7="",'Assignment Builder'!$B$7=IFERROR(INDEX('Category Dictionary'!$C$5:$C$135,MATCH($L3241,'Category Dictionary'!$D$5:$D$135,0)),"")),OR('Assignment Builder'!$B$8="",$D3241='Assignment Builder'!$B$8),OR('Assignment Builder'!$B$9="",$F3241='Assignment Builder'!$B$9),OR('Assignment Builder'!$B$10="",$O3241='Assignment Builder'!$B$10),OR('Assignment Builder'!$B$11="",$H3241&gt;='Assignment Builder'!$B$11),OR('Assignment Builder'!$B$12="",N($Q3241)&lt;='Assignment Builder'!$B$12)))</f>
        <v/>
      </c>
      <c r="T3241" s="23" t="n"/>
    </row>
    <row r="3242">
      <c r="A3242" s="23" t="n"/>
      <c r="B3242" s="23" t="n"/>
      <c r="C3242" s="24" t="n"/>
      <c r="D3242" s="15" t="n"/>
      <c r="E3242" s="23" t="n"/>
      <c r="F3242" s="15" t="n"/>
      <c r="G3242" s="23" t="n"/>
      <c r="H3242" s="25" t="n"/>
      <c r="I3242" s="15" t="n"/>
      <c r="J3242" s="26">
        <f>IF($A3242="","",LEN($C3242)-LEN(SUBSTITUTE($C3242,",",""))+1)</f>
        <v/>
      </c>
      <c r="K3242" s="26">
        <f>IF($A3242="","",SUMPRODUCT(--ISNUMBER(SEARCH('Category Dictionary'!$D$5:$D$135&amp;"",$C3242)),--('Category Dictionary'!$D$5:$D$135&lt;&gt;"")))</f>
        <v/>
      </c>
      <c r="L3242" s="27">
        <f>IF($A3242="","",TRIM(IF(ISERROR(FIND(",",$C3242)),$C3242,LEFT($C3242,FIND(",",$C3242)-1))))</f>
        <v/>
      </c>
      <c r="M3242" s="28">
        <f>IF($H3242="","",DATE(YEAR($H3242),MONTH($H3242),1))</f>
        <v/>
      </c>
      <c r="N3242" s="26">
        <f>IF($H3242="","",TODAY()-$H3242)</f>
        <v/>
      </c>
      <c r="O3242" s="15" t="n"/>
      <c r="P3242" s="15" t="n"/>
      <c r="Q3242" s="15" t="n"/>
      <c r="R3242" s="25" t="n"/>
      <c r="S3242" s="26">
        <f>IF($A3242="","",AND(OR('Assignment Builder'!$B$5="",$B3242='Assignment Builder'!$B$5),OR('Assignment Builder'!$B$6="",ISNUMBER(SEARCH('Assignment Builder'!$B$6,$C3242))),OR('Assignment Builder'!$B$7="",'Assignment Builder'!$B$7=IFERROR(INDEX('Category Dictionary'!$C$5:$C$135,MATCH($L3242,'Category Dictionary'!$D$5:$D$135,0)),"")),OR('Assignment Builder'!$B$8="",$D3242='Assignment Builder'!$B$8),OR('Assignment Builder'!$B$9="",$F3242='Assignment Builder'!$B$9),OR('Assignment Builder'!$B$10="",$O3242='Assignment Builder'!$B$10),OR('Assignment Builder'!$B$11="",$H3242&gt;='Assignment Builder'!$B$11),OR('Assignment Builder'!$B$12="",N($Q3242)&lt;='Assignment Builder'!$B$12)))</f>
        <v/>
      </c>
      <c r="T3242" s="23" t="n"/>
    </row>
    <row r="3243">
      <c r="A3243" s="23" t="n"/>
      <c r="B3243" s="23" t="n"/>
      <c r="C3243" s="24" t="n"/>
      <c r="D3243" s="15" t="n"/>
      <c r="E3243" s="23" t="n"/>
      <c r="F3243" s="15" t="n"/>
      <c r="G3243" s="23" t="n"/>
      <c r="H3243" s="25" t="n"/>
      <c r="I3243" s="15" t="n"/>
      <c r="J3243" s="26">
        <f>IF($A3243="","",LEN($C3243)-LEN(SUBSTITUTE($C3243,",",""))+1)</f>
        <v/>
      </c>
      <c r="K3243" s="26">
        <f>IF($A3243="","",SUMPRODUCT(--ISNUMBER(SEARCH('Category Dictionary'!$D$5:$D$135&amp;"",$C3243)),--('Category Dictionary'!$D$5:$D$135&lt;&gt;"")))</f>
        <v/>
      </c>
      <c r="L3243" s="27">
        <f>IF($A3243="","",TRIM(IF(ISERROR(FIND(",",$C3243)),$C3243,LEFT($C3243,FIND(",",$C3243)-1))))</f>
        <v/>
      </c>
      <c r="M3243" s="28">
        <f>IF($H3243="","",DATE(YEAR($H3243),MONTH($H3243),1))</f>
        <v/>
      </c>
      <c r="N3243" s="26">
        <f>IF($H3243="","",TODAY()-$H3243)</f>
        <v/>
      </c>
      <c r="O3243" s="15" t="n"/>
      <c r="P3243" s="15" t="n"/>
      <c r="Q3243" s="15" t="n"/>
      <c r="R3243" s="25" t="n"/>
      <c r="S3243" s="26">
        <f>IF($A3243="","",AND(OR('Assignment Builder'!$B$5="",$B3243='Assignment Builder'!$B$5),OR('Assignment Builder'!$B$6="",ISNUMBER(SEARCH('Assignment Builder'!$B$6,$C3243))),OR('Assignment Builder'!$B$7="",'Assignment Builder'!$B$7=IFERROR(INDEX('Category Dictionary'!$C$5:$C$135,MATCH($L3243,'Category Dictionary'!$D$5:$D$135,0)),"")),OR('Assignment Builder'!$B$8="",$D3243='Assignment Builder'!$B$8),OR('Assignment Builder'!$B$9="",$F3243='Assignment Builder'!$B$9),OR('Assignment Builder'!$B$10="",$O3243='Assignment Builder'!$B$10),OR('Assignment Builder'!$B$11="",$H3243&gt;='Assignment Builder'!$B$11),OR('Assignment Builder'!$B$12="",N($Q3243)&lt;='Assignment Builder'!$B$12)))</f>
        <v/>
      </c>
      <c r="T3243" s="23" t="n"/>
    </row>
    <row r="3244">
      <c r="A3244" s="23" t="n"/>
      <c r="B3244" s="23" t="n"/>
      <c r="C3244" s="24" t="n"/>
      <c r="D3244" s="15" t="n"/>
      <c r="E3244" s="23" t="n"/>
      <c r="F3244" s="15" t="n"/>
      <c r="G3244" s="23" t="n"/>
      <c r="H3244" s="25" t="n"/>
      <c r="I3244" s="15" t="n"/>
      <c r="J3244" s="26">
        <f>IF($A3244="","",LEN($C3244)-LEN(SUBSTITUTE($C3244,",",""))+1)</f>
        <v/>
      </c>
      <c r="K3244" s="26">
        <f>IF($A3244="","",SUMPRODUCT(--ISNUMBER(SEARCH('Category Dictionary'!$D$5:$D$135&amp;"",$C3244)),--('Category Dictionary'!$D$5:$D$135&lt;&gt;"")))</f>
        <v/>
      </c>
      <c r="L3244" s="27">
        <f>IF($A3244="","",TRIM(IF(ISERROR(FIND(",",$C3244)),$C3244,LEFT($C3244,FIND(",",$C3244)-1))))</f>
        <v/>
      </c>
      <c r="M3244" s="28">
        <f>IF($H3244="","",DATE(YEAR($H3244),MONTH($H3244),1))</f>
        <v/>
      </c>
      <c r="N3244" s="26">
        <f>IF($H3244="","",TODAY()-$H3244)</f>
        <v/>
      </c>
      <c r="O3244" s="15" t="n"/>
      <c r="P3244" s="15" t="n"/>
      <c r="Q3244" s="15" t="n"/>
      <c r="R3244" s="25" t="n"/>
      <c r="S3244" s="26">
        <f>IF($A3244="","",AND(OR('Assignment Builder'!$B$5="",$B3244='Assignment Builder'!$B$5),OR('Assignment Builder'!$B$6="",ISNUMBER(SEARCH('Assignment Builder'!$B$6,$C3244))),OR('Assignment Builder'!$B$7="",'Assignment Builder'!$B$7=IFERROR(INDEX('Category Dictionary'!$C$5:$C$135,MATCH($L3244,'Category Dictionary'!$D$5:$D$135,0)),"")),OR('Assignment Builder'!$B$8="",$D3244='Assignment Builder'!$B$8),OR('Assignment Builder'!$B$9="",$F3244='Assignment Builder'!$B$9),OR('Assignment Builder'!$B$10="",$O3244='Assignment Builder'!$B$10),OR('Assignment Builder'!$B$11="",$H3244&gt;='Assignment Builder'!$B$11),OR('Assignment Builder'!$B$12="",N($Q3244)&lt;='Assignment Builder'!$B$12)))</f>
        <v/>
      </c>
      <c r="T3244" s="23" t="n"/>
    </row>
    <row r="3245">
      <c r="A3245" s="23" t="n"/>
      <c r="B3245" s="23" t="n"/>
      <c r="C3245" s="24" t="n"/>
      <c r="D3245" s="15" t="n"/>
      <c r="E3245" s="23" t="n"/>
      <c r="F3245" s="15" t="n"/>
      <c r="G3245" s="23" t="n"/>
      <c r="H3245" s="25" t="n"/>
      <c r="I3245" s="15" t="n"/>
      <c r="J3245" s="26">
        <f>IF($A3245="","",LEN($C3245)-LEN(SUBSTITUTE($C3245,",",""))+1)</f>
        <v/>
      </c>
      <c r="K3245" s="26">
        <f>IF($A3245="","",SUMPRODUCT(--ISNUMBER(SEARCH('Category Dictionary'!$D$5:$D$135&amp;"",$C3245)),--('Category Dictionary'!$D$5:$D$135&lt;&gt;"")))</f>
        <v/>
      </c>
      <c r="L3245" s="27">
        <f>IF($A3245="","",TRIM(IF(ISERROR(FIND(",",$C3245)),$C3245,LEFT($C3245,FIND(",",$C3245)-1))))</f>
        <v/>
      </c>
      <c r="M3245" s="28">
        <f>IF($H3245="","",DATE(YEAR($H3245),MONTH($H3245),1))</f>
        <v/>
      </c>
      <c r="N3245" s="26">
        <f>IF($H3245="","",TODAY()-$H3245)</f>
        <v/>
      </c>
      <c r="O3245" s="15" t="n"/>
      <c r="P3245" s="15" t="n"/>
      <c r="Q3245" s="15" t="n"/>
      <c r="R3245" s="25" t="n"/>
      <c r="S3245" s="26">
        <f>IF($A3245="","",AND(OR('Assignment Builder'!$B$5="",$B3245='Assignment Builder'!$B$5),OR('Assignment Builder'!$B$6="",ISNUMBER(SEARCH('Assignment Builder'!$B$6,$C3245))),OR('Assignment Builder'!$B$7="",'Assignment Builder'!$B$7=IFERROR(INDEX('Category Dictionary'!$C$5:$C$135,MATCH($L3245,'Category Dictionary'!$D$5:$D$135,0)),"")),OR('Assignment Builder'!$B$8="",$D3245='Assignment Builder'!$B$8),OR('Assignment Builder'!$B$9="",$F3245='Assignment Builder'!$B$9),OR('Assignment Builder'!$B$10="",$O3245='Assignment Builder'!$B$10),OR('Assignment Builder'!$B$11="",$H3245&gt;='Assignment Builder'!$B$11),OR('Assignment Builder'!$B$12="",N($Q3245)&lt;='Assignment Builder'!$B$12)))</f>
        <v/>
      </c>
      <c r="T3245" s="23" t="n"/>
    </row>
    <row r="3246">
      <c r="A3246" s="23" t="n"/>
      <c r="B3246" s="23" t="n"/>
      <c r="C3246" s="24" t="n"/>
      <c r="D3246" s="15" t="n"/>
      <c r="E3246" s="23" t="n"/>
      <c r="F3246" s="15" t="n"/>
      <c r="G3246" s="23" t="n"/>
      <c r="H3246" s="25" t="n"/>
      <c r="I3246" s="15" t="n"/>
      <c r="J3246" s="26">
        <f>IF($A3246="","",LEN($C3246)-LEN(SUBSTITUTE($C3246,",",""))+1)</f>
        <v/>
      </c>
      <c r="K3246" s="26">
        <f>IF($A3246="","",SUMPRODUCT(--ISNUMBER(SEARCH('Category Dictionary'!$D$5:$D$135&amp;"",$C3246)),--('Category Dictionary'!$D$5:$D$135&lt;&gt;"")))</f>
        <v/>
      </c>
      <c r="L3246" s="27">
        <f>IF($A3246="","",TRIM(IF(ISERROR(FIND(",",$C3246)),$C3246,LEFT($C3246,FIND(",",$C3246)-1))))</f>
        <v/>
      </c>
      <c r="M3246" s="28">
        <f>IF($H3246="","",DATE(YEAR($H3246),MONTH($H3246),1))</f>
        <v/>
      </c>
      <c r="N3246" s="26">
        <f>IF($H3246="","",TODAY()-$H3246)</f>
        <v/>
      </c>
      <c r="O3246" s="15" t="n"/>
      <c r="P3246" s="15" t="n"/>
      <c r="Q3246" s="15" t="n"/>
      <c r="R3246" s="25" t="n"/>
      <c r="S3246" s="26">
        <f>IF($A3246="","",AND(OR('Assignment Builder'!$B$5="",$B3246='Assignment Builder'!$B$5),OR('Assignment Builder'!$B$6="",ISNUMBER(SEARCH('Assignment Builder'!$B$6,$C3246))),OR('Assignment Builder'!$B$7="",'Assignment Builder'!$B$7=IFERROR(INDEX('Category Dictionary'!$C$5:$C$135,MATCH($L3246,'Category Dictionary'!$D$5:$D$135,0)),"")),OR('Assignment Builder'!$B$8="",$D3246='Assignment Builder'!$B$8),OR('Assignment Builder'!$B$9="",$F3246='Assignment Builder'!$B$9),OR('Assignment Builder'!$B$10="",$O3246='Assignment Builder'!$B$10),OR('Assignment Builder'!$B$11="",$H3246&gt;='Assignment Builder'!$B$11),OR('Assignment Builder'!$B$12="",N($Q3246)&lt;='Assignment Builder'!$B$12)))</f>
        <v/>
      </c>
      <c r="T3246" s="23" t="n"/>
    </row>
    <row r="3247">
      <c r="A3247" s="23" t="n"/>
      <c r="B3247" s="23" t="n"/>
      <c r="C3247" s="24" t="n"/>
      <c r="D3247" s="15" t="n"/>
      <c r="E3247" s="23" t="n"/>
      <c r="F3247" s="15" t="n"/>
      <c r="G3247" s="23" t="n"/>
      <c r="H3247" s="25" t="n"/>
      <c r="I3247" s="15" t="n"/>
      <c r="J3247" s="26">
        <f>IF($A3247="","",LEN($C3247)-LEN(SUBSTITUTE($C3247,",",""))+1)</f>
        <v/>
      </c>
      <c r="K3247" s="26">
        <f>IF($A3247="","",SUMPRODUCT(--ISNUMBER(SEARCH('Category Dictionary'!$D$5:$D$135&amp;"",$C3247)),--('Category Dictionary'!$D$5:$D$135&lt;&gt;"")))</f>
        <v/>
      </c>
      <c r="L3247" s="27">
        <f>IF($A3247="","",TRIM(IF(ISERROR(FIND(",",$C3247)),$C3247,LEFT($C3247,FIND(",",$C3247)-1))))</f>
        <v/>
      </c>
      <c r="M3247" s="28">
        <f>IF($H3247="","",DATE(YEAR($H3247),MONTH($H3247),1))</f>
        <v/>
      </c>
      <c r="N3247" s="26">
        <f>IF($H3247="","",TODAY()-$H3247)</f>
        <v/>
      </c>
      <c r="O3247" s="15" t="n"/>
      <c r="P3247" s="15" t="n"/>
      <c r="Q3247" s="15" t="n"/>
      <c r="R3247" s="25" t="n"/>
      <c r="S3247" s="26">
        <f>IF($A3247="","",AND(OR('Assignment Builder'!$B$5="",$B3247='Assignment Builder'!$B$5),OR('Assignment Builder'!$B$6="",ISNUMBER(SEARCH('Assignment Builder'!$B$6,$C3247))),OR('Assignment Builder'!$B$7="",'Assignment Builder'!$B$7=IFERROR(INDEX('Category Dictionary'!$C$5:$C$135,MATCH($L3247,'Category Dictionary'!$D$5:$D$135,0)),"")),OR('Assignment Builder'!$B$8="",$D3247='Assignment Builder'!$B$8),OR('Assignment Builder'!$B$9="",$F3247='Assignment Builder'!$B$9),OR('Assignment Builder'!$B$10="",$O3247='Assignment Builder'!$B$10),OR('Assignment Builder'!$B$11="",$H3247&gt;='Assignment Builder'!$B$11),OR('Assignment Builder'!$B$12="",N($Q3247)&lt;='Assignment Builder'!$B$12)))</f>
        <v/>
      </c>
      <c r="T3247" s="23" t="n"/>
    </row>
    <row r="3248">
      <c r="A3248" s="23" t="n"/>
      <c r="B3248" s="23" t="n"/>
      <c r="C3248" s="24" t="n"/>
      <c r="D3248" s="15" t="n"/>
      <c r="E3248" s="23" t="n"/>
      <c r="F3248" s="15" t="n"/>
      <c r="G3248" s="23" t="n"/>
      <c r="H3248" s="25" t="n"/>
      <c r="I3248" s="15" t="n"/>
      <c r="J3248" s="26">
        <f>IF($A3248="","",LEN($C3248)-LEN(SUBSTITUTE($C3248,",",""))+1)</f>
        <v/>
      </c>
      <c r="K3248" s="26">
        <f>IF($A3248="","",SUMPRODUCT(--ISNUMBER(SEARCH('Category Dictionary'!$D$5:$D$135&amp;"",$C3248)),--('Category Dictionary'!$D$5:$D$135&lt;&gt;"")))</f>
        <v/>
      </c>
      <c r="L3248" s="27">
        <f>IF($A3248="","",TRIM(IF(ISERROR(FIND(",",$C3248)),$C3248,LEFT($C3248,FIND(",",$C3248)-1))))</f>
        <v/>
      </c>
      <c r="M3248" s="28">
        <f>IF($H3248="","",DATE(YEAR($H3248),MONTH($H3248),1))</f>
        <v/>
      </c>
      <c r="N3248" s="26">
        <f>IF($H3248="","",TODAY()-$H3248)</f>
        <v/>
      </c>
      <c r="O3248" s="15" t="n"/>
      <c r="P3248" s="15" t="n"/>
      <c r="Q3248" s="15" t="n"/>
      <c r="R3248" s="25" t="n"/>
      <c r="S3248" s="26">
        <f>IF($A3248="","",AND(OR('Assignment Builder'!$B$5="",$B3248='Assignment Builder'!$B$5),OR('Assignment Builder'!$B$6="",ISNUMBER(SEARCH('Assignment Builder'!$B$6,$C3248))),OR('Assignment Builder'!$B$7="",'Assignment Builder'!$B$7=IFERROR(INDEX('Category Dictionary'!$C$5:$C$135,MATCH($L3248,'Category Dictionary'!$D$5:$D$135,0)),"")),OR('Assignment Builder'!$B$8="",$D3248='Assignment Builder'!$B$8),OR('Assignment Builder'!$B$9="",$F3248='Assignment Builder'!$B$9),OR('Assignment Builder'!$B$10="",$O3248='Assignment Builder'!$B$10),OR('Assignment Builder'!$B$11="",$H3248&gt;='Assignment Builder'!$B$11),OR('Assignment Builder'!$B$12="",N($Q3248)&lt;='Assignment Builder'!$B$12)))</f>
        <v/>
      </c>
      <c r="T3248" s="23" t="n"/>
    </row>
    <row r="3249">
      <c r="A3249" s="23" t="n"/>
      <c r="B3249" s="23" t="n"/>
      <c r="C3249" s="24" t="n"/>
      <c r="D3249" s="15" t="n"/>
      <c r="E3249" s="23" t="n"/>
      <c r="F3249" s="15" t="n"/>
      <c r="G3249" s="23" t="n"/>
      <c r="H3249" s="25" t="n"/>
      <c r="I3249" s="15" t="n"/>
      <c r="J3249" s="26">
        <f>IF($A3249="","",LEN($C3249)-LEN(SUBSTITUTE($C3249,",",""))+1)</f>
        <v/>
      </c>
      <c r="K3249" s="26">
        <f>IF($A3249="","",SUMPRODUCT(--ISNUMBER(SEARCH('Category Dictionary'!$D$5:$D$135&amp;"",$C3249)),--('Category Dictionary'!$D$5:$D$135&lt;&gt;"")))</f>
        <v/>
      </c>
      <c r="L3249" s="27">
        <f>IF($A3249="","",TRIM(IF(ISERROR(FIND(",",$C3249)),$C3249,LEFT($C3249,FIND(",",$C3249)-1))))</f>
        <v/>
      </c>
      <c r="M3249" s="28">
        <f>IF($H3249="","",DATE(YEAR($H3249),MONTH($H3249),1))</f>
        <v/>
      </c>
      <c r="N3249" s="26">
        <f>IF($H3249="","",TODAY()-$H3249)</f>
        <v/>
      </c>
      <c r="O3249" s="15" t="n"/>
      <c r="P3249" s="15" t="n"/>
      <c r="Q3249" s="15" t="n"/>
      <c r="R3249" s="25" t="n"/>
      <c r="S3249" s="26">
        <f>IF($A3249="","",AND(OR('Assignment Builder'!$B$5="",$B3249='Assignment Builder'!$B$5),OR('Assignment Builder'!$B$6="",ISNUMBER(SEARCH('Assignment Builder'!$B$6,$C3249))),OR('Assignment Builder'!$B$7="",'Assignment Builder'!$B$7=IFERROR(INDEX('Category Dictionary'!$C$5:$C$135,MATCH($L3249,'Category Dictionary'!$D$5:$D$135,0)),"")),OR('Assignment Builder'!$B$8="",$D3249='Assignment Builder'!$B$8),OR('Assignment Builder'!$B$9="",$F3249='Assignment Builder'!$B$9),OR('Assignment Builder'!$B$10="",$O3249='Assignment Builder'!$B$10),OR('Assignment Builder'!$B$11="",$H3249&gt;='Assignment Builder'!$B$11),OR('Assignment Builder'!$B$12="",N($Q3249)&lt;='Assignment Builder'!$B$12)))</f>
        <v/>
      </c>
      <c r="T3249" s="23" t="n"/>
    </row>
    <row r="3250">
      <c r="A3250" s="23" t="n"/>
      <c r="B3250" s="23" t="n"/>
      <c r="C3250" s="24" t="n"/>
      <c r="D3250" s="15" t="n"/>
      <c r="E3250" s="23" t="n"/>
      <c r="F3250" s="15" t="n"/>
      <c r="G3250" s="23" t="n"/>
      <c r="H3250" s="25" t="n"/>
      <c r="I3250" s="15" t="n"/>
      <c r="J3250" s="26">
        <f>IF($A3250="","",LEN($C3250)-LEN(SUBSTITUTE($C3250,",",""))+1)</f>
        <v/>
      </c>
      <c r="K3250" s="26">
        <f>IF($A3250="","",SUMPRODUCT(--ISNUMBER(SEARCH('Category Dictionary'!$D$5:$D$135&amp;"",$C3250)),--('Category Dictionary'!$D$5:$D$135&lt;&gt;"")))</f>
        <v/>
      </c>
      <c r="L3250" s="27">
        <f>IF($A3250="","",TRIM(IF(ISERROR(FIND(",",$C3250)),$C3250,LEFT($C3250,FIND(",",$C3250)-1))))</f>
        <v/>
      </c>
      <c r="M3250" s="28">
        <f>IF($H3250="","",DATE(YEAR($H3250),MONTH($H3250),1))</f>
        <v/>
      </c>
      <c r="N3250" s="26">
        <f>IF($H3250="","",TODAY()-$H3250)</f>
        <v/>
      </c>
      <c r="O3250" s="15" t="n"/>
      <c r="P3250" s="15" t="n"/>
      <c r="Q3250" s="15" t="n"/>
      <c r="R3250" s="25" t="n"/>
      <c r="S3250" s="26">
        <f>IF($A3250="","",AND(OR('Assignment Builder'!$B$5="",$B3250='Assignment Builder'!$B$5),OR('Assignment Builder'!$B$6="",ISNUMBER(SEARCH('Assignment Builder'!$B$6,$C3250))),OR('Assignment Builder'!$B$7="",'Assignment Builder'!$B$7=IFERROR(INDEX('Category Dictionary'!$C$5:$C$135,MATCH($L3250,'Category Dictionary'!$D$5:$D$135,0)),"")),OR('Assignment Builder'!$B$8="",$D3250='Assignment Builder'!$B$8),OR('Assignment Builder'!$B$9="",$F3250='Assignment Builder'!$B$9),OR('Assignment Builder'!$B$10="",$O3250='Assignment Builder'!$B$10),OR('Assignment Builder'!$B$11="",$H3250&gt;='Assignment Builder'!$B$11),OR('Assignment Builder'!$B$12="",N($Q3250)&lt;='Assignment Builder'!$B$12)))</f>
        <v/>
      </c>
      <c r="T3250" s="23" t="n"/>
    </row>
    <row r="3251">
      <c r="A3251" s="23" t="n"/>
      <c r="B3251" s="23" t="n"/>
      <c r="C3251" s="24" t="n"/>
      <c r="D3251" s="15" t="n"/>
      <c r="E3251" s="23" t="n"/>
      <c r="F3251" s="15" t="n"/>
      <c r="G3251" s="23" t="n"/>
      <c r="H3251" s="25" t="n"/>
      <c r="I3251" s="15" t="n"/>
      <c r="J3251" s="26">
        <f>IF($A3251="","",LEN($C3251)-LEN(SUBSTITUTE($C3251,",",""))+1)</f>
        <v/>
      </c>
      <c r="K3251" s="26">
        <f>IF($A3251="","",SUMPRODUCT(--ISNUMBER(SEARCH('Category Dictionary'!$D$5:$D$135&amp;"",$C3251)),--('Category Dictionary'!$D$5:$D$135&lt;&gt;"")))</f>
        <v/>
      </c>
      <c r="L3251" s="27">
        <f>IF($A3251="","",TRIM(IF(ISERROR(FIND(",",$C3251)),$C3251,LEFT($C3251,FIND(",",$C3251)-1))))</f>
        <v/>
      </c>
      <c r="M3251" s="28">
        <f>IF($H3251="","",DATE(YEAR($H3251),MONTH($H3251),1))</f>
        <v/>
      </c>
      <c r="N3251" s="26">
        <f>IF($H3251="","",TODAY()-$H3251)</f>
        <v/>
      </c>
      <c r="O3251" s="15" t="n"/>
      <c r="P3251" s="15" t="n"/>
      <c r="Q3251" s="15" t="n"/>
      <c r="R3251" s="25" t="n"/>
      <c r="S3251" s="26">
        <f>IF($A3251="","",AND(OR('Assignment Builder'!$B$5="",$B3251='Assignment Builder'!$B$5),OR('Assignment Builder'!$B$6="",ISNUMBER(SEARCH('Assignment Builder'!$B$6,$C3251))),OR('Assignment Builder'!$B$7="",'Assignment Builder'!$B$7=IFERROR(INDEX('Category Dictionary'!$C$5:$C$135,MATCH($L3251,'Category Dictionary'!$D$5:$D$135,0)),"")),OR('Assignment Builder'!$B$8="",$D3251='Assignment Builder'!$B$8),OR('Assignment Builder'!$B$9="",$F3251='Assignment Builder'!$B$9),OR('Assignment Builder'!$B$10="",$O3251='Assignment Builder'!$B$10),OR('Assignment Builder'!$B$11="",$H3251&gt;='Assignment Builder'!$B$11),OR('Assignment Builder'!$B$12="",N($Q3251)&lt;='Assignment Builder'!$B$12)))</f>
        <v/>
      </c>
      <c r="T3251" s="23" t="n"/>
    </row>
    <row r="3252">
      <c r="A3252" s="23" t="n"/>
      <c r="B3252" s="23" t="n"/>
      <c r="C3252" s="24" t="n"/>
      <c r="D3252" s="15" t="n"/>
      <c r="E3252" s="23" t="n"/>
      <c r="F3252" s="15" t="n"/>
      <c r="G3252" s="23" t="n"/>
      <c r="H3252" s="25" t="n"/>
      <c r="I3252" s="15" t="n"/>
      <c r="J3252" s="26">
        <f>IF($A3252="","",LEN($C3252)-LEN(SUBSTITUTE($C3252,",",""))+1)</f>
        <v/>
      </c>
      <c r="K3252" s="26">
        <f>IF($A3252="","",SUMPRODUCT(--ISNUMBER(SEARCH('Category Dictionary'!$D$5:$D$135&amp;"",$C3252)),--('Category Dictionary'!$D$5:$D$135&lt;&gt;"")))</f>
        <v/>
      </c>
      <c r="L3252" s="27">
        <f>IF($A3252="","",TRIM(IF(ISERROR(FIND(",",$C3252)),$C3252,LEFT($C3252,FIND(",",$C3252)-1))))</f>
        <v/>
      </c>
      <c r="M3252" s="28">
        <f>IF($H3252="","",DATE(YEAR($H3252),MONTH($H3252),1))</f>
        <v/>
      </c>
      <c r="N3252" s="26">
        <f>IF($H3252="","",TODAY()-$H3252)</f>
        <v/>
      </c>
      <c r="O3252" s="15" t="n"/>
      <c r="P3252" s="15" t="n"/>
      <c r="Q3252" s="15" t="n"/>
      <c r="R3252" s="25" t="n"/>
      <c r="S3252" s="26">
        <f>IF($A3252="","",AND(OR('Assignment Builder'!$B$5="",$B3252='Assignment Builder'!$B$5),OR('Assignment Builder'!$B$6="",ISNUMBER(SEARCH('Assignment Builder'!$B$6,$C3252))),OR('Assignment Builder'!$B$7="",'Assignment Builder'!$B$7=IFERROR(INDEX('Category Dictionary'!$C$5:$C$135,MATCH($L3252,'Category Dictionary'!$D$5:$D$135,0)),"")),OR('Assignment Builder'!$B$8="",$D3252='Assignment Builder'!$B$8),OR('Assignment Builder'!$B$9="",$F3252='Assignment Builder'!$B$9),OR('Assignment Builder'!$B$10="",$O3252='Assignment Builder'!$B$10),OR('Assignment Builder'!$B$11="",$H3252&gt;='Assignment Builder'!$B$11),OR('Assignment Builder'!$B$12="",N($Q3252)&lt;='Assignment Builder'!$B$12)))</f>
        <v/>
      </c>
      <c r="T3252" s="23" t="n"/>
    </row>
    <row r="3253">
      <c r="A3253" s="23" t="n"/>
      <c r="B3253" s="23" t="n"/>
      <c r="C3253" s="24" t="n"/>
      <c r="D3253" s="15" t="n"/>
      <c r="E3253" s="23" t="n"/>
      <c r="F3253" s="15" t="n"/>
      <c r="G3253" s="23" t="n"/>
      <c r="H3253" s="25" t="n"/>
      <c r="I3253" s="15" t="n"/>
      <c r="J3253" s="26">
        <f>IF($A3253="","",LEN($C3253)-LEN(SUBSTITUTE($C3253,",",""))+1)</f>
        <v/>
      </c>
      <c r="K3253" s="26">
        <f>IF($A3253="","",SUMPRODUCT(--ISNUMBER(SEARCH('Category Dictionary'!$D$5:$D$135&amp;"",$C3253)),--('Category Dictionary'!$D$5:$D$135&lt;&gt;"")))</f>
        <v/>
      </c>
      <c r="L3253" s="27">
        <f>IF($A3253="","",TRIM(IF(ISERROR(FIND(",",$C3253)),$C3253,LEFT($C3253,FIND(",",$C3253)-1))))</f>
        <v/>
      </c>
      <c r="M3253" s="28">
        <f>IF($H3253="","",DATE(YEAR($H3253),MONTH($H3253),1))</f>
        <v/>
      </c>
      <c r="N3253" s="26">
        <f>IF($H3253="","",TODAY()-$H3253)</f>
        <v/>
      </c>
      <c r="O3253" s="15" t="n"/>
      <c r="P3253" s="15" t="n"/>
      <c r="Q3253" s="15" t="n"/>
      <c r="R3253" s="25" t="n"/>
      <c r="S3253" s="26">
        <f>IF($A3253="","",AND(OR('Assignment Builder'!$B$5="",$B3253='Assignment Builder'!$B$5),OR('Assignment Builder'!$B$6="",ISNUMBER(SEARCH('Assignment Builder'!$B$6,$C3253))),OR('Assignment Builder'!$B$7="",'Assignment Builder'!$B$7=IFERROR(INDEX('Category Dictionary'!$C$5:$C$135,MATCH($L3253,'Category Dictionary'!$D$5:$D$135,0)),"")),OR('Assignment Builder'!$B$8="",$D3253='Assignment Builder'!$B$8),OR('Assignment Builder'!$B$9="",$F3253='Assignment Builder'!$B$9),OR('Assignment Builder'!$B$10="",$O3253='Assignment Builder'!$B$10),OR('Assignment Builder'!$B$11="",$H3253&gt;='Assignment Builder'!$B$11),OR('Assignment Builder'!$B$12="",N($Q3253)&lt;='Assignment Builder'!$B$12)))</f>
        <v/>
      </c>
      <c r="T3253" s="23" t="n"/>
    </row>
    <row r="3254">
      <c r="A3254" s="23" t="n"/>
      <c r="B3254" s="23" t="n"/>
      <c r="C3254" s="24" t="n"/>
      <c r="D3254" s="15" t="n"/>
      <c r="E3254" s="23" t="n"/>
      <c r="F3254" s="15" t="n"/>
      <c r="G3254" s="23" t="n"/>
      <c r="H3254" s="25" t="n"/>
      <c r="I3254" s="15" t="n"/>
      <c r="J3254" s="26">
        <f>IF($A3254="","",LEN($C3254)-LEN(SUBSTITUTE($C3254,",",""))+1)</f>
        <v/>
      </c>
      <c r="K3254" s="26">
        <f>IF($A3254="","",SUMPRODUCT(--ISNUMBER(SEARCH('Category Dictionary'!$D$5:$D$135&amp;"",$C3254)),--('Category Dictionary'!$D$5:$D$135&lt;&gt;"")))</f>
        <v/>
      </c>
      <c r="L3254" s="27">
        <f>IF($A3254="","",TRIM(IF(ISERROR(FIND(",",$C3254)),$C3254,LEFT($C3254,FIND(",",$C3254)-1))))</f>
        <v/>
      </c>
      <c r="M3254" s="28">
        <f>IF($H3254="","",DATE(YEAR($H3254),MONTH($H3254),1))</f>
        <v/>
      </c>
      <c r="N3254" s="26">
        <f>IF($H3254="","",TODAY()-$H3254)</f>
        <v/>
      </c>
      <c r="O3254" s="15" t="n"/>
      <c r="P3254" s="15" t="n"/>
      <c r="Q3254" s="15" t="n"/>
      <c r="R3254" s="25" t="n"/>
      <c r="S3254" s="26">
        <f>IF($A3254="","",AND(OR('Assignment Builder'!$B$5="",$B3254='Assignment Builder'!$B$5),OR('Assignment Builder'!$B$6="",ISNUMBER(SEARCH('Assignment Builder'!$B$6,$C3254))),OR('Assignment Builder'!$B$7="",'Assignment Builder'!$B$7=IFERROR(INDEX('Category Dictionary'!$C$5:$C$135,MATCH($L3254,'Category Dictionary'!$D$5:$D$135,0)),"")),OR('Assignment Builder'!$B$8="",$D3254='Assignment Builder'!$B$8),OR('Assignment Builder'!$B$9="",$F3254='Assignment Builder'!$B$9),OR('Assignment Builder'!$B$10="",$O3254='Assignment Builder'!$B$10),OR('Assignment Builder'!$B$11="",$H3254&gt;='Assignment Builder'!$B$11),OR('Assignment Builder'!$B$12="",N($Q3254)&lt;='Assignment Builder'!$B$12)))</f>
        <v/>
      </c>
      <c r="T3254" s="23" t="n"/>
    </row>
    <row r="3255">
      <c r="A3255" s="23" t="n"/>
      <c r="B3255" s="23" t="n"/>
      <c r="C3255" s="24" t="n"/>
      <c r="D3255" s="15" t="n"/>
      <c r="E3255" s="23" t="n"/>
      <c r="F3255" s="15" t="n"/>
      <c r="G3255" s="23" t="n"/>
      <c r="H3255" s="25" t="n"/>
      <c r="I3255" s="15" t="n"/>
      <c r="J3255" s="26">
        <f>IF($A3255="","",LEN($C3255)-LEN(SUBSTITUTE($C3255,",",""))+1)</f>
        <v/>
      </c>
      <c r="K3255" s="26">
        <f>IF($A3255="","",SUMPRODUCT(--ISNUMBER(SEARCH('Category Dictionary'!$D$5:$D$135&amp;"",$C3255)),--('Category Dictionary'!$D$5:$D$135&lt;&gt;"")))</f>
        <v/>
      </c>
      <c r="L3255" s="27">
        <f>IF($A3255="","",TRIM(IF(ISERROR(FIND(",",$C3255)),$C3255,LEFT($C3255,FIND(",",$C3255)-1))))</f>
        <v/>
      </c>
      <c r="M3255" s="28">
        <f>IF($H3255="","",DATE(YEAR($H3255),MONTH($H3255),1))</f>
        <v/>
      </c>
      <c r="N3255" s="26">
        <f>IF($H3255="","",TODAY()-$H3255)</f>
        <v/>
      </c>
      <c r="O3255" s="15" t="n"/>
      <c r="P3255" s="15" t="n"/>
      <c r="Q3255" s="15" t="n"/>
      <c r="R3255" s="25" t="n"/>
      <c r="S3255" s="26">
        <f>IF($A3255="","",AND(OR('Assignment Builder'!$B$5="",$B3255='Assignment Builder'!$B$5),OR('Assignment Builder'!$B$6="",ISNUMBER(SEARCH('Assignment Builder'!$B$6,$C3255))),OR('Assignment Builder'!$B$7="",'Assignment Builder'!$B$7=IFERROR(INDEX('Category Dictionary'!$C$5:$C$135,MATCH($L3255,'Category Dictionary'!$D$5:$D$135,0)),"")),OR('Assignment Builder'!$B$8="",$D3255='Assignment Builder'!$B$8),OR('Assignment Builder'!$B$9="",$F3255='Assignment Builder'!$B$9),OR('Assignment Builder'!$B$10="",$O3255='Assignment Builder'!$B$10),OR('Assignment Builder'!$B$11="",$H3255&gt;='Assignment Builder'!$B$11),OR('Assignment Builder'!$B$12="",N($Q3255)&lt;='Assignment Builder'!$B$12)))</f>
        <v/>
      </c>
      <c r="T3255" s="23" t="n"/>
    </row>
    <row r="3256">
      <c r="A3256" s="23" t="n"/>
      <c r="B3256" s="23" t="n"/>
      <c r="C3256" s="24" t="n"/>
      <c r="D3256" s="15" t="n"/>
      <c r="E3256" s="23" t="n"/>
      <c r="F3256" s="15" t="n"/>
      <c r="G3256" s="23" t="n"/>
      <c r="H3256" s="25" t="n"/>
      <c r="I3256" s="15" t="n"/>
      <c r="J3256" s="26">
        <f>IF($A3256="","",LEN($C3256)-LEN(SUBSTITUTE($C3256,",",""))+1)</f>
        <v/>
      </c>
      <c r="K3256" s="26">
        <f>IF($A3256="","",SUMPRODUCT(--ISNUMBER(SEARCH('Category Dictionary'!$D$5:$D$135&amp;"",$C3256)),--('Category Dictionary'!$D$5:$D$135&lt;&gt;"")))</f>
        <v/>
      </c>
      <c r="L3256" s="27">
        <f>IF($A3256="","",TRIM(IF(ISERROR(FIND(",",$C3256)),$C3256,LEFT($C3256,FIND(",",$C3256)-1))))</f>
        <v/>
      </c>
      <c r="M3256" s="28">
        <f>IF($H3256="","",DATE(YEAR($H3256),MONTH($H3256),1))</f>
        <v/>
      </c>
      <c r="N3256" s="26">
        <f>IF($H3256="","",TODAY()-$H3256)</f>
        <v/>
      </c>
      <c r="O3256" s="15" t="n"/>
      <c r="P3256" s="15" t="n"/>
      <c r="Q3256" s="15" t="n"/>
      <c r="R3256" s="25" t="n"/>
      <c r="S3256" s="26">
        <f>IF($A3256="","",AND(OR('Assignment Builder'!$B$5="",$B3256='Assignment Builder'!$B$5),OR('Assignment Builder'!$B$6="",ISNUMBER(SEARCH('Assignment Builder'!$B$6,$C3256))),OR('Assignment Builder'!$B$7="",'Assignment Builder'!$B$7=IFERROR(INDEX('Category Dictionary'!$C$5:$C$135,MATCH($L3256,'Category Dictionary'!$D$5:$D$135,0)),"")),OR('Assignment Builder'!$B$8="",$D3256='Assignment Builder'!$B$8),OR('Assignment Builder'!$B$9="",$F3256='Assignment Builder'!$B$9),OR('Assignment Builder'!$B$10="",$O3256='Assignment Builder'!$B$10),OR('Assignment Builder'!$B$11="",$H3256&gt;='Assignment Builder'!$B$11),OR('Assignment Builder'!$B$12="",N($Q3256)&lt;='Assignment Builder'!$B$12)))</f>
        <v/>
      </c>
      <c r="T3256" s="23" t="n"/>
    </row>
    <row r="3257">
      <c r="A3257" s="23" t="n"/>
      <c r="B3257" s="23" t="n"/>
      <c r="C3257" s="24" t="n"/>
      <c r="D3257" s="15" t="n"/>
      <c r="E3257" s="23" t="n"/>
      <c r="F3257" s="15" t="n"/>
      <c r="G3257" s="23" t="n"/>
      <c r="H3257" s="25" t="n"/>
      <c r="I3257" s="15" t="n"/>
      <c r="J3257" s="26">
        <f>IF($A3257="","",LEN($C3257)-LEN(SUBSTITUTE($C3257,",",""))+1)</f>
        <v/>
      </c>
      <c r="K3257" s="26">
        <f>IF($A3257="","",SUMPRODUCT(--ISNUMBER(SEARCH('Category Dictionary'!$D$5:$D$135&amp;"",$C3257)),--('Category Dictionary'!$D$5:$D$135&lt;&gt;"")))</f>
        <v/>
      </c>
      <c r="L3257" s="27">
        <f>IF($A3257="","",TRIM(IF(ISERROR(FIND(",",$C3257)),$C3257,LEFT($C3257,FIND(",",$C3257)-1))))</f>
        <v/>
      </c>
      <c r="M3257" s="28">
        <f>IF($H3257="","",DATE(YEAR($H3257),MONTH($H3257),1))</f>
        <v/>
      </c>
      <c r="N3257" s="26">
        <f>IF($H3257="","",TODAY()-$H3257)</f>
        <v/>
      </c>
      <c r="O3257" s="15" t="n"/>
      <c r="P3257" s="15" t="n"/>
      <c r="Q3257" s="15" t="n"/>
      <c r="R3257" s="25" t="n"/>
      <c r="S3257" s="26">
        <f>IF($A3257="","",AND(OR('Assignment Builder'!$B$5="",$B3257='Assignment Builder'!$B$5),OR('Assignment Builder'!$B$6="",ISNUMBER(SEARCH('Assignment Builder'!$B$6,$C3257))),OR('Assignment Builder'!$B$7="",'Assignment Builder'!$B$7=IFERROR(INDEX('Category Dictionary'!$C$5:$C$135,MATCH($L3257,'Category Dictionary'!$D$5:$D$135,0)),"")),OR('Assignment Builder'!$B$8="",$D3257='Assignment Builder'!$B$8),OR('Assignment Builder'!$B$9="",$F3257='Assignment Builder'!$B$9),OR('Assignment Builder'!$B$10="",$O3257='Assignment Builder'!$B$10),OR('Assignment Builder'!$B$11="",$H3257&gt;='Assignment Builder'!$B$11),OR('Assignment Builder'!$B$12="",N($Q3257)&lt;='Assignment Builder'!$B$12)))</f>
        <v/>
      </c>
      <c r="T3257" s="23" t="n"/>
    </row>
    <row r="3258">
      <c r="A3258" s="23" t="n"/>
      <c r="B3258" s="23" t="n"/>
      <c r="C3258" s="24" t="n"/>
      <c r="D3258" s="15" t="n"/>
      <c r="E3258" s="23" t="n"/>
      <c r="F3258" s="15" t="n"/>
      <c r="G3258" s="23" t="n"/>
      <c r="H3258" s="25" t="n"/>
      <c r="I3258" s="15" t="n"/>
      <c r="J3258" s="26">
        <f>IF($A3258="","",LEN($C3258)-LEN(SUBSTITUTE($C3258,",",""))+1)</f>
        <v/>
      </c>
      <c r="K3258" s="26">
        <f>IF($A3258="","",SUMPRODUCT(--ISNUMBER(SEARCH('Category Dictionary'!$D$5:$D$135&amp;"",$C3258)),--('Category Dictionary'!$D$5:$D$135&lt;&gt;"")))</f>
        <v/>
      </c>
      <c r="L3258" s="27">
        <f>IF($A3258="","",TRIM(IF(ISERROR(FIND(",",$C3258)),$C3258,LEFT($C3258,FIND(",",$C3258)-1))))</f>
        <v/>
      </c>
      <c r="M3258" s="28">
        <f>IF($H3258="","",DATE(YEAR($H3258),MONTH($H3258),1))</f>
        <v/>
      </c>
      <c r="N3258" s="26">
        <f>IF($H3258="","",TODAY()-$H3258)</f>
        <v/>
      </c>
      <c r="O3258" s="15" t="n"/>
      <c r="P3258" s="15" t="n"/>
      <c r="Q3258" s="15" t="n"/>
      <c r="R3258" s="25" t="n"/>
      <c r="S3258" s="26">
        <f>IF($A3258="","",AND(OR('Assignment Builder'!$B$5="",$B3258='Assignment Builder'!$B$5),OR('Assignment Builder'!$B$6="",ISNUMBER(SEARCH('Assignment Builder'!$B$6,$C3258))),OR('Assignment Builder'!$B$7="",'Assignment Builder'!$B$7=IFERROR(INDEX('Category Dictionary'!$C$5:$C$135,MATCH($L3258,'Category Dictionary'!$D$5:$D$135,0)),"")),OR('Assignment Builder'!$B$8="",$D3258='Assignment Builder'!$B$8),OR('Assignment Builder'!$B$9="",$F3258='Assignment Builder'!$B$9),OR('Assignment Builder'!$B$10="",$O3258='Assignment Builder'!$B$10),OR('Assignment Builder'!$B$11="",$H3258&gt;='Assignment Builder'!$B$11),OR('Assignment Builder'!$B$12="",N($Q3258)&lt;='Assignment Builder'!$B$12)))</f>
        <v/>
      </c>
      <c r="T3258" s="23" t="n"/>
    </row>
    <row r="3259">
      <c r="A3259" s="23" t="n"/>
      <c r="B3259" s="23" t="n"/>
      <c r="C3259" s="24" t="n"/>
      <c r="D3259" s="15" t="n"/>
      <c r="E3259" s="23" t="n"/>
      <c r="F3259" s="15" t="n"/>
      <c r="G3259" s="23" t="n"/>
      <c r="H3259" s="25" t="n"/>
      <c r="I3259" s="15" t="n"/>
      <c r="J3259" s="26">
        <f>IF($A3259="","",LEN($C3259)-LEN(SUBSTITUTE($C3259,",",""))+1)</f>
        <v/>
      </c>
      <c r="K3259" s="26">
        <f>IF($A3259="","",SUMPRODUCT(--ISNUMBER(SEARCH('Category Dictionary'!$D$5:$D$135&amp;"",$C3259)),--('Category Dictionary'!$D$5:$D$135&lt;&gt;"")))</f>
        <v/>
      </c>
      <c r="L3259" s="27">
        <f>IF($A3259="","",TRIM(IF(ISERROR(FIND(",",$C3259)),$C3259,LEFT($C3259,FIND(",",$C3259)-1))))</f>
        <v/>
      </c>
      <c r="M3259" s="28">
        <f>IF($H3259="","",DATE(YEAR($H3259),MONTH($H3259),1))</f>
        <v/>
      </c>
      <c r="N3259" s="26">
        <f>IF($H3259="","",TODAY()-$H3259)</f>
        <v/>
      </c>
      <c r="O3259" s="15" t="n"/>
      <c r="P3259" s="15" t="n"/>
      <c r="Q3259" s="15" t="n"/>
      <c r="R3259" s="25" t="n"/>
      <c r="S3259" s="26">
        <f>IF($A3259="","",AND(OR('Assignment Builder'!$B$5="",$B3259='Assignment Builder'!$B$5),OR('Assignment Builder'!$B$6="",ISNUMBER(SEARCH('Assignment Builder'!$B$6,$C3259))),OR('Assignment Builder'!$B$7="",'Assignment Builder'!$B$7=IFERROR(INDEX('Category Dictionary'!$C$5:$C$135,MATCH($L3259,'Category Dictionary'!$D$5:$D$135,0)),"")),OR('Assignment Builder'!$B$8="",$D3259='Assignment Builder'!$B$8),OR('Assignment Builder'!$B$9="",$F3259='Assignment Builder'!$B$9),OR('Assignment Builder'!$B$10="",$O3259='Assignment Builder'!$B$10),OR('Assignment Builder'!$B$11="",$H3259&gt;='Assignment Builder'!$B$11),OR('Assignment Builder'!$B$12="",N($Q3259)&lt;='Assignment Builder'!$B$12)))</f>
        <v/>
      </c>
      <c r="T3259" s="23" t="n"/>
    </row>
    <row r="3260">
      <c r="A3260" s="23" t="n"/>
      <c r="B3260" s="23" t="n"/>
      <c r="C3260" s="24" t="n"/>
      <c r="D3260" s="15" t="n"/>
      <c r="E3260" s="23" t="n"/>
      <c r="F3260" s="15" t="n"/>
      <c r="G3260" s="23" t="n"/>
      <c r="H3260" s="25" t="n"/>
      <c r="I3260" s="15" t="n"/>
      <c r="J3260" s="26">
        <f>IF($A3260="","",LEN($C3260)-LEN(SUBSTITUTE($C3260,",",""))+1)</f>
        <v/>
      </c>
      <c r="K3260" s="26">
        <f>IF($A3260="","",SUMPRODUCT(--ISNUMBER(SEARCH('Category Dictionary'!$D$5:$D$135&amp;"",$C3260)),--('Category Dictionary'!$D$5:$D$135&lt;&gt;"")))</f>
        <v/>
      </c>
      <c r="L3260" s="27">
        <f>IF($A3260="","",TRIM(IF(ISERROR(FIND(",",$C3260)),$C3260,LEFT($C3260,FIND(",",$C3260)-1))))</f>
        <v/>
      </c>
      <c r="M3260" s="28">
        <f>IF($H3260="","",DATE(YEAR($H3260),MONTH($H3260),1))</f>
        <v/>
      </c>
      <c r="N3260" s="26">
        <f>IF($H3260="","",TODAY()-$H3260)</f>
        <v/>
      </c>
      <c r="O3260" s="15" t="n"/>
      <c r="P3260" s="15" t="n"/>
      <c r="Q3260" s="15" t="n"/>
      <c r="R3260" s="25" t="n"/>
      <c r="S3260" s="26">
        <f>IF($A3260="","",AND(OR('Assignment Builder'!$B$5="",$B3260='Assignment Builder'!$B$5),OR('Assignment Builder'!$B$6="",ISNUMBER(SEARCH('Assignment Builder'!$B$6,$C3260))),OR('Assignment Builder'!$B$7="",'Assignment Builder'!$B$7=IFERROR(INDEX('Category Dictionary'!$C$5:$C$135,MATCH($L3260,'Category Dictionary'!$D$5:$D$135,0)),"")),OR('Assignment Builder'!$B$8="",$D3260='Assignment Builder'!$B$8),OR('Assignment Builder'!$B$9="",$F3260='Assignment Builder'!$B$9),OR('Assignment Builder'!$B$10="",$O3260='Assignment Builder'!$B$10),OR('Assignment Builder'!$B$11="",$H3260&gt;='Assignment Builder'!$B$11),OR('Assignment Builder'!$B$12="",N($Q3260)&lt;='Assignment Builder'!$B$12)))</f>
        <v/>
      </c>
      <c r="T3260" s="23" t="n"/>
    </row>
    <row r="3261">
      <c r="A3261" s="23" t="n"/>
      <c r="B3261" s="23" t="n"/>
      <c r="C3261" s="24" t="n"/>
      <c r="D3261" s="15" t="n"/>
      <c r="E3261" s="23" t="n"/>
      <c r="F3261" s="15" t="n"/>
      <c r="G3261" s="23" t="n"/>
      <c r="H3261" s="25" t="n"/>
      <c r="I3261" s="15" t="n"/>
      <c r="J3261" s="26">
        <f>IF($A3261="","",LEN($C3261)-LEN(SUBSTITUTE($C3261,",",""))+1)</f>
        <v/>
      </c>
      <c r="K3261" s="26">
        <f>IF($A3261="","",SUMPRODUCT(--ISNUMBER(SEARCH('Category Dictionary'!$D$5:$D$135&amp;"",$C3261)),--('Category Dictionary'!$D$5:$D$135&lt;&gt;"")))</f>
        <v/>
      </c>
      <c r="L3261" s="27">
        <f>IF($A3261="","",TRIM(IF(ISERROR(FIND(",",$C3261)),$C3261,LEFT($C3261,FIND(",",$C3261)-1))))</f>
        <v/>
      </c>
      <c r="M3261" s="28">
        <f>IF($H3261="","",DATE(YEAR($H3261),MONTH($H3261),1))</f>
        <v/>
      </c>
      <c r="N3261" s="26">
        <f>IF($H3261="","",TODAY()-$H3261)</f>
        <v/>
      </c>
      <c r="O3261" s="15" t="n"/>
      <c r="P3261" s="15" t="n"/>
      <c r="Q3261" s="15" t="n"/>
      <c r="R3261" s="25" t="n"/>
      <c r="S3261" s="26">
        <f>IF($A3261="","",AND(OR('Assignment Builder'!$B$5="",$B3261='Assignment Builder'!$B$5),OR('Assignment Builder'!$B$6="",ISNUMBER(SEARCH('Assignment Builder'!$B$6,$C3261))),OR('Assignment Builder'!$B$7="",'Assignment Builder'!$B$7=IFERROR(INDEX('Category Dictionary'!$C$5:$C$135,MATCH($L3261,'Category Dictionary'!$D$5:$D$135,0)),"")),OR('Assignment Builder'!$B$8="",$D3261='Assignment Builder'!$B$8),OR('Assignment Builder'!$B$9="",$F3261='Assignment Builder'!$B$9),OR('Assignment Builder'!$B$10="",$O3261='Assignment Builder'!$B$10),OR('Assignment Builder'!$B$11="",$H3261&gt;='Assignment Builder'!$B$11),OR('Assignment Builder'!$B$12="",N($Q3261)&lt;='Assignment Builder'!$B$12)))</f>
        <v/>
      </c>
      <c r="T3261" s="23" t="n"/>
    </row>
    <row r="3262">
      <c r="A3262" s="23" t="n"/>
      <c r="B3262" s="23" t="n"/>
      <c r="C3262" s="24" t="n"/>
      <c r="D3262" s="15" t="n"/>
      <c r="E3262" s="23" t="n"/>
      <c r="F3262" s="15" t="n"/>
      <c r="G3262" s="23" t="n"/>
      <c r="H3262" s="25" t="n"/>
      <c r="I3262" s="15" t="n"/>
      <c r="J3262" s="26">
        <f>IF($A3262="","",LEN($C3262)-LEN(SUBSTITUTE($C3262,",",""))+1)</f>
        <v/>
      </c>
      <c r="K3262" s="26">
        <f>IF($A3262="","",SUMPRODUCT(--ISNUMBER(SEARCH('Category Dictionary'!$D$5:$D$135&amp;"",$C3262)),--('Category Dictionary'!$D$5:$D$135&lt;&gt;"")))</f>
        <v/>
      </c>
      <c r="L3262" s="27">
        <f>IF($A3262="","",TRIM(IF(ISERROR(FIND(",",$C3262)),$C3262,LEFT($C3262,FIND(",",$C3262)-1))))</f>
        <v/>
      </c>
      <c r="M3262" s="28">
        <f>IF($H3262="","",DATE(YEAR($H3262),MONTH($H3262),1))</f>
        <v/>
      </c>
      <c r="N3262" s="26">
        <f>IF($H3262="","",TODAY()-$H3262)</f>
        <v/>
      </c>
      <c r="O3262" s="15" t="n"/>
      <c r="P3262" s="15" t="n"/>
      <c r="Q3262" s="15" t="n"/>
      <c r="R3262" s="25" t="n"/>
      <c r="S3262" s="26">
        <f>IF($A3262="","",AND(OR('Assignment Builder'!$B$5="",$B3262='Assignment Builder'!$B$5),OR('Assignment Builder'!$B$6="",ISNUMBER(SEARCH('Assignment Builder'!$B$6,$C3262))),OR('Assignment Builder'!$B$7="",'Assignment Builder'!$B$7=IFERROR(INDEX('Category Dictionary'!$C$5:$C$135,MATCH($L3262,'Category Dictionary'!$D$5:$D$135,0)),"")),OR('Assignment Builder'!$B$8="",$D3262='Assignment Builder'!$B$8),OR('Assignment Builder'!$B$9="",$F3262='Assignment Builder'!$B$9),OR('Assignment Builder'!$B$10="",$O3262='Assignment Builder'!$B$10),OR('Assignment Builder'!$B$11="",$H3262&gt;='Assignment Builder'!$B$11),OR('Assignment Builder'!$B$12="",N($Q3262)&lt;='Assignment Builder'!$B$12)))</f>
        <v/>
      </c>
      <c r="T3262" s="23" t="n"/>
    </row>
    <row r="3263">
      <c r="A3263" s="23" t="n"/>
      <c r="B3263" s="23" t="n"/>
      <c r="C3263" s="24" t="n"/>
      <c r="D3263" s="15" t="n"/>
      <c r="E3263" s="23" t="n"/>
      <c r="F3263" s="15" t="n"/>
      <c r="G3263" s="23" t="n"/>
      <c r="H3263" s="25" t="n"/>
      <c r="I3263" s="15" t="n"/>
      <c r="J3263" s="26">
        <f>IF($A3263="","",LEN($C3263)-LEN(SUBSTITUTE($C3263,",",""))+1)</f>
        <v/>
      </c>
      <c r="K3263" s="26">
        <f>IF($A3263="","",SUMPRODUCT(--ISNUMBER(SEARCH('Category Dictionary'!$D$5:$D$135&amp;"",$C3263)),--('Category Dictionary'!$D$5:$D$135&lt;&gt;"")))</f>
        <v/>
      </c>
      <c r="L3263" s="27">
        <f>IF($A3263="","",TRIM(IF(ISERROR(FIND(",",$C3263)),$C3263,LEFT($C3263,FIND(",",$C3263)-1))))</f>
        <v/>
      </c>
      <c r="M3263" s="28">
        <f>IF($H3263="","",DATE(YEAR($H3263),MONTH($H3263),1))</f>
        <v/>
      </c>
      <c r="N3263" s="26">
        <f>IF($H3263="","",TODAY()-$H3263)</f>
        <v/>
      </c>
      <c r="O3263" s="15" t="n"/>
      <c r="P3263" s="15" t="n"/>
      <c r="Q3263" s="15" t="n"/>
      <c r="R3263" s="25" t="n"/>
      <c r="S3263" s="26">
        <f>IF($A3263="","",AND(OR('Assignment Builder'!$B$5="",$B3263='Assignment Builder'!$B$5),OR('Assignment Builder'!$B$6="",ISNUMBER(SEARCH('Assignment Builder'!$B$6,$C3263))),OR('Assignment Builder'!$B$7="",'Assignment Builder'!$B$7=IFERROR(INDEX('Category Dictionary'!$C$5:$C$135,MATCH($L3263,'Category Dictionary'!$D$5:$D$135,0)),"")),OR('Assignment Builder'!$B$8="",$D3263='Assignment Builder'!$B$8),OR('Assignment Builder'!$B$9="",$F3263='Assignment Builder'!$B$9),OR('Assignment Builder'!$B$10="",$O3263='Assignment Builder'!$B$10),OR('Assignment Builder'!$B$11="",$H3263&gt;='Assignment Builder'!$B$11),OR('Assignment Builder'!$B$12="",N($Q3263)&lt;='Assignment Builder'!$B$12)))</f>
        <v/>
      </c>
      <c r="T3263" s="23" t="n"/>
    </row>
    <row r="3264">
      <c r="A3264" s="23" t="n"/>
      <c r="B3264" s="23" t="n"/>
      <c r="C3264" s="24" t="n"/>
      <c r="D3264" s="15" t="n"/>
      <c r="E3264" s="23" t="n"/>
      <c r="F3264" s="15" t="n"/>
      <c r="G3264" s="23" t="n"/>
      <c r="H3264" s="25" t="n"/>
      <c r="I3264" s="15" t="n"/>
      <c r="J3264" s="26">
        <f>IF($A3264="","",LEN($C3264)-LEN(SUBSTITUTE($C3264,",",""))+1)</f>
        <v/>
      </c>
      <c r="K3264" s="26">
        <f>IF($A3264="","",SUMPRODUCT(--ISNUMBER(SEARCH('Category Dictionary'!$D$5:$D$135&amp;"",$C3264)),--('Category Dictionary'!$D$5:$D$135&lt;&gt;"")))</f>
        <v/>
      </c>
      <c r="L3264" s="27">
        <f>IF($A3264="","",TRIM(IF(ISERROR(FIND(",",$C3264)),$C3264,LEFT($C3264,FIND(",",$C3264)-1))))</f>
        <v/>
      </c>
      <c r="M3264" s="28">
        <f>IF($H3264="","",DATE(YEAR($H3264),MONTH($H3264),1))</f>
        <v/>
      </c>
      <c r="N3264" s="26">
        <f>IF($H3264="","",TODAY()-$H3264)</f>
        <v/>
      </c>
      <c r="O3264" s="15" t="n"/>
      <c r="P3264" s="15" t="n"/>
      <c r="Q3264" s="15" t="n"/>
      <c r="R3264" s="25" t="n"/>
      <c r="S3264" s="26">
        <f>IF($A3264="","",AND(OR('Assignment Builder'!$B$5="",$B3264='Assignment Builder'!$B$5),OR('Assignment Builder'!$B$6="",ISNUMBER(SEARCH('Assignment Builder'!$B$6,$C3264))),OR('Assignment Builder'!$B$7="",'Assignment Builder'!$B$7=IFERROR(INDEX('Category Dictionary'!$C$5:$C$135,MATCH($L3264,'Category Dictionary'!$D$5:$D$135,0)),"")),OR('Assignment Builder'!$B$8="",$D3264='Assignment Builder'!$B$8),OR('Assignment Builder'!$B$9="",$F3264='Assignment Builder'!$B$9),OR('Assignment Builder'!$B$10="",$O3264='Assignment Builder'!$B$10),OR('Assignment Builder'!$B$11="",$H3264&gt;='Assignment Builder'!$B$11),OR('Assignment Builder'!$B$12="",N($Q3264)&lt;='Assignment Builder'!$B$12)))</f>
        <v/>
      </c>
      <c r="T3264" s="23" t="n"/>
    </row>
    <row r="3265">
      <c r="A3265" s="23" t="n"/>
      <c r="B3265" s="23" t="n"/>
      <c r="C3265" s="24" t="n"/>
      <c r="D3265" s="15" t="n"/>
      <c r="E3265" s="23" t="n"/>
      <c r="F3265" s="15" t="n"/>
      <c r="G3265" s="23" t="n"/>
      <c r="H3265" s="25" t="n"/>
      <c r="I3265" s="15" t="n"/>
      <c r="J3265" s="26">
        <f>IF($A3265="","",LEN($C3265)-LEN(SUBSTITUTE($C3265,",",""))+1)</f>
        <v/>
      </c>
      <c r="K3265" s="26">
        <f>IF($A3265="","",SUMPRODUCT(--ISNUMBER(SEARCH('Category Dictionary'!$D$5:$D$135&amp;"",$C3265)),--('Category Dictionary'!$D$5:$D$135&lt;&gt;"")))</f>
        <v/>
      </c>
      <c r="L3265" s="27">
        <f>IF($A3265="","",TRIM(IF(ISERROR(FIND(",",$C3265)),$C3265,LEFT($C3265,FIND(",",$C3265)-1))))</f>
        <v/>
      </c>
      <c r="M3265" s="28">
        <f>IF($H3265="","",DATE(YEAR($H3265),MONTH($H3265),1))</f>
        <v/>
      </c>
      <c r="N3265" s="26">
        <f>IF($H3265="","",TODAY()-$H3265)</f>
        <v/>
      </c>
      <c r="O3265" s="15" t="n"/>
      <c r="P3265" s="15" t="n"/>
      <c r="Q3265" s="15" t="n"/>
      <c r="R3265" s="25" t="n"/>
      <c r="S3265" s="26">
        <f>IF($A3265="","",AND(OR('Assignment Builder'!$B$5="",$B3265='Assignment Builder'!$B$5),OR('Assignment Builder'!$B$6="",ISNUMBER(SEARCH('Assignment Builder'!$B$6,$C3265))),OR('Assignment Builder'!$B$7="",'Assignment Builder'!$B$7=IFERROR(INDEX('Category Dictionary'!$C$5:$C$135,MATCH($L3265,'Category Dictionary'!$D$5:$D$135,0)),"")),OR('Assignment Builder'!$B$8="",$D3265='Assignment Builder'!$B$8),OR('Assignment Builder'!$B$9="",$F3265='Assignment Builder'!$B$9),OR('Assignment Builder'!$B$10="",$O3265='Assignment Builder'!$B$10),OR('Assignment Builder'!$B$11="",$H3265&gt;='Assignment Builder'!$B$11),OR('Assignment Builder'!$B$12="",N($Q3265)&lt;='Assignment Builder'!$B$12)))</f>
        <v/>
      </c>
      <c r="T3265" s="23" t="n"/>
    </row>
    <row r="3266">
      <c r="A3266" s="23" t="n"/>
      <c r="B3266" s="23" t="n"/>
      <c r="C3266" s="24" t="n"/>
      <c r="D3266" s="15" t="n"/>
      <c r="E3266" s="23" t="n"/>
      <c r="F3266" s="15" t="n"/>
      <c r="G3266" s="23" t="n"/>
      <c r="H3266" s="25" t="n"/>
      <c r="I3266" s="15" t="n"/>
      <c r="J3266" s="26">
        <f>IF($A3266="","",LEN($C3266)-LEN(SUBSTITUTE($C3266,",",""))+1)</f>
        <v/>
      </c>
      <c r="K3266" s="26">
        <f>IF($A3266="","",SUMPRODUCT(--ISNUMBER(SEARCH('Category Dictionary'!$D$5:$D$135&amp;"",$C3266)),--('Category Dictionary'!$D$5:$D$135&lt;&gt;"")))</f>
        <v/>
      </c>
      <c r="L3266" s="27">
        <f>IF($A3266="","",TRIM(IF(ISERROR(FIND(",",$C3266)),$C3266,LEFT($C3266,FIND(",",$C3266)-1))))</f>
        <v/>
      </c>
      <c r="M3266" s="28">
        <f>IF($H3266="","",DATE(YEAR($H3266),MONTH($H3266),1))</f>
        <v/>
      </c>
      <c r="N3266" s="26">
        <f>IF($H3266="","",TODAY()-$H3266)</f>
        <v/>
      </c>
      <c r="O3266" s="15" t="n"/>
      <c r="P3266" s="15" t="n"/>
      <c r="Q3266" s="15" t="n"/>
      <c r="R3266" s="25" t="n"/>
      <c r="S3266" s="26">
        <f>IF($A3266="","",AND(OR('Assignment Builder'!$B$5="",$B3266='Assignment Builder'!$B$5),OR('Assignment Builder'!$B$6="",ISNUMBER(SEARCH('Assignment Builder'!$B$6,$C3266))),OR('Assignment Builder'!$B$7="",'Assignment Builder'!$B$7=IFERROR(INDEX('Category Dictionary'!$C$5:$C$135,MATCH($L3266,'Category Dictionary'!$D$5:$D$135,0)),"")),OR('Assignment Builder'!$B$8="",$D3266='Assignment Builder'!$B$8),OR('Assignment Builder'!$B$9="",$F3266='Assignment Builder'!$B$9),OR('Assignment Builder'!$B$10="",$O3266='Assignment Builder'!$B$10),OR('Assignment Builder'!$B$11="",$H3266&gt;='Assignment Builder'!$B$11),OR('Assignment Builder'!$B$12="",N($Q3266)&lt;='Assignment Builder'!$B$12)))</f>
        <v/>
      </c>
      <c r="T3266" s="23" t="n"/>
    </row>
    <row r="3267">
      <c r="A3267" s="23" t="n"/>
      <c r="B3267" s="23" t="n"/>
      <c r="C3267" s="24" t="n"/>
      <c r="D3267" s="15" t="n"/>
      <c r="E3267" s="23" t="n"/>
      <c r="F3267" s="15" t="n"/>
      <c r="G3267" s="23" t="n"/>
      <c r="H3267" s="25" t="n"/>
      <c r="I3267" s="15" t="n"/>
      <c r="J3267" s="26">
        <f>IF($A3267="","",LEN($C3267)-LEN(SUBSTITUTE($C3267,",",""))+1)</f>
        <v/>
      </c>
      <c r="K3267" s="26">
        <f>IF($A3267="","",SUMPRODUCT(--ISNUMBER(SEARCH('Category Dictionary'!$D$5:$D$135&amp;"",$C3267)),--('Category Dictionary'!$D$5:$D$135&lt;&gt;"")))</f>
        <v/>
      </c>
      <c r="L3267" s="27">
        <f>IF($A3267="","",TRIM(IF(ISERROR(FIND(",",$C3267)),$C3267,LEFT($C3267,FIND(",",$C3267)-1))))</f>
        <v/>
      </c>
      <c r="M3267" s="28">
        <f>IF($H3267="","",DATE(YEAR($H3267),MONTH($H3267),1))</f>
        <v/>
      </c>
      <c r="N3267" s="26">
        <f>IF($H3267="","",TODAY()-$H3267)</f>
        <v/>
      </c>
      <c r="O3267" s="15" t="n"/>
      <c r="P3267" s="15" t="n"/>
      <c r="Q3267" s="15" t="n"/>
      <c r="R3267" s="25" t="n"/>
      <c r="S3267" s="26">
        <f>IF($A3267="","",AND(OR('Assignment Builder'!$B$5="",$B3267='Assignment Builder'!$B$5),OR('Assignment Builder'!$B$6="",ISNUMBER(SEARCH('Assignment Builder'!$B$6,$C3267))),OR('Assignment Builder'!$B$7="",'Assignment Builder'!$B$7=IFERROR(INDEX('Category Dictionary'!$C$5:$C$135,MATCH($L3267,'Category Dictionary'!$D$5:$D$135,0)),"")),OR('Assignment Builder'!$B$8="",$D3267='Assignment Builder'!$B$8),OR('Assignment Builder'!$B$9="",$F3267='Assignment Builder'!$B$9),OR('Assignment Builder'!$B$10="",$O3267='Assignment Builder'!$B$10),OR('Assignment Builder'!$B$11="",$H3267&gt;='Assignment Builder'!$B$11),OR('Assignment Builder'!$B$12="",N($Q3267)&lt;='Assignment Builder'!$B$12)))</f>
        <v/>
      </c>
      <c r="T3267" s="23" t="n"/>
    </row>
    <row r="3268">
      <c r="A3268" s="23" t="n"/>
      <c r="B3268" s="23" t="n"/>
      <c r="C3268" s="24" t="n"/>
      <c r="D3268" s="15" t="n"/>
      <c r="E3268" s="23" t="n"/>
      <c r="F3268" s="15" t="n"/>
      <c r="G3268" s="23" t="n"/>
      <c r="H3268" s="25" t="n"/>
      <c r="I3268" s="15" t="n"/>
      <c r="J3268" s="26">
        <f>IF($A3268="","",LEN($C3268)-LEN(SUBSTITUTE($C3268,",",""))+1)</f>
        <v/>
      </c>
      <c r="K3268" s="26">
        <f>IF($A3268="","",SUMPRODUCT(--ISNUMBER(SEARCH('Category Dictionary'!$D$5:$D$135&amp;"",$C3268)),--('Category Dictionary'!$D$5:$D$135&lt;&gt;"")))</f>
        <v/>
      </c>
      <c r="L3268" s="27">
        <f>IF($A3268="","",TRIM(IF(ISERROR(FIND(",",$C3268)),$C3268,LEFT($C3268,FIND(",",$C3268)-1))))</f>
        <v/>
      </c>
      <c r="M3268" s="28">
        <f>IF($H3268="","",DATE(YEAR($H3268),MONTH($H3268),1))</f>
        <v/>
      </c>
      <c r="N3268" s="26">
        <f>IF($H3268="","",TODAY()-$H3268)</f>
        <v/>
      </c>
      <c r="O3268" s="15" t="n"/>
      <c r="P3268" s="15" t="n"/>
      <c r="Q3268" s="15" t="n"/>
      <c r="R3268" s="25" t="n"/>
      <c r="S3268" s="26">
        <f>IF($A3268="","",AND(OR('Assignment Builder'!$B$5="",$B3268='Assignment Builder'!$B$5),OR('Assignment Builder'!$B$6="",ISNUMBER(SEARCH('Assignment Builder'!$B$6,$C3268))),OR('Assignment Builder'!$B$7="",'Assignment Builder'!$B$7=IFERROR(INDEX('Category Dictionary'!$C$5:$C$135,MATCH($L3268,'Category Dictionary'!$D$5:$D$135,0)),"")),OR('Assignment Builder'!$B$8="",$D3268='Assignment Builder'!$B$8),OR('Assignment Builder'!$B$9="",$F3268='Assignment Builder'!$B$9),OR('Assignment Builder'!$B$10="",$O3268='Assignment Builder'!$B$10),OR('Assignment Builder'!$B$11="",$H3268&gt;='Assignment Builder'!$B$11),OR('Assignment Builder'!$B$12="",N($Q3268)&lt;='Assignment Builder'!$B$12)))</f>
        <v/>
      </c>
      <c r="T3268" s="23" t="n"/>
    </row>
    <row r="3269">
      <c r="A3269" s="23" t="n"/>
      <c r="B3269" s="23" t="n"/>
      <c r="C3269" s="24" t="n"/>
      <c r="D3269" s="15" t="n"/>
      <c r="E3269" s="23" t="n"/>
      <c r="F3269" s="15" t="n"/>
      <c r="G3269" s="23" t="n"/>
      <c r="H3269" s="25" t="n"/>
      <c r="I3269" s="15" t="n"/>
      <c r="J3269" s="26">
        <f>IF($A3269="","",LEN($C3269)-LEN(SUBSTITUTE($C3269,",",""))+1)</f>
        <v/>
      </c>
      <c r="K3269" s="26">
        <f>IF($A3269="","",SUMPRODUCT(--ISNUMBER(SEARCH('Category Dictionary'!$D$5:$D$135&amp;"",$C3269)),--('Category Dictionary'!$D$5:$D$135&lt;&gt;"")))</f>
        <v/>
      </c>
      <c r="L3269" s="27">
        <f>IF($A3269="","",TRIM(IF(ISERROR(FIND(",",$C3269)),$C3269,LEFT($C3269,FIND(",",$C3269)-1))))</f>
        <v/>
      </c>
      <c r="M3269" s="28">
        <f>IF($H3269="","",DATE(YEAR($H3269),MONTH($H3269),1))</f>
        <v/>
      </c>
      <c r="N3269" s="26">
        <f>IF($H3269="","",TODAY()-$H3269)</f>
        <v/>
      </c>
      <c r="O3269" s="15" t="n"/>
      <c r="P3269" s="15" t="n"/>
      <c r="Q3269" s="15" t="n"/>
      <c r="R3269" s="25" t="n"/>
      <c r="S3269" s="26">
        <f>IF($A3269="","",AND(OR('Assignment Builder'!$B$5="",$B3269='Assignment Builder'!$B$5),OR('Assignment Builder'!$B$6="",ISNUMBER(SEARCH('Assignment Builder'!$B$6,$C3269))),OR('Assignment Builder'!$B$7="",'Assignment Builder'!$B$7=IFERROR(INDEX('Category Dictionary'!$C$5:$C$135,MATCH($L3269,'Category Dictionary'!$D$5:$D$135,0)),"")),OR('Assignment Builder'!$B$8="",$D3269='Assignment Builder'!$B$8),OR('Assignment Builder'!$B$9="",$F3269='Assignment Builder'!$B$9),OR('Assignment Builder'!$B$10="",$O3269='Assignment Builder'!$B$10),OR('Assignment Builder'!$B$11="",$H3269&gt;='Assignment Builder'!$B$11),OR('Assignment Builder'!$B$12="",N($Q3269)&lt;='Assignment Builder'!$B$12)))</f>
        <v/>
      </c>
      <c r="T3269" s="23" t="n"/>
    </row>
    <row r="3270">
      <c r="A3270" s="23" t="n"/>
      <c r="B3270" s="23" t="n"/>
      <c r="C3270" s="24" t="n"/>
      <c r="D3270" s="15" t="n"/>
      <c r="E3270" s="23" t="n"/>
      <c r="F3270" s="15" t="n"/>
      <c r="G3270" s="23" t="n"/>
      <c r="H3270" s="25" t="n"/>
      <c r="I3270" s="15" t="n"/>
      <c r="J3270" s="26">
        <f>IF($A3270="","",LEN($C3270)-LEN(SUBSTITUTE($C3270,",",""))+1)</f>
        <v/>
      </c>
      <c r="K3270" s="26">
        <f>IF($A3270="","",SUMPRODUCT(--ISNUMBER(SEARCH('Category Dictionary'!$D$5:$D$135&amp;"",$C3270)),--('Category Dictionary'!$D$5:$D$135&lt;&gt;"")))</f>
        <v/>
      </c>
      <c r="L3270" s="27">
        <f>IF($A3270="","",TRIM(IF(ISERROR(FIND(",",$C3270)),$C3270,LEFT($C3270,FIND(",",$C3270)-1))))</f>
        <v/>
      </c>
      <c r="M3270" s="28">
        <f>IF($H3270="","",DATE(YEAR($H3270),MONTH($H3270),1))</f>
        <v/>
      </c>
      <c r="N3270" s="26">
        <f>IF($H3270="","",TODAY()-$H3270)</f>
        <v/>
      </c>
      <c r="O3270" s="15" t="n"/>
      <c r="P3270" s="15" t="n"/>
      <c r="Q3270" s="15" t="n"/>
      <c r="R3270" s="25" t="n"/>
      <c r="S3270" s="26">
        <f>IF($A3270="","",AND(OR('Assignment Builder'!$B$5="",$B3270='Assignment Builder'!$B$5),OR('Assignment Builder'!$B$6="",ISNUMBER(SEARCH('Assignment Builder'!$B$6,$C3270))),OR('Assignment Builder'!$B$7="",'Assignment Builder'!$B$7=IFERROR(INDEX('Category Dictionary'!$C$5:$C$135,MATCH($L3270,'Category Dictionary'!$D$5:$D$135,0)),"")),OR('Assignment Builder'!$B$8="",$D3270='Assignment Builder'!$B$8),OR('Assignment Builder'!$B$9="",$F3270='Assignment Builder'!$B$9),OR('Assignment Builder'!$B$10="",$O3270='Assignment Builder'!$B$10),OR('Assignment Builder'!$B$11="",$H3270&gt;='Assignment Builder'!$B$11),OR('Assignment Builder'!$B$12="",N($Q3270)&lt;='Assignment Builder'!$B$12)))</f>
        <v/>
      </c>
      <c r="T3270" s="23" t="n"/>
    </row>
    <row r="3271">
      <c r="A3271" s="23" t="n"/>
      <c r="B3271" s="23" t="n"/>
      <c r="C3271" s="24" t="n"/>
      <c r="D3271" s="15" t="n"/>
      <c r="E3271" s="23" t="n"/>
      <c r="F3271" s="15" t="n"/>
      <c r="G3271" s="23" t="n"/>
      <c r="H3271" s="25" t="n"/>
      <c r="I3271" s="15" t="n"/>
      <c r="J3271" s="26">
        <f>IF($A3271="","",LEN($C3271)-LEN(SUBSTITUTE($C3271,",",""))+1)</f>
        <v/>
      </c>
      <c r="K3271" s="26">
        <f>IF($A3271="","",SUMPRODUCT(--ISNUMBER(SEARCH('Category Dictionary'!$D$5:$D$135&amp;"",$C3271)),--('Category Dictionary'!$D$5:$D$135&lt;&gt;"")))</f>
        <v/>
      </c>
      <c r="L3271" s="27">
        <f>IF($A3271="","",TRIM(IF(ISERROR(FIND(",",$C3271)),$C3271,LEFT($C3271,FIND(",",$C3271)-1))))</f>
        <v/>
      </c>
      <c r="M3271" s="28">
        <f>IF($H3271="","",DATE(YEAR($H3271),MONTH($H3271),1))</f>
        <v/>
      </c>
      <c r="N3271" s="26">
        <f>IF($H3271="","",TODAY()-$H3271)</f>
        <v/>
      </c>
      <c r="O3271" s="15" t="n"/>
      <c r="P3271" s="15" t="n"/>
      <c r="Q3271" s="15" t="n"/>
      <c r="R3271" s="25" t="n"/>
      <c r="S3271" s="26">
        <f>IF($A3271="","",AND(OR('Assignment Builder'!$B$5="",$B3271='Assignment Builder'!$B$5),OR('Assignment Builder'!$B$6="",ISNUMBER(SEARCH('Assignment Builder'!$B$6,$C3271))),OR('Assignment Builder'!$B$7="",'Assignment Builder'!$B$7=IFERROR(INDEX('Category Dictionary'!$C$5:$C$135,MATCH($L3271,'Category Dictionary'!$D$5:$D$135,0)),"")),OR('Assignment Builder'!$B$8="",$D3271='Assignment Builder'!$B$8),OR('Assignment Builder'!$B$9="",$F3271='Assignment Builder'!$B$9),OR('Assignment Builder'!$B$10="",$O3271='Assignment Builder'!$B$10),OR('Assignment Builder'!$B$11="",$H3271&gt;='Assignment Builder'!$B$11),OR('Assignment Builder'!$B$12="",N($Q3271)&lt;='Assignment Builder'!$B$12)))</f>
        <v/>
      </c>
      <c r="T3271" s="23" t="n"/>
    </row>
    <row r="3272">
      <c r="A3272" s="23" t="n"/>
      <c r="B3272" s="23" t="n"/>
      <c r="C3272" s="24" t="n"/>
      <c r="D3272" s="15" t="n"/>
      <c r="E3272" s="23" t="n"/>
      <c r="F3272" s="15" t="n"/>
      <c r="G3272" s="23" t="n"/>
      <c r="H3272" s="25" t="n"/>
      <c r="I3272" s="15" t="n"/>
      <c r="J3272" s="26">
        <f>IF($A3272="","",LEN($C3272)-LEN(SUBSTITUTE($C3272,",",""))+1)</f>
        <v/>
      </c>
      <c r="K3272" s="26">
        <f>IF($A3272="","",SUMPRODUCT(--ISNUMBER(SEARCH('Category Dictionary'!$D$5:$D$135&amp;"",$C3272)),--('Category Dictionary'!$D$5:$D$135&lt;&gt;"")))</f>
        <v/>
      </c>
      <c r="L3272" s="27">
        <f>IF($A3272="","",TRIM(IF(ISERROR(FIND(",",$C3272)),$C3272,LEFT($C3272,FIND(",",$C3272)-1))))</f>
        <v/>
      </c>
      <c r="M3272" s="28">
        <f>IF($H3272="","",DATE(YEAR($H3272),MONTH($H3272),1))</f>
        <v/>
      </c>
      <c r="N3272" s="26">
        <f>IF($H3272="","",TODAY()-$H3272)</f>
        <v/>
      </c>
      <c r="O3272" s="15" t="n"/>
      <c r="P3272" s="15" t="n"/>
      <c r="Q3272" s="15" t="n"/>
      <c r="R3272" s="25" t="n"/>
      <c r="S3272" s="26">
        <f>IF($A3272="","",AND(OR('Assignment Builder'!$B$5="",$B3272='Assignment Builder'!$B$5),OR('Assignment Builder'!$B$6="",ISNUMBER(SEARCH('Assignment Builder'!$B$6,$C3272))),OR('Assignment Builder'!$B$7="",'Assignment Builder'!$B$7=IFERROR(INDEX('Category Dictionary'!$C$5:$C$135,MATCH($L3272,'Category Dictionary'!$D$5:$D$135,0)),"")),OR('Assignment Builder'!$B$8="",$D3272='Assignment Builder'!$B$8),OR('Assignment Builder'!$B$9="",$F3272='Assignment Builder'!$B$9),OR('Assignment Builder'!$B$10="",$O3272='Assignment Builder'!$B$10),OR('Assignment Builder'!$B$11="",$H3272&gt;='Assignment Builder'!$B$11),OR('Assignment Builder'!$B$12="",N($Q3272)&lt;='Assignment Builder'!$B$12)))</f>
        <v/>
      </c>
      <c r="T3272" s="23" t="n"/>
    </row>
    <row r="3273">
      <c r="A3273" s="23" t="n"/>
      <c r="B3273" s="23" t="n"/>
      <c r="C3273" s="24" t="n"/>
      <c r="D3273" s="15" t="n"/>
      <c r="E3273" s="23" t="n"/>
      <c r="F3273" s="15" t="n"/>
      <c r="G3273" s="23" t="n"/>
      <c r="H3273" s="25" t="n"/>
      <c r="I3273" s="15" t="n"/>
      <c r="J3273" s="26">
        <f>IF($A3273="","",LEN($C3273)-LEN(SUBSTITUTE($C3273,",",""))+1)</f>
        <v/>
      </c>
      <c r="K3273" s="26">
        <f>IF($A3273="","",SUMPRODUCT(--ISNUMBER(SEARCH('Category Dictionary'!$D$5:$D$135&amp;"",$C3273)),--('Category Dictionary'!$D$5:$D$135&lt;&gt;"")))</f>
        <v/>
      </c>
      <c r="L3273" s="27">
        <f>IF($A3273="","",TRIM(IF(ISERROR(FIND(",",$C3273)),$C3273,LEFT($C3273,FIND(",",$C3273)-1))))</f>
        <v/>
      </c>
      <c r="M3273" s="28">
        <f>IF($H3273="","",DATE(YEAR($H3273),MONTH($H3273),1))</f>
        <v/>
      </c>
      <c r="N3273" s="26">
        <f>IF($H3273="","",TODAY()-$H3273)</f>
        <v/>
      </c>
      <c r="O3273" s="15" t="n"/>
      <c r="P3273" s="15" t="n"/>
      <c r="Q3273" s="15" t="n"/>
      <c r="R3273" s="25" t="n"/>
      <c r="S3273" s="26">
        <f>IF($A3273="","",AND(OR('Assignment Builder'!$B$5="",$B3273='Assignment Builder'!$B$5),OR('Assignment Builder'!$B$6="",ISNUMBER(SEARCH('Assignment Builder'!$B$6,$C3273))),OR('Assignment Builder'!$B$7="",'Assignment Builder'!$B$7=IFERROR(INDEX('Category Dictionary'!$C$5:$C$135,MATCH($L3273,'Category Dictionary'!$D$5:$D$135,0)),"")),OR('Assignment Builder'!$B$8="",$D3273='Assignment Builder'!$B$8),OR('Assignment Builder'!$B$9="",$F3273='Assignment Builder'!$B$9),OR('Assignment Builder'!$B$10="",$O3273='Assignment Builder'!$B$10),OR('Assignment Builder'!$B$11="",$H3273&gt;='Assignment Builder'!$B$11),OR('Assignment Builder'!$B$12="",N($Q3273)&lt;='Assignment Builder'!$B$12)))</f>
        <v/>
      </c>
      <c r="T3273" s="23" t="n"/>
    </row>
    <row r="3274">
      <c r="A3274" s="23" t="n"/>
      <c r="B3274" s="23" t="n"/>
      <c r="C3274" s="24" t="n"/>
      <c r="D3274" s="15" t="n"/>
      <c r="E3274" s="23" t="n"/>
      <c r="F3274" s="15" t="n"/>
      <c r="G3274" s="23" t="n"/>
      <c r="H3274" s="25" t="n"/>
      <c r="I3274" s="15" t="n"/>
      <c r="J3274" s="26">
        <f>IF($A3274="","",LEN($C3274)-LEN(SUBSTITUTE($C3274,",",""))+1)</f>
        <v/>
      </c>
      <c r="K3274" s="26">
        <f>IF($A3274="","",SUMPRODUCT(--ISNUMBER(SEARCH('Category Dictionary'!$D$5:$D$135&amp;"",$C3274)),--('Category Dictionary'!$D$5:$D$135&lt;&gt;"")))</f>
        <v/>
      </c>
      <c r="L3274" s="27">
        <f>IF($A3274="","",TRIM(IF(ISERROR(FIND(",",$C3274)),$C3274,LEFT($C3274,FIND(",",$C3274)-1))))</f>
        <v/>
      </c>
      <c r="M3274" s="28">
        <f>IF($H3274="","",DATE(YEAR($H3274),MONTH($H3274),1))</f>
        <v/>
      </c>
      <c r="N3274" s="26">
        <f>IF($H3274="","",TODAY()-$H3274)</f>
        <v/>
      </c>
      <c r="O3274" s="15" t="n"/>
      <c r="P3274" s="15" t="n"/>
      <c r="Q3274" s="15" t="n"/>
      <c r="R3274" s="25" t="n"/>
      <c r="S3274" s="26">
        <f>IF($A3274="","",AND(OR('Assignment Builder'!$B$5="",$B3274='Assignment Builder'!$B$5),OR('Assignment Builder'!$B$6="",ISNUMBER(SEARCH('Assignment Builder'!$B$6,$C3274))),OR('Assignment Builder'!$B$7="",'Assignment Builder'!$B$7=IFERROR(INDEX('Category Dictionary'!$C$5:$C$135,MATCH($L3274,'Category Dictionary'!$D$5:$D$135,0)),"")),OR('Assignment Builder'!$B$8="",$D3274='Assignment Builder'!$B$8),OR('Assignment Builder'!$B$9="",$F3274='Assignment Builder'!$B$9),OR('Assignment Builder'!$B$10="",$O3274='Assignment Builder'!$B$10),OR('Assignment Builder'!$B$11="",$H3274&gt;='Assignment Builder'!$B$11),OR('Assignment Builder'!$B$12="",N($Q3274)&lt;='Assignment Builder'!$B$12)))</f>
        <v/>
      </c>
      <c r="T3274" s="23" t="n"/>
    </row>
    <row r="3275">
      <c r="A3275" s="23" t="n"/>
      <c r="B3275" s="23" t="n"/>
      <c r="C3275" s="24" t="n"/>
      <c r="D3275" s="15" t="n"/>
      <c r="E3275" s="23" t="n"/>
      <c r="F3275" s="15" t="n"/>
      <c r="G3275" s="23" t="n"/>
      <c r="H3275" s="25" t="n"/>
      <c r="I3275" s="15" t="n"/>
      <c r="J3275" s="26">
        <f>IF($A3275="","",LEN($C3275)-LEN(SUBSTITUTE($C3275,",",""))+1)</f>
        <v/>
      </c>
      <c r="K3275" s="26">
        <f>IF($A3275="","",SUMPRODUCT(--ISNUMBER(SEARCH('Category Dictionary'!$D$5:$D$135&amp;"",$C3275)),--('Category Dictionary'!$D$5:$D$135&lt;&gt;"")))</f>
        <v/>
      </c>
      <c r="L3275" s="27">
        <f>IF($A3275="","",TRIM(IF(ISERROR(FIND(",",$C3275)),$C3275,LEFT($C3275,FIND(",",$C3275)-1))))</f>
        <v/>
      </c>
      <c r="M3275" s="28">
        <f>IF($H3275="","",DATE(YEAR($H3275),MONTH($H3275),1))</f>
        <v/>
      </c>
      <c r="N3275" s="26">
        <f>IF($H3275="","",TODAY()-$H3275)</f>
        <v/>
      </c>
      <c r="O3275" s="15" t="n"/>
      <c r="P3275" s="15" t="n"/>
      <c r="Q3275" s="15" t="n"/>
      <c r="R3275" s="25" t="n"/>
      <c r="S3275" s="26">
        <f>IF($A3275="","",AND(OR('Assignment Builder'!$B$5="",$B3275='Assignment Builder'!$B$5),OR('Assignment Builder'!$B$6="",ISNUMBER(SEARCH('Assignment Builder'!$B$6,$C3275))),OR('Assignment Builder'!$B$7="",'Assignment Builder'!$B$7=IFERROR(INDEX('Category Dictionary'!$C$5:$C$135,MATCH($L3275,'Category Dictionary'!$D$5:$D$135,0)),"")),OR('Assignment Builder'!$B$8="",$D3275='Assignment Builder'!$B$8),OR('Assignment Builder'!$B$9="",$F3275='Assignment Builder'!$B$9),OR('Assignment Builder'!$B$10="",$O3275='Assignment Builder'!$B$10),OR('Assignment Builder'!$B$11="",$H3275&gt;='Assignment Builder'!$B$11),OR('Assignment Builder'!$B$12="",N($Q3275)&lt;='Assignment Builder'!$B$12)))</f>
        <v/>
      </c>
      <c r="T3275" s="23" t="n"/>
    </row>
    <row r="3276">
      <c r="A3276" s="23" t="n"/>
      <c r="B3276" s="23" t="n"/>
      <c r="C3276" s="24" t="n"/>
      <c r="D3276" s="15" t="n"/>
      <c r="E3276" s="23" t="n"/>
      <c r="F3276" s="15" t="n"/>
      <c r="G3276" s="23" t="n"/>
      <c r="H3276" s="25" t="n"/>
      <c r="I3276" s="15" t="n"/>
      <c r="J3276" s="26">
        <f>IF($A3276="","",LEN($C3276)-LEN(SUBSTITUTE($C3276,",",""))+1)</f>
        <v/>
      </c>
      <c r="K3276" s="26">
        <f>IF($A3276="","",SUMPRODUCT(--ISNUMBER(SEARCH('Category Dictionary'!$D$5:$D$135&amp;"",$C3276)),--('Category Dictionary'!$D$5:$D$135&lt;&gt;"")))</f>
        <v/>
      </c>
      <c r="L3276" s="27">
        <f>IF($A3276="","",TRIM(IF(ISERROR(FIND(",",$C3276)),$C3276,LEFT($C3276,FIND(",",$C3276)-1))))</f>
        <v/>
      </c>
      <c r="M3276" s="28">
        <f>IF($H3276="","",DATE(YEAR($H3276),MONTH($H3276),1))</f>
        <v/>
      </c>
      <c r="N3276" s="26">
        <f>IF($H3276="","",TODAY()-$H3276)</f>
        <v/>
      </c>
      <c r="O3276" s="15" t="n"/>
      <c r="P3276" s="15" t="n"/>
      <c r="Q3276" s="15" t="n"/>
      <c r="R3276" s="25" t="n"/>
      <c r="S3276" s="26">
        <f>IF($A3276="","",AND(OR('Assignment Builder'!$B$5="",$B3276='Assignment Builder'!$B$5),OR('Assignment Builder'!$B$6="",ISNUMBER(SEARCH('Assignment Builder'!$B$6,$C3276))),OR('Assignment Builder'!$B$7="",'Assignment Builder'!$B$7=IFERROR(INDEX('Category Dictionary'!$C$5:$C$135,MATCH($L3276,'Category Dictionary'!$D$5:$D$135,0)),"")),OR('Assignment Builder'!$B$8="",$D3276='Assignment Builder'!$B$8),OR('Assignment Builder'!$B$9="",$F3276='Assignment Builder'!$B$9),OR('Assignment Builder'!$B$10="",$O3276='Assignment Builder'!$B$10),OR('Assignment Builder'!$B$11="",$H3276&gt;='Assignment Builder'!$B$11),OR('Assignment Builder'!$B$12="",N($Q3276)&lt;='Assignment Builder'!$B$12)))</f>
        <v/>
      </c>
      <c r="T3276" s="23" t="n"/>
    </row>
    <row r="3277">
      <c r="A3277" s="23" t="n"/>
      <c r="B3277" s="23" t="n"/>
      <c r="C3277" s="24" t="n"/>
      <c r="D3277" s="15" t="n"/>
      <c r="E3277" s="23" t="n"/>
      <c r="F3277" s="15" t="n"/>
      <c r="G3277" s="23" t="n"/>
      <c r="H3277" s="25" t="n"/>
      <c r="I3277" s="15" t="n"/>
      <c r="J3277" s="26">
        <f>IF($A3277="","",LEN($C3277)-LEN(SUBSTITUTE($C3277,",",""))+1)</f>
        <v/>
      </c>
      <c r="K3277" s="26">
        <f>IF($A3277="","",SUMPRODUCT(--ISNUMBER(SEARCH('Category Dictionary'!$D$5:$D$135&amp;"",$C3277)),--('Category Dictionary'!$D$5:$D$135&lt;&gt;"")))</f>
        <v/>
      </c>
      <c r="L3277" s="27">
        <f>IF($A3277="","",TRIM(IF(ISERROR(FIND(",",$C3277)),$C3277,LEFT($C3277,FIND(",",$C3277)-1))))</f>
        <v/>
      </c>
      <c r="M3277" s="28">
        <f>IF($H3277="","",DATE(YEAR($H3277),MONTH($H3277),1))</f>
        <v/>
      </c>
      <c r="N3277" s="26">
        <f>IF($H3277="","",TODAY()-$H3277)</f>
        <v/>
      </c>
      <c r="O3277" s="15" t="n"/>
      <c r="P3277" s="15" t="n"/>
      <c r="Q3277" s="15" t="n"/>
      <c r="R3277" s="25" t="n"/>
      <c r="S3277" s="26">
        <f>IF($A3277="","",AND(OR('Assignment Builder'!$B$5="",$B3277='Assignment Builder'!$B$5),OR('Assignment Builder'!$B$6="",ISNUMBER(SEARCH('Assignment Builder'!$B$6,$C3277))),OR('Assignment Builder'!$B$7="",'Assignment Builder'!$B$7=IFERROR(INDEX('Category Dictionary'!$C$5:$C$135,MATCH($L3277,'Category Dictionary'!$D$5:$D$135,0)),"")),OR('Assignment Builder'!$B$8="",$D3277='Assignment Builder'!$B$8),OR('Assignment Builder'!$B$9="",$F3277='Assignment Builder'!$B$9),OR('Assignment Builder'!$B$10="",$O3277='Assignment Builder'!$B$10),OR('Assignment Builder'!$B$11="",$H3277&gt;='Assignment Builder'!$B$11),OR('Assignment Builder'!$B$12="",N($Q3277)&lt;='Assignment Builder'!$B$12)))</f>
        <v/>
      </c>
      <c r="T3277" s="23" t="n"/>
    </row>
    <row r="3278">
      <c r="A3278" s="23" t="n"/>
      <c r="B3278" s="23" t="n"/>
      <c r="C3278" s="24" t="n"/>
      <c r="D3278" s="15" t="n"/>
      <c r="E3278" s="23" t="n"/>
      <c r="F3278" s="15" t="n"/>
      <c r="G3278" s="23" t="n"/>
      <c r="H3278" s="25" t="n"/>
      <c r="I3278" s="15" t="n"/>
      <c r="J3278" s="26">
        <f>IF($A3278="","",LEN($C3278)-LEN(SUBSTITUTE($C3278,",",""))+1)</f>
        <v/>
      </c>
      <c r="K3278" s="26">
        <f>IF($A3278="","",SUMPRODUCT(--ISNUMBER(SEARCH('Category Dictionary'!$D$5:$D$135&amp;"",$C3278)),--('Category Dictionary'!$D$5:$D$135&lt;&gt;"")))</f>
        <v/>
      </c>
      <c r="L3278" s="27">
        <f>IF($A3278="","",TRIM(IF(ISERROR(FIND(",",$C3278)),$C3278,LEFT($C3278,FIND(",",$C3278)-1))))</f>
        <v/>
      </c>
      <c r="M3278" s="28">
        <f>IF($H3278="","",DATE(YEAR($H3278),MONTH($H3278),1))</f>
        <v/>
      </c>
      <c r="N3278" s="26">
        <f>IF($H3278="","",TODAY()-$H3278)</f>
        <v/>
      </c>
      <c r="O3278" s="15" t="n"/>
      <c r="P3278" s="15" t="n"/>
      <c r="Q3278" s="15" t="n"/>
      <c r="R3278" s="25" t="n"/>
      <c r="S3278" s="26">
        <f>IF($A3278="","",AND(OR('Assignment Builder'!$B$5="",$B3278='Assignment Builder'!$B$5),OR('Assignment Builder'!$B$6="",ISNUMBER(SEARCH('Assignment Builder'!$B$6,$C3278))),OR('Assignment Builder'!$B$7="",'Assignment Builder'!$B$7=IFERROR(INDEX('Category Dictionary'!$C$5:$C$135,MATCH($L3278,'Category Dictionary'!$D$5:$D$135,0)),"")),OR('Assignment Builder'!$B$8="",$D3278='Assignment Builder'!$B$8),OR('Assignment Builder'!$B$9="",$F3278='Assignment Builder'!$B$9),OR('Assignment Builder'!$B$10="",$O3278='Assignment Builder'!$B$10),OR('Assignment Builder'!$B$11="",$H3278&gt;='Assignment Builder'!$B$11),OR('Assignment Builder'!$B$12="",N($Q3278)&lt;='Assignment Builder'!$B$12)))</f>
        <v/>
      </c>
      <c r="T3278" s="23" t="n"/>
    </row>
    <row r="3279">
      <c r="A3279" s="23" t="n"/>
      <c r="B3279" s="23" t="n"/>
      <c r="C3279" s="24" t="n"/>
      <c r="D3279" s="15" t="n"/>
      <c r="E3279" s="23" t="n"/>
      <c r="F3279" s="15" t="n"/>
      <c r="G3279" s="23" t="n"/>
      <c r="H3279" s="25" t="n"/>
      <c r="I3279" s="15" t="n"/>
      <c r="J3279" s="26">
        <f>IF($A3279="","",LEN($C3279)-LEN(SUBSTITUTE($C3279,",",""))+1)</f>
        <v/>
      </c>
      <c r="K3279" s="26">
        <f>IF($A3279="","",SUMPRODUCT(--ISNUMBER(SEARCH('Category Dictionary'!$D$5:$D$135&amp;"",$C3279)),--('Category Dictionary'!$D$5:$D$135&lt;&gt;"")))</f>
        <v/>
      </c>
      <c r="L3279" s="27">
        <f>IF($A3279="","",TRIM(IF(ISERROR(FIND(",",$C3279)),$C3279,LEFT($C3279,FIND(",",$C3279)-1))))</f>
        <v/>
      </c>
      <c r="M3279" s="28">
        <f>IF($H3279="","",DATE(YEAR($H3279),MONTH($H3279),1))</f>
        <v/>
      </c>
      <c r="N3279" s="26">
        <f>IF($H3279="","",TODAY()-$H3279)</f>
        <v/>
      </c>
      <c r="O3279" s="15" t="n"/>
      <c r="P3279" s="15" t="n"/>
      <c r="Q3279" s="15" t="n"/>
      <c r="R3279" s="25" t="n"/>
      <c r="S3279" s="26">
        <f>IF($A3279="","",AND(OR('Assignment Builder'!$B$5="",$B3279='Assignment Builder'!$B$5),OR('Assignment Builder'!$B$6="",ISNUMBER(SEARCH('Assignment Builder'!$B$6,$C3279))),OR('Assignment Builder'!$B$7="",'Assignment Builder'!$B$7=IFERROR(INDEX('Category Dictionary'!$C$5:$C$135,MATCH($L3279,'Category Dictionary'!$D$5:$D$135,0)),"")),OR('Assignment Builder'!$B$8="",$D3279='Assignment Builder'!$B$8),OR('Assignment Builder'!$B$9="",$F3279='Assignment Builder'!$B$9),OR('Assignment Builder'!$B$10="",$O3279='Assignment Builder'!$B$10),OR('Assignment Builder'!$B$11="",$H3279&gt;='Assignment Builder'!$B$11),OR('Assignment Builder'!$B$12="",N($Q3279)&lt;='Assignment Builder'!$B$12)))</f>
        <v/>
      </c>
      <c r="T3279" s="23" t="n"/>
    </row>
    <row r="3280">
      <c r="A3280" s="23" t="n"/>
      <c r="B3280" s="23" t="n"/>
      <c r="C3280" s="24" t="n"/>
      <c r="D3280" s="15" t="n"/>
      <c r="E3280" s="23" t="n"/>
      <c r="F3280" s="15" t="n"/>
      <c r="G3280" s="23" t="n"/>
      <c r="H3280" s="25" t="n"/>
      <c r="I3280" s="15" t="n"/>
      <c r="J3280" s="26">
        <f>IF($A3280="","",LEN($C3280)-LEN(SUBSTITUTE($C3280,",",""))+1)</f>
        <v/>
      </c>
      <c r="K3280" s="26">
        <f>IF($A3280="","",SUMPRODUCT(--ISNUMBER(SEARCH('Category Dictionary'!$D$5:$D$135&amp;"",$C3280)),--('Category Dictionary'!$D$5:$D$135&lt;&gt;"")))</f>
        <v/>
      </c>
      <c r="L3280" s="27">
        <f>IF($A3280="","",TRIM(IF(ISERROR(FIND(",",$C3280)),$C3280,LEFT($C3280,FIND(",",$C3280)-1))))</f>
        <v/>
      </c>
      <c r="M3280" s="28">
        <f>IF($H3280="","",DATE(YEAR($H3280),MONTH($H3280),1))</f>
        <v/>
      </c>
      <c r="N3280" s="26">
        <f>IF($H3280="","",TODAY()-$H3280)</f>
        <v/>
      </c>
      <c r="O3280" s="15" t="n"/>
      <c r="P3280" s="15" t="n"/>
      <c r="Q3280" s="15" t="n"/>
      <c r="R3280" s="25" t="n"/>
      <c r="S3280" s="26">
        <f>IF($A3280="","",AND(OR('Assignment Builder'!$B$5="",$B3280='Assignment Builder'!$B$5),OR('Assignment Builder'!$B$6="",ISNUMBER(SEARCH('Assignment Builder'!$B$6,$C3280))),OR('Assignment Builder'!$B$7="",'Assignment Builder'!$B$7=IFERROR(INDEX('Category Dictionary'!$C$5:$C$135,MATCH($L3280,'Category Dictionary'!$D$5:$D$135,0)),"")),OR('Assignment Builder'!$B$8="",$D3280='Assignment Builder'!$B$8),OR('Assignment Builder'!$B$9="",$F3280='Assignment Builder'!$B$9),OR('Assignment Builder'!$B$10="",$O3280='Assignment Builder'!$B$10),OR('Assignment Builder'!$B$11="",$H3280&gt;='Assignment Builder'!$B$11),OR('Assignment Builder'!$B$12="",N($Q3280)&lt;='Assignment Builder'!$B$12)))</f>
        <v/>
      </c>
      <c r="T3280" s="23" t="n"/>
    </row>
    <row r="3281">
      <c r="A3281" s="23" t="n"/>
      <c r="B3281" s="23" t="n"/>
      <c r="C3281" s="24" t="n"/>
      <c r="D3281" s="15" t="n"/>
      <c r="E3281" s="23" t="n"/>
      <c r="F3281" s="15" t="n"/>
      <c r="G3281" s="23" t="n"/>
      <c r="H3281" s="25" t="n"/>
      <c r="I3281" s="15" t="n"/>
      <c r="J3281" s="26">
        <f>IF($A3281="","",LEN($C3281)-LEN(SUBSTITUTE($C3281,",",""))+1)</f>
        <v/>
      </c>
      <c r="K3281" s="26">
        <f>IF($A3281="","",SUMPRODUCT(--ISNUMBER(SEARCH('Category Dictionary'!$D$5:$D$135&amp;"",$C3281)),--('Category Dictionary'!$D$5:$D$135&lt;&gt;"")))</f>
        <v/>
      </c>
      <c r="L3281" s="27">
        <f>IF($A3281="","",TRIM(IF(ISERROR(FIND(",",$C3281)),$C3281,LEFT($C3281,FIND(",",$C3281)-1))))</f>
        <v/>
      </c>
      <c r="M3281" s="28">
        <f>IF($H3281="","",DATE(YEAR($H3281),MONTH($H3281),1))</f>
        <v/>
      </c>
      <c r="N3281" s="26">
        <f>IF($H3281="","",TODAY()-$H3281)</f>
        <v/>
      </c>
      <c r="O3281" s="15" t="n"/>
      <c r="P3281" s="15" t="n"/>
      <c r="Q3281" s="15" t="n"/>
      <c r="R3281" s="25" t="n"/>
      <c r="S3281" s="26">
        <f>IF($A3281="","",AND(OR('Assignment Builder'!$B$5="",$B3281='Assignment Builder'!$B$5),OR('Assignment Builder'!$B$6="",ISNUMBER(SEARCH('Assignment Builder'!$B$6,$C3281))),OR('Assignment Builder'!$B$7="",'Assignment Builder'!$B$7=IFERROR(INDEX('Category Dictionary'!$C$5:$C$135,MATCH($L3281,'Category Dictionary'!$D$5:$D$135,0)),"")),OR('Assignment Builder'!$B$8="",$D3281='Assignment Builder'!$B$8),OR('Assignment Builder'!$B$9="",$F3281='Assignment Builder'!$B$9),OR('Assignment Builder'!$B$10="",$O3281='Assignment Builder'!$B$10),OR('Assignment Builder'!$B$11="",$H3281&gt;='Assignment Builder'!$B$11),OR('Assignment Builder'!$B$12="",N($Q3281)&lt;='Assignment Builder'!$B$12)))</f>
        <v/>
      </c>
      <c r="T3281" s="23" t="n"/>
    </row>
    <row r="3282">
      <c r="A3282" s="23" t="n"/>
      <c r="B3282" s="23" t="n"/>
      <c r="C3282" s="24" t="n"/>
      <c r="D3282" s="15" t="n"/>
      <c r="E3282" s="23" t="n"/>
      <c r="F3282" s="15" t="n"/>
      <c r="G3282" s="23" t="n"/>
      <c r="H3282" s="25" t="n"/>
      <c r="I3282" s="15" t="n"/>
      <c r="J3282" s="26">
        <f>IF($A3282="","",LEN($C3282)-LEN(SUBSTITUTE($C3282,",",""))+1)</f>
        <v/>
      </c>
      <c r="K3282" s="26">
        <f>IF($A3282="","",SUMPRODUCT(--ISNUMBER(SEARCH('Category Dictionary'!$D$5:$D$135&amp;"",$C3282)),--('Category Dictionary'!$D$5:$D$135&lt;&gt;"")))</f>
        <v/>
      </c>
      <c r="L3282" s="27">
        <f>IF($A3282="","",TRIM(IF(ISERROR(FIND(",",$C3282)),$C3282,LEFT($C3282,FIND(",",$C3282)-1))))</f>
        <v/>
      </c>
      <c r="M3282" s="28">
        <f>IF($H3282="","",DATE(YEAR($H3282),MONTH($H3282),1))</f>
        <v/>
      </c>
      <c r="N3282" s="26">
        <f>IF($H3282="","",TODAY()-$H3282)</f>
        <v/>
      </c>
      <c r="O3282" s="15" t="n"/>
      <c r="P3282" s="15" t="n"/>
      <c r="Q3282" s="15" t="n"/>
      <c r="R3282" s="25" t="n"/>
      <c r="S3282" s="26">
        <f>IF($A3282="","",AND(OR('Assignment Builder'!$B$5="",$B3282='Assignment Builder'!$B$5),OR('Assignment Builder'!$B$6="",ISNUMBER(SEARCH('Assignment Builder'!$B$6,$C3282))),OR('Assignment Builder'!$B$7="",'Assignment Builder'!$B$7=IFERROR(INDEX('Category Dictionary'!$C$5:$C$135,MATCH($L3282,'Category Dictionary'!$D$5:$D$135,0)),"")),OR('Assignment Builder'!$B$8="",$D3282='Assignment Builder'!$B$8),OR('Assignment Builder'!$B$9="",$F3282='Assignment Builder'!$B$9),OR('Assignment Builder'!$B$10="",$O3282='Assignment Builder'!$B$10),OR('Assignment Builder'!$B$11="",$H3282&gt;='Assignment Builder'!$B$11),OR('Assignment Builder'!$B$12="",N($Q3282)&lt;='Assignment Builder'!$B$12)))</f>
        <v/>
      </c>
      <c r="T3282" s="23" t="n"/>
    </row>
    <row r="3283">
      <c r="A3283" s="23" t="n"/>
      <c r="B3283" s="23" t="n"/>
      <c r="C3283" s="24" t="n"/>
      <c r="D3283" s="15" t="n"/>
      <c r="E3283" s="23" t="n"/>
      <c r="F3283" s="15" t="n"/>
      <c r="G3283" s="23" t="n"/>
      <c r="H3283" s="25" t="n"/>
      <c r="I3283" s="15" t="n"/>
      <c r="J3283" s="26">
        <f>IF($A3283="","",LEN($C3283)-LEN(SUBSTITUTE($C3283,",",""))+1)</f>
        <v/>
      </c>
      <c r="K3283" s="26">
        <f>IF($A3283="","",SUMPRODUCT(--ISNUMBER(SEARCH('Category Dictionary'!$D$5:$D$135&amp;"",$C3283)),--('Category Dictionary'!$D$5:$D$135&lt;&gt;"")))</f>
        <v/>
      </c>
      <c r="L3283" s="27">
        <f>IF($A3283="","",TRIM(IF(ISERROR(FIND(",",$C3283)),$C3283,LEFT($C3283,FIND(",",$C3283)-1))))</f>
        <v/>
      </c>
      <c r="M3283" s="28">
        <f>IF($H3283="","",DATE(YEAR($H3283),MONTH($H3283),1))</f>
        <v/>
      </c>
      <c r="N3283" s="26">
        <f>IF($H3283="","",TODAY()-$H3283)</f>
        <v/>
      </c>
      <c r="O3283" s="15" t="n"/>
      <c r="P3283" s="15" t="n"/>
      <c r="Q3283" s="15" t="n"/>
      <c r="R3283" s="25" t="n"/>
      <c r="S3283" s="26">
        <f>IF($A3283="","",AND(OR('Assignment Builder'!$B$5="",$B3283='Assignment Builder'!$B$5),OR('Assignment Builder'!$B$6="",ISNUMBER(SEARCH('Assignment Builder'!$B$6,$C3283))),OR('Assignment Builder'!$B$7="",'Assignment Builder'!$B$7=IFERROR(INDEX('Category Dictionary'!$C$5:$C$135,MATCH($L3283,'Category Dictionary'!$D$5:$D$135,0)),"")),OR('Assignment Builder'!$B$8="",$D3283='Assignment Builder'!$B$8),OR('Assignment Builder'!$B$9="",$F3283='Assignment Builder'!$B$9),OR('Assignment Builder'!$B$10="",$O3283='Assignment Builder'!$B$10),OR('Assignment Builder'!$B$11="",$H3283&gt;='Assignment Builder'!$B$11),OR('Assignment Builder'!$B$12="",N($Q3283)&lt;='Assignment Builder'!$B$12)))</f>
        <v/>
      </c>
      <c r="T3283" s="23" t="n"/>
    </row>
    <row r="3284">
      <c r="A3284" s="23" t="n"/>
      <c r="B3284" s="23" t="n"/>
      <c r="C3284" s="24" t="n"/>
      <c r="D3284" s="15" t="n"/>
      <c r="E3284" s="23" t="n"/>
      <c r="F3284" s="15" t="n"/>
      <c r="G3284" s="23" t="n"/>
      <c r="H3284" s="25" t="n"/>
      <c r="I3284" s="15" t="n"/>
      <c r="J3284" s="26">
        <f>IF($A3284="","",LEN($C3284)-LEN(SUBSTITUTE($C3284,",",""))+1)</f>
        <v/>
      </c>
      <c r="K3284" s="26">
        <f>IF($A3284="","",SUMPRODUCT(--ISNUMBER(SEARCH('Category Dictionary'!$D$5:$D$135&amp;"",$C3284)),--('Category Dictionary'!$D$5:$D$135&lt;&gt;"")))</f>
        <v/>
      </c>
      <c r="L3284" s="27">
        <f>IF($A3284="","",TRIM(IF(ISERROR(FIND(",",$C3284)),$C3284,LEFT($C3284,FIND(",",$C3284)-1))))</f>
        <v/>
      </c>
      <c r="M3284" s="28">
        <f>IF($H3284="","",DATE(YEAR($H3284),MONTH($H3284),1))</f>
        <v/>
      </c>
      <c r="N3284" s="26">
        <f>IF($H3284="","",TODAY()-$H3284)</f>
        <v/>
      </c>
      <c r="O3284" s="15" t="n"/>
      <c r="P3284" s="15" t="n"/>
      <c r="Q3284" s="15" t="n"/>
      <c r="R3284" s="25" t="n"/>
      <c r="S3284" s="26">
        <f>IF($A3284="","",AND(OR('Assignment Builder'!$B$5="",$B3284='Assignment Builder'!$B$5),OR('Assignment Builder'!$B$6="",ISNUMBER(SEARCH('Assignment Builder'!$B$6,$C3284))),OR('Assignment Builder'!$B$7="",'Assignment Builder'!$B$7=IFERROR(INDEX('Category Dictionary'!$C$5:$C$135,MATCH($L3284,'Category Dictionary'!$D$5:$D$135,0)),"")),OR('Assignment Builder'!$B$8="",$D3284='Assignment Builder'!$B$8),OR('Assignment Builder'!$B$9="",$F3284='Assignment Builder'!$B$9),OR('Assignment Builder'!$B$10="",$O3284='Assignment Builder'!$B$10),OR('Assignment Builder'!$B$11="",$H3284&gt;='Assignment Builder'!$B$11),OR('Assignment Builder'!$B$12="",N($Q3284)&lt;='Assignment Builder'!$B$12)))</f>
        <v/>
      </c>
      <c r="T3284" s="23" t="n"/>
    </row>
    <row r="3285">
      <c r="A3285" s="23" t="n"/>
      <c r="B3285" s="23" t="n"/>
      <c r="C3285" s="24" t="n"/>
      <c r="D3285" s="15" t="n"/>
      <c r="E3285" s="23" t="n"/>
      <c r="F3285" s="15" t="n"/>
      <c r="G3285" s="23" t="n"/>
      <c r="H3285" s="25" t="n"/>
      <c r="I3285" s="15" t="n"/>
      <c r="J3285" s="26">
        <f>IF($A3285="","",LEN($C3285)-LEN(SUBSTITUTE($C3285,",",""))+1)</f>
        <v/>
      </c>
      <c r="K3285" s="26">
        <f>IF($A3285="","",SUMPRODUCT(--ISNUMBER(SEARCH('Category Dictionary'!$D$5:$D$135&amp;"",$C3285)),--('Category Dictionary'!$D$5:$D$135&lt;&gt;"")))</f>
        <v/>
      </c>
      <c r="L3285" s="27">
        <f>IF($A3285="","",TRIM(IF(ISERROR(FIND(",",$C3285)),$C3285,LEFT($C3285,FIND(",",$C3285)-1))))</f>
        <v/>
      </c>
      <c r="M3285" s="28">
        <f>IF($H3285="","",DATE(YEAR($H3285),MONTH($H3285),1))</f>
        <v/>
      </c>
      <c r="N3285" s="26">
        <f>IF($H3285="","",TODAY()-$H3285)</f>
        <v/>
      </c>
      <c r="O3285" s="15" t="n"/>
      <c r="P3285" s="15" t="n"/>
      <c r="Q3285" s="15" t="n"/>
      <c r="R3285" s="25" t="n"/>
      <c r="S3285" s="26">
        <f>IF($A3285="","",AND(OR('Assignment Builder'!$B$5="",$B3285='Assignment Builder'!$B$5),OR('Assignment Builder'!$B$6="",ISNUMBER(SEARCH('Assignment Builder'!$B$6,$C3285))),OR('Assignment Builder'!$B$7="",'Assignment Builder'!$B$7=IFERROR(INDEX('Category Dictionary'!$C$5:$C$135,MATCH($L3285,'Category Dictionary'!$D$5:$D$135,0)),"")),OR('Assignment Builder'!$B$8="",$D3285='Assignment Builder'!$B$8),OR('Assignment Builder'!$B$9="",$F3285='Assignment Builder'!$B$9),OR('Assignment Builder'!$B$10="",$O3285='Assignment Builder'!$B$10),OR('Assignment Builder'!$B$11="",$H3285&gt;='Assignment Builder'!$B$11),OR('Assignment Builder'!$B$12="",N($Q3285)&lt;='Assignment Builder'!$B$12)))</f>
        <v/>
      </c>
      <c r="T3285" s="23" t="n"/>
    </row>
    <row r="3286">
      <c r="A3286" s="23" t="n"/>
      <c r="B3286" s="23" t="n"/>
      <c r="C3286" s="24" t="n"/>
      <c r="D3286" s="15" t="n"/>
      <c r="E3286" s="23" t="n"/>
      <c r="F3286" s="15" t="n"/>
      <c r="G3286" s="23" t="n"/>
      <c r="H3286" s="25" t="n"/>
      <c r="I3286" s="15" t="n"/>
      <c r="J3286" s="26">
        <f>IF($A3286="","",LEN($C3286)-LEN(SUBSTITUTE($C3286,",",""))+1)</f>
        <v/>
      </c>
      <c r="K3286" s="26">
        <f>IF($A3286="","",SUMPRODUCT(--ISNUMBER(SEARCH('Category Dictionary'!$D$5:$D$135&amp;"",$C3286)),--('Category Dictionary'!$D$5:$D$135&lt;&gt;"")))</f>
        <v/>
      </c>
      <c r="L3286" s="27">
        <f>IF($A3286="","",TRIM(IF(ISERROR(FIND(",",$C3286)),$C3286,LEFT($C3286,FIND(",",$C3286)-1))))</f>
        <v/>
      </c>
      <c r="M3286" s="28">
        <f>IF($H3286="","",DATE(YEAR($H3286),MONTH($H3286),1))</f>
        <v/>
      </c>
      <c r="N3286" s="26">
        <f>IF($H3286="","",TODAY()-$H3286)</f>
        <v/>
      </c>
      <c r="O3286" s="15" t="n"/>
      <c r="P3286" s="15" t="n"/>
      <c r="Q3286" s="15" t="n"/>
      <c r="R3286" s="25" t="n"/>
      <c r="S3286" s="26">
        <f>IF($A3286="","",AND(OR('Assignment Builder'!$B$5="",$B3286='Assignment Builder'!$B$5),OR('Assignment Builder'!$B$6="",ISNUMBER(SEARCH('Assignment Builder'!$B$6,$C3286))),OR('Assignment Builder'!$B$7="",'Assignment Builder'!$B$7=IFERROR(INDEX('Category Dictionary'!$C$5:$C$135,MATCH($L3286,'Category Dictionary'!$D$5:$D$135,0)),"")),OR('Assignment Builder'!$B$8="",$D3286='Assignment Builder'!$B$8),OR('Assignment Builder'!$B$9="",$F3286='Assignment Builder'!$B$9),OR('Assignment Builder'!$B$10="",$O3286='Assignment Builder'!$B$10),OR('Assignment Builder'!$B$11="",$H3286&gt;='Assignment Builder'!$B$11),OR('Assignment Builder'!$B$12="",N($Q3286)&lt;='Assignment Builder'!$B$12)))</f>
        <v/>
      </c>
      <c r="T3286" s="23" t="n"/>
    </row>
    <row r="3287">
      <c r="A3287" s="23" t="n"/>
      <c r="B3287" s="23" t="n"/>
      <c r="C3287" s="24" t="n"/>
      <c r="D3287" s="15" t="n"/>
      <c r="E3287" s="23" t="n"/>
      <c r="F3287" s="15" t="n"/>
      <c r="G3287" s="23" t="n"/>
      <c r="H3287" s="25" t="n"/>
      <c r="I3287" s="15" t="n"/>
      <c r="J3287" s="26">
        <f>IF($A3287="","",LEN($C3287)-LEN(SUBSTITUTE($C3287,",",""))+1)</f>
        <v/>
      </c>
      <c r="K3287" s="26">
        <f>IF($A3287="","",SUMPRODUCT(--ISNUMBER(SEARCH('Category Dictionary'!$D$5:$D$135&amp;"",$C3287)),--('Category Dictionary'!$D$5:$D$135&lt;&gt;"")))</f>
        <v/>
      </c>
      <c r="L3287" s="27">
        <f>IF($A3287="","",TRIM(IF(ISERROR(FIND(",",$C3287)),$C3287,LEFT($C3287,FIND(",",$C3287)-1))))</f>
        <v/>
      </c>
      <c r="M3287" s="28">
        <f>IF($H3287="","",DATE(YEAR($H3287),MONTH($H3287),1))</f>
        <v/>
      </c>
      <c r="N3287" s="26">
        <f>IF($H3287="","",TODAY()-$H3287)</f>
        <v/>
      </c>
      <c r="O3287" s="15" t="n"/>
      <c r="P3287" s="15" t="n"/>
      <c r="Q3287" s="15" t="n"/>
      <c r="R3287" s="25" t="n"/>
      <c r="S3287" s="26">
        <f>IF($A3287="","",AND(OR('Assignment Builder'!$B$5="",$B3287='Assignment Builder'!$B$5),OR('Assignment Builder'!$B$6="",ISNUMBER(SEARCH('Assignment Builder'!$B$6,$C3287))),OR('Assignment Builder'!$B$7="",'Assignment Builder'!$B$7=IFERROR(INDEX('Category Dictionary'!$C$5:$C$135,MATCH($L3287,'Category Dictionary'!$D$5:$D$135,0)),"")),OR('Assignment Builder'!$B$8="",$D3287='Assignment Builder'!$B$8),OR('Assignment Builder'!$B$9="",$F3287='Assignment Builder'!$B$9),OR('Assignment Builder'!$B$10="",$O3287='Assignment Builder'!$B$10),OR('Assignment Builder'!$B$11="",$H3287&gt;='Assignment Builder'!$B$11),OR('Assignment Builder'!$B$12="",N($Q3287)&lt;='Assignment Builder'!$B$12)))</f>
        <v/>
      </c>
      <c r="T3287" s="23" t="n"/>
    </row>
    <row r="3288">
      <c r="A3288" s="23" t="n"/>
      <c r="B3288" s="23" t="n"/>
      <c r="C3288" s="24" t="n"/>
      <c r="D3288" s="15" t="n"/>
      <c r="E3288" s="23" t="n"/>
      <c r="F3288" s="15" t="n"/>
      <c r="G3288" s="23" t="n"/>
      <c r="H3288" s="25" t="n"/>
      <c r="I3288" s="15" t="n"/>
      <c r="J3288" s="26">
        <f>IF($A3288="","",LEN($C3288)-LEN(SUBSTITUTE($C3288,",",""))+1)</f>
        <v/>
      </c>
      <c r="K3288" s="26">
        <f>IF($A3288="","",SUMPRODUCT(--ISNUMBER(SEARCH('Category Dictionary'!$D$5:$D$135&amp;"",$C3288)),--('Category Dictionary'!$D$5:$D$135&lt;&gt;"")))</f>
        <v/>
      </c>
      <c r="L3288" s="27">
        <f>IF($A3288="","",TRIM(IF(ISERROR(FIND(",",$C3288)),$C3288,LEFT($C3288,FIND(",",$C3288)-1))))</f>
        <v/>
      </c>
      <c r="M3288" s="28">
        <f>IF($H3288="","",DATE(YEAR($H3288),MONTH($H3288),1))</f>
        <v/>
      </c>
      <c r="N3288" s="26">
        <f>IF($H3288="","",TODAY()-$H3288)</f>
        <v/>
      </c>
      <c r="O3288" s="15" t="n"/>
      <c r="P3288" s="15" t="n"/>
      <c r="Q3288" s="15" t="n"/>
      <c r="R3288" s="25" t="n"/>
      <c r="S3288" s="26">
        <f>IF($A3288="","",AND(OR('Assignment Builder'!$B$5="",$B3288='Assignment Builder'!$B$5),OR('Assignment Builder'!$B$6="",ISNUMBER(SEARCH('Assignment Builder'!$B$6,$C3288))),OR('Assignment Builder'!$B$7="",'Assignment Builder'!$B$7=IFERROR(INDEX('Category Dictionary'!$C$5:$C$135,MATCH($L3288,'Category Dictionary'!$D$5:$D$135,0)),"")),OR('Assignment Builder'!$B$8="",$D3288='Assignment Builder'!$B$8),OR('Assignment Builder'!$B$9="",$F3288='Assignment Builder'!$B$9),OR('Assignment Builder'!$B$10="",$O3288='Assignment Builder'!$B$10),OR('Assignment Builder'!$B$11="",$H3288&gt;='Assignment Builder'!$B$11),OR('Assignment Builder'!$B$12="",N($Q3288)&lt;='Assignment Builder'!$B$12)))</f>
        <v/>
      </c>
      <c r="T3288" s="23" t="n"/>
    </row>
    <row r="3289">
      <c r="A3289" s="23" t="n"/>
      <c r="B3289" s="23" t="n"/>
      <c r="C3289" s="24" t="n"/>
      <c r="D3289" s="15" t="n"/>
      <c r="E3289" s="23" t="n"/>
      <c r="F3289" s="15" t="n"/>
      <c r="G3289" s="23" t="n"/>
      <c r="H3289" s="25" t="n"/>
      <c r="I3289" s="15" t="n"/>
      <c r="J3289" s="26">
        <f>IF($A3289="","",LEN($C3289)-LEN(SUBSTITUTE($C3289,",",""))+1)</f>
        <v/>
      </c>
      <c r="K3289" s="26">
        <f>IF($A3289="","",SUMPRODUCT(--ISNUMBER(SEARCH('Category Dictionary'!$D$5:$D$135&amp;"",$C3289)),--('Category Dictionary'!$D$5:$D$135&lt;&gt;"")))</f>
        <v/>
      </c>
      <c r="L3289" s="27">
        <f>IF($A3289="","",TRIM(IF(ISERROR(FIND(",",$C3289)),$C3289,LEFT($C3289,FIND(",",$C3289)-1))))</f>
        <v/>
      </c>
      <c r="M3289" s="28">
        <f>IF($H3289="","",DATE(YEAR($H3289),MONTH($H3289),1))</f>
        <v/>
      </c>
      <c r="N3289" s="26">
        <f>IF($H3289="","",TODAY()-$H3289)</f>
        <v/>
      </c>
      <c r="O3289" s="15" t="n"/>
      <c r="P3289" s="15" t="n"/>
      <c r="Q3289" s="15" t="n"/>
      <c r="R3289" s="25" t="n"/>
      <c r="S3289" s="26">
        <f>IF($A3289="","",AND(OR('Assignment Builder'!$B$5="",$B3289='Assignment Builder'!$B$5),OR('Assignment Builder'!$B$6="",ISNUMBER(SEARCH('Assignment Builder'!$B$6,$C3289))),OR('Assignment Builder'!$B$7="",'Assignment Builder'!$B$7=IFERROR(INDEX('Category Dictionary'!$C$5:$C$135,MATCH($L3289,'Category Dictionary'!$D$5:$D$135,0)),"")),OR('Assignment Builder'!$B$8="",$D3289='Assignment Builder'!$B$8),OR('Assignment Builder'!$B$9="",$F3289='Assignment Builder'!$B$9),OR('Assignment Builder'!$B$10="",$O3289='Assignment Builder'!$B$10),OR('Assignment Builder'!$B$11="",$H3289&gt;='Assignment Builder'!$B$11),OR('Assignment Builder'!$B$12="",N($Q3289)&lt;='Assignment Builder'!$B$12)))</f>
        <v/>
      </c>
      <c r="T3289" s="23" t="n"/>
    </row>
    <row r="3290">
      <c r="A3290" s="23" t="n"/>
      <c r="B3290" s="23" t="n"/>
      <c r="C3290" s="24" t="n"/>
      <c r="D3290" s="15" t="n"/>
      <c r="E3290" s="23" t="n"/>
      <c r="F3290" s="15" t="n"/>
      <c r="G3290" s="23" t="n"/>
      <c r="H3290" s="25" t="n"/>
      <c r="I3290" s="15" t="n"/>
      <c r="J3290" s="26">
        <f>IF($A3290="","",LEN($C3290)-LEN(SUBSTITUTE($C3290,",",""))+1)</f>
        <v/>
      </c>
      <c r="K3290" s="26">
        <f>IF($A3290="","",SUMPRODUCT(--ISNUMBER(SEARCH('Category Dictionary'!$D$5:$D$135&amp;"",$C3290)),--('Category Dictionary'!$D$5:$D$135&lt;&gt;"")))</f>
        <v/>
      </c>
      <c r="L3290" s="27">
        <f>IF($A3290="","",TRIM(IF(ISERROR(FIND(",",$C3290)),$C3290,LEFT($C3290,FIND(",",$C3290)-1))))</f>
        <v/>
      </c>
      <c r="M3290" s="28">
        <f>IF($H3290="","",DATE(YEAR($H3290),MONTH($H3290),1))</f>
        <v/>
      </c>
      <c r="N3290" s="26">
        <f>IF($H3290="","",TODAY()-$H3290)</f>
        <v/>
      </c>
      <c r="O3290" s="15" t="n"/>
      <c r="P3290" s="15" t="n"/>
      <c r="Q3290" s="15" t="n"/>
      <c r="R3290" s="25" t="n"/>
      <c r="S3290" s="26">
        <f>IF($A3290="","",AND(OR('Assignment Builder'!$B$5="",$B3290='Assignment Builder'!$B$5),OR('Assignment Builder'!$B$6="",ISNUMBER(SEARCH('Assignment Builder'!$B$6,$C3290))),OR('Assignment Builder'!$B$7="",'Assignment Builder'!$B$7=IFERROR(INDEX('Category Dictionary'!$C$5:$C$135,MATCH($L3290,'Category Dictionary'!$D$5:$D$135,0)),"")),OR('Assignment Builder'!$B$8="",$D3290='Assignment Builder'!$B$8),OR('Assignment Builder'!$B$9="",$F3290='Assignment Builder'!$B$9),OR('Assignment Builder'!$B$10="",$O3290='Assignment Builder'!$B$10),OR('Assignment Builder'!$B$11="",$H3290&gt;='Assignment Builder'!$B$11),OR('Assignment Builder'!$B$12="",N($Q3290)&lt;='Assignment Builder'!$B$12)))</f>
        <v/>
      </c>
      <c r="T3290" s="23" t="n"/>
    </row>
    <row r="3291">
      <c r="A3291" s="23" t="n"/>
      <c r="B3291" s="23" t="n"/>
      <c r="C3291" s="24" t="n"/>
      <c r="D3291" s="15" t="n"/>
      <c r="E3291" s="23" t="n"/>
      <c r="F3291" s="15" t="n"/>
      <c r="G3291" s="23" t="n"/>
      <c r="H3291" s="25" t="n"/>
      <c r="I3291" s="15" t="n"/>
      <c r="J3291" s="26">
        <f>IF($A3291="","",LEN($C3291)-LEN(SUBSTITUTE($C3291,",",""))+1)</f>
        <v/>
      </c>
      <c r="K3291" s="26">
        <f>IF($A3291="","",SUMPRODUCT(--ISNUMBER(SEARCH('Category Dictionary'!$D$5:$D$135&amp;"",$C3291)),--('Category Dictionary'!$D$5:$D$135&lt;&gt;"")))</f>
        <v/>
      </c>
      <c r="L3291" s="27">
        <f>IF($A3291="","",TRIM(IF(ISERROR(FIND(",",$C3291)),$C3291,LEFT($C3291,FIND(",",$C3291)-1))))</f>
        <v/>
      </c>
      <c r="M3291" s="28">
        <f>IF($H3291="","",DATE(YEAR($H3291),MONTH($H3291),1))</f>
        <v/>
      </c>
      <c r="N3291" s="26">
        <f>IF($H3291="","",TODAY()-$H3291)</f>
        <v/>
      </c>
      <c r="O3291" s="15" t="n"/>
      <c r="P3291" s="15" t="n"/>
      <c r="Q3291" s="15" t="n"/>
      <c r="R3291" s="25" t="n"/>
      <c r="S3291" s="26">
        <f>IF($A3291="","",AND(OR('Assignment Builder'!$B$5="",$B3291='Assignment Builder'!$B$5),OR('Assignment Builder'!$B$6="",ISNUMBER(SEARCH('Assignment Builder'!$B$6,$C3291))),OR('Assignment Builder'!$B$7="",'Assignment Builder'!$B$7=IFERROR(INDEX('Category Dictionary'!$C$5:$C$135,MATCH($L3291,'Category Dictionary'!$D$5:$D$135,0)),"")),OR('Assignment Builder'!$B$8="",$D3291='Assignment Builder'!$B$8),OR('Assignment Builder'!$B$9="",$F3291='Assignment Builder'!$B$9),OR('Assignment Builder'!$B$10="",$O3291='Assignment Builder'!$B$10),OR('Assignment Builder'!$B$11="",$H3291&gt;='Assignment Builder'!$B$11),OR('Assignment Builder'!$B$12="",N($Q3291)&lt;='Assignment Builder'!$B$12)))</f>
        <v/>
      </c>
      <c r="T3291" s="23" t="n"/>
    </row>
    <row r="3292">
      <c r="A3292" s="23" t="n"/>
      <c r="B3292" s="23" t="n"/>
      <c r="C3292" s="24" t="n"/>
      <c r="D3292" s="15" t="n"/>
      <c r="E3292" s="23" t="n"/>
      <c r="F3292" s="15" t="n"/>
      <c r="G3292" s="23" t="n"/>
      <c r="H3292" s="25" t="n"/>
      <c r="I3292" s="15" t="n"/>
      <c r="J3292" s="26">
        <f>IF($A3292="","",LEN($C3292)-LEN(SUBSTITUTE($C3292,",",""))+1)</f>
        <v/>
      </c>
      <c r="K3292" s="26">
        <f>IF($A3292="","",SUMPRODUCT(--ISNUMBER(SEARCH('Category Dictionary'!$D$5:$D$135&amp;"",$C3292)),--('Category Dictionary'!$D$5:$D$135&lt;&gt;"")))</f>
        <v/>
      </c>
      <c r="L3292" s="27">
        <f>IF($A3292="","",TRIM(IF(ISERROR(FIND(",",$C3292)),$C3292,LEFT($C3292,FIND(",",$C3292)-1))))</f>
        <v/>
      </c>
      <c r="M3292" s="28">
        <f>IF($H3292="","",DATE(YEAR($H3292),MONTH($H3292),1))</f>
        <v/>
      </c>
      <c r="N3292" s="26">
        <f>IF($H3292="","",TODAY()-$H3292)</f>
        <v/>
      </c>
      <c r="O3292" s="15" t="n"/>
      <c r="P3292" s="15" t="n"/>
      <c r="Q3292" s="15" t="n"/>
      <c r="R3292" s="25" t="n"/>
      <c r="S3292" s="26">
        <f>IF($A3292="","",AND(OR('Assignment Builder'!$B$5="",$B3292='Assignment Builder'!$B$5),OR('Assignment Builder'!$B$6="",ISNUMBER(SEARCH('Assignment Builder'!$B$6,$C3292))),OR('Assignment Builder'!$B$7="",'Assignment Builder'!$B$7=IFERROR(INDEX('Category Dictionary'!$C$5:$C$135,MATCH($L3292,'Category Dictionary'!$D$5:$D$135,0)),"")),OR('Assignment Builder'!$B$8="",$D3292='Assignment Builder'!$B$8),OR('Assignment Builder'!$B$9="",$F3292='Assignment Builder'!$B$9),OR('Assignment Builder'!$B$10="",$O3292='Assignment Builder'!$B$10),OR('Assignment Builder'!$B$11="",$H3292&gt;='Assignment Builder'!$B$11),OR('Assignment Builder'!$B$12="",N($Q3292)&lt;='Assignment Builder'!$B$12)))</f>
        <v/>
      </c>
      <c r="T3292" s="23" t="n"/>
    </row>
    <row r="3293">
      <c r="A3293" s="23" t="n"/>
      <c r="B3293" s="23" t="n"/>
      <c r="C3293" s="24" t="n"/>
      <c r="D3293" s="15" t="n"/>
      <c r="E3293" s="23" t="n"/>
      <c r="F3293" s="15" t="n"/>
      <c r="G3293" s="23" t="n"/>
      <c r="H3293" s="25" t="n"/>
      <c r="I3293" s="15" t="n"/>
      <c r="J3293" s="26">
        <f>IF($A3293="","",LEN($C3293)-LEN(SUBSTITUTE($C3293,",",""))+1)</f>
        <v/>
      </c>
      <c r="K3293" s="26">
        <f>IF($A3293="","",SUMPRODUCT(--ISNUMBER(SEARCH('Category Dictionary'!$D$5:$D$135&amp;"",$C3293)),--('Category Dictionary'!$D$5:$D$135&lt;&gt;"")))</f>
        <v/>
      </c>
      <c r="L3293" s="27">
        <f>IF($A3293="","",TRIM(IF(ISERROR(FIND(",",$C3293)),$C3293,LEFT($C3293,FIND(",",$C3293)-1))))</f>
        <v/>
      </c>
      <c r="M3293" s="28">
        <f>IF($H3293="","",DATE(YEAR($H3293),MONTH($H3293),1))</f>
        <v/>
      </c>
      <c r="N3293" s="26">
        <f>IF($H3293="","",TODAY()-$H3293)</f>
        <v/>
      </c>
      <c r="O3293" s="15" t="n"/>
      <c r="P3293" s="15" t="n"/>
      <c r="Q3293" s="15" t="n"/>
      <c r="R3293" s="25" t="n"/>
      <c r="S3293" s="26">
        <f>IF($A3293="","",AND(OR('Assignment Builder'!$B$5="",$B3293='Assignment Builder'!$B$5),OR('Assignment Builder'!$B$6="",ISNUMBER(SEARCH('Assignment Builder'!$B$6,$C3293))),OR('Assignment Builder'!$B$7="",'Assignment Builder'!$B$7=IFERROR(INDEX('Category Dictionary'!$C$5:$C$135,MATCH($L3293,'Category Dictionary'!$D$5:$D$135,0)),"")),OR('Assignment Builder'!$B$8="",$D3293='Assignment Builder'!$B$8),OR('Assignment Builder'!$B$9="",$F3293='Assignment Builder'!$B$9),OR('Assignment Builder'!$B$10="",$O3293='Assignment Builder'!$B$10),OR('Assignment Builder'!$B$11="",$H3293&gt;='Assignment Builder'!$B$11),OR('Assignment Builder'!$B$12="",N($Q3293)&lt;='Assignment Builder'!$B$12)))</f>
        <v/>
      </c>
      <c r="T3293" s="23" t="n"/>
    </row>
    <row r="3294">
      <c r="A3294" s="23" t="n"/>
      <c r="B3294" s="23" t="n"/>
      <c r="C3294" s="24" t="n"/>
      <c r="D3294" s="15" t="n"/>
      <c r="E3294" s="23" t="n"/>
      <c r="F3294" s="15" t="n"/>
      <c r="G3294" s="23" t="n"/>
      <c r="H3294" s="25" t="n"/>
      <c r="I3294" s="15" t="n"/>
      <c r="J3294" s="26">
        <f>IF($A3294="","",LEN($C3294)-LEN(SUBSTITUTE($C3294,",",""))+1)</f>
        <v/>
      </c>
      <c r="K3294" s="26">
        <f>IF($A3294="","",SUMPRODUCT(--ISNUMBER(SEARCH('Category Dictionary'!$D$5:$D$135&amp;"",$C3294)),--('Category Dictionary'!$D$5:$D$135&lt;&gt;"")))</f>
        <v/>
      </c>
      <c r="L3294" s="27">
        <f>IF($A3294="","",TRIM(IF(ISERROR(FIND(",",$C3294)),$C3294,LEFT($C3294,FIND(",",$C3294)-1))))</f>
        <v/>
      </c>
      <c r="M3294" s="28">
        <f>IF($H3294="","",DATE(YEAR($H3294),MONTH($H3294),1))</f>
        <v/>
      </c>
      <c r="N3294" s="26">
        <f>IF($H3294="","",TODAY()-$H3294)</f>
        <v/>
      </c>
      <c r="O3294" s="15" t="n"/>
      <c r="P3294" s="15" t="n"/>
      <c r="Q3294" s="15" t="n"/>
      <c r="R3294" s="25" t="n"/>
      <c r="S3294" s="26">
        <f>IF($A3294="","",AND(OR('Assignment Builder'!$B$5="",$B3294='Assignment Builder'!$B$5),OR('Assignment Builder'!$B$6="",ISNUMBER(SEARCH('Assignment Builder'!$B$6,$C3294))),OR('Assignment Builder'!$B$7="",'Assignment Builder'!$B$7=IFERROR(INDEX('Category Dictionary'!$C$5:$C$135,MATCH($L3294,'Category Dictionary'!$D$5:$D$135,0)),"")),OR('Assignment Builder'!$B$8="",$D3294='Assignment Builder'!$B$8),OR('Assignment Builder'!$B$9="",$F3294='Assignment Builder'!$B$9),OR('Assignment Builder'!$B$10="",$O3294='Assignment Builder'!$B$10),OR('Assignment Builder'!$B$11="",$H3294&gt;='Assignment Builder'!$B$11),OR('Assignment Builder'!$B$12="",N($Q3294)&lt;='Assignment Builder'!$B$12)))</f>
        <v/>
      </c>
      <c r="T3294" s="23" t="n"/>
    </row>
    <row r="3295">
      <c r="A3295" s="23" t="n"/>
      <c r="B3295" s="23" t="n"/>
      <c r="C3295" s="24" t="n"/>
      <c r="D3295" s="15" t="n"/>
      <c r="E3295" s="23" t="n"/>
      <c r="F3295" s="15" t="n"/>
      <c r="G3295" s="23" t="n"/>
      <c r="H3295" s="25" t="n"/>
      <c r="I3295" s="15" t="n"/>
      <c r="J3295" s="26">
        <f>IF($A3295="","",LEN($C3295)-LEN(SUBSTITUTE($C3295,",",""))+1)</f>
        <v/>
      </c>
      <c r="K3295" s="26">
        <f>IF($A3295="","",SUMPRODUCT(--ISNUMBER(SEARCH('Category Dictionary'!$D$5:$D$135&amp;"",$C3295)),--('Category Dictionary'!$D$5:$D$135&lt;&gt;"")))</f>
        <v/>
      </c>
      <c r="L3295" s="27">
        <f>IF($A3295="","",TRIM(IF(ISERROR(FIND(",",$C3295)),$C3295,LEFT($C3295,FIND(",",$C3295)-1))))</f>
        <v/>
      </c>
      <c r="M3295" s="28">
        <f>IF($H3295="","",DATE(YEAR($H3295),MONTH($H3295),1))</f>
        <v/>
      </c>
      <c r="N3295" s="26">
        <f>IF($H3295="","",TODAY()-$H3295)</f>
        <v/>
      </c>
      <c r="O3295" s="15" t="n"/>
      <c r="P3295" s="15" t="n"/>
      <c r="Q3295" s="15" t="n"/>
      <c r="R3295" s="25" t="n"/>
      <c r="S3295" s="26">
        <f>IF($A3295="","",AND(OR('Assignment Builder'!$B$5="",$B3295='Assignment Builder'!$B$5),OR('Assignment Builder'!$B$6="",ISNUMBER(SEARCH('Assignment Builder'!$B$6,$C3295))),OR('Assignment Builder'!$B$7="",'Assignment Builder'!$B$7=IFERROR(INDEX('Category Dictionary'!$C$5:$C$135,MATCH($L3295,'Category Dictionary'!$D$5:$D$135,0)),"")),OR('Assignment Builder'!$B$8="",$D3295='Assignment Builder'!$B$8),OR('Assignment Builder'!$B$9="",$F3295='Assignment Builder'!$B$9),OR('Assignment Builder'!$B$10="",$O3295='Assignment Builder'!$B$10),OR('Assignment Builder'!$B$11="",$H3295&gt;='Assignment Builder'!$B$11),OR('Assignment Builder'!$B$12="",N($Q3295)&lt;='Assignment Builder'!$B$12)))</f>
        <v/>
      </c>
      <c r="T3295" s="23" t="n"/>
    </row>
    <row r="3296">
      <c r="A3296" s="23" t="n"/>
      <c r="B3296" s="23" t="n"/>
      <c r="C3296" s="24" t="n"/>
      <c r="D3296" s="15" t="n"/>
      <c r="E3296" s="23" t="n"/>
      <c r="F3296" s="15" t="n"/>
      <c r="G3296" s="23" t="n"/>
      <c r="H3296" s="25" t="n"/>
      <c r="I3296" s="15" t="n"/>
      <c r="J3296" s="26">
        <f>IF($A3296="","",LEN($C3296)-LEN(SUBSTITUTE($C3296,",",""))+1)</f>
        <v/>
      </c>
      <c r="K3296" s="26">
        <f>IF($A3296="","",SUMPRODUCT(--ISNUMBER(SEARCH('Category Dictionary'!$D$5:$D$135&amp;"",$C3296)),--('Category Dictionary'!$D$5:$D$135&lt;&gt;"")))</f>
        <v/>
      </c>
      <c r="L3296" s="27">
        <f>IF($A3296="","",TRIM(IF(ISERROR(FIND(",",$C3296)),$C3296,LEFT($C3296,FIND(",",$C3296)-1))))</f>
        <v/>
      </c>
      <c r="M3296" s="28">
        <f>IF($H3296="","",DATE(YEAR($H3296),MONTH($H3296),1))</f>
        <v/>
      </c>
      <c r="N3296" s="26">
        <f>IF($H3296="","",TODAY()-$H3296)</f>
        <v/>
      </c>
      <c r="O3296" s="15" t="n"/>
      <c r="P3296" s="15" t="n"/>
      <c r="Q3296" s="15" t="n"/>
      <c r="R3296" s="25" t="n"/>
      <c r="S3296" s="26">
        <f>IF($A3296="","",AND(OR('Assignment Builder'!$B$5="",$B3296='Assignment Builder'!$B$5),OR('Assignment Builder'!$B$6="",ISNUMBER(SEARCH('Assignment Builder'!$B$6,$C3296))),OR('Assignment Builder'!$B$7="",'Assignment Builder'!$B$7=IFERROR(INDEX('Category Dictionary'!$C$5:$C$135,MATCH($L3296,'Category Dictionary'!$D$5:$D$135,0)),"")),OR('Assignment Builder'!$B$8="",$D3296='Assignment Builder'!$B$8),OR('Assignment Builder'!$B$9="",$F3296='Assignment Builder'!$B$9),OR('Assignment Builder'!$B$10="",$O3296='Assignment Builder'!$B$10),OR('Assignment Builder'!$B$11="",$H3296&gt;='Assignment Builder'!$B$11),OR('Assignment Builder'!$B$12="",N($Q3296)&lt;='Assignment Builder'!$B$12)))</f>
        <v/>
      </c>
      <c r="T3296" s="23" t="n"/>
    </row>
    <row r="3297">
      <c r="A3297" s="23" t="n"/>
      <c r="B3297" s="23" t="n"/>
      <c r="C3297" s="24" t="n"/>
      <c r="D3297" s="15" t="n"/>
      <c r="E3297" s="23" t="n"/>
      <c r="F3297" s="15" t="n"/>
      <c r="G3297" s="23" t="n"/>
      <c r="H3297" s="25" t="n"/>
      <c r="I3297" s="15" t="n"/>
      <c r="J3297" s="26">
        <f>IF($A3297="","",LEN($C3297)-LEN(SUBSTITUTE($C3297,",",""))+1)</f>
        <v/>
      </c>
      <c r="K3297" s="26">
        <f>IF($A3297="","",SUMPRODUCT(--ISNUMBER(SEARCH('Category Dictionary'!$D$5:$D$135&amp;"",$C3297)),--('Category Dictionary'!$D$5:$D$135&lt;&gt;"")))</f>
        <v/>
      </c>
      <c r="L3297" s="27">
        <f>IF($A3297="","",TRIM(IF(ISERROR(FIND(",",$C3297)),$C3297,LEFT($C3297,FIND(",",$C3297)-1))))</f>
        <v/>
      </c>
      <c r="M3297" s="28">
        <f>IF($H3297="","",DATE(YEAR($H3297),MONTH($H3297),1))</f>
        <v/>
      </c>
      <c r="N3297" s="26">
        <f>IF($H3297="","",TODAY()-$H3297)</f>
        <v/>
      </c>
      <c r="O3297" s="15" t="n"/>
      <c r="P3297" s="15" t="n"/>
      <c r="Q3297" s="15" t="n"/>
      <c r="R3297" s="25" t="n"/>
      <c r="S3297" s="26">
        <f>IF($A3297="","",AND(OR('Assignment Builder'!$B$5="",$B3297='Assignment Builder'!$B$5),OR('Assignment Builder'!$B$6="",ISNUMBER(SEARCH('Assignment Builder'!$B$6,$C3297))),OR('Assignment Builder'!$B$7="",'Assignment Builder'!$B$7=IFERROR(INDEX('Category Dictionary'!$C$5:$C$135,MATCH($L3297,'Category Dictionary'!$D$5:$D$135,0)),"")),OR('Assignment Builder'!$B$8="",$D3297='Assignment Builder'!$B$8),OR('Assignment Builder'!$B$9="",$F3297='Assignment Builder'!$B$9),OR('Assignment Builder'!$B$10="",$O3297='Assignment Builder'!$B$10),OR('Assignment Builder'!$B$11="",$H3297&gt;='Assignment Builder'!$B$11),OR('Assignment Builder'!$B$12="",N($Q3297)&lt;='Assignment Builder'!$B$12)))</f>
        <v/>
      </c>
      <c r="T3297" s="23" t="n"/>
    </row>
    <row r="3298">
      <c r="A3298" s="23" t="n"/>
      <c r="B3298" s="23" t="n"/>
      <c r="C3298" s="24" t="n"/>
      <c r="D3298" s="15" t="n"/>
      <c r="E3298" s="23" t="n"/>
      <c r="F3298" s="15" t="n"/>
      <c r="G3298" s="23" t="n"/>
      <c r="H3298" s="25" t="n"/>
      <c r="I3298" s="15" t="n"/>
      <c r="J3298" s="26">
        <f>IF($A3298="","",LEN($C3298)-LEN(SUBSTITUTE($C3298,",",""))+1)</f>
        <v/>
      </c>
      <c r="K3298" s="26">
        <f>IF($A3298="","",SUMPRODUCT(--ISNUMBER(SEARCH('Category Dictionary'!$D$5:$D$135&amp;"",$C3298)),--('Category Dictionary'!$D$5:$D$135&lt;&gt;"")))</f>
        <v/>
      </c>
      <c r="L3298" s="27">
        <f>IF($A3298="","",TRIM(IF(ISERROR(FIND(",",$C3298)),$C3298,LEFT($C3298,FIND(",",$C3298)-1))))</f>
        <v/>
      </c>
      <c r="M3298" s="28">
        <f>IF($H3298="","",DATE(YEAR($H3298),MONTH($H3298),1))</f>
        <v/>
      </c>
      <c r="N3298" s="26">
        <f>IF($H3298="","",TODAY()-$H3298)</f>
        <v/>
      </c>
      <c r="O3298" s="15" t="n"/>
      <c r="P3298" s="15" t="n"/>
      <c r="Q3298" s="15" t="n"/>
      <c r="R3298" s="25" t="n"/>
      <c r="S3298" s="26">
        <f>IF($A3298="","",AND(OR('Assignment Builder'!$B$5="",$B3298='Assignment Builder'!$B$5),OR('Assignment Builder'!$B$6="",ISNUMBER(SEARCH('Assignment Builder'!$B$6,$C3298))),OR('Assignment Builder'!$B$7="",'Assignment Builder'!$B$7=IFERROR(INDEX('Category Dictionary'!$C$5:$C$135,MATCH($L3298,'Category Dictionary'!$D$5:$D$135,0)),"")),OR('Assignment Builder'!$B$8="",$D3298='Assignment Builder'!$B$8),OR('Assignment Builder'!$B$9="",$F3298='Assignment Builder'!$B$9),OR('Assignment Builder'!$B$10="",$O3298='Assignment Builder'!$B$10),OR('Assignment Builder'!$B$11="",$H3298&gt;='Assignment Builder'!$B$11),OR('Assignment Builder'!$B$12="",N($Q3298)&lt;='Assignment Builder'!$B$12)))</f>
        <v/>
      </c>
      <c r="T3298" s="23" t="n"/>
    </row>
    <row r="3299">
      <c r="A3299" s="23" t="n"/>
      <c r="B3299" s="23" t="n"/>
      <c r="C3299" s="24" t="n"/>
      <c r="D3299" s="15" t="n"/>
      <c r="E3299" s="23" t="n"/>
      <c r="F3299" s="15" t="n"/>
      <c r="G3299" s="23" t="n"/>
      <c r="H3299" s="25" t="n"/>
      <c r="I3299" s="15" t="n"/>
      <c r="J3299" s="26">
        <f>IF($A3299="","",LEN($C3299)-LEN(SUBSTITUTE($C3299,",",""))+1)</f>
        <v/>
      </c>
      <c r="K3299" s="26">
        <f>IF($A3299="","",SUMPRODUCT(--ISNUMBER(SEARCH('Category Dictionary'!$D$5:$D$135&amp;"",$C3299)),--('Category Dictionary'!$D$5:$D$135&lt;&gt;"")))</f>
        <v/>
      </c>
      <c r="L3299" s="27">
        <f>IF($A3299="","",TRIM(IF(ISERROR(FIND(",",$C3299)),$C3299,LEFT($C3299,FIND(",",$C3299)-1))))</f>
        <v/>
      </c>
      <c r="M3299" s="28">
        <f>IF($H3299="","",DATE(YEAR($H3299),MONTH($H3299),1))</f>
        <v/>
      </c>
      <c r="N3299" s="26">
        <f>IF($H3299="","",TODAY()-$H3299)</f>
        <v/>
      </c>
      <c r="O3299" s="15" t="n"/>
      <c r="P3299" s="15" t="n"/>
      <c r="Q3299" s="15" t="n"/>
      <c r="R3299" s="25" t="n"/>
      <c r="S3299" s="26">
        <f>IF($A3299="","",AND(OR('Assignment Builder'!$B$5="",$B3299='Assignment Builder'!$B$5),OR('Assignment Builder'!$B$6="",ISNUMBER(SEARCH('Assignment Builder'!$B$6,$C3299))),OR('Assignment Builder'!$B$7="",'Assignment Builder'!$B$7=IFERROR(INDEX('Category Dictionary'!$C$5:$C$135,MATCH($L3299,'Category Dictionary'!$D$5:$D$135,0)),"")),OR('Assignment Builder'!$B$8="",$D3299='Assignment Builder'!$B$8),OR('Assignment Builder'!$B$9="",$F3299='Assignment Builder'!$B$9),OR('Assignment Builder'!$B$10="",$O3299='Assignment Builder'!$B$10),OR('Assignment Builder'!$B$11="",$H3299&gt;='Assignment Builder'!$B$11),OR('Assignment Builder'!$B$12="",N($Q3299)&lt;='Assignment Builder'!$B$12)))</f>
        <v/>
      </c>
      <c r="T3299" s="23" t="n"/>
    </row>
    <row r="3300">
      <c r="A3300" s="23" t="n"/>
      <c r="B3300" s="23" t="n"/>
      <c r="C3300" s="24" t="n"/>
      <c r="D3300" s="15" t="n"/>
      <c r="E3300" s="23" t="n"/>
      <c r="F3300" s="15" t="n"/>
      <c r="G3300" s="23" t="n"/>
      <c r="H3300" s="25" t="n"/>
      <c r="I3300" s="15" t="n"/>
      <c r="J3300" s="26">
        <f>IF($A3300="","",LEN($C3300)-LEN(SUBSTITUTE($C3300,",",""))+1)</f>
        <v/>
      </c>
      <c r="K3300" s="26">
        <f>IF($A3300="","",SUMPRODUCT(--ISNUMBER(SEARCH('Category Dictionary'!$D$5:$D$135&amp;"",$C3300)),--('Category Dictionary'!$D$5:$D$135&lt;&gt;"")))</f>
        <v/>
      </c>
      <c r="L3300" s="27">
        <f>IF($A3300="","",TRIM(IF(ISERROR(FIND(",",$C3300)),$C3300,LEFT($C3300,FIND(",",$C3300)-1))))</f>
        <v/>
      </c>
      <c r="M3300" s="28">
        <f>IF($H3300="","",DATE(YEAR($H3300),MONTH($H3300),1))</f>
        <v/>
      </c>
      <c r="N3300" s="26">
        <f>IF($H3300="","",TODAY()-$H3300)</f>
        <v/>
      </c>
      <c r="O3300" s="15" t="n"/>
      <c r="P3300" s="15" t="n"/>
      <c r="Q3300" s="15" t="n"/>
      <c r="R3300" s="25" t="n"/>
      <c r="S3300" s="26">
        <f>IF($A3300="","",AND(OR('Assignment Builder'!$B$5="",$B3300='Assignment Builder'!$B$5),OR('Assignment Builder'!$B$6="",ISNUMBER(SEARCH('Assignment Builder'!$B$6,$C3300))),OR('Assignment Builder'!$B$7="",'Assignment Builder'!$B$7=IFERROR(INDEX('Category Dictionary'!$C$5:$C$135,MATCH($L3300,'Category Dictionary'!$D$5:$D$135,0)),"")),OR('Assignment Builder'!$B$8="",$D3300='Assignment Builder'!$B$8),OR('Assignment Builder'!$B$9="",$F3300='Assignment Builder'!$B$9),OR('Assignment Builder'!$B$10="",$O3300='Assignment Builder'!$B$10),OR('Assignment Builder'!$B$11="",$H3300&gt;='Assignment Builder'!$B$11),OR('Assignment Builder'!$B$12="",N($Q3300)&lt;='Assignment Builder'!$B$12)))</f>
        <v/>
      </c>
      <c r="T3300" s="23" t="n"/>
    </row>
    <row r="3301">
      <c r="A3301" s="23" t="n"/>
      <c r="B3301" s="23" t="n"/>
      <c r="C3301" s="24" t="n"/>
      <c r="D3301" s="15" t="n"/>
      <c r="E3301" s="23" t="n"/>
      <c r="F3301" s="15" t="n"/>
      <c r="G3301" s="23" t="n"/>
      <c r="H3301" s="25" t="n"/>
      <c r="I3301" s="15" t="n"/>
      <c r="J3301" s="26">
        <f>IF($A3301="","",LEN($C3301)-LEN(SUBSTITUTE($C3301,",",""))+1)</f>
        <v/>
      </c>
      <c r="K3301" s="26">
        <f>IF($A3301="","",SUMPRODUCT(--ISNUMBER(SEARCH('Category Dictionary'!$D$5:$D$135&amp;"",$C3301)),--('Category Dictionary'!$D$5:$D$135&lt;&gt;"")))</f>
        <v/>
      </c>
      <c r="L3301" s="27">
        <f>IF($A3301="","",TRIM(IF(ISERROR(FIND(",",$C3301)),$C3301,LEFT($C3301,FIND(",",$C3301)-1))))</f>
        <v/>
      </c>
      <c r="M3301" s="28">
        <f>IF($H3301="","",DATE(YEAR($H3301),MONTH($H3301),1))</f>
        <v/>
      </c>
      <c r="N3301" s="26">
        <f>IF($H3301="","",TODAY()-$H3301)</f>
        <v/>
      </c>
      <c r="O3301" s="15" t="n"/>
      <c r="P3301" s="15" t="n"/>
      <c r="Q3301" s="15" t="n"/>
      <c r="R3301" s="25" t="n"/>
      <c r="S3301" s="26">
        <f>IF($A3301="","",AND(OR('Assignment Builder'!$B$5="",$B3301='Assignment Builder'!$B$5),OR('Assignment Builder'!$B$6="",ISNUMBER(SEARCH('Assignment Builder'!$B$6,$C3301))),OR('Assignment Builder'!$B$7="",'Assignment Builder'!$B$7=IFERROR(INDEX('Category Dictionary'!$C$5:$C$135,MATCH($L3301,'Category Dictionary'!$D$5:$D$135,0)),"")),OR('Assignment Builder'!$B$8="",$D3301='Assignment Builder'!$B$8),OR('Assignment Builder'!$B$9="",$F3301='Assignment Builder'!$B$9),OR('Assignment Builder'!$B$10="",$O3301='Assignment Builder'!$B$10),OR('Assignment Builder'!$B$11="",$H3301&gt;='Assignment Builder'!$B$11),OR('Assignment Builder'!$B$12="",N($Q3301)&lt;='Assignment Builder'!$B$12)))</f>
        <v/>
      </c>
      <c r="T3301" s="23" t="n"/>
    </row>
    <row r="3302">
      <c r="A3302" s="23" t="n"/>
      <c r="B3302" s="23" t="n"/>
      <c r="C3302" s="24" t="n"/>
      <c r="D3302" s="15" t="n"/>
      <c r="E3302" s="23" t="n"/>
      <c r="F3302" s="15" t="n"/>
      <c r="G3302" s="23" t="n"/>
      <c r="H3302" s="25" t="n"/>
      <c r="I3302" s="15" t="n"/>
      <c r="J3302" s="26">
        <f>IF($A3302="","",LEN($C3302)-LEN(SUBSTITUTE($C3302,",",""))+1)</f>
        <v/>
      </c>
      <c r="K3302" s="26">
        <f>IF($A3302="","",SUMPRODUCT(--ISNUMBER(SEARCH('Category Dictionary'!$D$5:$D$135&amp;"",$C3302)),--('Category Dictionary'!$D$5:$D$135&lt;&gt;"")))</f>
        <v/>
      </c>
      <c r="L3302" s="27">
        <f>IF($A3302="","",TRIM(IF(ISERROR(FIND(",",$C3302)),$C3302,LEFT($C3302,FIND(",",$C3302)-1))))</f>
        <v/>
      </c>
      <c r="M3302" s="28">
        <f>IF($H3302="","",DATE(YEAR($H3302),MONTH($H3302),1))</f>
        <v/>
      </c>
      <c r="N3302" s="26">
        <f>IF($H3302="","",TODAY()-$H3302)</f>
        <v/>
      </c>
      <c r="O3302" s="15" t="n"/>
      <c r="P3302" s="15" t="n"/>
      <c r="Q3302" s="15" t="n"/>
      <c r="R3302" s="25" t="n"/>
      <c r="S3302" s="26">
        <f>IF($A3302="","",AND(OR('Assignment Builder'!$B$5="",$B3302='Assignment Builder'!$B$5),OR('Assignment Builder'!$B$6="",ISNUMBER(SEARCH('Assignment Builder'!$B$6,$C3302))),OR('Assignment Builder'!$B$7="",'Assignment Builder'!$B$7=IFERROR(INDEX('Category Dictionary'!$C$5:$C$135,MATCH($L3302,'Category Dictionary'!$D$5:$D$135,0)),"")),OR('Assignment Builder'!$B$8="",$D3302='Assignment Builder'!$B$8),OR('Assignment Builder'!$B$9="",$F3302='Assignment Builder'!$B$9),OR('Assignment Builder'!$B$10="",$O3302='Assignment Builder'!$B$10),OR('Assignment Builder'!$B$11="",$H3302&gt;='Assignment Builder'!$B$11),OR('Assignment Builder'!$B$12="",N($Q3302)&lt;='Assignment Builder'!$B$12)))</f>
        <v/>
      </c>
      <c r="T3302" s="23" t="n"/>
    </row>
    <row r="3303">
      <c r="A3303" s="23" t="n"/>
      <c r="B3303" s="23" t="n"/>
      <c r="C3303" s="24" t="n"/>
      <c r="D3303" s="15" t="n"/>
      <c r="E3303" s="23" t="n"/>
      <c r="F3303" s="15" t="n"/>
      <c r="G3303" s="23" t="n"/>
      <c r="H3303" s="25" t="n"/>
      <c r="I3303" s="15" t="n"/>
      <c r="J3303" s="26">
        <f>IF($A3303="","",LEN($C3303)-LEN(SUBSTITUTE($C3303,",",""))+1)</f>
        <v/>
      </c>
      <c r="K3303" s="26">
        <f>IF($A3303="","",SUMPRODUCT(--ISNUMBER(SEARCH('Category Dictionary'!$D$5:$D$135&amp;"",$C3303)),--('Category Dictionary'!$D$5:$D$135&lt;&gt;"")))</f>
        <v/>
      </c>
      <c r="L3303" s="27">
        <f>IF($A3303="","",TRIM(IF(ISERROR(FIND(",",$C3303)),$C3303,LEFT($C3303,FIND(",",$C3303)-1))))</f>
        <v/>
      </c>
      <c r="M3303" s="28">
        <f>IF($H3303="","",DATE(YEAR($H3303),MONTH($H3303),1))</f>
        <v/>
      </c>
      <c r="N3303" s="26">
        <f>IF($H3303="","",TODAY()-$H3303)</f>
        <v/>
      </c>
      <c r="O3303" s="15" t="n"/>
      <c r="P3303" s="15" t="n"/>
      <c r="Q3303" s="15" t="n"/>
      <c r="R3303" s="25" t="n"/>
      <c r="S3303" s="26">
        <f>IF($A3303="","",AND(OR('Assignment Builder'!$B$5="",$B3303='Assignment Builder'!$B$5),OR('Assignment Builder'!$B$6="",ISNUMBER(SEARCH('Assignment Builder'!$B$6,$C3303))),OR('Assignment Builder'!$B$7="",'Assignment Builder'!$B$7=IFERROR(INDEX('Category Dictionary'!$C$5:$C$135,MATCH($L3303,'Category Dictionary'!$D$5:$D$135,0)),"")),OR('Assignment Builder'!$B$8="",$D3303='Assignment Builder'!$B$8),OR('Assignment Builder'!$B$9="",$F3303='Assignment Builder'!$B$9),OR('Assignment Builder'!$B$10="",$O3303='Assignment Builder'!$B$10),OR('Assignment Builder'!$B$11="",$H3303&gt;='Assignment Builder'!$B$11),OR('Assignment Builder'!$B$12="",N($Q3303)&lt;='Assignment Builder'!$B$12)))</f>
        <v/>
      </c>
      <c r="T3303" s="23" t="n"/>
    </row>
    <row r="3304">
      <c r="A3304" s="23" t="n"/>
      <c r="B3304" s="23" t="n"/>
      <c r="C3304" s="24" t="n"/>
      <c r="D3304" s="15" t="n"/>
      <c r="E3304" s="23" t="n"/>
      <c r="F3304" s="15" t="n"/>
      <c r="G3304" s="23" t="n"/>
      <c r="H3304" s="25" t="n"/>
      <c r="I3304" s="15" t="n"/>
      <c r="J3304" s="26">
        <f>IF($A3304="","",LEN($C3304)-LEN(SUBSTITUTE($C3304,",",""))+1)</f>
        <v/>
      </c>
      <c r="K3304" s="26">
        <f>IF($A3304="","",SUMPRODUCT(--ISNUMBER(SEARCH('Category Dictionary'!$D$5:$D$135&amp;"",$C3304)),--('Category Dictionary'!$D$5:$D$135&lt;&gt;"")))</f>
        <v/>
      </c>
      <c r="L3304" s="27">
        <f>IF($A3304="","",TRIM(IF(ISERROR(FIND(",",$C3304)),$C3304,LEFT($C3304,FIND(",",$C3304)-1))))</f>
        <v/>
      </c>
      <c r="M3304" s="28">
        <f>IF($H3304="","",DATE(YEAR($H3304),MONTH($H3304),1))</f>
        <v/>
      </c>
      <c r="N3304" s="26">
        <f>IF($H3304="","",TODAY()-$H3304)</f>
        <v/>
      </c>
      <c r="O3304" s="15" t="n"/>
      <c r="P3304" s="15" t="n"/>
      <c r="Q3304" s="15" t="n"/>
      <c r="R3304" s="25" t="n"/>
      <c r="S3304" s="26">
        <f>IF($A3304="","",AND(OR('Assignment Builder'!$B$5="",$B3304='Assignment Builder'!$B$5),OR('Assignment Builder'!$B$6="",ISNUMBER(SEARCH('Assignment Builder'!$B$6,$C3304))),OR('Assignment Builder'!$B$7="",'Assignment Builder'!$B$7=IFERROR(INDEX('Category Dictionary'!$C$5:$C$135,MATCH($L3304,'Category Dictionary'!$D$5:$D$135,0)),"")),OR('Assignment Builder'!$B$8="",$D3304='Assignment Builder'!$B$8),OR('Assignment Builder'!$B$9="",$F3304='Assignment Builder'!$B$9),OR('Assignment Builder'!$B$10="",$O3304='Assignment Builder'!$B$10),OR('Assignment Builder'!$B$11="",$H3304&gt;='Assignment Builder'!$B$11),OR('Assignment Builder'!$B$12="",N($Q3304)&lt;='Assignment Builder'!$B$12)))</f>
        <v/>
      </c>
      <c r="T3304" s="23" t="n"/>
    </row>
    <row r="3305">
      <c r="A3305" s="23" t="n"/>
      <c r="B3305" s="23" t="n"/>
      <c r="C3305" s="24" t="n"/>
      <c r="D3305" s="15" t="n"/>
      <c r="E3305" s="23" t="n"/>
      <c r="F3305" s="15" t="n"/>
      <c r="G3305" s="23" t="n"/>
      <c r="H3305" s="25" t="n"/>
      <c r="I3305" s="15" t="n"/>
      <c r="J3305" s="26">
        <f>IF($A3305="","",LEN($C3305)-LEN(SUBSTITUTE($C3305,",",""))+1)</f>
        <v/>
      </c>
      <c r="K3305" s="26">
        <f>IF($A3305="","",SUMPRODUCT(--ISNUMBER(SEARCH('Category Dictionary'!$D$5:$D$135&amp;"",$C3305)),--('Category Dictionary'!$D$5:$D$135&lt;&gt;"")))</f>
        <v/>
      </c>
      <c r="L3305" s="27">
        <f>IF($A3305="","",TRIM(IF(ISERROR(FIND(",",$C3305)),$C3305,LEFT($C3305,FIND(",",$C3305)-1))))</f>
        <v/>
      </c>
      <c r="M3305" s="28">
        <f>IF($H3305="","",DATE(YEAR($H3305),MONTH($H3305),1))</f>
        <v/>
      </c>
      <c r="N3305" s="26">
        <f>IF($H3305="","",TODAY()-$H3305)</f>
        <v/>
      </c>
      <c r="O3305" s="15" t="n"/>
      <c r="P3305" s="15" t="n"/>
      <c r="Q3305" s="15" t="n"/>
      <c r="R3305" s="25" t="n"/>
      <c r="S3305" s="26">
        <f>IF($A3305="","",AND(OR('Assignment Builder'!$B$5="",$B3305='Assignment Builder'!$B$5),OR('Assignment Builder'!$B$6="",ISNUMBER(SEARCH('Assignment Builder'!$B$6,$C3305))),OR('Assignment Builder'!$B$7="",'Assignment Builder'!$B$7=IFERROR(INDEX('Category Dictionary'!$C$5:$C$135,MATCH($L3305,'Category Dictionary'!$D$5:$D$135,0)),"")),OR('Assignment Builder'!$B$8="",$D3305='Assignment Builder'!$B$8),OR('Assignment Builder'!$B$9="",$F3305='Assignment Builder'!$B$9),OR('Assignment Builder'!$B$10="",$O3305='Assignment Builder'!$B$10),OR('Assignment Builder'!$B$11="",$H3305&gt;='Assignment Builder'!$B$11),OR('Assignment Builder'!$B$12="",N($Q3305)&lt;='Assignment Builder'!$B$12)))</f>
        <v/>
      </c>
      <c r="T3305" s="23" t="n"/>
    </row>
    <row r="3306">
      <c r="A3306" s="23" t="n"/>
      <c r="B3306" s="23" t="n"/>
      <c r="C3306" s="24" t="n"/>
      <c r="D3306" s="15" t="n"/>
      <c r="E3306" s="23" t="n"/>
      <c r="F3306" s="15" t="n"/>
      <c r="G3306" s="23" t="n"/>
      <c r="H3306" s="25" t="n"/>
      <c r="I3306" s="15" t="n"/>
      <c r="J3306" s="26">
        <f>IF($A3306="","",LEN($C3306)-LEN(SUBSTITUTE($C3306,",",""))+1)</f>
        <v/>
      </c>
      <c r="K3306" s="26">
        <f>IF($A3306="","",SUMPRODUCT(--ISNUMBER(SEARCH('Category Dictionary'!$D$5:$D$135&amp;"",$C3306)),--('Category Dictionary'!$D$5:$D$135&lt;&gt;"")))</f>
        <v/>
      </c>
      <c r="L3306" s="27">
        <f>IF($A3306="","",TRIM(IF(ISERROR(FIND(",",$C3306)),$C3306,LEFT($C3306,FIND(",",$C3306)-1))))</f>
        <v/>
      </c>
      <c r="M3306" s="28">
        <f>IF($H3306="","",DATE(YEAR($H3306),MONTH($H3306),1))</f>
        <v/>
      </c>
      <c r="N3306" s="26">
        <f>IF($H3306="","",TODAY()-$H3306)</f>
        <v/>
      </c>
      <c r="O3306" s="15" t="n"/>
      <c r="P3306" s="15" t="n"/>
      <c r="Q3306" s="15" t="n"/>
      <c r="R3306" s="25" t="n"/>
      <c r="S3306" s="26">
        <f>IF($A3306="","",AND(OR('Assignment Builder'!$B$5="",$B3306='Assignment Builder'!$B$5),OR('Assignment Builder'!$B$6="",ISNUMBER(SEARCH('Assignment Builder'!$B$6,$C3306))),OR('Assignment Builder'!$B$7="",'Assignment Builder'!$B$7=IFERROR(INDEX('Category Dictionary'!$C$5:$C$135,MATCH($L3306,'Category Dictionary'!$D$5:$D$135,0)),"")),OR('Assignment Builder'!$B$8="",$D3306='Assignment Builder'!$B$8),OR('Assignment Builder'!$B$9="",$F3306='Assignment Builder'!$B$9),OR('Assignment Builder'!$B$10="",$O3306='Assignment Builder'!$B$10),OR('Assignment Builder'!$B$11="",$H3306&gt;='Assignment Builder'!$B$11),OR('Assignment Builder'!$B$12="",N($Q3306)&lt;='Assignment Builder'!$B$12)))</f>
        <v/>
      </c>
      <c r="T3306" s="23" t="n"/>
    </row>
    <row r="3307">
      <c r="A3307" s="23" t="n"/>
      <c r="B3307" s="23" t="n"/>
      <c r="C3307" s="24" t="n"/>
      <c r="D3307" s="15" t="n"/>
      <c r="E3307" s="23" t="n"/>
      <c r="F3307" s="15" t="n"/>
      <c r="G3307" s="23" t="n"/>
      <c r="H3307" s="25" t="n"/>
      <c r="I3307" s="15" t="n"/>
      <c r="J3307" s="26">
        <f>IF($A3307="","",LEN($C3307)-LEN(SUBSTITUTE($C3307,",",""))+1)</f>
        <v/>
      </c>
      <c r="K3307" s="26">
        <f>IF($A3307="","",SUMPRODUCT(--ISNUMBER(SEARCH('Category Dictionary'!$D$5:$D$135&amp;"",$C3307)),--('Category Dictionary'!$D$5:$D$135&lt;&gt;"")))</f>
        <v/>
      </c>
      <c r="L3307" s="27">
        <f>IF($A3307="","",TRIM(IF(ISERROR(FIND(",",$C3307)),$C3307,LEFT($C3307,FIND(",",$C3307)-1))))</f>
        <v/>
      </c>
      <c r="M3307" s="28">
        <f>IF($H3307="","",DATE(YEAR($H3307),MONTH($H3307),1))</f>
        <v/>
      </c>
      <c r="N3307" s="26">
        <f>IF($H3307="","",TODAY()-$H3307)</f>
        <v/>
      </c>
      <c r="O3307" s="15" t="n"/>
      <c r="P3307" s="15" t="n"/>
      <c r="Q3307" s="15" t="n"/>
      <c r="R3307" s="25" t="n"/>
      <c r="S3307" s="26">
        <f>IF($A3307="","",AND(OR('Assignment Builder'!$B$5="",$B3307='Assignment Builder'!$B$5),OR('Assignment Builder'!$B$6="",ISNUMBER(SEARCH('Assignment Builder'!$B$6,$C3307))),OR('Assignment Builder'!$B$7="",'Assignment Builder'!$B$7=IFERROR(INDEX('Category Dictionary'!$C$5:$C$135,MATCH($L3307,'Category Dictionary'!$D$5:$D$135,0)),"")),OR('Assignment Builder'!$B$8="",$D3307='Assignment Builder'!$B$8),OR('Assignment Builder'!$B$9="",$F3307='Assignment Builder'!$B$9),OR('Assignment Builder'!$B$10="",$O3307='Assignment Builder'!$B$10),OR('Assignment Builder'!$B$11="",$H3307&gt;='Assignment Builder'!$B$11),OR('Assignment Builder'!$B$12="",N($Q3307)&lt;='Assignment Builder'!$B$12)))</f>
        <v/>
      </c>
      <c r="T3307" s="23" t="n"/>
    </row>
    <row r="3308">
      <c r="A3308" s="23" t="n"/>
      <c r="B3308" s="23" t="n"/>
      <c r="C3308" s="24" t="n"/>
      <c r="D3308" s="15" t="n"/>
      <c r="E3308" s="23" t="n"/>
      <c r="F3308" s="15" t="n"/>
      <c r="G3308" s="23" t="n"/>
      <c r="H3308" s="25" t="n"/>
      <c r="I3308" s="15" t="n"/>
      <c r="J3308" s="26">
        <f>IF($A3308="","",LEN($C3308)-LEN(SUBSTITUTE($C3308,",",""))+1)</f>
        <v/>
      </c>
      <c r="K3308" s="26">
        <f>IF($A3308="","",SUMPRODUCT(--ISNUMBER(SEARCH('Category Dictionary'!$D$5:$D$135&amp;"",$C3308)),--('Category Dictionary'!$D$5:$D$135&lt;&gt;"")))</f>
        <v/>
      </c>
      <c r="L3308" s="27">
        <f>IF($A3308="","",TRIM(IF(ISERROR(FIND(",",$C3308)),$C3308,LEFT($C3308,FIND(",",$C3308)-1))))</f>
        <v/>
      </c>
      <c r="M3308" s="28">
        <f>IF($H3308="","",DATE(YEAR($H3308),MONTH($H3308),1))</f>
        <v/>
      </c>
      <c r="N3308" s="26">
        <f>IF($H3308="","",TODAY()-$H3308)</f>
        <v/>
      </c>
      <c r="O3308" s="15" t="n"/>
      <c r="P3308" s="15" t="n"/>
      <c r="Q3308" s="15" t="n"/>
      <c r="R3308" s="25" t="n"/>
      <c r="S3308" s="26">
        <f>IF($A3308="","",AND(OR('Assignment Builder'!$B$5="",$B3308='Assignment Builder'!$B$5),OR('Assignment Builder'!$B$6="",ISNUMBER(SEARCH('Assignment Builder'!$B$6,$C3308))),OR('Assignment Builder'!$B$7="",'Assignment Builder'!$B$7=IFERROR(INDEX('Category Dictionary'!$C$5:$C$135,MATCH($L3308,'Category Dictionary'!$D$5:$D$135,0)),"")),OR('Assignment Builder'!$B$8="",$D3308='Assignment Builder'!$B$8),OR('Assignment Builder'!$B$9="",$F3308='Assignment Builder'!$B$9),OR('Assignment Builder'!$B$10="",$O3308='Assignment Builder'!$B$10),OR('Assignment Builder'!$B$11="",$H3308&gt;='Assignment Builder'!$B$11),OR('Assignment Builder'!$B$12="",N($Q3308)&lt;='Assignment Builder'!$B$12)))</f>
        <v/>
      </c>
      <c r="T3308" s="23" t="n"/>
    </row>
    <row r="3309">
      <c r="A3309" s="23" t="n"/>
      <c r="B3309" s="23" t="n"/>
      <c r="C3309" s="24" t="n"/>
      <c r="D3309" s="15" t="n"/>
      <c r="E3309" s="23" t="n"/>
      <c r="F3309" s="15" t="n"/>
      <c r="G3309" s="23" t="n"/>
      <c r="H3309" s="25" t="n"/>
      <c r="I3309" s="15" t="n"/>
      <c r="J3309" s="26">
        <f>IF($A3309="","",LEN($C3309)-LEN(SUBSTITUTE($C3309,",",""))+1)</f>
        <v/>
      </c>
      <c r="K3309" s="26">
        <f>IF($A3309="","",SUMPRODUCT(--ISNUMBER(SEARCH('Category Dictionary'!$D$5:$D$135&amp;"",$C3309)),--('Category Dictionary'!$D$5:$D$135&lt;&gt;"")))</f>
        <v/>
      </c>
      <c r="L3309" s="27">
        <f>IF($A3309="","",TRIM(IF(ISERROR(FIND(",",$C3309)),$C3309,LEFT($C3309,FIND(",",$C3309)-1))))</f>
        <v/>
      </c>
      <c r="M3309" s="28">
        <f>IF($H3309="","",DATE(YEAR($H3309),MONTH($H3309),1))</f>
        <v/>
      </c>
      <c r="N3309" s="26">
        <f>IF($H3309="","",TODAY()-$H3309)</f>
        <v/>
      </c>
      <c r="O3309" s="15" t="n"/>
      <c r="P3309" s="15" t="n"/>
      <c r="Q3309" s="15" t="n"/>
      <c r="R3309" s="25" t="n"/>
      <c r="S3309" s="26">
        <f>IF($A3309="","",AND(OR('Assignment Builder'!$B$5="",$B3309='Assignment Builder'!$B$5),OR('Assignment Builder'!$B$6="",ISNUMBER(SEARCH('Assignment Builder'!$B$6,$C3309))),OR('Assignment Builder'!$B$7="",'Assignment Builder'!$B$7=IFERROR(INDEX('Category Dictionary'!$C$5:$C$135,MATCH($L3309,'Category Dictionary'!$D$5:$D$135,0)),"")),OR('Assignment Builder'!$B$8="",$D3309='Assignment Builder'!$B$8),OR('Assignment Builder'!$B$9="",$F3309='Assignment Builder'!$B$9),OR('Assignment Builder'!$B$10="",$O3309='Assignment Builder'!$B$10),OR('Assignment Builder'!$B$11="",$H3309&gt;='Assignment Builder'!$B$11),OR('Assignment Builder'!$B$12="",N($Q3309)&lt;='Assignment Builder'!$B$12)))</f>
        <v/>
      </c>
      <c r="T3309" s="23" t="n"/>
    </row>
    <row r="3310">
      <c r="A3310" s="23" t="n"/>
      <c r="B3310" s="23" t="n"/>
      <c r="C3310" s="24" t="n"/>
      <c r="D3310" s="15" t="n"/>
      <c r="E3310" s="23" t="n"/>
      <c r="F3310" s="15" t="n"/>
      <c r="G3310" s="23" t="n"/>
      <c r="H3310" s="25" t="n"/>
      <c r="I3310" s="15" t="n"/>
      <c r="J3310" s="26">
        <f>IF($A3310="","",LEN($C3310)-LEN(SUBSTITUTE($C3310,",",""))+1)</f>
        <v/>
      </c>
      <c r="K3310" s="26">
        <f>IF($A3310="","",SUMPRODUCT(--ISNUMBER(SEARCH('Category Dictionary'!$D$5:$D$135&amp;"",$C3310)),--('Category Dictionary'!$D$5:$D$135&lt;&gt;"")))</f>
        <v/>
      </c>
      <c r="L3310" s="27">
        <f>IF($A3310="","",TRIM(IF(ISERROR(FIND(",",$C3310)),$C3310,LEFT($C3310,FIND(",",$C3310)-1))))</f>
        <v/>
      </c>
      <c r="M3310" s="28">
        <f>IF($H3310="","",DATE(YEAR($H3310),MONTH($H3310),1))</f>
        <v/>
      </c>
      <c r="N3310" s="26">
        <f>IF($H3310="","",TODAY()-$H3310)</f>
        <v/>
      </c>
      <c r="O3310" s="15" t="n"/>
      <c r="P3310" s="15" t="n"/>
      <c r="Q3310" s="15" t="n"/>
      <c r="R3310" s="25" t="n"/>
      <c r="S3310" s="26">
        <f>IF($A3310="","",AND(OR('Assignment Builder'!$B$5="",$B3310='Assignment Builder'!$B$5),OR('Assignment Builder'!$B$6="",ISNUMBER(SEARCH('Assignment Builder'!$B$6,$C3310))),OR('Assignment Builder'!$B$7="",'Assignment Builder'!$B$7=IFERROR(INDEX('Category Dictionary'!$C$5:$C$135,MATCH($L3310,'Category Dictionary'!$D$5:$D$135,0)),"")),OR('Assignment Builder'!$B$8="",$D3310='Assignment Builder'!$B$8),OR('Assignment Builder'!$B$9="",$F3310='Assignment Builder'!$B$9),OR('Assignment Builder'!$B$10="",$O3310='Assignment Builder'!$B$10),OR('Assignment Builder'!$B$11="",$H3310&gt;='Assignment Builder'!$B$11),OR('Assignment Builder'!$B$12="",N($Q3310)&lt;='Assignment Builder'!$B$12)))</f>
        <v/>
      </c>
      <c r="T3310" s="23" t="n"/>
    </row>
    <row r="3311">
      <c r="A3311" s="23" t="n"/>
      <c r="B3311" s="23" t="n"/>
      <c r="C3311" s="24" t="n"/>
      <c r="D3311" s="15" t="n"/>
      <c r="E3311" s="23" t="n"/>
      <c r="F3311" s="15" t="n"/>
      <c r="G3311" s="23" t="n"/>
      <c r="H3311" s="25" t="n"/>
      <c r="I3311" s="15" t="n"/>
      <c r="J3311" s="26">
        <f>IF($A3311="","",LEN($C3311)-LEN(SUBSTITUTE($C3311,",",""))+1)</f>
        <v/>
      </c>
      <c r="K3311" s="26">
        <f>IF($A3311="","",SUMPRODUCT(--ISNUMBER(SEARCH('Category Dictionary'!$D$5:$D$135&amp;"",$C3311)),--('Category Dictionary'!$D$5:$D$135&lt;&gt;"")))</f>
        <v/>
      </c>
      <c r="L3311" s="27">
        <f>IF($A3311="","",TRIM(IF(ISERROR(FIND(",",$C3311)),$C3311,LEFT($C3311,FIND(",",$C3311)-1))))</f>
        <v/>
      </c>
      <c r="M3311" s="28">
        <f>IF($H3311="","",DATE(YEAR($H3311),MONTH($H3311),1))</f>
        <v/>
      </c>
      <c r="N3311" s="26">
        <f>IF($H3311="","",TODAY()-$H3311)</f>
        <v/>
      </c>
      <c r="O3311" s="15" t="n"/>
      <c r="P3311" s="15" t="n"/>
      <c r="Q3311" s="15" t="n"/>
      <c r="R3311" s="25" t="n"/>
      <c r="S3311" s="26">
        <f>IF($A3311="","",AND(OR('Assignment Builder'!$B$5="",$B3311='Assignment Builder'!$B$5),OR('Assignment Builder'!$B$6="",ISNUMBER(SEARCH('Assignment Builder'!$B$6,$C3311))),OR('Assignment Builder'!$B$7="",'Assignment Builder'!$B$7=IFERROR(INDEX('Category Dictionary'!$C$5:$C$135,MATCH($L3311,'Category Dictionary'!$D$5:$D$135,0)),"")),OR('Assignment Builder'!$B$8="",$D3311='Assignment Builder'!$B$8),OR('Assignment Builder'!$B$9="",$F3311='Assignment Builder'!$B$9),OR('Assignment Builder'!$B$10="",$O3311='Assignment Builder'!$B$10),OR('Assignment Builder'!$B$11="",$H3311&gt;='Assignment Builder'!$B$11),OR('Assignment Builder'!$B$12="",N($Q3311)&lt;='Assignment Builder'!$B$12)))</f>
        <v/>
      </c>
      <c r="T3311" s="23" t="n"/>
    </row>
    <row r="3312">
      <c r="A3312" s="23" t="n"/>
      <c r="B3312" s="23" t="n"/>
      <c r="C3312" s="24" t="n"/>
      <c r="D3312" s="15" t="n"/>
      <c r="E3312" s="23" t="n"/>
      <c r="F3312" s="15" t="n"/>
      <c r="G3312" s="23" t="n"/>
      <c r="H3312" s="25" t="n"/>
      <c r="I3312" s="15" t="n"/>
      <c r="J3312" s="26">
        <f>IF($A3312="","",LEN($C3312)-LEN(SUBSTITUTE($C3312,",",""))+1)</f>
        <v/>
      </c>
      <c r="K3312" s="26">
        <f>IF($A3312="","",SUMPRODUCT(--ISNUMBER(SEARCH('Category Dictionary'!$D$5:$D$135&amp;"",$C3312)),--('Category Dictionary'!$D$5:$D$135&lt;&gt;"")))</f>
        <v/>
      </c>
      <c r="L3312" s="27">
        <f>IF($A3312="","",TRIM(IF(ISERROR(FIND(",",$C3312)),$C3312,LEFT($C3312,FIND(",",$C3312)-1))))</f>
        <v/>
      </c>
      <c r="M3312" s="28">
        <f>IF($H3312="","",DATE(YEAR($H3312),MONTH($H3312),1))</f>
        <v/>
      </c>
      <c r="N3312" s="26">
        <f>IF($H3312="","",TODAY()-$H3312)</f>
        <v/>
      </c>
      <c r="O3312" s="15" t="n"/>
      <c r="P3312" s="15" t="n"/>
      <c r="Q3312" s="15" t="n"/>
      <c r="R3312" s="25" t="n"/>
      <c r="S3312" s="26">
        <f>IF($A3312="","",AND(OR('Assignment Builder'!$B$5="",$B3312='Assignment Builder'!$B$5),OR('Assignment Builder'!$B$6="",ISNUMBER(SEARCH('Assignment Builder'!$B$6,$C3312))),OR('Assignment Builder'!$B$7="",'Assignment Builder'!$B$7=IFERROR(INDEX('Category Dictionary'!$C$5:$C$135,MATCH($L3312,'Category Dictionary'!$D$5:$D$135,0)),"")),OR('Assignment Builder'!$B$8="",$D3312='Assignment Builder'!$B$8),OR('Assignment Builder'!$B$9="",$F3312='Assignment Builder'!$B$9),OR('Assignment Builder'!$B$10="",$O3312='Assignment Builder'!$B$10),OR('Assignment Builder'!$B$11="",$H3312&gt;='Assignment Builder'!$B$11),OR('Assignment Builder'!$B$12="",N($Q3312)&lt;='Assignment Builder'!$B$12)))</f>
        <v/>
      </c>
      <c r="T3312" s="23" t="n"/>
    </row>
    <row r="3313">
      <c r="A3313" s="23" t="n"/>
      <c r="B3313" s="23" t="n"/>
      <c r="C3313" s="24" t="n"/>
      <c r="D3313" s="15" t="n"/>
      <c r="E3313" s="23" t="n"/>
      <c r="F3313" s="15" t="n"/>
      <c r="G3313" s="23" t="n"/>
      <c r="H3313" s="25" t="n"/>
      <c r="I3313" s="15" t="n"/>
      <c r="J3313" s="26">
        <f>IF($A3313="","",LEN($C3313)-LEN(SUBSTITUTE($C3313,",",""))+1)</f>
        <v/>
      </c>
      <c r="K3313" s="26">
        <f>IF($A3313="","",SUMPRODUCT(--ISNUMBER(SEARCH('Category Dictionary'!$D$5:$D$135&amp;"",$C3313)),--('Category Dictionary'!$D$5:$D$135&lt;&gt;"")))</f>
        <v/>
      </c>
      <c r="L3313" s="27">
        <f>IF($A3313="","",TRIM(IF(ISERROR(FIND(",",$C3313)),$C3313,LEFT($C3313,FIND(",",$C3313)-1))))</f>
        <v/>
      </c>
      <c r="M3313" s="28">
        <f>IF($H3313="","",DATE(YEAR($H3313),MONTH($H3313),1))</f>
        <v/>
      </c>
      <c r="N3313" s="26">
        <f>IF($H3313="","",TODAY()-$H3313)</f>
        <v/>
      </c>
      <c r="O3313" s="15" t="n"/>
      <c r="P3313" s="15" t="n"/>
      <c r="Q3313" s="15" t="n"/>
      <c r="R3313" s="25" t="n"/>
      <c r="S3313" s="26">
        <f>IF($A3313="","",AND(OR('Assignment Builder'!$B$5="",$B3313='Assignment Builder'!$B$5),OR('Assignment Builder'!$B$6="",ISNUMBER(SEARCH('Assignment Builder'!$B$6,$C3313))),OR('Assignment Builder'!$B$7="",'Assignment Builder'!$B$7=IFERROR(INDEX('Category Dictionary'!$C$5:$C$135,MATCH($L3313,'Category Dictionary'!$D$5:$D$135,0)),"")),OR('Assignment Builder'!$B$8="",$D3313='Assignment Builder'!$B$8),OR('Assignment Builder'!$B$9="",$F3313='Assignment Builder'!$B$9),OR('Assignment Builder'!$B$10="",$O3313='Assignment Builder'!$B$10),OR('Assignment Builder'!$B$11="",$H3313&gt;='Assignment Builder'!$B$11),OR('Assignment Builder'!$B$12="",N($Q3313)&lt;='Assignment Builder'!$B$12)))</f>
        <v/>
      </c>
      <c r="T3313" s="23" t="n"/>
    </row>
    <row r="3314">
      <c r="A3314" s="23" t="n"/>
      <c r="B3314" s="23" t="n"/>
      <c r="C3314" s="24" t="n"/>
      <c r="D3314" s="15" t="n"/>
      <c r="E3314" s="23" t="n"/>
      <c r="F3314" s="15" t="n"/>
      <c r="G3314" s="23" t="n"/>
      <c r="H3314" s="25" t="n"/>
      <c r="I3314" s="15" t="n"/>
      <c r="J3314" s="26">
        <f>IF($A3314="","",LEN($C3314)-LEN(SUBSTITUTE($C3314,",",""))+1)</f>
        <v/>
      </c>
      <c r="K3314" s="26">
        <f>IF($A3314="","",SUMPRODUCT(--ISNUMBER(SEARCH('Category Dictionary'!$D$5:$D$135&amp;"",$C3314)),--('Category Dictionary'!$D$5:$D$135&lt;&gt;"")))</f>
        <v/>
      </c>
      <c r="L3314" s="27">
        <f>IF($A3314="","",TRIM(IF(ISERROR(FIND(",",$C3314)),$C3314,LEFT($C3314,FIND(",",$C3314)-1))))</f>
        <v/>
      </c>
      <c r="M3314" s="28">
        <f>IF($H3314="","",DATE(YEAR($H3314),MONTH($H3314),1))</f>
        <v/>
      </c>
      <c r="N3314" s="26">
        <f>IF($H3314="","",TODAY()-$H3314)</f>
        <v/>
      </c>
      <c r="O3314" s="15" t="n"/>
      <c r="P3314" s="15" t="n"/>
      <c r="Q3314" s="15" t="n"/>
      <c r="R3314" s="25" t="n"/>
      <c r="S3314" s="26">
        <f>IF($A3314="","",AND(OR('Assignment Builder'!$B$5="",$B3314='Assignment Builder'!$B$5),OR('Assignment Builder'!$B$6="",ISNUMBER(SEARCH('Assignment Builder'!$B$6,$C3314))),OR('Assignment Builder'!$B$7="",'Assignment Builder'!$B$7=IFERROR(INDEX('Category Dictionary'!$C$5:$C$135,MATCH($L3314,'Category Dictionary'!$D$5:$D$135,0)),"")),OR('Assignment Builder'!$B$8="",$D3314='Assignment Builder'!$B$8),OR('Assignment Builder'!$B$9="",$F3314='Assignment Builder'!$B$9),OR('Assignment Builder'!$B$10="",$O3314='Assignment Builder'!$B$10),OR('Assignment Builder'!$B$11="",$H3314&gt;='Assignment Builder'!$B$11),OR('Assignment Builder'!$B$12="",N($Q3314)&lt;='Assignment Builder'!$B$12)))</f>
        <v/>
      </c>
      <c r="T3314" s="23" t="n"/>
    </row>
    <row r="3315">
      <c r="A3315" s="23" t="n"/>
      <c r="B3315" s="23" t="n"/>
      <c r="C3315" s="24" t="n"/>
      <c r="D3315" s="15" t="n"/>
      <c r="E3315" s="23" t="n"/>
      <c r="F3315" s="15" t="n"/>
      <c r="G3315" s="23" t="n"/>
      <c r="H3315" s="25" t="n"/>
      <c r="I3315" s="15" t="n"/>
      <c r="J3315" s="26">
        <f>IF($A3315="","",LEN($C3315)-LEN(SUBSTITUTE($C3315,",",""))+1)</f>
        <v/>
      </c>
      <c r="K3315" s="26">
        <f>IF($A3315="","",SUMPRODUCT(--ISNUMBER(SEARCH('Category Dictionary'!$D$5:$D$135&amp;"",$C3315)),--('Category Dictionary'!$D$5:$D$135&lt;&gt;"")))</f>
        <v/>
      </c>
      <c r="L3315" s="27">
        <f>IF($A3315="","",TRIM(IF(ISERROR(FIND(",",$C3315)),$C3315,LEFT($C3315,FIND(",",$C3315)-1))))</f>
        <v/>
      </c>
      <c r="M3315" s="28">
        <f>IF($H3315="","",DATE(YEAR($H3315),MONTH($H3315),1))</f>
        <v/>
      </c>
      <c r="N3315" s="26">
        <f>IF($H3315="","",TODAY()-$H3315)</f>
        <v/>
      </c>
      <c r="O3315" s="15" t="n"/>
      <c r="P3315" s="15" t="n"/>
      <c r="Q3315" s="15" t="n"/>
      <c r="R3315" s="25" t="n"/>
      <c r="S3315" s="26">
        <f>IF($A3315="","",AND(OR('Assignment Builder'!$B$5="",$B3315='Assignment Builder'!$B$5),OR('Assignment Builder'!$B$6="",ISNUMBER(SEARCH('Assignment Builder'!$B$6,$C3315))),OR('Assignment Builder'!$B$7="",'Assignment Builder'!$B$7=IFERROR(INDEX('Category Dictionary'!$C$5:$C$135,MATCH($L3315,'Category Dictionary'!$D$5:$D$135,0)),"")),OR('Assignment Builder'!$B$8="",$D3315='Assignment Builder'!$B$8),OR('Assignment Builder'!$B$9="",$F3315='Assignment Builder'!$B$9),OR('Assignment Builder'!$B$10="",$O3315='Assignment Builder'!$B$10),OR('Assignment Builder'!$B$11="",$H3315&gt;='Assignment Builder'!$B$11),OR('Assignment Builder'!$B$12="",N($Q3315)&lt;='Assignment Builder'!$B$12)))</f>
        <v/>
      </c>
      <c r="T3315" s="23" t="n"/>
    </row>
    <row r="3316">
      <c r="A3316" s="23" t="n"/>
      <c r="B3316" s="23" t="n"/>
      <c r="C3316" s="24" t="n"/>
      <c r="D3316" s="15" t="n"/>
      <c r="E3316" s="23" t="n"/>
      <c r="F3316" s="15" t="n"/>
      <c r="G3316" s="23" t="n"/>
      <c r="H3316" s="25" t="n"/>
      <c r="I3316" s="15" t="n"/>
      <c r="J3316" s="26">
        <f>IF($A3316="","",LEN($C3316)-LEN(SUBSTITUTE($C3316,",",""))+1)</f>
        <v/>
      </c>
      <c r="K3316" s="26">
        <f>IF($A3316="","",SUMPRODUCT(--ISNUMBER(SEARCH('Category Dictionary'!$D$5:$D$135&amp;"",$C3316)),--('Category Dictionary'!$D$5:$D$135&lt;&gt;"")))</f>
        <v/>
      </c>
      <c r="L3316" s="27">
        <f>IF($A3316="","",TRIM(IF(ISERROR(FIND(",",$C3316)),$C3316,LEFT($C3316,FIND(",",$C3316)-1))))</f>
        <v/>
      </c>
      <c r="M3316" s="28">
        <f>IF($H3316="","",DATE(YEAR($H3316),MONTH($H3316),1))</f>
        <v/>
      </c>
      <c r="N3316" s="26">
        <f>IF($H3316="","",TODAY()-$H3316)</f>
        <v/>
      </c>
      <c r="O3316" s="15" t="n"/>
      <c r="P3316" s="15" t="n"/>
      <c r="Q3316" s="15" t="n"/>
      <c r="R3316" s="25" t="n"/>
      <c r="S3316" s="26">
        <f>IF($A3316="","",AND(OR('Assignment Builder'!$B$5="",$B3316='Assignment Builder'!$B$5),OR('Assignment Builder'!$B$6="",ISNUMBER(SEARCH('Assignment Builder'!$B$6,$C3316))),OR('Assignment Builder'!$B$7="",'Assignment Builder'!$B$7=IFERROR(INDEX('Category Dictionary'!$C$5:$C$135,MATCH($L3316,'Category Dictionary'!$D$5:$D$135,0)),"")),OR('Assignment Builder'!$B$8="",$D3316='Assignment Builder'!$B$8),OR('Assignment Builder'!$B$9="",$F3316='Assignment Builder'!$B$9),OR('Assignment Builder'!$B$10="",$O3316='Assignment Builder'!$B$10),OR('Assignment Builder'!$B$11="",$H3316&gt;='Assignment Builder'!$B$11),OR('Assignment Builder'!$B$12="",N($Q3316)&lt;='Assignment Builder'!$B$12)))</f>
        <v/>
      </c>
      <c r="T3316" s="23" t="n"/>
    </row>
    <row r="3317">
      <c r="A3317" s="23" t="n"/>
      <c r="B3317" s="23" t="n"/>
      <c r="C3317" s="24" t="n"/>
      <c r="D3317" s="15" t="n"/>
      <c r="E3317" s="23" t="n"/>
      <c r="F3317" s="15" t="n"/>
      <c r="G3317" s="23" t="n"/>
      <c r="H3317" s="25" t="n"/>
      <c r="I3317" s="15" t="n"/>
      <c r="J3317" s="26">
        <f>IF($A3317="","",LEN($C3317)-LEN(SUBSTITUTE($C3317,",",""))+1)</f>
        <v/>
      </c>
      <c r="K3317" s="26">
        <f>IF($A3317="","",SUMPRODUCT(--ISNUMBER(SEARCH('Category Dictionary'!$D$5:$D$135&amp;"",$C3317)),--('Category Dictionary'!$D$5:$D$135&lt;&gt;"")))</f>
        <v/>
      </c>
      <c r="L3317" s="27">
        <f>IF($A3317="","",TRIM(IF(ISERROR(FIND(",",$C3317)),$C3317,LEFT($C3317,FIND(",",$C3317)-1))))</f>
        <v/>
      </c>
      <c r="M3317" s="28">
        <f>IF($H3317="","",DATE(YEAR($H3317),MONTH($H3317),1))</f>
        <v/>
      </c>
      <c r="N3317" s="26">
        <f>IF($H3317="","",TODAY()-$H3317)</f>
        <v/>
      </c>
      <c r="O3317" s="15" t="n"/>
      <c r="P3317" s="15" t="n"/>
      <c r="Q3317" s="15" t="n"/>
      <c r="R3317" s="25" t="n"/>
      <c r="S3317" s="26">
        <f>IF($A3317="","",AND(OR('Assignment Builder'!$B$5="",$B3317='Assignment Builder'!$B$5),OR('Assignment Builder'!$B$6="",ISNUMBER(SEARCH('Assignment Builder'!$B$6,$C3317))),OR('Assignment Builder'!$B$7="",'Assignment Builder'!$B$7=IFERROR(INDEX('Category Dictionary'!$C$5:$C$135,MATCH($L3317,'Category Dictionary'!$D$5:$D$135,0)),"")),OR('Assignment Builder'!$B$8="",$D3317='Assignment Builder'!$B$8),OR('Assignment Builder'!$B$9="",$F3317='Assignment Builder'!$B$9),OR('Assignment Builder'!$B$10="",$O3317='Assignment Builder'!$B$10),OR('Assignment Builder'!$B$11="",$H3317&gt;='Assignment Builder'!$B$11),OR('Assignment Builder'!$B$12="",N($Q3317)&lt;='Assignment Builder'!$B$12)))</f>
        <v/>
      </c>
      <c r="T3317" s="23" t="n"/>
    </row>
    <row r="3318">
      <c r="A3318" s="23" t="n"/>
      <c r="B3318" s="23" t="n"/>
      <c r="C3318" s="24" t="n"/>
      <c r="D3318" s="15" t="n"/>
      <c r="E3318" s="23" t="n"/>
      <c r="F3318" s="15" t="n"/>
      <c r="G3318" s="23" t="n"/>
      <c r="H3318" s="25" t="n"/>
      <c r="I3318" s="15" t="n"/>
      <c r="J3318" s="26">
        <f>IF($A3318="","",LEN($C3318)-LEN(SUBSTITUTE($C3318,",",""))+1)</f>
        <v/>
      </c>
      <c r="K3318" s="26">
        <f>IF($A3318="","",SUMPRODUCT(--ISNUMBER(SEARCH('Category Dictionary'!$D$5:$D$135&amp;"",$C3318)),--('Category Dictionary'!$D$5:$D$135&lt;&gt;"")))</f>
        <v/>
      </c>
      <c r="L3318" s="27">
        <f>IF($A3318="","",TRIM(IF(ISERROR(FIND(",",$C3318)),$C3318,LEFT($C3318,FIND(",",$C3318)-1))))</f>
        <v/>
      </c>
      <c r="M3318" s="28">
        <f>IF($H3318="","",DATE(YEAR($H3318),MONTH($H3318),1))</f>
        <v/>
      </c>
      <c r="N3318" s="26">
        <f>IF($H3318="","",TODAY()-$H3318)</f>
        <v/>
      </c>
      <c r="O3318" s="15" t="n"/>
      <c r="P3318" s="15" t="n"/>
      <c r="Q3318" s="15" t="n"/>
      <c r="R3318" s="25" t="n"/>
      <c r="S3318" s="26">
        <f>IF($A3318="","",AND(OR('Assignment Builder'!$B$5="",$B3318='Assignment Builder'!$B$5),OR('Assignment Builder'!$B$6="",ISNUMBER(SEARCH('Assignment Builder'!$B$6,$C3318))),OR('Assignment Builder'!$B$7="",'Assignment Builder'!$B$7=IFERROR(INDEX('Category Dictionary'!$C$5:$C$135,MATCH($L3318,'Category Dictionary'!$D$5:$D$135,0)),"")),OR('Assignment Builder'!$B$8="",$D3318='Assignment Builder'!$B$8),OR('Assignment Builder'!$B$9="",$F3318='Assignment Builder'!$B$9),OR('Assignment Builder'!$B$10="",$O3318='Assignment Builder'!$B$10),OR('Assignment Builder'!$B$11="",$H3318&gt;='Assignment Builder'!$B$11),OR('Assignment Builder'!$B$12="",N($Q3318)&lt;='Assignment Builder'!$B$12)))</f>
        <v/>
      </c>
      <c r="T3318" s="23" t="n"/>
    </row>
    <row r="3319">
      <c r="A3319" s="23" t="n"/>
      <c r="B3319" s="23" t="n"/>
      <c r="C3319" s="24" t="n"/>
      <c r="D3319" s="15" t="n"/>
      <c r="E3319" s="23" t="n"/>
      <c r="F3319" s="15" t="n"/>
      <c r="G3319" s="23" t="n"/>
      <c r="H3319" s="25" t="n"/>
      <c r="I3319" s="15" t="n"/>
      <c r="J3319" s="26">
        <f>IF($A3319="","",LEN($C3319)-LEN(SUBSTITUTE($C3319,",",""))+1)</f>
        <v/>
      </c>
      <c r="K3319" s="26">
        <f>IF($A3319="","",SUMPRODUCT(--ISNUMBER(SEARCH('Category Dictionary'!$D$5:$D$135&amp;"",$C3319)),--('Category Dictionary'!$D$5:$D$135&lt;&gt;"")))</f>
        <v/>
      </c>
      <c r="L3319" s="27">
        <f>IF($A3319="","",TRIM(IF(ISERROR(FIND(",",$C3319)),$C3319,LEFT($C3319,FIND(",",$C3319)-1))))</f>
        <v/>
      </c>
      <c r="M3319" s="28">
        <f>IF($H3319="","",DATE(YEAR($H3319),MONTH($H3319),1))</f>
        <v/>
      </c>
      <c r="N3319" s="26">
        <f>IF($H3319="","",TODAY()-$H3319)</f>
        <v/>
      </c>
      <c r="O3319" s="15" t="n"/>
      <c r="P3319" s="15" t="n"/>
      <c r="Q3319" s="15" t="n"/>
      <c r="R3319" s="25" t="n"/>
      <c r="S3319" s="26">
        <f>IF($A3319="","",AND(OR('Assignment Builder'!$B$5="",$B3319='Assignment Builder'!$B$5),OR('Assignment Builder'!$B$6="",ISNUMBER(SEARCH('Assignment Builder'!$B$6,$C3319))),OR('Assignment Builder'!$B$7="",'Assignment Builder'!$B$7=IFERROR(INDEX('Category Dictionary'!$C$5:$C$135,MATCH($L3319,'Category Dictionary'!$D$5:$D$135,0)),"")),OR('Assignment Builder'!$B$8="",$D3319='Assignment Builder'!$B$8),OR('Assignment Builder'!$B$9="",$F3319='Assignment Builder'!$B$9),OR('Assignment Builder'!$B$10="",$O3319='Assignment Builder'!$B$10),OR('Assignment Builder'!$B$11="",$H3319&gt;='Assignment Builder'!$B$11),OR('Assignment Builder'!$B$12="",N($Q3319)&lt;='Assignment Builder'!$B$12)))</f>
        <v/>
      </c>
      <c r="T3319" s="23" t="n"/>
    </row>
    <row r="3320">
      <c r="A3320" s="23" t="n"/>
      <c r="B3320" s="23" t="n"/>
      <c r="C3320" s="24" t="n"/>
      <c r="D3320" s="15" t="n"/>
      <c r="E3320" s="23" t="n"/>
      <c r="F3320" s="15" t="n"/>
      <c r="G3320" s="23" t="n"/>
      <c r="H3320" s="25" t="n"/>
      <c r="I3320" s="15" t="n"/>
      <c r="J3320" s="26">
        <f>IF($A3320="","",LEN($C3320)-LEN(SUBSTITUTE($C3320,",",""))+1)</f>
        <v/>
      </c>
      <c r="K3320" s="26">
        <f>IF($A3320="","",SUMPRODUCT(--ISNUMBER(SEARCH('Category Dictionary'!$D$5:$D$135&amp;"",$C3320)),--('Category Dictionary'!$D$5:$D$135&lt;&gt;"")))</f>
        <v/>
      </c>
      <c r="L3320" s="27">
        <f>IF($A3320="","",TRIM(IF(ISERROR(FIND(",",$C3320)),$C3320,LEFT($C3320,FIND(",",$C3320)-1))))</f>
        <v/>
      </c>
      <c r="M3320" s="28">
        <f>IF($H3320="","",DATE(YEAR($H3320),MONTH($H3320),1))</f>
        <v/>
      </c>
      <c r="N3320" s="26">
        <f>IF($H3320="","",TODAY()-$H3320)</f>
        <v/>
      </c>
      <c r="O3320" s="15" t="n"/>
      <c r="P3320" s="15" t="n"/>
      <c r="Q3320" s="15" t="n"/>
      <c r="R3320" s="25" t="n"/>
      <c r="S3320" s="26">
        <f>IF($A3320="","",AND(OR('Assignment Builder'!$B$5="",$B3320='Assignment Builder'!$B$5),OR('Assignment Builder'!$B$6="",ISNUMBER(SEARCH('Assignment Builder'!$B$6,$C3320))),OR('Assignment Builder'!$B$7="",'Assignment Builder'!$B$7=IFERROR(INDEX('Category Dictionary'!$C$5:$C$135,MATCH($L3320,'Category Dictionary'!$D$5:$D$135,0)),"")),OR('Assignment Builder'!$B$8="",$D3320='Assignment Builder'!$B$8),OR('Assignment Builder'!$B$9="",$F3320='Assignment Builder'!$B$9),OR('Assignment Builder'!$B$10="",$O3320='Assignment Builder'!$B$10),OR('Assignment Builder'!$B$11="",$H3320&gt;='Assignment Builder'!$B$11),OR('Assignment Builder'!$B$12="",N($Q3320)&lt;='Assignment Builder'!$B$12)))</f>
        <v/>
      </c>
      <c r="T3320" s="23" t="n"/>
    </row>
    <row r="3321">
      <c r="A3321" s="23" t="n"/>
      <c r="B3321" s="23" t="n"/>
      <c r="C3321" s="24" t="n"/>
      <c r="D3321" s="15" t="n"/>
      <c r="E3321" s="23" t="n"/>
      <c r="F3321" s="15" t="n"/>
      <c r="G3321" s="23" t="n"/>
      <c r="H3321" s="25" t="n"/>
      <c r="I3321" s="15" t="n"/>
      <c r="J3321" s="26">
        <f>IF($A3321="","",LEN($C3321)-LEN(SUBSTITUTE($C3321,",",""))+1)</f>
        <v/>
      </c>
      <c r="K3321" s="26">
        <f>IF($A3321="","",SUMPRODUCT(--ISNUMBER(SEARCH('Category Dictionary'!$D$5:$D$135&amp;"",$C3321)),--('Category Dictionary'!$D$5:$D$135&lt;&gt;"")))</f>
        <v/>
      </c>
      <c r="L3321" s="27">
        <f>IF($A3321="","",TRIM(IF(ISERROR(FIND(",",$C3321)),$C3321,LEFT($C3321,FIND(",",$C3321)-1))))</f>
        <v/>
      </c>
      <c r="M3321" s="28">
        <f>IF($H3321="","",DATE(YEAR($H3321),MONTH($H3321),1))</f>
        <v/>
      </c>
      <c r="N3321" s="26">
        <f>IF($H3321="","",TODAY()-$H3321)</f>
        <v/>
      </c>
      <c r="O3321" s="15" t="n"/>
      <c r="P3321" s="15" t="n"/>
      <c r="Q3321" s="15" t="n"/>
      <c r="R3321" s="25" t="n"/>
      <c r="S3321" s="26">
        <f>IF($A3321="","",AND(OR('Assignment Builder'!$B$5="",$B3321='Assignment Builder'!$B$5),OR('Assignment Builder'!$B$6="",ISNUMBER(SEARCH('Assignment Builder'!$B$6,$C3321))),OR('Assignment Builder'!$B$7="",'Assignment Builder'!$B$7=IFERROR(INDEX('Category Dictionary'!$C$5:$C$135,MATCH($L3321,'Category Dictionary'!$D$5:$D$135,0)),"")),OR('Assignment Builder'!$B$8="",$D3321='Assignment Builder'!$B$8),OR('Assignment Builder'!$B$9="",$F3321='Assignment Builder'!$B$9),OR('Assignment Builder'!$B$10="",$O3321='Assignment Builder'!$B$10),OR('Assignment Builder'!$B$11="",$H3321&gt;='Assignment Builder'!$B$11),OR('Assignment Builder'!$B$12="",N($Q3321)&lt;='Assignment Builder'!$B$12)))</f>
        <v/>
      </c>
      <c r="T3321" s="23" t="n"/>
    </row>
    <row r="3322">
      <c r="A3322" s="23" t="n"/>
      <c r="B3322" s="23" t="n"/>
      <c r="C3322" s="24" t="n"/>
      <c r="D3322" s="15" t="n"/>
      <c r="E3322" s="23" t="n"/>
      <c r="F3322" s="15" t="n"/>
      <c r="G3322" s="23" t="n"/>
      <c r="H3322" s="25" t="n"/>
      <c r="I3322" s="15" t="n"/>
      <c r="J3322" s="26">
        <f>IF($A3322="","",LEN($C3322)-LEN(SUBSTITUTE($C3322,",",""))+1)</f>
        <v/>
      </c>
      <c r="K3322" s="26">
        <f>IF($A3322="","",SUMPRODUCT(--ISNUMBER(SEARCH('Category Dictionary'!$D$5:$D$135&amp;"",$C3322)),--('Category Dictionary'!$D$5:$D$135&lt;&gt;"")))</f>
        <v/>
      </c>
      <c r="L3322" s="27">
        <f>IF($A3322="","",TRIM(IF(ISERROR(FIND(",",$C3322)),$C3322,LEFT($C3322,FIND(",",$C3322)-1))))</f>
        <v/>
      </c>
      <c r="M3322" s="28">
        <f>IF($H3322="","",DATE(YEAR($H3322),MONTH($H3322),1))</f>
        <v/>
      </c>
      <c r="N3322" s="26">
        <f>IF($H3322="","",TODAY()-$H3322)</f>
        <v/>
      </c>
      <c r="O3322" s="15" t="n"/>
      <c r="P3322" s="15" t="n"/>
      <c r="Q3322" s="15" t="n"/>
      <c r="R3322" s="25" t="n"/>
      <c r="S3322" s="26">
        <f>IF($A3322="","",AND(OR('Assignment Builder'!$B$5="",$B3322='Assignment Builder'!$B$5),OR('Assignment Builder'!$B$6="",ISNUMBER(SEARCH('Assignment Builder'!$B$6,$C3322))),OR('Assignment Builder'!$B$7="",'Assignment Builder'!$B$7=IFERROR(INDEX('Category Dictionary'!$C$5:$C$135,MATCH($L3322,'Category Dictionary'!$D$5:$D$135,0)),"")),OR('Assignment Builder'!$B$8="",$D3322='Assignment Builder'!$B$8),OR('Assignment Builder'!$B$9="",$F3322='Assignment Builder'!$B$9),OR('Assignment Builder'!$B$10="",$O3322='Assignment Builder'!$B$10),OR('Assignment Builder'!$B$11="",$H3322&gt;='Assignment Builder'!$B$11),OR('Assignment Builder'!$B$12="",N($Q3322)&lt;='Assignment Builder'!$B$12)))</f>
        <v/>
      </c>
      <c r="T3322" s="23" t="n"/>
    </row>
    <row r="3323">
      <c r="A3323" s="23" t="n"/>
      <c r="B3323" s="23" t="n"/>
      <c r="C3323" s="24" t="n"/>
      <c r="D3323" s="15" t="n"/>
      <c r="E3323" s="23" t="n"/>
      <c r="F3323" s="15" t="n"/>
      <c r="G3323" s="23" t="n"/>
      <c r="H3323" s="25" t="n"/>
      <c r="I3323" s="15" t="n"/>
      <c r="J3323" s="26">
        <f>IF($A3323="","",LEN($C3323)-LEN(SUBSTITUTE($C3323,",",""))+1)</f>
        <v/>
      </c>
      <c r="K3323" s="26">
        <f>IF($A3323="","",SUMPRODUCT(--ISNUMBER(SEARCH('Category Dictionary'!$D$5:$D$135&amp;"",$C3323)),--('Category Dictionary'!$D$5:$D$135&lt;&gt;"")))</f>
        <v/>
      </c>
      <c r="L3323" s="27">
        <f>IF($A3323="","",TRIM(IF(ISERROR(FIND(",",$C3323)),$C3323,LEFT($C3323,FIND(",",$C3323)-1))))</f>
        <v/>
      </c>
      <c r="M3323" s="28">
        <f>IF($H3323="","",DATE(YEAR($H3323),MONTH($H3323),1))</f>
        <v/>
      </c>
      <c r="N3323" s="26">
        <f>IF($H3323="","",TODAY()-$H3323)</f>
        <v/>
      </c>
      <c r="O3323" s="15" t="n"/>
      <c r="P3323" s="15" t="n"/>
      <c r="Q3323" s="15" t="n"/>
      <c r="R3323" s="25" t="n"/>
      <c r="S3323" s="26">
        <f>IF($A3323="","",AND(OR('Assignment Builder'!$B$5="",$B3323='Assignment Builder'!$B$5),OR('Assignment Builder'!$B$6="",ISNUMBER(SEARCH('Assignment Builder'!$B$6,$C3323))),OR('Assignment Builder'!$B$7="",'Assignment Builder'!$B$7=IFERROR(INDEX('Category Dictionary'!$C$5:$C$135,MATCH($L3323,'Category Dictionary'!$D$5:$D$135,0)),"")),OR('Assignment Builder'!$B$8="",$D3323='Assignment Builder'!$B$8),OR('Assignment Builder'!$B$9="",$F3323='Assignment Builder'!$B$9),OR('Assignment Builder'!$B$10="",$O3323='Assignment Builder'!$B$10),OR('Assignment Builder'!$B$11="",$H3323&gt;='Assignment Builder'!$B$11),OR('Assignment Builder'!$B$12="",N($Q3323)&lt;='Assignment Builder'!$B$12)))</f>
        <v/>
      </c>
      <c r="T3323" s="23" t="n"/>
    </row>
    <row r="3324">
      <c r="A3324" s="23" t="n"/>
      <c r="B3324" s="23" t="n"/>
      <c r="C3324" s="24" t="n"/>
      <c r="D3324" s="15" t="n"/>
      <c r="E3324" s="23" t="n"/>
      <c r="F3324" s="15" t="n"/>
      <c r="G3324" s="23" t="n"/>
      <c r="H3324" s="25" t="n"/>
      <c r="I3324" s="15" t="n"/>
      <c r="J3324" s="26">
        <f>IF($A3324="","",LEN($C3324)-LEN(SUBSTITUTE($C3324,",",""))+1)</f>
        <v/>
      </c>
      <c r="K3324" s="26">
        <f>IF($A3324="","",SUMPRODUCT(--ISNUMBER(SEARCH('Category Dictionary'!$D$5:$D$135&amp;"",$C3324)),--('Category Dictionary'!$D$5:$D$135&lt;&gt;"")))</f>
        <v/>
      </c>
      <c r="L3324" s="27">
        <f>IF($A3324="","",TRIM(IF(ISERROR(FIND(",",$C3324)),$C3324,LEFT($C3324,FIND(",",$C3324)-1))))</f>
        <v/>
      </c>
      <c r="M3324" s="28">
        <f>IF($H3324="","",DATE(YEAR($H3324),MONTH($H3324),1))</f>
        <v/>
      </c>
      <c r="N3324" s="26">
        <f>IF($H3324="","",TODAY()-$H3324)</f>
        <v/>
      </c>
      <c r="O3324" s="15" t="n"/>
      <c r="P3324" s="15" t="n"/>
      <c r="Q3324" s="15" t="n"/>
      <c r="R3324" s="25" t="n"/>
      <c r="S3324" s="26">
        <f>IF($A3324="","",AND(OR('Assignment Builder'!$B$5="",$B3324='Assignment Builder'!$B$5),OR('Assignment Builder'!$B$6="",ISNUMBER(SEARCH('Assignment Builder'!$B$6,$C3324))),OR('Assignment Builder'!$B$7="",'Assignment Builder'!$B$7=IFERROR(INDEX('Category Dictionary'!$C$5:$C$135,MATCH($L3324,'Category Dictionary'!$D$5:$D$135,0)),"")),OR('Assignment Builder'!$B$8="",$D3324='Assignment Builder'!$B$8),OR('Assignment Builder'!$B$9="",$F3324='Assignment Builder'!$B$9),OR('Assignment Builder'!$B$10="",$O3324='Assignment Builder'!$B$10),OR('Assignment Builder'!$B$11="",$H3324&gt;='Assignment Builder'!$B$11),OR('Assignment Builder'!$B$12="",N($Q3324)&lt;='Assignment Builder'!$B$12)))</f>
        <v/>
      </c>
      <c r="T3324" s="23" t="n"/>
    </row>
    <row r="3325">
      <c r="A3325" s="23" t="n"/>
      <c r="B3325" s="23" t="n"/>
      <c r="C3325" s="24" t="n"/>
      <c r="D3325" s="15" t="n"/>
      <c r="E3325" s="23" t="n"/>
      <c r="F3325" s="15" t="n"/>
      <c r="G3325" s="23" t="n"/>
      <c r="H3325" s="25" t="n"/>
      <c r="I3325" s="15" t="n"/>
      <c r="J3325" s="26">
        <f>IF($A3325="","",LEN($C3325)-LEN(SUBSTITUTE($C3325,",",""))+1)</f>
        <v/>
      </c>
      <c r="K3325" s="26">
        <f>IF($A3325="","",SUMPRODUCT(--ISNUMBER(SEARCH('Category Dictionary'!$D$5:$D$135&amp;"",$C3325)),--('Category Dictionary'!$D$5:$D$135&lt;&gt;"")))</f>
        <v/>
      </c>
      <c r="L3325" s="27">
        <f>IF($A3325="","",TRIM(IF(ISERROR(FIND(",",$C3325)),$C3325,LEFT($C3325,FIND(",",$C3325)-1))))</f>
        <v/>
      </c>
      <c r="M3325" s="28">
        <f>IF($H3325="","",DATE(YEAR($H3325),MONTH($H3325),1))</f>
        <v/>
      </c>
      <c r="N3325" s="26">
        <f>IF($H3325="","",TODAY()-$H3325)</f>
        <v/>
      </c>
      <c r="O3325" s="15" t="n"/>
      <c r="P3325" s="15" t="n"/>
      <c r="Q3325" s="15" t="n"/>
      <c r="R3325" s="25" t="n"/>
      <c r="S3325" s="26">
        <f>IF($A3325="","",AND(OR('Assignment Builder'!$B$5="",$B3325='Assignment Builder'!$B$5),OR('Assignment Builder'!$B$6="",ISNUMBER(SEARCH('Assignment Builder'!$B$6,$C3325))),OR('Assignment Builder'!$B$7="",'Assignment Builder'!$B$7=IFERROR(INDEX('Category Dictionary'!$C$5:$C$135,MATCH($L3325,'Category Dictionary'!$D$5:$D$135,0)),"")),OR('Assignment Builder'!$B$8="",$D3325='Assignment Builder'!$B$8),OR('Assignment Builder'!$B$9="",$F3325='Assignment Builder'!$B$9),OR('Assignment Builder'!$B$10="",$O3325='Assignment Builder'!$B$10),OR('Assignment Builder'!$B$11="",$H3325&gt;='Assignment Builder'!$B$11),OR('Assignment Builder'!$B$12="",N($Q3325)&lt;='Assignment Builder'!$B$12)))</f>
        <v/>
      </c>
      <c r="T3325" s="23" t="n"/>
    </row>
    <row r="3326">
      <c r="A3326" s="23" t="n"/>
      <c r="B3326" s="23" t="n"/>
      <c r="C3326" s="24" t="n"/>
      <c r="D3326" s="15" t="n"/>
      <c r="E3326" s="23" t="n"/>
      <c r="F3326" s="15" t="n"/>
      <c r="G3326" s="23" t="n"/>
      <c r="H3326" s="25" t="n"/>
      <c r="I3326" s="15" t="n"/>
      <c r="J3326" s="26">
        <f>IF($A3326="","",LEN($C3326)-LEN(SUBSTITUTE($C3326,",",""))+1)</f>
        <v/>
      </c>
      <c r="K3326" s="26">
        <f>IF($A3326="","",SUMPRODUCT(--ISNUMBER(SEARCH('Category Dictionary'!$D$5:$D$135&amp;"",$C3326)),--('Category Dictionary'!$D$5:$D$135&lt;&gt;"")))</f>
        <v/>
      </c>
      <c r="L3326" s="27">
        <f>IF($A3326="","",TRIM(IF(ISERROR(FIND(",",$C3326)),$C3326,LEFT($C3326,FIND(",",$C3326)-1))))</f>
        <v/>
      </c>
      <c r="M3326" s="28">
        <f>IF($H3326="","",DATE(YEAR($H3326),MONTH($H3326),1))</f>
        <v/>
      </c>
      <c r="N3326" s="26">
        <f>IF($H3326="","",TODAY()-$H3326)</f>
        <v/>
      </c>
      <c r="O3326" s="15" t="n"/>
      <c r="P3326" s="15" t="n"/>
      <c r="Q3326" s="15" t="n"/>
      <c r="R3326" s="25" t="n"/>
      <c r="S3326" s="26">
        <f>IF($A3326="","",AND(OR('Assignment Builder'!$B$5="",$B3326='Assignment Builder'!$B$5),OR('Assignment Builder'!$B$6="",ISNUMBER(SEARCH('Assignment Builder'!$B$6,$C3326))),OR('Assignment Builder'!$B$7="",'Assignment Builder'!$B$7=IFERROR(INDEX('Category Dictionary'!$C$5:$C$135,MATCH($L3326,'Category Dictionary'!$D$5:$D$135,0)),"")),OR('Assignment Builder'!$B$8="",$D3326='Assignment Builder'!$B$8),OR('Assignment Builder'!$B$9="",$F3326='Assignment Builder'!$B$9),OR('Assignment Builder'!$B$10="",$O3326='Assignment Builder'!$B$10),OR('Assignment Builder'!$B$11="",$H3326&gt;='Assignment Builder'!$B$11),OR('Assignment Builder'!$B$12="",N($Q3326)&lt;='Assignment Builder'!$B$12)))</f>
        <v/>
      </c>
      <c r="T3326" s="23" t="n"/>
    </row>
    <row r="3327">
      <c r="A3327" s="23" t="n"/>
      <c r="B3327" s="23" t="n"/>
      <c r="C3327" s="24" t="n"/>
      <c r="D3327" s="15" t="n"/>
      <c r="E3327" s="23" t="n"/>
      <c r="F3327" s="15" t="n"/>
      <c r="G3327" s="23" t="n"/>
      <c r="H3327" s="25" t="n"/>
      <c r="I3327" s="15" t="n"/>
      <c r="J3327" s="26">
        <f>IF($A3327="","",LEN($C3327)-LEN(SUBSTITUTE($C3327,",",""))+1)</f>
        <v/>
      </c>
      <c r="K3327" s="26">
        <f>IF($A3327="","",SUMPRODUCT(--ISNUMBER(SEARCH('Category Dictionary'!$D$5:$D$135&amp;"",$C3327)),--('Category Dictionary'!$D$5:$D$135&lt;&gt;"")))</f>
        <v/>
      </c>
      <c r="L3327" s="27">
        <f>IF($A3327="","",TRIM(IF(ISERROR(FIND(",",$C3327)),$C3327,LEFT($C3327,FIND(",",$C3327)-1))))</f>
        <v/>
      </c>
      <c r="M3327" s="28">
        <f>IF($H3327="","",DATE(YEAR($H3327),MONTH($H3327),1))</f>
        <v/>
      </c>
      <c r="N3327" s="26">
        <f>IF($H3327="","",TODAY()-$H3327)</f>
        <v/>
      </c>
      <c r="O3327" s="15" t="n"/>
      <c r="P3327" s="15" t="n"/>
      <c r="Q3327" s="15" t="n"/>
      <c r="R3327" s="25" t="n"/>
      <c r="S3327" s="26">
        <f>IF($A3327="","",AND(OR('Assignment Builder'!$B$5="",$B3327='Assignment Builder'!$B$5),OR('Assignment Builder'!$B$6="",ISNUMBER(SEARCH('Assignment Builder'!$B$6,$C3327))),OR('Assignment Builder'!$B$7="",'Assignment Builder'!$B$7=IFERROR(INDEX('Category Dictionary'!$C$5:$C$135,MATCH($L3327,'Category Dictionary'!$D$5:$D$135,0)),"")),OR('Assignment Builder'!$B$8="",$D3327='Assignment Builder'!$B$8),OR('Assignment Builder'!$B$9="",$F3327='Assignment Builder'!$B$9),OR('Assignment Builder'!$B$10="",$O3327='Assignment Builder'!$B$10),OR('Assignment Builder'!$B$11="",$H3327&gt;='Assignment Builder'!$B$11),OR('Assignment Builder'!$B$12="",N($Q3327)&lt;='Assignment Builder'!$B$12)))</f>
        <v/>
      </c>
      <c r="T3327" s="23" t="n"/>
    </row>
    <row r="3328">
      <c r="A3328" s="23" t="n"/>
      <c r="B3328" s="23" t="n"/>
      <c r="C3328" s="24" t="n"/>
      <c r="D3328" s="15" t="n"/>
      <c r="E3328" s="23" t="n"/>
      <c r="F3328" s="15" t="n"/>
      <c r="G3328" s="23" t="n"/>
      <c r="H3328" s="25" t="n"/>
      <c r="I3328" s="15" t="n"/>
      <c r="J3328" s="26">
        <f>IF($A3328="","",LEN($C3328)-LEN(SUBSTITUTE($C3328,",",""))+1)</f>
        <v/>
      </c>
      <c r="K3328" s="26">
        <f>IF($A3328="","",SUMPRODUCT(--ISNUMBER(SEARCH('Category Dictionary'!$D$5:$D$135&amp;"",$C3328)),--('Category Dictionary'!$D$5:$D$135&lt;&gt;"")))</f>
        <v/>
      </c>
      <c r="L3328" s="27">
        <f>IF($A3328="","",TRIM(IF(ISERROR(FIND(",",$C3328)),$C3328,LEFT($C3328,FIND(",",$C3328)-1))))</f>
        <v/>
      </c>
      <c r="M3328" s="28">
        <f>IF($H3328="","",DATE(YEAR($H3328),MONTH($H3328),1))</f>
        <v/>
      </c>
      <c r="N3328" s="26">
        <f>IF($H3328="","",TODAY()-$H3328)</f>
        <v/>
      </c>
      <c r="O3328" s="15" t="n"/>
      <c r="P3328" s="15" t="n"/>
      <c r="Q3328" s="15" t="n"/>
      <c r="R3328" s="25" t="n"/>
      <c r="S3328" s="26">
        <f>IF($A3328="","",AND(OR('Assignment Builder'!$B$5="",$B3328='Assignment Builder'!$B$5),OR('Assignment Builder'!$B$6="",ISNUMBER(SEARCH('Assignment Builder'!$B$6,$C3328))),OR('Assignment Builder'!$B$7="",'Assignment Builder'!$B$7=IFERROR(INDEX('Category Dictionary'!$C$5:$C$135,MATCH($L3328,'Category Dictionary'!$D$5:$D$135,0)),"")),OR('Assignment Builder'!$B$8="",$D3328='Assignment Builder'!$B$8),OR('Assignment Builder'!$B$9="",$F3328='Assignment Builder'!$B$9),OR('Assignment Builder'!$B$10="",$O3328='Assignment Builder'!$B$10),OR('Assignment Builder'!$B$11="",$H3328&gt;='Assignment Builder'!$B$11),OR('Assignment Builder'!$B$12="",N($Q3328)&lt;='Assignment Builder'!$B$12)))</f>
        <v/>
      </c>
      <c r="T3328" s="23" t="n"/>
    </row>
    <row r="3329">
      <c r="A3329" s="23" t="n"/>
      <c r="B3329" s="23" t="n"/>
      <c r="C3329" s="24" t="n"/>
      <c r="D3329" s="15" t="n"/>
      <c r="E3329" s="23" t="n"/>
      <c r="F3329" s="15" t="n"/>
      <c r="G3329" s="23" t="n"/>
      <c r="H3329" s="25" t="n"/>
      <c r="I3329" s="15" t="n"/>
      <c r="J3329" s="26">
        <f>IF($A3329="","",LEN($C3329)-LEN(SUBSTITUTE($C3329,",",""))+1)</f>
        <v/>
      </c>
      <c r="K3329" s="26">
        <f>IF($A3329="","",SUMPRODUCT(--ISNUMBER(SEARCH('Category Dictionary'!$D$5:$D$135&amp;"",$C3329)),--('Category Dictionary'!$D$5:$D$135&lt;&gt;"")))</f>
        <v/>
      </c>
      <c r="L3329" s="27">
        <f>IF($A3329="","",TRIM(IF(ISERROR(FIND(",",$C3329)),$C3329,LEFT($C3329,FIND(",",$C3329)-1))))</f>
        <v/>
      </c>
      <c r="M3329" s="28">
        <f>IF($H3329="","",DATE(YEAR($H3329),MONTH($H3329),1))</f>
        <v/>
      </c>
      <c r="N3329" s="26">
        <f>IF($H3329="","",TODAY()-$H3329)</f>
        <v/>
      </c>
      <c r="O3329" s="15" t="n"/>
      <c r="P3329" s="15" t="n"/>
      <c r="Q3329" s="15" t="n"/>
      <c r="R3329" s="25" t="n"/>
      <c r="S3329" s="26">
        <f>IF($A3329="","",AND(OR('Assignment Builder'!$B$5="",$B3329='Assignment Builder'!$B$5),OR('Assignment Builder'!$B$6="",ISNUMBER(SEARCH('Assignment Builder'!$B$6,$C3329))),OR('Assignment Builder'!$B$7="",'Assignment Builder'!$B$7=IFERROR(INDEX('Category Dictionary'!$C$5:$C$135,MATCH($L3329,'Category Dictionary'!$D$5:$D$135,0)),"")),OR('Assignment Builder'!$B$8="",$D3329='Assignment Builder'!$B$8),OR('Assignment Builder'!$B$9="",$F3329='Assignment Builder'!$B$9),OR('Assignment Builder'!$B$10="",$O3329='Assignment Builder'!$B$10),OR('Assignment Builder'!$B$11="",$H3329&gt;='Assignment Builder'!$B$11),OR('Assignment Builder'!$B$12="",N($Q3329)&lt;='Assignment Builder'!$B$12)))</f>
        <v/>
      </c>
      <c r="T3329" s="23" t="n"/>
    </row>
    <row r="3330">
      <c r="A3330" s="23" t="n"/>
      <c r="B3330" s="23" t="n"/>
      <c r="C3330" s="24" t="n"/>
      <c r="D3330" s="15" t="n"/>
      <c r="E3330" s="23" t="n"/>
      <c r="F3330" s="15" t="n"/>
      <c r="G3330" s="23" t="n"/>
      <c r="H3330" s="25" t="n"/>
      <c r="I3330" s="15" t="n"/>
      <c r="J3330" s="26">
        <f>IF($A3330="","",LEN($C3330)-LEN(SUBSTITUTE($C3330,",",""))+1)</f>
        <v/>
      </c>
      <c r="K3330" s="26">
        <f>IF($A3330="","",SUMPRODUCT(--ISNUMBER(SEARCH('Category Dictionary'!$D$5:$D$135&amp;"",$C3330)),--('Category Dictionary'!$D$5:$D$135&lt;&gt;"")))</f>
        <v/>
      </c>
      <c r="L3330" s="27">
        <f>IF($A3330="","",TRIM(IF(ISERROR(FIND(",",$C3330)),$C3330,LEFT($C3330,FIND(",",$C3330)-1))))</f>
        <v/>
      </c>
      <c r="M3330" s="28">
        <f>IF($H3330="","",DATE(YEAR($H3330),MONTH($H3330),1))</f>
        <v/>
      </c>
      <c r="N3330" s="26">
        <f>IF($H3330="","",TODAY()-$H3330)</f>
        <v/>
      </c>
      <c r="O3330" s="15" t="n"/>
      <c r="P3330" s="15" t="n"/>
      <c r="Q3330" s="15" t="n"/>
      <c r="R3330" s="25" t="n"/>
      <c r="S3330" s="26">
        <f>IF($A3330="","",AND(OR('Assignment Builder'!$B$5="",$B3330='Assignment Builder'!$B$5),OR('Assignment Builder'!$B$6="",ISNUMBER(SEARCH('Assignment Builder'!$B$6,$C3330))),OR('Assignment Builder'!$B$7="",'Assignment Builder'!$B$7=IFERROR(INDEX('Category Dictionary'!$C$5:$C$135,MATCH($L3330,'Category Dictionary'!$D$5:$D$135,0)),"")),OR('Assignment Builder'!$B$8="",$D3330='Assignment Builder'!$B$8),OR('Assignment Builder'!$B$9="",$F3330='Assignment Builder'!$B$9),OR('Assignment Builder'!$B$10="",$O3330='Assignment Builder'!$B$10),OR('Assignment Builder'!$B$11="",$H3330&gt;='Assignment Builder'!$B$11),OR('Assignment Builder'!$B$12="",N($Q3330)&lt;='Assignment Builder'!$B$12)))</f>
        <v/>
      </c>
      <c r="T3330" s="23" t="n"/>
    </row>
    <row r="3331">
      <c r="A3331" s="23" t="n"/>
      <c r="B3331" s="23" t="n"/>
      <c r="C3331" s="24" t="n"/>
      <c r="D3331" s="15" t="n"/>
      <c r="E3331" s="23" t="n"/>
      <c r="F3331" s="15" t="n"/>
      <c r="G3331" s="23" t="n"/>
      <c r="H3331" s="25" t="n"/>
      <c r="I3331" s="15" t="n"/>
      <c r="J3331" s="26">
        <f>IF($A3331="","",LEN($C3331)-LEN(SUBSTITUTE($C3331,",",""))+1)</f>
        <v/>
      </c>
      <c r="K3331" s="26">
        <f>IF($A3331="","",SUMPRODUCT(--ISNUMBER(SEARCH('Category Dictionary'!$D$5:$D$135&amp;"",$C3331)),--('Category Dictionary'!$D$5:$D$135&lt;&gt;"")))</f>
        <v/>
      </c>
      <c r="L3331" s="27">
        <f>IF($A3331="","",TRIM(IF(ISERROR(FIND(",",$C3331)),$C3331,LEFT($C3331,FIND(",",$C3331)-1))))</f>
        <v/>
      </c>
      <c r="M3331" s="28">
        <f>IF($H3331="","",DATE(YEAR($H3331),MONTH($H3331),1))</f>
        <v/>
      </c>
      <c r="N3331" s="26">
        <f>IF($H3331="","",TODAY()-$H3331)</f>
        <v/>
      </c>
      <c r="O3331" s="15" t="n"/>
      <c r="P3331" s="15" t="n"/>
      <c r="Q3331" s="15" t="n"/>
      <c r="R3331" s="25" t="n"/>
      <c r="S3331" s="26">
        <f>IF($A3331="","",AND(OR('Assignment Builder'!$B$5="",$B3331='Assignment Builder'!$B$5),OR('Assignment Builder'!$B$6="",ISNUMBER(SEARCH('Assignment Builder'!$B$6,$C3331))),OR('Assignment Builder'!$B$7="",'Assignment Builder'!$B$7=IFERROR(INDEX('Category Dictionary'!$C$5:$C$135,MATCH($L3331,'Category Dictionary'!$D$5:$D$135,0)),"")),OR('Assignment Builder'!$B$8="",$D3331='Assignment Builder'!$B$8),OR('Assignment Builder'!$B$9="",$F3331='Assignment Builder'!$B$9),OR('Assignment Builder'!$B$10="",$O3331='Assignment Builder'!$B$10),OR('Assignment Builder'!$B$11="",$H3331&gt;='Assignment Builder'!$B$11),OR('Assignment Builder'!$B$12="",N($Q3331)&lt;='Assignment Builder'!$B$12)))</f>
        <v/>
      </c>
      <c r="T3331" s="23" t="n"/>
    </row>
    <row r="3332">
      <c r="A3332" s="23" t="n"/>
      <c r="B3332" s="23" t="n"/>
      <c r="C3332" s="24" t="n"/>
      <c r="D3332" s="15" t="n"/>
      <c r="E3332" s="23" t="n"/>
      <c r="F3332" s="15" t="n"/>
      <c r="G3332" s="23" t="n"/>
      <c r="H3332" s="25" t="n"/>
      <c r="I3332" s="15" t="n"/>
      <c r="J3332" s="26">
        <f>IF($A3332="","",LEN($C3332)-LEN(SUBSTITUTE($C3332,",",""))+1)</f>
        <v/>
      </c>
      <c r="K3332" s="26">
        <f>IF($A3332="","",SUMPRODUCT(--ISNUMBER(SEARCH('Category Dictionary'!$D$5:$D$135&amp;"",$C3332)),--('Category Dictionary'!$D$5:$D$135&lt;&gt;"")))</f>
        <v/>
      </c>
      <c r="L3332" s="27">
        <f>IF($A3332="","",TRIM(IF(ISERROR(FIND(",",$C3332)),$C3332,LEFT($C3332,FIND(",",$C3332)-1))))</f>
        <v/>
      </c>
      <c r="M3332" s="28">
        <f>IF($H3332="","",DATE(YEAR($H3332),MONTH($H3332),1))</f>
        <v/>
      </c>
      <c r="N3332" s="26">
        <f>IF($H3332="","",TODAY()-$H3332)</f>
        <v/>
      </c>
      <c r="O3332" s="15" t="n"/>
      <c r="P3332" s="15" t="n"/>
      <c r="Q3332" s="15" t="n"/>
      <c r="R3332" s="25" t="n"/>
      <c r="S3332" s="26">
        <f>IF($A3332="","",AND(OR('Assignment Builder'!$B$5="",$B3332='Assignment Builder'!$B$5),OR('Assignment Builder'!$B$6="",ISNUMBER(SEARCH('Assignment Builder'!$B$6,$C3332))),OR('Assignment Builder'!$B$7="",'Assignment Builder'!$B$7=IFERROR(INDEX('Category Dictionary'!$C$5:$C$135,MATCH($L3332,'Category Dictionary'!$D$5:$D$135,0)),"")),OR('Assignment Builder'!$B$8="",$D3332='Assignment Builder'!$B$8),OR('Assignment Builder'!$B$9="",$F3332='Assignment Builder'!$B$9),OR('Assignment Builder'!$B$10="",$O3332='Assignment Builder'!$B$10),OR('Assignment Builder'!$B$11="",$H3332&gt;='Assignment Builder'!$B$11),OR('Assignment Builder'!$B$12="",N($Q3332)&lt;='Assignment Builder'!$B$12)))</f>
        <v/>
      </c>
      <c r="T3332" s="23" t="n"/>
    </row>
    <row r="3333">
      <c r="A3333" s="23" t="n"/>
      <c r="B3333" s="23" t="n"/>
      <c r="C3333" s="24" t="n"/>
      <c r="D3333" s="15" t="n"/>
      <c r="E3333" s="23" t="n"/>
      <c r="F3333" s="15" t="n"/>
      <c r="G3333" s="23" t="n"/>
      <c r="H3333" s="25" t="n"/>
      <c r="I3333" s="15" t="n"/>
      <c r="J3333" s="26">
        <f>IF($A3333="","",LEN($C3333)-LEN(SUBSTITUTE($C3333,",",""))+1)</f>
        <v/>
      </c>
      <c r="K3333" s="26">
        <f>IF($A3333="","",SUMPRODUCT(--ISNUMBER(SEARCH('Category Dictionary'!$D$5:$D$135&amp;"",$C3333)),--('Category Dictionary'!$D$5:$D$135&lt;&gt;"")))</f>
        <v/>
      </c>
      <c r="L3333" s="27">
        <f>IF($A3333="","",TRIM(IF(ISERROR(FIND(",",$C3333)),$C3333,LEFT($C3333,FIND(",",$C3333)-1))))</f>
        <v/>
      </c>
      <c r="M3333" s="28">
        <f>IF($H3333="","",DATE(YEAR($H3333),MONTH($H3333),1))</f>
        <v/>
      </c>
      <c r="N3333" s="26">
        <f>IF($H3333="","",TODAY()-$H3333)</f>
        <v/>
      </c>
      <c r="O3333" s="15" t="n"/>
      <c r="P3333" s="15" t="n"/>
      <c r="Q3333" s="15" t="n"/>
      <c r="R3333" s="25" t="n"/>
      <c r="S3333" s="26">
        <f>IF($A3333="","",AND(OR('Assignment Builder'!$B$5="",$B3333='Assignment Builder'!$B$5),OR('Assignment Builder'!$B$6="",ISNUMBER(SEARCH('Assignment Builder'!$B$6,$C3333))),OR('Assignment Builder'!$B$7="",'Assignment Builder'!$B$7=IFERROR(INDEX('Category Dictionary'!$C$5:$C$135,MATCH($L3333,'Category Dictionary'!$D$5:$D$135,0)),"")),OR('Assignment Builder'!$B$8="",$D3333='Assignment Builder'!$B$8),OR('Assignment Builder'!$B$9="",$F3333='Assignment Builder'!$B$9),OR('Assignment Builder'!$B$10="",$O3333='Assignment Builder'!$B$10),OR('Assignment Builder'!$B$11="",$H3333&gt;='Assignment Builder'!$B$11),OR('Assignment Builder'!$B$12="",N($Q3333)&lt;='Assignment Builder'!$B$12)))</f>
        <v/>
      </c>
      <c r="T3333" s="23" t="n"/>
    </row>
    <row r="3334">
      <c r="A3334" s="23" t="n"/>
      <c r="B3334" s="23" t="n"/>
      <c r="C3334" s="24" t="n"/>
      <c r="D3334" s="15" t="n"/>
      <c r="E3334" s="23" t="n"/>
      <c r="F3334" s="15" t="n"/>
      <c r="G3334" s="23" t="n"/>
      <c r="H3334" s="25" t="n"/>
      <c r="I3334" s="15" t="n"/>
      <c r="J3334" s="26">
        <f>IF($A3334="","",LEN($C3334)-LEN(SUBSTITUTE($C3334,",",""))+1)</f>
        <v/>
      </c>
      <c r="K3334" s="26">
        <f>IF($A3334="","",SUMPRODUCT(--ISNUMBER(SEARCH('Category Dictionary'!$D$5:$D$135&amp;"",$C3334)),--('Category Dictionary'!$D$5:$D$135&lt;&gt;"")))</f>
        <v/>
      </c>
      <c r="L3334" s="27">
        <f>IF($A3334="","",TRIM(IF(ISERROR(FIND(",",$C3334)),$C3334,LEFT($C3334,FIND(",",$C3334)-1))))</f>
        <v/>
      </c>
      <c r="M3334" s="28">
        <f>IF($H3334="","",DATE(YEAR($H3334),MONTH($H3334),1))</f>
        <v/>
      </c>
      <c r="N3334" s="26">
        <f>IF($H3334="","",TODAY()-$H3334)</f>
        <v/>
      </c>
      <c r="O3334" s="15" t="n"/>
      <c r="P3334" s="15" t="n"/>
      <c r="Q3334" s="15" t="n"/>
      <c r="R3334" s="25" t="n"/>
      <c r="S3334" s="26">
        <f>IF($A3334="","",AND(OR('Assignment Builder'!$B$5="",$B3334='Assignment Builder'!$B$5),OR('Assignment Builder'!$B$6="",ISNUMBER(SEARCH('Assignment Builder'!$B$6,$C3334))),OR('Assignment Builder'!$B$7="",'Assignment Builder'!$B$7=IFERROR(INDEX('Category Dictionary'!$C$5:$C$135,MATCH($L3334,'Category Dictionary'!$D$5:$D$135,0)),"")),OR('Assignment Builder'!$B$8="",$D3334='Assignment Builder'!$B$8),OR('Assignment Builder'!$B$9="",$F3334='Assignment Builder'!$B$9),OR('Assignment Builder'!$B$10="",$O3334='Assignment Builder'!$B$10),OR('Assignment Builder'!$B$11="",$H3334&gt;='Assignment Builder'!$B$11),OR('Assignment Builder'!$B$12="",N($Q3334)&lt;='Assignment Builder'!$B$12)))</f>
        <v/>
      </c>
      <c r="T3334" s="23" t="n"/>
    </row>
    <row r="3335">
      <c r="A3335" s="23" t="n"/>
      <c r="B3335" s="23" t="n"/>
      <c r="C3335" s="24" t="n"/>
      <c r="D3335" s="15" t="n"/>
      <c r="E3335" s="23" t="n"/>
      <c r="F3335" s="15" t="n"/>
      <c r="G3335" s="23" t="n"/>
      <c r="H3335" s="25" t="n"/>
      <c r="I3335" s="15" t="n"/>
      <c r="J3335" s="26">
        <f>IF($A3335="","",LEN($C3335)-LEN(SUBSTITUTE($C3335,",",""))+1)</f>
        <v/>
      </c>
      <c r="K3335" s="26">
        <f>IF($A3335="","",SUMPRODUCT(--ISNUMBER(SEARCH('Category Dictionary'!$D$5:$D$135&amp;"",$C3335)),--('Category Dictionary'!$D$5:$D$135&lt;&gt;"")))</f>
        <v/>
      </c>
      <c r="L3335" s="27">
        <f>IF($A3335="","",TRIM(IF(ISERROR(FIND(",",$C3335)),$C3335,LEFT($C3335,FIND(",",$C3335)-1))))</f>
        <v/>
      </c>
      <c r="M3335" s="28">
        <f>IF($H3335="","",DATE(YEAR($H3335),MONTH($H3335),1))</f>
        <v/>
      </c>
      <c r="N3335" s="26">
        <f>IF($H3335="","",TODAY()-$H3335)</f>
        <v/>
      </c>
      <c r="O3335" s="15" t="n"/>
      <c r="P3335" s="15" t="n"/>
      <c r="Q3335" s="15" t="n"/>
      <c r="R3335" s="25" t="n"/>
      <c r="S3335" s="26">
        <f>IF($A3335="","",AND(OR('Assignment Builder'!$B$5="",$B3335='Assignment Builder'!$B$5),OR('Assignment Builder'!$B$6="",ISNUMBER(SEARCH('Assignment Builder'!$B$6,$C3335))),OR('Assignment Builder'!$B$7="",'Assignment Builder'!$B$7=IFERROR(INDEX('Category Dictionary'!$C$5:$C$135,MATCH($L3335,'Category Dictionary'!$D$5:$D$135,0)),"")),OR('Assignment Builder'!$B$8="",$D3335='Assignment Builder'!$B$8),OR('Assignment Builder'!$B$9="",$F3335='Assignment Builder'!$B$9),OR('Assignment Builder'!$B$10="",$O3335='Assignment Builder'!$B$10),OR('Assignment Builder'!$B$11="",$H3335&gt;='Assignment Builder'!$B$11),OR('Assignment Builder'!$B$12="",N($Q3335)&lt;='Assignment Builder'!$B$12)))</f>
        <v/>
      </c>
      <c r="T3335" s="23" t="n"/>
    </row>
    <row r="3336">
      <c r="A3336" s="23" t="n"/>
      <c r="B3336" s="23" t="n"/>
      <c r="C3336" s="24" t="n"/>
      <c r="D3336" s="15" t="n"/>
      <c r="E3336" s="23" t="n"/>
      <c r="F3336" s="15" t="n"/>
      <c r="G3336" s="23" t="n"/>
      <c r="H3336" s="25" t="n"/>
      <c r="I3336" s="15" t="n"/>
      <c r="J3336" s="26">
        <f>IF($A3336="","",LEN($C3336)-LEN(SUBSTITUTE($C3336,",",""))+1)</f>
        <v/>
      </c>
      <c r="K3336" s="26">
        <f>IF($A3336="","",SUMPRODUCT(--ISNUMBER(SEARCH('Category Dictionary'!$D$5:$D$135&amp;"",$C3336)),--('Category Dictionary'!$D$5:$D$135&lt;&gt;"")))</f>
        <v/>
      </c>
      <c r="L3336" s="27">
        <f>IF($A3336="","",TRIM(IF(ISERROR(FIND(",",$C3336)),$C3336,LEFT($C3336,FIND(",",$C3336)-1))))</f>
        <v/>
      </c>
      <c r="M3336" s="28">
        <f>IF($H3336="","",DATE(YEAR($H3336),MONTH($H3336),1))</f>
        <v/>
      </c>
      <c r="N3336" s="26">
        <f>IF($H3336="","",TODAY()-$H3336)</f>
        <v/>
      </c>
      <c r="O3336" s="15" t="n"/>
      <c r="P3336" s="15" t="n"/>
      <c r="Q3336" s="15" t="n"/>
      <c r="R3336" s="25" t="n"/>
      <c r="S3336" s="26">
        <f>IF($A3336="","",AND(OR('Assignment Builder'!$B$5="",$B3336='Assignment Builder'!$B$5),OR('Assignment Builder'!$B$6="",ISNUMBER(SEARCH('Assignment Builder'!$B$6,$C3336))),OR('Assignment Builder'!$B$7="",'Assignment Builder'!$B$7=IFERROR(INDEX('Category Dictionary'!$C$5:$C$135,MATCH($L3336,'Category Dictionary'!$D$5:$D$135,0)),"")),OR('Assignment Builder'!$B$8="",$D3336='Assignment Builder'!$B$8),OR('Assignment Builder'!$B$9="",$F3336='Assignment Builder'!$B$9),OR('Assignment Builder'!$B$10="",$O3336='Assignment Builder'!$B$10),OR('Assignment Builder'!$B$11="",$H3336&gt;='Assignment Builder'!$B$11),OR('Assignment Builder'!$B$12="",N($Q3336)&lt;='Assignment Builder'!$B$12)))</f>
        <v/>
      </c>
      <c r="T3336" s="23" t="n"/>
    </row>
    <row r="3337">
      <c r="A3337" s="23" t="n"/>
      <c r="B3337" s="23" t="n"/>
      <c r="C3337" s="24" t="n"/>
      <c r="D3337" s="15" t="n"/>
      <c r="E3337" s="23" t="n"/>
      <c r="F3337" s="15" t="n"/>
      <c r="G3337" s="23" t="n"/>
      <c r="H3337" s="25" t="n"/>
      <c r="I3337" s="15" t="n"/>
      <c r="J3337" s="26">
        <f>IF($A3337="","",LEN($C3337)-LEN(SUBSTITUTE($C3337,",",""))+1)</f>
        <v/>
      </c>
      <c r="K3337" s="26">
        <f>IF($A3337="","",SUMPRODUCT(--ISNUMBER(SEARCH('Category Dictionary'!$D$5:$D$135&amp;"",$C3337)),--('Category Dictionary'!$D$5:$D$135&lt;&gt;"")))</f>
        <v/>
      </c>
      <c r="L3337" s="27">
        <f>IF($A3337="","",TRIM(IF(ISERROR(FIND(",",$C3337)),$C3337,LEFT($C3337,FIND(",",$C3337)-1))))</f>
        <v/>
      </c>
      <c r="M3337" s="28">
        <f>IF($H3337="","",DATE(YEAR($H3337),MONTH($H3337),1))</f>
        <v/>
      </c>
      <c r="N3337" s="26">
        <f>IF($H3337="","",TODAY()-$H3337)</f>
        <v/>
      </c>
      <c r="O3337" s="15" t="n"/>
      <c r="P3337" s="15" t="n"/>
      <c r="Q3337" s="15" t="n"/>
      <c r="R3337" s="25" t="n"/>
      <c r="S3337" s="26">
        <f>IF($A3337="","",AND(OR('Assignment Builder'!$B$5="",$B3337='Assignment Builder'!$B$5),OR('Assignment Builder'!$B$6="",ISNUMBER(SEARCH('Assignment Builder'!$B$6,$C3337))),OR('Assignment Builder'!$B$7="",'Assignment Builder'!$B$7=IFERROR(INDEX('Category Dictionary'!$C$5:$C$135,MATCH($L3337,'Category Dictionary'!$D$5:$D$135,0)),"")),OR('Assignment Builder'!$B$8="",$D3337='Assignment Builder'!$B$8),OR('Assignment Builder'!$B$9="",$F3337='Assignment Builder'!$B$9),OR('Assignment Builder'!$B$10="",$O3337='Assignment Builder'!$B$10),OR('Assignment Builder'!$B$11="",$H3337&gt;='Assignment Builder'!$B$11),OR('Assignment Builder'!$B$12="",N($Q3337)&lt;='Assignment Builder'!$B$12)))</f>
        <v/>
      </c>
      <c r="T3337" s="23" t="n"/>
    </row>
    <row r="3338">
      <c r="A3338" s="23" t="n"/>
      <c r="B3338" s="23" t="n"/>
      <c r="C3338" s="24" t="n"/>
      <c r="D3338" s="15" t="n"/>
      <c r="E3338" s="23" t="n"/>
      <c r="F3338" s="15" t="n"/>
      <c r="G3338" s="23" t="n"/>
      <c r="H3338" s="25" t="n"/>
      <c r="I3338" s="15" t="n"/>
      <c r="J3338" s="26">
        <f>IF($A3338="","",LEN($C3338)-LEN(SUBSTITUTE($C3338,",",""))+1)</f>
        <v/>
      </c>
      <c r="K3338" s="26">
        <f>IF($A3338="","",SUMPRODUCT(--ISNUMBER(SEARCH('Category Dictionary'!$D$5:$D$135&amp;"",$C3338)),--('Category Dictionary'!$D$5:$D$135&lt;&gt;"")))</f>
        <v/>
      </c>
      <c r="L3338" s="27">
        <f>IF($A3338="","",TRIM(IF(ISERROR(FIND(",",$C3338)),$C3338,LEFT($C3338,FIND(",",$C3338)-1))))</f>
        <v/>
      </c>
      <c r="M3338" s="28">
        <f>IF($H3338="","",DATE(YEAR($H3338),MONTH($H3338),1))</f>
        <v/>
      </c>
      <c r="N3338" s="26">
        <f>IF($H3338="","",TODAY()-$H3338)</f>
        <v/>
      </c>
      <c r="O3338" s="15" t="n"/>
      <c r="P3338" s="15" t="n"/>
      <c r="Q3338" s="15" t="n"/>
      <c r="R3338" s="25" t="n"/>
      <c r="S3338" s="26">
        <f>IF($A3338="","",AND(OR('Assignment Builder'!$B$5="",$B3338='Assignment Builder'!$B$5),OR('Assignment Builder'!$B$6="",ISNUMBER(SEARCH('Assignment Builder'!$B$6,$C3338))),OR('Assignment Builder'!$B$7="",'Assignment Builder'!$B$7=IFERROR(INDEX('Category Dictionary'!$C$5:$C$135,MATCH($L3338,'Category Dictionary'!$D$5:$D$135,0)),"")),OR('Assignment Builder'!$B$8="",$D3338='Assignment Builder'!$B$8),OR('Assignment Builder'!$B$9="",$F3338='Assignment Builder'!$B$9),OR('Assignment Builder'!$B$10="",$O3338='Assignment Builder'!$B$10),OR('Assignment Builder'!$B$11="",$H3338&gt;='Assignment Builder'!$B$11),OR('Assignment Builder'!$B$12="",N($Q3338)&lt;='Assignment Builder'!$B$12)))</f>
        <v/>
      </c>
      <c r="T3338" s="23" t="n"/>
    </row>
    <row r="3339">
      <c r="A3339" s="23" t="n"/>
      <c r="B3339" s="23" t="n"/>
      <c r="C3339" s="24" t="n"/>
      <c r="D3339" s="15" t="n"/>
      <c r="E3339" s="23" t="n"/>
      <c r="F3339" s="15" t="n"/>
      <c r="G3339" s="23" t="n"/>
      <c r="H3339" s="25" t="n"/>
      <c r="I3339" s="15" t="n"/>
      <c r="J3339" s="26">
        <f>IF($A3339="","",LEN($C3339)-LEN(SUBSTITUTE($C3339,",",""))+1)</f>
        <v/>
      </c>
      <c r="K3339" s="26">
        <f>IF($A3339="","",SUMPRODUCT(--ISNUMBER(SEARCH('Category Dictionary'!$D$5:$D$135&amp;"",$C3339)),--('Category Dictionary'!$D$5:$D$135&lt;&gt;"")))</f>
        <v/>
      </c>
      <c r="L3339" s="27">
        <f>IF($A3339="","",TRIM(IF(ISERROR(FIND(",",$C3339)),$C3339,LEFT($C3339,FIND(",",$C3339)-1))))</f>
        <v/>
      </c>
      <c r="M3339" s="28">
        <f>IF($H3339="","",DATE(YEAR($H3339),MONTH($H3339),1))</f>
        <v/>
      </c>
      <c r="N3339" s="26">
        <f>IF($H3339="","",TODAY()-$H3339)</f>
        <v/>
      </c>
      <c r="O3339" s="15" t="n"/>
      <c r="P3339" s="15" t="n"/>
      <c r="Q3339" s="15" t="n"/>
      <c r="R3339" s="25" t="n"/>
      <c r="S3339" s="26">
        <f>IF($A3339="","",AND(OR('Assignment Builder'!$B$5="",$B3339='Assignment Builder'!$B$5),OR('Assignment Builder'!$B$6="",ISNUMBER(SEARCH('Assignment Builder'!$B$6,$C3339))),OR('Assignment Builder'!$B$7="",'Assignment Builder'!$B$7=IFERROR(INDEX('Category Dictionary'!$C$5:$C$135,MATCH($L3339,'Category Dictionary'!$D$5:$D$135,0)),"")),OR('Assignment Builder'!$B$8="",$D3339='Assignment Builder'!$B$8),OR('Assignment Builder'!$B$9="",$F3339='Assignment Builder'!$B$9),OR('Assignment Builder'!$B$10="",$O3339='Assignment Builder'!$B$10),OR('Assignment Builder'!$B$11="",$H3339&gt;='Assignment Builder'!$B$11),OR('Assignment Builder'!$B$12="",N($Q3339)&lt;='Assignment Builder'!$B$12)))</f>
        <v/>
      </c>
      <c r="T3339" s="23" t="n"/>
    </row>
    <row r="3340">
      <c r="A3340" s="23" t="n"/>
      <c r="B3340" s="23" t="n"/>
      <c r="C3340" s="24" t="n"/>
      <c r="D3340" s="15" t="n"/>
      <c r="E3340" s="23" t="n"/>
      <c r="F3340" s="15" t="n"/>
      <c r="G3340" s="23" t="n"/>
      <c r="H3340" s="25" t="n"/>
      <c r="I3340" s="15" t="n"/>
      <c r="J3340" s="26">
        <f>IF($A3340="","",LEN($C3340)-LEN(SUBSTITUTE($C3340,",",""))+1)</f>
        <v/>
      </c>
      <c r="K3340" s="26">
        <f>IF($A3340="","",SUMPRODUCT(--ISNUMBER(SEARCH('Category Dictionary'!$D$5:$D$135&amp;"",$C3340)),--('Category Dictionary'!$D$5:$D$135&lt;&gt;"")))</f>
        <v/>
      </c>
      <c r="L3340" s="27">
        <f>IF($A3340="","",TRIM(IF(ISERROR(FIND(",",$C3340)),$C3340,LEFT($C3340,FIND(",",$C3340)-1))))</f>
        <v/>
      </c>
      <c r="M3340" s="28">
        <f>IF($H3340="","",DATE(YEAR($H3340),MONTH($H3340),1))</f>
        <v/>
      </c>
      <c r="N3340" s="26">
        <f>IF($H3340="","",TODAY()-$H3340)</f>
        <v/>
      </c>
      <c r="O3340" s="15" t="n"/>
      <c r="P3340" s="15" t="n"/>
      <c r="Q3340" s="15" t="n"/>
      <c r="R3340" s="25" t="n"/>
      <c r="S3340" s="26">
        <f>IF($A3340="","",AND(OR('Assignment Builder'!$B$5="",$B3340='Assignment Builder'!$B$5),OR('Assignment Builder'!$B$6="",ISNUMBER(SEARCH('Assignment Builder'!$B$6,$C3340))),OR('Assignment Builder'!$B$7="",'Assignment Builder'!$B$7=IFERROR(INDEX('Category Dictionary'!$C$5:$C$135,MATCH($L3340,'Category Dictionary'!$D$5:$D$135,0)),"")),OR('Assignment Builder'!$B$8="",$D3340='Assignment Builder'!$B$8),OR('Assignment Builder'!$B$9="",$F3340='Assignment Builder'!$B$9),OR('Assignment Builder'!$B$10="",$O3340='Assignment Builder'!$B$10),OR('Assignment Builder'!$B$11="",$H3340&gt;='Assignment Builder'!$B$11),OR('Assignment Builder'!$B$12="",N($Q3340)&lt;='Assignment Builder'!$B$12)))</f>
        <v/>
      </c>
      <c r="T3340" s="23" t="n"/>
    </row>
    <row r="3341">
      <c r="A3341" s="23" t="n"/>
      <c r="B3341" s="23" t="n"/>
      <c r="C3341" s="24" t="n"/>
      <c r="D3341" s="15" t="n"/>
      <c r="E3341" s="23" t="n"/>
      <c r="F3341" s="15" t="n"/>
      <c r="G3341" s="23" t="n"/>
      <c r="H3341" s="25" t="n"/>
      <c r="I3341" s="15" t="n"/>
      <c r="J3341" s="26">
        <f>IF($A3341="","",LEN($C3341)-LEN(SUBSTITUTE($C3341,",",""))+1)</f>
        <v/>
      </c>
      <c r="K3341" s="26">
        <f>IF($A3341="","",SUMPRODUCT(--ISNUMBER(SEARCH('Category Dictionary'!$D$5:$D$135&amp;"",$C3341)),--('Category Dictionary'!$D$5:$D$135&lt;&gt;"")))</f>
        <v/>
      </c>
      <c r="L3341" s="27">
        <f>IF($A3341="","",TRIM(IF(ISERROR(FIND(",",$C3341)),$C3341,LEFT($C3341,FIND(",",$C3341)-1))))</f>
        <v/>
      </c>
      <c r="M3341" s="28">
        <f>IF($H3341="","",DATE(YEAR($H3341),MONTH($H3341),1))</f>
        <v/>
      </c>
      <c r="N3341" s="26">
        <f>IF($H3341="","",TODAY()-$H3341)</f>
        <v/>
      </c>
      <c r="O3341" s="15" t="n"/>
      <c r="P3341" s="15" t="n"/>
      <c r="Q3341" s="15" t="n"/>
      <c r="R3341" s="25" t="n"/>
      <c r="S3341" s="26">
        <f>IF($A3341="","",AND(OR('Assignment Builder'!$B$5="",$B3341='Assignment Builder'!$B$5),OR('Assignment Builder'!$B$6="",ISNUMBER(SEARCH('Assignment Builder'!$B$6,$C3341))),OR('Assignment Builder'!$B$7="",'Assignment Builder'!$B$7=IFERROR(INDEX('Category Dictionary'!$C$5:$C$135,MATCH($L3341,'Category Dictionary'!$D$5:$D$135,0)),"")),OR('Assignment Builder'!$B$8="",$D3341='Assignment Builder'!$B$8),OR('Assignment Builder'!$B$9="",$F3341='Assignment Builder'!$B$9),OR('Assignment Builder'!$B$10="",$O3341='Assignment Builder'!$B$10),OR('Assignment Builder'!$B$11="",$H3341&gt;='Assignment Builder'!$B$11),OR('Assignment Builder'!$B$12="",N($Q3341)&lt;='Assignment Builder'!$B$12)))</f>
        <v/>
      </c>
      <c r="T3341" s="23" t="n"/>
    </row>
    <row r="3342">
      <c r="A3342" s="23" t="n"/>
      <c r="B3342" s="23" t="n"/>
      <c r="C3342" s="24" t="n"/>
      <c r="D3342" s="15" t="n"/>
      <c r="E3342" s="23" t="n"/>
      <c r="F3342" s="15" t="n"/>
      <c r="G3342" s="23" t="n"/>
      <c r="H3342" s="25" t="n"/>
      <c r="I3342" s="15" t="n"/>
      <c r="J3342" s="26">
        <f>IF($A3342="","",LEN($C3342)-LEN(SUBSTITUTE($C3342,",",""))+1)</f>
        <v/>
      </c>
      <c r="K3342" s="26">
        <f>IF($A3342="","",SUMPRODUCT(--ISNUMBER(SEARCH('Category Dictionary'!$D$5:$D$135&amp;"",$C3342)),--('Category Dictionary'!$D$5:$D$135&lt;&gt;"")))</f>
        <v/>
      </c>
      <c r="L3342" s="27">
        <f>IF($A3342="","",TRIM(IF(ISERROR(FIND(",",$C3342)),$C3342,LEFT($C3342,FIND(",",$C3342)-1))))</f>
        <v/>
      </c>
      <c r="M3342" s="28">
        <f>IF($H3342="","",DATE(YEAR($H3342),MONTH($H3342),1))</f>
        <v/>
      </c>
      <c r="N3342" s="26">
        <f>IF($H3342="","",TODAY()-$H3342)</f>
        <v/>
      </c>
      <c r="O3342" s="15" t="n"/>
      <c r="P3342" s="15" t="n"/>
      <c r="Q3342" s="15" t="n"/>
      <c r="R3342" s="25" t="n"/>
      <c r="S3342" s="26">
        <f>IF($A3342="","",AND(OR('Assignment Builder'!$B$5="",$B3342='Assignment Builder'!$B$5),OR('Assignment Builder'!$B$6="",ISNUMBER(SEARCH('Assignment Builder'!$B$6,$C3342))),OR('Assignment Builder'!$B$7="",'Assignment Builder'!$B$7=IFERROR(INDEX('Category Dictionary'!$C$5:$C$135,MATCH($L3342,'Category Dictionary'!$D$5:$D$135,0)),"")),OR('Assignment Builder'!$B$8="",$D3342='Assignment Builder'!$B$8),OR('Assignment Builder'!$B$9="",$F3342='Assignment Builder'!$B$9),OR('Assignment Builder'!$B$10="",$O3342='Assignment Builder'!$B$10),OR('Assignment Builder'!$B$11="",$H3342&gt;='Assignment Builder'!$B$11),OR('Assignment Builder'!$B$12="",N($Q3342)&lt;='Assignment Builder'!$B$12)))</f>
        <v/>
      </c>
      <c r="T3342" s="23" t="n"/>
    </row>
    <row r="3343">
      <c r="A3343" s="23" t="n"/>
      <c r="B3343" s="23" t="n"/>
      <c r="C3343" s="24" t="n"/>
      <c r="D3343" s="15" t="n"/>
      <c r="E3343" s="23" t="n"/>
      <c r="F3343" s="15" t="n"/>
      <c r="G3343" s="23" t="n"/>
      <c r="H3343" s="25" t="n"/>
      <c r="I3343" s="15" t="n"/>
      <c r="J3343" s="26">
        <f>IF($A3343="","",LEN($C3343)-LEN(SUBSTITUTE($C3343,",",""))+1)</f>
        <v/>
      </c>
      <c r="K3343" s="26">
        <f>IF($A3343="","",SUMPRODUCT(--ISNUMBER(SEARCH('Category Dictionary'!$D$5:$D$135&amp;"",$C3343)),--('Category Dictionary'!$D$5:$D$135&lt;&gt;"")))</f>
        <v/>
      </c>
      <c r="L3343" s="27">
        <f>IF($A3343="","",TRIM(IF(ISERROR(FIND(",",$C3343)),$C3343,LEFT($C3343,FIND(",",$C3343)-1))))</f>
        <v/>
      </c>
      <c r="M3343" s="28">
        <f>IF($H3343="","",DATE(YEAR($H3343),MONTH($H3343),1))</f>
        <v/>
      </c>
      <c r="N3343" s="26">
        <f>IF($H3343="","",TODAY()-$H3343)</f>
        <v/>
      </c>
      <c r="O3343" s="15" t="n"/>
      <c r="P3343" s="15" t="n"/>
      <c r="Q3343" s="15" t="n"/>
      <c r="R3343" s="25" t="n"/>
      <c r="S3343" s="26">
        <f>IF($A3343="","",AND(OR('Assignment Builder'!$B$5="",$B3343='Assignment Builder'!$B$5),OR('Assignment Builder'!$B$6="",ISNUMBER(SEARCH('Assignment Builder'!$B$6,$C3343))),OR('Assignment Builder'!$B$7="",'Assignment Builder'!$B$7=IFERROR(INDEX('Category Dictionary'!$C$5:$C$135,MATCH($L3343,'Category Dictionary'!$D$5:$D$135,0)),"")),OR('Assignment Builder'!$B$8="",$D3343='Assignment Builder'!$B$8),OR('Assignment Builder'!$B$9="",$F3343='Assignment Builder'!$B$9),OR('Assignment Builder'!$B$10="",$O3343='Assignment Builder'!$B$10),OR('Assignment Builder'!$B$11="",$H3343&gt;='Assignment Builder'!$B$11),OR('Assignment Builder'!$B$12="",N($Q3343)&lt;='Assignment Builder'!$B$12)))</f>
        <v/>
      </c>
      <c r="T3343" s="23" t="n"/>
    </row>
    <row r="3344">
      <c r="A3344" s="23" t="n"/>
      <c r="B3344" s="23" t="n"/>
      <c r="C3344" s="24" t="n"/>
      <c r="D3344" s="15" t="n"/>
      <c r="E3344" s="23" t="n"/>
      <c r="F3344" s="15" t="n"/>
      <c r="G3344" s="23" t="n"/>
      <c r="H3344" s="25" t="n"/>
      <c r="I3344" s="15" t="n"/>
      <c r="J3344" s="26">
        <f>IF($A3344="","",LEN($C3344)-LEN(SUBSTITUTE($C3344,",",""))+1)</f>
        <v/>
      </c>
      <c r="K3344" s="26">
        <f>IF($A3344="","",SUMPRODUCT(--ISNUMBER(SEARCH('Category Dictionary'!$D$5:$D$135&amp;"",$C3344)),--('Category Dictionary'!$D$5:$D$135&lt;&gt;"")))</f>
        <v/>
      </c>
      <c r="L3344" s="27">
        <f>IF($A3344="","",TRIM(IF(ISERROR(FIND(",",$C3344)),$C3344,LEFT($C3344,FIND(",",$C3344)-1))))</f>
        <v/>
      </c>
      <c r="M3344" s="28">
        <f>IF($H3344="","",DATE(YEAR($H3344),MONTH($H3344),1))</f>
        <v/>
      </c>
      <c r="N3344" s="26">
        <f>IF($H3344="","",TODAY()-$H3344)</f>
        <v/>
      </c>
      <c r="O3344" s="15" t="n"/>
      <c r="P3344" s="15" t="n"/>
      <c r="Q3344" s="15" t="n"/>
      <c r="R3344" s="25" t="n"/>
      <c r="S3344" s="26">
        <f>IF($A3344="","",AND(OR('Assignment Builder'!$B$5="",$B3344='Assignment Builder'!$B$5),OR('Assignment Builder'!$B$6="",ISNUMBER(SEARCH('Assignment Builder'!$B$6,$C3344))),OR('Assignment Builder'!$B$7="",'Assignment Builder'!$B$7=IFERROR(INDEX('Category Dictionary'!$C$5:$C$135,MATCH($L3344,'Category Dictionary'!$D$5:$D$135,0)),"")),OR('Assignment Builder'!$B$8="",$D3344='Assignment Builder'!$B$8),OR('Assignment Builder'!$B$9="",$F3344='Assignment Builder'!$B$9),OR('Assignment Builder'!$B$10="",$O3344='Assignment Builder'!$B$10),OR('Assignment Builder'!$B$11="",$H3344&gt;='Assignment Builder'!$B$11),OR('Assignment Builder'!$B$12="",N($Q3344)&lt;='Assignment Builder'!$B$12)))</f>
        <v/>
      </c>
      <c r="T3344" s="23" t="n"/>
    </row>
    <row r="3345">
      <c r="A3345" s="23" t="n"/>
      <c r="B3345" s="23" t="n"/>
      <c r="C3345" s="24" t="n"/>
      <c r="D3345" s="15" t="n"/>
      <c r="E3345" s="23" t="n"/>
      <c r="F3345" s="15" t="n"/>
      <c r="G3345" s="23" t="n"/>
      <c r="H3345" s="25" t="n"/>
      <c r="I3345" s="15" t="n"/>
      <c r="J3345" s="26">
        <f>IF($A3345="","",LEN($C3345)-LEN(SUBSTITUTE($C3345,",",""))+1)</f>
        <v/>
      </c>
      <c r="K3345" s="26">
        <f>IF($A3345="","",SUMPRODUCT(--ISNUMBER(SEARCH('Category Dictionary'!$D$5:$D$135&amp;"",$C3345)),--('Category Dictionary'!$D$5:$D$135&lt;&gt;"")))</f>
        <v/>
      </c>
      <c r="L3345" s="27">
        <f>IF($A3345="","",TRIM(IF(ISERROR(FIND(",",$C3345)),$C3345,LEFT($C3345,FIND(",",$C3345)-1))))</f>
        <v/>
      </c>
      <c r="M3345" s="28">
        <f>IF($H3345="","",DATE(YEAR($H3345),MONTH($H3345),1))</f>
        <v/>
      </c>
      <c r="N3345" s="26">
        <f>IF($H3345="","",TODAY()-$H3345)</f>
        <v/>
      </c>
      <c r="O3345" s="15" t="n"/>
      <c r="P3345" s="15" t="n"/>
      <c r="Q3345" s="15" t="n"/>
      <c r="R3345" s="25" t="n"/>
      <c r="S3345" s="26">
        <f>IF($A3345="","",AND(OR('Assignment Builder'!$B$5="",$B3345='Assignment Builder'!$B$5),OR('Assignment Builder'!$B$6="",ISNUMBER(SEARCH('Assignment Builder'!$B$6,$C3345))),OR('Assignment Builder'!$B$7="",'Assignment Builder'!$B$7=IFERROR(INDEX('Category Dictionary'!$C$5:$C$135,MATCH($L3345,'Category Dictionary'!$D$5:$D$135,0)),"")),OR('Assignment Builder'!$B$8="",$D3345='Assignment Builder'!$B$8),OR('Assignment Builder'!$B$9="",$F3345='Assignment Builder'!$B$9),OR('Assignment Builder'!$B$10="",$O3345='Assignment Builder'!$B$10),OR('Assignment Builder'!$B$11="",$H3345&gt;='Assignment Builder'!$B$11),OR('Assignment Builder'!$B$12="",N($Q3345)&lt;='Assignment Builder'!$B$12)))</f>
        <v/>
      </c>
      <c r="T3345" s="23" t="n"/>
    </row>
    <row r="3346">
      <c r="A3346" s="23" t="n"/>
      <c r="B3346" s="23" t="n"/>
      <c r="C3346" s="24" t="n"/>
      <c r="D3346" s="15" t="n"/>
      <c r="E3346" s="23" t="n"/>
      <c r="F3346" s="15" t="n"/>
      <c r="G3346" s="23" t="n"/>
      <c r="H3346" s="25" t="n"/>
      <c r="I3346" s="15" t="n"/>
      <c r="J3346" s="26">
        <f>IF($A3346="","",LEN($C3346)-LEN(SUBSTITUTE($C3346,",",""))+1)</f>
        <v/>
      </c>
      <c r="K3346" s="26">
        <f>IF($A3346="","",SUMPRODUCT(--ISNUMBER(SEARCH('Category Dictionary'!$D$5:$D$135&amp;"",$C3346)),--('Category Dictionary'!$D$5:$D$135&lt;&gt;"")))</f>
        <v/>
      </c>
      <c r="L3346" s="27">
        <f>IF($A3346="","",TRIM(IF(ISERROR(FIND(",",$C3346)),$C3346,LEFT($C3346,FIND(",",$C3346)-1))))</f>
        <v/>
      </c>
      <c r="M3346" s="28">
        <f>IF($H3346="","",DATE(YEAR($H3346),MONTH($H3346),1))</f>
        <v/>
      </c>
      <c r="N3346" s="26">
        <f>IF($H3346="","",TODAY()-$H3346)</f>
        <v/>
      </c>
      <c r="O3346" s="15" t="n"/>
      <c r="P3346" s="15" t="n"/>
      <c r="Q3346" s="15" t="n"/>
      <c r="R3346" s="25" t="n"/>
      <c r="S3346" s="26">
        <f>IF($A3346="","",AND(OR('Assignment Builder'!$B$5="",$B3346='Assignment Builder'!$B$5),OR('Assignment Builder'!$B$6="",ISNUMBER(SEARCH('Assignment Builder'!$B$6,$C3346))),OR('Assignment Builder'!$B$7="",'Assignment Builder'!$B$7=IFERROR(INDEX('Category Dictionary'!$C$5:$C$135,MATCH($L3346,'Category Dictionary'!$D$5:$D$135,0)),"")),OR('Assignment Builder'!$B$8="",$D3346='Assignment Builder'!$B$8),OR('Assignment Builder'!$B$9="",$F3346='Assignment Builder'!$B$9),OR('Assignment Builder'!$B$10="",$O3346='Assignment Builder'!$B$10),OR('Assignment Builder'!$B$11="",$H3346&gt;='Assignment Builder'!$B$11),OR('Assignment Builder'!$B$12="",N($Q3346)&lt;='Assignment Builder'!$B$12)))</f>
        <v/>
      </c>
      <c r="T3346" s="23" t="n"/>
    </row>
    <row r="3347">
      <c r="A3347" s="23" t="n"/>
      <c r="B3347" s="23" t="n"/>
      <c r="C3347" s="24" t="n"/>
      <c r="D3347" s="15" t="n"/>
      <c r="E3347" s="23" t="n"/>
      <c r="F3347" s="15" t="n"/>
      <c r="G3347" s="23" t="n"/>
      <c r="H3347" s="25" t="n"/>
      <c r="I3347" s="15" t="n"/>
      <c r="J3347" s="26">
        <f>IF($A3347="","",LEN($C3347)-LEN(SUBSTITUTE($C3347,",",""))+1)</f>
        <v/>
      </c>
      <c r="K3347" s="26">
        <f>IF($A3347="","",SUMPRODUCT(--ISNUMBER(SEARCH('Category Dictionary'!$D$5:$D$135&amp;"",$C3347)),--('Category Dictionary'!$D$5:$D$135&lt;&gt;"")))</f>
        <v/>
      </c>
      <c r="L3347" s="27">
        <f>IF($A3347="","",TRIM(IF(ISERROR(FIND(",",$C3347)),$C3347,LEFT($C3347,FIND(",",$C3347)-1))))</f>
        <v/>
      </c>
      <c r="M3347" s="28">
        <f>IF($H3347="","",DATE(YEAR($H3347),MONTH($H3347),1))</f>
        <v/>
      </c>
      <c r="N3347" s="26">
        <f>IF($H3347="","",TODAY()-$H3347)</f>
        <v/>
      </c>
      <c r="O3347" s="15" t="n"/>
      <c r="P3347" s="15" t="n"/>
      <c r="Q3347" s="15" t="n"/>
      <c r="R3347" s="25" t="n"/>
      <c r="S3347" s="26">
        <f>IF($A3347="","",AND(OR('Assignment Builder'!$B$5="",$B3347='Assignment Builder'!$B$5),OR('Assignment Builder'!$B$6="",ISNUMBER(SEARCH('Assignment Builder'!$B$6,$C3347))),OR('Assignment Builder'!$B$7="",'Assignment Builder'!$B$7=IFERROR(INDEX('Category Dictionary'!$C$5:$C$135,MATCH($L3347,'Category Dictionary'!$D$5:$D$135,0)),"")),OR('Assignment Builder'!$B$8="",$D3347='Assignment Builder'!$B$8),OR('Assignment Builder'!$B$9="",$F3347='Assignment Builder'!$B$9),OR('Assignment Builder'!$B$10="",$O3347='Assignment Builder'!$B$10),OR('Assignment Builder'!$B$11="",$H3347&gt;='Assignment Builder'!$B$11),OR('Assignment Builder'!$B$12="",N($Q3347)&lt;='Assignment Builder'!$B$12)))</f>
        <v/>
      </c>
      <c r="T3347" s="23" t="n"/>
    </row>
    <row r="3348">
      <c r="A3348" s="23" t="n"/>
      <c r="B3348" s="23" t="n"/>
      <c r="C3348" s="24" t="n"/>
      <c r="D3348" s="15" t="n"/>
      <c r="E3348" s="23" t="n"/>
      <c r="F3348" s="15" t="n"/>
      <c r="G3348" s="23" t="n"/>
      <c r="H3348" s="25" t="n"/>
      <c r="I3348" s="15" t="n"/>
      <c r="J3348" s="26">
        <f>IF($A3348="","",LEN($C3348)-LEN(SUBSTITUTE($C3348,",",""))+1)</f>
        <v/>
      </c>
      <c r="K3348" s="26">
        <f>IF($A3348="","",SUMPRODUCT(--ISNUMBER(SEARCH('Category Dictionary'!$D$5:$D$135&amp;"",$C3348)),--('Category Dictionary'!$D$5:$D$135&lt;&gt;"")))</f>
        <v/>
      </c>
      <c r="L3348" s="27">
        <f>IF($A3348="","",TRIM(IF(ISERROR(FIND(",",$C3348)),$C3348,LEFT($C3348,FIND(",",$C3348)-1))))</f>
        <v/>
      </c>
      <c r="M3348" s="28">
        <f>IF($H3348="","",DATE(YEAR($H3348),MONTH($H3348),1))</f>
        <v/>
      </c>
      <c r="N3348" s="26">
        <f>IF($H3348="","",TODAY()-$H3348)</f>
        <v/>
      </c>
      <c r="O3348" s="15" t="n"/>
      <c r="P3348" s="15" t="n"/>
      <c r="Q3348" s="15" t="n"/>
      <c r="R3348" s="25" t="n"/>
      <c r="S3348" s="26">
        <f>IF($A3348="","",AND(OR('Assignment Builder'!$B$5="",$B3348='Assignment Builder'!$B$5),OR('Assignment Builder'!$B$6="",ISNUMBER(SEARCH('Assignment Builder'!$B$6,$C3348))),OR('Assignment Builder'!$B$7="",'Assignment Builder'!$B$7=IFERROR(INDEX('Category Dictionary'!$C$5:$C$135,MATCH($L3348,'Category Dictionary'!$D$5:$D$135,0)),"")),OR('Assignment Builder'!$B$8="",$D3348='Assignment Builder'!$B$8),OR('Assignment Builder'!$B$9="",$F3348='Assignment Builder'!$B$9),OR('Assignment Builder'!$B$10="",$O3348='Assignment Builder'!$B$10),OR('Assignment Builder'!$B$11="",$H3348&gt;='Assignment Builder'!$B$11),OR('Assignment Builder'!$B$12="",N($Q3348)&lt;='Assignment Builder'!$B$12)))</f>
        <v/>
      </c>
      <c r="T3348" s="23" t="n"/>
    </row>
    <row r="3349">
      <c r="A3349" s="23" t="n"/>
      <c r="B3349" s="23" t="n"/>
      <c r="C3349" s="24" t="n"/>
      <c r="D3349" s="15" t="n"/>
      <c r="E3349" s="23" t="n"/>
      <c r="F3349" s="15" t="n"/>
      <c r="G3349" s="23" t="n"/>
      <c r="H3349" s="25" t="n"/>
      <c r="I3349" s="15" t="n"/>
      <c r="J3349" s="26">
        <f>IF($A3349="","",LEN($C3349)-LEN(SUBSTITUTE($C3349,",",""))+1)</f>
        <v/>
      </c>
      <c r="K3349" s="26">
        <f>IF($A3349="","",SUMPRODUCT(--ISNUMBER(SEARCH('Category Dictionary'!$D$5:$D$135&amp;"",$C3349)),--('Category Dictionary'!$D$5:$D$135&lt;&gt;"")))</f>
        <v/>
      </c>
      <c r="L3349" s="27">
        <f>IF($A3349="","",TRIM(IF(ISERROR(FIND(",",$C3349)),$C3349,LEFT($C3349,FIND(",",$C3349)-1))))</f>
        <v/>
      </c>
      <c r="M3349" s="28">
        <f>IF($H3349="","",DATE(YEAR($H3349),MONTH($H3349),1))</f>
        <v/>
      </c>
      <c r="N3349" s="26">
        <f>IF($H3349="","",TODAY()-$H3349)</f>
        <v/>
      </c>
      <c r="O3349" s="15" t="n"/>
      <c r="P3349" s="15" t="n"/>
      <c r="Q3349" s="15" t="n"/>
      <c r="R3349" s="25" t="n"/>
      <c r="S3349" s="26">
        <f>IF($A3349="","",AND(OR('Assignment Builder'!$B$5="",$B3349='Assignment Builder'!$B$5),OR('Assignment Builder'!$B$6="",ISNUMBER(SEARCH('Assignment Builder'!$B$6,$C3349))),OR('Assignment Builder'!$B$7="",'Assignment Builder'!$B$7=IFERROR(INDEX('Category Dictionary'!$C$5:$C$135,MATCH($L3349,'Category Dictionary'!$D$5:$D$135,0)),"")),OR('Assignment Builder'!$B$8="",$D3349='Assignment Builder'!$B$8),OR('Assignment Builder'!$B$9="",$F3349='Assignment Builder'!$B$9),OR('Assignment Builder'!$B$10="",$O3349='Assignment Builder'!$B$10),OR('Assignment Builder'!$B$11="",$H3349&gt;='Assignment Builder'!$B$11),OR('Assignment Builder'!$B$12="",N($Q3349)&lt;='Assignment Builder'!$B$12)))</f>
        <v/>
      </c>
      <c r="T3349" s="23" t="n"/>
    </row>
    <row r="3350">
      <c r="A3350" s="23" t="n"/>
      <c r="B3350" s="23" t="n"/>
      <c r="C3350" s="24" t="n"/>
      <c r="D3350" s="15" t="n"/>
      <c r="E3350" s="23" t="n"/>
      <c r="F3350" s="15" t="n"/>
      <c r="G3350" s="23" t="n"/>
      <c r="H3350" s="25" t="n"/>
      <c r="I3350" s="15" t="n"/>
      <c r="J3350" s="26">
        <f>IF($A3350="","",LEN($C3350)-LEN(SUBSTITUTE($C3350,",",""))+1)</f>
        <v/>
      </c>
      <c r="K3350" s="26">
        <f>IF($A3350="","",SUMPRODUCT(--ISNUMBER(SEARCH('Category Dictionary'!$D$5:$D$135&amp;"",$C3350)),--('Category Dictionary'!$D$5:$D$135&lt;&gt;"")))</f>
        <v/>
      </c>
      <c r="L3350" s="27">
        <f>IF($A3350="","",TRIM(IF(ISERROR(FIND(",",$C3350)),$C3350,LEFT($C3350,FIND(",",$C3350)-1))))</f>
        <v/>
      </c>
      <c r="M3350" s="28">
        <f>IF($H3350="","",DATE(YEAR($H3350),MONTH($H3350),1))</f>
        <v/>
      </c>
      <c r="N3350" s="26">
        <f>IF($H3350="","",TODAY()-$H3350)</f>
        <v/>
      </c>
      <c r="O3350" s="15" t="n"/>
      <c r="P3350" s="15" t="n"/>
      <c r="Q3350" s="15" t="n"/>
      <c r="R3350" s="25" t="n"/>
      <c r="S3350" s="26">
        <f>IF($A3350="","",AND(OR('Assignment Builder'!$B$5="",$B3350='Assignment Builder'!$B$5),OR('Assignment Builder'!$B$6="",ISNUMBER(SEARCH('Assignment Builder'!$B$6,$C3350))),OR('Assignment Builder'!$B$7="",'Assignment Builder'!$B$7=IFERROR(INDEX('Category Dictionary'!$C$5:$C$135,MATCH($L3350,'Category Dictionary'!$D$5:$D$135,0)),"")),OR('Assignment Builder'!$B$8="",$D3350='Assignment Builder'!$B$8),OR('Assignment Builder'!$B$9="",$F3350='Assignment Builder'!$B$9),OR('Assignment Builder'!$B$10="",$O3350='Assignment Builder'!$B$10),OR('Assignment Builder'!$B$11="",$H3350&gt;='Assignment Builder'!$B$11),OR('Assignment Builder'!$B$12="",N($Q3350)&lt;='Assignment Builder'!$B$12)))</f>
        <v/>
      </c>
      <c r="T3350" s="23" t="n"/>
    </row>
    <row r="3351">
      <c r="A3351" s="23" t="n"/>
      <c r="B3351" s="23" t="n"/>
      <c r="C3351" s="24" t="n"/>
      <c r="D3351" s="15" t="n"/>
      <c r="E3351" s="23" t="n"/>
      <c r="F3351" s="15" t="n"/>
      <c r="G3351" s="23" t="n"/>
      <c r="H3351" s="25" t="n"/>
      <c r="I3351" s="15" t="n"/>
      <c r="J3351" s="26">
        <f>IF($A3351="","",LEN($C3351)-LEN(SUBSTITUTE($C3351,",",""))+1)</f>
        <v/>
      </c>
      <c r="K3351" s="26">
        <f>IF($A3351="","",SUMPRODUCT(--ISNUMBER(SEARCH('Category Dictionary'!$D$5:$D$135&amp;"",$C3351)),--('Category Dictionary'!$D$5:$D$135&lt;&gt;"")))</f>
        <v/>
      </c>
      <c r="L3351" s="27">
        <f>IF($A3351="","",TRIM(IF(ISERROR(FIND(",",$C3351)),$C3351,LEFT($C3351,FIND(",",$C3351)-1))))</f>
        <v/>
      </c>
      <c r="M3351" s="28">
        <f>IF($H3351="","",DATE(YEAR($H3351),MONTH($H3351),1))</f>
        <v/>
      </c>
      <c r="N3351" s="26">
        <f>IF($H3351="","",TODAY()-$H3351)</f>
        <v/>
      </c>
      <c r="O3351" s="15" t="n"/>
      <c r="P3351" s="15" t="n"/>
      <c r="Q3351" s="15" t="n"/>
      <c r="R3351" s="25" t="n"/>
      <c r="S3351" s="26">
        <f>IF($A3351="","",AND(OR('Assignment Builder'!$B$5="",$B3351='Assignment Builder'!$B$5),OR('Assignment Builder'!$B$6="",ISNUMBER(SEARCH('Assignment Builder'!$B$6,$C3351))),OR('Assignment Builder'!$B$7="",'Assignment Builder'!$B$7=IFERROR(INDEX('Category Dictionary'!$C$5:$C$135,MATCH($L3351,'Category Dictionary'!$D$5:$D$135,0)),"")),OR('Assignment Builder'!$B$8="",$D3351='Assignment Builder'!$B$8),OR('Assignment Builder'!$B$9="",$F3351='Assignment Builder'!$B$9),OR('Assignment Builder'!$B$10="",$O3351='Assignment Builder'!$B$10),OR('Assignment Builder'!$B$11="",$H3351&gt;='Assignment Builder'!$B$11),OR('Assignment Builder'!$B$12="",N($Q3351)&lt;='Assignment Builder'!$B$12)))</f>
        <v/>
      </c>
      <c r="T3351" s="23" t="n"/>
    </row>
    <row r="3352">
      <c r="A3352" s="23" t="n"/>
      <c r="B3352" s="23" t="n"/>
      <c r="C3352" s="24" t="n"/>
      <c r="D3352" s="15" t="n"/>
      <c r="E3352" s="23" t="n"/>
      <c r="F3352" s="15" t="n"/>
      <c r="G3352" s="23" t="n"/>
      <c r="H3352" s="25" t="n"/>
      <c r="I3352" s="15" t="n"/>
      <c r="J3352" s="26">
        <f>IF($A3352="","",LEN($C3352)-LEN(SUBSTITUTE($C3352,",",""))+1)</f>
        <v/>
      </c>
      <c r="K3352" s="26">
        <f>IF($A3352="","",SUMPRODUCT(--ISNUMBER(SEARCH('Category Dictionary'!$D$5:$D$135&amp;"",$C3352)),--('Category Dictionary'!$D$5:$D$135&lt;&gt;"")))</f>
        <v/>
      </c>
      <c r="L3352" s="27">
        <f>IF($A3352="","",TRIM(IF(ISERROR(FIND(",",$C3352)),$C3352,LEFT($C3352,FIND(",",$C3352)-1))))</f>
        <v/>
      </c>
      <c r="M3352" s="28">
        <f>IF($H3352="","",DATE(YEAR($H3352),MONTH($H3352),1))</f>
        <v/>
      </c>
      <c r="N3352" s="26">
        <f>IF($H3352="","",TODAY()-$H3352)</f>
        <v/>
      </c>
      <c r="O3352" s="15" t="n"/>
      <c r="P3352" s="15" t="n"/>
      <c r="Q3352" s="15" t="n"/>
      <c r="R3352" s="25" t="n"/>
      <c r="S3352" s="26">
        <f>IF($A3352="","",AND(OR('Assignment Builder'!$B$5="",$B3352='Assignment Builder'!$B$5),OR('Assignment Builder'!$B$6="",ISNUMBER(SEARCH('Assignment Builder'!$B$6,$C3352))),OR('Assignment Builder'!$B$7="",'Assignment Builder'!$B$7=IFERROR(INDEX('Category Dictionary'!$C$5:$C$135,MATCH($L3352,'Category Dictionary'!$D$5:$D$135,0)),"")),OR('Assignment Builder'!$B$8="",$D3352='Assignment Builder'!$B$8),OR('Assignment Builder'!$B$9="",$F3352='Assignment Builder'!$B$9),OR('Assignment Builder'!$B$10="",$O3352='Assignment Builder'!$B$10),OR('Assignment Builder'!$B$11="",$H3352&gt;='Assignment Builder'!$B$11),OR('Assignment Builder'!$B$12="",N($Q3352)&lt;='Assignment Builder'!$B$12)))</f>
        <v/>
      </c>
      <c r="T3352" s="23" t="n"/>
    </row>
    <row r="3353">
      <c r="A3353" s="23" t="n"/>
      <c r="B3353" s="23" t="n"/>
      <c r="C3353" s="24" t="n"/>
      <c r="D3353" s="15" t="n"/>
      <c r="E3353" s="23" t="n"/>
      <c r="F3353" s="15" t="n"/>
      <c r="G3353" s="23" t="n"/>
      <c r="H3353" s="25" t="n"/>
      <c r="I3353" s="15" t="n"/>
      <c r="J3353" s="26">
        <f>IF($A3353="","",LEN($C3353)-LEN(SUBSTITUTE($C3353,",",""))+1)</f>
        <v/>
      </c>
      <c r="K3353" s="26">
        <f>IF($A3353="","",SUMPRODUCT(--ISNUMBER(SEARCH('Category Dictionary'!$D$5:$D$135&amp;"",$C3353)),--('Category Dictionary'!$D$5:$D$135&lt;&gt;"")))</f>
        <v/>
      </c>
      <c r="L3353" s="27">
        <f>IF($A3353="","",TRIM(IF(ISERROR(FIND(",",$C3353)),$C3353,LEFT($C3353,FIND(",",$C3353)-1))))</f>
        <v/>
      </c>
      <c r="M3353" s="28">
        <f>IF($H3353="","",DATE(YEAR($H3353),MONTH($H3353),1))</f>
        <v/>
      </c>
      <c r="N3353" s="26">
        <f>IF($H3353="","",TODAY()-$H3353)</f>
        <v/>
      </c>
      <c r="O3353" s="15" t="n"/>
      <c r="P3353" s="15" t="n"/>
      <c r="Q3353" s="15" t="n"/>
      <c r="R3353" s="25" t="n"/>
      <c r="S3353" s="26">
        <f>IF($A3353="","",AND(OR('Assignment Builder'!$B$5="",$B3353='Assignment Builder'!$B$5),OR('Assignment Builder'!$B$6="",ISNUMBER(SEARCH('Assignment Builder'!$B$6,$C3353))),OR('Assignment Builder'!$B$7="",'Assignment Builder'!$B$7=IFERROR(INDEX('Category Dictionary'!$C$5:$C$135,MATCH($L3353,'Category Dictionary'!$D$5:$D$135,0)),"")),OR('Assignment Builder'!$B$8="",$D3353='Assignment Builder'!$B$8),OR('Assignment Builder'!$B$9="",$F3353='Assignment Builder'!$B$9),OR('Assignment Builder'!$B$10="",$O3353='Assignment Builder'!$B$10),OR('Assignment Builder'!$B$11="",$H3353&gt;='Assignment Builder'!$B$11),OR('Assignment Builder'!$B$12="",N($Q3353)&lt;='Assignment Builder'!$B$12)))</f>
        <v/>
      </c>
      <c r="T3353" s="23" t="n"/>
    </row>
    <row r="3354">
      <c r="A3354" s="23" t="n"/>
      <c r="B3354" s="23" t="n"/>
      <c r="C3354" s="24" t="n"/>
      <c r="D3354" s="15" t="n"/>
      <c r="E3354" s="23" t="n"/>
      <c r="F3354" s="15" t="n"/>
      <c r="G3354" s="23" t="n"/>
      <c r="H3354" s="25" t="n"/>
      <c r="I3354" s="15" t="n"/>
      <c r="J3354" s="26">
        <f>IF($A3354="","",LEN($C3354)-LEN(SUBSTITUTE($C3354,",",""))+1)</f>
        <v/>
      </c>
      <c r="K3354" s="26">
        <f>IF($A3354="","",SUMPRODUCT(--ISNUMBER(SEARCH('Category Dictionary'!$D$5:$D$135&amp;"",$C3354)),--('Category Dictionary'!$D$5:$D$135&lt;&gt;"")))</f>
        <v/>
      </c>
      <c r="L3354" s="27">
        <f>IF($A3354="","",TRIM(IF(ISERROR(FIND(",",$C3354)),$C3354,LEFT($C3354,FIND(",",$C3354)-1))))</f>
        <v/>
      </c>
      <c r="M3354" s="28">
        <f>IF($H3354="","",DATE(YEAR($H3354),MONTH($H3354),1))</f>
        <v/>
      </c>
      <c r="N3354" s="26">
        <f>IF($H3354="","",TODAY()-$H3354)</f>
        <v/>
      </c>
      <c r="O3354" s="15" t="n"/>
      <c r="P3354" s="15" t="n"/>
      <c r="Q3354" s="15" t="n"/>
      <c r="R3354" s="25" t="n"/>
      <c r="S3354" s="26">
        <f>IF($A3354="","",AND(OR('Assignment Builder'!$B$5="",$B3354='Assignment Builder'!$B$5),OR('Assignment Builder'!$B$6="",ISNUMBER(SEARCH('Assignment Builder'!$B$6,$C3354))),OR('Assignment Builder'!$B$7="",'Assignment Builder'!$B$7=IFERROR(INDEX('Category Dictionary'!$C$5:$C$135,MATCH($L3354,'Category Dictionary'!$D$5:$D$135,0)),"")),OR('Assignment Builder'!$B$8="",$D3354='Assignment Builder'!$B$8),OR('Assignment Builder'!$B$9="",$F3354='Assignment Builder'!$B$9),OR('Assignment Builder'!$B$10="",$O3354='Assignment Builder'!$B$10),OR('Assignment Builder'!$B$11="",$H3354&gt;='Assignment Builder'!$B$11),OR('Assignment Builder'!$B$12="",N($Q3354)&lt;='Assignment Builder'!$B$12)))</f>
        <v/>
      </c>
      <c r="T3354" s="23" t="n"/>
    </row>
    <row r="3355">
      <c r="A3355" s="23" t="n"/>
      <c r="B3355" s="23" t="n"/>
      <c r="C3355" s="24" t="n"/>
      <c r="D3355" s="15" t="n"/>
      <c r="E3355" s="23" t="n"/>
      <c r="F3355" s="15" t="n"/>
      <c r="G3355" s="23" t="n"/>
      <c r="H3355" s="25" t="n"/>
      <c r="I3355" s="15" t="n"/>
      <c r="J3355" s="26">
        <f>IF($A3355="","",LEN($C3355)-LEN(SUBSTITUTE($C3355,",",""))+1)</f>
        <v/>
      </c>
      <c r="K3355" s="26">
        <f>IF($A3355="","",SUMPRODUCT(--ISNUMBER(SEARCH('Category Dictionary'!$D$5:$D$135&amp;"",$C3355)),--('Category Dictionary'!$D$5:$D$135&lt;&gt;"")))</f>
        <v/>
      </c>
      <c r="L3355" s="27">
        <f>IF($A3355="","",TRIM(IF(ISERROR(FIND(",",$C3355)),$C3355,LEFT($C3355,FIND(",",$C3355)-1))))</f>
        <v/>
      </c>
      <c r="M3355" s="28">
        <f>IF($H3355="","",DATE(YEAR($H3355),MONTH($H3355),1))</f>
        <v/>
      </c>
      <c r="N3355" s="26">
        <f>IF($H3355="","",TODAY()-$H3355)</f>
        <v/>
      </c>
      <c r="O3355" s="15" t="n"/>
      <c r="P3355" s="15" t="n"/>
      <c r="Q3355" s="15" t="n"/>
      <c r="R3355" s="25" t="n"/>
      <c r="S3355" s="26">
        <f>IF($A3355="","",AND(OR('Assignment Builder'!$B$5="",$B3355='Assignment Builder'!$B$5),OR('Assignment Builder'!$B$6="",ISNUMBER(SEARCH('Assignment Builder'!$B$6,$C3355))),OR('Assignment Builder'!$B$7="",'Assignment Builder'!$B$7=IFERROR(INDEX('Category Dictionary'!$C$5:$C$135,MATCH($L3355,'Category Dictionary'!$D$5:$D$135,0)),"")),OR('Assignment Builder'!$B$8="",$D3355='Assignment Builder'!$B$8),OR('Assignment Builder'!$B$9="",$F3355='Assignment Builder'!$B$9),OR('Assignment Builder'!$B$10="",$O3355='Assignment Builder'!$B$10),OR('Assignment Builder'!$B$11="",$H3355&gt;='Assignment Builder'!$B$11),OR('Assignment Builder'!$B$12="",N($Q3355)&lt;='Assignment Builder'!$B$12)))</f>
        <v/>
      </c>
      <c r="T3355" s="23" t="n"/>
    </row>
    <row r="3356">
      <c r="A3356" s="23" t="n"/>
      <c r="B3356" s="23" t="n"/>
      <c r="C3356" s="24" t="n"/>
      <c r="D3356" s="15" t="n"/>
      <c r="E3356" s="23" t="n"/>
      <c r="F3356" s="15" t="n"/>
      <c r="G3356" s="23" t="n"/>
      <c r="H3356" s="25" t="n"/>
      <c r="I3356" s="15" t="n"/>
      <c r="J3356" s="26">
        <f>IF($A3356="","",LEN($C3356)-LEN(SUBSTITUTE($C3356,",",""))+1)</f>
        <v/>
      </c>
      <c r="K3356" s="26">
        <f>IF($A3356="","",SUMPRODUCT(--ISNUMBER(SEARCH('Category Dictionary'!$D$5:$D$135&amp;"",$C3356)),--('Category Dictionary'!$D$5:$D$135&lt;&gt;"")))</f>
        <v/>
      </c>
      <c r="L3356" s="27">
        <f>IF($A3356="","",TRIM(IF(ISERROR(FIND(",",$C3356)),$C3356,LEFT($C3356,FIND(",",$C3356)-1))))</f>
        <v/>
      </c>
      <c r="M3356" s="28">
        <f>IF($H3356="","",DATE(YEAR($H3356),MONTH($H3356),1))</f>
        <v/>
      </c>
      <c r="N3356" s="26">
        <f>IF($H3356="","",TODAY()-$H3356)</f>
        <v/>
      </c>
      <c r="O3356" s="15" t="n"/>
      <c r="P3356" s="15" t="n"/>
      <c r="Q3356" s="15" t="n"/>
      <c r="R3356" s="25" t="n"/>
      <c r="S3356" s="26">
        <f>IF($A3356="","",AND(OR('Assignment Builder'!$B$5="",$B3356='Assignment Builder'!$B$5),OR('Assignment Builder'!$B$6="",ISNUMBER(SEARCH('Assignment Builder'!$B$6,$C3356))),OR('Assignment Builder'!$B$7="",'Assignment Builder'!$B$7=IFERROR(INDEX('Category Dictionary'!$C$5:$C$135,MATCH($L3356,'Category Dictionary'!$D$5:$D$135,0)),"")),OR('Assignment Builder'!$B$8="",$D3356='Assignment Builder'!$B$8),OR('Assignment Builder'!$B$9="",$F3356='Assignment Builder'!$B$9),OR('Assignment Builder'!$B$10="",$O3356='Assignment Builder'!$B$10),OR('Assignment Builder'!$B$11="",$H3356&gt;='Assignment Builder'!$B$11),OR('Assignment Builder'!$B$12="",N($Q3356)&lt;='Assignment Builder'!$B$12)))</f>
        <v/>
      </c>
      <c r="T3356" s="23" t="n"/>
    </row>
    <row r="3357">
      <c r="A3357" s="23" t="n"/>
      <c r="B3357" s="23" t="n"/>
      <c r="C3357" s="24" t="n"/>
      <c r="D3357" s="15" t="n"/>
      <c r="E3357" s="23" t="n"/>
      <c r="F3357" s="15" t="n"/>
      <c r="G3357" s="23" t="n"/>
      <c r="H3357" s="25" t="n"/>
      <c r="I3357" s="15" t="n"/>
      <c r="J3357" s="26">
        <f>IF($A3357="","",LEN($C3357)-LEN(SUBSTITUTE($C3357,",",""))+1)</f>
        <v/>
      </c>
      <c r="K3357" s="26">
        <f>IF($A3357="","",SUMPRODUCT(--ISNUMBER(SEARCH('Category Dictionary'!$D$5:$D$135&amp;"",$C3357)),--('Category Dictionary'!$D$5:$D$135&lt;&gt;"")))</f>
        <v/>
      </c>
      <c r="L3357" s="27">
        <f>IF($A3357="","",TRIM(IF(ISERROR(FIND(",",$C3357)),$C3357,LEFT($C3357,FIND(",",$C3357)-1))))</f>
        <v/>
      </c>
      <c r="M3357" s="28">
        <f>IF($H3357="","",DATE(YEAR($H3357),MONTH($H3357),1))</f>
        <v/>
      </c>
      <c r="N3357" s="26">
        <f>IF($H3357="","",TODAY()-$H3357)</f>
        <v/>
      </c>
      <c r="O3357" s="15" t="n"/>
      <c r="P3357" s="15" t="n"/>
      <c r="Q3357" s="15" t="n"/>
      <c r="R3357" s="25" t="n"/>
      <c r="S3357" s="26">
        <f>IF($A3357="","",AND(OR('Assignment Builder'!$B$5="",$B3357='Assignment Builder'!$B$5),OR('Assignment Builder'!$B$6="",ISNUMBER(SEARCH('Assignment Builder'!$B$6,$C3357))),OR('Assignment Builder'!$B$7="",'Assignment Builder'!$B$7=IFERROR(INDEX('Category Dictionary'!$C$5:$C$135,MATCH($L3357,'Category Dictionary'!$D$5:$D$135,0)),"")),OR('Assignment Builder'!$B$8="",$D3357='Assignment Builder'!$B$8),OR('Assignment Builder'!$B$9="",$F3357='Assignment Builder'!$B$9),OR('Assignment Builder'!$B$10="",$O3357='Assignment Builder'!$B$10),OR('Assignment Builder'!$B$11="",$H3357&gt;='Assignment Builder'!$B$11),OR('Assignment Builder'!$B$12="",N($Q3357)&lt;='Assignment Builder'!$B$12)))</f>
        <v/>
      </c>
      <c r="T3357" s="23" t="n"/>
    </row>
    <row r="3358">
      <c r="A3358" s="23" t="n"/>
      <c r="B3358" s="23" t="n"/>
      <c r="C3358" s="24" t="n"/>
      <c r="D3358" s="15" t="n"/>
      <c r="E3358" s="23" t="n"/>
      <c r="F3358" s="15" t="n"/>
      <c r="G3358" s="23" t="n"/>
      <c r="H3358" s="25" t="n"/>
      <c r="I3358" s="15" t="n"/>
      <c r="J3358" s="26">
        <f>IF($A3358="","",LEN($C3358)-LEN(SUBSTITUTE($C3358,",",""))+1)</f>
        <v/>
      </c>
      <c r="K3358" s="26">
        <f>IF($A3358="","",SUMPRODUCT(--ISNUMBER(SEARCH('Category Dictionary'!$D$5:$D$135&amp;"",$C3358)),--('Category Dictionary'!$D$5:$D$135&lt;&gt;"")))</f>
        <v/>
      </c>
      <c r="L3358" s="27">
        <f>IF($A3358="","",TRIM(IF(ISERROR(FIND(",",$C3358)),$C3358,LEFT($C3358,FIND(",",$C3358)-1))))</f>
        <v/>
      </c>
      <c r="M3358" s="28">
        <f>IF($H3358="","",DATE(YEAR($H3358),MONTH($H3358),1))</f>
        <v/>
      </c>
      <c r="N3358" s="26">
        <f>IF($H3358="","",TODAY()-$H3358)</f>
        <v/>
      </c>
      <c r="O3358" s="15" t="n"/>
      <c r="P3358" s="15" t="n"/>
      <c r="Q3358" s="15" t="n"/>
      <c r="R3358" s="25" t="n"/>
      <c r="S3358" s="26">
        <f>IF($A3358="","",AND(OR('Assignment Builder'!$B$5="",$B3358='Assignment Builder'!$B$5),OR('Assignment Builder'!$B$6="",ISNUMBER(SEARCH('Assignment Builder'!$B$6,$C3358))),OR('Assignment Builder'!$B$7="",'Assignment Builder'!$B$7=IFERROR(INDEX('Category Dictionary'!$C$5:$C$135,MATCH($L3358,'Category Dictionary'!$D$5:$D$135,0)),"")),OR('Assignment Builder'!$B$8="",$D3358='Assignment Builder'!$B$8),OR('Assignment Builder'!$B$9="",$F3358='Assignment Builder'!$B$9),OR('Assignment Builder'!$B$10="",$O3358='Assignment Builder'!$B$10),OR('Assignment Builder'!$B$11="",$H3358&gt;='Assignment Builder'!$B$11),OR('Assignment Builder'!$B$12="",N($Q3358)&lt;='Assignment Builder'!$B$12)))</f>
        <v/>
      </c>
      <c r="T3358" s="23" t="n"/>
    </row>
    <row r="3359">
      <c r="A3359" s="23" t="n"/>
      <c r="B3359" s="23" t="n"/>
      <c r="C3359" s="24" t="n"/>
      <c r="D3359" s="15" t="n"/>
      <c r="E3359" s="23" t="n"/>
      <c r="F3359" s="15" t="n"/>
      <c r="G3359" s="23" t="n"/>
      <c r="H3359" s="25" t="n"/>
      <c r="I3359" s="15" t="n"/>
      <c r="J3359" s="26">
        <f>IF($A3359="","",LEN($C3359)-LEN(SUBSTITUTE($C3359,",",""))+1)</f>
        <v/>
      </c>
      <c r="K3359" s="26">
        <f>IF($A3359="","",SUMPRODUCT(--ISNUMBER(SEARCH('Category Dictionary'!$D$5:$D$135&amp;"",$C3359)),--('Category Dictionary'!$D$5:$D$135&lt;&gt;"")))</f>
        <v/>
      </c>
      <c r="L3359" s="27">
        <f>IF($A3359="","",TRIM(IF(ISERROR(FIND(",",$C3359)),$C3359,LEFT($C3359,FIND(",",$C3359)-1))))</f>
        <v/>
      </c>
      <c r="M3359" s="28">
        <f>IF($H3359="","",DATE(YEAR($H3359),MONTH($H3359),1))</f>
        <v/>
      </c>
      <c r="N3359" s="26">
        <f>IF($H3359="","",TODAY()-$H3359)</f>
        <v/>
      </c>
      <c r="O3359" s="15" t="n"/>
      <c r="P3359" s="15" t="n"/>
      <c r="Q3359" s="15" t="n"/>
      <c r="R3359" s="25" t="n"/>
      <c r="S3359" s="26">
        <f>IF($A3359="","",AND(OR('Assignment Builder'!$B$5="",$B3359='Assignment Builder'!$B$5),OR('Assignment Builder'!$B$6="",ISNUMBER(SEARCH('Assignment Builder'!$B$6,$C3359))),OR('Assignment Builder'!$B$7="",'Assignment Builder'!$B$7=IFERROR(INDEX('Category Dictionary'!$C$5:$C$135,MATCH($L3359,'Category Dictionary'!$D$5:$D$135,0)),"")),OR('Assignment Builder'!$B$8="",$D3359='Assignment Builder'!$B$8),OR('Assignment Builder'!$B$9="",$F3359='Assignment Builder'!$B$9),OR('Assignment Builder'!$B$10="",$O3359='Assignment Builder'!$B$10),OR('Assignment Builder'!$B$11="",$H3359&gt;='Assignment Builder'!$B$11),OR('Assignment Builder'!$B$12="",N($Q3359)&lt;='Assignment Builder'!$B$12)))</f>
        <v/>
      </c>
      <c r="T3359" s="23" t="n"/>
    </row>
    <row r="3360">
      <c r="A3360" s="23" t="n"/>
      <c r="B3360" s="23" t="n"/>
      <c r="C3360" s="24" t="n"/>
      <c r="D3360" s="15" t="n"/>
      <c r="E3360" s="23" t="n"/>
      <c r="F3360" s="15" t="n"/>
      <c r="G3360" s="23" t="n"/>
      <c r="H3360" s="25" t="n"/>
      <c r="I3360" s="15" t="n"/>
      <c r="J3360" s="26">
        <f>IF($A3360="","",LEN($C3360)-LEN(SUBSTITUTE($C3360,",",""))+1)</f>
        <v/>
      </c>
      <c r="K3360" s="26">
        <f>IF($A3360="","",SUMPRODUCT(--ISNUMBER(SEARCH('Category Dictionary'!$D$5:$D$135&amp;"",$C3360)),--('Category Dictionary'!$D$5:$D$135&lt;&gt;"")))</f>
        <v/>
      </c>
      <c r="L3360" s="27">
        <f>IF($A3360="","",TRIM(IF(ISERROR(FIND(",",$C3360)),$C3360,LEFT($C3360,FIND(",",$C3360)-1))))</f>
        <v/>
      </c>
      <c r="M3360" s="28">
        <f>IF($H3360="","",DATE(YEAR($H3360),MONTH($H3360),1))</f>
        <v/>
      </c>
      <c r="N3360" s="26">
        <f>IF($H3360="","",TODAY()-$H3360)</f>
        <v/>
      </c>
      <c r="O3360" s="15" t="n"/>
      <c r="P3360" s="15" t="n"/>
      <c r="Q3360" s="15" t="n"/>
      <c r="R3360" s="25" t="n"/>
      <c r="S3360" s="26">
        <f>IF($A3360="","",AND(OR('Assignment Builder'!$B$5="",$B3360='Assignment Builder'!$B$5),OR('Assignment Builder'!$B$6="",ISNUMBER(SEARCH('Assignment Builder'!$B$6,$C3360))),OR('Assignment Builder'!$B$7="",'Assignment Builder'!$B$7=IFERROR(INDEX('Category Dictionary'!$C$5:$C$135,MATCH($L3360,'Category Dictionary'!$D$5:$D$135,0)),"")),OR('Assignment Builder'!$B$8="",$D3360='Assignment Builder'!$B$8),OR('Assignment Builder'!$B$9="",$F3360='Assignment Builder'!$B$9),OR('Assignment Builder'!$B$10="",$O3360='Assignment Builder'!$B$10),OR('Assignment Builder'!$B$11="",$H3360&gt;='Assignment Builder'!$B$11),OR('Assignment Builder'!$B$12="",N($Q3360)&lt;='Assignment Builder'!$B$12)))</f>
        <v/>
      </c>
      <c r="T3360" s="23" t="n"/>
    </row>
    <row r="3361">
      <c r="A3361" s="23" t="n"/>
      <c r="B3361" s="23" t="n"/>
      <c r="C3361" s="24" t="n"/>
      <c r="D3361" s="15" t="n"/>
      <c r="E3361" s="23" t="n"/>
      <c r="F3361" s="15" t="n"/>
      <c r="G3361" s="23" t="n"/>
      <c r="H3361" s="25" t="n"/>
      <c r="I3361" s="15" t="n"/>
      <c r="J3361" s="26">
        <f>IF($A3361="","",LEN($C3361)-LEN(SUBSTITUTE($C3361,",",""))+1)</f>
        <v/>
      </c>
      <c r="K3361" s="26">
        <f>IF($A3361="","",SUMPRODUCT(--ISNUMBER(SEARCH('Category Dictionary'!$D$5:$D$135&amp;"",$C3361)),--('Category Dictionary'!$D$5:$D$135&lt;&gt;"")))</f>
        <v/>
      </c>
      <c r="L3361" s="27">
        <f>IF($A3361="","",TRIM(IF(ISERROR(FIND(",",$C3361)),$C3361,LEFT($C3361,FIND(",",$C3361)-1))))</f>
        <v/>
      </c>
      <c r="M3361" s="28">
        <f>IF($H3361="","",DATE(YEAR($H3361),MONTH($H3361),1))</f>
        <v/>
      </c>
      <c r="N3361" s="26">
        <f>IF($H3361="","",TODAY()-$H3361)</f>
        <v/>
      </c>
      <c r="O3361" s="15" t="n"/>
      <c r="P3361" s="15" t="n"/>
      <c r="Q3361" s="15" t="n"/>
      <c r="R3361" s="25" t="n"/>
      <c r="S3361" s="26">
        <f>IF($A3361="","",AND(OR('Assignment Builder'!$B$5="",$B3361='Assignment Builder'!$B$5),OR('Assignment Builder'!$B$6="",ISNUMBER(SEARCH('Assignment Builder'!$B$6,$C3361))),OR('Assignment Builder'!$B$7="",'Assignment Builder'!$B$7=IFERROR(INDEX('Category Dictionary'!$C$5:$C$135,MATCH($L3361,'Category Dictionary'!$D$5:$D$135,0)),"")),OR('Assignment Builder'!$B$8="",$D3361='Assignment Builder'!$B$8),OR('Assignment Builder'!$B$9="",$F3361='Assignment Builder'!$B$9),OR('Assignment Builder'!$B$10="",$O3361='Assignment Builder'!$B$10),OR('Assignment Builder'!$B$11="",$H3361&gt;='Assignment Builder'!$B$11),OR('Assignment Builder'!$B$12="",N($Q3361)&lt;='Assignment Builder'!$B$12)))</f>
        <v/>
      </c>
      <c r="T3361" s="23" t="n"/>
    </row>
    <row r="3362">
      <c r="A3362" s="23" t="n"/>
      <c r="B3362" s="23" t="n"/>
      <c r="C3362" s="24" t="n"/>
      <c r="D3362" s="15" t="n"/>
      <c r="E3362" s="23" t="n"/>
      <c r="F3362" s="15" t="n"/>
      <c r="G3362" s="23" t="n"/>
      <c r="H3362" s="25" t="n"/>
      <c r="I3362" s="15" t="n"/>
      <c r="J3362" s="26">
        <f>IF($A3362="","",LEN($C3362)-LEN(SUBSTITUTE($C3362,",",""))+1)</f>
        <v/>
      </c>
      <c r="K3362" s="26">
        <f>IF($A3362="","",SUMPRODUCT(--ISNUMBER(SEARCH('Category Dictionary'!$D$5:$D$135&amp;"",$C3362)),--('Category Dictionary'!$D$5:$D$135&lt;&gt;"")))</f>
        <v/>
      </c>
      <c r="L3362" s="27">
        <f>IF($A3362="","",TRIM(IF(ISERROR(FIND(",",$C3362)),$C3362,LEFT($C3362,FIND(",",$C3362)-1))))</f>
        <v/>
      </c>
      <c r="M3362" s="28">
        <f>IF($H3362="","",DATE(YEAR($H3362),MONTH($H3362),1))</f>
        <v/>
      </c>
      <c r="N3362" s="26">
        <f>IF($H3362="","",TODAY()-$H3362)</f>
        <v/>
      </c>
      <c r="O3362" s="15" t="n"/>
      <c r="P3362" s="15" t="n"/>
      <c r="Q3362" s="15" t="n"/>
      <c r="R3362" s="25" t="n"/>
      <c r="S3362" s="26">
        <f>IF($A3362="","",AND(OR('Assignment Builder'!$B$5="",$B3362='Assignment Builder'!$B$5),OR('Assignment Builder'!$B$6="",ISNUMBER(SEARCH('Assignment Builder'!$B$6,$C3362))),OR('Assignment Builder'!$B$7="",'Assignment Builder'!$B$7=IFERROR(INDEX('Category Dictionary'!$C$5:$C$135,MATCH($L3362,'Category Dictionary'!$D$5:$D$135,0)),"")),OR('Assignment Builder'!$B$8="",$D3362='Assignment Builder'!$B$8),OR('Assignment Builder'!$B$9="",$F3362='Assignment Builder'!$B$9),OR('Assignment Builder'!$B$10="",$O3362='Assignment Builder'!$B$10),OR('Assignment Builder'!$B$11="",$H3362&gt;='Assignment Builder'!$B$11),OR('Assignment Builder'!$B$12="",N($Q3362)&lt;='Assignment Builder'!$B$12)))</f>
        <v/>
      </c>
      <c r="T3362" s="23" t="n"/>
    </row>
    <row r="3363">
      <c r="A3363" s="23" t="n"/>
      <c r="B3363" s="23" t="n"/>
      <c r="C3363" s="24" t="n"/>
      <c r="D3363" s="15" t="n"/>
      <c r="E3363" s="23" t="n"/>
      <c r="F3363" s="15" t="n"/>
      <c r="G3363" s="23" t="n"/>
      <c r="H3363" s="25" t="n"/>
      <c r="I3363" s="15" t="n"/>
      <c r="J3363" s="26">
        <f>IF($A3363="","",LEN($C3363)-LEN(SUBSTITUTE($C3363,",",""))+1)</f>
        <v/>
      </c>
      <c r="K3363" s="26">
        <f>IF($A3363="","",SUMPRODUCT(--ISNUMBER(SEARCH('Category Dictionary'!$D$5:$D$135&amp;"",$C3363)),--('Category Dictionary'!$D$5:$D$135&lt;&gt;"")))</f>
        <v/>
      </c>
      <c r="L3363" s="27">
        <f>IF($A3363="","",TRIM(IF(ISERROR(FIND(",",$C3363)),$C3363,LEFT($C3363,FIND(",",$C3363)-1))))</f>
        <v/>
      </c>
      <c r="M3363" s="28">
        <f>IF($H3363="","",DATE(YEAR($H3363),MONTH($H3363),1))</f>
        <v/>
      </c>
      <c r="N3363" s="26">
        <f>IF($H3363="","",TODAY()-$H3363)</f>
        <v/>
      </c>
      <c r="O3363" s="15" t="n"/>
      <c r="P3363" s="15" t="n"/>
      <c r="Q3363" s="15" t="n"/>
      <c r="R3363" s="25" t="n"/>
      <c r="S3363" s="26">
        <f>IF($A3363="","",AND(OR('Assignment Builder'!$B$5="",$B3363='Assignment Builder'!$B$5),OR('Assignment Builder'!$B$6="",ISNUMBER(SEARCH('Assignment Builder'!$B$6,$C3363))),OR('Assignment Builder'!$B$7="",'Assignment Builder'!$B$7=IFERROR(INDEX('Category Dictionary'!$C$5:$C$135,MATCH($L3363,'Category Dictionary'!$D$5:$D$135,0)),"")),OR('Assignment Builder'!$B$8="",$D3363='Assignment Builder'!$B$8),OR('Assignment Builder'!$B$9="",$F3363='Assignment Builder'!$B$9),OR('Assignment Builder'!$B$10="",$O3363='Assignment Builder'!$B$10),OR('Assignment Builder'!$B$11="",$H3363&gt;='Assignment Builder'!$B$11),OR('Assignment Builder'!$B$12="",N($Q3363)&lt;='Assignment Builder'!$B$12)))</f>
        <v/>
      </c>
      <c r="T3363" s="23" t="n"/>
    </row>
    <row r="3364">
      <c r="A3364" s="23" t="n"/>
      <c r="B3364" s="23" t="n"/>
      <c r="C3364" s="24" t="n"/>
      <c r="D3364" s="15" t="n"/>
      <c r="E3364" s="23" t="n"/>
      <c r="F3364" s="15" t="n"/>
      <c r="G3364" s="23" t="n"/>
      <c r="H3364" s="25" t="n"/>
      <c r="I3364" s="15" t="n"/>
      <c r="J3364" s="26">
        <f>IF($A3364="","",LEN($C3364)-LEN(SUBSTITUTE($C3364,",",""))+1)</f>
        <v/>
      </c>
      <c r="K3364" s="26">
        <f>IF($A3364="","",SUMPRODUCT(--ISNUMBER(SEARCH('Category Dictionary'!$D$5:$D$135&amp;"",$C3364)),--('Category Dictionary'!$D$5:$D$135&lt;&gt;"")))</f>
        <v/>
      </c>
      <c r="L3364" s="27">
        <f>IF($A3364="","",TRIM(IF(ISERROR(FIND(",",$C3364)),$C3364,LEFT($C3364,FIND(",",$C3364)-1))))</f>
        <v/>
      </c>
      <c r="M3364" s="28">
        <f>IF($H3364="","",DATE(YEAR($H3364),MONTH($H3364),1))</f>
        <v/>
      </c>
      <c r="N3364" s="26">
        <f>IF($H3364="","",TODAY()-$H3364)</f>
        <v/>
      </c>
      <c r="O3364" s="15" t="n"/>
      <c r="P3364" s="15" t="n"/>
      <c r="Q3364" s="15" t="n"/>
      <c r="R3364" s="25" t="n"/>
      <c r="S3364" s="26">
        <f>IF($A3364="","",AND(OR('Assignment Builder'!$B$5="",$B3364='Assignment Builder'!$B$5),OR('Assignment Builder'!$B$6="",ISNUMBER(SEARCH('Assignment Builder'!$B$6,$C3364))),OR('Assignment Builder'!$B$7="",'Assignment Builder'!$B$7=IFERROR(INDEX('Category Dictionary'!$C$5:$C$135,MATCH($L3364,'Category Dictionary'!$D$5:$D$135,0)),"")),OR('Assignment Builder'!$B$8="",$D3364='Assignment Builder'!$B$8),OR('Assignment Builder'!$B$9="",$F3364='Assignment Builder'!$B$9),OR('Assignment Builder'!$B$10="",$O3364='Assignment Builder'!$B$10),OR('Assignment Builder'!$B$11="",$H3364&gt;='Assignment Builder'!$B$11),OR('Assignment Builder'!$B$12="",N($Q3364)&lt;='Assignment Builder'!$B$12)))</f>
        <v/>
      </c>
      <c r="T3364" s="23" t="n"/>
    </row>
    <row r="3365">
      <c r="A3365" s="23" t="n"/>
      <c r="B3365" s="23" t="n"/>
      <c r="C3365" s="24" t="n"/>
      <c r="D3365" s="15" t="n"/>
      <c r="E3365" s="23" t="n"/>
      <c r="F3365" s="15" t="n"/>
      <c r="G3365" s="23" t="n"/>
      <c r="H3365" s="25" t="n"/>
      <c r="I3365" s="15" t="n"/>
      <c r="J3365" s="26">
        <f>IF($A3365="","",LEN($C3365)-LEN(SUBSTITUTE($C3365,",",""))+1)</f>
        <v/>
      </c>
      <c r="K3365" s="26">
        <f>IF($A3365="","",SUMPRODUCT(--ISNUMBER(SEARCH('Category Dictionary'!$D$5:$D$135&amp;"",$C3365)),--('Category Dictionary'!$D$5:$D$135&lt;&gt;"")))</f>
        <v/>
      </c>
      <c r="L3365" s="27">
        <f>IF($A3365="","",TRIM(IF(ISERROR(FIND(",",$C3365)),$C3365,LEFT($C3365,FIND(",",$C3365)-1))))</f>
        <v/>
      </c>
      <c r="M3365" s="28">
        <f>IF($H3365="","",DATE(YEAR($H3365),MONTH($H3365),1))</f>
        <v/>
      </c>
      <c r="N3365" s="26">
        <f>IF($H3365="","",TODAY()-$H3365)</f>
        <v/>
      </c>
      <c r="O3365" s="15" t="n"/>
      <c r="P3365" s="15" t="n"/>
      <c r="Q3365" s="15" t="n"/>
      <c r="R3365" s="25" t="n"/>
      <c r="S3365" s="26">
        <f>IF($A3365="","",AND(OR('Assignment Builder'!$B$5="",$B3365='Assignment Builder'!$B$5),OR('Assignment Builder'!$B$6="",ISNUMBER(SEARCH('Assignment Builder'!$B$6,$C3365))),OR('Assignment Builder'!$B$7="",'Assignment Builder'!$B$7=IFERROR(INDEX('Category Dictionary'!$C$5:$C$135,MATCH($L3365,'Category Dictionary'!$D$5:$D$135,0)),"")),OR('Assignment Builder'!$B$8="",$D3365='Assignment Builder'!$B$8),OR('Assignment Builder'!$B$9="",$F3365='Assignment Builder'!$B$9),OR('Assignment Builder'!$B$10="",$O3365='Assignment Builder'!$B$10),OR('Assignment Builder'!$B$11="",$H3365&gt;='Assignment Builder'!$B$11),OR('Assignment Builder'!$B$12="",N($Q3365)&lt;='Assignment Builder'!$B$12)))</f>
        <v/>
      </c>
      <c r="T3365" s="23" t="n"/>
    </row>
    <row r="3366">
      <c r="A3366" s="23" t="n"/>
      <c r="B3366" s="23" t="n"/>
      <c r="C3366" s="24" t="n"/>
      <c r="D3366" s="15" t="n"/>
      <c r="E3366" s="23" t="n"/>
      <c r="F3366" s="15" t="n"/>
      <c r="G3366" s="23" t="n"/>
      <c r="H3366" s="25" t="n"/>
      <c r="I3366" s="15" t="n"/>
      <c r="J3366" s="26">
        <f>IF($A3366="","",LEN($C3366)-LEN(SUBSTITUTE($C3366,",",""))+1)</f>
        <v/>
      </c>
      <c r="K3366" s="26">
        <f>IF($A3366="","",SUMPRODUCT(--ISNUMBER(SEARCH('Category Dictionary'!$D$5:$D$135&amp;"",$C3366)),--('Category Dictionary'!$D$5:$D$135&lt;&gt;"")))</f>
        <v/>
      </c>
      <c r="L3366" s="27">
        <f>IF($A3366="","",TRIM(IF(ISERROR(FIND(",",$C3366)),$C3366,LEFT($C3366,FIND(",",$C3366)-1))))</f>
        <v/>
      </c>
      <c r="M3366" s="28">
        <f>IF($H3366="","",DATE(YEAR($H3366),MONTH($H3366),1))</f>
        <v/>
      </c>
      <c r="N3366" s="26">
        <f>IF($H3366="","",TODAY()-$H3366)</f>
        <v/>
      </c>
      <c r="O3366" s="15" t="n"/>
      <c r="P3366" s="15" t="n"/>
      <c r="Q3366" s="15" t="n"/>
      <c r="R3366" s="25" t="n"/>
      <c r="S3366" s="26">
        <f>IF($A3366="","",AND(OR('Assignment Builder'!$B$5="",$B3366='Assignment Builder'!$B$5),OR('Assignment Builder'!$B$6="",ISNUMBER(SEARCH('Assignment Builder'!$B$6,$C3366))),OR('Assignment Builder'!$B$7="",'Assignment Builder'!$B$7=IFERROR(INDEX('Category Dictionary'!$C$5:$C$135,MATCH($L3366,'Category Dictionary'!$D$5:$D$135,0)),"")),OR('Assignment Builder'!$B$8="",$D3366='Assignment Builder'!$B$8),OR('Assignment Builder'!$B$9="",$F3366='Assignment Builder'!$B$9),OR('Assignment Builder'!$B$10="",$O3366='Assignment Builder'!$B$10),OR('Assignment Builder'!$B$11="",$H3366&gt;='Assignment Builder'!$B$11),OR('Assignment Builder'!$B$12="",N($Q3366)&lt;='Assignment Builder'!$B$12)))</f>
        <v/>
      </c>
      <c r="T3366" s="23" t="n"/>
    </row>
    <row r="3367">
      <c r="A3367" s="23" t="n"/>
      <c r="B3367" s="23" t="n"/>
      <c r="C3367" s="24" t="n"/>
      <c r="D3367" s="15" t="n"/>
      <c r="E3367" s="23" t="n"/>
      <c r="F3367" s="15" t="n"/>
      <c r="G3367" s="23" t="n"/>
      <c r="H3367" s="25" t="n"/>
      <c r="I3367" s="15" t="n"/>
      <c r="J3367" s="26">
        <f>IF($A3367="","",LEN($C3367)-LEN(SUBSTITUTE($C3367,",",""))+1)</f>
        <v/>
      </c>
      <c r="K3367" s="26">
        <f>IF($A3367="","",SUMPRODUCT(--ISNUMBER(SEARCH('Category Dictionary'!$D$5:$D$135&amp;"",$C3367)),--('Category Dictionary'!$D$5:$D$135&lt;&gt;"")))</f>
        <v/>
      </c>
      <c r="L3367" s="27">
        <f>IF($A3367="","",TRIM(IF(ISERROR(FIND(",",$C3367)),$C3367,LEFT($C3367,FIND(",",$C3367)-1))))</f>
        <v/>
      </c>
      <c r="M3367" s="28">
        <f>IF($H3367="","",DATE(YEAR($H3367),MONTH($H3367),1))</f>
        <v/>
      </c>
      <c r="N3367" s="26">
        <f>IF($H3367="","",TODAY()-$H3367)</f>
        <v/>
      </c>
      <c r="O3367" s="15" t="n"/>
      <c r="P3367" s="15" t="n"/>
      <c r="Q3367" s="15" t="n"/>
      <c r="R3367" s="25" t="n"/>
      <c r="S3367" s="26">
        <f>IF($A3367="","",AND(OR('Assignment Builder'!$B$5="",$B3367='Assignment Builder'!$B$5),OR('Assignment Builder'!$B$6="",ISNUMBER(SEARCH('Assignment Builder'!$B$6,$C3367))),OR('Assignment Builder'!$B$7="",'Assignment Builder'!$B$7=IFERROR(INDEX('Category Dictionary'!$C$5:$C$135,MATCH($L3367,'Category Dictionary'!$D$5:$D$135,0)),"")),OR('Assignment Builder'!$B$8="",$D3367='Assignment Builder'!$B$8),OR('Assignment Builder'!$B$9="",$F3367='Assignment Builder'!$B$9),OR('Assignment Builder'!$B$10="",$O3367='Assignment Builder'!$B$10),OR('Assignment Builder'!$B$11="",$H3367&gt;='Assignment Builder'!$B$11),OR('Assignment Builder'!$B$12="",N($Q3367)&lt;='Assignment Builder'!$B$12)))</f>
        <v/>
      </c>
      <c r="T3367" s="23" t="n"/>
    </row>
    <row r="3368">
      <c r="A3368" s="23" t="n"/>
      <c r="B3368" s="23" t="n"/>
      <c r="C3368" s="24" t="n"/>
      <c r="D3368" s="15" t="n"/>
      <c r="E3368" s="23" t="n"/>
      <c r="F3368" s="15" t="n"/>
      <c r="G3368" s="23" t="n"/>
      <c r="H3368" s="25" t="n"/>
      <c r="I3368" s="15" t="n"/>
      <c r="J3368" s="26">
        <f>IF($A3368="","",LEN($C3368)-LEN(SUBSTITUTE($C3368,",",""))+1)</f>
        <v/>
      </c>
      <c r="K3368" s="26">
        <f>IF($A3368="","",SUMPRODUCT(--ISNUMBER(SEARCH('Category Dictionary'!$D$5:$D$135&amp;"",$C3368)),--('Category Dictionary'!$D$5:$D$135&lt;&gt;"")))</f>
        <v/>
      </c>
      <c r="L3368" s="27">
        <f>IF($A3368="","",TRIM(IF(ISERROR(FIND(",",$C3368)),$C3368,LEFT($C3368,FIND(",",$C3368)-1))))</f>
        <v/>
      </c>
      <c r="M3368" s="28">
        <f>IF($H3368="","",DATE(YEAR($H3368),MONTH($H3368),1))</f>
        <v/>
      </c>
      <c r="N3368" s="26">
        <f>IF($H3368="","",TODAY()-$H3368)</f>
        <v/>
      </c>
      <c r="O3368" s="15" t="n"/>
      <c r="P3368" s="15" t="n"/>
      <c r="Q3368" s="15" t="n"/>
      <c r="R3368" s="25" t="n"/>
      <c r="S3368" s="26">
        <f>IF($A3368="","",AND(OR('Assignment Builder'!$B$5="",$B3368='Assignment Builder'!$B$5),OR('Assignment Builder'!$B$6="",ISNUMBER(SEARCH('Assignment Builder'!$B$6,$C3368))),OR('Assignment Builder'!$B$7="",'Assignment Builder'!$B$7=IFERROR(INDEX('Category Dictionary'!$C$5:$C$135,MATCH($L3368,'Category Dictionary'!$D$5:$D$135,0)),"")),OR('Assignment Builder'!$B$8="",$D3368='Assignment Builder'!$B$8),OR('Assignment Builder'!$B$9="",$F3368='Assignment Builder'!$B$9),OR('Assignment Builder'!$B$10="",$O3368='Assignment Builder'!$B$10),OR('Assignment Builder'!$B$11="",$H3368&gt;='Assignment Builder'!$B$11),OR('Assignment Builder'!$B$12="",N($Q3368)&lt;='Assignment Builder'!$B$12)))</f>
        <v/>
      </c>
      <c r="T3368" s="23" t="n"/>
    </row>
    <row r="3369">
      <c r="A3369" s="23" t="n"/>
      <c r="B3369" s="23" t="n"/>
      <c r="C3369" s="24" t="n"/>
      <c r="D3369" s="15" t="n"/>
      <c r="E3369" s="23" t="n"/>
      <c r="F3369" s="15" t="n"/>
      <c r="G3369" s="23" t="n"/>
      <c r="H3369" s="25" t="n"/>
      <c r="I3369" s="15" t="n"/>
      <c r="J3369" s="26">
        <f>IF($A3369="","",LEN($C3369)-LEN(SUBSTITUTE($C3369,",",""))+1)</f>
        <v/>
      </c>
      <c r="K3369" s="26">
        <f>IF($A3369="","",SUMPRODUCT(--ISNUMBER(SEARCH('Category Dictionary'!$D$5:$D$135&amp;"",$C3369)),--('Category Dictionary'!$D$5:$D$135&lt;&gt;"")))</f>
        <v/>
      </c>
      <c r="L3369" s="27">
        <f>IF($A3369="","",TRIM(IF(ISERROR(FIND(",",$C3369)),$C3369,LEFT($C3369,FIND(",",$C3369)-1))))</f>
        <v/>
      </c>
      <c r="M3369" s="28">
        <f>IF($H3369="","",DATE(YEAR($H3369),MONTH($H3369),1))</f>
        <v/>
      </c>
      <c r="N3369" s="26">
        <f>IF($H3369="","",TODAY()-$H3369)</f>
        <v/>
      </c>
      <c r="O3369" s="15" t="n"/>
      <c r="P3369" s="15" t="n"/>
      <c r="Q3369" s="15" t="n"/>
      <c r="R3369" s="25" t="n"/>
      <c r="S3369" s="26">
        <f>IF($A3369="","",AND(OR('Assignment Builder'!$B$5="",$B3369='Assignment Builder'!$B$5),OR('Assignment Builder'!$B$6="",ISNUMBER(SEARCH('Assignment Builder'!$B$6,$C3369))),OR('Assignment Builder'!$B$7="",'Assignment Builder'!$B$7=IFERROR(INDEX('Category Dictionary'!$C$5:$C$135,MATCH($L3369,'Category Dictionary'!$D$5:$D$135,0)),"")),OR('Assignment Builder'!$B$8="",$D3369='Assignment Builder'!$B$8),OR('Assignment Builder'!$B$9="",$F3369='Assignment Builder'!$B$9),OR('Assignment Builder'!$B$10="",$O3369='Assignment Builder'!$B$10),OR('Assignment Builder'!$B$11="",$H3369&gt;='Assignment Builder'!$B$11),OR('Assignment Builder'!$B$12="",N($Q3369)&lt;='Assignment Builder'!$B$12)))</f>
        <v/>
      </c>
      <c r="T3369" s="23" t="n"/>
    </row>
    <row r="3370">
      <c r="A3370" s="23" t="n"/>
      <c r="B3370" s="23" t="n"/>
      <c r="C3370" s="24" t="n"/>
      <c r="D3370" s="15" t="n"/>
      <c r="E3370" s="23" t="n"/>
      <c r="F3370" s="15" t="n"/>
      <c r="G3370" s="23" t="n"/>
      <c r="H3370" s="25" t="n"/>
      <c r="I3370" s="15" t="n"/>
      <c r="J3370" s="26">
        <f>IF($A3370="","",LEN($C3370)-LEN(SUBSTITUTE($C3370,",",""))+1)</f>
        <v/>
      </c>
      <c r="K3370" s="26">
        <f>IF($A3370="","",SUMPRODUCT(--ISNUMBER(SEARCH('Category Dictionary'!$D$5:$D$135&amp;"",$C3370)),--('Category Dictionary'!$D$5:$D$135&lt;&gt;"")))</f>
        <v/>
      </c>
      <c r="L3370" s="27">
        <f>IF($A3370="","",TRIM(IF(ISERROR(FIND(",",$C3370)),$C3370,LEFT($C3370,FIND(",",$C3370)-1))))</f>
        <v/>
      </c>
      <c r="M3370" s="28">
        <f>IF($H3370="","",DATE(YEAR($H3370),MONTH($H3370),1))</f>
        <v/>
      </c>
      <c r="N3370" s="26">
        <f>IF($H3370="","",TODAY()-$H3370)</f>
        <v/>
      </c>
      <c r="O3370" s="15" t="n"/>
      <c r="P3370" s="15" t="n"/>
      <c r="Q3370" s="15" t="n"/>
      <c r="R3370" s="25" t="n"/>
      <c r="S3370" s="26">
        <f>IF($A3370="","",AND(OR('Assignment Builder'!$B$5="",$B3370='Assignment Builder'!$B$5),OR('Assignment Builder'!$B$6="",ISNUMBER(SEARCH('Assignment Builder'!$B$6,$C3370))),OR('Assignment Builder'!$B$7="",'Assignment Builder'!$B$7=IFERROR(INDEX('Category Dictionary'!$C$5:$C$135,MATCH($L3370,'Category Dictionary'!$D$5:$D$135,0)),"")),OR('Assignment Builder'!$B$8="",$D3370='Assignment Builder'!$B$8),OR('Assignment Builder'!$B$9="",$F3370='Assignment Builder'!$B$9),OR('Assignment Builder'!$B$10="",$O3370='Assignment Builder'!$B$10),OR('Assignment Builder'!$B$11="",$H3370&gt;='Assignment Builder'!$B$11),OR('Assignment Builder'!$B$12="",N($Q3370)&lt;='Assignment Builder'!$B$12)))</f>
        <v/>
      </c>
      <c r="T3370" s="23" t="n"/>
    </row>
    <row r="3371">
      <c r="A3371" s="23" t="n"/>
      <c r="B3371" s="23" t="n"/>
      <c r="C3371" s="24" t="n"/>
      <c r="D3371" s="15" t="n"/>
      <c r="E3371" s="23" t="n"/>
      <c r="F3371" s="15" t="n"/>
      <c r="G3371" s="23" t="n"/>
      <c r="H3371" s="25" t="n"/>
      <c r="I3371" s="15" t="n"/>
      <c r="J3371" s="26">
        <f>IF($A3371="","",LEN($C3371)-LEN(SUBSTITUTE($C3371,",",""))+1)</f>
        <v/>
      </c>
      <c r="K3371" s="26">
        <f>IF($A3371="","",SUMPRODUCT(--ISNUMBER(SEARCH('Category Dictionary'!$D$5:$D$135&amp;"",$C3371)),--('Category Dictionary'!$D$5:$D$135&lt;&gt;"")))</f>
        <v/>
      </c>
      <c r="L3371" s="27">
        <f>IF($A3371="","",TRIM(IF(ISERROR(FIND(",",$C3371)),$C3371,LEFT($C3371,FIND(",",$C3371)-1))))</f>
        <v/>
      </c>
      <c r="M3371" s="28">
        <f>IF($H3371="","",DATE(YEAR($H3371),MONTH($H3371),1))</f>
        <v/>
      </c>
      <c r="N3371" s="26">
        <f>IF($H3371="","",TODAY()-$H3371)</f>
        <v/>
      </c>
      <c r="O3371" s="15" t="n"/>
      <c r="P3371" s="15" t="n"/>
      <c r="Q3371" s="15" t="n"/>
      <c r="R3371" s="25" t="n"/>
      <c r="S3371" s="26">
        <f>IF($A3371="","",AND(OR('Assignment Builder'!$B$5="",$B3371='Assignment Builder'!$B$5),OR('Assignment Builder'!$B$6="",ISNUMBER(SEARCH('Assignment Builder'!$B$6,$C3371))),OR('Assignment Builder'!$B$7="",'Assignment Builder'!$B$7=IFERROR(INDEX('Category Dictionary'!$C$5:$C$135,MATCH($L3371,'Category Dictionary'!$D$5:$D$135,0)),"")),OR('Assignment Builder'!$B$8="",$D3371='Assignment Builder'!$B$8),OR('Assignment Builder'!$B$9="",$F3371='Assignment Builder'!$B$9),OR('Assignment Builder'!$B$10="",$O3371='Assignment Builder'!$B$10),OR('Assignment Builder'!$B$11="",$H3371&gt;='Assignment Builder'!$B$11),OR('Assignment Builder'!$B$12="",N($Q3371)&lt;='Assignment Builder'!$B$12)))</f>
        <v/>
      </c>
      <c r="T3371" s="23" t="n"/>
    </row>
    <row r="3372">
      <c r="A3372" s="23" t="n"/>
      <c r="B3372" s="23" t="n"/>
      <c r="C3372" s="24" t="n"/>
      <c r="D3372" s="15" t="n"/>
      <c r="E3372" s="23" t="n"/>
      <c r="F3372" s="15" t="n"/>
      <c r="G3372" s="23" t="n"/>
      <c r="H3372" s="25" t="n"/>
      <c r="I3372" s="15" t="n"/>
      <c r="J3372" s="26">
        <f>IF($A3372="","",LEN($C3372)-LEN(SUBSTITUTE($C3372,",",""))+1)</f>
        <v/>
      </c>
      <c r="K3372" s="26">
        <f>IF($A3372="","",SUMPRODUCT(--ISNUMBER(SEARCH('Category Dictionary'!$D$5:$D$135&amp;"",$C3372)),--('Category Dictionary'!$D$5:$D$135&lt;&gt;"")))</f>
        <v/>
      </c>
      <c r="L3372" s="27">
        <f>IF($A3372="","",TRIM(IF(ISERROR(FIND(",",$C3372)),$C3372,LEFT($C3372,FIND(",",$C3372)-1))))</f>
        <v/>
      </c>
      <c r="M3372" s="28">
        <f>IF($H3372="","",DATE(YEAR($H3372),MONTH($H3372),1))</f>
        <v/>
      </c>
      <c r="N3372" s="26">
        <f>IF($H3372="","",TODAY()-$H3372)</f>
        <v/>
      </c>
      <c r="O3372" s="15" t="n"/>
      <c r="P3372" s="15" t="n"/>
      <c r="Q3372" s="15" t="n"/>
      <c r="R3372" s="25" t="n"/>
      <c r="S3372" s="26">
        <f>IF($A3372="","",AND(OR('Assignment Builder'!$B$5="",$B3372='Assignment Builder'!$B$5),OR('Assignment Builder'!$B$6="",ISNUMBER(SEARCH('Assignment Builder'!$B$6,$C3372))),OR('Assignment Builder'!$B$7="",'Assignment Builder'!$B$7=IFERROR(INDEX('Category Dictionary'!$C$5:$C$135,MATCH($L3372,'Category Dictionary'!$D$5:$D$135,0)),"")),OR('Assignment Builder'!$B$8="",$D3372='Assignment Builder'!$B$8),OR('Assignment Builder'!$B$9="",$F3372='Assignment Builder'!$B$9),OR('Assignment Builder'!$B$10="",$O3372='Assignment Builder'!$B$10),OR('Assignment Builder'!$B$11="",$H3372&gt;='Assignment Builder'!$B$11),OR('Assignment Builder'!$B$12="",N($Q3372)&lt;='Assignment Builder'!$B$12)))</f>
        <v/>
      </c>
      <c r="T3372" s="23" t="n"/>
    </row>
    <row r="3373">
      <c r="A3373" s="23" t="n"/>
      <c r="B3373" s="23" t="n"/>
      <c r="C3373" s="24" t="n"/>
      <c r="D3373" s="15" t="n"/>
      <c r="E3373" s="23" t="n"/>
      <c r="F3373" s="15" t="n"/>
      <c r="G3373" s="23" t="n"/>
      <c r="H3373" s="25" t="n"/>
      <c r="I3373" s="15" t="n"/>
      <c r="J3373" s="26">
        <f>IF($A3373="","",LEN($C3373)-LEN(SUBSTITUTE($C3373,",",""))+1)</f>
        <v/>
      </c>
      <c r="K3373" s="26">
        <f>IF($A3373="","",SUMPRODUCT(--ISNUMBER(SEARCH('Category Dictionary'!$D$5:$D$135&amp;"",$C3373)),--('Category Dictionary'!$D$5:$D$135&lt;&gt;"")))</f>
        <v/>
      </c>
      <c r="L3373" s="27">
        <f>IF($A3373="","",TRIM(IF(ISERROR(FIND(",",$C3373)),$C3373,LEFT($C3373,FIND(",",$C3373)-1))))</f>
        <v/>
      </c>
      <c r="M3373" s="28">
        <f>IF($H3373="","",DATE(YEAR($H3373),MONTH($H3373),1))</f>
        <v/>
      </c>
      <c r="N3373" s="26">
        <f>IF($H3373="","",TODAY()-$H3373)</f>
        <v/>
      </c>
      <c r="O3373" s="15" t="n"/>
      <c r="P3373" s="15" t="n"/>
      <c r="Q3373" s="15" t="n"/>
      <c r="R3373" s="25" t="n"/>
      <c r="S3373" s="26">
        <f>IF($A3373="","",AND(OR('Assignment Builder'!$B$5="",$B3373='Assignment Builder'!$B$5),OR('Assignment Builder'!$B$6="",ISNUMBER(SEARCH('Assignment Builder'!$B$6,$C3373))),OR('Assignment Builder'!$B$7="",'Assignment Builder'!$B$7=IFERROR(INDEX('Category Dictionary'!$C$5:$C$135,MATCH($L3373,'Category Dictionary'!$D$5:$D$135,0)),"")),OR('Assignment Builder'!$B$8="",$D3373='Assignment Builder'!$B$8),OR('Assignment Builder'!$B$9="",$F3373='Assignment Builder'!$B$9),OR('Assignment Builder'!$B$10="",$O3373='Assignment Builder'!$B$10),OR('Assignment Builder'!$B$11="",$H3373&gt;='Assignment Builder'!$B$11),OR('Assignment Builder'!$B$12="",N($Q3373)&lt;='Assignment Builder'!$B$12)))</f>
        <v/>
      </c>
      <c r="T3373" s="23" t="n"/>
    </row>
    <row r="3374">
      <c r="A3374" s="23" t="n"/>
      <c r="B3374" s="23" t="n"/>
      <c r="C3374" s="24" t="n"/>
      <c r="D3374" s="15" t="n"/>
      <c r="E3374" s="23" t="n"/>
      <c r="F3374" s="15" t="n"/>
      <c r="G3374" s="23" t="n"/>
      <c r="H3374" s="25" t="n"/>
      <c r="I3374" s="15" t="n"/>
      <c r="J3374" s="26">
        <f>IF($A3374="","",LEN($C3374)-LEN(SUBSTITUTE($C3374,",",""))+1)</f>
        <v/>
      </c>
      <c r="K3374" s="26">
        <f>IF($A3374="","",SUMPRODUCT(--ISNUMBER(SEARCH('Category Dictionary'!$D$5:$D$135&amp;"",$C3374)),--('Category Dictionary'!$D$5:$D$135&lt;&gt;"")))</f>
        <v/>
      </c>
      <c r="L3374" s="27">
        <f>IF($A3374="","",TRIM(IF(ISERROR(FIND(",",$C3374)),$C3374,LEFT($C3374,FIND(",",$C3374)-1))))</f>
        <v/>
      </c>
      <c r="M3374" s="28">
        <f>IF($H3374="","",DATE(YEAR($H3374),MONTH($H3374),1))</f>
        <v/>
      </c>
      <c r="N3374" s="26">
        <f>IF($H3374="","",TODAY()-$H3374)</f>
        <v/>
      </c>
      <c r="O3374" s="15" t="n"/>
      <c r="P3374" s="15" t="n"/>
      <c r="Q3374" s="15" t="n"/>
      <c r="R3374" s="25" t="n"/>
      <c r="S3374" s="26">
        <f>IF($A3374="","",AND(OR('Assignment Builder'!$B$5="",$B3374='Assignment Builder'!$B$5),OR('Assignment Builder'!$B$6="",ISNUMBER(SEARCH('Assignment Builder'!$B$6,$C3374))),OR('Assignment Builder'!$B$7="",'Assignment Builder'!$B$7=IFERROR(INDEX('Category Dictionary'!$C$5:$C$135,MATCH($L3374,'Category Dictionary'!$D$5:$D$135,0)),"")),OR('Assignment Builder'!$B$8="",$D3374='Assignment Builder'!$B$8),OR('Assignment Builder'!$B$9="",$F3374='Assignment Builder'!$B$9),OR('Assignment Builder'!$B$10="",$O3374='Assignment Builder'!$B$10),OR('Assignment Builder'!$B$11="",$H3374&gt;='Assignment Builder'!$B$11),OR('Assignment Builder'!$B$12="",N($Q3374)&lt;='Assignment Builder'!$B$12)))</f>
        <v/>
      </c>
      <c r="T3374" s="23" t="n"/>
    </row>
    <row r="3375">
      <c r="A3375" s="23" t="n"/>
      <c r="B3375" s="23" t="n"/>
      <c r="C3375" s="24" t="n"/>
      <c r="D3375" s="15" t="n"/>
      <c r="E3375" s="23" t="n"/>
      <c r="F3375" s="15" t="n"/>
      <c r="G3375" s="23" t="n"/>
      <c r="H3375" s="25" t="n"/>
      <c r="I3375" s="15" t="n"/>
      <c r="J3375" s="26">
        <f>IF($A3375="","",LEN($C3375)-LEN(SUBSTITUTE($C3375,",",""))+1)</f>
        <v/>
      </c>
      <c r="K3375" s="26">
        <f>IF($A3375="","",SUMPRODUCT(--ISNUMBER(SEARCH('Category Dictionary'!$D$5:$D$135&amp;"",$C3375)),--('Category Dictionary'!$D$5:$D$135&lt;&gt;"")))</f>
        <v/>
      </c>
      <c r="L3375" s="27">
        <f>IF($A3375="","",TRIM(IF(ISERROR(FIND(",",$C3375)),$C3375,LEFT($C3375,FIND(",",$C3375)-1))))</f>
        <v/>
      </c>
      <c r="M3375" s="28">
        <f>IF($H3375="","",DATE(YEAR($H3375),MONTH($H3375),1))</f>
        <v/>
      </c>
      <c r="N3375" s="26">
        <f>IF($H3375="","",TODAY()-$H3375)</f>
        <v/>
      </c>
      <c r="O3375" s="15" t="n"/>
      <c r="P3375" s="15" t="n"/>
      <c r="Q3375" s="15" t="n"/>
      <c r="R3375" s="25" t="n"/>
      <c r="S3375" s="26">
        <f>IF($A3375="","",AND(OR('Assignment Builder'!$B$5="",$B3375='Assignment Builder'!$B$5),OR('Assignment Builder'!$B$6="",ISNUMBER(SEARCH('Assignment Builder'!$B$6,$C3375))),OR('Assignment Builder'!$B$7="",'Assignment Builder'!$B$7=IFERROR(INDEX('Category Dictionary'!$C$5:$C$135,MATCH($L3375,'Category Dictionary'!$D$5:$D$135,0)),"")),OR('Assignment Builder'!$B$8="",$D3375='Assignment Builder'!$B$8),OR('Assignment Builder'!$B$9="",$F3375='Assignment Builder'!$B$9),OR('Assignment Builder'!$B$10="",$O3375='Assignment Builder'!$B$10),OR('Assignment Builder'!$B$11="",$H3375&gt;='Assignment Builder'!$B$11),OR('Assignment Builder'!$B$12="",N($Q3375)&lt;='Assignment Builder'!$B$12)))</f>
        <v/>
      </c>
      <c r="T3375" s="23" t="n"/>
    </row>
    <row r="3376">
      <c r="A3376" s="23" t="n"/>
      <c r="B3376" s="23" t="n"/>
      <c r="C3376" s="24" t="n"/>
      <c r="D3376" s="15" t="n"/>
      <c r="E3376" s="23" t="n"/>
      <c r="F3376" s="15" t="n"/>
      <c r="G3376" s="23" t="n"/>
      <c r="H3376" s="25" t="n"/>
      <c r="I3376" s="15" t="n"/>
      <c r="J3376" s="26">
        <f>IF($A3376="","",LEN($C3376)-LEN(SUBSTITUTE($C3376,",",""))+1)</f>
        <v/>
      </c>
      <c r="K3376" s="26">
        <f>IF($A3376="","",SUMPRODUCT(--ISNUMBER(SEARCH('Category Dictionary'!$D$5:$D$135&amp;"",$C3376)),--('Category Dictionary'!$D$5:$D$135&lt;&gt;"")))</f>
        <v/>
      </c>
      <c r="L3376" s="27">
        <f>IF($A3376="","",TRIM(IF(ISERROR(FIND(",",$C3376)),$C3376,LEFT($C3376,FIND(",",$C3376)-1))))</f>
        <v/>
      </c>
      <c r="M3376" s="28">
        <f>IF($H3376="","",DATE(YEAR($H3376),MONTH($H3376),1))</f>
        <v/>
      </c>
      <c r="N3376" s="26">
        <f>IF($H3376="","",TODAY()-$H3376)</f>
        <v/>
      </c>
      <c r="O3376" s="15" t="n"/>
      <c r="P3376" s="15" t="n"/>
      <c r="Q3376" s="15" t="n"/>
      <c r="R3376" s="25" t="n"/>
      <c r="S3376" s="26">
        <f>IF($A3376="","",AND(OR('Assignment Builder'!$B$5="",$B3376='Assignment Builder'!$B$5),OR('Assignment Builder'!$B$6="",ISNUMBER(SEARCH('Assignment Builder'!$B$6,$C3376))),OR('Assignment Builder'!$B$7="",'Assignment Builder'!$B$7=IFERROR(INDEX('Category Dictionary'!$C$5:$C$135,MATCH($L3376,'Category Dictionary'!$D$5:$D$135,0)),"")),OR('Assignment Builder'!$B$8="",$D3376='Assignment Builder'!$B$8),OR('Assignment Builder'!$B$9="",$F3376='Assignment Builder'!$B$9),OR('Assignment Builder'!$B$10="",$O3376='Assignment Builder'!$B$10),OR('Assignment Builder'!$B$11="",$H3376&gt;='Assignment Builder'!$B$11),OR('Assignment Builder'!$B$12="",N($Q3376)&lt;='Assignment Builder'!$B$12)))</f>
        <v/>
      </c>
      <c r="T3376" s="23" t="n"/>
    </row>
    <row r="3377">
      <c r="A3377" s="23" t="n"/>
      <c r="B3377" s="23" t="n"/>
      <c r="C3377" s="24" t="n"/>
      <c r="D3377" s="15" t="n"/>
      <c r="E3377" s="23" t="n"/>
      <c r="F3377" s="15" t="n"/>
      <c r="G3377" s="23" t="n"/>
      <c r="H3377" s="25" t="n"/>
      <c r="I3377" s="15" t="n"/>
      <c r="J3377" s="26">
        <f>IF($A3377="","",LEN($C3377)-LEN(SUBSTITUTE($C3377,",",""))+1)</f>
        <v/>
      </c>
      <c r="K3377" s="26">
        <f>IF($A3377="","",SUMPRODUCT(--ISNUMBER(SEARCH('Category Dictionary'!$D$5:$D$135&amp;"",$C3377)),--('Category Dictionary'!$D$5:$D$135&lt;&gt;"")))</f>
        <v/>
      </c>
      <c r="L3377" s="27">
        <f>IF($A3377="","",TRIM(IF(ISERROR(FIND(",",$C3377)),$C3377,LEFT($C3377,FIND(",",$C3377)-1))))</f>
        <v/>
      </c>
      <c r="M3377" s="28">
        <f>IF($H3377="","",DATE(YEAR($H3377),MONTH($H3377),1))</f>
        <v/>
      </c>
      <c r="N3377" s="26">
        <f>IF($H3377="","",TODAY()-$H3377)</f>
        <v/>
      </c>
      <c r="O3377" s="15" t="n"/>
      <c r="P3377" s="15" t="n"/>
      <c r="Q3377" s="15" t="n"/>
      <c r="R3377" s="25" t="n"/>
      <c r="S3377" s="26">
        <f>IF($A3377="","",AND(OR('Assignment Builder'!$B$5="",$B3377='Assignment Builder'!$B$5),OR('Assignment Builder'!$B$6="",ISNUMBER(SEARCH('Assignment Builder'!$B$6,$C3377))),OR('Assignment Builder'!$B$7="",'Assignment Builder'!$B$7=IFERROR(INDEX('Category Dictionary'!$C$5:$C$135,MATCH($L3377,'Category Dictionary'!$D$5:$D$135,0)),"")),OR('Assignment Builder'!$B$8="",$D3377='Assignment Builder'!$B$8),OR('Assignment Builder'!$B$9="",$F3377='Assignment Builder'!$B$9),OR('Assignment Builder'!$B$10="",$O3377='Assignment Builder'!$B$10),OR('Assignment Builder'!$B$11="",$H3377&gt;='Assignment Builder'!$B$11),OR('Assignment Builder'!$B$12="",N($Q3377)&lt;='Assignment Builder'!$B$12)))</f>
        <v/>
      </c>
      <c r="T3377" s="23" t="n"/>
    </row>
    <row r="3378">
      <c r="A3378" s="23" t="n"/>
      <c r="B3378" s="23" t="n"/>
      <c r="C3378" s="24" t="n"/>
      <c r="D3378" s="15" t="n"/>
      <c r="E3378" s="23" t="n"/>
      <c r="F3378" s="15" t="n"/>
      <c r="G3378" s="23" t="n"/>
      <c r="H3378" s="25" t="n"/>
      <c r="I3378" s="15" t="n"/>
      <c r="J3378" s="26">
        <f>IF($A3378="","",LEN($C3378)-LEN(SUBSTITUTE($C3378,",",""))+1)</f>
        <v/>
      </c>
      <c r="K3378" s="26">
        <f>IF($A3378="","",SUMPRODUCT(--ISNUMBER(SEARCH('Category Dictionary'!$D$5:$D$135&amp;"",$C3378)),--('Category Dictionary'!$D$5:$D$135&lt;&gt;"")))</f>
        <v/>
      </c>
      <c r="L3378" s="27">
        <f>IF($A3378="","",TRIM(IF(ISERROR(FIND(",",$C3378)),$C3378,LEFT($C3378,FIND(",",$C3378)-1))))</f>
        <v/>
      </c>
      <c r="M3378" s="28">
        <f>IF($H3378="","",DATE(YEAR($H3378),MONTH($H3378),1))</f>
        <v/>
      </c>
      <c r="N3378" s="26">
        <f>IF($H3378="","",TODAY()-$H3378)</f>
        <v/>
      </c>
      <c r="O3378" s="15" t="n"/>
      <c r="P3378" s="15" t="n"/>
      <c r="Q3378" s="15" t="n"/>
      <c r="R3378" s="25" t="n"/>
      <c r="S3378" s="26">
        <f>IF($A3378="","",AND(OR('Assignment Builder'!$B$5="",$B3378='Assignment Builder'!$B$5),OR('Assignment Builder'!$B$6="",ISNUMBER(SEARCH('Assignment Builder'!$B$6,$C3378))),OR('Assignment Builder'!$B$7="",'Assignment Builder'!$B$7=IFERROR(INDEX('Category Dictionary'!$C$5:$C$135,MATCH($L3378,'Category Dictionary'!$D$5:$D$135,0)),"")),OR('Assignment Builder'!$B$8="",$D3378='Assignment Builder'!$B$8),OR('Assignment Builder'!$B$9="",$F3378='Assignment Builder'!$B$9),OR('Assignment Builder'!$B$10="",$O3378='Assignment Builder'!$B$10),OR('Assignment Builder'!$B$11="",$H3378&gt;='Assignment Builder'!$B$11),OR('Assignment Builder'!$B$12="",N($Q3378)&lt;='Assignment Builder'!$B$12)))</f>
        <v/>
      </c>
      <c r="T3378" s="23" t="n"/>
    </row>
    <row r="3379">
      <c r="A3379" s="23" t="n"/>
      <c r="B3379" s="23" t="n"/>
      <c r="C3379" s="24" t="n"/>
      <c r="D3379" s="15" t="n"/>
      <c r="E3379" s="23" t="n"/>
      <c r="F3379" s="15" t="n"/>
      <c r="G3379" s="23" t="n"/>
      <c r="H3379" s="25" t="n"/>
      <c r="I3379" s="15" t="n"/>
      <c r="J3379" s="26">
        <f>IF($A3379="","",LEN($C3379)-LEN(SUBSTITUTE($C3379,",",""))+1)</f>
        <v/>
      </c>
      <c r="K3379" s="26">
        <f>IF($A3379="","",SUMPRODUCT(--ISNUMBER(SEARCH('Category Dictionary'!$D$5:$D$135&amp;"",$C3379)),--('Category Dictionary'!$D$5:$D$135&lt;&gt;"")))</f>
        <v/>
      </c>
      <c r="L3379" s="27">
        <f>IF($A3379="","",TRIM(IF(ISERROR(FIND(",",$C3379)),$C3379,LEFT($C3379,FIND(",",$C3379)-1))))</f>
        <v/>
      </c>
      <c r="M3379" s="28">
        <f>IF($H3379="","",DATE(YEAR($H3379),MONTH($H3379),1))</f>
        <v/>
      </c>
      <c r="N3379" s="26">
        <f>IF($H3379="","",TODAY()-$H3379)</f>
        <v/>
      </c>
      <c r="O3379" s="15" t="n"/>
      <c r="P3379" s="15" t="n"/>
      <c r="Q3379" s="15" t="n"/>
      <c r="R3379" s="25" t="n"/>
      <c r="S3379" s="26">
        <f>IF($A3379="","",AND(OR('Assignment Builder'!$B$5="",$B3379='Assignment Builder'!$B$5),OR('Assignment Builder'!$B$6="",ISNUMBER(SEARCH('Assignment Builder'!$B$6,$C3379))),OR('Assignment Builder'!$B$7="",'Assignment Builder'!$B$7=IFERROR(INDEX('Category Dictionary'!$C$5:$C$135,MATCH($L3379,'Category Dictionary'!$D$5:$D$135,0)),"")),OR('Assignment Builder'!$B$8="",$D3379='Assignment Builder'!$B$8),OR('Assignment Builder'!$B$9="",$F3379='Assignment Builder'!$B$9),OR('Assignment Builder'!$B$10="",$O3379='Assignment Builder'!$B$10),OR('Assignment Builder'!$B$11="",$H3379&gt;='Assignment Builder'!$B$11),OR('Assignment Builder'!$B$12="",N($Q3379)&lt;='Assignment Builder'!$B$12)))</f>
        <v/>
      </c>
      <c r="T3379" s="23" t="n"/>
    </row>
    <row r="3380">
      <c r="A3380" s="23" t="n"/>
      <c r="B3380" s="23" t="n"/>
      <c r="C3380" s="24" t="n"/>
      <c r="D3380" s="15" t="n"/>
      <c r="E3380" s="23" t="n"/>
      <c r="F3380" s="15" t="n"/>
      <c r="G3380" s="23" t="n"/>
      <c r="H3380" s="25" t="n"/>
      <c r="I3380" s="15" t="n"/>
      <c r="J3380" s="26">
        <f>IF($A3380="","",LEN($C3380)-LEN(SUBSTITUTE($C3380,",",""))+1)</f>
        <v/>
      </c>
      <c r="K3380" s="26">
        <f>IF($A3380="","",SUMPRODUCT(--ISNUMBER(SEARCH('Category Dictionary'!$D$5:$D$135&amp;"",$C3380)),--('Category Dictionary'!$D$5:$D$135&lt;&gt;"")))</f>
        <v/>
      </c>
      <c r="L3380" s="27">
        <f>IF($A3380="","",TRIM(IF(ISERROR(FIND(",",$C3380)),$C3380,LEFT($C3380,FIND(",",$C3380)-1))))</f>
        <v/>
      </c>
      <c r="M3380" s="28">
        <f>IF($H3380="","",DATE(YEAR($H3380),MONTH($H3380),1))</f>
        <v/>
      </c>
      <c r="N3380" s="26">
        <f>IF($H3380="","",TODAY()-$H3380)</f>
        <v/>
      </c>
      <c r="O3380" s="15" t="n"/>
      <c r="P3380" s="15" t="n"/>
      <c r="Q3380" s="15" t="n"/>
      <c r="R3380" s="25" t="n"/>
      <c r="S3380" s="26">
        <f>IF($A3380="","",AND(OR('Assignment Builder'!$B$5="",$B3380='Assignment Builder'!$B$5),OR('Assignment Builder'!$B$6="",ISNUMBER(SEARCH('Assignment Builder'!$B$6,$C3380))),OR('Assignment Builder'!$B$7="",'Assignment Builder'!$B$7=IFERROR(INDEX('Category Dictionary'!$C$5:$C$135,MATCH($L3380,'Category Dictionary'!$D$5:$D$135,0)),"")),OR('Assignment Builder'!$B$8="",$D3380='Assignment Builder'!$B$8),OR('Assignment Builder'!$B$9="",$F3380='Assignment Builder'!$B$9),OR('Assignment Builder'!$B$10="",$O3380='Assignment Builder'!$B$10),OR('Assignment Builder'!$B$11="",$H3380&gt;='Assignment Builder'!$B$11),OR('Assignment Builder'!$B$12="",N($Q3380)&lt;='Assignment Builder'!$B$12)))</f>
        <v/>
      </c>
      <c r="T3380" s="23" t="n"/>
    </row>
    <row r="3381">
      <c r="A3381" s="23" t="n"/>
      <c r="B3381" s="23" t="n"/>
      <c r="C3381" s="24" t="n"/>
      <c r="D3381" s="15" t="n"/>
      <c r="E3381" s="23" t="n"/>
      <c r="F3381" s="15" t="n"/>
      <c r="G3381" s="23" t="n"/>
      <c r="H3381" s="25" t="n"/>
      <c r="I3381" s="15" t="n"/>
      <c r="J3381" s="26">
        <f>IF($A3381="","",LEN($C3381)-LEN(SUBSTITUTE($C3381,",",""))+1)</f>
        <v/>
      </c>
      <c r="K3381" s="26">
        <f>IF($A3381="","",SUMPRODUCT(--ISNUMBER(SEARCH('Category Dictionary'!$D$5:$D$135&amp;"",$C3381)),--('Category Dictionary'!$D$5:$D$135&lt;&gt;"")))</f>
        <v/>
      </c>
      <c r="L3381" s="27">
        <f>IF($A3381="","",TRIM(IF(ISERROR(FIND(",",$C3381)),$C3381,LEFT($C3381,FIND(",",$C3381)-1))))</f>
        <v/>
      </c>
      <c r="M3381" s="28">
        <f>IF($H3381="","",DATE(YEAR($H3381),MONTH($H3381),1))</f>
        <v/>
      </c>
      <c r="N3381" s="26">
        <f>IF($H3381="","",TODAY()-$H3381)</f>
        <v/>
      </c>
      <c r="O3381" s="15" t="n"/>
      <c r="P3381" s="15" t="n"/>
      <c r="Q3381" s="15" t="n"/>
      <c r="R3381" s="25" t="n"/>
      <c r="S3381" s="26">
        <f>IF($A3381="","",AND(OR('Assignment Builder'!$B$5="",$B3381='Assignment Builder'!$B$5),OR('Assignment Builder'!$B$6="",ISNUMBER(SEARCH('Assignment Builder'!$B$6,$C3381))),OR('Assignment Builder'!$B$7="",'Assignment Builder'!$B$7=IFERROR(INDEX('Category Dictionary'!$C$5:$C$135,MATCH($L3381,'Category Dictionary'!$D$5:$D$135,0)),"")),OR('Assignment Builder'!$B$8="",$D3381='Assignment Builder'!$B$8),OR('Assignment Builder'!$B$9="",$F3381='Assignment Builder'!$B$9),OR('Assignment Builder'!$B$10="",$O3381='Assignment Builder'!$B$10),OR('Assignment Builder'!$B$11="",$H3381&gt;='Assignment Builder'!$B$11),OR('Assignment Builder'!$B$12="",N($Q3381)&lt;='Assignment Builder'!$B$12)))</f>
        <v/>
      </c>
      <c r="T3381" s="23" t="n"/>
    </row>
    <row r="3382">
      <c r="A3382" s="23" t="n"/>
      <c r="B3382" s="23" t="n"/>
      <c r="C3382" s="24" t="n"/>
      <c r="D3382" s="15" t="n"/>
      <c r="E3382" s="23" t="n"/>
      <c r="F3382" s="15" t="n"/>
      <c r="G3382" s="23" t="n"/>
      <c r="H3382" s="25" t="n"/>
      <c r="I3382" s="15" t="n"/>
      <c r="J3382" s="26">
        <f>IF($A3382="","",LEN($C3382)-LEN(SUBSTITUTE($C3382,",",""))+1)</f>
        <v/>
      </c>
      <c r="K3382" s="26">
        <f>IF($A3382="","",SUMPRODUCT(--ISNUMBER(SEARCH('Category Dictionary'!$D$5:$D$135&amp;"",$C3382)),--('Category Dictionary'!$D$5:$D$135&lt;&gt;"")))</f>
        <v/>
      </c>
      <c r="L3382" s="27">
        <f>IF($A3382="","",TRIM(IF(ISERROR(FIND(",",$C3382)),$C3382,LEFT($C3382,FIND(",",$C3382)-1))))</f>
        <v/>
      </c>
      <c r="M3382" s="28">
        <f>IF($H3382="","",DATE(YEAR($H3382),MONTH($H3382),1))</f>
        <v/>
      </c>
      <c r="N3382" s="26">
        <f>IF($H3382="","",TODAY()-$H3382)</f>
        <v/>
      </c>
      <c r="O3382" s="15" t="n"/>
      <c r="P3382" s="15" t="n"/>
      <c r="Q3382" s="15" t="n"/>
      <c r="R3382" s="25" t="n"/>
      <c r="S3382" s="26">
        <f>IF($A3382="","",AND(OR('Assignment Builder'!$B$5="",$B3382='Assignment Builder'!$B$5),OR('Assignment Builder'!$B$6="",ISNUMBER(SEARCH('Assignment Builder'!$B$6,$C3382))),OR('Assignment Builder'!$B$7="",'Assignment Builder'!$B$7=IFERROR(INDEX('Category Dictionary'!$C$5:$C$135,MATCH($L3382,'Category Dictionary'!$D$5:$D$135,0)),"")),OR('Assignment Builder'!$B$8="",$D3382='Assignment Builder'!$B$8),OR('Assignment Builder'!$B$9="",$F3382='Assignment Builder'!$B$9),OR('Assignment Builder'!$B$10="",$O3382='Assignment Builder'!$B$10),OR('Assignment Builder'!$B$11="",$H3382&gt;='Assignment Builder'!$B$11),OR('Assignment Builder'!$B$12="",N($Q3382)&lt;='Assignment Builder'!$B$12)))</f>
        <v/>
      </c>
      <c r="T3382" s="23" t="n"/>
    </row>
    <row r="3383">
      <c r="A3383" s="23" t="n"/>
      <c r="B3383" s="23" t="n"/>
      <c r="C3383" s="24" t="n"/>
      <c r="D3383" s="15" t="n"/>
      <c r="E3383" s="23" t="n"/>
      <c r="F3383" s="15" t="n"/>
      <c r="G3383" s="23" t="n"/>
      <c r="H3383" s="25" t="n"/>
      <c r="I3383" s="15" t="n"/>
      <c r="J3383" s="26">
        <f>IF($A3383="","",LEN($C3383)-LEN(SUBSTITUTE($C3383,",",""))+1)</f>
        <v/>
      </c>
      <c r="K3383" s="26">
        <f>IF($A3383="","",SUMPRODUCT(--ISNUMBER(SEARCH('Category Dictionary'!$D$5:$D$135&amp;"",$C3383)),--('Category Dictionary'!$D$5:$D$135&lt;&gt;"")))</f>
        <v/>
      </c>
      <c r="L3383" s="27">
        <f>IF($A3383="","",TRIM(IF(ISERROR(FIND(",",$C3383)),$C3383,LEFT($C3383,FIND(",",$C3383)-1))))</f>
        <v/>
      </c>
      <c r="M3383" s="28">
        <f>IF($H3383="","",DATE(YEAR($H3383),MONTH($H3383),1))</f>
        <v/>
      </c>
      <c r="N3383" s="26">
        <f>IF($H3383="","",TODAY()-$H3383)</f>
        <v/>
      </c>
      <c r="O3383" s="15" t="n"/>
      <c r="P3383" s="15" t="n"/>
      <c r="Q3383" s="15" t="n"/>
      <c r="R3383" s="25" t="n"/>
      <c r="S3383" s="26">
        <f>IF($A3383="","",AND(OR('Assignment Builder'!$B$5="",$B3383='Assignment Builder'!$B$5),OR('Assignment Builder'!$B$6="",ISNUMBER(SEARCH('Assignment Builder'!$B$6,$C3383))),OR('Assignment Builder'!$B$7="",'Assignment Builder'!$B$7=IFERROR(INDEX('Category Dictionary'!$C$5:$C$135,MATCH($L3383,'Category Dictionary'!$D$5:$D$135,0)),"")),OR('Assignment Builder'!$B$8="",$D3383='Assignment Builder'!$B$8),OR('Assignment Builder'!$B$9="",$F3383='Assignment Builder'!$B$9),OR('Assignment Builder'!$B$10="",$O3383='Assignment Builder'!$B$10),OR('Assignment Builder'!$B$11="",$H3383&gt;='Assignment Builder'!$B$11),OR('Assignment Builder'!$B$12="",N($Q3383)&lt;='Assignment Builder'!$B$12)))</f>
        <v/>
      </c>
      <c r="T3383" s="23" t="n"/>
    </row>
    <row r="3384">
      <c r="A3384" s="23" t="n"/>
      <c r="B3384" s="23" t="n"/>
      <c r="C3384" s="24" t="n"/>
      <c r="D3384" s="15" t="n"/>
      <c r="E3384" s="23" t="n"/>
      <c r="F3384" s="15" t="n"/>
      <c r="G3384" s="23" t="n"/>
      <c r="H3384" s="25" t="n"/>
      <c r="I3384" s="15" t="n"/>
      <c r="J3384" s="26">
        <f>IF($A3384="","",LEN($C3384)-LEN(SUBSTITUTE($C3384,",",""))+1)</f>
        <v/>
      </c>
      <c r="K3384" s="26">
        <f>IF($A3384="","",SUMPRODUCT(--ISNUMBER(SEARCH('Category Dictionary'!$D$5:$D$135&amp;"",$C3384)),--('Category Dictionary'!$D$5:$D$135&lt;&gt;"")))</f>
        <v/>
      </c>
      <c r="L3384" s="27">
        <f>IF($A3384="","",TRIM(IF(ISERROR(FIND(",",$C3384)),$C3384,LEFT($C3384,FIND(",",$C3384)-1))))</f>
        <v/>
      </c>
      <c r="M3384" s="28">
        <f>IF($H3384="","",DATE(YEAR($H3384),MONTH($H3384),1))</f>
        <v/>
      </c>
      <c r="N3384" s="26">
        <f>IF($H3384="","",TODAY()-$H3384)</f>
        <v/>
      </c>
      <c r="O3384" s="15" t="n"/>
      <c r="P3384" s="15" t="n"/>
      <c r="Q3384" s="15" t="n"/>
      <c r="R3384" s="25" t="n"/>
      <c r="S3384" s="26">
        <f>IF($A3384="","",AND(OR('Assignment Builder'!$B$5="",$B3384='Assignment Builder'!$B$5),OR('Assignment Builder'!$B$6="",ISNUMBER(SEARCH('Assignment Builder'!$B$6,$C3384))),OR('Assignment Builder'!$B$7="",'Assignment Builder'!$B$7=IFERROR(INDEX('Category Dictionary'!$C$5:$C$135,MATCH($L3384,'Category Dictionary'!$D$5:$D$135,0)),"")),OR('Assignment Builder'!$B$8="",$D3384='Assignment Builder'!$B$8),OR('Assignment Builder'!$B$9="",$F3384='Assignment Builder'!$B$9),OR('Assignment Builder'!$B$10="",$O3384='Assignment Builder'!$B$10),OR('Assignment Builder'!$B$11="",$H3384&gt;='Assignment Builder'!$B$11),OR('Assignment Builder'!$B$12="",N($Q3384)&lt;='Assignment Builder'!$B$12)))</f>
        <v/>
      </c>
      <c r="T3384" s="23" t="n"/>
    </row>
    <row r="3385">
      <c r="A3385" s="23" t="n"/>
      <c r="B3385" s="23" t="n"/>
      <c r="C3385" s="24" t="n"/>
      <c r="D3385" s="15" t="n"/>
      <c r="E3385" s="23" t="n"/>
      <c r="F3385" s="15" t="n"/>
      <c r="G3385" s="23" t="n"/>
      <c r="H3385" s="25" t="n"/>
      <c r="I3385" s="15" t="n"/>
      <c r="J3385" s="26">
        <f>IF($A3385="","",LEN($C3385)-LEN(SUBSTITUTE($C3385,",",""))+1)</f>
        <v/>
      </c>
      <c r="K3385" s="26">
        <f>IF($A3385="","",SUMPRODUCT(--ISNUMBER(SEARCH('Category Dictionary'!$D$5:$D$135&amp;"",$C3385)),--('Category Dictionary'!$D$5:$D$135&lt;&gt;"")))</f>
        <v/>
      </c>
      <c r="L3385" s="27">
        <f>IF($A3385="","",TRIM(IF(ISERROR(FIND(",",$C3385)),$C3385,LEFT($C3385,FIND(",",$C3385)-1))))</f>
        <v/>
      </c>
      <c r="M3385" s="28">
        <f>IF($H3385="","",DATE(YEAR($H3385),MONTH($H3385),1))</f>
        <v/>
      </c>
      <c r="N3385" s="26">
        <f>IF($H3385="","",TODAY()-$H3385)</f>
        <v/>
      </c>
      <c r="O3385" s="15" t="n"/>
      <c r="P3385" s="15" t="n"/>
      <c r="Q3385" s="15" t="n"/>
      <c r="R3385" s="25" t="n"/>
      <c r="S3385" s="26">
        <f>IF($A3385="","",AND(OR('Assignment Builder'!$B$5="",$B3385='Assignment Builder'!$B$5),OR('Assignment Builder'!$B$6="",ISNUMBER(SEARCH('Assignment Builder'!$B$6,$C3385))),OR('Assignment Builder'!$B$7="",'Assignment Builder'!$B$7=IFERROR(INDEX('Category Dictionary'!$C$5:$C$135,MATCH($L3385,'Category Dictionary'!$D$5:$D$135,0)),"")),OR('Assignment Builder'!$B$8="",$D3385='Assignment Builder'!$B$8),OR('Assignment Builder'!$B$9="",$F3385='Assignment Builder'!$B$9),OR('Assignment Builder'!$B$10="",$O3385='Assignment Builder'!$B$10),OR('Assignment Builder'!$B$11="",$H3385&gt;='Assignment Builder'!$B$11),OR('Assignment Builder'!$B$12="",N($Q3385)&lt;='Assignment Builder'!$B$12)))</f>
        <v/>
      </c>
      <c r="T3385" s="23" t="n"/>
    </row>
    <row r="3386">
      <c r="A3386" s="23" t="n"/>
      <c r="B3386" s="23" t="n"/>
      <c r="C3386" s="24" t="n"/>
      <c r="D3386" s="15" t="n"/>
      <c r="E3386" s="23" t="n"/>
      <c r="F3386" s="15" t="n"/>
      <c r="G3386" s="23" t="n"/>
      <c r="H3386" s="25" t="n"/>
      <c r="I3386" s="15" t="n"/>
      <c r="J3386" s="26">
        <f>IF($A3386="","",LEN($C3386)-LEN(SUBSTITUTE($C3386,",",""))+1)</f>
        <v/>
      </c>
      <c r="K3386" s="26">
        <f>IF($A3386="","",SUMPRODUCT(--ISNUMBER(SEARCH('Category Dictionary'!$D$5:$D$135&amp;"",$C3386)),--('Category Dictionary'!$D$5:$D$135&lt;&gt;"")))</f>
        <v/>
      </c>
      <c r="L3386" s="27">
        <f>IF($A3386="","",TRIM(IF(ISERROR(FIND(",",$C3386)),$C3386,LEFT($C3386,FIND(",",$C3386)-1))))</f>
        <v/>
      </c>
      <c r="M3386" s="28">
        <f>IF($H3386="","",DATE(YEAR($H3386),MONTH($H3386),1))</f>
        <v/>
      </c>
      <c r="N3386" s="26">
        <f>IF($H3386="","",TODAY()-$H3386)</f>
        <v/>
      </c>
      <c r="O3386" s="15" t="n"/>
      <c r="P3386" s="15" t="n"/>
      <c r="Q3386" s="15" t="n"/>
      <c r="R3386" s="25" t="n"/>
      <c r="S3386" s="26">
        <f>IF($A3386="","",AND(OR('Assignment Builder'!$B$5="",$B3386='Assignment Builder'!$B$5),OR('Assignment Builder'!$B$6="",ISNUMBER(SEARCH('Assignment Builder'!$B$6,$C3386))),OR('Assignment Builder'!$B$7="",'Assignment Builder'!$B$7=IFERROR(INDEX('Category Dictionary'!$C$5:$C$135,MATCH($L3386,'Category Dictionary'!$D$5:$D$135,0)),"")),OR('Assignment Builder'!$B$8="",$D3386='Assignment Builder'!$B$8),OR('Assignment Builder'!$B$9="",$F3386='Assignment Builder'!$B$9),OR('Assignment Builder'!$B$10="",$O3386='Assignment Builder'!$B$10),OR('Assignment Builder'!$B$11="",$H3386&gt;='Assignment Builder'!$B$11),OR('Assignment Builder'!$B$12="",N($Q3386)&lt;='Assignment Builder'!$B$12)))</f>
        <v/>
      </c>
      <c r="T3386" s="23" t="n"/>
    </row>
    <row r="3387">
      <c r="A3387" s="23" t="n"/>
      <c r="B3387" s="23" t="n"/>
      <c r="C3387" s="24" t="n"/>
      <c r="D3387" s="15" t="n"/>
      <c r="E3387" s="23" t="n"/>
      <c r="F3387" s="15" t="n"/>
      <c r="G3387" s="23" t="n"/>
      <c r="H3387" s="25" t="n"/>
      <c r="I3387" s="15" t="n"/>
      <c r="J3387" s="26">
        <f>IF($A3387="","",LEN($C3387)-LEN(SUBSTITUTE($C3387,",",""))+1)</f>
        <v/>
      </c>
      <c r="K3387" s="26">
        <f>IF($A3387="","",SUMPRODUCT(--ISNUMBER(SEARCH('Category Dictionary'!$D$5:$D$135&amp;"",$C3387)),--('Category Dictionary'!$D$5:$D$135&lt;&gt;"")))</f>
        <v/>
      </c>
      <c r="L3387" s="27">
        <f>IF($A3387="","",TRIM(IF(ISERROR(FIND(",",$C3387)),$C3387,LEFT($C3387,FIND(",",$C3387)-1))))</f>
        <v/>
      </c>
      <c r="M3387" s="28">
        <f>IF($H3387="","",DATE(YEAR($H3387),MONTH($H3387),1))</f>
        <v/>
      </c>
      <c r="N3387" s="26">
        <f>IF($H3387="","",TODAY()-$H3387)</f>
        <v/>
      </c>
      <c r="O3387" s="15" t="n"/>
      <c r="P3387" s="15" t="n"/>
      <c r="Q3387" s="15" t="n"/>
      <c r="R3387" s="25" t="n"/>
      <c r="S3387" s="26">
        <f>IF($A3387="","",AND(OR('Assignment Builder'!$B$5="",$B3387='Assignment Builder'!$B$5),OR('Assignment Builder'!$B$6="",ISNUMBER(SEARCH('Assignment Builder'!$B$6,$C3387))),OR('Assignment Builder'!$B$7="",'Assignment Builder'!$B$7=IFERROR(INDEX('Category Dictionary'!$C$5:$C$135,MATCH($L3387,'Category Dictionary'!$D$5:$D$135,0)),"")),OR('Assignment Builder'!$B$8="",$D3387='Assignment Builder'!$B$8),OR('Assignment Builder'!$B$9="",$F3387='Assignment Builder'!$B$9),OR('Assignment Builder'!$B$10="",$O3387='Assignment Builder'!$B$10),OR('Assignment Builder'!$B$11="",$H3387&gt;='Assignment Builder'!$B$11),OR('Assignment Builder'!$B$12="",N($Q3387)&lt;='Assignment Builder'!$B$12)))</f>
        <v/>
      </c>
      <c r="T3387" s="23" t="n"/>
    </row>
    <row r="3388">
      <c r="A3388" s="23" t="n"/>
      <c r="B3388" s="23" t="n"/>
      <c r="C3388" s="24" t="n"/>
      <c r="D3388" s="15" t="n"/>
      <c r="E3388" s="23" t="n"/>
      <c r="F3388" s="15" t="n"/>
      <c r="G3388" s="23" t="n"/>
      <c r="H3388" s="25" t="n"/>
      <c r="I3388" s="15" t="n"/>
      <c r="J3388" s="26">
        <f>IF($A3388="","",LEN($C3388)-LEN(SUBSTITUTE($C3388,",",""))+1)</f>
        <v/>
      </c>
      <c r="K3388" s="26">
        <f>IF($A3388="","",SUMPRODUCT(--ISNUMBER(SEARCH('Category Dictionary'!$D$5:$D$135&amp;"",$C3388)),--('Category Dictionary'!$D$5:$D$135&lt;&gt;"")))</f>
        <v/>
      </c>
      <c r="L3388" s="27">
        <f>IF($A3388="","",TRIM(IF(ISERROR(FIND(",",$C3388)),$C3388,LEFT($C3388,FIND(",",$C3388)-1))))</f>
        <v/>
      </c>
      <c r="M3388" s="28">
        <f>IF($H3388="","",DATE(YEAR($H3388),MONTH($H3388),1))</f>
        <v/>
      </c>
      <c r="N3388" s="26">
        <f>IF($H3388="","",TODAY()-$H3388)</f>
        <v/>
      </c>
      <c r="O3388" s="15" t="n"/>
      <c r="P3388" s="15" t="n"/>
      <c r="Q3388" s="15" t="n"/>
      <c r="R3388" s="25" t="n"/>
      <c r="S3388" s="26">
        <f>IF($A3388="","",AND(OR('Assignment Builder'!$B$5="",$B3388='Assignment Builder'!$B$5),OR('Assignment Builder'!$B$6="",ISNUMBER(SEARCH('Assignment Builder'!$B$6,$C3388))),OR('Assignment Builder'!$B$7="",'Assignment Builder'!$B$7=IFERROR(INDEX('Category Dictionary'!$C$5:$C$135,MATCH($L3388,'Category Dictionary'!$D$5:$D$135,0)),"")),OR('Assignment Builder'!$B$8="",$D3388='Assignment Builder'!$B$8),OR('Assignment Builder'!$B$9="",$F3388='Assignment Builder'!$B$9),OR('Assignment Builder'!$B$10="",$O3388='Assignment Builder'!$B$10),OR('Assignment Builder'!$B$11="",$H3388&gt;='Assignment Builder'!$B$11),OR('Assignment Builder'!$B$12="",N($Q3388)&lt;='Assignment Builder'!$B$12)))</f>
        <v/>
      </c>
      <c r="T3388" s="23" t="n"/>
    </row>
    <row r="3389">
      <c r="A3389" s="23" t="n"/>
      <c r="B3389" s="23" t="n"/>
      <c r="C3389" s="24" t="n"/>
      <c r="D3389" s="15" t="n"/>
      <c r="E3389" s="23" t="n"/>
      <c r="F3389" s="15" t="n"/>
      <c r="G3389" s="23" t="n"/>
      <c r="H3389" s="25" t="n"/>
      <c r="I3389" s="15" t="n"/>
      <c r="J3389" s="26">
        <f>IF($A3389="","",LEN($C3389)-LEN(SUBSTITUTE($C3389,",",""))+1)</f>
        <v/>
      </c>
      <c r="K3389" s="26">
        <f>IF($A3389="","",SUMPRODUCT(--ISNUMBER(SEARCH('Category Dictionary'!$D$5:$D$135&amp;"",$C3389)),--('Category Dictionary'!$D$5:$D$135&lt;&gt;"")))</f>
        <v/>
      </c>
      <c r="L3389" s="27">
        <f>IF($A3389="","",TRIM(IF(ISERROR(FIND(",",$C3389)),$C3389,LEFT($C3389,FIND(",",$C3389)-1))))</f>
        <v/>
      </c>
      <c r="M3389" s="28">
        <f>IF($H3389="","",DATE(YEAR($H3389),MONTH($H3389),1))</f>
        <v/>
      </c>
      <c r="N3389" s="26">
        <f>IF($H3389="","",TODAY()-$H3389)</f>
        <v/>
      </c>
      <c r="O3389" s="15" t="n"/>
      <c r="P3389" s="15" t="n"/>
      <c r="Q3389" s="15" t="n"/>
      <c r="R3389" s="25" t="n"/>
      <c r="S3389" s="26">
        <f>IF($A3389="","",AND(OR('Assignment Builder'!$B$5="",$B3389='Assignment Builder'!$B$5),OR('Assignment Builder'!$B$6="",ISNUMBER(SEARCH('Assignment Builder'!$B$6,$C3389))),OR('Assignment Builder'!$B$7="",'Assignment Builder'!$B$7=IFERROR(INDEX('Category Dictionary'!$C$5:$C$135,MATCH($L3389,'Category Dictionary'!$D$5:$D$135,0)),"")),OR('Assignment Builder'!$B$8="",$D3389='Assignment Builder'!$B$8),OR('Assignment Builder'!$B$9="",$F3389='Assignment Builder'!$B$9),OR('Assignment Builder'!$B$10="",$O3389='Assignment Builder'!$B$10),OR('Assignment Builder'!$B$11="",$H3389&gt;='Assignment Builder'!$B$11),OR('Assignment Builder'!$B$12="",N($Q3389)&lt;='Assignment Builder'!$B$12)))</f>
        <v/>
      </c>
      <c r="T3389" s="23" t="n"/>
    </row>
    <row r="3390">
      <c r="A3390" s="23" t="n"/>
      <c r="B3390" s="23" t="n"/>
      <c r="C3390" s="24" t="n"/>
      <c r="D3390" s="15" t="n"/>
      <c r="E3390" s="23" t="n"/>
      <c r="F3390" s="15" t="n"/>
      <c r="G3390" s="23" t="n"/>
      <c r="H3390" s="25" t="n"/>
      <c r="I3390" s="15" t="n"/>
      <c r="J3390" s="26">
        <f>IF($A3390="","",LEN($C3390)-LEN(SUBSTITUTE($C3390,",",""))+1)</f>
        <v/>
      </c>
      <c r="K3390" s="26">
        <f>IF($A3390="","",SUMPRODUCT(--ISNUMBER(SEARCH('Category Dictionary'!$D$5:$D$135&amp;"",$C3390)),--('Category Dictionary'!$D$5:$D$135&lt;&gt;"")))</f>
        <v/>
      </c>
      <c r="L3390" s="27">
        <f>IF($A3390="","",TRIM(IF(ISERROR(FIND(",",$C3390)),$C3390,LEFT($C3390,FIND(",",$C3390)-1))))</f>
        <v/>
      </c>
      <c r="M3390" s="28">
        <f>IF($H3390="","",DATE(YEAR($H3390),MONTH($H3390),1))</f>
        <v/>
      </c>
      <c r="N3390" s="26">
        <f>IF($H3390="","",TODAY()-$H3390)</f>
        <v/>
      </c>
      <c r="O3390" s="15" t="n"/>
      <c r="P3390" s="15" t="n"/>
      <c r="Q3390" s="15" t="n"/>
      <c r="R3390" s="25" t="n"/>
      <c r="S3390" s="26">
        <f>IF($A3390="","",AND(OR('Assignment Builder'!$B$5="",$B3390='Assignment Builder'!$B$5),OR('Assignment Builder'!$B$6="",ISNUMBER(SEARCH('Assignment Builder'!$B$6,$C3390))),OR('Assignment Builder'!$B$7="",'Assignment Builder'!$B$7=IFERROR(INDEX('Category Dictionary'!$C$5:$C$135,MATCH($L3390,'Category Dictionary'!$D$5:$D$135,0)),"")),OR('Assignment Builder'!$B$8="",$D3390='Assignment Builder'!$B$8),OR('Assignment Builder'!$B$9="",$F3390='Assignment Builder'!$B$9),OR('Assignment Builder'!$B$10="",$O3390='Assignment Builder'!$B$10),OR('Assignment Builder'!$B$11="",$H3390&gt;='Assignment Builder'!$B$11),OR('Assignment Builder'!$B$12="",N($Q3390)&lt;='Assignment Builder'!$B$12)))</f>
        <v/>
      </c>
      <c r="T3390" s="23" t="n"/>
    </row>
    <row r="3391">
      <c r="A3391" s="23" t="n"/>
      <c r="B3391" s="23" t="n"/>
      <c r="C3391" s="24" t="n"/>
      <c r="D3391" s="15" t="n"/>
      <c r="E3391" s="23" t="n"/>
      <c r="F3391" s="15" t="n"/>
      <c r="G3391" s="23" t="n"/>
      <c r="H3391" s="25" t="n"/>
      <c r="I3391" s="15" t="n"/>
      <c r="J3391" s="26">
        <f>IF($A3391="","",LEN($C3391)-LEN(SUBSTITUTE($C3391,",",""))+1)</f>
        <v/>
      </c>
      <c r="K3391" s="26">
        <f>IF($A3391="","",SUMPRODUCT(--ISNUMBER(SEARCH('Category Dictionary'!$D$5:$D$135&amp;"",$C3391)),--('Category Dictionary'!$D$5:$D$135&lt;&gt;"")))</f>
        <v/>
      </c>
      <c r="L3391" s="27">
        <f>IF($A3391="","",TRIM(IF(ISERROR(FIND(",",$C3391)),$C3391,LEFT($C3391,FIND(",",$C3391)-1))))</f>
        <v/>
      </c>
      <c r="M3391" s="28">
        <f>IF($H3391="","",DATE(YEAR($H3391),MONTH($H3391),1))</f>
        <v/>
      </c>
      <c r="N3391" s="26">
        <f>IF($H3391="","",TODAY()-$H3391)</f>
        <v/>
      </c>
      <c r="O3391" s="15" t="n"/>
      <c r="P3391" s="15" t="n"/>
      <c r="Q3391" s="15" t="n"/>
      <c r="R3391" s="25" t="n"/>
      <c r="S3391" s="26">
        <f>IF($A3391="","",AND(OR('Assignment Builder'!$B$5="",$B3391='Assignment Builder'!$B$5),OR('Assignment Builder'!$B$6="",ISNUMBER(SEARCH('Assignment Builder'!$B$6,$C3391))),OR('Assignment Builder'!$B$7="",'Assignment Builder'!$B$7=IFERROR(INDEX('Category Dictionary'!$C$5:$C$135,MATCH($L3391,'Category Dictionary'!$D$5:$D$135,0)),"")),OR('Assignment Builder'!$B$8="",$D3391='Assignment Builder'!$B$8),OR('Assignment Builder'!$B$9="",$F3391='Assignment Builder'!$B$9),OR('Assignment Builder'!$B$10="",$O3391='Assignment Builder'!$B$10),OR('Assignment Builder'!$B$11="",$H3391&gt;='Assignment Builder'!$B$11),OR('Assignment Builder'!$B$12="",N($Q3391)&lt;='Assignment Builder'!$B$12)))</f>
        <v/>
      </c>
      <c r="T3391" s="23" t="n"/>
    </row>
    <row r="3392">
      <c r="A3392" s="23" t="n"/>
      <c r="B3392" s="23" t="n"/>
      <c r="C3392" s="24" t="n"/>
      <c r="D3392" s="15" t="n"/>
      <c r="E3392" s="23" t="n"/>
      <c r="F3392" s="15" t="n"/>
      <c r="G3392" s="23" t="n"/>
      <c r="H3392" s="25" t="n"/>
      <c r="I3392" s="15" t="n"/>
      <c r="J3392" s="26">
        <f>IF($A3392="","",LEN($C3392)-LEN(SUBSTITUTE($C3392,",",""))+1)</f>
        <v/>
      </c>
      <c r="K3392" s="26">
        <f>IF($A3392="","",SUMPRODUCT(--ISNUMBER(SEARCH('Category Dictionary'!$D$5:$D$135&amp;"",$C3392)),--('Category Dictionary'!$D$5:$D$135&lt;&gt;"")))</f>
        <v/>
      </c>
      <c r="L3392" s="27">
        <f>IF($A3392="","",TRIM(IF(ISERROR(FIND(",",$C3392)),$C3392,LEFT($C3392,FIND(",",$C3392)-1))))</f>
        <v/>
      </c>
      <c r="M3392" s="28">
        <f>IF($H3392="","",DATE(YEAR($H3392),MONTH($H3392),1))</f>
        <v/>
      </c>
      <c r="N3392" s="26">
        <f>IF($H3392="","",TODAY()-$H3392)</f>
        <v/>
      </c>
      <c r="O3392" s="15" t="n"/>
      <c r="P3392" s="15" t="n"/>
      <c r="Q3392" s="15" t="n"/>
      <c r="R3392" s="25" t="n"/>
      <c r="S3392" s="26">
        <f>IF($A3392="","",AND(OR('Assignment Builder'!$B$5="",$B3392='Assignment Builder'!$B$5),OR('Assignment Builder'!$B$6="",ISNUMBER(SEARCH('Assignment Builder'!$B$6,$C3392))),OR('Assignment Builder'!$B$7="",'Assignment Builder'!$B$7=IFERROR(INDEX('Category Dictionary'!$C$5:$C$135,MATCH($L3392,'Category Dictionary'!$D$5:$D$135,0)),"")),OR('Assignment Builder'!$B$8="",$D3392='Assignment Builder'!$B$8),OR('Assignment Builder'!$B$9="",$F3392='Assignment Builder'!$B$9),OR('Assignment Builder'!$B$10="",$O3392='Assignment Builder'!$B$10),OR('Assignment Builder'!$B$11="",$H3392&gt;='Assignment Builder'!$B$11),OR('Assignment Builder'!$B$12="",N($Q3392)&lt;='Assignment Builder'!$B$12)))</f>
        <v/>
      </c>
      <c r="T3392" s="23" t="n"/>
    </row>
    <row r="3393">
      <c r="A3393" s="23" t="n"/>
      <c r="B3393" s="23" t="n"/>
      <c r="C3393" s="24" t="n"/>
      <c r="D3393" s="15" t="n"/>
      <c r="E3393" s="23" t="n"/>
      <c r="F3393" s="15" t="n"/>
      <c r="G3393" s="23" t="n"/>
      <c r="H3393" s="25" t="n"/>
      <c r="I3393" s="15" t="n"/>
      <c r="J3393" s="26">
        <f>IF($A3393="","",LEN($C3393)-LEN(SUBSTITUTE($C3393,",",""))+1)</f>
        <v/>
      </c>
      <c r="K3393" s="26">
        <f>IF($A3393="","",SUMPRODUCT(--ISNUMBER(SEARCH('Category Dictionary'!$D$5:$D$135&amp;"",$C3393)),--('Category Dictionary'!$D$5:$D$135&lt;&gt;"")))</f>
        <v/>
      </c>
      <c r="L3393" s="27">
        <f>IF($A3393="","",TRIM(IF(ISERROR(FIND(",",$C3393)),$C3393,LEFT($C3393,FIND(",",$C3393)-1))))</f>
        <v/>
      </c>
      <c r="M3393" s="28">
        <f>IF($H3393="","",DATE(YEAR($H3393),MONTH($H3393),1))</f>
        <v/>
      </c>
      <c r="N3393" s="26">
        <f>IF($H3393="","",TODAY()-$H3393)</f>
        <v/>
      </c>
      <c r="O3393" s="15" t="n"/>
      <c r="P3393" s="15" t="n"/>
      <c r="Q3393" s="15" t="n"/>
      <c r="R3393" s="25" t="n"/>
      <c r="S3393" s="26">
        <f>IF($A3393="","",AND(OR('Assignment Builder'!$B$5="",$B3393='Assignment Builder'!$B$5),OR('Assignment Builder'!$B$6="",ISNUMBER(SEARCH('Assignment Builder'!$B$6,$C3393))),OR('Assignment Builder'!$B$7="",'Assignment Builder'!$B$7=IFERROR(INDEX('Category Dictionary'!$C$5:$C$135,MATCH($L3393,'Category Dictionary'!$D$5:$D$135,0)),"")),OR('Assignment Builder'!$B$8="",$D3393='Assignment Builder'!$B$8),OR('Assignment Builder'!$B$9="",$F3393='Assignment Builder'!$B$9),OR('Assignment Builder'!$B$10="",$O3393='Assignment Builder'!$B$10),OR('Assignment Builder'!$B$11="",$H3393&gt;='Assignment Builder'!$B$11),OR('Assignment Builder'!$B$12="",N($Q3393)&lt;='Assignment Builder'!$B$12)))</f>
        <v/>
      </c>
      <c r="T3393" s="23" t="n"/>
    </row>
    <row r="3394">
      <c r="A3394" s="23" t="n"/>
      <c r="B3394" s="23" t="n"/>
      <c r="C3394" s="24" t="n"/>
      <c r="D3394" s="15" t="n"/>
      <c r="E3394" s="23" t="n"/>
      <c r="F3394" s="15" t="n"/>
      <c r="G3394" s="23" t="n"/>
      <c r="H3394" s="25" t="n"/>
      <c r="I3394" s="15" t="n"/>
      <c r="J3394" s="26">
        <f>IF($A3394="","",LEN($C3394)-LEN(SUBSTITUTE($C3394,",",""))+1)</f>
        <v/>
      </c>
      <c r="K3394" s="26">
        <f>IF($A3394="","",SUMPRODUCT(--ISNUMBER(SEARCH('Category Dictionary'!$D$5:$D$135&amp;"",$C3394)),--('Category Dictionary'!$D$5:$D$135&lt;&gt;"")))</f>
        <v/>
      </c>
      <c r="L3394" s="27">
        <f>IF($A3394="","",TRIM(IF(ISERROR(FIND(",",$C3394)),$C3394,LEFT($C3394,FIND(",",$C3394)-1))))</f>
        <v/>
      </c>
      <c r="M3394" s="28">
        <f>IF($H3394="","",DATE(YEAR($H3394),MONTH($H3394),1))</f>
        <v/>
      </c>
      <c r="N3394" s="26">
        <f>IF($H3394="","",TODAY()-$H3394)</f>
        <v/>
      </c>
      <c r="O3394" s="15" t="n"/>
      <c r="P3394" s="15" t="n"/>
      <c r="Q3394" s="15" t="n"/>
      <c r="R3394" s="25" t="n"/>
      <c r="S3394" s="26">
        <f>IF($A3394="","",AND(OR('Assignment Builder'!$B$5="",$B3394='Assignment Builder'!$B$5),OR('Assignment Builder'!$B$6="",ISNUMBER(SEARCH('Assignment Builder'!$B$6,$C3394))),OR('Assignment Builder'!$B$7="",'Assignment Builder'!$B$7=IFERROR(INDEX('Category Dictionary'!$C$5:$C$135,MATCH($L3394,'Category Dictionary'!$D$5:$D$135,0)),"")),OR('Assignment Builder'!$B$8="",$D3394='Assignment Builder'!$B$8),OR('Assignment Builder'!$B$9="",$F3394='Assignment Builder'!$B$9),OR('Assignment Builder'!$B$10="",$O3394='Assignment Builder'!$B$10),OR('Assignment Builder'!$B$11="",$H3394&gt;='Assignment Builder'!$B$11),OR('Assignment Builder'!$B$12="",N($Q3394)&lt;='Assignment Builder'!$B$12)))</f>
        <v/>
      </c>
      <c r="T3394" s="23" t="n"/>
    </row>
    <row r="3395">
      <c r="A3395" s="23" t="n"/>
      <c r="B3395" s="23" t="n"/>
      <c r="C3395" s="24" t="n"/>
      <c r="D3395" s="15" t="n"/>
      <c r="E3395" s="23" t="n"/>
      <c r="F3395" s="15" t="n"/>
      <c r="G3395" s="23" t="n"/>
      <c r="H3395" s="25" t="n"/>
      <c r="I3395" s="15" t="n"/>
      <c r="J3395" s="26">
        <f>IF($A3395="","",LEN($C3395)-LEN(SUBSTITUTE($C3395,",",""))+1)</f>
        <v/>
      </c>
      <c r="K3395" s="26">
        <f>IF($A3395="","",SUMPRODUCT(--ISNUMBER(SEARCH('Category Dictionary'!$D$5:$D$135&amp;"",$C3395)),--('Category Dictionary'!$D$5:$D$135&lt;&gt;"")))</f>
        <v/>
      </c>
      <c r="L3395" s="27">
        <f>IF($A3395="","",TRIM(IF(ISERROR(FIND(",",$C3395)),$C3395,LEFT($C3395,FIND(",",$C3395)-1))))</f>
        <v/>
      </c>
      <c r="M3395" s="28">
        <f>IF($H3395="","",DATE(YEAR($H3395),MONTH($H3395),1))</f>
        <v/>
      </c>
      <c r="N3395" s="26">
        <f>IF($H3395="","",TODAY()-$H3395)</f>
        <v/>
      </c>
      <c r="O3395" s="15" t="n"/>
      <c r="P3395" s="15" t="n"/>
      <c r="Q3395" s="15" t="n"/>
      <c r="R3395" s="25" t="n"/>
      <c r="S3395" s="26">
        <f>IF($A3395="","",AND(OR('Assignment Builder'!$B$5="",$B3395='Assignment Builder'!$B$5),OR('Assignment Builder'!$B$6="",ISNUMBER(SEARCH('Assignment Builder'!$B$6,$C3395))),OR('Assignment Builder'!$B$7="",'Assignment Builder'!$B$7=IFERROR(INDEX('Category Dictionary'!$C$5:$C$135,MATCH($L3395,'Category Dictionary'!$D$5:$D$135,0)),"")),OR('Assignment Builder'!$B$8="",$D3395='Assignment Builder'!$B$8),OR('Assignment Builder'!$B$9="",$F3395='Assignment Builder'!$B$9),OR('Assignment Builder'!$B$10="",$O3395='Assignment Builder'!$B$10),OR('Assignment Builder'!$B$11="",$H3395&gt;='Assignment Builder'!$B$11),OR('Assignment Builder'!$B$12="",N($Q3395)&lt;='Assignment Builder'!$B$12)))</f>
        <v/>
      </c>
      <c r="T3395" s="23" t="n"/>
    </row>
    <row r="3396">
      <c r="A3396" s="23" t="n"/>
      <c r="B3396" s="23" t="n"/>
      <c r="C3396" s="24" t="n"/>
      <c r="D3396" s="15" t="n"/>
      <c r="E3396" s="23" t="n"/>
      <c r="F3396" s="15" t="n"/>
      <c r="G3396" s="23" t="n"/>
      <c r="H3396" s="25" t="n"/>
      <c r="I3396" s="15" t="n"/>
      <c r="J3396" s="26">
        <f>IF($A3396="","",LEN($C3396)-LEN(SUBSTITUTE($C3396,",",""))+1)</f>
        <v/>
      </c>
      <c r="K3396" s="26">
        <f>IF($A3396="","",SUMPRODUCT(--ISNUMBER(SEARCH('Category Dictionary'!$D$5:$D$135&amp;"",$C3396)),--('Category Dictionary'!$D$5:$D$135&lt;&gt;"")))</f>
        <v/>
      </c>
      <c r="L3396" s="27">
        <f>IF($A3396="","",TRIM(IF(ISERROR(FIND(",",$C3396)),$C3396,LEFT($C3396,FIND(",",$C3396)-1))))</f>
        <v/>
      </c>
      <c r="M3396" s="28">
        <f>IF($H3396="","",DATE(YEAR($H3396),MONTH($H3396),1))</f>
        <v/>
      </c>
      <c r="N3396" s="26">
        <f>IF($H3396="","",TODAY()-$H3396)</f>
        <v/>
      </c>
      <c r="O3396" s="15" t="n"/>
      <c r="P3396" s="15" t="n"/>
      <c r="Q3396" s="15" t="n"/>
      <c r="R3396" s="25" t="n"/>
      <c r="S3396" s="26">
        <f>IF($A3396="","",AND(OR('Assignment Builder'!$B$5="",$B3396='Assignment Builder'!$B$5),OR('Assignment Builder'!$B$6="",ISNUMBER(SEARCH('Assignment Builder'!$B$6,$C3396))),OR('Assignment Builder'!$B$7="",'Assignment Builder'!$B$7=IFERROR(INDEX('Category Dictionary'!$C$5:$C$135,MATCH($L3396,'Category Dictionary'!$D$5:$D$135,0)),"")),OR('Assignment Builder'!$B$8="",$D3396='Assignment Builder'!$B$8),OR('Assignment Builder'!$B$9="",$F3396='Assignment Builder'!$B$9),OR('Assignment Builder'!$B$10="",$O3396='Assignment Builder'!$B$10),OR('Assignment Builder'!$B$11="",$H3396&gt;='Assignment Builder'!$B$11),OR('Assignment Builder'!$B$12="",N($Q3396)&lt;='Assignment Builder'!$B$12)))</f>
        <v/>
      </c>
      <c r="T3396" s="23" t="n"/>
    </row>
    <row r="3397">
      <c r="A3397" s="23" t="n"/>
      <c r="B3397" s="23" t="n"/>
      <c r="C3397" s="24" t="n"/>
      <c r="D3397" s="15" t="n"/>
      <c r="E3397" s="23" t="n"/>
      <c r="F3397" s="15" t="n"/>
      <c r="G3397" s="23" t="n"/>
      <c r="H3397" s="25" t="n"/>
      <c r="I3397" s="15" t="n"/>
      <c r="J3397" s="26">
        <f>IF($A3397="","",LEN($C3397)-LEN(SUBSTITUTE($C3397,",",""))+1)</f>
        <v/>
      </c>
      <c r="K3397" s="26">
        <f>IF($A3397="","",SUMPRODUCT(--ISNUMBER(SEARCH('Category Dictionary'!$D$5:$D$135&amp;"",$C3397)),--('Category Dictionary'!$D$5:$D$135&lt;&gt;"")))</f>
        <v/>
      </c>
      <c r="L3397" s="27">
        <f>IF($A3397="","",TRIM(IF(ISERROR(FIND(",",$C3397)),$C3397,LEFT($C3397,FIND(",",$C3397)-1))))</f>
        <v/>
      </c>
      <c r="M3397" s="28">
        <f>IF($H3397="","",DATE(YEAR($H3397),MONTH($H3397),1))</f>
        <v/>
      </c>
      <c r="N3397" s="26">
        <f>IF($H3397="","",TODAY()-$H3397)</f>
        <v/>
      </c>
      <c r="O3397" s="15" t="n"/>
      <c r="P3397" s="15" t="n"/>
      <c r="Q3397" s="15" t="n"/>
      <c r="R3397" s="25" t="n"/>
      <c r="S3397" s="26">
        <f>IF($A3397="","",AND(OR('Assignment Builder'!$B$5="",$B3397='Assignment Builder'!$B$5),OR('Assignment Builder'!$B$6="",ISNUMBER(SEARCH('Assignment Builder'!$B$6,$C3397))),OR('Assignment Builder'!$B$7="",'Assignment Builder'!$B$7=IFERROR(INDEX('Category Dictionary'!$C$5:$C$135,MATCH($L3397,'Category Dictionary'!$D$5:$D$135,0)),"")),OR('Assignment Builder'!$B$8="",$D3397='Assignment Builder'!$B$8),OR('Assignment Builder'!$B$9="",$F3397='Assignment Builder'!$B$9),OR('Assignment Builder'!$B$10="",$O3397='Assignment Builder'!$B$10),OR('Assignment Builder'!$B$11="",$H3397&gt;='Assignment Builder'!$B$11),OR('Assignment Builder'!$B$12="",N($Q3397)&lt;='Assignment Builder'!$B$12)))</f>
        <v/>
      </c>
      <c r="T3397" s="23" t="n"/>
    </row>
    <row r="3398">
      <c r="A3398" s="23" t="n"/>
      <c r="B3398" s="23" t="n"/>
      <c r="C3398" s="24" t="n"/>
      <c r="D3398" s="15" t="n"/>
      <c r="E3398" s="23" t="n"/>
      <c r="F3398" s="15" t="n"/>
      <c r="G3398" s="23" t="n"/>
      <c r="H3398" s="25" t="n"/>
      <c r="I3398" s="15" t="n"/>
      <c r="J3398" s="26">
        <f>IF($A3398="","",LEN($C3398)-LEN(SUBSTITUTE($C3398,",",""))+1)</f>
        <v/>
      </c>
      <c r="K3398" s="26">
        <f>IF($A3398="","",SUMPRODUCT(--ISNUMBER(SEARCH('Category Dictionary'!$D$5:$D$135&amp;"",$C3398)),--('Category Dictionary'!$D$5:$D$135&lt;&gt;"")))</f>
        <v/>
      </c>
      <c r="L3398" s="27">
        <f>IF($A3398="","",TRIM(IF(ISERROR(FIND(",",$C3398)),$C3398,LEFT($C3398,FIND(",",$C3398)-1))))</f>
        <v/>
      </c>
      <c r="M3398" s="28">
        <f>IF($H3398="","",DATE(YEAR($H3398),MONTH($H3398),1))</f>
        <v/>
      </c>
      <c r="N3398" s="26">
        <f>IF($H3398="","",TODAY()-$H3398)</f>
        <v/>
      </c>
      <c r="O3398" s="15" t="n"/>
      <c r="P3398" s="15" t="n"/>
      <c r="Q3398" s="15" t="n"/>
      <c r="R3398" s="25" t="n"/>
      <c r="S3398" s="26">
        <f>IF($A3398="","",AND(OR('Assignment Builder'!$B$5="",$B3398='Assignment Builder'!$B$5),OR('Assignment Builder'!$B$6="",ISNUMBER(SEARCH('Assignment Builder'!$B$6,$C3398))),OR('Assignment Builder'!$B$7="",'Assignment Builder'!$B$7=IFERROR(INDEX('Category Dictionary'!$C$5:$C$135,MATCH($L3398,'Category Dictionary'!$D$5:$D$135,0)),"")),OR('Assignment Builder'!$B$8="",$D3398='Assignment Builder'!$B$8),OR('Assignment Builder'!$B$9="",$F3398='Assignment Builder'!$B$9),OR('Assignment Builder'!$B$10="",$O3398='Assignment Builder'!$B$10),OR('Assignment Builder'!$B$11="",$H3398&gt;='Assignment Builder'!$B$11),OR('Assignment Builder'!$B$12="",N($Q3398)&lt;='Assignment Builder'!$B$12)))</f>
        <v/>
      </c>
      <c r="T3398" s="23" t="n"/>
    </row>
    <row r="3399">
      <c r="A3399" s="23" t="n"/>
      <c r="B3399" s="23" t="n"/>
      <c r="C3399" s="24" t="n"/>
      <c r="D3399" s="15" t="n"/>
      <c r="E3399" s="23" t="n"/>
      <c r="F3399" s="15" t="n"/>
      <c r="G3399" s="23" t="n"/>
      <c r="H3399" s="25" t="n"/>
      <c r="I3399" s="15" t="n"/>
      <c r="J3399" s="26">
        <f>IF($A3399="","",LEN($C3399)-LEN(SUBSTITUTE($C3399,",",""))+1)</f>
        <v/>
      </c>
      <c r="K3399" s="26">
        <f>IF($A3399="","",SUMPRODUCT(--ISNUMBER(SEARCH('Category Dictionary'!$D$5:$D$135&amp;"",$C3399)),--('Category Dictionary'!$D$5:$D$135&lt;&gt;"")))</f>
        <v/>
      </c>
      <c r="L3399" s="27">
        <f>IF($A3399="","",TRIM(IF(ISERROR(FIND(",",$C3399)),$C3399,LEFT($C3399,FIND(",",$C3399)-1))))</f>
        <v/>
      </c>
      <c r="M3399" s="28">
        <f>IF($H3399="","",DATE(YEAR($H3399),MONTH($H3399),1))</f>
        <v/>
      </c>
      <c r="N3399" s="26">
        <f>IF($H3399="","",TODAY()-$H3399)</f>
        <v/>
      </c>
      <c r="O3399" s="15" t="n"/>
      <c r="P3399" s="15" t="n"/>
      <c r="Q3399" s="15" t="n"/>
      <c r="R3399" s="25" t="n"/>
      <c r="S3399" s="26">
        <f>IF($A3399="","",AND(OR('Assignment Builder'!$B$5="",$B3399='Assignment Builder'!$B$5),OR('Assignment Builder'!$B$6="",ISNUMBER(SEARCH('Assignment Builder'!$B$6,$C3399))),OR('Assignment Builder'!$B$7="",'Assignment Builder'!$B$7=IFERROR(INDEX('Category Dictionary'!$C$5:$C$135,MATCH($L3399,'Category Dictionary'!$D$5:$D$135,0)),"")),OR('Assignment Builder'!$B$8="",$D3399='Assignment Builder'!$B$8),OR('Assignment Builder'!$B$9="",$F3399='Assignment Builder'!$B$9),OR('Assignment Builder'!$B$10="",$O3399='Assignment Builder'!$B$10),OR('Assignment Builder'!$B$11="",$H3399&gt;='Assignment Builder'!$B$11),OR('Assignment Builder'!$B$12="",N($Q3399)&lt;='Assignment Builder'!$B$12)))</f>
        <v/>
      </c>
      <c r="T3399" s="23" t="n"/>
    </row>
    <row r="3400">
      <c r="A3400" s="23" t="n"/>
      <c r="B3400" s="23" t="n"/>
      <c r="C3400" s="24" t="n"/>
      <c r="D3400" s="15" t="n"/>
      <c r="E3400" s="23" t="n"/>
      <c r="F3400" s="15" t="n"/>
      <c r="G3400" s="23" t="n"/>
      <c r="H3400" s="25" t="n"/>
      <c r="I3400" s="15" t="n"/>
      <c r="J3400" s="26">
        <f>IF($A3400="","",LEN($C3400)-LEN(SUBSTITUTE($C3400,",",""))+1)</f>
        <v/>
      </c>
      <c r="K3400" s="26">
        <f>IF($A3400="","",SUMPRODUCT(--ISNUMBER(SEARCH('Category Dictionary'!$D$5:$D$135&amp;"",$C3400)),--('Category Dictionary'!$D$5:$D$135&lt;&gt;"")))</f>
        <v/>
      </c>
      <c r="L3400" s="27">
        <f>IF($A3400="","",TRIM(IF(ISERROR(FIND(",",$C3400)),$C3400,LEFT($C3400,FIND(",",$C3400)-1))))</f>
        <v/>
      </c>
      <c r="M3400" s="28">
        <f>IF($H3400="","",DATE(YEAR($H3400),MONTH($H3400),1))</f>
        <v/>
      </c>
      <c r="N3400" s="26">
        <f>IF($H3400="","",TODAY()-$H3400)</f>
        <v/>
      </c>
      <c r="O3400" s="15" t="n"/>
      <c r="P3400" s="15" t="n"/>
      <c r="Q3400" s="15" t="n"/>
      <c r="R3400" s="25" t="n"/>
      <c r="S3400" s="26">
        <f>IF($A3400="","",AND(OR('Assignment Builder'!$B$5="",$B3400='Assignment Builder'!$B$5),OR('Assignment Builder'!$B$6="",ISNUMBER(SEARCH('Assignment Builder'!$B$6,$C3400))),OR('Assignment Builder'!$B$7="",'Assignment Builder'!$B$7=IFERROR(INDEX('Category Dictionary'!$C$5:$C$135,MATCH($L3400,'Category Dictionary'!$D$5:$D$135,0)),"")),OR('Assignment Builder'!$B$8="",$D3400='Assignment Builder'!$B$8),OR('Assignment Builder'!$B$9="",$F3400='Assignment Builder'!$B$9),OR('Assignment Builder'!$B$10="",$O3400='Assignment Builder'!$B$10),OR('Assignment Builder'!$B$11="",$H3400&gt;='Assignment Builder'!$B$11),OR('Assignment Builder'!$B$12="",N($Q3400)&lt;='Assignment Builder'!$B$12)))</f>
        <v/>
      </c>
      <c r="T3400" s="23" t="n"/>
    </row>
    <row r="3401">
      <c r="A3401" s="23" t="n"/>
      <c r="B3401" s="23" t="n"/>
      <c r="C3401" s="24" t="n"/>
      <c r="D3401" s="15" t="n"/>
      <c r="E3401" s="23" t="n"/>
      <c r="F3401" s="15" t="n"/>
      <c r="G3401" s="23" t="n"/>
      <c r="H3401" s="25" t="n"/>
      <c r="I3401" s="15" t="n"/>
      <c r="J3401" s="26">
        <f>IF($A3401="","",LEN($C3401)-LEN(SUBSTITUTE($C3401,",",""))+1)</f>
        <v/>
      </c>
      <c r="K3401" s="26">
        <f>IF($A3401="","",SUMPRODUCT(--ISNUMBER(SEARCH('Category Dictionary'!$D$5:$D$135&amp;"",$C3401)),--('Category Dictionary'!$D$5:$D$135&lt;&gt;"")))</f>
        <v/>
      </c>
      <c r="L3401" s="27">
        <f>IF($A3401="","",TRIM(IF(ISERROR(FIND(",",$C3401)),$C3401,LEFT($C3401,FIND(",",$C3401)-1))))</f>
        <v/>
      </c>
      <c r="M3401" s="28">
        <f>IF($H3401="","",DATE(YEAR($H3401),MONTH($H3401),1))</f>
        <v/>
      </c>
      <c r="N3401" s="26">
        <f>IF($H3401="","",TODAY()-$H3401)</f>
        <v/>
      </c>
      <c r="O3401" s="15" t="n"/>
      <c r="P3401" s="15" t="n"/>
      <c r="Q3401" s="15" t="n"/>
      <c r="R3401" s="25" t="n"/>
      <c r="S3401" s="26">
        <f>IF($A3401="","",AND(OR('Assignment Builder'!$B$5="",$B3401='Assignment Builder'!$B$5),OR('Assignment Builder'!$B$6="",ISNUMBER(SEARCH('Assignment Builder'!$B$6,$C3401))),OR('Assignment Builder'!$B$7="",'Assignment Builder'!$B$7=IFERROR(INDEX('Category Dictionary'!$C$5:$C$135,MATCH($L3401,'Category Dictionary'!$D$5:$D$135,0)),"")),OR('Assignment Builder'!$B$8="",$D3401='Assignment Builder'!$B$8),OR('Assignment Builder'!$B$9="",$F3401='Assignment Builder'!$B$9),OR('Assignment Builder'!$B$10="",$O3401='Assignment Builder'!$B$10),OR('Assignment Builder'!$B$11="",$H3401&gt;='Assignment Builder'!$B$11),OR('Assignment Builder'!$B$12="",N($Q3401)&lt;='Assignment Builder'!$B$12)))</f>
        <v/>
      </c>
      <c r="T3401" s="23" t="n"/>
    </row>
    <row r="3402">
      <c r="A3402" s="23" t="n"/>
      <c r="B3402" s="23" t="n"/>
      <c r="C3402" s="24" t="n"/>
      <c r="D3402" s="15" t="n"/>
      <c r="E3402" s="23" t="n"/>
      <c r="F3402" s="15" t="n"/>
      <c r="G3402" s="23" t="n"/>
      <c r="H3402" s="25" t="n"/>
      <c r="I3402" s="15" t="n"/>
      <c r="J3402" s="26">
        <f>IF($A3402="","",LEN($C3402)-LEN(SUBSTITUTE($C3402,",",""))+1)</f>
        <v/>
      </c>
      <c r="K3402" s="26">
        <f>IF($A3402="","",SUMPRODUCT(--ISNUMBER(SEARCH('Category Dictionary'!$D$5:$D$135&amp;"",$C3402)),--('Category Dictionary'!$D$5:$D$135&lt;&gt;"")))</f>
        <v/>
      </c>
      <c r="L3402" s="27">
        <f>IF($A3402="","",TRIM(IF(ISERROR(FIND(",",$C3402)),$C3402,LEFT($C3402,FIND(",",$C3402)-1))))</f>
        <v/>
      </c>
      <c r="M3402" s="28">
        <f>IF($H3402="","",DATE(YEAR($H3402),MONTH($H3402),1))</f>
        <v/>
      </c>
      <c r="N3402" s="26">
        <f>IF($H3402="","",TODAY()-$H3402)</f>
        <v/>
      </c>
      <c r="O3402" s="15" t="n"/>
      <c r="P3402" s="15" t="n"/>
      <c r="Q3402" s="15" t="n"/>
      <c r="R3402" s="25" t="n"/>
      <c r="S3402" s="26">
        <f>IF($A3402="","",AND(OR('Assignment Builder'!$B$5="",$B3402='Assignment Builder'!$B$5),OR('Assignment Builder'!$B$6="",ISNUMBER(SEARCH('Assignment Builder'!$B$6,$C3402))),OR('Assignment Builder'!$B$7="",'Assignment Builder'!$B$7=IFERROR(INDEX('Category Dictionary'!$C$5:$C$135,MATCH($L3402,'Category Dictionary'!$D$5:$D$135,0)),"")),OR('Assignment Builder'!$B$8="",$D3402='Assignment Builder'!$B$8),OR('Assignment Builder'!$B$9="",$F3402='Assignment Builder'!$B$9),OR('Assignment Builder'!$B$10="",$O3402='Assignment Builder'!$B$10),OR('Assignment Builder'!$B$11="",$H3402&gt;='Assignment Builder'!$B$11),OR('Assignment Builder'!$B$12="",N($Q3402)&lt;='Assignment Builder'!$B$12)))</f>
        <v/>
      </c>
      <c r="T3402" s="23" t="n"/>
    </row>
    <row r="3403">
      <c r="A3403" s="23" t="n"/>
      <c r="B3403" s="23" t="n"/>
      <c r="C3403" s="24" t="n"/>
      <c r="D3403" s="15" t="n"/>
      <c r="E3403" s="23" t="n"/>
      <c r="F3403" s="15" t="n"/>
      <c r="G3403" s="23" t="n"/>
      <c r="H3403" s="25" t="n"/>
      <c r="I3403" s="15" t="n"/>
      <c r="J3403" s="26">
        <f>IF($A3403="","",LEN($C3403)-LEN(SUBSTITUTE($C3403,",",""))+1)</f>
        <v/>
      </c>
      <c r="K3403" s="26">
        <f>IF($A3403="","",SUMPRODUCT(--ISNUMBER(SEARCH('Category Dictionary'!$D$5:$D$135&amp;"",$C3403)),--('Category Dictionary'!$D$5:$D$135&lt;&gt;"")))</f>
        <v/>
      </c>
      <c r="L3403" s="27">
        <f>IF($A3403="","",TRIM(IF(ISERROR(FIND(",",$C3403)),$C3403,LEFT($C3403,FIND(",",$C3403)-1))))</f>
        <v/>
      </c>
      <c r="M3403" s="28">
        <f>IF($H3403="","",DATE(YEAR($H3403),MONTH($H3403),1))</f>
        <v/>
      </c>
      <c r="N3403" s="26">
        <f>IF($H3403="","",TODAY()-$H3403)</f>
        <v/>
      </c>
      <c r="O3403" s="15" t="n"/>
      <c r="P3403" s="15" t="n"/>
      <c r="Q3403" s="15" t="n"/>
      <c r="R3403" s="25" t="n"/>
      <c r="S3403" s="26">
        <f>IF($A3403="","",AND(OR('Assignment Builder'!$B$5="",$B3403='Assignment Builder'!$B$5),OR('Assignment Builder'!$B$6="",ISNUMBER(SEARCH('Assignment Builder'!$B$6,$C3403))),OR('Assignment Builder'!$B$7="",'Assignment Builder'!$B$7=IFERROR(INDEX('Category Dictionary'!$C$5:$C$135,MATCH($L3403,'Category Dictionary'!$D$5:$D$135,0)),"")),OR('Assignment Builder'!$B$8="",$D3403='Assignment Builder'!$B$8),OR('Assignment Builder'!$B$9="",$F3403='Assignment Builder'!$B$9),OR('Assignment Builder'!$B$10="",$O3403='Assignment Builder'!$B$10),OR('Assignment Builder'!$B$11="",$H3403&gt;='Assignment Builder'!$B$11),OR('Assignment Builder'!$B$12="",N($Q3403)&lt;='Assignment Builder'!$B$12)))</f>
        <v/>
      </c>
      <c r="T3403" s="23" t="n"/>
    </row>
    <row r="3404">
      <c r="A3404" s="23" t="n"/>
      <c r="B3404" s="23" t="n"/>
      <c r="C3404" s="24" t="n"/>
      <c r="D3404" s="15" t="n"/>
      <c r="E3404" s="23" t="n"/>
      <c r="F3404" s="15" t="n"/>
      <c r="G3404" s="23" t="n"/>
      <c r="H3404" s="25" t="n"/>
      <c r="I3404" s="15" t="n"/>
      <c r="J3404" s="26">
        <f>IF($A3404="","",LEN($C3404)-LEN(SUBSTITUTE($C3404,",",""))+1)</f>
        <v/>
      </c>
      <c r="K3404" s="26">
        <f>IF($A3404="","",SUMPRODUCT(--ISNUMBER(SEARCH('Category Dictionary'!$D$5:$D$135&amp;"",$C3404)),--('Category Dictionary'!$D$5:$D$135&lt;&gt;"")))</f>
        <v/>
      </c>
      <c r="L3404" s="27">
        <f>IF($A3404="","",TRIM(IF(ISERROR(FIND(",",$C3404)),$C3404,LEFT($C3404,FIND(",",$C3404)-1))))</f>
        <v/>
      </c>
      <c r="M3404" s="28">
        <f>IF($H3404="","",DATE(YEAR($H3404),MONTH($H3404),1))</f>
        <v/>
      </c>
      <c r="N3404" s="26">
        <f>IF($H3404="","",TODAY()-$H3404)</f>
        <v/>
      </c>
      <c r="O3404" s="15" t="n"/>
      <c r="P3404" s="15" t="n"/>
      <c r="Q3404" s="15" t="n"/>
      <c r="R3404" s="25" t="n"/>
      <c r="S3404" s="26">
        <f>IF($A3404="","",AND(OR('Assignment Builder'!$B$5="",$B3404='Assignment Builder'!$B$5),OR('Assignment Builder'!$B$6="",ISNUMBER(SEARCH('Assignment Builder'!$B$6,$C3404))),OR('Assignment Builder'!$B$7="",'Assignment Builder'!$B$7=IFERROR(INDEX('Category Dictionary'!$C$5:$C$135,MATCH($L3404,'Category Dictionary'!$D$5:$D$135,0)),"")),OR('Assignment Builder'!$B$8="",$D3404='Assignment Builder'!$B$8),OR('Assignment Builder'!$B$9="",$F3404='Assignment Builder'!$B$9),OR('Assignment Builder'!$B$10="",$O3404='Assignment Builder'!$B$10),OR('Assignment Builder'!$B$11="",$H3404&gt;='Assignment Builder'!$B$11),OR('Assignment Builder'!$B$12="",N($Q3404)&lt;='Assignment Builder'!$B$12)))</f>
        <v/>
      </c>
      <c r="T3404" s="23" t="n"/>
    </row>
    <row r="3405">
      <c r="A3405" s="23" t="n"/>
      <c r="B3405" s="23" t="n"/>
      <c r="C3405" s="24" t="n"/>
      <c r="D3405" s="15" t="n"/>
      <c r="E3405" s="23" t="n"/>
      <c r="F3405" s="15" t="n"/>
      <c r="G3405" s="23" t="n"/>
      <c r="H3405" s="25" t="n"/>
      <c r="I3405" s="15" t="n"/>
      <c r="J3405" s="26">
        <f>IF($A3405="","",LEN($C3405)-LEN(SUBSTITUTE($C3405,",",""))+1)</f>
        <v/>
      </c>
      <c r="K3405" s="26">
        <f>IF($A3405="","",SUMPRODUCT(--ISNUMBER(SEARCH('Category Dictionary'!$D$5:$D$135&amp;"",$C3405)),--('Category Dictionary'!$D$5:$D$135&lt;&gt;"")))</f>
        <v/>
      </c>
      <c r="L3405" s="27">
        <f>IF($A3405="","",TRIM(IF(ISERROR(FIND(",",$C3405)),$C3405,LEFT($C3405,FIND(",",$C3405)-1))))</f>
        <v/>
      </c>
      <c r="M3405" s="28">
        <f>IF($H3405="","",DATE(YEAR($H3405),MONTH($H3405),1))</f>
        <v/>
      </c>
      <c r="N3405" s="26">
        <f>IF($H3405="","",TODAY()-$H3405)</f>
        <v/>
      </c>
      <c r="O3405" s="15" t="n"/>
      <c r="P3405" s="15" t="n"/>
      <c r="Q3405" s="15" t="n"/>
      <c r="R3405" s="25" t="n"/>
      <c r="S3405" s="26">
        <f>IF($A3405="","",AND(OR('Assignment Builder'!$B$5="",$B3405='Assignment Builder'!$B$5),OR('Assignment Builder'!$B$6="",ISNUMBER(SEARCH('Assignment Builder'!$B$6,$C3405))),OR('Assignment Builder'!$B$7="",'Assignment Builder'!$B$7=IFERROR(INDEX('Category Dictionary'!$C$5:$C$135,MATCH($L3405,'Category Dictionary'!$D$5:$D$135,0)),"")),OR('Assignment Builder'!$B$8="",$D3405='Assignment Builder'!$B$8),OR('Assignment Builder'!$B$9="",$F3405='Assignment Builder'!$B$9),OR('Assignment Builder'!$B$10="",$O3405='Assignment Builder'!$B$10),OR('Assignment Builder'!$B$11="",$H3405&gt;='Assignment Builder'!$B$11),OR('Assignment Builder'!$B$12="",N($Q3405)&lt;='Assignment Builder'!$B$12)))</f>
        <v/>
      </c>
      <c r="T3405" s="23" t="n"/>
    </row>
    <row r="3406">
      <c r="A3406" s="23" t="n"/>
      <c r="B3406" s="23" t="n"/>
      <c r="C3406" s="24" t="n"/>
      <c r="D3406" s="15" t="n"/>
      <c r="E3406" s="23" t="n"/>
      <c r="F3406" s="15" t="n"/>
      <c r="G3406" s="23" t="n"/>
      <c r="H3406" s="25" t="n"/>
      <c r="I3406" s="15" t="n"/>
      <c r="J3406" s="26">
        <f>IF($A3406="","",LEN($C3406)-LEN(SUBSTITUTE($C3406,",",""))+1)</f>
        <v/>
      </c>
      <c r="K3406" s="26">
        <f>IF($A3406="","",SUMPRODUCT(--ISNUMBER(SEARCH('Category Dictionary'!$D$5:$D$135&amp;"",$C3406)),--('Category Dictionary'!$D$5:$D$135&lt;&gt;"")))</f>
        <v/>
      </c>
      <c r="L3406" s="27">
        <f>IF($A3406="","",TRIM(IF(ISERROR(FIND(",",$C3406)),$C3406,LEFT($C3406,FIND(",",$C3406)-1))))</f>
        <v/>
      </c>
      <c r="M3406" s="28">
        <f>IF($H3406="","",DATE(YEAR($H3406),MONTH($H3406),1))</f>
        <v/>
      </c>
      <c r="N3406" s="26">
        <f>IF($H3406="","",TODAY()-$H3406)</f>
        <v/>
      </c>
      <c r="O3406" s="15" t="n"/>
      <c r="P3406" s="15" t="n"/>
      <c r="Q3406" s="15" t="n"/>
      <c r="R3406" s="25" t="n"/>
      <c r="S3406" s="26">
        <f>IF($A3406="","",AND(OR('Assignment Builder'!$B$5="",$B3406='Assignment Builder'!$B$5),OR('Assignment Builder'!$B$6="",ISNUMBER(SEARCH('Assignment Builder'!$B$6,$C3406))),OR('Assignment Builder'!$B$7="",'Assignment Builder'!$B$7=IFERROR(INDEX('Category Dictionary'!$C$5:$C$135,MATCH($L3406,'Category Dictionary'!$D$5:$D$135,0)),"")),OR('Assignment Builder'!$B$8="",$D3406='Assignment Builder'!$B$8),OR('Assignment Builder'!$B$9="",$F3406='Assignment Builder'!$B$9),OR('Assignment Builder'!$B$10="",$O3406='Assignment Builder'!$B$10),OR('Assignment Builder'!$B$11="",$H3406&gt;='Assignment Builder'!$B$11),OR('Assignment Builder'!$B$12="",N($Q3406)&lt;='Assignment Builder'!$B$12)))</f>
        <v/>
      </c>
      <c r="T3406" s="23" t="n"/>
    </row>
    <row r="3407">
      <c r="A3407" s="23" t="n"/>
      <c r="B3407" s="23" t="n"/>
      <c r="C3407" s="24" t="n"/>
      <c r="D3407" s="15" t="n"/>
      <c r="E3407" s="23" t="n"/>
      <c r="F3407" s="15" t="n"/>
      <c r="G3407" s="23" t="n"/>
      <c r="H3407" s="25" t="n"/>
      <c r="I3407" s="15" t="n"/>
      <c r="J3407" s="26">
        <f>IF($A3407="","",LEN($C3407)-LEN(SUBSTITUTE($C3407,",",""))+1)</f>
        <v/>
      </c>
      <c r="K3407" s="26">
        <f>IF($A3407="","",SUMPRODUCT(--ISNUMBER(SEARCH('Category Dictionary'!$D$5:$D$135&amp;"",$C3407)),--('Category Dictionary'!$D$5:$D$135&lt;&gt;"")))</f>
        <v/>
      </c>
      <c r="L3407" s="27">
        <f>IF($A3407="","",TRIM(IF(ISERROR(FIND(",",$C3407)),$C3407,LEFT($C3407,FIND(",",$C3407)-1))))</f>
        <v/>
      </c>
      <c r="M3407" s="28">
        <f>IF($H3407="","",DATE(YEAR($H3407),MONTH($H3407),1))</f>
        <v/>
      </c>
      <c r="N3407" s="26">
        <f>IF($H3407="","",TODAY()-$H3407)</f>
        <v/>
      </c>
      <c r="O3407" s="15" t="n"/>
      <c r="P3407" s="15" t="n"/>
      <c r="Q3407" s="15" t="n"/>
      <c r="R3407" s="25" t="n"/>
      <c r="S3407" s="26">
        <f>IF($A3407="","",AND(OR('Assignment Builder'!$B$5="",$B3407='Assignment Builder'!$B$5),OR('Assignment Builder'!$B$6="",ISNUMBER(SEARCH('Assignment Builder'!$B$6,$C3407))),OR('Assignment Builder'!$B$7="",'Assignment Builder'!$B$7=IFERROR(INDEX('Category Dictionary'!$C$5:$C$135,MATCH($L3407,'Category Dictionary'!$D$5:$D$135,0)),"")),OR('Assignment Builder'!$B$8="",$D3407='Assignment Builder'!$B$8),OR('Assignment Builder'!$B$9="",$F3407='Assignment Builder'!$B$9),OR('Assignment Builder'!$B$10="",$O3407='Assignment Builder'!$B$10),OR('Assignment Builder'!$B$11="",$H3407&gt;='Assignment Builder'!$B$11),OR('Assignment Builder'!$B$12="",N($Q3407)&lt;='Assignment Builder'!$B$12)))</f>
        <v/>
      </c>
      <c r="T3407" s="23" t="n"/>
    </row>
    <row r="3408">
      <c r="A3408" s="23" t="n"/>
      <c r="B3408" s="23" t="n"/>
      <c r="C3408" s="24" t="n"/>
      <c r="D3408" s="15" t="n"/>
      <c r="E3408" s="23" t="n"/>
      <c r="F3408" s="15" t="n"/>
      <c r="G3408" s="23" t="n"/>
      <c r="H3408" s="25" t="n"/>
      <c r="I3408" s="15" t="n"/>
      <c r="J3408" s="26">
        <f>IF($A3408="","",LEN($C3408)-LEN(SUBSTITUTE($C3408,",",""))+1)</f>
        <v/>
      </c>
      <c r="K3408" s="26">
        <f>IF($A3408="","",SUMPRODUCT(--ISNUMBER(SEARCH('Category Dictionary'!$D$5:$D$135&amp;"",$C3408)),--('Category Dictionary'!$D$5:$D$135&lt;&gt;"")))</f>
        <v/>
      </c>
      <c r="L3408" s="27">
        <f>IF($A3408="","",TRIM(IF(ISERROR(FIND(",",$C3408)),$C3408,LEFT($C3408,FIND(",",$C3408)-1))))</f>
        <v/>
      </c>
      <c r="M3408" s="28">
        <f>IF($H3408="","",DATE(YEAR($H3408),MONTH($H3408),1))</f>
        <v/>
      </c>
      <c r="N3408" s="26">
        <f>IF($H3408="","",TODAY()-$H3408)</f>
        <v/>
      </c>
      <c r="O3408" s="15" t="n"/>
      <c r="P3408" s="15" t="n"/>
      <c r="Q3408" s="15" t="n"/>
      <c r="R3408" s="25" t="n"/>
      <c r="S3408" s="26">
        <f>IF($A3408="","",AND(OR('Assignment Builder'!$B$5="",$B3408='Assignment Builder'!$B$5),OR('Assignment Builder'!$B$6="",ISNUMBER(SEARCH('Assignment Builder'!$B$6,$C3408))),OR('Assignment Builder'!$B$7="",'Assignment Builder'!$B$7=IFERROR(INDEX('Category Dictionary'!$C$5:$C$135,MATCH($L3408,'Category Dictionary'!$D$5:$D$135,0)),"")),OR('Assignment Builder'!$B$8="",$D3408='Assignment Builder'!$B$8),OR('Assignment Builder'!$B$9="",$F3408='Assignment Builder'!$B$9),OR('Assignment Builder'!$B$10="",$O3408='Assignment Builder'!$B$10),OR('Assignment Builder'!$B$11="",$H3408&gt;='Assignment Builder'!$B$11),OR('Assignment Builder'!$B$12="",N($Q3408)&lt;='Assignment Builder'!$B$12)))</f>
        <v/>
      </c>
      <c r="T3408" s="23" t="n"/>
    </row>
    <row r="3409">
      <c r="A3409" s="23" t="n"/>
      <c r="B3409" s="23" t="n"/>
      <c r="C3409" s="24" t="n"/>
      <c r="D3409" s="15" t="n"/>
      <c r="E3409" s="23" t="n"/>
      <c r="F3409" s="15" t="n"/>
      <c r="G3409" s="23" t="n"/>
      <c r="H3409" s="25" t="n"/>
      <c r="I3409" s="15" t="n"/>
      <c r="J3409" s="26">
        <f>IF($A3409="","",LEN($C3409)-LEN(SUBSTITUTE($C3409,",",""))+1)</f>
        <v/>
      </c>
      <c r="K3409" s="26">
        <f>IF($A3409="","",SUMPRODUCT(--ISNUMBER(SEARCH('Category Dictionary'!$D$5:$D$135&amp;"",$C3409)),--('Category Dictionary'!$D$5:$D$135&lt;&gt;"")))</f>
        <v/>
      </c>
      <c r="L3409" s="27">
        <f>IF($A3409="","",TRIM(IF(ISERROR(FIND(",",$C3409)),$C3409,LEFT($C3409,FIND(",",$C3409)-1))))</f>
        <v/>
      </c>
      <c r="M3409" s="28">
        <f>IF($H3409="","",DATE(YEAR($H3409),MONTH($H3409),1))</f>
        <v/>
      </c>
      <c r="N3409" s="26">
        <f>IF($H3409="","",TODAY()-$H3409)</f>
        <v/>
      </c>
      <c r="O3409" s="15" t="n"/>
      <c r="P3409" s="15" t="n"/>
      <c r="Q3409" s="15" t="n"/>
      <c r="R3409" s="25" t="n"/>
      <c r="S3409" s="26">
        <f>IF($A3409="","",AND(OR('Assignment Builder'!$B$5="",$B3409='Assignment Builder'!$B$5),OR('Assignment Builder'!$B$6="",ISNUMBER(SEARCH('Assignment Builder'!$B$6,$C3409))),OR('Assignment Builder'!$B$7="",'Assignment Builder'!$B$7=IFERROR(INDEX('Category Dictionary'!$C$5:$C$135,MATCH($L3409,'Category Dictionary'!$D$5:$D$135,0)),"")),OR('Assignment Builder'!$B$8="",$D3409='Assignment Builder'!$B$8),OR('Assignment Builder'!$B$9="",$F3409='Assignment Builder'!$B$9),OR('Assignment Builder'!$B$10="",$O3409='Assignment Builder'!$B$10),OR('Assignment Builder'!$B$11="",$H3409&gt;='Assignment Builder'!$B$11),OR('Assignment Builder'!$B$12="",N($Q3409)&lt;='Assignment Builder'!$B$12)))</f>
        <v/>
      </c>
      <c r="T3409" s="23" t="n"/>
    </row>
    <row r="3410">
      <c r="A3410" s="23" t="n"/>
      <c r="B3410" s="23" t="n"/>
      <c r="C3410" s="24" t="n"/>
      <c r="D3410" s="15" t="n"/>
      <c r="E3410" s="23" t="n"/>
      <c r="F3410" s="15" t="n"/>
      <c r="G3410" s="23" t="n"/>
      <c r="H3410" s="25" t="n"/>
      <c r="I3410" s="15" t="n"/>
      <c r="J3410" s="26">
        <f>IF($A3410="","",LEN($C3410)-LEN(SUBSTITUTE($C3410,",",""))+1)</f>
        <v/>
      </c>
      <c r="K3410" s="26">
        <f>IF($A3410="","",SUMPRODUCT(--ISNUMBER(SEARCH('Category Dictionary'!$D$5:$D$135&amp;"",$C3410)),--('Category Dictionary'!$D$5:$D$135&lt;&gt;"")))</f>
        <v/>
      </c>
      <c r="L3410" s="27">
        <f>IF($A3410="","",TRIM(IF(ISERROR(FIND(",",$C3410)),$C3410,LEFT($C3410,FIND(",",$C3410)-1))))</f>
        <v/>
      </c>
      <c r="M3410" s="28">
        <f>IF($H3410="","",DATE(YEAR($H3410),MONTH($H3410),1))</f>
        <v/>
      </c>
      <c r="N3410" s="26">
        <f>IF($H3410="","",TODAY()-$H3410)</f>
        <v/>
      </c>
      <c r="O3410" s="15" t="n"/>
      <c r="P3410" s="15" t="n"/>
      <c r="Q3410" s="15" t="n"/>
      <c r="R3410" s="25" t="n"/>
      <c r="S3410" s="26">
        <f>IF($A3410="","",AND(OR('Assignment Builder'!$B$5="",$B3410='Assignment Builder'!$B$5),OR('Assignment Builder'!$B$6="",ISNUMBER(SEARCH('Assignment Builder'!$B$6,$C3410))),OR('Assignment Builder'!$B$7="",'Assignment Builder'!$B$7=IFERROR(INDEX('Category Dictionary'!$C$5:$C$135,MATCH($L3410,'Category Dictionary'!$D$5:$D$135,0)),"")),OR('Assignment Builder'!$B$8="",$D3410='Assignment Builder'!$B$8),OR('Assignment Builder'!$B$9="",$F3410='Assignment Builder'!$B$9),OR('Assignment Builder'!$B$10="",$O3410='Assignment Builder'!$B$10),OR('Assignment Builder'!$B$11="",$H3410&gt;='Assignment Builder'!$B$11),OR('Assignment Builder'!$B$12="",N($Q3410)&lt;='Assignment Builder'!$B$12)))</f>
        <v/>
      </c>
      <c r="T3410" s="23" t="n"/>
    </row>
    <row r="3411">
      <c r="A3411" s="23" t="n"/>
      <c r="B3411" s="23" t="n"/>
      <c r="C3411" s="24" t="n"/>
      <c r="D3411" s="15" t="n"/>
      <c r="E3411" s="23" t="n"/>
      <c r="F3411" s="15" t="n"/>
      <c r="G3411" s="23" t="n"/>
      <c r="H3411" s="25" t="n"/>
      <c r="I3411" s="15" t="n"/>
      <c r="J3411" s="26">
        <f>IF($A3411="","",LEN($C3411)-LEN(SUBSTITUTE($C3411,",",""))+1)</f>
        <v/>
      </c>
      <c r="K3411" s="26">
        <f>IF($A3411="","",SUMPRODUCT(--ISNUMBER(SEARCH('Category Dictionary'!$D$5:$D$135&amp;"",$C3411)),--('Category Dictionary'!$D$5:$D$135&lt;&gt;"")))</f>
        <v/>
      </c>
      <c r="L3411" s="27">
        <f>IF($A3411="","",TRIM(IF(ISERROR(FIND(",",$C3411)),$C3411,LEFT($C3411,FIND(",",$C3411)-1))))</f>
        <v/>
      </c>
      <c r="M3411" s="28">
        <f>IF($H3411="","",DATE(YEAR($H3411),MONTH($H3411),1))</f>
        <v/>
      </c>
      <c r="N3411" s="26">
        <f>IF($H3411="","",TODAY()-$H3411)</f>
        <v/>
      </c>
      <c r="O3411" s="15" t="n"/>
      <c r="P3411" s="15" t="n"/>
      <c r="Q3411" s="15" t="n"/>
      <c r="R3411" s="25" t="n"/>
      <c r="S3411" s="26">
        <f>IF($A3411="","",AND(OR('Assignment Builder'!$B$5="",$B3411='Assignment Builder'!$B$5),OR('Assignment Builder'!$B$6="",ISNUMBER(SEARCH('Assignment Builder'!$B$6,$C3411))),OR('Assignment Builder'!$B$7="",'Assignment Builder'!$B$7=IFERROR(INDEX('Category Dictionary'!$C$5:$C$135,MATCH($L3411,'Category Dictionary'!$D$5:$D$135,0)),"")),OR('Assignment Builder'!$B$8="",$D3411='Assignment Builder'!$B$8),OR('Assignment Builder'!$B$9="",$F3411='Assignment Builder'!$B$9),OR('Assignment Builder'!$B$10="",$O3411='Assignment Builder'!$B$10),OR('Assignment Builder'!$B$11="",$H3411&gt;='Assignment Builder'!$B$11),OR('Assignment Builder'!$B$12="",N($Q3411)&lt;='Assignment Builder'!$B$12)))</f>
        <v/>
      </c>
      <c r="T3411" s="23" t="n"/>
    </row>
    <row r="3412">
      <c r="A3412" s="23" t="n"/>
      <c r="B3412" s="23" t="n"/>
      <c r="C3412" s="24" t="n"/>
      <c r="D3412" s="15" t="n"/>
      <c r="E3412" s="23" t="n"/>
      <c r="F3412" s="15" t="n"/>
      <c r="G3412" s="23" t="n"/>
      <c r="H3412" s="25" t="n"/>
      <c r="I3412" s="15" t="n"/>
      <c r="J3412" s="26">
        <f>IF($A3412="","",LEN($C3412)-LEN(SUBSTITUTE($C3412,",",""))+1)</f>
        <v/>
      </c>
      <c r="K3412" s="26">
        <f>IF($A3412="","",SUMPRODUCT(--ISNUMBER(SEARCH('Category Dictionary'!$D$5:$D$135&amp;"",$C3412)),--('Category Dictionary'!$D$5:$D$135&lt;&gt;"")))</f>
        <v/>
      </c>
      <c r="L3412" s="27">
        <f>IF($A3412="","",TRIM(IF(ISERROR(FIND(",",$C3412)),$C3412,LEFT($C3412,FIND(",",$C3412)-1))))</f>
        <v/>
      </c>
      <c r="M3412" s="28">
        <f>IF($H3412="","",DATE(YEAR($H3412),MONTH($H3412),1))</f>
        <v/>
      </c>
      <c r="N3412" s="26">
        <f>IF($H3412="","",TODAY()-$H3412)</f>
        <v/>
      </c>
      <c r="O3412" s="15" t="n"/>
      <c r="P3412" s="15" t="n"/>
      <c r="Q3412" s="15" t="n"/>
      <c r="R3412" s="25" t="n"/>
      <c r="S3412" s="26">
        <f>IF($A3412="","",AND(OR('Assignment Builder'!$B$5="",$B3412='Assignment Builder'!$B$5),OR('Assignment Builder'!$B$6="",ISNUMBER(SEARCH('Assignment Builder'!$B$6,$C3412))),OR('Assignment Builder'!$B$7="",'Assignment Builder'!$B$7=IFERROR(INDEX('Category Dictionary'!$C$5:$C$135,MATCH($L3412,'Category Dictionary'!$D$5:$D$135,0)),"")),OR('Assignment Builder'!$B$8="",$D3412='Assignment Builder'!$B$8),OR('Assignment Builder'!$B$9="",$F3412='Assignment Builder'!$B$9),OR('Assignment Builder'!$B$10="",$O3412='Assignment Builder'!$B$10),OR('Assignment Builder'!$B$11="",$H3412&gt;='Assignment Builder'!$B$11),OR('Assignment Builder'!$B$12="",N($Q3412)&lt;='Assignment Builder'!$B$12)))</f>
        <v/>
      </c>
      <c r="T3412" s="23" t="n"/>
    </row>
    <row r="3413">
      <c r="A3413" s="23" t="n"/>
      <c r="B3413" s="23" t="n"/>
      <c r="C3413" s="24" t="n"/>
      <c r="D3413" s="15" t="n"/>
      <c r="E3413" s="23" t="n"/>
      <c r="F3413" s="15" t="n"/>
      <c r="G3413" s="23" t="n"/>
      <c r="H3413" s="25" t="n"/>
      <c r="I3413" s="15" t="n"/>
      <c r="J3413" s="26">
        <f>IF($A3413="","",LEN($C3413)-LEN(SUBSTITUTE($C3413,",",""))+1)</f>
        <v/>
      </c>
      <c r="K3413" s="26">
        <f>IF($A3413="","",SUMPRODUCT(--ISNUMBER(SEARCH('Category Dictionary'!$D$5:$D$135&amp;"",$C3413)),--('Category Dictionary'!$D$5:$D$135&lt;&gt;"")))</f>
        <v/>
      </c>
      <c r="L3413" s="27">
        <f>IF($A3413="","",TRIM(IF(ISERROR(FIND(",",$C3413)),$C3413,LEFT($C3413,FIND(",",$C3413)-1))))</f>
        <v/>
      </c>
      <c r="M3413" s="28">
        <f>IF($H3413="","",DATE(YEAR($H3413),MONTH($H3413),1))</f>
        <v/>
      </c>
      <c r="N3413" s="26">
        <f>IF($H3413="","",TODAY()-$H3413)</f>
        <v/>
      </c>
      <c r="O3413" s="15" t="n"/>
      <c r="P3413" s="15" t="n"/>
      <c r="Q3413" s="15" t="n"/>
      <c r="R3413" s="25" t="n"/>
      <c r="S3413" s="26">
        <f>IF($A3413="","",AND(OR('Assignment Builder'!$B$5="",$B3413='Assignment Builder'!$B$5),OR('Assignment Builder'!$B$6="",ISNUMBER(SEARCH('Assignment Builder'!$B$6,$C3413))),OR('Assignment Builder'!$B$7="",'Assignment Builder'!$B$7=IFERROR(INDEX('Category Dictionary'!$C$5:$C$135,MATCH($L3413,'Category Dictionary'!$D$5:$D$135,0)),"")),OR('Assignment Builder'!$B$8="",$D3413='Assignment Builder'!$B$8),OR('Assignment Builder'!$B$9="",$F3413='Assignment Builder'!$B$9),OR('Assignment Builder'!$B$10="",$O3413='Assignment Builder'!$B$10),OR('Assignment Builder'!$B$11="",$H3413&gt;='Assignment Builder'!$B$11),OR('Assignment Builder'!$B$12="",N($Q3413)&lt;='Assignment Builder'!$B$12)))</f>
        <v/>
      </c>
      <c r="T3413" s="23" t="n"/>
    </row>
    <row r="3414">
      <c r="A3414" s="23" t="n"/>
      <c r="B3414" s="23" t="n"/>
      <c r="C3414" s="24" t="n"/>
      <c r="D3414" s="15" t="n"/>
      <c r="E3414" s="23" t="n"/>
      <c r="F3414" s="15" t="n"/>
      <c r="G3414" s="23" t="n"/>
      <c r="H3414" s="25" t="n"/>
      <c r="I3414" s="15" t="n"/>
      <c r="J3414" s="26">
        <f>IF($A3414="","",LEN($C3414)-LEN(SUBSTITUTE($C3414,",",""))+1)</f>
        <v/>
      </c>
      <c r="K3414" s="26">
        <f>IF($A3414="","",SUMPRODUCT(--ISNUMBER(SEARCH('Category Dictionary'!$D$5:$D$135&amp;"",$C3414)),--('Category Dictionary'!$D$5:$D$135&lt;&gt;"")))</f>
        <v/>
      </c>
      <c r="L3414" s="27">
        <f>IF($A3414="","",TRIM(IF(ISERROR(FIND(",",$C3414)),$C3414,LEFT($C3414,FIND(",",$C3414)-1))))</f>
        <v/>
      </c>
      <c r="M3414" s="28">
        <f>IF($H3414="","",DATE(YEAR($H3414),MONTH($H3414),1))</f>
        <v/>
      </c>
      <c r="N3414" s="26">
        <f>IF($H3414="","",TODAY()-$H3414)</f>
        <v/>
      </c>
      <c r="O3414" s="15" t="n"/>
      <c r="P3414" s="15" t="n"/>
      <c r="Q3414" s="15" t="n"/>
      <c r="R3414" s="25" t="n"/>
      <c r="S3414" s="26">
        <f>IF($A3414="","",AND(OR('Assignment Builder'!$B$5="",$B3414='Assignment Builder'!$B$5),OR('Assignment Builder'!$B$6="",ISNUMBER(SEARCH('Assignment Builder'!$B$6,$C3414))),OR('Assignment Builder'!$B$7="",'Assignment Builder'!$B$7=IFERROR(INDEX('Category Dictionary'!$C$5:$C$135,MATCH($L3414,'Category Dictionary'!$D$5:$D$135,0)),"")),OR('Assignment Builder'!$B$8="",$D3414='Assignment Builder'!$B$8),OR('Assignment Builder'!$B$9="",$F3414='Assignment Builder'!$B$9),OR('Assignment Builder'!$B$10="",$O3414='Assignment Builder'!$B$10),OR('Assignment Builder'!$B$11="",$H3414&gt;='Assignment Builder'!$B$11),OR('Assignment Builder'!$B$12="",N($Q3414)&lt;='Assignment Builder'!$B$12)))</f>
        <v/>
      </c>
      <c r="T3414" s="23" t="n"/>
    </row>
    <row r="3415">
      <c r="A3415" s="23" t="n"/>
      <c r="B3415" s="23" t="n"/>
      <c r="C3415" s="24" t="n"/>
      <c r="D3415" s="15" t="n"/>
      <c r="E3415" s="23" t="n"/>
      <c r="F3415" s="15" t="n"/>
      <c r="G3415" s="23" t="n"/>
      <c r="H3415" s="25" t="n"/>
      <c r="I3415" s="15" t="n"/>
      <c r="J3415" s="26">
        <f>IF($A3415="","",LEN($C3415)-LEN(SUBSTITUTE($C3415,",",""))+1)</f>
        <v/>
      </c>
      <c r="K3415" s="26">
        <f>IF($A3415="","",SUMPRODUCT(--ISNUMBER(SEARCH('Category Dictionary'!$D$5:$D$135&amp;"",$C3415)),--('Category Dictionary'!$D$5:$D$135&lt;&gt;"")))</f>
        <v/>
      </c>
      <c r="L3415" s="27">
        <f>IF($A3415="","",TRIM(IF(ISERROR(FIND(",",$C3415)),$C3415,LEFT($C3415,FIND(",",$C3415)-1))))</f>
        <v/>
      </c>
      <c r="M3415" s="28">
        <f>IF($H3415="","",DATE(YEAR($H3415),MONTH($H3415),1))</f>
        <v/>
      </c>
      <c r="N3415" s="26">
        <f>IF($H3415="","",TODAY()-$H3415)</f>
        <v/>
      </c>
      <c r="O3415" s="15" t="n"/>
      <c r="P3415" s="15" t="n"/>
      <c r="Q3415" s="15" t="n"/>
      <c r="R3415" s="25" t="n"/>
      <c r="S3415" s="26">
        <f>IF($A3415="","",AND(OR('Assignment Builder'!$B$5="",$B3415='Assignment Builder'!$B$5),OR('Assignment Builder'!$B$6="",ISNUMBER(SEARCH('Assignment Builder'!$B$6,$C3415))),OR('Assignment Builder'!$B$7="",'Assignment Builder'!$B$7=IFERROR(INDEX('Category Dictionary'!$C$5:$C$135,MATCH($L3415,'Category Dictionary'!$D$5:$D$135,0)),"")),OR('Assignment Builder'!$B$8="",$D3415='Assignment Builder'!$B$8),OR('Assignment Builder'!$B$9="",$F3415='Assignment Builder'!$B$9),OR('Assignment Builder'!$B$10="",$O3415='Assignment Builder'!$B$10),OR('Assignment Builder'!$B$11="",$H3415&gt;='Assignment Builder'!$B$11),OR('Assignment Builder'!$B$12="",N($Q3415)&lt;='Assignment Builder'!$B$12)))</f>
        <v/>
      </c>
      <c r="T3415" s="23" t="n"/>
    </row>
    <row r="3416">
      <c r="A3416" s="23" t="n"/>
      <c r="B3416" s="23" t="n"/>
      <c r="C3416" s="24" t="n"/>
      <c r="D3416" s="15" t="n"/>
      <c r="E3416" s="23" t="n"/>
      <c r="F3416" s="15" t="n"/>
      <c r="G3416" s="23" t="n"/>
      <c r="H3416" s="25" t="n"/>
      <c r="I3416" s="15" t="n"/>
      <c r="J3416" s="26">
        <f>IF($A3416="","",LEN($C3416)-LEN(SUBSTITUTE($C3416,",",""))+1)</f>
        <v/>
      </c>
      <c r="K3416" s="26">
        <f>IF($A3416="","",SUMPRODUCT(--ISNUMBER(SEARCH('Category Dictionary'!$D$5:$D$135&amp;"",$C3416)),--('Category Dictionary'!$D$5:$D$135&lt;&gt;"")))</f>
        <v/>
      </c>
      <c r="L3416" s="27">
        <f>IF($A3416="","",TRIM(IF(ISERROR(FIND(",",$C3416)),$C3416,LEFT($C3416,FIND(",",$C3416)-1))))</f>
        <v/>
      </c>
      <c r="M3416" s="28">
        <f>IF($H3416="","",DATE(YEAR($H3416),MONTH($H3416),1))</f>
        <v/>
      </c>
      <c r="N3416" s="26">
        <f>IF($H3416="","",TODAY()-$H3416)</f>
        <v/>
      </c>
      <c r="O3416" s="15" t="n"/>
      <c r="P3416" s="15" t="n"/>
      <c r="Q3416" s="15" t="n"/>
      <c r="R3416" s="25" t="n"/>
      <c r="S3416" s="26">
        <f>IF($A3416="","",AND(OR('Assignment Builder'!$B$5="",$B3416='Assignment Builder'!$B$5),OR('Assignment Builder'!$B$6="",ISNUMBER(SEARCH('Assignment Builder'!$B$6,$C3416))),OR('Assignment Builder'!$B$7="",'Assignment Builder'!$B$7=IFERROR(INDEX('Category Dictionary'!$C$5:$C$135,MATCH($L3416,'Category Dictionary'!$D$5:$D$135,0)),"")),OR('Assignment Builder'!$B$8="",$D3416='Assignment Builder'!$B$8),OR('Assignment Builder'!$B$9="",$F3416='Assignment Builder'!$B$9),OR('Assignment Builder'!$B$10="",$O3416='Assignment Builder'!$B$10),OR('Assignment Builder'!$B$11="",$H3416&gt;='Assignment Builder'!$B$11),OR('Assignment Builder'!$B$12="",N($Q3416)&lt;='Assignment Builder'!$B$12)))</f>
        <v/>
      </c>
      <c r="T3416" s="23" t="n"/>
    </row>
    <row r="3417">
      <c r="A3417" s="23" t="n"/>
      <c r="B3417" s="23" t="n"/>
      <c r="C3417" s="24" t="n"/>
      <c r="D3417" s="15" t="n"/>
      <c r="E3417" s="23" t="n"/>
      <c r="F3417" s="15" t="n"/>
      <c r="G3417" s="23" t="n"/>
      <c r="H3417" s="25" t="n"/>
      <c r="I3417" s="15" t="n"/>
      <c r="J3417" s="26">
        <f>IF($A3417="","",LEN($C3417)-LEN(SUBSTITUTE($C3417,",",""))+1)</f>
        <v/>
      </c>
      <c r="K3417" s="26">
        <f>IF($A3417="","",SUMPRODUCT(--ISNUMBER(SEARCH('Category Dictionary'!$D$5:$D$135&amp;"",$C3417)),--('Category Dictionary'!$D$5:$D$135&lt;&gt;"")))</f>
        <v/>
      </c>
      <c r="L3417" s="27">
        <f>IF($A3417="","",TRIM(IF(ISERROR(FIND(",",$C3417)),$C3417,LEFT($C3417,FIND(",",$C3417)-1))))</f>
        <v/>
      </c>
      <c r="M3417" s="28">
        <f>IF($H3417="","",DATE(YEAR($H3417),MONTH($H3417),1))</f>
        <v/>
      </c>
      <c r="N3417" s="26">
        <f>IF($H3417="","",TODAY()-$H3417)</f>
        <v/>
      </c>
      <c r="O3417" s="15" t="n"/>
      <c r="P3417" s="15" t="n"/>
      <c r="Q3417" s="15" t="n"/>
      <c r="R3417" s="25" t="n"/>
      <c r="S3417" s="26">
        <f>IF($A3417="","",AND(OR('Assignment Builder'!$B$5="",$B3417='Assignment Builder'!$B$5),OR('Assignment Builder'!$B$6="",ISNUMBER(SEARCH('Assignment Builder'!$B$6,$C3417))),OR('Assignment Builder'!$B$7="",'Assignment Builder'!$B$7=IFERROR(INDEX('Category Dictionary'!$C$5:$C$135,MATCH($L3417,'Category Dictionary'!$D$5:$D$135,0)),"")),OR('Assignment Builder'!$B$8="",$D3417='Assignment Builder'!$B$8),OR('Assignment Builder'!$B$9="",$F3417='Assignment Builder'!$B$9),OR('Assignment Builder'!$B$10="",$O3417='Assignment Builder'!$B$10),OR('Assignment Builder'!$B$11="",$H3417&gt;='Assignment Builder'!$B$11),OR('Assignment Builder'!$B$12="",N($Q3417)&lt;='Assignment Builder'!$B$12)))</f>
        <v/>
      </c>
      <c r="T3417" s="23" t="n"/>
    </row>
    <row r="3418">
      <c r="A3418" s="23" t="n"/>
      <c r="B3418" s="23" t="n"/>
      <c r="C3418" s="24" t="n"/>
      <c r="D3418" s="15" t="n"/>
      <c r="E3418" s="23" t="n"/>
      <c r="F3418" s="15" t="n"/>
      <c r="G3418" s="23" t="n"/>
      <c r="H3418" s="25" t="n"/>
      <c r="I3418" s="15" t="n"/>
      <c r="J3418" s="26">
        <f>IF($A3418="","",LEN($C3418)-LEN(SUBSTITUTE($C3418,",",""))+1)</f>
        <v/>
      </c>
      <c r="K3418" s="26">
        <f>IF($A3418="","",SUMPRODUCT(--ISNUMBER(SEARCH('Category Dictionary'!$D$5:$D$135&amp;"",$C3418)),--('Category Dictionary'!$D$5:$D$135&lt;&gt;"")))</f>
        <v/>
      </c>
      <c r="L3418" s="27">
        <f>IF($A3418="","",TRIM(IF(ISERROR(FIND(",",$C3418)),$C3418,LEFT($C3418,FIND(",",$C3418)-1))))</f>
        <v/>
      </c>
      <c r="M3418" s="28">
        <f>IF($H3418="","",DATE(YEAR($H3418),MONTH($H3418),1))</f>
        <v/>
      </c>
      <c r="N3418" s="26">
        <f>IF($H3418="","",TODAY()-$H3418)</f>
        <v/>
      </c>
      <c r="O3418" s="15" t="n"/>
      <c r="P3418" s="15" t="n"/>
      <c r="Q3418" s="15" t="n"/>
      <c r="R3418" s="25" t="n"/>
      <c r="S3418" s="26">
        <f>IF($A3418="","",AND(OR('Assignment Builder'!$B$5="",$B3418='Assignment Builder'!$B$5),OR('Assignment Builder'!$B$6="",ISNUMBER(SEARCH('Assignment Builder'!$B$6,$C3418))),OR('Assignment Builder'!$B$7="",'Assignment Builder'!$B$7=IFERROR(INDEX('Category Dictionary'!$C$5:$C$135,MATCH($L3418,'Category Dictionary'!$D$5:$D$135,0)),"")),OR('Assignment Builder'!$B$8="",$D3418='Assignment Builder'!$B$8),OR('Assignment Builder'!$B$9="",$F3418='Assignment Builder'!$B$9),OR('Assignment Builder'!$B$10="",$O3418='Assignment Builder'!$B$10),OR('Assignment Builder'!$B$11="",$H3418&gt;='Assignment Builder'!$B$11),OR('Assignment Builder'!$B$12="",N($Q3418)&lt;='Assignment Builder'!$B$12)))</f>
        <v/>
      </c>
      <c r="T3418" s="23" t="n"/>
    </row>
    <row r="3419">
      <c r="A3419" s="23" t="n"/>
      <c r="B3419" s="23" t="n"/>
      <c r="C3419" s="24" t="n"/>
      <c r="D3419" s="15" t="n"/>
      <c r="E3419" s="23" t="n"/>
      <c r="F3419" s="15" t="n"/>
      <c r="G3419" s="23" t="n"/>
      <c r="H3419" s="25" t="n"/>
      <c r="I3419" s="15" t="n"/>
      <c r="J3419" s="26">
        <f>IF($A3419="","",LEN($C3419)-LEN(SUBSTITUTE($C3419,",",""))+1)</f>
        <v/>
      </c>
      <c r="K3419" s="26">
        <f>IF($A3419="","",SUMPRODUCT(--ISNUMBER(SEARCH('Category Dictionary'!$D$5:$D$135&amp;"",$C3419)),--('Category Dictionary'!$D$5:$D$135&lt;&gt;"")))</f>
        <v/>
      </c>
      <c r="L3419" s="27">
        <f>IF($A3419="","",TRIM(IF(ISERROR(FIND(",",$C3419)),$C3419,LEFT($C3419,FIND(",",$C3419)-1))))</f>
        <v/>
      </c>
      <c r="M3419" s="28">
        <f>IF($H3419="","",DATE(YEAR($H3419),MONTH($H3419),1))</f>
        <v/>
      </c>
      <c r="N3419" s="26">
        <f>IF($H3419="","",TODAY()-$H3419)</f>
        <v/>
      </c>
      <c r="O3419" s="15" t="n"/>
      <c r="P3419" s="15" t="n"/>
      <c r="Q3419" s="15" t="n"/>
      <c r="R3419" s="25" t="n"/>
      <c r="S3419" s="26">
        <f>IF($A3419="","",AND(OR('Assignment Builder'!$B$5="",$B3419='Assignment Builder'!$B$5),OR('Assignment Builder'!$B$6="",ISNUMBER(SEARCH('Assignment Builder'!$B$6,$C3419))),OR('Assignment Builder'!$B$7="",'Assignment Builder'!$B$7=IFERROR(INDEX('Category Dictionary'!$C$5:$C$135,MATCH($L3419,'Category Dictionary'!$D$5:$D$135,0)),"")),OR('Assignment Builder'!$B$8="",$D3419='Assignment Builder'!$B$8),OR('Assignment Builder'!$B$9="",$F3419='Assignment Builder'!$B$9),OR('Assignment Builder'!$B$10="",$O3419='Assignment Builder'!$B$10),OR('Assignment Builder'!$B$11="",$H3419&gt;='Assignment Builder'!$B$11),OR('Assignment Builder'!$B$12="",N($Q3419)&lt;='Assignment Builder'!$B$12)))</f>
        <v/>
      </c>
      <c r="T3419" s="23" t="n"/>
    </row>
    <row r="3420">
      <c r="A3420" s="23" t="n"/>
      <c r="B3420" s="23" t="n"/>
      <c r="C3420" s="24" t="n"/>
      <c r="D3420" s="15" t="n"/>
      <c r="E3420" s="23" t="n"/>
      <c r="F3420" s="15" t="n"/>
      <c r="G3420" s="23" t="n"/>
      <c r="H3420" s="25" t="n"/>
      <c r="I3420" s="15" t="n"/>
      <c r="J3420" s="26">
        <f>IF($A3420="","",LEN($C3420)-LEN(SUBSTITUTE($C3420,",",""))+1)</f>
        <v/>
      </c>
      <c r="K3420" s="26">
        <f>IF($A3420="","",SUMPRODUCT(--ISNUMBER(SEARCH('Category Dictionary'!$D$5:$D$135&amp;"",$C3420)),--('Category Dictionary'!$D$5:$D$135&lt;&gt;"")))</f>
        <v/>
      </c>
      <c r="L3420" s="27">
        <f>IF($A3420="","",TRIM(IF(ISERROR(FIND(",",$C3420)),$C3420,LEFT($C3420,FIND(",",$C3420)-1))))</f>
        <v/>
      </c>
      <c r="M3420" s="28">
        <f>IF($H3420="","",DATE(YEAR($H3420),MONTH($H3420),1))</f>
        <v/>
      </c>
      <c r="N3420" s="26">
        <f>IF($H3420="","",TODAY()-$H3420)</f>
        <v/>
      </c>
      <c r="O3420" s="15" t="n"/>
      <c r="P3420" s="15" t="n"/>
      <c r="Q3420" s="15" t="n"/>
      <c r="R3420" s="25" t="n"/>
      <c r="S3420" s="26">
        <f>IF($A3420="","",AND(OR('Assignment Builder'!$B$5="",$B3420='Assignment Builder'!$B$5),OR('Assignment Builder'!$B$6="",ISNUMBER(SEARCH('Assignment Builder'!$B$6,$C3420))),OR('Assignment Builder'!$B$7="",'Assignment Builder'!$B$7=IFERROR(INDEX('Category Dictionary'!$C$5:$C$135,MATCH($L3420,'Category Dictionary'!$D$5:$D$135,0)),"")),OR('Assignment Builder'!$B$8="",$D3420='Assignment Builder'!$B$8),OR('Assignment Builder'!$B$9="",$F3420='Assignment Builder'!$B$9),OR('Assignment Builder'!$B$10="",$O3420='Assignment Builder'!$B$10),OR('Assignment Builder'!$B$11="",$H3420&gt;='Assignment Builder'!$B$11),OR('Assignment Builder'!$B$12="",N($Q3420)&lt;='Assignment Builder'!$B$12)))</f>
        <v/>
      </c>
      <c r="T3420" s="23" t="n"/>
    </row>
    <row r="3421">
      <c r="A3421" s="23" t="n"/>
      <c r="B3421" s="23" t="n"/>
      <c r="C3421" s="24" t="n"/>
      <c r="D3421" s="15" t="n"/>
      <c r="E3421" s="23" t="n"/>
      <c r="F3421" s="15" t="n"/>
      <c r="G3421" s="23" t="n"/>
      <c r="H3421" s="25" t="n"/>
      <c r="I3421" s="15" t="n"/>
      <c r="J3421" s="26">
        <f>IF($A3421="","",LEN($C3421)-LEN(SUBSTITUTE($C3421,",",""))+1)</f>
        <v/>
      </c>
      <c r="K3421" s="26">
        <f>IF($A3421="","",SUMPRODUCT(--ISNUMBER(SEARCH('Category Dictionary'!$D$5:$D$135&amp;"",$C3421)),--('Category Dictionary'!$D$5:$D$135&lt;&gt;"")))</f>
        <v/>
      </c>
      <c r="L3421" s="27">
        <f>IF($A3421="","",TRIM(IF(ISERROR(FIND(",",$C3421)),$C3421,LEFT($C3421,FIND(",",$C3421)-1))))</f>
        <v/>
      </c>
      <c r="M3421" s="28">
        <f>IF($H3421="","",DATE(YEAR($H3421),MONTH($H3421),1))</f>
        <v/>
      </c>
      <c r="N3421" s="26">
        <f>IF($H3421="","",TODAY()-$H3421)</f>
        <v/>
      </c>
      <c r="O3421" s="15" t="n"/>
      <c r="P3421" s="15" t="n"/>
      <c r="Q3421" s="15" t="n"/>
      <c r="R3421" s="25" t="n"/>
      <c r="S3421" s="26">
        <f>IF($A3421="","",AND(OR('Assignment Builder'!$B$5="",$B3421='Assignment Builder'!$B$5),OR('Assignment Builder'!$B$6="",ISNUMBER(SEARCH('Assignment Builder'!$B$6,$C3421))),OR('Assignment Builder'!$B$7="",'Assignment Builder'!$B$7=IFERROR(INDEX('Category Dictionary'!$C$5:$C$135,MATCH($L3421,'Category Dictionary'!$D$5:$D$135,0)),"")),OR('Assignment Builder'!$B$8="",$D3421='Assignment Builder'!$B$8),OR('Assignment Builder'!$B$9="",$F3421='Assignment Builder'!$B$9),OR('Assignment Builder'!$B$10="",$O3421='Assignment Builder'!$B$10),OR('Assignment Builder'!$B$11="",$H3421&gt;='Assignment Builder'!$B$11),OR('Assignment Builder'!$B$12="",N($Q3421)&lt;='Assignment Builder'!$B$12)))</f>
        <v/>
      </c>
      <c r="T3421" s="23" t="n"/>
    </row>
    <row r="3422">
      <c r="A3422" s="23" t="n"/>
      <c r="B3422" s="23" t="n"/>
      <c r="C3422" s="24" t="n"/>
      <c r="D3422" s="15" t="n"/>
      <c r="E3422" s="23" t="n"/>
      <c r="F3422" s="15" t="n"/>
      <c r="G3422" s="23" t="n"/>
      <c r="H3422" s="25" t="n"/>
      <c r="I3422" s="15" t="n"/>
      <c r="J3422" s="26">
        <f>IF($A3422="","",LEN($C3422)-LEN(SUBSTITUTE($C3422,",",""))+1)</f>
        <v/>
      </c>
      <c r="K3422" s="26">
        <f>IF($A3422="","",SUMPRODUCT(--ISNUMBER(SEARCH('Category Dictionary'!$D$5:$D$135&amp;"",$C3422)),--('Category Dictionary'!$D$5:$D$135&lt;&gt;"")))</f>
        <v/>
      </c>
      <c r="L3422" s="27">
        <f>IF($A3422="","",TRIM(IF(ISERROR(FIND(",",$C3422)),$C3422,LEFT($C3422,FIND(",",$C3422)-1))))</f>
        <v/>
      </c>
      <c r="M3422" s="28">
        <f>IF($H3422="","",DATE(YEAR($H3422),MONTH($H3422),1))</f>
        <v/>
      </c>
      <c r="N3422" s="26">
        <f>IF($H3422="","",TODAY()-$H3422)</f>
        <v/>
      </c>
      <c r="O3422" s="15" t="n"/>
      <c r="P3422" s="15" t="n"/>
      <c r="Q3422" s="15" t="n"/>
      <c r="R3422" s="25" t="n"/>
      <c r="S3422" s="26">
        <f>IF($A3422="","",AND(OR('Assignment Builder'!$B$5="",$B3422='Assignment Builder'!$B$5),OR('Assignment Builder'!$B$6="",ISNUMBER(SEARCH('Assignment Builder'!$B$6,$C3422))),OR('Assignment Builder'!$B$7="",'Assignment Builder'!$B$7=IFERROR(INDEX('Category Dictionary'!$C$5:$C$135,MATCH($L3422,'Category Dictionary'!$D$5:$D$135,0)),"")),OR('Assignment Builder'!$B$8="",$D3422='Assignment Builder'!$B$8),OR('Assignment Builder'!$B$9="",$F3422='Assignment Builder'!$B$9),OR('Assignment Builder'!$B$10="",$O3422='Assignment Builder'!$B$10),OR('Assignment Builder'!$B$11="",$H3422&gt;='Assignment Builder'!$B$11),OR('Assignment Builder'!$B$12="",N($Q3422)&lt;='Assignment Builder'!$B$12)))</f>
        <v/>
      </c>
      <c r="T3422" s="23" t="n"/>
    </row>
    <row r="3423">
      <c r="A3423" s="23" t="n"/>
      <c r="B3423" s="23" t="n"/>
      <c r="C3423" s="24" t="n"/>
      <c r="D3423" s="15" t="n"/>
      <c r="E3423" s="23" t="n"/>
      <c r="F3423" s="15" t="n"/>
      <c r="G3423" s="23" t="n"/>
      <c r="H3423" s="25" t="n"/>
      <c r="I3423" s="15" t="n"/>
      <c r="J3423" s="26">
        <f>IF($A3423="","",LEN($C3423)-LEN(SUBSTITUTE($C3423,",",""))+1)</f>
        <v/>
      </c>
      <c r="K3423" s="26">
        <f>IF($A3423="","",SUMPRODUCT(--ISNUMBER(SEARCH('Category Dictionary'!$D$5:$D$135&amp;"",$C3423)),--('Category Dictionary'!$D$5:$D$135&lt;&gt;"")))</f>
        <v/>
      </c>
      <c r="L3423" s="27">
        <f>IF($A3423="","",TRIM(IF(ISERROR(FIND(",",$C3423)),$C3423,LEFT($C3423,FIND(",",$C3423)-1))))</f>
        <v/>
      </c>
      <c r="M3423" s="28">
        <f>IF($H3423="","",DATE(YEAR($H3423),MONTH($H3423),1))</f>
        <v/>
      </c>
      <c r="N3423" s="26">
        <f>IF($H3423="","",TODAY()-$H3423)</f>
        <v/>
      </c>
      <c r="O3423" s="15" t="n"/>
      <c r="P3423" s="15" t="n"/>
      <c r="Q3423" s="15" t="n"/>
      <c r="R3423" s="25" t="n"/>
      <c r="S3423" s="26">
        <f>IF($A3423="","",AND(OR('Assignment Builder'!$B$5="",$B3423='Assignment Builder'!$B$5),OR('Assignment Builder'!$B$6="",ISNUMBER(SEARCH('Assignment Builder'!$B$6,$C3423))),OR('Assignment Builder'!$B$7="",'Assignment Builder'!$B$7=IFERROR(INDEX('Category Dictionary'!$C$5:$C$135,MATCH($L3423,'Category Dictionary'!$D$5:$D$135,0)),"")),OR('Assignment Builder'!$B$8="",$D3423='Assignment Builder'!$B$8),OR('Assignment Builder'!$B$9="",$F3423='Assignment Builder'!$B$9),OR('Assignment Builder'!$B$10="",$O3423='Assignment Builder'!$B$10),OR('Assignment Builder'!$B$11="",$H3423&gt;='Assignment Builder'!$B$11),OR('Assignment Builder'!$B$12="",N($Q3423)&lt;='Assignment Builder'!$B$12)))</f>
        <v/>
      </c>
      <c r="T3423" s="23" t="n"/>
    </row>
    <row r="3424">
      <c r="A3424" s="23" t="n"/>
      <c r="B3424" s="23" t="n"/>
      <c r="C3424" s="24" t="n"/>
      <c r="D3424" s="15" t="n"/>
      <c r="E3424" s="23" t="n"/>
      <c r="F3424" s="15" t="n"/>
      <c r="G3424" s="23" t="n"/>
      <c r="H3424" s="25" t="n"/>
      <c r="I3424" s="15" t="n"/>
      <c r="J3424" s="26">
        <f>IF($A3424="","",LEN($C3424)-LEN(SUBSTITUTE($C3424,",",""))+1)</f>
        <v/>
      </c>
      <c r="K3424" s="26">
        <f>IF($A3424="","",SUMPRODUCT(--ISNUMBER(SEARCH('Category Dictionary'!$D$5:$D$135&amp;"",$C3424)),--('Category Dictionary'!$D$5:$D$135&lt;&gt;"")))</f>
        <v/>
      </c>
      <c r="L3424" s="27">
        <f>IF($A3424="","",TRIM(IF(ISERROR(FIND(",",$C3424)),$C3424,LEFT($C3424,FIND(",",$C3424)-1))))</f>
        <v/>
      </c>
      <c r="M3424" s="28">
        <f>IF($H3424="","",DATE(YEAR($H3424),MONTH($H3424),1))</f>
        <v/>
      </c>
      <c r="N3424" s="26">
        <f>IF($H3424="","",TODAY()-$H3424)</f>
        <v/>
      </c>
      <c r="O3424" s="15" t="n"/>
      <c r="P3424" s="15" t="n"/>
      <c r="Q3424" s="15" t="n"/>
      <c r="R3424" s="25" t="n"/>
      <c r="S3424" s="26">
        <f>IF($A3424="","",AND(OR('Assignment Builder'!$B$5="",$B3424='Assignment Builder'!$B$5),OR('Assignment Builder'!$B$6="",ISNUMBER(SEARCH('Assignment Builder'!$B$6,$C3424))),OR('Assignment Builder'!$B$7="",'Assignment Builder'!$B$7=IFERROR(INDEX('Category Dictionary'!$C$5:$C$135,MATCH($L3424,'Category Dictionary'!$D$5:$D$135,0)),"")),OR('Assignment Builder'!$B$8="",$D3424='Assignment Builder'!$B$8),OR('Assignment Builder'!$B$9="",$F3424='Assignment Builder'!$B$9),OR('Assignment Builder'!$B$10="",$O3424='Assignment Builder'!$B$10),OR('Assignment Builder'!$B$11="",$H3424&gt;='Assignment Builder'!$B$11),OR('Assignment Builder'!$B$12="",N($Q3424)&lt;='Assignment Builder'!$B$12)))</f>
        <v/>
      </c>
      <c r="T3424" s="23" t="n"/>
    </row>
    <row r="3425">
      <c r="A3425" s="23" t="n"/>
      <c r="B3425" s="23" t="n"/>
      <c r="C3425" s="24" t="n"/>
      <c r="D3425" s="15" t="n"/>
      <c r="E3425" s="23" t="n"/>
      <c r="F3425" s="15" t="n"/>
      <c r="G3425" s="23" t="n"/>
      <c r="H3425" s="25" t="n"/>
      <c r="I3425" s="15" t="n"/>
      <c r="J3425" s="26">
        <f>IF($A3425="","",LEN($C3425)-LEN(SUBSTITUTE($C3425,",",""))+1)</f>
        <v/>
      </c>
      <c r="K3425" s="26">
        <f>IF($A3425="","",SUMPRODUCT(--ISNUMBER(SEARCH('Category Dictionary'!$D$5:$D$135&amp;"",$C3425)),--('Category Dictionary'!$D$5:$D$135&lt;&gt;"")))</f>
        <v/>
      </c>
      <c r="L3425" s="27">
        <f>IF($A3425="","",TRIM(IF(ISERROR(FIND(",",$C3425)),$C3425,LEFT($C3425,FIND(",",$C3425)-1))))</f>
        <v/>
      </c>
      <c r="M3425" s="28">
        <f>IF($H3425="","",DATE(YEAR($H3425),MONTH($H3425),1))</f>
        <v/>
      </c>
      <c r="N3425" s="26">
        <f>IF($H3425="","",TODAY()-$H3425)</f>
        <v/>
      </c>
      <c r="O3425" s="15" t="n"/>
      <c r="P3425" s="15" t="n"/>
      <c r="Q3425" s="15" t="n"/>
      <c r="R3425" s="25" t="n"/>
      <c r="S3425" s="26">
        <f>IF($A3425="","",AND(OR('Assignment Builder'!$B$5="",$B3425='Assignment Builder'!$B$5),OR('Assignment Builder'!$B$6="",ISNUMBER(SEARCH('Assignment Builder'!$B$6,$C3425))),OR('Assignment Builder'!$B$7="",'Assignment Builder'!$B$7=IFERROR(INDEX('Category Dictionary'!$C$5:$C$135,MATCH($L3425,'Category Dictionary'!$D$5:$D$135,0)),"")),OR('Assignment Builder'!$B$8="",$D3425='Assignment Builder'!$B$8),OR('Assignment Builder'!$B$9="",$F3425='Assignment Builder'!$B$9),OR('Assignment Builder'!$B$10="",$O3425='Assignment Builder'!$B$10),OR('Assignment Builder'!$B$11="",$H3425&gt;='Assignment Builder'!$B$11),OR('Assignment Builder'!$B$12="",N($Q3425)&lt;='Assignment Builder'!$B$12)))</f>
        <v/>
      </c>
      <c r="T3425" s="23" t="n"/>
    </row>
    <row r="3426">
      <c r="A3426" s="23" t="n"/>
      <c r="B3426" s="23" t="n"/>
      <c r="C3426" s="24" t="n"/>
      <c r="D3426" s="15" t="n"/>
      <c r="E3426" s="23" t="n"/>
      <c r="F3426" s="15" t="n"/>
      <c r="G3426" s="23" t="n"/>
      <c r="H3426" s="25" t="n"/>
      <c r="I3426" s="15" t="n"/>
      <c r="J3426" s="26">
        <f>IF($A3426="","",LEN($C3426)-LEN(SUBSTITUTE($C3426,",",""))+1)</f>
        <v/>
      </c>
      <c r="K3426" s="26">
        <f>IF($A3426="","",SUMPRODUCT(--ISNUMBER(SEARCH('Category Dictionary'!$D$5:$D$135&amp;"",$C3426)),--('Category Dictionary'!$D$5:$D$135&lt;&gt;"")))</f>
        <v/>
      </c>
      <c r="L3426" s="27">
        <f>IF($A3426="","",TRIM(IF(ISERROR(FIND(",",$C3426)),$C3426,LEFT($C3426,FIND(",",$C3426)-1))))</f>
        <v/>
      </c>
      <c r="M3426" s="28">
        <f>IF($H3426="","",DATE(YEAR($H3426),MONTH($H3426),1))</f>
        <v/>
      </c>
      <c r="N3426" s="26">
        <f>IF($H3426="","",TODAY()-$H3426)</f>
        <v/>
      </c>
      <c r="O3426" s="15" t="n"/>
      <c r="P3426" s="15" t="n"/>
      <c r="Q3426" s="15" t="n"/>
      <c r="R3426" s="25" t="n"/>
      <c r="S3426" s="26">
        <f>IF($A3426="","",AND(OR('Assignment Builder'!$B$5="",$B3426='Assignment Builder'!$B$5),OR('Assignment Builder'!$B$6="",ISNUMBER(SEARCH('Assignment Builder'!$B$6,$C3426))),OR('Assignment Builder'!$B$7="",'Assignment Builder'!$B$7=IFERROR(INDEX('Category Dictionary'!$C$5:$C$135,MATCH($L3426,'Category Dictionary'!$D$5:$D$135,0)),"")),OR('Assignment Builder'!$B$8="",$D3426='Assignment Builder'!$B$8),OR('Assignment Builder'!$B$9="",$F3426='Assignment Builder'!$B$9),OR('Assignment Builder'!$B$10="",$O3426='Assignment Builder'!$B$10),OR('Assignment Builder'!$B$11="",$H3426&gt;='Assignment Builder'!$B$11),OR('Assignment Builder'!$B$12="",N($Q3426)&lt;='Assignment Builder'!$B$12)))</f>
        <v/>
      </c>
      <c r="T3426" s="23" t="n"/>
    </row>
    <row r="3427">
      <c r="A3427" s="23" t="n"/>
      <c r="B3427" s="23" t="n"/>
      <c r="C3427" s="24" t="n"/>
      <c r="D3427" s="15" t="n"/>
      <c r="E3427" s="23" t="n"/>
      <c r="F3427" s="15" t="n"/>
      <c r="G3427" s="23" t="n"/>
      <c r="H3427" s="25" t="n"/>
      <c r="I3427" s="15" t="n"/>
      <c r="J3427" s="26">
        <f>IF($A3427="","",LEN($C3427)-LEN(SUBSTITUTE($C3427,",",""))+1)</f>
        <v/>
      </c>
      <c r="K3427" s="26">
        <f>IF($A3427="","",SUMPRODUCT(--ISNUMBER(SEARCH('Category Dictionary'!$D$5:$D$135&amp;"",$C3427)),--('Category Dictionary'!$D$5:$D$135&lt;&gt;"")))</f>
        <v/>
      </c>
      <c r="L3427" s="27">
        <f>IF($A3427="","",TRIM(IF(ISERROR(FIND(",",$C3427)),$C3427,LEFT($C3427,FIND(",",$C3427)-1))))</f>
        <v/>
      </c>
      <c r="M3427" s="28">
        <f>IF($H3427="","",DATE(YEAR($H3427),MONTH($H3427),1))</f>
        <v/>
      </c>
      <c r="N3427" s="26">
        <f>IF($H3427="","",TODAY()-$H3427)</f>
        <v/>
      </c>
      <c r="O3427" s="15" t="n"/>
      <c r="P3427" s="15" t="n"/>
      <c r="Q3427" s="15" t="n"/>
      <c r="R3427" s="25" t="n"/>
      <c r="S3427" s="26">
        <f>IF($A3427="","",AND(OR('Assignment Builder'!$B$5="",$B3427='Assignment Builder'!$B$5),OR('Assignment Builder'!$B$6="",ISNUMBER(SEARCH('Assignment Builder'!$B$6,$C3427))),OR('Assignment Builder'!$B$7="",'Assignment Builder'!$B$7=IFERROR(INDEX('Category Dictionary'!$C$5:$C$135,MATCH($L3427,'Category Dictionary'!$D$5:$D$135,0)),"")),OR('Assignment Builder'!$B$8="",$D3427='Assignment Builder'!$B$8),OR('Assignment Builder'!$B$9="",$F3427='Assignment Builder'!$B$9),OR('Assignment Builder'!$B$10="",$O3427='Assignment Builder'!$B$10),OR('Assignment Builder'!$B$11="",$H3427&gt;='Assignment Builder'!$B$11),OR('Assignment Builder'!$B$12="",N($Q3427)&lt;='Assignment Builder'!$B$12)))</f>
        <v/>
      </c>
      <c r="T3427" s="23" t="n"/>
    </row>
    <row r="3428">
      <c r="A3428" s="23" t="n"/>
      <c r="B3428" s="23" t="n"/>
      <c r="C3428" s="24" t="n"/>
      <c r="D3428" s="15" t="n"/>
      <c r="E3428" s="23" t="n"/>
      <c r="F3428" s="15" t="n"/>
      <c r="G3428" s="23" t="n"/>
      <c r="H3428" s="25" t="n"/>
      <c r="I3428" s="15" t="n"/>
      <c r="J3428" s="26">
        <f>IF($A3428="","",LEN($C3428)-LEN(SUBSTITUTE($C3428,",",""))+1)</f>
        <v/>
      </c>
      <c r="K3428" s="26">
        <f>IF($A3428="","",SUMPRODUCT(--ISNUMBER(SEARCH('Category Dictionary'!$D$5:$D$135&amp;"",$C3428)),--('Category Dictionary'!$D$5:$D$135&lt;&gt;"")))</f>
        <v/>
      </c>
      <c r="L3428" s="27">
        <f>IF($A3428="","",TRIM(IF(ISERROR(FIND(",",$C3428)),$C3428,LEFT($C3428,FIND(",",$C3428)-1))))</f>
        <v/>
      </c>
      <c r="M3428" s="28">
        <f>IF($H3428="","",DATE(YEAR($H3428),MONTH($H3428),1))</f>
        <v/>
      </c>
      <c r="N3428" s="26">
        <f>IF($H3428="","",TODAY()-$H3428)</f>
        <v/>
      </c>
      <c r="O3428" s="15" t="n"/>
      <c r="P3428" s="15" t="n"/>
      <c r="Q3428" s="15" t="n"/>
      <c r="R3428" s="25" t="n"/>
      <c r="S3428" s="26">
        <f>IF($A3428="","",AND(OR('Assignment Builder'!$B$5="",$B3428='Assignment Builder'!$B$5),OR('Assignment Builder'!$B$6="",ISNUMBER(SEARCH('Assignment Builder'!$B$6,$C3428))),OR('Assignment Builder'!$B$7="",'Assignment Builder'!$B$7=IFERROR(INDEX('Category Dictionary'!$C$5:$C$135,MATCH($L3428,'Category Dictionary'!$D$5:$D$135,0)),"")),OR('Assignment Builder'!$B$8="",$D3428='Assignment Builder'!$B$8),OR('Assignment Builder'!$B$9="",$F3428='Assignment Builder'!$B$9),OR('Assignment Builder'!$B$10="",$O3428='Assignment Builder'!$B$10),OR('Assignment Builder'!$B$11="",$H3428&gt;='Assignment Builder'!$B$11),OR('Assignment Builder'!$B$12="",N($Q3428)&lt;='Assignment Builder'!$B$12)))</f>
        <v/>
      </c>
      <c r="T3428" s="23" t="n"/>
    </row>
    <row r="3429">
      <c r="A3429" s="23" t="n"/>
      <c r="B3429" s="23" t="n"/>
      <c r="C3429" s="24" t="n"/>
      <c r="D3429" s="15" t="n"/>
      <c r="E3429" s="23" t="n"/>
      <c r="F3429" s="15" t="n"/>
      <c r="G3429" s="23" t="n"/>
      <c r="H3429" s="25" t="n"/>
      <c r="I3429" s="15" t="n"/>
      <c r="J3429" s="26">
        <f>IF($A3429="","",LEN($C3429)-LEN(SUBSTITUTE($C3429,",",""))+1)</f>
        <v/>
      </c>
      <c r="K3429" s="26">
        <f>IF($A3429="","",SUMPRODUCT(--ISNUMBER(SEARCH('Category Dictionary'!$D$5:$D$135&amp;"",$C3429)),--('Category Dictionary'!$D$5:$D$135&lt;&gt;"")))</f>
        <v/>
      </c>
      <c r="L3429" s="27">
        <f>IF($A3429="","",TRIM(IF(ISERROR(FIND(",",$C3429)),$C3429,LEFT($C3429,FIND(",",$C3429)-1))))</f>
        <v/>
      </c>
      <c r="M3429" s="28">
        <f>IF($H3429="","",DATE(YEAR($H3429),MONTH($H3429),1))</f>
        <v/>
      </c>
      <c r="N3429" s="26">
        <f>IF($H3429="","",TODAY()-$H3429)</f>
        <v/>
      </c>
      <c r="O3429" s="15" t="n"/>
      <c r="P3429" s="15" t="n"/>
      <c r="Q3429" s="15" t="n"/>
      <c r="R3429" s="25" t="n"/>
      <c r="S3429" s="26">
        <f>IF($A3429="","",AND(OR('Assignment Builder'!$B$5="",$B3429='Assignment Builder'!$B$5),OR('Assignment Builder'!$B$6="",ISNUMBER(SEARCH('Assignment Builder'!$B$6,$C3429))),OR('Assignment Builder'!$B$7="",'Assignment Builder'!$B$7=IFERROR(INDEX('Category Dictionary'!$C$5:$C$135,MATCH($L3429,'Category Dictionary'!$D$5:$D$135,0)),"")),OR('Assignment Builder'!$B$8="",$D3429='Assignment Builder'!$B$8),OR('Assignment Builder'!$B$9="",$F3429='Assignment Builder'!$B$9),OR('Assignment Builder'!$B$10="",$O3429='Assignment Builder'!$B$10),OR('Assignment Builder'!$B$11="",$H3429&gt;='Assignment Builder'!$B$11),OR('Assignment Builder'!$B$12="",N($Q3429)&lt;='Assignment Builder'!$B$12)))</f>
        <v/>
      </c>
      <c r="T3429" s="23" t="n"/>
    </row>
    <row r="3430">
      <c r="A3430" s="23" t="n"/>
      <c r="B3430" s="23" t="n"/>
      <c r="C3430" s="24" t="n"/>
      <c r="D3430" s="15" t="n"/>
      <c r="E3430" s="23" t="n"/>
      <c r="F3430" s="15" t="n"/>
      <c r="G3430" s="23" t="n"/>
      <c r="H3430" s="25" t="n"/>
      <c r="I3430" s="15" t="n"/>
      <c r="J3430" s="26">
        <f>IF($A3430="","",LEN($C3430)-LEN(SUBSTITUTE($C3430,",",""))+1)</f>
        <v/>
      </c>
      <c r="K3430" s="26">
        <f>IF($A3430="","",SUMPRODUCT(--ISNUMBER(SEARCH('Category Dictionary'!$D$5:$D$135&amp;"",$C3430)),--('Category Dictionary'!$D$5:$D$135&lt;&gt;"")))</f>
        <v/>
      </c>
      <c r="L3430" s="27">
        <f>IF($A3430="","",TRIM(IF(ISERROR(FIND(",",$C3430)),$C3430,LEFT($C3430,FIND(",",$C3430)-1))))</f>
        <v/>
      </c>
      <c r="M3430" s="28">
        <f>IF($H3430="","",DATE(YEAR($H3430),MONTH($H3430),1))</f>
        <v/>
      </c>
      <c r="N3430" s="26">
        <f>IF($H3430="","",TODAY()-$H3430)</f>
        <v/>
      </c>
      <c r="O3430" s="15" t="n"/>
      <c r="P3430" s="15" t="n"/>
      <c r="Q3430" s="15" t="n"/>
      <c r="R3430" s="25" t="n"/>
      <c r="S3430" s="26">
        <f>IF($A3430="","",AND(OR('Assignment Builder'!$B$5="",$B3430='Assignment Builder'!$B$5),OR('Assignment Builder'!$B$6="",ISNUMBER(SEARCH('Assignment Builder'!$B$6,$C3430))),OR('Assignment Builder'!$B$7="",'Assignment Builder'!$B$7=IFERROR(INDEX('Category Dictionary'!$C$5:$C$135,MATCH($L3430,'Category Dictionary'!$D$5:$D$135,0)),"")),OR('Assignment Builder'!$B$8="",$D3430='Assignment Builder'!$B$8),OR('Assignment Builder'!$B$9="",$F3430='Assignment Builder'!$B$9),OR('Assignment Builder'!$B$10="",$O3430='Assignment Builder'!$B$10),OR('Assignment Builder'!$B$11="",$H3430&gt;='Assignment Builder'!$B$11),OR('Assignment Builder'!$B$12="",N($Q3430)&lt;='Assignment Builder'!$B$12)))</f>
        <v/>
      </c>
      <c r="T3430" s="23" t="n"/>
    </row>
    <row r="3431">
      <c r="A3431" s="23" t="n"/>
      <c r="B3431" s="23" t="n"/>
      <c r="C3431" s="24" t="n"/>
      <c r="D3431" s="15" t="n"/>
      <c r="E3431" s="23" t="n"/>
      <c r="F3431" s="15" t="n"/>
      <c r="G3431" s="23" t="n"/>
      <c r="H3431" s="25" t="n"/>
      <c r="I3431" s="15" t="n"/>
      <c r="J3431" s="26">
        <f>IF($A3431="","",LEN($C3431)-LEN(SUBSTITUTE($C3431,",",""))+1)</f>
        <v/>
      </c>
      <c r="K3431" s="26">
        <f>IF($A3431="","",SUMPRODUCT(--ISNUMBER(SEARCH('Category Dictionary'!$D$5:$D$135&amp;"",$C3431)),--('Category Dictionary'!$D$5:$D$135&lt;&gt;"")))</f>
        <v/>
      </c>
      <c r="L3431" s="27">
        <f>IF($A3431="","",TRIM(IF(ISERROR(FIND(",",$C3431)),$C3431,LEFT($C3431,FIND(",",$C3431)-1))))</f>
        <v/>
      </c>
      <c r="M3431" s="28">
        <f>IF($H3431="","",DATE(YEAR($H3431),MONTH($H3431),1))</f>
        <v/>
      </c>
      <c r="N3431" s="26">
        <f>IF($H3431="","",TODAY()-$H3431)</f>
        <v/>
      </c>
      <c r="O3431" s="15" t="n"/>
      <c r="P3431" s="15" t="n"/>
      <c r="Q3431" s="15" t="n"/>
      <c r="R3431" s="25" t="n"/>
      <c r="S3431" s="26">
        <f>IF($A3431="","",AND(OR('Assignment Builder'!$B$5="",$B3431='Assignment Builder'!$B$5),OR('Assignment Builder'!$B$6="",ISNUMBER(SEARCH('Assignment Builder'!$B$6,$C3431))),OR('Assignment Builder'!$B$7="",'Assignment Builder'!$B$7=IFERROR(INDEX('Category Dictionary'!$C$5:$C$135,MATCH($L3431,'Category Dictionary'!$D$5:$D$135,0)),"")),OR('Assignment Builder'!$B$8="",$D3431='Assignment Builder'!$B$8),OR('Assignment Builder'!$B$9="",$F3431='Assignment Builder'!$B$9),OR('Assignment Builder'!$B$10="",$O3431='Assignment Builder'!$B$10),OR('Assignment Builder'!$B$11="",$H3431&gt;='Assignment Builder'!$B$11),OR('Assignment Builder'!$B$12="",N($Q3431)&lt;='Assignment Builder'!$B$12)))</f>
        <v/>
      </c>
      <c r="T3431" s="23" t="n"/>
    </row>
    <row r="3432">
      <c r="A3432" s="23" t="n"/>
      <c r="B3432" s="23" t="n"/>
      <c r="C3432" s="24" t="n"/>
      <c r="D3432" s="15" t="n"/>
      <c r="E3432" s="23" t="n"/>
      <c r="F3432" s="15" t="n"/>
      <c r="G3432" s="23" t="n"/>
      <c r="H3432" s="25" t="n"/>
      <c r="I3432" s="15" t="n"/>
      <c r="J3432" s="26">
        <f>IF($A3432="","",LEN($C3432)-LEN(SUBSTITUTE($C3432,",",""))+1)</f>
        <v/>
      </c>
      <c r="K3432" s="26">
        <f>IF($A3432="","",SUMPRODUCT(--ISNUMBER(SEARCH('Category Dictionary'!$D$5:$D$135&amp;"",$C3432)),--('Category Dictionary'!$D$5:$D$135&lt;&gt;"")))</f>
        <v/>
      </c>
      <c r="L3432" s="27">
        <f>IF($A3432="","",TRIM(IF(ISERROR(FIND(",",$C3432)),$C3432,LEFT($C3432,FIND(",",$C3432)-1))))</f>
        <v/>
      </c>
      <c r="M3432" s="28">
        <f>IF($H3432="","",DATE(YEAR($H3432),MONTH($H3432),1))</f>
        <v/>
      </c>
      <c r="N3432" s="26">
        <f>IF($H3432="","",TODAY()-$H3432)</f>
        <v/>
      </c>
      <c r="O3432" s="15" t="n"/>
      <c r="P3432" s="15" t="n"/>
      <c r="Q3432" s="15" t="n"/>
      <c r="R3432" s="25" t="n"/>
      <c r="S3432" s="26">
        <f>IF($A3432="","",AND(OR('Assignment Builder'!$B$5="",$B3432='Assignment Builder'!$B$5),OR('Assignment Builder'!$B$6="",ISNUMBER(SEARCH('Assignment Builder'!$B$6,$C3432))),OR('Assignment Builder'!$B$7="",'Assignment Builder'!$B$7=IFERROR(INDEX('Category Dictionary'!$C$5:$C$135,MATCH($L3432,'Category Dictionary'!$D$5:$D$135,0)),"")),OR('Assignment Builder'!$B$8="",$D3432='Assignment Builder'!$B$8),OR('Assignment Builder'!$B$9="",$F3432='Assignment Builder'!$B$9),OR('Assignment Builder'!$B$10="",$O3432='Assignment Builder'!$B$10),OR('Assignment Builder'!$B$11="",$H3432&gt;='Assignment Builder'!$B$11),OR('Assignment Builder'!$B$12="",N($Q3432)&lt;='Assignment Builder'!$B$12)))</f>
        <v/>
      </c>
      <c r="T3432" s="23" t="n"/>
    </row>
    <row r="3433">
      <c r="A3433" s="23" t="n"/>
      <c r="B3433" s="23" t="n"/>
      <c r="C3433" s="24" t="n"/>
      <c r="D3433" s="15" t="n"/>
      <c r="E3433" s="23" t="n"/>
      <c r="F3433" s="15" t="n"/>
      <c r="G3433" s="23" t="n"/>
      <c r="H3433" s="25" t="n"/>
      <c r="I3433" s="15" t="n"/>
      <c r="J3433" s="26">
        <f>IF($A3433="","",LEN($C3433)-LEN(SUBSTITUTE($C3433,",",""))+1)</f>
        <v/>
      </c>
      <c r="K3433" s="26">
        <f>IF($A3433="","",SUMPRODUCT(--ISNUMBER(SEARCH('Category Dictionary'!$D$5:$D$135&amp;"",$C3433)),--('Category Dictionary'!$D$5:$D$135&lt;&gt;"")))</f>
        <v/>
      </c>
      <c r="L3433" s="27">
        <f>IF($A3433="","",TRIM(IF(ISERROR(FIND(",",$C3433)),$C3433,LEFT($C3433,FIND(",",$C3433)-1))))</f>
        <v/>
      </c>
      <c r="M3433" s="28">
        <f>IF($H3433="","",DATE(YEAR($H3433),MONTH($H3433),1))</f>
        <v/>
      </c>
      <c r="N3433" s="26">
        <f>IF($H3433="","",TODAY()-$H3433)</f>
        <v/>
      </c>
      <c r="O3433" s="15" t="n"/>
      <c r="P3433" s="15" t="n"/>
      <c r="Q3433" s="15" t="n"/>
      <c r="R3433" s="25" t="n"/>
      <c r="S3433" s="26">
        <f>IF($A3433="","",AND(OR('Assignment Builder'!$B$5="",$B3433='Assignment Builder'!$B$5),OR('Assignment Builder'!$B$6="",ISNUMBER(SEARCH('Assignment Builder'!$B$6,$C3433))),OR('Assignment Builder'!$B$7="",'Assignment Builder'!$B$7=IFERROR(INDEX('Category Dictionary'!$C$5:$C$135,MATCH($L3433,'Category Dictionary'!$D$5:$D$135,0)),"")),OR('Assignment Builder'!$B$8="",$D3433='Assignment Builder'!$B$8),OR('Assignment Builder'!$B$9="",$F3433='Assignment Builder'!$B$9),OR('Assignment Builder'!$B$10="",$O3433='Assignment Builder'!$B$10),OR('Assignment Builder'!$B$11="",$H3433&gt;='Assignment Builder'!$B$11),OR('Assignment Builder'!$B$12="",N($Q3433)&lt;='Assignment Builder'!$B$12)))</f>
        <v/>
      </c>
      <c r="T3433" s="23" t="n"/>
    </row>
    <row r="3434">
      <c r="A3434" s="23" t="n"/>
      <c r="B3434" s="23" t="n"/>
      <c r="C3434" s="24" t="n"/>
      <c r="D3434" s="15" t="n"/>
      <c r="E3434" s="23" t="n"/>
      <c r="F3434" s="15" t="n"/>
      <c r="G3434" s="23" t="n"/>
      <c r="H3434" s="25" t="n"/>
      <c r="I3434" s="15" t="n"/>
      <c r="J3434" s="26">
        <f>IF($A3434="","",LEN($C3434)-LEN(SUBSTITUTE($C3434,",",""))+1)</f>
        <v/>
      </c>
      <c r="K3434" s="26">
        <f>IF($A3434="","",SUMPRODUCT(--ISNUMBER(SEARCH('Category Dictionary'!$D$5:$D$135&amp;"",$C3434)),--('Category Dictionary'!$D$5:$D$135&lt;&gt;"")))</f>
        <v/>
      </c>
      <c r="L3434" s="27">
        <f>IF($A3434="","",TRIM(IF(ISERROR(FIND(",",$C3434)),$C3434,LEFT($C3434,FIND(",",$C3434)-1))))</f>
        <v/>
      </c>
      <c r="M3434" s="28">
        <f>IF($H3434="","",DATE(YEAR($H3434),MONTH($H3434),1))</f>
        <v/>
      </c>
      <c r="N3434" s="26">
        <f>IF($H3434="","",TODAY()-$H3434)</f>
        <v/>
      </c>
      <c r="O3434" s="15" t="n"/>
      <c r="P3434" s="15" t="n"/>
      <c r="Q3434" s="15" t="n"/>
      <c r="R3434" s="25" t="n"/>
      <c r="S3434" s="26">
        <f>IF($A3434="","",AND(OR('Assignment Builder'!$B$5="",$B3434='Assignment Builder'!$B$5),OR('Assignment Builder'!$B$6="",ISNUMBER(SEARCH('Assignment Builder'!$B$6,$C3434))),OR('Assignment Builder'!$B$7="",'Assignment Builder'!$B$7=IFERROR(INDEX('Category Dictionary'!$C$5:$C$135,MATCH($L3434,'Category Dictionary'!$D$5:$D$135,0)),"")),OR('Assignment Builder'!$B$8="",$D3434='Assignment Builder'!$B$8),OR('Assignment Builder'!$B$9="",$F3434='Assignment Builder'!$B$9),OR('Assignment Builder'!$B$10="",$O3434='Assignment Builder'!$B$10),OR('Assignment Builder'!$B$11="",$H3434&gt;='Assignment Builder'!$B$11),OR('Assignment Builder'!$B$12="",N($Q3434)&lt;='Assignment Builder'!$B$12)))</f>
        <v/>
      </c>
      <c r="T3434" s="23" t="n"/>
    </row>
    <row r="3435">
      <c r="A3435" s="23" t="n"/>
      <c r="B3435" s="23" t="n"/>
      <c r="C3435" s="24" t="n"/>
      <c r="D3435" s="15" t="n"/>
      <c r="E3435" s="23" t="n"/>
      <c r="F3435" s="15" t="n"/>
      <c r="G3435" s="23" t="n"/>
      <c r="H3435" s="25" t="n"/>
      <c r="I3435" s="15" t="n"/>
      <c r="J3435" s="26">
        <f>IF($A3435="","",LEN($C3435)-LEN(SUBSTITUTE($C3435,",",""))+1)</f>
        <v/>
      </c>
      <c r="K3435" s="26">
        <f>IF($A3435="","",SUMPRODUCT(--ISNUMBER(SEARCH('Category Dictionary'!$D$5:$D$135&amp;"",$C3435)),--('Category Dictionary'!$D$5:$D$135&lt;&gt;"")))</f>
        <v/>
      </c>
      <c r="L3435" s="27">
        <f>IF($A3435="","",TRIM(IF(ISERROR(FIND(",",$C3435)),$C3435,LEFT($C3435,FIND(",",$C3435)-1))))</f>
        <v/>
      </c>
      <c r="M3435" s="28">
        <f>IF($H3435="","",DATE(YEAR($H3435),MONTH($H3435),1))</f>
        <v/>
      </c>
      <c r="N3435" s="26">
        <f>IF($H3435="","",TODAY()-$H3435)</f>
        <v/>
      </c>
      <c r="O3435" s="15" t="n"/>
      <c r="P3435" s="15" t="n"/>
      <c r="Q3435" s="15" t="n"/>
      <c r="R3435" s="25" t="n"/>
      <c r="S3435" s="26">
        <f>IF($A3435="","",AND(OR('Assignment Builder'!$B$5="",$B3435='Assignment Builder'!$B$5),OR('Assignment Builder'!$B$6="",ISNUMBER(SEARCH('Assignment Builder'!$B$6,$C3435))),OR('Assignment Builder'!$B$7="",'Assignment Builder'!$B$7=IFERROR(INDEX('Category Dictionary'!$C$5:$C$135,MATCH($L3435,'Category Dictionary'!$D$5:$D$135,0)),"")),OR('Assignment Builder'!$B$8="",$D3435='Assignment Builder'!$B$8),OR('Assignment Builder'!$B$9="",$F3435='Assignment Builder'!$B$9),OR('Assignment Builder'!$B$10="",$O3435='Assignment Builder'!$B$10),OR('Assignment Builder'!$B$11="",$H3435&gt;='Assignment Builder'!$B$11),OR('Assignment Builder'!$B$12="",N($Q3435)&lt;='Assignment Builder'!$B$12)))</f>
        <v/>
      </c>
      <c r="T3435" s="23" t="n"/>
    </row>
    <row r="3436">
      <c r="A3436" s="23" t="n"/>
      <c r="B3436" s="23" t="n"/>
      <c r="C3436" s="24" t="n"/>
      <c r="D3436" s="15" t="n"/>
      <c r="E3436" s="23" t="n"/>
      <c r="F3436" s="15" t="n"/>
      <c r="G3436" s="23" t="n"/>
      <c r="H3436" s="25" t="n"/>
      <c r="I3436" s="15" t="n"/>
      <c r="J3436" s="26">
        <f>IF($A3436="","",LEN($C3436)-LEN(SUBSTITUTE($C3436,",",""))+1)</f>
        <v/>
      </c>
      <c r="K3436" s="26">
        <f>IF($A3436="","",SUMPRODUCT(--ISNUMBER(SEARCH('Category Dictionary'!$D$5:$D$135&amp;"",$C3436)),--('Category Dictionary'!$D$5:$D$135&lt;&gt;"")))</f>
        <v/>
      </c>
      <c r="L3436" s="27">
        <f>IF($A3436="","",TRIM(IF(ISERROR(FIND(",",$C3436)),$C3436,LEFT($C3436,FIND(",",$C3436)-1))))</f>
        <v/>
      </c>
      <c r="M3436" s="28">
        <f>IF($H3436="","",DATE(YEAR($H3436),MONTH($H3436),1))</f>
        <v/>
      </c>
      <c r="N3436" s="26">
        <f>IF($H3436="","",TODAY()-$H3436)</f>
        <v/>
      </c>
      <c r="O3436" s="15" t="n"/>
      <c r="P3436" s="15" t="n"/>
      <c r="Q3436" s="15" t="n"/>
      <c r="R3436" s="25" t="n"/>
      <c r="S3436" s="26">
        <f>IF($A3436="","",AND(OR('Assignment Builder'!$B$5="",$B3436='Assignment Builder'!$B$5),OR('Assignment Builder'!$B$6="",ISNUMBER(SEARCH('Assignment Builder'!$B$6,$C3436))),OR('Assignment Builder'!$B$7="",'Assignment Builder'!$B$7=IFERROR(INDEX('Category Dictionary'!$C$5:$C$135,MATCH($L3436,'Category Dictionary'!$D$5:$D$135,0)),"")),OR('Assignment Builder'!$B$8="",$D3436='Assignment Builder'!$B$8),OR('Assignment Builder'!$B$9="",$F3436='Assignment Builder'!$B$9),OR('Assignment Builder'!$B$10="",$O3436='Assignment Builder'!$B$10),OR('Assignment Builder'!$B$11="",$H3436&gt;='Assignment Builder'!$B$11),OR('Assignment Builder'!$B$12="",N($Q3436)&lt;='Assignment Builder'!$B$12)))</f>
        <v/>
      </c>
      <c r="T3436" s="23" t="n"/>
    </row>
    <row r="3437">
      <c r="A3437" s="23" t="n"/>
      <c r="B3437" s="23" t="n"/>
      <c r="C3437" s="24" t="n"/>
      <c r="D3437" s="15" t="n"/>
      <c r="E3437" s="23" t="n"/>
      <c r="F3437" s="15" t="n"/>
      <c r="G3437" s="23" t="n"/>
      <c r="H3437" s="25" t="n"/>
      <c r="I3437" s="15" t="n"/>
      <c r="J3437" s="26">
        <f>IF($A3437="","",LEN($C3437)-LEN(SUBSTITUTE($C3437,",",""))+1)</f>
        <v/>
      </c>
      <c r="K3437" s="26">
        <f>IF($A3437="","",SUMPRODUCT(--ISNUMBER(SEARCH('Category Dictionary'!$D$5:$D$135&amp;"",$C3437)),--('Category Dictionary'!$D$5:$D$135&lt;&gt;"")))</f>
        <v/>
      </c>
      <c r="L3437" s="27">
        <f>IF($A3437="","",TRIM(IF(ISERROR(FIND(",",$C3437)),$C3437,LEFT($C3437,FIND(",",$C3437)-1))))</f>
        <v/>
      </c>
      <c r="M3437" s="28">
        <f>IF($H3437="","",DATE(YEAR($H3437),MONTH($H3437),1))</f>
        <v/>
      </c>
      <c r="N3437" s="26">
        <f>IF($H3437="","",TODAY()-$H3437)</f>
        <v/>
      </c>
      <c r="O3437" s="15" t="n"/>
      <c r="P3437" s="15" t="n"/>
      <c r="Q3437" s="15" t="n"/>
      <c r="R3437" s="25" t="n"/>
      <c r="S3437" s="26">
        <f>IF($A3437="","",AND(OR('Assignment Builder'!$B$5="",$B3437='Assignment Builder'!$B$5),OR('Assignment Builder'!$B$6="",ISNUMBER(SEARCH('Assignment Builder'!$B$6,$C3437))),OR('Assignment Builder'!$B$7="",'Assignment Builder'!$B$7=IFERROR(INDEX('Category Dictionary'!$C$5:$C$135,MATCH($L3437,'Category Dictionary'!$D$5:$D$135,0)),"")),OR('Assignment Builder'!$B$8="",$D3437='Assignment Builder'!$B$8),OR('Assignment Builder'!$B$9="",$F3437='Assignment Builder'!$B$9),OR('Assignment Builder'!$B$10="",$O3437='Assignment Builder'!$B$10),OR('Assignment Builder'!$B$11="",$H3437&gt;='Assignment Builder'!$B$11),OR('Assignment Builder'!$B$12="",N($Q3437)&lt;='Assignment Builder'!$B$12)))</f>
        <v/>
      </c>
      <c r="T3437" s="23" t="n"/>
    </row>
    <row r="3438">
      <c r="A3438" s="23" t="n"/>
      <c r="B3438" s="23" t="n"/>
      <c r="C3438" s="24" t="n"/>
      <c r="D3438" s="15" t="n"/>
      <c r="E3438" s="23" t="n"/>
      <c r="F3438" s="15" t="n"/>
      <c r="G3438" s="23" t="n"/>
      <c r="H3438" s="25" t="n"/>
      <c r="I3438" s="15" t="n"/>
      <c r="J3438" s="26">
        <f>IF($A3438="","",LEN($C3438)-LEN(SUBSTITUTE($C3438,",",""))+1)</f>
        <v/>
      </c>
      <c r="K3438" s="26">
        <f>IF($A3438="","",SUMPRODUCT(--ISNUMBER(SEARCH('Category Dictionary'!$D$5:$D$135&amp;"",$C3438)),--('Category Dictionary'!$D$5:$D$135&lt;&gt;"")))</f>
        <v/>
      </c>
      <c r="L3438" s="27">
        <f>IF($A3438="","",TRIM(IF(ISERROR(FIND(",",$C3438)),$C3438,LEFT($C3438,FIND(",",$C3438)-1))))</f>
        <v/>
      </c>
      <c r="M3438" s="28">
        <f>IF($H3438="","",DATE(YEAR($H3438),MONTH($H3438),1))</f>
        <v/>
      </c>
      <c r="N3438" s="26">
        <f>IF($H3438="","",TODAY()-$H3438)</f>
        <v/>
      </c>
      <c r="O3438" s="15" t="n"/>
      <c r="P3438" s="15" t="n"/>
      <c r="Q3438" s="15" t="n"/>
      <c r="R3438" s="25" t="n"/>
      <c r="S3438" s="26">
        <f>IF($A3438="","",AND(OR('Assignment Builder'!$B$5="",$B3438='Assignment Builder'!$B$5),OR('Assignment Builder'!$B$6="",ISNUMBER(SEARCH('Assignment Builder'!$B$6,$C3438))),OR('Assignment Builder'!$B$7="",'Assignment Builder'!$B$7=IFERROR(INDEX('Category Dictionary'!$C$5:$C$135,MATCH($L3438,'Category Dictionary'!$D$5:$D$135,0)),"")),OR('Assignment Builder'!$B$8="",$D3438='Assignment Builder'!$B$8),OR('Assignment Builder'!$B$9="",$F3438='Assignment Builder'!$B$9),OR('Assignment Builder'!$B$10="",$O3438='Assignment Builder'!$B$10),OR('Assignment Builder'!$B$11="",$H3438&gt;='Assignment Builder'!$B$11),OR('Assignment Builder'!$B$12="",N($Q3438)&lt;='Assignment Builder'!$B$12)))</f>
        <v/>
      </c>
      <c r="T3438" s="23" t="n"/>
    </row>
    <row r="3439">
      <c r="A3439" s="23" t="n"/>
      <c r="B3439" s="23" t="n"/>
      <c r="C3439" s="24" t="n"/>
      <c r="D3439" s="15" t="n"/>
      <c r="E3439" s="23" t="n"/>
      <c r="F3439" s="15" t="n"/>
      <c r="G3439" s="23" t="n"/>
      <c r="H3439" s="25" t="n"/>
      <c r="I3439" s="15" t="n"/>
      <c r="J3439" s="26">
        <f>IF($A3439="","",LEN($C3439)-LEN(SUBSTITUTE($C3439,",",""))+1)</f>
        <v/>
      </c>
      <c r="K3439" s="26">
        <f>IF($A3439="","",SUMPRODUCT(--ISNUMBER(SEARCH('Category Dictionary'!$D$5:$D$135&amp;"",$C3439)),--('Category Dictionary'!$D$5:$D$135&lt;&gt;"")))</f>
        <v/>
      </c>
      <c r="L3439" s="27">
        <f>IF($A3439="","",TRIM(IF(ISERROR(FIND(",",$C3439)),$C3439,LEFT($C3439,FIND(",",$C3439)-1))))</f>
        <v/>
      </c>
      <c r="M3439" s="28">
        <f>IF($H3439="","",DATE(YEAR($H3439),MONTH($H3439),1))</f>
        <v/>
      </c>
      <c r="N3439" s="26">
        <f>IF($H3439="","",TODAY()-$H3439)</f>
        <v/>
      </c>
      <c r="O3439" s="15" t="n"/>
      <c r="P3439" s="15" t="n"/>
      <c r="Q3439" s="15" t="n"/>
      <c r="R3439" s="25" t="n"/>
      <c r="S3439" s="26">
        <f>IF($A3439="","",AND(OR('Assignment Builder'!$B$5="",$B3439='Assignment Builder'!$B$5),OR('Assignment Builder'!$B$6="",ISNUMBER(SEARCH('Assignment Builder'!$B$6,$C3439))),OR('Assignment Builder'!$B$7="",'Assignment Builder'!$B$7=IFERROR(INDEX('Category Dictionary'!$C$5:$C$135,MATCH($L3439,'Category Dictionary'!$D$5:$D$135,0)),"")),OR('Assignment Builder'!$B$8="",$D3439='Assignment Builder'!$B$8),OR('Assignment Builder'!$B$9="",$F3439='Assignment Builder'!$B$9),OR('Assignment Builder'!$B$10="",$O3439='Assignment Builder'!$B$10),OR('Assignment Builder'!$B$11="",$H3439&gt;='Assignment Builder'!$B$11),OR('Assignment Builder'!$B$12="",N($Q3439)&lt;='Assignment Builder'!$B$12)))</f>
        <v/>
      </c>
      <c r="T3439" s="23" t="n"/>
    </row>
    <row r="3440">
      <c r="A3440" s="23" t="n"/>
      <c r="B3440" s="23" t="n"/>
      <c r="C3440" s="24" t="n"/>
      <c r="D3440" s="15" t="n"/>
      <c r="E3440" s="23" t="n"/>
      <c r="F3440" s="15" t="n"/>
      <c r="G3440" s="23" t="n"/>
      <c r="H3440" s="25" t="n"/>
      <c r="I3440" s="15" t="n"/>
      <c r="J3440" s="26">
        <f>IF($A3440="","",LEN($C3440)-LEN(SUBSTITUTE($C3440,",",""))+1)</f>
        <v/>
      </c>
      <c r="K3440" s="26">
        <f>IF($A3440="","",SUMPRODUCT(--ISNUMBER(SEARCH('Category Dictionary'!$D$5:$D$135&amp;"",$C3440)),--('Category Dictionary'!$D$5:$D$135&lt;&gt;"")))</f>
        <v/>
      </c>
      <c r="L3440" s="27">
        <f>IF($A3440="","",TRIM(IF(ISERROR(FIND(",",$C3440)),$C3440,LEFT($C3440,FIND(",",$C3440)-1))))</f>
        <v/>
      </c>
      <c r="M3440" s="28">
        <f>IF($H3440="","",DATE(YEAR($H3440),MONTH($H3440),1))</f>
        <v/>
      </c>
      <c r="N3440" s="26">
        <f>IF($H3440="","",TODAY()-$H3440)</f>
        <v/>
      </c>
      <c r="O3440" s="15" t="n"/>
      <c r="P3440" s="15" t="n"/>
      <c r="Q3440" s="15" t="n"/>
      <c r="R3440" s="25" t="n"/>
      <c r="S3440" s="26">
        <f>IF($A3440="","",AND(OR('Assignment Builder'!$B$5="",$B3440='Assignment Builder'!$B$5),OR('Assignment Builder'!$B$6="",ISNUMBER(SEARCH('Assignment Builder'!$B$6,$C3440))),OR('Assignment Builder'!$B$7="",'Assignment Builder'!$B$7=IFERROR(INDEX('Category Dictionary'!$C$5:$C$135,MATCH($L3440,'Category Dictionary'!$D$5:$D$135,0)),"")),OR('Assignment Builder'!$B$8="",$D3440='Assignment Builder'!$B$8),OR('Assignment Builder'!$B$9="",$F3440='Assignment Builder'!$B$9),OR('Assignment Builder'!$B$10="",$O3440='Assignment Builder'!$B$10),OR('Assignment Builder'!$B$11="",$H3440&gt;='Assignment Builder'!$B$11),OR('Assignment Builder'!$B$12="",N($Q3440)&lt;='Assignment Builder'!$B$12)))</f>
        <v/>
      </c>
      <c r="T3440" s="23" t="n"/>
    </row>
    <row r="3441">
      <c r="A3441" s="23" t="n"/>
      <c r="B3441" s="23" t="n"/>
      <c r="C3441" s="24" t="n"/>
      <c r="D3441" s="15" t="n"/>
      <c r="E3441" s="23" t="n"/>
      <c r="F3441" s="15" t="n"/>
      <c r="G3441" s="23" t="n"/>
      <c r="H3441" s="25" t="n"/>
      <c r="I3441" s="15" t="n"/>
      <c r="J3441" s="26">
        <f>IF($A3441="","",LEN($C3441)-LEN(SUBSTITUTE($C3441,",",""))+1)</f>
        <v/>
      </c>
      <c r="K3441" s="26">
        <f>IF($A3441="","",SUMPRODUCT(--ISNUMBER(SEARCH('Category Dictionary'!$D$5:$D$135&amp;"",$C3441)),--('Category Dictionary'!$D$5:$D$135&lt;&gt;"")))</f>
        <v/>
      </c>
      <c r="L3441" s="27">
        <f>IF($A3441="","",TRIM(IF(ISERROR(FIND(",",$C3441)),$C3441,LEFT($C3441,FIND(",",$C3441)-1))))</f>
        <v/>
      </c>
      <c r="M3441" s="28">
        <f>IF($H3441="","",DATE(YEAR($H3441),MONTH($H3441),1))</f>
        <v/>
      </c>
      <c r="N3441" s="26">
        <f>IF($H3441="","",TODAY()-$H3441)</f>
        <v/>
      </c>
      <c r="O3441" s="15" t="n"/>
      <c r="P3441" s="15" t="n"/>
      <c r="Q3441" s="15" t="n"/>
      <c r="R3441" s="25" t="n"/>
      <c r="S3441" s="26">
        <f>IF($A3441="","",AND(OR('Assignment Builder'!$B$5="",$B3441='Assignment Builder'!$B$5),OR('Assignment Builder'!$B$6="",ISNUMBER(SEARCH('Assignment Builder'!$B$6,$C3441))),OR('Assignment Builder'!$B$7="",'Assignment Builder'!$B$7=IFERROR(INDEX('Category Dictionary'!$C$5:$C$135,MATCH($L3441,'Category Dictionary'!$D$5:$D$135,0)),"")),OR('Assignment Builder'!$B$8="",$D3441='Assignment Builder'!$B$8),OR('Assignment Builder'!$B$9="",$F3441='Assignment Builder'!$B$9),OR('Assignment Builder'!$B$10="",$O3441='Assignment Builder'!$B$10),OR('Assignment Builder'!$B$11="",$H3441&gt;='Assignment Builder'!$B$11),OR('Assignment Builder'!$B$12="",N($Q3441)&lt;='Assignment Builder'!$B$12)))</f>
        <v/>
      </c>
      <c r="T3441" s="23" t="n"/>
    </row>
    <row r="3442">
      <c r="A3442" s="23" t="n"/>
      <c r="B3442" s="23" t="n"/>
      <c r="C3442" s="24" t="n"/>
      <c r="D3442" s="15" t="n"/>
      <c r="E3442" s="23" t="n"/>
      <c r="F3442" s="15" t="n"/>
      <c r="G3442" s="23" t="n"/>
      <c r="H3442" s="25" t="n"/>
      <c r="I3442" s="15" t="n"/>
      <c r="J3442" s="26">
        <f>IF($A3442="","",LEN($C3442)-LEN(SUBSTITUTE($C3442,",",""))+1)</f>
        <v/>
      </c>
      <c r="K3442" s="26">
        <f>IF($A3442="","",SUMPRODUCT(--ISNUMBER(SEARCH('Category Dictionary'!$D$5:$D$135&amp;"",$C3442)),--('Category Dictionary'!$D$5:$D$135&lt;&gt;"")))</f>
        <v/>
      </c>
      <c r="L3442" s="27">
        <f>IF($A3442="","",TRIM(IF(ISERROR(FIND(",",$C3442)),$C3442,LEFT($C3442,FIND(",",$C3442)-1))))</f>
        <v/>
      </c>
      <c r="M3442" s="28">
        <f>IF($H3442="","",DATE(YEAR($H3442),MONTH($H3442),1))</f>
        <v/>
      </c>
      <c r="N3442" s="26">
        <f>IF($H3442="","",TODAY()-$H3442)</f>
        <v/>
      </c>
      <c r="O3442" s="15" t="n"/>
      <c r="P3442" s="15" t="n"/>
      <c r="Q3442" s="15" t="n"/>
      <c r="R3442" s="25" t="n"/>
      <c r="S3442" s="26">
        <f>IF($A3442="","",AND(OR('Assignment Builder'!$B$5="",$B3442='Assignment Builder'!$B$5),OR('Assignment Builder'!$B$6="",ISNUMBER(SEARCH('Assignment Builder'!$B$6,$C3442))),OR('Assignment Builder'!$B$7="",'Assignment Builder'!$B$7=IFERROR(INDEX('Category Dictionary'!$C$5:$C$135,MATCH($L3442,'Category Dictionary'!$D$5:$D$135,0)),"")),OR('Assignment Builder'!$B$8="",$D3442='Assignment Builder'!$B$8),OR('Assignment Builder'!$B$9="",$F3442='Assignment Builder'!$B$9),OR('Assignment Builder'!$B$10="",$O3442='Assignment Builder'!$B$10),OR('Assignment Builder'!$B$11="",$H3442&gt;='Assignment Builder'!$B$11),OR('Assignment Builder'!$B$12="",N($Q3442)&lt;='Assignment Builder'!$B$12)))</f>
        <v/>
      </c>
      <c r="T3442" s="23" t="n"/>
    </row>
    <row r="3443">
      <c r="A3443" s="23" t="n"/>
      <c r="B3443" s="23" t="n"/>
      <c r="C3443" s="24" t="n"/>
      <c r="D3443" s="15" t="n"/>
      <c r="E3443" s="23" t="n"/>
      <c r="F3443" s="15" t="n"/>
      <c r="G3443" s="23" t="n"/>
      <c r="H3443" s="25" t="n"/>
      <c r="I3443" s="15" t="n"/>
      <c r="J3443" s="26">
        <f>IF($A3443="","",LEN($C3443)-LEN(SUBSTITUTE($C3443,",",""))+1)</f>
        <v/>
      </c>
      <c r="K3443" s="26">
        <f>IF($A3443="","",SUMPRODUCT(--ISNUMBER(SEARCH('Category Dictionary'!$D$5:$D$135&amp;"",$C3443)),--('Category Dictionary'!$D$5:$D$135&lt;&gt;"")))</f>
        <v/>
      </c>
      <c r="L3443" s="27">
        <f>IF($A3443="","",TRIM(IF(ISERROR(FIND(",",$C3443)),$C3443,LEFT($C3443,FIND(",",$C3443)-1))))</f>
        <v/>
      </c>
      <c r="M3443" s="28">
        <f>IF($H3443="","",DATE(YEAR($H3443),MONTH($H3443),1))</f>
        <v/>
      </c>
      <c r="N3443" s="26">
        <f>IF($H3443="","",TODAY()-$H3443)</f>
        <v/>
      </c>
      <c r="O3443" s="15" t="n"/>
      <c r="P3443" s="15" t="n"/>
      <c r="Q3443" s="15" t="n"/>
      <c r="R3443" s="25" t="n"/>
      <c r="S3443" s="26">
        <f>IF($A3443="","",AND(OR('Assignment Builder'!$B$5="",$B3443='Assignment Builder'!$B$5),OR('Assignment Builder'!$B$6="",ISNUMBER(SEARCH('Assignment Builder'!$B$6,$C3443))),OR('Assignment Builder'!$B$7="",'Assignment Builder'!$B$7=IFERROR(INDEX('Category Dictionary'!$C$5:$C$135,MATCH($L3443,'Category Dictionary'!$D$5:$D$135,0)),"")),OR('Assignment Builder'!$B$8="",$D3443='Assignment Builder'!$B$8),OR('Assignment Builder'!$B$9="",$F3443='Assignment Builder'!$B$9),OR('Assignment Builder'!$B$10="",$O3443='Assignment Builder'!$B$10),OR('Assignment Builder'!$B$11="",$H3443&gt;='Assignment Builder'!$B$11),OR('Assignment Builder'!$B$12="",N($Q3443)&lt;='Assignment Builder'!$B$12)))</f>
        <v/>
      </c>
      <c r="T3443" s="23" t="n"/>
    </row>
    <row r="3444">
      <c r="A3444" s="23" t="n"/>
      <c r="B3444" s="23" t="n"/>
      <c r="C3444" s="24" t="n"/>
      <c r="D3444" s="15" t="n"/>
      <c r="E3444" s="23" t="n"/>
      <c r="F3444" s="15" t="n"/>
      <c r="G3444" s="23" t="n"/>
      <c r="H3444" s="25" t="n"/>
      <c r="I3444" s="15" t="n"/>
      <c r="J3444" s="26">
        <f>IF($A3444="","",LEN($C3444)-LEN(SUBSTITUTE($C3444,",",""))+1)</f>
        <v/>
      </c>
      <c r="K3444" s="26">
        <f>IF($A3444="","",SUMPRODUCT(--ISNUMBER(SEARCH('Category Dictionary'!$D$5:$D$135&amp;"",$C3444)),--('Category Dictionary'!$D$5:$D$135&lt;&gt;"")))</f>
        <v/>
      </c>
      <c r="L3444" s="27">
        <f>IF($A3444="","",TRIM(IF(ISERROR(FIND(",",$C3444)),$C3444,LEFT($C3444,FIND(",",$C3444)-1))))</f>
        <v/>
      </c>
      <c r="M3444" s="28">
        <f>IF($H3444="","",DATE(YEAR($H3444),MONTH($H3444),1))</f>
        <v/>
      </c>
      <c r="N3444" s="26">
        <f>IF($H3444="","",TODAY()-$H3444)</f>
        <v/>
      </c>
      <c r="O3444" s="15" t="n"/>
      <c r="P3444" s="15" t="n"/>
      <c r="Q3444" s="15" t="n"/>
      <c r="R3444" s="25" t="n"/>
      <c r="S3444" s="26">
        <f>IF($A3444="","",AND(OR('Assignment Builder'!$B$5="",$B3444='Assignment Builder'!$B$5),OR('Assignment Builder'!$B$6="",ISNUMBER(SEARCH('Assignment Builder'!$B$6,$C3444))),OR('Assignment Builder'!$B$7="",'Assignment Builder'!$B$7=IFERROR(INDEX('Category Dictionary'!$C$5:$C$135,MATCH($L3444,'Category Dictionary'!$D$5:$D$135,0)),"")),OR('Assignment Builder'!$B$8="",$D3444='Assignment Builder'!$B$8),OR('Assignment Builder'!$B$9="",$F3444='Assignment Builder'!$B$9),OR('Assignment Builder'!$B$10="",$O3444='Assignment Builder'!$B$10),OR('Assignment Builder'!$B$11="",$H3444&gt;='Assignment Builder'!$B$11),OR('Assignment Builder'!$B$12="",N($Q3444)&lt;='Assignment Builder'!$B$12)))</f>
        <v/>
      </c>
      <c r="T3444" s="23" t="n"/>
    </row>
    <row r="3445">
      <c r="A3445" s="23" t="n"/>
      <c r="B3445" s="23" t="n"/>
      <c r="C3445" s="24" t="n"/>
      <c r="D3445" s="15" t="n"/>
      <c r="E3445" s="23" t="n"/>
      <c r="F3445" s="15" t="n"/>
      <c r="G3445" s="23" t="n"/>
      <c r="H3445" s="25" t="n"/>
      <c r="I3445" s="15" t="n"/>
      <c r="J3445" s="26">
        <f>IF($A3445="","",LEN($C3445)-LEN(SUBSTITUTE($C3445,",",""))+1)</f>
        <v/>
      </c>
      <c r="K3445" s="26">
        <f>IF($A3445="","",SUMPRODUCT(--ISNUMBER(SEARCH('Category Dictionary'!$D$5:$D$135&amp;"",$C3445)),--('Category Dictionary'!$D$5:$D$135&lt;&gt;"")))</f>
        <v/>
      </c>
      <c r="L3445" s="27">
        <f>IF($A3445="","",TRIM(IF(ISERROR(FIND(",",$C3445)),$C3445,LEFT($C3445,FIND(",",$C3445)-1))))</f>
        <v/>
      </c>
      <c r="M3445" s="28">
        <f>IF($H3445="","",DATE(YEAR($H3445),MONTH($H3445),1))</f>
        <v/>
      </c>
      <c r="N3445" s="26">
        <f>IF($H3445="","",TODAY()-$H3445)</f>
        <v/>
      </c>
      <c r="O3445" s="15" t="n"/>
      <c r="P3445" s="15" t="n"/>
      <c r="Q3445" s="15" t="n"/>
      <c r="R3445" s="25" t="n"/>
      <c r="S3445" s="26">
        <f>IF($A3445="","",AND(OR('Assignment Builder'!$B$5="",$B3445='Assignment Builder'!$B$5),OR('Assignment Builder'!$B$6="",ISNUMBER(SEARCH('Assignment Builder'!$B$6,$C3445))),OR('Assignment Builder'!$B$7="",'Assignment Builder'!$B$7=IFERROR(INDEX('Category Dictionary'!$C$5:$C$135,MATCH($L3445,'Category Dictionary'!$D$5:$D$135,0)),"")),OR('Assignment Builder'!$B$8="",$D3445='Assignment Builder'!$B$8),OR('Assignment Builder'!$B$9="",$F3445='Assignment Builder'!$B$9),OR('Assignment Builder'!$B$10="",$O3445='Assignment Builder'!$B$10),OR('Assignment Builder'!$B$11="",$H3445&gt;='Assignment Builder'!$B$11),OR('Assignment Builder'!$B$12="",N($Q3445)&lt;='Assignment Builder'!$B$12)))</f>
        <v/>
      </c>
      <c r="T3445" s="23" t="n"/>
    </row>
    <row r="3446">
      <c r="A3446" s="23" t="n"/>
      <c r="B3446" s="23" t="n"/>
      <c r="C3446" s="24" t="n"/>
      <c r="D3446" s="15" t="n"/>
      <c r="E3446" s="23" t="n"/>
      <c r="F3446" s="15" t="n"/>
      <c r="G3446" s="23" t="n"/>
      <c r="H3446" s="25" t="n"/>
      <c r="I3446" s="15" t="n"/>
      <c r="J3446" s="26">
        <f>IF($A3446="","",LEN($C3446)-LEN(SUBSTITUTE($C3446,",",""))+1)</f>
        <v/>
      </c>
      <c r="K3446" s="26">
        <f>IF($A3446="","",SUMPRODUCT(--ISNUMBER(SEARCH('Category Dictionary'!$D$5:$D$135&amp;"",$C3446)),--('Category Dictionary'!$D$5:$D$135&lt;&gt;"")))</f>
        <v/>
      </c>
      <c r="L3446" s="27">
        <f>IF($A3446="","",TRIM(IF(ISERROR(FIND(",",$C3446)),$C3446,LEFT($C3446,FIND(",",$C3446)-1))))</f>
        <v/>
      </c>
      <c r="M3446" s="28">
        <f>IF($H3446="","",DATE(YEAR($H3446),MONTH($H3446),1))</f>
        <v/>
      </c>
      <c r="N3446" s="26">
        <f>IF($H3446="","",TODAY()-$H3446)</f>
        <v/>
      </c>
      <c r="O3446" s="15" t="n"/>
      <c r="P3446" s="15" t="n"/>
      <c r="Q3446" s="15" t="n"/>
      <c r="R3446" s="25" t="n"/>
      <c r="S3446" s="26">
        <f>IF($A3446="","",AND(OR('Assignment Builder'!$B$5="",$B3446='Assignment Builder'!$B$5),OR('Assignment Builder'!$B$6="",ISNUMBER(SEARCH('Assignment Builder'!$B$6,$C3446))),OR('Assignment Builder'!$B$7="",'Assignment Builder'!$B$7=IFERROR(INDEX('Category Dictionary'!$C$5:$C$135,MATCH($L3446,'Category Dictionary'!$D$5:$D$135,0)),"")),OR('Assignment Builder'!$B$8="",$D3446='Assignment Builder'!$B$8),OR('Assignment Builder'!$B$9="",$F3446='Assignment Builder'!$B$9),OR('Assignment Builder'!$B$10="",$O3446='Assignment Builder'!$B$10),OR('Assignment Builder'!$B$11="",$H3446&gt;='Assignment Builder'!$B$11),OR('Assignment Builder'!$B$12="",N($Q3446)&lt;='Assignment Builder'!$B$12)))</f>
        <v/>
      </c>
      <c r="T3446" s="23" t="n"/>
    </row>
    <row r="3447">
      <c r="A3447" s="23" t="n"/>
      <c r="B3447" s="23" t="n"/>
      <c r="C3447" s="24" t="n"/>
      <c r="D3447" s="15" t="n"/>
      <c r="E3447" s="23" t="n"/>
      <c r="F3447" s="15" t="n"/>
      <c r="G3447" s="23" t="n"/>
      <c r="H3447" s="25" t="n"/>
      <c r="I3447" s="15" t="n"/>
      <c r="J3447" s="26">
        <f>IF($A3447="","",LEN($C3447)-LEN(SUBSTITUTE($C3447,",",""))+1)</f>
        <v/>
      </c>
      <c r="K3447" s="26">
        <f>IF($A3447="","",SUMPRODUCT(--ISNUMBER(SEARCH('Category Dictionary'!$D$5:$D$135&amp;"",$C3447)),--('Category Dictionary'!$D$5:$D$135&lt;&gt;"")))</f>
        <v/>
      </c>
      <c r="L3447" s="27">
        <f>IF($A3447="","",TRIM(IF(ISERROR(FIND(",",$C3447)),$C3447,LEFT($C3447,FIND(",",$C3447)-1))))</f>
        <v/>
      </c>
      <c r="M3447" s="28">
        <f>IF($H3447="","",DATE(YEAR($H3447),MONTH($H3447),1))</f>
        <v/>
      </c>
      <c r="N3447" s="26">
        <f>IF($H3447="","",TODAY()-$H3447)</f>
        <v/>
      </c>
      <c r="O3447" s="15" t="n"/>
      <c r="P3447" s="15" t="n"/>
      <c r="Q3447" s="15" t="n"/>
      <c r="R3447" s="25" t="n"/>
      <c r="S3447" s="26">
        <f>IF($A3447="","",AND(OR('Assignment Builder'!$B$5="",$B3447='Assignment Builder'!$B$5),OR('Assignment Builder'!$B$6="",ISNUMBER(SEARCH('Assignment Builder'!$B$6,$C3447))),OR('Assignment Builder'!$B$7="",'Assignment Builder'!$B$7=IFERROR(INDEX('Category Dictionary'!$C$5:$C$135,MATCH($L3447,'Category Dictionary'!$D$5:$D$135,0)),"")),OR('Assignment Builder'!$B$8="",$D3447='Assignment Builder'!$B$8),OR('Assignment Builder'!$B$9="",$F3447='Assignment Builder'!$B$9),OR('Assignment Builder'!$B$10="",$O3447='Assignment Builder'!$B$10),OR('Assignment Builder'!$B$11="",$H3447&gt;='Assignment Builder'!$B$11),OR('Assignment Builder'!$B$12="",N($Q3447)&lt;='Assignment Builder'!$B$12)))</f>
        <v/>
      </c>
      <c r="T3447" s="23" t="n"/>
    </row>
    <row r="3448">
      <c r="A3448" s="23" t="n"/>
      <c r="B3448" s="23" t="n"/>
      <c r="C3448" s="24" t="n"/>
      <c r="D3448" s="15" t="n"/>
      <c r="E3448" s="23" t="n"/>
      <c r="F3448" s="15" t="n"/>
      <c r="G3448" s="23" t="n"/>
      <c r="H3448" s="25" t="n"/>
      <c r="I3448" s="15" t="n"/>
      <c r="J3448" s="26">
        <f>IF($A3448="","",LEN($C3448)-LEN(SUBSTITUTE($C3448,",",""))+1)</f>
        <v/>
      </c>
      <c r="K3448" s="26">
        <f>IF($A3448="","",SUMPRODUCT(--ISNUMBER(SEARCH('Category Dictionary'!$D$5:$D$135&amp;"",$C3448)),--('Category Dictionary'!$D$5:$D$135&lt;&gt;"")))</f>
        <v/>
      </c>
      <c r="L3448" s="27">
        <f>IF($A3448="","",TRIM(IF(ISERROR(FIND(",",$C3448)),$C3448,LEFT($C3448,FIND(",",$C3448)-1))))</f>
        <v/>
      </c>
      <c r="M3448" s="28">
        <f>IF($H3448="","",DATE(YEAR($H3448),MONTH($H3448),1))</f>
        <v/>
      </c>
      <c r="N3448" s="26">
        <f>IF($H3448="","",TODAY()-$H3448)</f>
        <v/>
      </c>
      <c r="O3448" s="15" t="n"/>
      <c r="P3448" s="15" t="n"/>
      <c r="Q3448" s="15" t="n"/>
      <c r="R3448" s="25" t="n"/>
      <c r="S3448" s="26">
        <f>IF($A3448="","",AND(OR('Assignment Builder'!$B$5="",$B3448='Assignment Builder'!$B$5),OR('Assignment Builder'!$B$6="",ISNUMBER(SEARCH('Assignment Builder'!$B$6,$C3448))),OR('Assignment Builder'!$B$7="",'Assignment Builder'!$B$7=IFERROR(INDEX('Category Dictionary'!$C$5:$C$135,MATCH($L3448,'Category Dictionary'!$D$5:$D$135,0)),"")),OR('Assignment Builder'!$B$8="",$D3448='Assignment Builder'!$B$8),OR('Assignment Builder'!$B$9="",$F3448='Assignment Builder'!$B$9),OR('Assignment Builder'!$B$10="",$O3448='Assignment Builder'!$B$10),OR('Assignment Builder'!$B$11="",$H3448&gt;='Assignment Builder'!$B$11),OR('Assignment Builder'!$B$12="",N($Q3448)&lt;='Assignment Builder'!$B$12)))</f>
        <v/>
      </c>
      <c r="T3448" s="23" t="n"/>
    </row>
    <row r="3449">
      <c r="A3449" s="23" t="n"/>
      <c r="B3449" s="23" t="n"/>
      <c r="C3449" s="24" t="n"/>
      <c r="D3449" s="15" t="n"/>
      <c r="E3449" s="23" t="n"/>
      <c r="F3449" s="15" t="n"/>
      <c r="G3449" s="23" t="n"/>
      <c r="H3449" s="25" t="n"/>
      <c r="I3449" s="15" t="n"/>
      <c r="J3449" s="26">
        <f>IF($A3449="","",LEN($C3449)-LEN(SUBSTITUTE($C3449,",",""))+1)</f>
        <v/>
      </c>
      <c r="K3449" s="26">
        <f>IF($A3449="","",SUMPRODUCT(--ISNUMBER(SEARCH('Category Dictionary'!$D$5:$D$135&amp;"",$C3449)),--('Category Dictionary'!$D$5:$D$135&lt;&gt;"")))</f>
        <v/>
      </c>
      <c r="L3449" s="27">
        <f>IF($A3449="","",TRIM(IF(ISERROR(FIND(",",$C3449)),$C3449,LEFT($C3449,FIND(",",$C3449)-1))))</f>
        <v/>
      </c>
      <c r="M3449" s="28">
        <f>IF($H3449="","",DATE(YEAR($H3449),MONTH($H3449),1))</f>
        <v/>
      </c>
      <c r="N3449" s="26">
        <f>IF($H3449="","",TODAY()-$H3449)</f>
        <v/>
      </c>
      <c r="O3449" s="15" t="n"/>
      <c r="P3449" s="15" t="n"/>
      <c r="Q3449" s="15" t="n"/>
      <c r="R3449" s="25" t="n"/>
      <c r="S3449" s="26">
        <f>IF($A3449="","",AND(OR('Assignment Builder'!$B$5="",$B3449='Assignment Builder'!$B$5),OR('Assignment Builder'!$B$6="",ISNUMBER(SEARCH('Assignment Builder'!$B$6,$C3449))),OR('Assignment Builder'!$B$7="",'Assignment Builder'!$B$7=IFERROR(INDEX('Category Dictionary'!$C$5:$C$135,MATCH($L3449,'Category Dictionary'!$D$5:$D$135,0)),"")),OR('Assignment Builder'!$B$8="",$D3449='Assignment Builder'!$B$8),OR('Assignment Builder'!$B$9="",$F3449='Assignment Builder'!$B$9),OR('Assignment Builder'!$B$10="",$O3449='Assignment Builder'!$B$10),OR('Assignment Builder'!$B$11="",$H3449&gt;='Assignment Builder'!$B$11),OR('Assignment Builder'!$B$12="",N($Q3449)&lt;='Assignment Builder'!$B$12)))</f>
        <v/>
      </c>
      <c r="T3449" s="23" t="n"/>
    </row>
    <row r="3450">
      <c r="A3450" s="23" t="n"/>
      <c r="B3450" s="23" t="n"/>
      <c r="C3450" s="24" t="n"/>
      <c r="D3450" s="15" t="n"/>
      <c r="E3450" s="23" t="n"/>
      <c r="F3450" s="15" t="n"/>
      <c r="G3450" s="23" t="n"/>
      <c r="H3450" s="25" t="n"/>
      <c r="I3450" s="15" t="n"/>
      <c r="J3450" s="26">
        <f>IF($A3450="","",LEN($C3450)-LEN(SUBSTITUTE($C3450,",",""))+1)</f>
        <v/>
      </c>
      <c r="K3450" s="26">
        <f>IF($A3450="","",SUMPRODUCT(--ISNUMBER(SEARCH('Category Dictionary'!$D$5:$D$135&amp;"",$C3450)),--('Category Dictionary'!$D$5:$D$135&lt;&gt;"")))</f>
        <v/>
      </c>
      <c r="L3450" s="27">
        <f>IF($A3450="","",TRIM(IF(ISERROR(FIND(",",$C3450)),$C3450,LEFT($C3450,FIND(",",$C3450)-1))))</f>
        <v/>
      </c>
      <c r="M3450" s="28">
        <f>IF($H3450="","",DATE(YEAR($H3450),MONTH($H3450),1))</f>
        <v/>
      </c>
      <c r="N3450" s="26">
        <f>IF($H3450="","",TODAY()-$H3450)</f>
        <v/>
      </c>
      <c r="O3450" s="15" t="n"/>
      <c r="P3450" s="15" t="n"/>
      <c r="Q3450" s="15" t="n"/>
      <c r="R3450" s="25" t="n"/>
      <c r="S3450" s="26">
        <f>IF($A3450="","",AND(OR('Assignment Builder'!$B$5="",$B3450='Assignment Builder'!$B$5),OR('Assignment Builder'!$B$6="",ISNUMBER(SEARCH('Assignment Builder'!$B$6,$C3450))),OR('Assignment Builder'!$B$7="",'Assignment Builder'!$B$7=IFERROR(INDEX('Category Dictionary'!$C$5:$C$135,MATCH($L3450,'Category Dictionary'!$D$5:$D$135,0)),"")),OR('Assignment Builder'!$B$8="",$D3450='Assignment Builder'!$B$8),OR('Assignment Builder'!$B$9="",$F3450='Assignment Builder'!$B$9),OR('Assignment Builder'!$B$10="",$O3450='Assignment Builder'!$B$10),OR('Assignment Builder'!$B$11="",$H3450&gt;='Assignment Builder'!$B$11),OR('Assignment Builder'!$B$12="",N($Q3450)&lt;='Assignment Builder'!$B$12)))</f>
        <v/>
      </c>
      <c r="T3450" s="23" t="n"/>
    </row>
    <row r="3451">
      <c r="A3451" s="23" t="n"/>
      <c r="B3451" s="23" t="n"/>
      <c r="C3451" s="24" t="n"/>
      <c r="D3451" s="15" t="n"/>
      <c r="E3451" s="23" t="n"/>
      <c r="F3451" s="15" t="n"/>
      <c r="G3451" s="23" t="n"/>
      <c r="H3451" s="25" t="n"/>
      <c r="I3451" s="15" t="n"/>
      <c r="J3451" s="26">
        <f>IF($A3451="","",LEN($C3451)-LEN(SUBSTITUTE($C3451,",",""))+1)</f>
        <v/>
      </c>
      <c r="K3451" s="26">
        <f>IF($A3451="","",SUMPRODUCT(--ISNUMBER(SEARCH('Category Dictionary'!$D$5:$D$135&amp;"",$C3451)),--('Category Dictionary'!$D$5:$D$135&lt;&gt;"")))</f>
        <v/>
      </c>
      <c r="L3451" s="27">
        <f>IF($A3451="","",TRIM(IF(ISERROR(FIND(",",$C3451)),$C3451,LEFT($C3451,FIND(",",$C3451)-1))))</f>
        <v/>
      </c>
      <c r="M3451" s="28">
        <f>IF($H3451="","",DATE(YEAR($H3451),MONTH($H3451),1))</f>
        <v/>
      </c>
      <c r="N3451" s="26">
        <f>IF($H3451="","",TODAY()-$H3451)</f>
        <v/>
      </c>
      <c r="O3451" s="15" t="n"/>
      <c r="P3451" s="15" t="n"/>
      <c r="Q3451" s="15" t="n"/>
      <c r="R3451" s="25" t="n"/>
      <c r="S3451" s="26">
        <f>IF($A3451="","",AND(OR('Assignment Builder'!$B$5="",$B3451='Assignment Builder'!$B$5),OR('Assignment Builder'!$B$6="",ISNUMBER(SEARCH('Assignment Builder'!$B$6,$C3451))),OR('Assignment Builder'!$B$7="",'Assignment Builder'!$B$7=IFERROR(INDEX('Category Dictionary'!$C$5:$C$135,MATCH($L3451,'Category Dictionary'!$D$5:$D$135,0)),"")),OR('Assignment Builder'!$B$8="",$D3451='Assignment Builder'!$B$8),OR('Assignment Builder'!$B$9="",$F3451='Assignment Builder'!$B$9),OR('Assignment Builder'!$B$10="",$O3451='Assignment Builder'!$B$10),OR('Assignment Builder'!$B$11="",$H3451&gt;='Assignment Builder'!$B$11),OR('Assignment Builder'!$B$12="",N($Q3451)&lt;='Assignment Builder'!$B$12)))</f>
        <v/>
      </c>
      <c r="T3451" s="23" t="n"/>
    </row>
    <row r="3452">
      <c r="A3452" s="23" t="n"/>
      <c r="B3452" s="23" t="n"/>
      <c r="C3452" s="24" t="n"/>
      <c r="D3452" s="15" t="n"/>
      <c r="E3452" s="23" t="n"/>
      <c r="F3452" s="15" t="n"/>
      <c r="G3452" s="23" t="n"/>
      <c r="H3452" s="25" t="n"/>
      <c r="I3452" s="15" t="n"/>
      <c r="J3452" s="26">
        <f>IF($A3452="","",LEN($C3452)-LEN(SUBSTITUTE($C3452,",",""))+1)</f>
        <v/>
      </c>
      <c r="K3452" s="26">
        <f>IF($A3452="","",SUMPRODUCT(--ISNUMBER(SEARCH('Category Dictionary'!$D$5:$D$135&amp;"",$C3452)),--('Category Dictionary'!$D$5:$D$135&lt;&gt;"")))</f>
        <v/>
      </c>
      <c r="L3452" s="27">
        <f>IF($A3452="","",TRIM(IF(ISERROR(FIND(",",$C3452)),$C3452,LEFT($C3452,FIND(",",$C3452)-1))))</f>
        <v/>
      </c>
      <c r="M3452" s="28">
        <f>IF($H3452="","",DATE(YEAR($H3452),MONTH($H3452),1))</f>
        <v/>
      </c>
      <c r="N3452" s="26">
        <f>IF($H3452="","",TODAY()-$H3452)</f>
        <v/>
      </c>
      <c r="O3452" s="15" t="n"/>
      <c r="P3452" s="15" t="n"/>
      <c r="Q3452" s="15" t="n"/>
      <c r="R3452" s="25" t="n"/>
      <c r="S3452" s="26">
        <f>IF($A3452="","",AND(OR('Assignment Builder'!$B$5="",$B3452='Assignment Builder'!$B$5),OR('Assignment Builder'!$B$6="",ISNUMBER(SEARCH('Assignment Builder'!$B$6,$C3452))),OR('Assignment Builder'!$B$7="",'Assignment Builder'!$B$7=IFERROR(INDEX('Category Dictionary'!$C$5:$C$135,MATCH($L3452,'Category Dictionary'!$D$5:$D$135,0)),"")),OR('Assignment Builder'!$B$8="",$D3452='Assignment Builder'!$B$8),OR('Assignment Builder'!$B$9="",$F3452='Assignment Builder'!$B$9),OR('Assignment Builder'!$B$10="",$O3452='Assignment Builder'!$B$10),OR('Assignment Builder'!$B$11="",$H3452&gt;='Assignment Builder'!$B$11),OR('Assignment Builder'!$B$12="",N($Q3452)&lt;='Assignment Builder'!$B$12)))</f>
        <v/>
      </c>
      <c r="T3452" s="23" t="n"/>
    </row>
    <row r="3453">
      <c r="A3453" s="23" t="n"/>
      <c r="B3453" s="23" t="n"/>
      <c r="C3453" s="24" t="n"/>
      <c r="D3453" s="15" t="n"/>
      <c r="E3453" s="23" t="n"/>
      <c r="F3453" s="15" t="n"/>
      <c r="G3453" s="23" t="n"/>
      <c r="H3453" s="25" t="n"/>
      <c r="I3453" s="15" t="n"/>
      <c r="J3453" s="26">
        <f>IF($A3453="","",LEN($C3453)-LEN(SUBSTITUTE($C3453,",",""))+1)</f>
        <v/>
      </c>
      <c r="K3453" s="26">
        <f>IF($A3453="","",SUMPRODUCT(--ISNUMBER(SEARCH('Category Dictionary'!$D$5:$D$135&amp;"",$C3453)),--('Category Dictionary'!$D$5:$D$135&lt;&gt;"")))</f>
        <v/>
      </c>
      <c r="L3453" s="27">
        <f>IF($A3453="","",TRIM(IF(ISERROR(FIND(",",$C3453)),$C3453,LEFT($C3453,FIND(",",$C3453)-1))))</f>
        <v/>
      </c>
      <c r="M3453" s="28">
        <f>IF($H3453="","",DATE(YEAR($H3453),MONTH($H3453),1))</f>
        <v/>
      </c>
      <c r="N3453" s="26">
        <f>IF($H3453="","",TODAY()-$H3453)</f>
        <v/>
      </c>
      <c r="O3453" s="15" t="n"/>
      <c r="P3453" s="15" t="n"/>
      <c r="Q3453" s="15" t="n"/>
      <c r="R3453" s="25" t="n"/>
      <c r="S3453" s="26">
        <f>IF($A3453="","",AND(OR('Assignment Builder'!$B$5="",$B3453='Assignment Builder'!$B$5),OR('Assignment Builder'!$B$6="",ISNUMBER(SEARCH('Assignment Builder'!$B$6,$C3453))),OR('Assignment Builder'!$B$7="",'Assignment Builder'!$B$7=IFERROR(INDEX('Category Dictionary'!$C$5:$C$135,MATCH($L3453,'Category Dictionary'!$D$5:$D$135,0)),"")),OR('Assignment Builder'!$B$8="",$D3453='Assignment Builder'!$B$8),OR('Assignment Builder'!$B$9="",$F3453='Assignment Builder'!$B$9),OR('Assignment Builder'!$B$10="",$O3453='Assignment Builder'!$B$10),OR('Assignment Builder'!$B$11="",$H3453&gt;='Assignment Builder'!$B$11),OR('Assignment Builder'!$B$12="",N($Q3453)&lt;='Assignment Builder'!$B$12)))</f>
        <v/>
      </c>
      <c r="T3453" s="23" t="n"/>
    </row>
    <row r="3454">
      <c r="A3454" s="23" t="n"/>
      <c r="B3454" s="23" t="n"/>
      <c r="C3454" s="24" t="n"/>
      <c r="D3454" s="15" t="n"/>
      <c r="E3454" s="23" t="n"/>
      <c r="F3454" s="15" t="n"/>
      <c r="G3454" s="23" t="n"/>
      <c r="H3454" s="25" t="n"/>
      <c r="I3454" s="15" t="n"/>
      <c r="J3454" s="26">
        <f>IF($A3454="","",LEN($C3454)-LEN(SUBSTITUTE($C3454,",",""))+1)</f>
        <v/>
      </c>
      <c r="K3454" s="26">
        <f>IF($A3454="","",SUMPRODUCT(--ISNUMBER(SEARCH('Category Dictionary'!$D$5:$D$135&amp;"",$C3454)),--('Category Dictionary'!$D$5:$D$135&lt;&gt;"")))</f>
        <v/>
      </c>
      <c r="L3454" s="27">
        <f>IF($A3454="","",TRIM(IF(ISERROR(FIND(",",$C3454)),$C3454,LEFT($C3454,FIND(",",$C3454)-1))))</f>
        <v/>
      </c>
      <c r="M3454" s="28">
        <f>IF($H3454="","",DATE(YEAR($H3454),MONTH($H3454),1))</f>
        <v/>
      </c>
      <c r="N3454" s="26">
        <f>IF($H3454="","",TODAY()-$H3454)</f>
        <v/>
      </c>
      <c r="O3454" s="15" t="n"/>
      <c r="P3454" s="15" t="n"/>
      <c r="Q3454" s="15" t="n"/>
      <c r="R3454" s="25" t="n"/>
      <c r="S3454" s="26">
        <f>IF($A3454="","",AND(OR('Assignment Builder'!$B$5="",$B3454='Assignment Builder'!$B$5),OR('Assignment Builder'!$B$6="",ISNUMBER(SEARCH('Assignment Builder'!$B$6,$C3454))),OR('Assignment Builder'!$B$7="",'Assignment Builder'!$B$7=IFERROR(INDEX('Category Dictionary'!$C$5:$C$135,MATCH($L3454,'Category Dictionary'!$D$5:$D$135,0)),"")),OR('Assignment Builder'!$B$8="",$D3454='Assignment Builder'!$B$8),OR('Assignment Builder'!$B$9="",$F3454='Assignment Builder'!$B$9),OR('Assignment Builder'!$B$10="",$O3454='Assignment Builder'!$B$10),OR('Assignment Builder'!$B$11="",$H3454&gt;='Assignment Builder'!$B$11),OR('Assignment Builder'!$B$12="",N($Q3454)&lt;='Assignment Builder'!$B$12)))</f>
        <v/>
      </c>
      <c r="T3454" s="23" t="n"/>
    </row>
    <row r="3455">
      <c r="A3455" s="23" t="n"/>
      <c r="B3455" s="23" t="n"/>
      <c r="C3455" s="24" t="n"/>
      <c r="D3455" s="15" t="n"/>
      <c r="E3455" s="23" t="n"/>
      <c r="F3455" s="15" t="n"/>
      <c r="G3455" s="23" t="n"/>
      <c r="H3455" s="25" t="n"/>
      <c r="I3455" s="15" t="n"/>
      <c r="J3455" s="26">
        <f>IF($A3455="","",LEN($C3455)-LEN(SUBSTITUTE($C3455,",",""))+1)</f>
        <v/>
      </c>
      <c r="K3455" s="26">
        <f>IF($A3455="","",SUMPRODUCT(--ISNUMBER(SEARCH('Category Dictionary'!$D$5:$D$135&amp;"",$C3455)),--('Category Dictionary'!$D$5:$D$135&lt;&gt;"")))</f>
        <v/>
      </c>
      <c r="L3455" s="27">
        <f>IF($A3455="","",TRIM(IF(ISERROR(FIND(",",$C3455)),$C3455,LEFT($C3455,FIND(",",$C3455)-1))))</f>
        <v/>
      </c>
      <c r="M3455" s="28">
        <f>IF($H3455="","",DATE(YEAR($H3455),MONTH($H3455),1))</f>
        <v/>
      </c>
      <c r="N3455" s="26">
        <f>IF($H3455="","",TODAY()-$H3455)</f>
        <v/>
      </c>
      <c r="O3455" s="15" t="n"/>
      <c r="P3455" s="15" t="n"/>
      <c r="Q3455" s="15" t="n"/>
      <c r="R3455" s="25" t="n"/>
      <c r="S3455" s="26">
        <f>IF($A3455="","",AND(OR('Assignment Builder'!$B$5="",$B3455='Assignment Builder'!$B$5),OR('Assignment Builder'!$B$6="",ISNUMBER(SEARCH('Assignment Builder'!$B$6,$C3455))),OR('Assignment Builder'!$B$7="",'Assignment Builder'!$B$7=IFERROR(INDEX('Category Dictionary'!$C$5:$C$135,MATCH($L3455,'Category Dictionary'!$D$5:$D$135,0)),"")),OR('Assignment Builder'!$B$8="",$D3455='Assignment Builder'!$B$8),OR('Assignment Builder'!$B$9="",$F3455='Assignment Builder'!$B$9),OR('Assignment Builder'!$B$10="",$O3455='Assignment Builder'!$B$10),OR('Assignment Builder'!$B$11="",$H3455&gt;='Assignment Builder'!$B$11),OR('Assignment Builder'!$B$12="",N($Q3455)&lt;='Assignment Builder'!$B$12)))</f>
        <v/>
      </c>
      <c r="T3455" s="23" t="n"/>
    </row>
    <row r="3456">
      <c r="A3456" s="23" t="n"/>
      <c r="B3456" s="23" t="n"/>
      <c r="C3456" s="24" t="n"/>
      <c r="D3456" s="15" t="n"/>
      <c r="E3456" s="23" t="n"/>
      <c r="F3456" s="15" t="n"/>
      <c r="G3456" s="23" t="n"/>
      <c r="H3456" s="25" t="n"/>
      <c r="I3456" s="15" t="n"/>
      <c r="J3456" s="26">
        <f>IF($A3456="","",LEN($C3456)-LEN(SUBSTITUTE($C3456,",",""))+1)</f>
        <v/>
      </c>
      <c r="K3456" s="26">
        <f>IF($A3456="","",SUMPRODUCT(--ISNUMBER(SEARCH('Category Dictionary'!$D$5:$D$135&amp;"",$C3456)),--('Category Dictionary'!$D$5:$D$135&lt;&gt;"")))</f>
        <v/>
      </c>
      <c r="L3456" s="27">
        <f>IF($A3456="","",TRIM(IF(ISERROR(FIND(",",$C3456)),$C3456,LEFT($C3456,FIND(",",$C3456)-1))))</f>
        <v/>
      </c>
      <c r="M3456" s="28">
        <f>IF($H3456="","",DATE(YEAR($H3456),MONTH($H3456),1))</f>
        <v/>
      </c>
      <c r="N3456" s="26">
        <f>IF($H3456="","",TODAY()-$H3456)</f>
        <v/>
      </c>
      <c r="O3456" s="15" t="n"/>
      <c r="P3456" s="15" t="n"/>
      <c r="Q3456" s="15" t="n"/>
      <c r="R3456" s="25" t="n"/>
      <c r="S3456" s="26">
        <f>IF($A3456="","",AND(OR('Assignment Builder'!$B$5="",$B3456='Assignment Builder'!$B$5),OR('Assignment Builder'!$B$6="",ISNUMBER(SEARCH('Assignment Builder'!$B$6,$C3456))),OR('Assignment Builder'!$B$7="",'Assignment Builder'!$B$7=IFERROR(INDEX('Category Dictionary'!$C$5:$C$135,MATCH($L3456,'Category Dictionary'!$D$5:$D$135,0)),"")),OR('Assignment Builder'!$B$8="",$D3456='Assignment Builder'!$B$8),OR('Assignment Builder'!$B$9="",$F3456='Assignment Builder'!$B$9),OR('Assignment Builder'!$B$10="",$O3456='Assignment Builder'!$B$10),OR('Assignment Builder'!$B$11="",$H3456&gt;='Assignment Builder'!$B$11),OR('Assignment Builder'!$B$12="",N($Q3456)&lt;='Assignment Builder'!$B$12)))</f>
        <v/>
      </c>
      <c r="T3456" s="23" t="n"/>
    </row>
    <row r="3457">
      <c r="A3457" s="23" t="n"/>
      <c r="B3457" s="23" t="n"/>
      <c r="C3457" s="24" t="n"/>
      <c r="D3457" s="15" t="n"/>
      <c r="E3457" s="23" t="n"/>
      <c r="F3457" s="15" t="n"/>
      <c r="G3457" s="23" t="n"/>
      <c r="H3457" s="25" t="n"/>
      <c r="I3457" s="15" t="n"/>
      <c r="J3457" s="26">
        <f>IF($A3457="","",LEN($C3457)-LEN(SUBSTITUTE($C3457,",",""))+1)</f>
        <v/>
      </c>
      <c r="K3457" s="26">
        <f>IF($A3457="","",SUMPRODUCT(--ISNUMBER(SEARCH('Category Dictionary'!$D$5:$D$135&amp;"",$C3457)),--('Category Dictionary'!$D$5:$D$135&lt;&gt;"")))</f>
        <v/>
      </c>
      <c r="L3457" s="27">
        <f>IF($A3457="","",TRIM(IF(ISERROR(FIND(",",$C3457)),$C3457,LEFT($C3457,FIND(",",$C3457)-1))))</f>
        <v/>
      </c>
      <c r="M3457" s="28">
        <f>IF($H3457="","",DATE(YEAR($H3457),MONTH($H3457),1))</f>
        <v/>
      </c>
      <c r="N3457" s="26">
        <f>IF($H3457="","",TODAY()-$H3457)</f>
        <v/>
      </c>
      <c r="O3457" s="15" t="n"/>
      <c r="P3457" s="15" t="n"/>
      <c r="Q3457" s="15" t="n"/>
      <c r="R3457" s="25" t="n"/>
      <c r="S3457" s="26">
        <f>IF($A3457="","",AND(OR('Assignment Builder'!$B$5="",$B3457='Assignment Builder'!$B$5),OR('Assignment Builder'!$B$6="",ISNUMBER(SEARCH('Assignment Builder'!$B$6,$C3457))),OR('Assignment Builder'!$B$7="",'Assignment Builder'!$B$7=IFERROR(INDEX('Category Dictionary'!$C$5:$C$135,MATCH($L3457,'Category Dictionary'!$D$5:$D$135,0)),"")),OR('Assignment Builder'!$B$8="",$D3457='Assignment Builder'!$B$8),OR('Assignment Builder'!$B$9="",$F3457='Assignment Builder'!$B$9),OR('Assignment Builder'!$B$10="",$O3457='Assignment Builder'!$B$10),OR('Assignment Builder'!$B$11="",$H3457&gt;='Assignment Builder'!$B$11),OR('Assignment Builder'!$B$12="",N($Q3457)&lt;='Assignment Builder'!$B$12)))</f>
        <v/>
      </c>
      <c r="T3457" s="23" t="n"/>
    </row>
    <row r="3458">
      <c r="A3458" s="23" t="n"/>
      <c r="B3458" s="23" t="n"/>
      <c r="C3458" s="24" t="n"/>
      <c r="D3458" s="15" t="n"/>
      <c r="E3458" s="23" t="n"/>
      <c r="F3458" s="15" t="n"/>
      <c r="G3458" s="23" t="n"/>
      <c r="H3458" s="25" t="n"/>
      <c r="I3458" s="15" t="n"/>
      <c r="J3458" s="26">
        <f>IF($A3458="","",LEN($C3458)-LEN(SUBSTITUTE($C3458,",",""))+1)</f>
        <v/>
      </c>
      <c r="K3458" s="26">
        <f>IF($A3458="","",SUMPRODUCT(--ISNUMBER(SEARCH('Category Dictionary'!$D$5:$D$135&amp;"",$C3458)),--('Category Dictionary'!$D$5:$D$135&lt;&gt;"")))</f>
        <v/>
      </c>
      <c r="L3458" s="27">
        <f>IF($A3458="","",TRIM(IF(ISERROR(FIND(",",$C3458)),$C3458,LEFT($C3458,FIND(",",$C3458)-1))))</f>
        <v/>
      </c>
      <c r="M3458" s="28">
        <f>IF($H3458="","",DATE(YEAR($H3458),MONTH($H3458),1))</f>
        <v/>
      </c>
      <c r="N3458" s="26">
        <f>IF($H3458="","",TODAY()-$H3458)</f>
        <v/>
      </c>
      <c r="O3458" s="15" t="n"/>
      <c r="P3458" s="15" t="n"/>
      <c r="Q3458" s="15" t="n"/>
      <c r="R3458" s="25" t="n"/>
      <c r="S3458" s="26">
        <f>IF($A3458="","",AND(OR('Assignment Builder'!$B$5="",$B3458='Assignment Builder'!$B$5),OR('Assignment Builder'!$B$6="",ISNUMBER(SEARCH('Assignment Builder'!$B$6,$C3458))),OR('Assignment Builder'!$B$7="",'Assignment Builder'!$B$7=IFERROR(INDEX('Category Dictionary'!$C$5:$C$135,MATCH($L3458,'Category Dictionary'!$D$5:$D$135,0)),"")),OR('Assignment Builder'!$B$8="",$D3458='Assignment Builder'!$B$8),OR('Assignment Builder'!$B$9="",$F3458='Assignment Builder'!$B$9),OR('Assignment Builder'!$B$10="",$O3458='Assignment Builder'!$B$10),OR('Assignment Builder'!$B$11="",$H3458&gt;='Assignment Builder'!$B$11),OR('Assignment Builder'!$B$12="",N($Q3458)&lt;='Assignment Builder'!$B$12)))</f>
        <v/>
      </c>
      <c r="T3458" s="23" t="n"/>
    </row>
    <row r="3459">
      <c r="A3459" s="23" t="n"/>
      <c r="B3459" s="23" t="n"/>
      <c r="C3459" s="24" t="n"/>
      <c r="D3459" s="15" t="n"/>
      <c r="E3459" s="23" t="n"/>
      <c r="F3459" s="15" t="n"/>
      <c r="G3459" s="23" t="n"/>
      <c r="H3459" s="25" t="n"/>
      <c r="I3459" s="15" t="n"/>
      <c r="J3459" s="26">
        <f>IF($A3459="","",LEN($C3459)-LEN(SUBSTITUTE($C3459,",",""))+1)</f>
        <v/>
      </c>
      <c r="K3459" s="26">
        <f>IF($A3459="","",SUMPRODUCT(--ISNUMBER(SEARCH('Category Dictionary'!$D$5:$D$135&amp;"",$C3459)),--('Category Dictionary'!$D$5:$D$135&lt;&gt;"")))</f>
        <v/>
      </c>
      <c r="L3459" s="27">
        <f>IF($A3459="","",TRIM(IF(ISERROR(FIND(",",$C3459)),$C3459,LEFT($C3459,FIND(",",$C3459)-1))))</f>
        <v/>
      </c>
      <c r="M3459" s="28">
        <f>IF($H3459="","",DATE(YEAR($H3459),MONTH($H3459),1))</f>
        <v/>
      </c>
      <c r="N3459" s="26">
        <f>IF($H3459="","",TODAY()-$H3459)</f>
        <v/>
      </c>
      <c r="O3459" s="15" t="n"/>
      <c r="P3459" s="15" t="n"/>
      <c r="Q3459" s="15" t="n"/>
      <c r="R3459" s="25" t="n"/>
      <c r="S3459" s="26">
        <f>IF($A3459="","",AND(OR('Assignment Builder'!$B$5="",$B3459='Assignment Builder'!$B$5),OR('Assignment Builder'!$B$6="",ISNUMBER(SEARCH('Assignment Builder'!$B$6,$C3459))),OR('Assignment Builder'!$B$7="",'Assignment Builder'!$B$7=IFERROR(INDEX('Category Dictionary'!$C$5:$C$135,MATCH($L3459,'Category Dictionary'!$D$5:$D$135,0)),"")),OR('Assignment Builder'!$B$8="",$D3459='Assignment Builder'!$B$8),OR('Assignment Builder'!$B$9="",$F3459='Assignment Builder'!$B$9),OR('Assignment Builder'!$B$10="",$O3459='Assignment Builder'!$B$10),OR('Assignment Builder'!$B$11="",$H3459&gt;='Assignment Builder'!$B$11),OR('Assignment Builder'!$B$12="",N($Q3459)&lt;='Assignment Builder'!$B$12)))</f>
        <v/>
      </c>
      <c r="T3459" s="23" t="n"/>
    </row>
    <row r="3460">
      <c r="A3460" s="23" t="n"/>
      <c r="B3460" s="23" t="n"/>
      <c r="C3460" s="24" t="n"/>
      <c r="D3460" s="15" t="n"/>
      <c r="E3460" s="23" t="n"/>
      <c r="F3460" s="15" t="n"/>
      <c r="G3460" s="23" t="n"/>
      <c r="H3460" s="25" t="n"/>
      <c r="I3460" s="15" t="n"/>
      <c r="J3460" s="26">
        <f>IF($A3460="","",LEN($C3460)-LEN(SUBSTITUTE($C3460,",",""))+1)</f>
        <v/>
      </c>
      <c r="K3460" s="26">
        <f>IF($A3460="","",SUMPRODUCT(--ISNUMBER(SEARCH('Category Dictionary'!$D$5:$D$135&amp;"",$C3460)),--('Category Dictionary'!$D$5:$D$135&lt;&gt;"")))</f>
        <v/>
      </c>
      <c r="L3460" s="27">
        <f>IF($A3460="","",TRIM(IF(ISERROR(FIND(",",$C3460)),$C3460,LEFT($C3460,FIND(",",$C3460)-1))))</f>
        <v/>
      </c>
      <c r="M3460" s="28">
        <f>IF($H3460="","",DATE(YEAR($H3460),MONTH($H3460),1))</f>
        <v/>
      </c>
      <c r="N3460" s="26">
        <f>IF($H3460="","",TODAY()-$H3460)</f>
        <v/>
      </c>
      <c r="O3460" s="15" t="n"/>
      <c r="P3460" s="15" t="n"/>
      <c r="Q3460" s="15" t="n"/>
      <c r="R3460" s="25" t="n"/>
      <c r="S3460" s="26">
        <f>IF($A3460="","",AND(OR('Assignment Builder'!$B$5="",$B3460='Assignment Builder'!$B$5),OR('Assignment Builder'!$B$6="",ISNUMBER(SEARCH('Assignment Builder'!$B$6,$C3460))),OR('Assignment Builder'!$B$7="",'Assignment Builder'!$B$7=IFERROR(INDEX('Category Dictionary'!$C$5:$C$135,MATCH($L3460,'Category Dictionary'!$D$5:$D$135,0)),"")),OR('Assignment Builder'!$B$8="",$D3460='Assignment Builder'!$B$8),OR('Assignment Builder'!$B$9="",$F3460='Assignment Builder'!$B$9),OR('Assignment Builder'!$B$10="",$O3460='Assignment Builder'!$B$10),OR('Assignment Builder'!$B$11="",$H3460&gt;='Assignment Builder'!$B$11),OR('Assignment Builder'!$B$12="",N($Q3460)&lt;='Assignment Builder'!$B$12)))</f>
        <v/>
      </c>
      <c r="T3460" s="23" t="n"/>
    </row>
    <row r="3461">
      <c r="A3461" s="23" t="n"/>
      <c r="B3461" s="23" t="n"/>
      <c r="C3461" s="24" t="n"/>
      <c r="D3461" s="15" t="n"/>
      <c r="E3461" s="23" t="n"/>
      <c r="F3461" s="15" t="n"/>
      <c r="G3461" s="23" t="n"/>
      <c r="H3461" s="25" t="n"/>
      <c r="I3461" s="15" t="n"/>
      <c r="J3461" s="26">
        <f>IF($A3461="","",LEN($C3461)-LEN(SUBSTITUTE($C3461,",",""))+1)</f>
        <v/>
      </c>
      <c r="K3461" s="26">
        <f>IF($A3461="","",SUMPRODUCT(--ISNUMBER(SEARCH('Category Dictionary'!$D$5:$D$135&amp;"",$C3461)),--('Category Dictionary'!$D$5:$D$135&lt;&gt;"")))</f>
        <v/>
      </c>
      <c r="L3461" s="27">
        <f>IF($A3461="","",TRIM(IF(ISERROR(FIND(",",$C3461)),$C3461,LEFT($C3461,FIND(",",$C3461)-1))))</f>
        <v/>
      </c>
      <c r="M3461" s="28">
        <f>IF($H3461="","",DATE(YEAR($H3461),MONTH($H3461),1))</f>
        <v/>
      </c>
      <c r="N3461" s="26">
        <f>IF($H3461="","",TODAY()-$H3461)</f>
        <v/>
      </c>
      <c r="O3461" s="15" t="n"/>
      <c r="P3461" s="15" t="n"/>
      <c r="Q3461" s="15" t="n"/>
      <c r="R3461" s="25" t="n"/>
      <c r="S3461" s="26">
        <f>IF($A3461="","",AND(OR('Assignment Builder'!$B$5="",$B3461='Assignment Builder'!$B$5),OR('Assignment Builder'!$B$6="",ISNUMBER(SEARCH('Assignment Builder'!$B$6,$C3461))),OR('Assignment Builder'!$B$7="",'Assignment Builder'!$B$7=IFERROR(INDEX('Category Dictionary'!$C$5:$C$135,MATCH($L3461,'Category Dictionary'!$D$5:$D$135,0)),"")),OR('Assignment Builder'!$B$8="",$D3461='Assignment Builder'!$B$8),OR('Assignment Builder'!$B$9="",$F3461='Assignment Builder'!$B$9),OR('Assignment Builder'!$B$10="",$O3461='Assignment Builder'!$B$10),OR('Assignment Builder'!$B$11="",$H3461&gt;='Assignment Builder'!$B$11),OR('Assignment Builder'!$B$12="",N($Q3461)&lt;='Assignment Builder'!$B$12)))</f>
        <v/>
      </c>
      <c r="T3461" s="23" t="n"/>
    </row>
    <row r="3462">
      <c r="A3462" s="23" t="n"/>
      <c r="B3462" s="23" t="n"/>
      <c r="C3462" s="24" t="n"/>
      <c r="D3462" s="15" t="n"/>
      <c r="E3462" s="23" t="n"/>
      <c r="F3462" s="15" t="n"/>
      <c r="G3462" s="23" t="n"/>
      <c r="H3462" s="25" t="n"/>
      <c r="I3462" s="15" t="n"/>
      <c r="J3462" s="26">
        <f>IF($A3462="","",LEN($C3462)-LEN(SUBSTITUTE($C3462,",",""))+1)</f>
        <v/>
      </c>
      <c r="K3462" s="26">
        <f>IF($A3462="","",SUMPRODUCT(--ISNUMBER(SEARCH('Category Dictionary'!$D$5:$D$135&amp;"",$C3462)),--('Category Dictionary'!$D$5:$D$135&lt;&gt;"")))</f>
        <v/>
      </c>
      <c r="L3462" s="27">
        <f>IF($A3462="","",TRIM(IF(ISERROR(FIND(",",$C3462)),$C3462,LEFT($C3462,FIND(",",$C3462)-1))))</f>
        <v/>
      </c>
      <c r="M3462" s="28">
        <f>IF($H3462="","",DATE(YEAR($H3462),MONTH($H3462),1))</f>
        <v/>
      </c>
      <c r="N3462" s="26">
        <f>IF($H3462="","",TODAY()-$H3462)</f>
        <v/>
      </c>
      <c r="O3462" s="15" t="n"/>
      <c r="P3462" s="15" t="n"/>
      <c r="Q3462" s="15" t="n"/>
      <c r="R3462" s="25" t="n"/>
      <c r="S3462" s="26">
        <f>IF($A3462="","",AND(OR('Assignment Builder'!$B$5="",$B3462='Assignment Builder'!$B$5),OR('Assignment Builder'!$B$6="",ISNUMBER(SEARCH('Assignment Builder'!$B$6,$C3462))),OR('Assignment Builder'!$B$7="",'Assignment Builder'!$B$7=IFERROR(INDEX('Category Dictionary'!$C$5:$C$135,MATCH($L3462,'Category Dictionary'!$D$5:$D$135,0)),"")),OR('Assignment Builder'!$B$8="",$D3462='Assignment Builder'!$B$8),OR('Assignment Builder'!$B$9="",$F3462='Assignment Builder'!$B$9),OR('Assignment Builder'!$B$10="",$O3462='Assignment Builder'!$B$10),OR('Assignment Builder'!$B$11="",$H3462&gt;='Assignment Builder'!$B$11),OR('Assignment Builder'!$B$12="",N($Q3462)&lt;='Assignment Builder'!$B$12)))</f>
        <v/>
      </c>
      <c r="T3462" s="23" t="n"/>
    </row>
    <row r="3463">
      <c r="A3463" s="23" t="n"/>
      <c r="B3463" s="23" t="n"/>
      <c r="C3463" s="24" t="n"/>
      <c r="D3463" s="15" t="n"/>
      <c r="E3463" s="23" t="n"/>
      <c r="F3463" s="15" t="n"/>
      <c r="G3463" s="23" t="n"/>
      <c r="H3463" s="25" t="n"/>
      <c r="I3463" s="15" t="n"/>
      <c r="J3463" s="26">
        <f>IF($A3463="","",LEN($C3463)-LEN(SUBSTITUTE($C3463,",",""))+1)</f>
        <v/>
      </c>
      <c r="K3463" s="26">
        <f>IF($A3463="","",SUMPRODUCT(--ISNUMBER(SEARCH('Category Dictionary'!$D$5:$D$135&amp;"",$C3463)),--('Category Dictionary'!$D$5:$D$135&lt;&gt;"")))</f>
        <v/>
      </c>
      <c r="L3463" s="27">
        <f>IF($A3463="","",TRIM(IF(ISERROR(FIND(",",$C3463)),$C3463,LEFT($C3463,FIND(",",$C3463)-1))))</f>
        <v/>
      </c>
      <c r="M3463" s="28">
        <f>IF($H3463="","",DATE(YEAR($H3463),MONTH($H3463),1))</f>
        <v/>
      </c>
      <c r="N3463" s="26">
        <f>IF($H3463="","",TODAY()-$H3463)</f>
        <v/>
      </c>
      <c r="O3463" s="15" t="n"/>
      <c r="P3463" s="15" t="n"/>
      <c r="Q3463" s="15" t="n"/>
      <c r="R3463" s="25" t="n"/>
      <c r="S3463" s="26">
        <f>IF($A3463="","",AND(OR('Assignment Builder'!$B$5="",$B3463='Assignment Builder'!$B$5),OR('Assignment Builder'!$B$6="",ISNUMBER(SEARCH('Assignment Builder'!$B$6,$C3463))),OR('Assignment Builder'!$B$7="",'Assignment Builder'!$B$7=IFERROR(INDEX('Category Dictionary'!$C$5:$C$135,MATCH($L3463,'Category Dictionary'!$D$5:$D$135,0)),"")),OR('Assignment Builder'!$B$8="",$D3463='Assignment Builder'!$B$8),OR('Assignment Builder'!$B$9="",$F3463='Assignment Builder'!$B$9),OR('Assignment Builder'!$B$10="",$O3463='Assignment Builder'!$B$10),OR('Assignment Builder'!$B$11="",$H3463&gt;='Assignment Builder'!$B$11),OR('Assignment Builder'!$B$12="",N($Q3463)&lt;='Assignment Builder'!$B$12)))</f>
        <v/>
      </c>
      <c r="T3463" s="23" t="n"/>
    </row>
    <row r="3464">
      <c r="A3464" s="23" t="n"/>
      <c r="B3464" s="23" t="n"/>
      <c r="C3464" s="24" t="n"/>
      <c r="D3464" s="15" t="n"/>
      <c r="E3464" s="23" t="n"/>
      <c r="F3464" s="15" t="n"/>
      <c r="G3464" s="23" t="n"/>
      <c r="H3464" s="25" t="n"/>
      <c r="I3464" s="15" t="n"/>
      <c r="J3464" s="26">
        <f>IF($A3464="","",LEN($C3464)-LEN(SUBSTITUTE($C3464,",",""))+1)</f>
        <v/>
      </c>
      <c r="K3464" s="26">
        <f>IF($A3464="","",SUMPRODUCT(--ISNUMBER(SEARCH('Category Dictionary'!$D$5:$D$135&amp;"",$C3464)),--('Category Dictionary'!$D$5:$D$135&lt;&gt;"")))</f>
        <v/>
      </c>
      <c r="L3464" s="27">
        <f>IF($A3464="","",TRIM(IF(ISERROR(FIND(",",$C3464)),$C3464,LEFT($C3464,FIND(",",$C3464)-1))))</f>
        <v/>
      </c>
      <c r="M3464" s="28">
        <f>IF($H3464="","",DATE(YEAR($H3464),MONTH($H3464),1))</f>
        <v/>
      </c>
      <c r="N3464" s="26">
        <f>IF($H3464="","",TODAY()-$H3464)</f>
        <v/>
      </c>
      <c r="O3464" s="15" t="n"/>
      <c r="P3464" s="15" t="n"/>
      <c r="Q3464" s="15" t="n"/>
      <c r="R3464" s="25" t="n"/>
      <c r="S3464" s="26">
        <f>IF($A3464="","",AND(OR('Assignment Builder'!$B$5="",$B3464='Assignment Builder'!$B$5),OR('Assignment Builder'!$B$6="",ISNUMBER(SEARCH('Assignment Builder'!$B$6,$C3464))),OR('Assignment Builder'!$B$7="",'Assignment Builder'!$B$7=IFERROR(INDEX('Category Dictionary'!$C$5:$C$135,MATCH($L3464,'Category Dictionary'!$D$5:$D$135,0)),"")),OR('Assignment Builder'!$B$8="",$D3464='Assignment Builder'!$B$8),OR('Assignment Builder'!$B$9="",$F3464='Assignment Builder'!$B$9),OR('Assignment Builder'!$B$10="",$O3464='Assignment Builder'!$B$10),OR('Assignment Builder'!$B$11="",$H3464&gt;='Assignment Builder'!$B$11),OR('Assignment Builder'!$B$12="",N($Q3464)&lt;='Assignment Builder'!$B$12)))</f>
        <v/>
      </c>
      <c r="T3464" s="23" t="n"/>
    </row>
    <row r="3465">
      <c r="A3465" s="23" t="n"/>
      <c r="B3465" s="23" t="n"/>
      <c r="C3465" s="24" t="n"/>
      <c r="D3465" s="15" t="n"/>
      <c r="E3465" s="23" t="n"/>
      <c r="F3465" s="15" t="n"/>
      <c r="G3465" s="23" t="n"/>
      <c r="H3465" s="25" t="n"/>
      <c r="I3465" s="15" t="n"/>
      <c r="J3465" s="26">
        <f>IF($A3465="","",LEN($C3465)-LEN(SUBSTITUTE($C3465,",",""))+1)</f>
        <v/>
      </c>
      <c r="K3465" s="26">
        <f>IF($A3465="","",SUMPRODUCT(--ISNUMBER(SEARCH('Category Dictionary'!$D$5:$D$135&amp;"",$C3465)),--('Category Dictionary'!$D$5:$D$135&lt;&gt;"")))</f>
        <v/>
      </c>
      <c r="L3465" s="27">
        <f>IF($A3465="","",TRIM(IF(ISERROR(FIND(",",$C3465)),$C3465,LEFT($C3465,FIND(",",$C3465)-1))))</f>
        <v/>
      </c>
      <c r="M3465" s="28">
        <f>IF($H3465="","",DATE(YEAR($H3465),MONTH($H3465),1))</f>
        <v/>
      </c>
      <c r="N3465" s="26">
        <f>IF($H3465="","",TODAY()-$H3465)</f>
        <v/>
      </c>
      <c r="O3465" s="15" t="n"/>
      <c r="P3465" s="15" t="n"/>
      <c r="Q3465" s="15" t="n"/>
      <c r="R3465" s="25" t="n"/>
      <c r="S3465" s="26">
        <f>IF($A3465="","",AND(OR('Assignment Builder'!$B$5="",$B3465='Assignment Builder'!$B$5),OR('Assignment Builder'!$B$6="",ISNUMBER(SEARCH('Assignment Builder'!$B$6,$C3465))),OR('Assignment Builder'!$B$7="",'Assignment Builder'!$B$7=IFERROR(INDEX('Category Dictionary'!$C$5:$C$135,MATCH($L3465,'Category Dictionary'!$D$5:$D$135,0)),"")),OR('Assignment Builder'!$B$8="",$D3465='Assignment Builder'!$B$8),OR('Assignment Builder'!$B$9="",$F3465='Assignment Builder'!$B$9),OR('Assignment Builder'!$B$10="",$O3465='Assignment Builder'!$B$10),OR('Assignment Builder'!$B$11="",$H3465&gt;='Assignment Builder'!$B$11),OR('Assignment Builder'!$B$12="",N($Q3465)&lt;='Assignment Builder'!$B$12)))</f>
        <v/>
      </c>
      <c r="T3465" s="23" t="n"/>
    </row>
    <row r="3466">
      <c r="A3466" s="23" t="n"/>
      <c r="B3466" s="23" t="n"/>
      <c r="C3466" s="24" t="n"/>
      <c r="D3466" s="15" t="n"/>
      <c r="E3466" s="23" t="n"/>
      <c r="F3466" s="15" t="n"/>
      <c r="G3466" s="23" t="n"/>
      <c r="H3466" s="25" t="n"/>
      <c r="I3466" s="15" t="n"/>
      <c r="J3466" s="26">
        <f>IF($A3466="","",LEN($C3466)-LEN(SUBSTITUTE($C3466,",",""))+1)</f>
        <v/>
      </c>
      <c r="K3466" s="26">
        <f>IF($A3466="","",SUMPRODUCT(--ISNUMBER(SEARCH('Category Dictionary'!$D$5:$D$135&amp;"",$C3466)),--('Category Dictionary'!$D$5:$D$135&lt;&gt;"")))</f>
        <v/>
      </c>
      <c r="L3466" s="27">
        <f>IF($A3466="","",TRIM(IF(ISERROR(FIND(",",$C3466)),$C3466,LEFT($C3466,FIND(",",$C3466)-1))))</f>
        <v/>
      </c>
      <c r="M3466" s="28">
        <f>IF($H3466="","",DATE(YEAR($H3466),MONTH($H3466),1))</f>
        <v/>
      </c>
      <c r="N3466" s="26">
        <f>IF($H3466="","",TODAY()-$H3466)</f>
        <v/>
      </c>
      <c r="O3466" s="15" t="n"/>
      <c r="P3466" s="15" t="n"/>
      <c r="Q3466" s="15" t="n"/>
      <c r="R3466" s="25" t="n"/>
      <c r="S3466" s="26">
        <f>IF($A3466="","",AND(OR('Assignment Builder'!$B$5="",$B3466='Assignment Builder'!$B$5),OR('Assignment Builder'!$B$6="",ISNUMBER(SEARCH('Assignment Builder'!$B$6,$C3466))),OR('Assignment Builder'!$B$7="",'Assignment Builder'!$B$7=IFERROR(INDEX('Category Dictionary'!$C$5:$C$135,MATCH($L3466,'Category Dictionary'!$D$5:$D$135,0)),"")),OR('Assignment Builder'!$B$8="",$D3466='Assignment Builder'!$B$8),OR('Assignment Builder'!$B$9="",$F3466='Assignment Builder'!$B$9),OR('Assignment Builder'!$B$10="",$O3466='Assignment Builder'!$B$10),OR('Assignment Builder'!$B$11="",$H3466&gt;='Assignment Builder'!$B$11),OR('Assignment Builder'!$B$12="",N($Q3466)&lt;='Assignment Builder'!$B$12)))</f>
        <v/>
      </c>
      <c r="T3466" s="23" t="n"/>
    </row>
    <row r="3467">
      <c r="A3467" s="23" t="n"/>
      <c r="B3467" s="23" t="n"/>
      <c r="C3467" s="24" t="n"/>
      <c r="D3467" s="15" t="n"/>
      <c r="E3467" s="23" t="n"/>
      <c r="F3467" s="15" t="n"/>
      <c r="G3467" s="23" t="n"/>
      <c r="H3467" s="25" t="n"/>
      <c r="I3467" s="15" t="n"/>
      <c r="J3467" s="26">
        <f>IF($A3467="","",LEN($C3467)-LEN(SUBSTITUTE($C3467,",",""))+1)</f>
        <v/>
      </c>
      <c r="K3467" s="26">
        <f>IF($A3467="","",SUMPRODUCT(--ISNUMBER(SEARCH('Category Dictionary'!$D$5:$D$135&amp;"",$C3467)),--('Category Dictionary'!$D$5:$D$135&lt;&gt;"")))</f>
        <v/>
      </c>
      <c r="L3467" s="27">
        <f>IF($A3467="","",TRIM(IF(ISERROR(FIND(",",$C3467)),$C3467,LEFT($C3467,FIND(",",$C3467)-1))))</f>
        <v/>
      </c>
      <c r="M3467" s="28">
        <f>IF($H3467="","",DATE(YEAR($H3467),MONTH($H3467),1))</f>
        <v/>
      </c>
      <c r="N3467" s="26">
        <f>IF($H3467="","",TODAY()-$H3467)</f>
        <v/>
      </c>
      <c r="O3467" s="15" t="n"/>
      <c r="P3467" s="15" t="n"/>
      <c r="Q3467" s="15" t="n"/>
      <c r="R3467" s="25" t="n"/>
      <c r="S3467" s="26">
        <f>IF($A3467="","",AND(OR('Assignment Builder'!$B$5="",$B3467='Assignment Builder'!$B$5),OR('Assignment Builder'!$B$6="",ISNUMBER(SEARCH('Assignment Builder'!$B$6,$C3467))),OR('Assignment Builder'!$B$7="",'Assignment Builder'!$B$7=IFERROR(INDEX('Category Dictionary'!$C$5:$C$135,MATCH($L3467,'Category Dictionary'!$D$5:$D$135,0)),"")),OR('Assignment Builder'!$B$8="",$D3467='Assignment Builder'!$B$8),OR('Assignment Builder'!$B$9="",$F3467='Assignment Builder'!$B$9),OR('Assignment Builder'!$B$10="",$O3467='Assignment Builder'!$B$10),OR('Assignment Builder'!$B$11="",$H3467&gt;='Assignment Builder'!$B$11),OR('Assignment Builder'!$B$12="",N($Q3467)&lt;='Assignment Builder'!$B$12)))</f>
        <v/>
      </c>
      <c r="T3467" s="23" t="n"/>
    </row>
    <row r="3468">
      <c r="A3468" s="23" t="n"/>
      <c r="B3468" s="23" t="n"/>
      <c r="C3468" s="24" t="n"/>
      <c r="D3468" s="15" t="n"/>
      <c r="E3468" s="23" t="n"/>
      <c r="F3468" s="15" t="n"/>
      <c r="G3468" s="23" t="n"/>
      <c r="H3468" s="25" t="n"/>
      <c r="I3468" s="15" t="n"/>
      <c r="J3468" s="26">
        <f>IF($A3468="","",LEN($C3468)-LEN(SUBSTITUTE($C3468,",",""))+1)</f>
        <v/>
      </c>
      <c r="K3468" s="26">
        <f>IF($A3468="","",SUMPRODUCT(--ISNUMBER(SEARCH('Category Dictionary'!$D$5:$D$135&amp;"",$C3468)),--('Category Dictionary'!$D$5:$D$135&lt;&gt;"")))</f>
        <v/>
      </c>
      <c r="L3468" s="27">
        <f>IF($A3468="","",TRIM(IF(ISERROR(FIND(",",$C3468)),$C3468,LEFT($C3468,FIND(",",$C3468)-1))))</f>
        <v/>
      </c>
      <c r="M3468" s="28">
        <f>IF($H3468="","",DATE(YEAR($H3468),MONTH($H3468),1))</f>
        <v/>
      </c>
      <c r="N3468" s="26">
        <f>IF($H3468="","",TODAY()-$H3468)</f>
        <v/>
      </c>
      <c r="O3468" s="15" t="n"/>
      <c r="P3468" s="15" t="n"/>
      <c r="Q3468" s="15" t="n"/>
      <c r="R3468" s="25" t="n"/>
      <c r="S3468" s="26">
        <f>IF($A3468="","",AND(OR('Assignment Builder'!$B$5="",$B3468='Assignment Builder'!$B$5),OR('Assignment Builder'!$B$6="",ISNUMBER(SEARCH('Assignment Builder'!$B$6,$C3468))),OR('Assignment Builder'!$B$7="",'Assignment Builder'!$B$7=IFERROR(INDEX('Category Dictionary'!$C$5:$C$135,MATCH($L3468,'Category Dictionary'!$D$5:$D$135,0)),"")),OR('Assignment Builder'!$B$8="",$D3468='Assignment Builder'!$B$8),OR('Assignment Builder'!$B$9="",$F3468='Assignment Builder'!$B$9),OR('Assignment Builder'!$B$10="",$O3468='Assignment Builder'!$B$10),OR('Assignment Builder'!$B$11="",$H3468&gt;='Assignment Builder'!$B$11),OR('Assignment Builder'!$B$12="",N($Q3468)&lt;='Assignment Builder'!$B$12)))</f>
        <v/>
      </c>
      <c r="T3468" s="23" t="n"/>
    </row>
    <row r="3469">
      <c r="A3469" s="23" t="n"/>
      <c r="B3469" s="23" t="n"/>
      <c r="C3469" s="24" t="n"/>
      <c r="D3469" s="15" t="n"/>
      <c r="E3469" s="23" t="n"/>
      <c r="F3469" s="15" t="n"/>
      <c r="G3469" s="23" t="n"/>
      <c r="H3469" s="25" t="n"/>
      <c r="I3469" s="15" t="n"/>
      <c r="J3469" s="26">
        <f>IF($A3469="","",LEN($C3469)-LEN(SUBSTITUTE($C3469,",",""))+1)</f>
        <v/>
      </c>
      <c r="K3469" s="26">
        <f>IF($A3469="","",SUMPRODUCT(--ISNUMBER(SEARCH('Category Dictionary'!$D$5:$D$135&amp;"",$C3469)),--('Category Dictionary'!$D$5:$D$135&lt;&gt;"")))</f>
        <v/>
      </c>
      <c r="L3469" s="27">
        <f>IF($A3469="","",TRIM(IF(ISERROR(FIND(",",$C3469)),$C3469,LEFT($C3469,FIND(",",$C3469)-1))))</f>
        <v/>
      </c>
      <c r="M3469" s="28">
        <f>IF($H3469="","",DATE(YEAR($H3469),MONTH($H3469),1))</f>
        <v/>
      </c>
      <c r="N3469" s="26">
        <f>IF($H3469="","",TODAY()-$H3469)</f>
        <v/>
      </c>
      <c r="O3469" s="15" t="n"/>
      <c r="P3469" s="15" t="n"/>
      <c r="Q3469" s="15" t="n"/>
      <c r="R3469" s="25" t="n"/>
      <c r="S3469" s="26">
        <f>IF($A3469="","",AND(OR('Assignment Builder'!$B$5="",$B3469='Assignment Builder'!$B$5),OR('Assignment Builder'!$B$6="",ISNUMBER(SEARCH('Assignment Builder'!$B$6,$C3469))),OR('Assignment Builder'!$B$7="",'Assignment Builder'!$B$7=IFERROR(INDEX('Category Dictionary'!$C$5:$C$135,MATCH($L3469,'Category Dictionary'!$D$5:$D$135,0)),"")),OR('Assignment Builder'!$B$8="",$D3469='Assignment Builder'!$B$8),OR('Assignment Builder'!$B$9="",$F3469='Assignment Builder'!$B$9),OR('Assignment Builder'!$B$10="",$O3469='Assignment Builder'!$B$10),OR('Assignment Builder'!$B$11="",$H3469&gt;='Assignment Builder'!$B$11),OR('Assignment Builder'!$B$12="",N($Q3469)&lt;='Assignment Builder'!$B$12)))</f>
        <v/>
      </c>
      <c r="T3469" s="23" t="n"/>
    </row>
    <row r="3470">
      <c r="A3470" s="23" t="n"/>
      <c r="B3470" s="23" t="n"/>
      <c r="C3470" s="24" t="n"/>
      <c r="D3470" s="15" t="n"/>
      <c r="E3470" s="23" t="n"/>
      <c r="F3470" s="15" t="n"/>
      <c r="G3470" s="23" t="n"/>
      <c r="H3470" s="25" t="n"/>
      <c r="I3470" s="15" t="n"/>
      <c r="J3470" s="26">
        <f>IF($A3470="","",LEN($C3470)-LEN(SUBSTITUTE($C3470,",",""))+1)</f>
        <v/>
      </c>
      <c r="K3470" s="26">
        <f>IF($A3470="","",SUMPRODUCT(--ISNUMBER(SEARCH('Category Dictionary'!$D$5:$D$135&amp;"",$C3470)),--('Category Dictionary'!$D$5:$D$135&lt;&gt;"")))</f>
        <v/>
      </c>
      <c r="L3470" s="27">
        <f>IF($A3470="","",TRIM(IF(ISERROR(FIND(",",$C3470)),$C3470,LEFT($C3470,FIND(",",$C3470)-1))))</f>
        <v/>
      </c>
      <c r="M3470" s="28">
        <f>IF($H3470="","",DATE(YEAR($H3470),MONTH($H3470),1))</f>
        <v/>
      </c>
      <c r="N3470" s="26">
        <f>IF($H3470="","",TODAY()-$H3470)</f>
        <v/>
      </c>
      <c r="O3470" s="15" t="n"/>
      <c r="P3470" s="15" t="n"/>
      <c r="Q3470" s="15" t="n"/>
      <c r="R3470" s="25" t="n"/>
      <c r="S3470" s="26">
        <f>IF($A3470="","",AND(OR('Assignment Builder'!$B$5="",$B3470='Assignment Builder'!$B$5),OR('Assignment Builder'!$B$6="",ISNUMBER(SEARCH('Assignment Builder'!$B$6,$C3470))),OR('Assignment Builder'!$B$7="",'Assignment Builder'!$B$7=IFERROR(INDEX('Category Dictionary'!$C$5:$C$135,MATCH($L3470,'Category Dictionary'!$D$5:$D$135,0)),"")),OR('Assignment Builder'!$B$8="",$D3470='Assignment Builder'!$B$8),OR('Assignment Builder'!$B$9="",$F3470='Assignment Builder'!$B$9),OR('Assignment Builder'!$B$10="",$O3470='Assignment Builder'!$B$10),OR('Assignment Builder'!$B$11="",$H3470&gt;='Assignment Builder'!$B$11),OR('Assignment Builder'!$B$12="",N($Q3470)&lt;='Assignment Builder'!$B$12)))</f>
        <v/>
      </c>
      <c r="T3470" s="23" t="n"/>
    </row>
    <row r="3471">
      <c r="A3471" s="23" t="n"/>
      <c r="B3471" s="23" t="n"/>
      <c r="C3471" s="24" t="n"/>
      <c r="D3471" s="15" t="n"/>
      <c r="E3471" s="23" t="n"/>
      <c r="F3471" s="15" t="n"/>
      <c r="G3471" s="23" t="n"/>
      <c r="H3471" s="25" t="n"/>
      <c r="I3471" s="15" t="n"/>
      <c r="J3471" s="26">
        <f>IF($A3471="","",LEN($C3471)-LEN(SUBSTITUTE($C3471,",",""))+1)</f>
        <v/>
      </c>
      <c r="K3471" s="26">
        <f>IF($A3471="","",SUMPRODUCT(--ISNUMBER(SEARCH('Category Dictionary'!$D$5:$D$135&amp;"",$C3471)),--('Category Dictionary'!$D$5:$D$135&lt;&gt;"")))</f>
        <v/>
      </c>
      <c r="L3471" s="27">
        <f>IF($A3471="","",TRIM(IF(ISERROR(FIND(",",$C3471)),$C3471,LEFT($C3471,FIND(",",$C3471)-1))))</f>
        <v/>
      </c>
      <c r="M3471" s="28">
        <f>IF($H3471="","",DATE(YEAR($H3471),MONTH($H3471),1))</f>
        <v/>
      </c>
      <c r="N3471" s="26">
        <f>IF($H3471="","",TODAY()-$H3471)</f>
        <v/>
      </c>
      <c r="O3471" s="15" t="n"/>
      <c r="P3471" s="15" t="n"/>
      <c r="Q3471" s="15" t="n"/>
      <c r="R3471" s="25" t="n"/>
      <c r="S3471" s="26">
        <f>IF($A3471="","",AND(OR('Assignment Builder'!$B$5="",$B3471='Assignment Builder'!$B$5),OR('Assignment Builder'!$B$6="",ISNUMBER(SEARCH('Assignment Builder'!$B$6,$C3471))),OR('Assignment Builder'!$B$7="",'Assignment Builder'!$B$7=IFERROR(INDEX('Category Dictionary'!$C$5:$C$135,MATCH($L3471,'Category Dictionary'!$D$5:$D$135,0)),"")),OR('Assignment Builder'!$B$8="",$D3471='Assignment Builder'!$B$8),OR('Assignment Builder'!$B$9="",$F3471='Assignment Builder'!$B$9),OR('Assignment Builder'!$B$10="",$O3471='Assignment Builder'!$B$10),OR('Assignment Builder'!$B$11="",$H3471&gt;='Assignment Builder'!$B$11),OR('Assignment Builder'!$B$12="",N($Q3471)&lt;='Assignment Builder'!$B$12)))</f>
        <v/>
      </c>
      <c r="T3471" s="23" t="n"/>
    </row>
    <row r="3472">
      <c r="A3472" s="23" t="n"/>
      <c r="B3472" s="23" t="n"/>
      <c r="C3472" s="24" t="n"/>
      <c r="D3472" s="15" t="n"/>
      <c r="E3472" s="23" t="n"/>
      <c r="F3472" s="15" t="n"/>
      <c r="G3472" s="23" t="n"/>
      <c r="H3472" s="25" t="n"/>
      <c r="I3472" s="15" t="n"/>
      <c r="J3472" s="26">
        <f>IF($A3472="","",LEN($C3472)-LEN(SUBSTITUTE($C3472,",",""))+1)</f>
        <v/>
      </c>
      <c r="K3472" s="26">
        <f>IF($A3472="","",SUMPRODUCT(--ISNUMBER(SEARCH('Category Dictionary'!$D$5:$D$135&amp;"",$C3472)),--('Category Dictionary'!$D$5:$D$135&lt;&gt;"")))</f>
        <v/>
      </c>
      <c r="L3472" s="27">
        <f>IF($A3472="","",TRIM(IF(ISERROR(FIND(",",$C3472)),$C3472,LEFT($C3472,FIND(",",$C3472)-1))))</f>
        <v/>
      </c>
      <c r="M3472" s="28">
        <f>IF($H3472="","",DATE(YEAR($H3472),MONTH($H3472),1))</f>
        <v/>
      </c>
      <c r="N3472" s="26">
        <f>IF($H3472="","",TODAY()-$H3472)</f>
        <v/>
      </c>
      <c r="O3472" s="15" t="n"/>
      <c r="P3472" s="15" t="n"/>
      <c r="Q3472" s="15" t="n"/>
      <c r="R3472" s="25" t="n"/>
      <c r="S3472" s="26">
        <f>IF($A3472="","",AND(OR('Assignment Builder'!$B$5="",$B3472='Assignment Builder'!$B$5),OR('Assignment Builder'!$B$6="",ISNUMBER(SEARCH('Assignment Builder'!$B$6,$C3472))),OR('Assignment Builder'!$B$7="",'Assignment Builder'!$B$7=IFERROR(INDEX('Category Dictionary'!$C$5:$C$135,MATCH($L3472,'Category Dictionary'!$D$5:$D$135,0)),"")),OR('Assignment Builder'!$B$8="",$D3472='Assignment Builder'!$B$8),OR('Assignment Builder'!$B$9="",$F3472='Assignment Builder'!$B$9),OR('Assignment Builder'!$B$10="",$O3472='Assignment Builder'!$B$10),OR('Assignment Builder'!$B$11="",$H3472&gt;='Assignment Builder'!$B$11),OR('Assignment Builder'!$B$12="",N($Q3472)&lt;='Assignment Builder'!$B$12)))</f>
        <v/>
      </c>
      <c r="T3472" s="23" t="n"/>
    </row>
    <row r="3473">
      <c r="A3473" s="23" t="n"/>
      <c r="B3473" s="23" t="n"/>
      <c r="C3473" s="24" t="n"/>
      <c r="D3473" s="15" t="n"/>
      <c r="E3473" s="23" t="n"/>
      <c r="F3473" s="15" t="n"/>
      <c r="G3473" s="23" t="n"/>
      <c r="H3473" s="25" t="n"/>
      <c r="I3473" s="15" t="n"/>
      <c r="J3473" s="26">
        <f>IF($A3473="","",LEN($C3473)-LEN(SUBSTITUTE($C3473,",",""))+1)</f>
        <v/>
      </c>
      <c r="K3473" s="26">
        <f>IF($A3473="","",SUMPRODUCT(--ISNUMBER(SEARCH('Category Dictionary'!$D$5:$D$135&amp;"",$C3473)),--('Category Dictionary'!$D$5:$D$135&lt;&gt;"")))</f>
        <v/>
      </c>
      <c r="L3473" s="27">
        <f>IF($A3473="","",TRIM(IF(ISERROR(FIND(",",$C3473)),$C3473,LEFT($C3473,FIND(",",$C3473)-1))))</f>
        <v/>
      </c>
      <c r="M3473" s="28">
        <f>IF($H3473="","",DATE(YEAR($H3473),MONTH($H3473),1))</f>
        <v/>
      </c>
      <c r="N3473" s="26">
        <f>IF($H3473="","",TODAY()-$H3473)</f>
        <v/>
      </c>
      <c r="O3473" s="15" t="n"/>
      <c r="P3473" s="15" t="n"/>
      <c r="Q3473" s="15" t="n"/>
      <c r="R3473" s="25" t="n"/>
      <c r="S3473" s="26">
        <f>IF($A3473="","",AND(OR('Assignment Builder'!$B$5="",$B3473='Assignment Builder'!$B$5),OR('Assignment Builder'!$B$6="",ISNUMBER(SEARCH('Assignment Builder'!$B$6,$C3473))),OR('Assignment Builder'!$B$7="",'Assignment Builder'!$B$7=IFERROR(INDEX('Category Dictionary'!$C$5:$C$135,MATCH($L3473,'Category Dictionary'!$D$5:$D$135,0)),"")),OR('Assignment Builder'!$B$8="",$D3473='Assignment Builder'!$B$8),OR('Assignment Builder'!$B$9="",$F3473='Assignment Builder'!$B$9),OR('Assignment Builder'!$B$10="",$O3473='Assignment Builder'!$B$10),OR('Assignment Builder'!$B$11="",$H3473&gt;='Assignment Builder'!$B$11),OR('Assignment Builder'!$B$12="",N($Q3473)&lt;='Assignment Builder'!$B$12)))</f>
        <v/>
      </c>
      <c r="T3473" s="23" t="n"/>
    </row>
    <row r="3474">
      <c r="A3474" s="23" t="n"/>
      <c r="B3474" s="23" t="n"/>
      <c r="C3474" s="24" t="n"/>
      <c r="D3474" s="15" t="n"/>
      <c r="E3474" s="23" t="n"/>
      <c r="F3474" s="15" t="n"/>
      <c r="G3474" s="23" t="n"/>
      <c r="H3474" s="25" t="n"/>
      <c r="I3474" s="15" t="n"/>
      <c r="J3474" s="26">
        <f>IF($A3474="","",LEN($C3474)-LEN(SUBSTITUTE($C3474,",",""))+1)</f>
        <v/>
      </c>
      <c r="K3474" s="26">
        <f>IF($A3474="","",SUMPRODUCT(--ISNUMBER(SEARCH('Category Dictionary'!$D$5:$D$135&amp;"",$C3474)),--('Category Dictionary'!$D$5:$D$135&lt;&gt;"")))</f>
        <v/>
      </c>
      <c r="L3474" s="27">
        <f>IF($A3474="","",TRIM(IF(ISERROR(FIND(",",$C3474)),$C3474,LEFT($C3474,FIND(",",$C3474)-1))))</f>
        <v/>
      </c>
      <c r="M3474" s="28">
        <f>IF($H3474="","",DATE(YEAR($H3474),MONTH($H3474),1))</f>
        <v/>
      </c>
      <c r="N3474" s="26">
        <f>IF($H3474="","",TODAY()-$H3474)</f>
        <v/>
      </c>
      <c r="O3474" s="15" t="n"/>
      <c r="P3474" s="15" t="n"/>
      <c r="Q3474" s="15" t="n"/>
      <c r="R3474" s="25" t="n"/>
      <c r="S3474" s="26">
        <f>IF($A3474="","",AND(OR('Assignment Builder'!$B$5="",$B3474='Assignment Builder'!$B$5),OR('Assignment Builder'!$B$6="",ISNUMBER(SEARCH('Assignment Builder'!$B$6,$C3474))),OR('Assignment Builder'!$B$7="",'Assignment Builder'!$B$7=IFERROR(INDEX('Category Dictionary'!$C$5:$C$135,MATCH($L3474,'Category Dictionary'!$D$5:$D$135,0)),"")),OR('Assignment Builder'!$B$8="",$D3474='Assignment Builder'!$B$8),OR('Assignment Builder'!$B$9="",$F3474='Assignment Builder'!$B$9),OR('Assignment Builder'!$B$10="",$O3474='Assignment Builder'!$B$10),OR('Assignment Builder'!$B$11="",$H3474&gt;='Assignment Builder'!$B$11),OR('Assignment Builder'!$B$12="",N($Q3474)&lt;='Assignment Builder'!$B$12)))</f>
        <v/>
      </c>
      <c r="T3474" s="23" t="n"/>
    </row>
    <row r="3475">
      <c r="A3475" s="23" t="n"/>
      <c r="B3475" s="23" t="n"/>
      <c r="C3475" s="24" t="n"/>
      <c r="D3475" s="15" t="n"/>
      <c r="E3475" s="23" t="n"/>
      <c r="F3475" s="15" t="n"/>
      <c r="G3475" s="23" t="n"/>
      <c r="H3475" s="25" t="n"/>
      <c r="I3475" s="15" t="n"/>
      <c r="J3475" s="26">
        <f>IF($A3475="","",LEN($C3475)-LEN(SUBSTITUTE($C3475,",",""))+1)</f>
        <v/>
      </c>
      <c r="K3475" s="26">
        <f>IF($A3475="","",SUMPRODUCT(--ISNUMBER(SEARCH('Category Dictionary'!$D$5:$D$135&amp;"",$C3475)),--('Category Dictionary'!$D$5:$D$135&lt;&gt;"")))</f>
        <v/>
      </c>
      <c r="L3475" s="27">
        <f>IF($A3475="","",TRIM(IF(ISERROR(FIND(",",$C3475)),$C3475,LEFT($C3475,FIND(",",$C3475)-1))))</f>
        <v/>
      </c>
      <c r="M3475" s="28">
        <f>IF($H3475="","",DATE(YEAR($H3475),MONTH($H3475),1))</f>
        <v/>
      </c>
      <c r="N3475" s="26">
        <f>IF($H3475="","",TODAY()-$H3475)</f>
        <v/>
      </c>
      <c r="O3475" s="15" t="n"/>
      <c r="P3475" s="15" t="n"/>
      <c r="Q3475" s="15" t="n"/>
      <c r="R3475" s="25" t="n"/>
      <c r="S3475" s="26">
        <f>IF($A3475="","",AND(OR('Assignment Builder'!$B$5="",$B3475='Assignment Builder'!$B$5),OR('Assignment Builder'!$B$6="",ISNUMBER(SEARCH('Assignment Builder'!$B$6,$C3475))),OR('Assignment Builder'!$B$7="",'Assignment Builder'!$B$7=IFERROR(INDEX('Category Dictionary'!$C$5:$C$135,MATCH($L3475,'Category Dictionary'!$D$5:$D$135,0)),"")),OR('Assignment Builder'!$B$8="",$D3475='Assignment Builder'!$B$8),OR('Assignment Builder'!$B$9="",$F3475='Assignment Builder'!$B$9),OR('Assignment Builder'!$B$10="",$O3475='Assignment Builder'!$B$10),OR('Assignment Builder'!$B$11="",$H3475&gt;='Assignment Builder'!$B$11),OR('Assignment Builder'!$B$12="",N($Q3475)&lt;='Assignment Builder'!$B$12)))</f>
        <v/>
      </c>
      <c r="T3475" s="23" t="n"/>
    </row>
    <row r="3476">
      <c r="A3476" s="23" t="n"/>
      <c r="B3476" s="23" t="n"/>
      <c r="C3476" s="24" t="n"/>
      <c r="D3476" s="15" t="n"/>
      <c r="E3476" s="23" t="n"/>
      <c r="F3476" s="15" t="n"/>
      <c r="G3476" s="23" t="n"/>
      <c r="H3476" s="25" t="n"/>
      <c r="I3476" s="15" t="n"/>
      <c r="J3476" s="26">
        <f>IF($A3476="","",LEN($C3476)-LEN(SUBSTITUTE($C3476,",",""))+1)</f>
        <v/>
      </c>
      <c r="K3476" s="26">
        <f>IF($A3476="","",SUMPRODUCT(--ISNUMBER(SEARCH('Category Dictionary'!$D$5:$D$135&amp;"",$C3476)),--('Category Dictionary'!$D$5:$D$135&lt;&gt;"")))</f>
        <v/>
      </c>
      <c r="L3476" s="27">
        <f>IF($A3476="","",TRIM(IF(ISERROR(FIND(",",$C3476)),$C3476,LEFT($C3476,FIND(",",$C3476)-1))))</f>
        <v/>
      </c>
      <c r="M3476" s="28">
        <f>IF($H3476="","",DATE(YEAR($H3476),MONTH($H3476),1))</f>
        <v/>
      </c>
      <c r="N3476" s="26">
        <f>IF($H3476="","",TODAY()-$H3476)</f>
        <v/>
      </c>
      <c r="O3476" s="15" t="n"/>
      <c r="P3476" s="15" t="n"/>
      <c r="Q3476" s="15" t="n"/>
      <c r="R3476" s="25" t="n"/>
      <c r="S3476" s="26">
        <f>IF($A3476="","",AND(OR('Assignment Builder'!$B$5="",$B3476='Assignment Builder'!$B$5),OR('Assignment Builder'!$B$6="",ISNUMBER(SEARCH('Assignment Builder'!$B$6,$C3476))),OR('Assignment Builder'!$B$7="",'Assignment Builder'!$B$7=IFERROR(INDEX('Category Dictionary'!$C$5:$C$135,MATCH($L3476,'Category Dictionary'!$D$5:$D$135,0)),"")),OR('Assignment Builder'!$B$8="",$D3476='Assignment Builder'!$B$8),OR('Assignment Builder'!$B$9="",$F3476='Assignment Builder'!$B$9),OR('Assignment Builder'!$B$10="",$O3476='Assignment Builder'!$B$10),OR('Assignment Builder'!$B$11="",$H3476&gt;='Assignment Builder'!$B$11),OR('Assignment Builder'!$B$12="",N($Q3476)&lt;='Assignment Builder'!$B$12)))</f>
        <v/>
      </c>
      <c r="T3476" s="23" t="n"/>
    </row>
    <row r="3477">
      <c r="A3477" s="23" t="n"/>
      <c r="B3477" s="23" t="n"/>
      <c r="C3477" s="24" t="n"/>
      <c r="D3477" s="15" t="n"/>
      <c r="E3477" s="23" t="n"/>
      <c r="F3477" s="15" t="n"/>
      <c r="G3477" s="23" t="n"/>
      <c r="H3477" s="25" t="n"/>
      <c r="I3477" s="15" t="n"/>
      <c r="J3477" s="26">
        <f>IF($A3477="","",LEN($C3477)-LEN(SUBSTITUTE($C3477,",",""))+1)</f>
        <v/>
      </c>
      <c r="K3477" s="26">
        <f>IF($A3477="","",SUMPRODUCT(--ISNUMBER(SEARCH('Category Dictionary'!$D$5:$D$135&amp;"",$C3477)),--('Category Dictionary'!$D$5:$D$135&lt;&gt;"")))</f>
        <v/>
      </c>
      <c r="L3477" s="27">
        <f>IF($A3477="","",TRIM(IF(ISERROR(FIND(",",$C3477)),$C3477,LEFT($C3477,FIND(",",$C3477)-1))))</f>
        <v/>
      </c>
      <c r="M3477" s="28">
        <f>IF($H3477="","",DATE(YEAR($H3477),MONTH($H3477),1))</f>
        <v/>
      </c>
      <c r="N3477" s="26">
        <f>IF($H3477="","",TODAY()-$H3477)</f>
        <v/>
      </c>
      <c r="O3477" s="15" t="n"/>
      <c r="P3477" s="15" t="n"/>
      <c r="Q3477" s="15" t="n"/>
      <c r="R3477" s="25" t="n"/>
      <c r="S3477" s="26">
        <f>IF($A3477="","",AND(OR('Assignment Builder'!$B$5="",$B3477='Assignment Builder'!$B$5),OR('Assignment Builder'!$B$6="",ISNUMBER(SEARCH('Assignment Builder'!$B$6,$C3477))),OR('Assignment Builder'!$B$7="",'Assignment Builder'!$B$7=IFERROR(INDEX('Category Dictionary'!$C$5:$C$135,MATCH($L3477,'Category Dictionary'!$D$5:$D$135,0)),"")),OR('Assignment Builder'!$B$8="",$D3477='Assignment Builder'!$B$8),OR('Assignment Builder'!$B$9="",$F3477='Assignment Builder'!$B$9),OR('Assignment Builder'!$B$10="",$O3477='Assignment Builder'!$B$10),OR('Assignment Builder'!$B$11="",$H3477&gt;='Assignment Builder'!$B$11),OR('Assignment Builder'!$B$12="",N($Q3477)&lt;='Assignment Builder'!$B$12)))</f>
        <v/>
      </c>
      <c r="T3477" s="23" t="n"/>
    </row>
    <row r="3478">
      <c r="A3478" s="23" t="n"/>
      <c r="B3478" s="23" t="n"/>
      <c r="C3478" s="24" t="n"/>
      <c r="D3478" s="15" t="n"/>
      <c r="E3478" s="23" t="n"/>
      <c r="F3478" s="15" t="n"/>
      <c r="G3478" s="23" t="n"/>
      <c r="H3478" s="25" t="n"/>
      <c r="I3478" s="15" t="n"/>
      <c r="J3478" s="26">
        <f>IF($A3478="","",LEN($C3478)-LEN(SUBSTITUTE($C3478,",",""))+1)</f>
        <v/>
      </c>
      <c r="K3478" s="26">
        <f>IF($A3478="","",SUMPRODUCT(--ISNUMBER(SEARCH('Category Dictionary'!$D$5:$D$135&amp;"",$C3478)),--('Category Dictionary'!$D$5:$D$135&lt;&gt;"")))</f>
        <v/>
      </c>
      <c r="L3478" s="27">
        <f>IF($A3478="","",TRIM(IF(ISERROR(FIND(",",$C3478)),$C3478,LEFT($C3478,FIND(",",$C3478)-1))))</f>
        <v/>
      </c>
      <c r="M3478" s="28">
        <f>IF($H3478="","",DATE(YEAR($H3478),MONTH($H3478),1))</f>
        <v/>
      </c>
      <c r="N3478" s="26">
        <f>IF($H3478="","",TODAY()-$H3478)</f>
        <v/>
      </c>
      <c r="O3478" s="15" t="n"/>
      <c r="P3478" s="15" t="n"/>
      <c r="Q3478" s="15" t="n"/>
      <c r="R3478" s="25" t="n"/>
      <c r="S3478" s="26">
        <f>IF($A3478="","",AND(OR('Assignment Builder'!$B$5="",$B3478='Assignment Builder'!$B$5),OR('Assignment Builder'!$B$6="",ISNUMBER(SEARCH('Assignment Builder'!$B$6,$C3478))),OR('Assignment Builder'!$B$7="",'Assignment Builder'!$B$7=IFERROR(INDEX('Category Dictionary'!$C$5:$C$135,MATCH($L3478,'Category Dictionary'!$D$5:$D$135,0)),"")),OR('Assignment Builder'!$B$8="",$D3478='Assignment Builder'!$B$8),OR('Assignment Builder'!$B$9="",$F3478='Assignment Builder'!$B$9),OR('Assignment Builder'!$B$10="",$O3478='Assignment Builder'!$B$10),OR('Assignment Builder'!$B$11="",$H3478&gt;='Assignment Builder'!$B$11),OR('Assignment Builder'!$B$12="",N($Q3478)&lt;='Assignment Builder'!$B$12)))</f>
        <v/>
      </c>
      <c r="T3478" s="23" t="n"/>
    </row>
    <row r="3479">
      <c r="A3479" s="23" t="n"/>
      <c r="B3479" s="23" t="n"/>
      <c r="C3479" s="24" t="n"/>
      <c r="D3479" s="15" t="n"/>
      <c r="E3479" s="23" t="n"/>
      <c r="F3479" s="15" t="n"/>
      <c r="G3479" s="23" t="n"/>
      <c r="H3479" s="25" t="n"/>
      <c r="I3479" s="15" t="n"/>
      <c r="J3479" s="26">
        <f>IF($A3479="","",LEN($C3479)-LEN(SUBSTITUTE($C3479,",",""))+1)</f>
        <v/>
      </c>
      <c r="K3479" s="26">
        <f>IF($A3479="","",SUMPRODUCT(--ISNUMBER(SEARCH('Category Dictionary'!$D$5:$D$135&amp;"",$C3479)),--('Category Dictionary'!$D$5:$D$135&lt;&gt;"")))</f>
        <v/>
      </c>
      <c r="L3479" s="27">
        <f>IF($A3479="","",TRIM(IF(ISERROR(FIND(",",$C3479)),$C3479,LEFT($C3479,FIND(",",$C3479)-1))))</f>
        <v/>
      </c>
      <c r="M3479" s="28">
        <f>IF($H3479="","",DATE(YEAR($H3479),MONTH($H3479),1))</f>
        <v/>
      </c>
      <c r="N3479" s="26">
        <f>IF($H3479="","",TODAY()-$H3479)</f>
        <v/>
      </c>
      <c r="O3479" s="15" t="n"/>
      <c r="P3479" s="15" t="n"/>
      <c r="Q3479" s="15" t="n"/>
      <c r="R3479" s="25" t="n"/>
      <c r="S3479" s="26">
        <f>IF($A3479="","",AND(OR('Assignment Builder'!$B$5="",$B3479='Assignment Builder'!$B$5),OR('Assignment Builder'!$B$6="",ISNUMBER(SEARCH('Assignment Builder'!$B$6,$C3479))),OR('Assignment Builder'!$B$7="",'Assignment Builder'!$B$7=IFERROR(INDEX('Category Dictionary'!$C$5:$C$135,MATCH($L3479,'Category Dictionary'!$D$5:$D$135,0)),"")),OR('Assignment Builder'!$B$8="",$D3479='Assignment Builder'!$B$8),OR('Assignment Builder'!$B$9="",$F3479='Assignment Builder'!$B$9),OR('Assignment Builder'!$B$10="",$O3479='Assignment Builder'!$B$10),OR('Assignment Builder'!$B$11="",$H3479&gt;='Assignment Builder'!$B$11),OR('Assignment Builder'!$B$12="",N($Q3479)&lt;='Assignment Builder'!$B$12)))</f>
        <v/>
      </c>
      <c r="T3479" s="23" t="n"/>
    </row>
    <row r="3480">
      <c r="A3480" s="23" t="n"/>
      <c r="B3480" s="23" t="n"/>
      <c r="C3480" s="24" t="n"/>
      <c r="D3480" s="15" t="n"/>
      <c r="E3480" s="23" t="n"/>
      <c r="F3480" s="15" t="n"/>
      <c r="G3480" s="23" t="n"/>
      <c r="H3480" s="25" t="n"/>
      <c r="I3480" s="15" t="n"/>
      <c r="J3480" s="26">
        <f>IF($A3480="","",LEN($C3480)-LEN(SUBSTITUTE($C3480,",",""))+1)</f>
        <v/>
      </c>
      <c r="K3480" s="26">
        <f>IF($A3480="","",SUMPRODUCT(--ISNUMBER(SEARCH('Category Dictionary'!$D$5:$D$135&amp;"",$C3480)),--('Category Dictionary'!$D$5:$D$135&lt;&gt;"")))</f>
        <v/>
      </c>
      <c r="L3480" s="27">
        <f>IF($A3480="","",TRIM(IF(ISERROR(FIND(",",$C3480)),$C3480,LEFT($C3480,FIND(",",$C3480)-1))))</f>
        <v/>
      </c>
      <c r="M3480" s="28">
        <f>IF($H3480="","",DATE(YEAR($H3480),MONTH($H3480),1))</f>
        <v/>
      </c>
      <c r="N3480" s="26">
        <f>IF($H3480="","",TODAY()-$H3480)</f>
        <v/>
      </c>
      <c r="O3480" s="15" t="n"/>
      <c r="P3480" s="15" t="n"/>
      <c r="Q3480" s="15" t="n"/>
      <c r="R3480" s="25" t="n"/>
      <c r="S3480" s="26">
        <f>IF($A3480="","",AND(OR('Assignment Builder'!$B$5="",$B3480='Assignment Builder'!$B$5),OR('Assignment Builder'!$B$6="",ISNUMBER(SEARCH('Assignment Builder'!$B$6,$C3480))),OR('Assignment Builder'!$B$7="",'Assignment Builder'!$B$7=IFERROR(INDEX('Category Dictionary'!$C$5:$C$135,MATCH($L3480,'Category Dictionary'!$D$5:$D$135,0)),"")),OR('Assignment Builder'!$B$8="",$D3480='Assignment Builder'!$B$8),OR('Assignment Builder'!$B$9="",$F3480='Assignment Builder'!$B$9),OR('Assignment Builder'!$B$10="",$O3480='Assignment Builder'!$B$10),OR('Assignment Builder'!$B$11="",$H3480&gt;='Assignment Builder'!$B$11),OR('Assignment Builder'!$B$12="",N($Q3480)&lt;='Assignment Builder'!$B$12)))</f>
        <v/>
      </c>
      <c r="T3480" s="23" t="n"/>
    </row>
    <row r="3481">
      <c r="A3481" s="23" t="n"/>
      <c r="B3481" s="23" t="n"/>
      <c r="C3481" s="24" t="n"/>
      <c r="D3481" s="15" t="n"/>
      <c r="E3481" s="23" t="n"/>
      <c r="F3481" s="15" t="n"/>
      <c r="G3481" s="23" t="n"/>
      <c r="H3481" s="25" t="n"/>
      <c r="I3481" s="15" t="n"/>
      <c r="J3481" s="26">
        <f>IF($A3481="","",LEN($C3481)-LEN(SUBSTITUTE($C3481,",",""))+1)</f>
        <v/>
      </c>
      <c r="K3481" s="26">
        <f>IF($A3481="","",SUMPRODUCT(--ISNUMBER(SEARCH('Category Dictionary'!$D$5:$D$135&amp;"",$C3481)),--('Category Dictionary'!$D$5:$D$135&lt;&gt;"")))</f>
        <v/>
      </c>
      <c r="L3481" s="27">
        <f>IF($A3481="","",TRIM(IF(ISERROR(FIND(",",$C3481)),$C3481,LEFT($C3481,FIND(",",$C3481)-1))))</f>
        <v/>
      </c>
      <c r="M3481" s="28">
        <f>IF($H3481="","",DATE(YEAR($H3481),MONTH($H3481),1))</f>
        <v/>
      </c>
      <c r="N3481" s="26">
        <f>IF($H3481="","",TODAY()-$H3481)</f>
        <v/>
      </c>
      <c r="O3481" s="15" t="n"/>
      <c r="P3481" s="15" t="n"/>
      <c r="Q3481" s="15" t="n"/>
      <c r="R3481" s="25" t="n"/>
      <c r="S3481" s="26">
        <f>IF($A3481="","",AND(OR('Assignment Builder'!$B$5="",$B3481='Assignment Builder'!$B$5),OR('Assignment Builder'!$B$6="",ISNUMBER(SEARCH('Assignment Builder'!$B$6,$C3481))),OR('Assignment Builder'!$B$7="",'Assignment Builder'!$B$7=IFERROR(INDEX('Category Dictionary'!$C$5:$C$135,MATCH($L3481,'Category Dictionary'!$D$5:$D$135,0)),"")),OR('Assignment Builder'!$B$8="",$D3481='Assignment Builder'!$B$8),OR('Assignment Builder'!$B$9="",$F3481='Assignment Builder'!$B$9),OR('Assignment Builder'!$B$10="",$O3481='Assignment Builder'!$B$10),OR('Assignment Builder'!$B$11="",$H3481&gt;='Assignment Builder'!$B$11),OR('Assignment Builder'!$B$12="",N($Q3481)&lt;='Assignment Builder'!$B$12)))</f>
        <v/>
      </c>
      <c r="T3481" s="23" t="n"/>
    </row>
    <row r="3482">
      <c r="A3482" s="23" t="n"/>
      <c r="B3482" s="23" t="n"/>
      <c r="C3482" s="24" t="n"/>
      <c r="D3482" s="15" t="n"/>
      <c r="E3482" s="23" t="n"/>
      <c r="F3482" s="15" t="n"/>
      <c r="G3482" s="23" t="n"/>
      <c r="H3482" s="25" t="n"/>
      <c r="I3482" s="15" t="n"/>
      <c r="J3482" s="26">
        <f>IF($A3482="","",LEN($C3482)-LEN(SUBSTITUTE($C3482,",",""))+1)</f>
        <v/>
      </c>
      <c r="K3482" s="26">
        <f>IF($A3482="","",SUMPRODUCT(--ISNUMBER(SEARCH('Category Dictionary'!$D$5:$D$135&amp;"",$C3482)),--('Category Dictionary'!$D$5:$D$135&lt;&gt;"")))</f>
        <v/>
      </c>
      <c r="L3482" s="27">
        <f>IF($A3482="","",TRIM(IF(ISERROR(FIND(",",$C3482)),$C3482,LEFT($C3482,FIND(",",$C3482)-1))))</f>
        <v/>
      </c>
      <c r="M3482" s="28">
        <f>IF($H3482="","",DATE(YEAR($H3482),MONTH($H3482),1))</f>
        <v/>
      </c>
      <c r="N3482" s="26">
        <f>IF($H3482="","",TODAY()-$H3482)</f>
        <v/>
      </c>
      <c r="O3482" s="15" t="n"/>
      <c r="P3482" s="15" t="n"/>
      <c r="Q3482" s="15" t="n"/>
      <c r="R3482" s="25" t="n"/>
      <c r="S3482" s="26">
        <f>IF($A3482="","",AND(OR('Assignment Builder'!$B$5="",$B3482='Assignment Builder'!$B$5),OR('Assignment Builder'!$B$6="",ISNUMBER(SEARCH('Assignment Builder'!$B$6,$C3482))),OR('Assignment Builder'!$B$7="",'Assignment Builder'!$B$7=IFERROR(INDEX('Category Dictionary'!$C$5:$C$135,MATCH($L3482,'Category Dictionary'!$D$5:$D$135,0)),"")),OR('Assignment Builder'!$B$8="",$D3482='Assignment Builder'!$B$8),OR('Assignment Builder'!$B$9="",$F3482='Assignment Builder'!$B$9),OR('Assignment Builder'!$B$10="",$O3482='Assignment Builder'!$B$10),OR('Assignment Builder'!$B$11="",$H3482&gt;='Assignment Builder'!$B$11),OR('Assignment Builder'!$B$12="",N($Q3482)&lt;='Assignment Builder'!$B$12)))</f>
        <v/>
      </c>
      <c r="T3482" s="23" t="n"/>
    </row>
    <row r="3483">
      <c r="A3483" s="23" t="n"/>
      <c r="B3483" s="23" t="n"/>
      <c r="C3483" s="24" t="n"/>
      <c r="D3483" s="15" t="n"/>
      <c r="E3483" s="23" t="n"/>
      <c r="F3483" s="15" t="n"/>
      <c r="G3483" s="23" t="n"/>
      <c r="H3483" s="25" t="n"/>
      <c r="I3483" s="15" t="n"/>
      <c r="J3483" s="26">
        <f>IF($A3483="","",LEN($C3483)-LEN(SUBSTITUTE($C3483,",",""))+1)</f>
        <v/>
      </c>
      <c r="K3483" s="26">
        <f>IF($A3483="","",SUMPRODUCT(--ISNUMBER(SEARCH('Category Dictionary'!$D$5:$D$135&amp;"",$C3483)),--('Category Dictionary'!$D$5:$D$135&lt;&gt;"")))</f>
        <v/>
      </c>
      <c r="L3483" s="27">
        <f>IF($A3483="","",TRIM(IF(ISERROR(FIND(",",$C3483)),$C3483,LEFT($C3483,FIND(",",$C3483)-1))))</f>
        <v/>
      </c>
      <c r="M3483" s="28">
        <f>IF($H3483="","",DATE(YEAR($H3483),MONTH($H3483),1))</f>
        <v/>
      </c>
      <c r="N3483" s="26">
        <f>IF($H3483="","",TODAY()-$H3483)</f>
        <v/>
      </c>
      <c r="O3483" s="15" t="n"/>
      <c r="P3483" s="15" t="n"/>
      <c r="Q3483" s="15" t="n"/>
      <c r="R3483" s="25" t="n"/>
      <c r="S3483" s="26">
        <f>IF($A3483="","",AND(OR('Assignment Builder'!$B$5="",$B3483='Assignment Builder'!$B$5),OR('Assignment Builder'!$B$6="",ISNUMBER(SEARCH('Assignment Builder'!$B$6,$C3483))),OR('Assignment Builder'!$B$7="",'Assignment Builder'!$B$7=IFERROR(INDEX('Category Dictionary'!$C$5:$C$135,MATCH($L3483,'Category Dictionary'!$D$5:$D$135,0)),"")),OR('Assignment Builder'!$B$8="",$D3483='Assignment Builder'!$B$8),OR('Assignment Builder'!$B$9="",$F3483='Assignment Builder'!$B$9),OR('Assignment Builder'!$B$10="",$O3483='Assignment Builder'!$B$10),OR('Assignment Builder'!$B$11="",$H3483&gt;='Assignment Builder'!$B$11),OR('Assignment Builder'!$B$12="",N($Q3483)&lt;='Assignment Builder'!$B$12)))</f>
        <v/>
      </c>
      <c r="T3483" s="23" t="n"/>
    </row>
    <row r="3484">
      <c r="A3484" s="23" t="n"/>
      <c r="B3484" s="23" t="n"/>
      <c r="C3484" s="24" t="n"/>
      <c r="D3484" s="15" t="n"/>
      <c r="E3484" s="23" t="n"/>
      <c r="F3484" s="15" t="n"/>
      <c r="G3484" s="23" t="n"/>
      <c r="H3484" s="25" t="n"/>
      <c r="I3484" s="15" t="n"/>
      <c r="J3484" s="26">
        <f>IF($A3484="","",LEN($C3484)-LEN(SUBSTITUTE($C3484,",",""))+1)</f>
        <v/>
      </c>
      <c r="K3484" s="26">
        <f>IF($A3484="","",SUMPRODUCT(--ISNUMBER(SEARCH('Category Dictionary'!$D$5:$D$135&amp;"",$C3484)),--('Category Dictionary'!$D$5:$D$135&lt;&gt;"")))</f>
        <v/>
      </c>
      <c r="L3484" s="27">
        <f>IF($A3484="","",TRIM(IF(ISERROR(FIND(",",$C3484)),$C3484,LEFT($C3484,FIND(",",$C3484)-1))))</f>
        <v/>
      </c>
      <c r="M3484" s="28">
        <f>IF($H3484="","",DATE(YEAR($H3484),MONTH($H3484),1))</f>
        <v/>
      </c>
      <c r="N3484" s="26">
        <f>IF($H3484="","",TODAY()-$H3484)</f>
        <v/>
      </c>
      <c r="O3484" s="15" t="n"/>
      <c r="P3484" s="15" t="n"/>
      <c r="Q3484" s="15" t="n"/>
      <c r="R3484" s="25" t="n"/>
      <c r="S3484" s="26">
        <f>IF($A3484="","",AND(OR('Assignment Builder'!$B$5="",$B3484='Assignment Builder'!$B$5),OR('Assignment Builder'!$B$6="",ISNUMBER(SEARCH('Assignment Builder'!$B$6,$C3484))),OR('Assignment Builder'!$B$7="",'Assignment Builder'!$B$7=IFERROR(INDEX('Category Dictionary'!$C$5:$C$135,MATCH($L3484,'Category Dictionary'!$D$5:$D$135,0)),"")),OR('Assignment Builder'!$B$8="",$D3484='Assignment Builder'!$B$8),OR('Assignment Builder'!$B$9="",$F3484='Assignment Builder'!$B$9),OR('Assignment Builder'!$B$10="",$O3484='Assignment Builder'!$B$10),OR('Assignment Builder'!$B$11="",$H3484&gt;='Assignment Builder'!$B$11),OR('Assignment Builder'!$B$12="",N($Q3484)&lt;='Assignment Builder'!$B$12)))</f>
        <v/>
      </c>
      <c r="T3484" s="23" t="n"/>
    </row>
    <row r="3485">
      <c r="A3485" s="23" t="n"/>
      <c r="B3485" s="23" t="n"/>
      <c r="C3485" s="24" t="n"/>
      <c r="D3485" s="15" t="n"/>
      <c r="E3485" s="23" t="n"/>
      <c r="F3485" s="15" t="n"/>
      <c r="G3485" s="23" t="n"/>
      <c r="H3485" s="25" t="n"/>
      <c r="I3485" s="15" t="n"/>
      <c r="J3485" s="26">
        <f>IF($A3485="","",LEN($C3485)-LEN(SUBSTITUTE($C3485,",",""))+1)</f>
        <v/>
      </c>
      <c r="K3485" s="26">
        <f>IF($A3485="","",SUMPRODUCT(--ISNUMBER(SEARCH('Category Dictionary'!$D$5:$D$135&amp;"",$C3485)),--('Category Dictionary'!$D$5:$D$135&lt;&gt;"")))</f>
        <v/>
      </c>
      <c r="L3485" s="27">
        <f>IF($A3485="","",TRIM(IF(ISERROR(FIND(",",$C3485)),$C3485,LEFT($C3485,FIND(",",$C3485)-1))))</f>
        <v/>
      </c>
      <c r="M3485" s="28">
        <f>IF($H3485="","",DATE(YEAR($H3485),MONTH($H3485),1))</f>
        <v/>
      </c>
      <c r="N3485" s="26">
        <f>IF($H3485="","",TODAY()-$H3485)</f>
        <v/>
      </c>
      <c r="O3485" s="15" t="n"/>
      <c r="P3485" s="15" t="n"/>
      <c r="Q3485" s="15" t="n"/>
      <c r="R3485" s="25" t="n"/>
      <c r="S3485" s="26">
        <f>IF($A3485="","",AND(OR('Assignment Builder'!$B$5="",$B3485='Assignment Builder'!$B$5),OR('Assignment Builder'!$B$6="",ISNUMBER(SEARCH('Assignment Builder'!$B$6,$C3485))),OR('Assignment Builder'!$B$7="",'Assignment Builder'!$B$7=IFERROR(INDEX('Category Dictionary'!$C$5:$C$135,MATCH($L3485,'Category Dictionary'!$D$5:$D$135,0)),"")),OR('Assignment Builder'!$B$8="",$D3485='Assignment Builder'!$B$8),OR('Assignment Builder'!$B$9="",$F3485='Assignment Builder'!$B$9),OR('Assignment Builder'!$B$10="",$O3485='Assignment Builder'!$B$10),OR('Assignment Builder'!$B$11="",$H3485&gt;='Assignment Builder'!$B$11),OR('Assignment Builder'!$B$12="",N($Q3485)&lt;='Assignment Builder'!$B$12)))</f>
        <v/>
      </c>
      <c r="T3485" s="23" t="n"/>
    </row>
    <row r="3486">
      <c r="A3486" s="23" t="n"/>
      <c r="B3486" s="23" t="n"/>
      <c r="C3486" s="24" t="n"/>
      <c r="D3486" s="15" t="n"/>
      <c r="E3486" s="23" t="n"/>
      <c r="F3486" s="15" t="n"/>
      <c r="G3486" s="23" t="n"/>
      <c r="H3486" s="25" t="n"/>
      <c r="I3486" s="15" t="n"/>
      <c r="J3486" s="26">
        <f>IF($A3486="","",LEN($C3486)-LEN(SUBSTITUTE($C3486,",",""))+1)</f>
        <v/>
      </c>
      <c r="K3486" s="26">
        <f>IF($A3486="","",SUMPRODUCT(--ISNUMBER(SEARCH('Category Dictionary'!$D$5:$D$135&amp;"",$C3486)),--('Category Dictionary'!$D$5:$D$135&lt;&gt;"")))</f>
        <v/>
      </c>
      <c r="L3486" s="27">
        <f>IF($A3486="","",TRIM(IF(ISERROR(FIND(",",$C3486)),$C3486,LEFT($C3486,FIND(",",$C3486)-1))))</f>
        <v/>
      </c>
      <c r="M3486" s="28">
        <f>IF($H3486="","",DATE(YEAR($H3486),MONTH($H3486),1))</f>
        <v/>
      </c>
      <c r="N3486" s="26">
        <f>IF($H3486="","",TODAY()-$H3486)</f>
        <v/>
      </c>
      <c r="O3486" s="15" t="n"/>
      <c r="P3486" s="15" t="n"/>
      <c r="Q3486" s="15" t="n"/>
      <c r="R3486" s="25" t="n"/>
      <c r="S3486" s="26">
        <f>IF($A3486="","",AND(OR('Assignment Builder'!$B$5="",$B3486='Assignment Builder'!$B$5),OR('Assignment Builder'!$B$6="",ISNUMBER(SEARCH('Assignment Builder'!$B$6,$C3486))),OR('Assignment Builder'!$B$7="",'Assignment Builder'!$B$7=IFERROR(INDEX('Category Dictionary'!$C$5:$C$135,MATCH($L3486,'Category Dictionary'!$D$5:$D$135,0)),"")),OR('Assignment Builder'!$B$8="",$D3486='Assignment Builder'!$B$8),OR('Assignment Builder'!$B$9="",$F3486='Assignment Builder'!$B$9),OR('Assignment Builder'!$B$10="",$O3486='Assignment Builder'!$B$10),OR('Assignment Builder'!$B$11="",$H3486&gt;='Assignment Builder'!$B$11),OR('Assignment Builder'!$B$12="",N($Q3486)&lt;='Assignment Builder'!$B$12)))</f>
        <v/>
      </c>
      <c r="T3486" s="23" t="n"/>
    </row>
    <row r="3487">
      <c r="A3487" s="23" t="n"/>
      <c r="B3487" s="23" t="n"/>
      <c r="C3487" s="24" t="n"/>
      <c r="D3487" s="15" t="n"/>
      <c r="E3487" s="23" t="n"/>
      <c r="F3487" s="15" t="n"/>
      <c r="G3487" s="23" t="n"/>
      <c r="H3487" s="25" t="n"/>
      <c r="I3487" s="15" t="n"/>
      <c r="J3487" s="26">
        <f>IF($A3487="","",LEN($C3487)-LEN(SUBSTITUTE($C3487,",",""))+1)</f>
        <v/>
      </c>
      <c r="K3487" s="26">
        <f>IF($A3487="","",SUMPRODUCT(--ISNUMBER(SEARCH('Category Dictionary'!$D$5:$D$135&amp;"",$C3487)),--('Category Dictionary'!$D$5:$D$135&lt;&gt;"")))</f>
        <v/>
      </c>
      <c r="L3487" s="27">
        <f>IF($A3487="","",TRIM(IF(ISERROR(FIND(",",$C3487)),$C3487,LEFT($C3487,FIND(",",$C3487)-1))))</f>
        <v/>
      </c>
      <c r="M3487" s="28">
        <f>IF($H3487="","",DATE(YEAR($H3487),MONTH($H3487),1))</f>
        <v/>
      </c>
      <c r="N3487" s="26">
        <f>IF($H3487="","",TODAY()-$H3487)</f>
        <v/>
      </c>
      <c r="O3487" s="15" t="n"/>
      <c r="P3487" s="15" t="n"/>
      <c r="Q3487" s="15" t="n"/>
      <c r="R3487" s="25" t="n"/>
      <c r="S3487" s="26">
        <f>IF($A3487="","",AND(OR('Assignment Builder'!$B$5="",$B3487='Assignment Builder'!$B$5),OR('Assignment Builder'!$B$6="",ISNUMBER(SEARCH('Assignment Builder'!$B$6,$C3487))),OR('Assignment Builder'!$B$7="",'Assignment Builder'!$B$7=IFERROR(INDEX('Category Dictionary'!$C$5:$C$135,MATCH($L3487,'Category Dictionary'!$D$5:$D$135,0)),"")),OR('Assignment Builder'!$B$8="",$D3487='Assignment Builder'!$B$8),OR('Assignment Builder'!$B$9="",$F3487='Assignment Builder'!$B$9),OR('Assignment Builder'!$B$10="",$O3487='Assignment Builder'!$B$10),OR('Assignment Builder'!$B$11="",$H3487&gt;='Assignment Builder'!$B$11),OR('Assignment Builder'!$B$12="",N($Q3487)&lt;='Assignment Builder'!$B$12)))</f>
        <v/>
      </c>
      <c r="T3487" s="23" t="n"/>
    </row>
    <row r="3488">
      <c r="A3488" s="23" t="n"/>
      <c r="B3488" s="23" t="n"/>
      <c r="C3488" s="24" t="n"/>
      <c r="D3488" s="15" t="n"/>
      <c r="E3488" s="23" t="n"/>
      <c r="F3488" s="15" t="n"/>
      <c r="G3488" s="23" t="n"/>
      <c r="H3488" s="25" t="n"/>
      <c r="I3488" s="15" t="n"/>
      <c r="J3488" s="26">
        <f>IF($A3488="","",LEN($C3488)-LEN(SUBSTITUTE($C3488,",",""))+1)</f>
        <v/>
      </c>
      <c r="K3488" s="26">
        <f>IF($A3488="","",SUMPRODUCT(--ISNUMBER(SEARCH('Category Dictionary'!$D$5:$D$135&amp;"",$C3488)),--('Category Dictionary'!$D$5:$D$135&lt;&gt;"")))</f>
        <v/>
      </c>
      <c r="L3488" s="27">
        <f>IF($A3488="","",TRIM(IF(ISERROR(FIND(",",$C3488)),$C3488,LEFT($C3488,FIND(",",$C3488)-1))))</f>
        <v/>
      </c>
      <c r="M3488" s="28">
        <f>IF($H3488="","",DATE(YEAR($H3488),MONTH($H3488),1))</f>
        <v/>
      </c>
      <c r="N3488" s="26">
        <f>IF($H3488="","",TODAY()-$H3488)</f>
        <v/>
      </c>
      <c r="O3488" s="15" t="n"/>
      <c r="P3488" s="15" t="n"/>
      <c r="Q3488" s="15" t="n"/>
      <c r="R3488" s="25" t="n"/>
      <c r="S3488" s="26">
        <f>IF($A3488="","",AND(OR('Assignment Builder'!$B$5="",$B3488='Assignment Builder'!$B$5),OR('Assignment Builder'!$B$6="",ISNUMBER(SEARCH('Assignment Builder'!$B$6,$C3488))),OR('Assignment Builder'!$B$7="",'Assignment Builder'!$B$7=IFERROR(INDEX('Category Dictionary'!$C$5:$C$135,MATCH($L3488,'Category Dictionary'!$D$5:$D$135,0)),"")),OR('Assignment Builder'!$B$8="",$D3488='Assignment Builder'!$B$8),OR('Assignment Builder'!$B$9="",$F3488='Assignment Builder'!$B$9),OR('Assignment Builder'!$B$10="",$O3488='Assignment Builder'!$B$10),OR('Assignment Builder'!$B$11="",$H3488&gt;='Assignment Builder'!$B$11),OR('Assignment Builder'!$B$12="",N($Q3488)&lt;='Assignment Builder'!$B$12)))</f>
        <v/>
      </c>
      <c r="T3488" s="23" t="n"/>
    </row>
    <row r="3489">
      <c r="A3489" s="23" t="n"/>
      <c r="B3489" s="23" t="n"/>
      <c r="C3489" s="24" t="n"/>
      <c r="D3489" s="15" t="n"/>
      <c r="E3489" s="23" t="n"/>
      <c r="F3489" s="15" t="n"/>
      <c r="G3489" s="23" t="n"/>
      <c r="H3489" s="25" t="n"/>
      <c r="I3489" s="15" t="n"/>
      <c r="J3489" s="26">
        <f>IF($A3489="","",LEN($C3489)-LEN(SUBSTITUTE($C3489,",",""))+1)</f>
        <v/>
      </c>
      <c r="K3489" s="26">
        <f>IF($A3489="","",SUMPRODUCT(--ISNUMBER(SEARCH('Category Dictionary'!$D$5:$D$135&amp;"",$C3489)),--('Category Dictionary'!$D$5:$D$135&lt;&gt;"")))</f>
        <v/>
      </c>
      <c r="L3489" s="27">
        <f>IF($A3489="","",TRIM(IF(ISERROR(FIND(",",$C3489)),$C3489,LEFT($C3489,FIND(",",$C3489)-1))))</f>
        <v/>
      </c>
      <c r="M3489" s="28">
        <f>IF($H3489="","",DATE(YEAR($H3489),MONTH($H3489),1))</f>
        <v/>
      </c>
      <c r="N3489" s="26">
        <f>IF($H3489="","",TODAY()-$H3489)</f>
        <v/>
      </c>
      <c r="O3489" s="15" t="n"/>
      <c r="P3489" s="15" t="n"/>
      <c r="Q3489" s="15" t="n"/>
      <c r="R3489" s="25" t="n"/>
      <c r="S3489" s="26">
        <f>IF($A3489="","",AND(OR('Assignment Builder'!$B$5="",$B3489='Assignment Builder'!$B$5),OR('Assignment Builder'!$B$6="",ISNUMBER(SEARCH('Assignment Builder'!$B$6,$C3489))),OR('Assignment Builder'!$B$7="",'Assignment Builder'!$B$7=IFERROR(INDEX('Category Dictionary'!$C$5:$C$135,MATCH($L3489,'Category Dictionary'!$D$5:$D$135,0)),"")),OR('Assignment Builder'!$B$8="",$D3489='Assignment Builder'!$B$8),OR('Assignment Builder'!$B$9="",$F3489='Assignment Builder'!$B$9),OR('Assignment Builder'!$B$10="",$O3489='Assignment Builder'!$B$10),OR('Assignment Builder'!$B$11="",$H3489&gt;='Assignment Builder'!$B$11),OR('Assignment Builder'!$B$12="",N($Q3489)&lt;='Assignment Builder'!$B$12)))</f>
        <v/>
      </c>
      <c r="T3489" s="23" t="n"/>
    </row>
    <row r="3490">
      <c r="A3490" s="23" t="n"/>
      <c r="B3490" s="23" t="n"/>
      <c r="C3490" s="24" t="n"/>
      <c r="D3490" s="15" t="n"/>
      <c r="E3490" s="23" t="n"/>
      <c r="F3490" s="15" t="n"/>
      <c r="G3490" s="23" t="n"/>
      <c r="H3490" s="25" t="n"/>
      <c r="I3490" s="15" t="n"/>
      <c r="J3490" s="26">
        <f>IF($A3490="","",LEN($C3490)-LEN(SUBSTITUTE($C3490,",",""))+1)</f>
        <v/>
      </c>
      <c r="K3490" s="26">
        <f>IF($A3490="","",SUMPRODUCT(--ISNUMBER(SEARCH('Category Dictionary'!$D$5:$D$135&amp;"",$C3490)),--('Category Dictionary'!$D$5:$D$135&lt;&gt;"")))</f>
        <v/>
      </c>
      <c r="L3490" s="27">
        <f>IF($A3490="","",TRIM(IF(ISERROR(FIND(",",$C3490)),$C3490,LEFT($C3490,FIND(",",$C3490)-1))))</f>
        <v/>
      </c>
      <c r="M3490" s="28">
        <f>IF($H3490="","",DATE(YEAR($H3490),MONTH($H3490),1))</f>
        <v/>
      </c>
      <c r="N3490" s="26">
        <f>IF($H3490="","",TODAY()-$H3490)</f>
        <v/>
      </c>
      <c r="O3490" s="15" t="n"/>
      <c r="P3490" s="15" t="n"/>
      <c r="Q3490" s="15" t="n"/>
      <c r="R3490" s="25" t="n"/>
      <c r="S3490" s="26">
        <f>IF($A3490="","",AND(OR('Assignment Builder'!$B$5="",$B3490='Assignment Builder'!$B$5),OR('Assignment Builder'!$B$6="",ISNUMBER(SEARCH('Assignment Builder'!$B$6,$C3490))),OR('Assignment Builder'!$B$7="",'Assignment Builder'!$B$7=IFERROR(INDEX('Category Dictionary'!$C$5:$C$135,MATCH($L3490,'Category Dictionary'!$D$5:$D$135,0)),"")),OR('Assignment Builder'!$B$8="",$D3490='Assignment Builder'!$B$8),OR('Assignment Builder'!$B$9="",$F3490='Assignment Builder'!$B$9),OR('Assignment Builder'!$B$10="",$O3490='Assignment Builder'!$B$10),OR('Assignment Builder'!$B$11="",$H3490&gt;='Assignment Builder'!$B$11),OR('Assignment Builder'!$B$12="",N($Q3490)&lt;='Assignment Builder'!$B$12)))</f>
        <v/>
      </c>
      <c r="T3490" s="23" t="n"/>
    </row>
    <row r="3491">
      <c r="A3491" s="23" t="n"/>
      <c r="B3491" s="23" t="n"/>
      <c r="C3491" s="24" t="n"/>
      <c r="D3491" s="15" t="n"/>
      <c r="E3491" s="23" t="n"/>
      <c r="F3491" s="15" t="n"/>
      <c r="G3491" s="23" t="n"/>
      <c r="H3491" s="25" t="n"/>
      <c r="I3491" s="15" t="n"/>
      <c r="J3491" s="26">
        <f>IF($A3491="","",LEN($C3491)-LEN(SUBSTITUTE($C3491,",",""))+1)</f>
        <v/>
      </c>
      <c r="K3491" s="26">
        <f>IF($A3491="","",SUMPRODUCT(--ISNUMBER(SEARCH('Category Dictionary'!$D$5:$D$135&amp;"",$C3491)),--('Category Dictionary'!$D$5:$D$135&lt;&gt;"")))</f>
        <v/>
      </c>
      <c r="L3491" s="27">
        <f>IF($A3491="","",TRIM(IF(ISERROR(FIND(",",$C3491)),$C3491,LEFT($C3491,FIND(",",$C3491)-1))))</f>
        <v/>
      </c>
      <c r="M3491" s="28">
        <f>IF($H3491="","",DATE(YEAR($H3491),MONTH($H3491),1))</f>
        <v/>
      </c>
      <c r="N3491" s="26">
        <f>IF($H3491="","",TODAY()-$H3491)</f>
        <v/>
      </c>
      <c r="O3491" s="15" t="n"/>
      <c r="P3491" s="15" t="n"/>
      <c r="Q3491" s="15" t="n"/>
      <c r="R3491" s="25" t="n"/>
      <c r="S3491" s="26">
        <f>IF($A3491="","",AND(OR('Assignment Builder'!$B$5="",$B3491='Assignment Builder'!$B$5),OR('Assignment Builder'!$B$6="",ISNUMBER(SEARCH('Assignment Builder'!$B$6,$C3491))),OR('Assignment Builder'!$B$7="",'Assignment Builder'!$B$7=IFERROR(INDEX('Category Dictionary'!$C$5:$C$135,MATCH($L3491,'Category Dictionary'!$D$5:$D$135,0)),"")),OR('Assignment Builder'!$B$8="",$D3491='Assignment Builder'!$B$8),OR('Assignment Builder'!$B$9="",$F3491='Assignment Builder'!$B$9),OR('Assignment Builder'!$B$10="",$O3491='Assignment Builder'!$B$10),OR('Assignment Builder'!$B$11="",$H3491&gt;='Assignment Builder'!$B$11),OR('Assignment Builder'!$B$12="",N($Q3491)&lt;='Assignment Builder'!$B$12)))</f>
        <v/>
      </c>
      <c r="T3491" s="23" t="n"/>
    </row>
    <row r="3492">
      <c r="A3492" s="23" t="n"/>
      <c r="B3492" s="23" t="n"/>
      <c r="C3492" s="24" t="n"/>
      <c r="D3492" s="15" t="n"/>
      <c r="E3492" s="23" t="n"/>
      <c r="F3492" s="15" t="n"/>
      <c r="G3492" s="23" t="n"/>
      <c r="H3492" s="25" t="n"/>
      <c r="I3492" s="15" t="n"/>
      <c r="J3492" s="26">
        <f>IF($A3492="","",LEN($C3492)-LEN(SUBSTITUTE($C3492,",",""))+1)</f>
        <v/>
      </c>
      <c r="K3492" s="26">
        <f>IF($A3492="","",SUMPRODUCT(--ISNUMBER(SEARCH('Category Dictionary'!$D$5:$D$135&amp;"",$C3492)),--('Category Dictionary'!$D$5:$D$135&lt;&gt;"")))</f>
        <v/>
      </c>
      <c r="L3492" s="27">
        <f>IF($A3492="","",TRIM(IF(ISERROR(FIND(",",$C3492)),$C3492,LEFT($C3492,FIND(",",$C3492)-1))))</f>
        <v/>
      </c>
      <c r="M3492" s="28">
        <f>IF($H3492="","",DATE(YEAR($H3492),MONTH($H3492),1))</f>
        <v/>
      </c>
      <c r="N3492" s="26">
        <f>IF($H3492="","",TODAY()-$H3492)</f>
        <v/>
      </c>
      <c r="O3492" s="15" t="n"/>
      <c r="P3492" s="15" t="n"/>
      <c r="Q3492" s="15" t="n"/>
      <c r="R3492" s="25" t="n"/>
      <c r="S3492" s="26">
        <f>IF($A3492="","",AND(OR('Assignment Builder'!$B$5="",$B3492='Assignment Builder'!$B$5),OR('Assignment Builder'!$B$6="",ISNUMBER(SEARCH('Assignment Builder'!$B$6,$C3492))),OR('Assignment Builder'!$B$7="",'Assignment Builder'!$B$7=IFERROR(INDEX('Category Dictionary'!$C$5:$C$135,MATCH($L3492,'Category Dictionary'!$D$5:$D$135,0)),"")),OR('Assignment Builder'!$B$8="",$D3492='Assignment Builder'!$B$8),OR('Assignment Builder'!$B$9="",$F3492='Assignment Builder'!$B$9),OR('Assignment Builder'!$B$10="",$O3492='Assignment Builder'!$B$10),OR('Assignment Builder'!$B$11="",$H3492&gt;='Assignment Builder'!$B$11),OR('Assignment Builder'!$B$12="",N($Q3492)&lt;='Assignment Builder'!$B$12)))</f>
        <v/>
      </c>
      <c r="T3492" s="23" t="n"/>
    </row>
    <row r="3493">
      <c r="A3493" s="23" t="n"/>
      <c r="B3493" s="23" t="n"/>
      <c r="C3493" s="24" t="n"/>
      <c r="D3493" s="15" t="n"/>
      <c r="E3493" s="23" t="n"/>
      <c r="F3493" s="15" t="n"/>
      <c r="G3493" s="23" t="n"/>
      <c r="H3493" s="25" t="n"/>
      <c r="I3493" s="15" t="n"/>
      <c r="J3493" s="26">
        <f>IF($A3493="","",LEN($C3493)-LEN(SUBSTITUTE($C3493,",",""))+1)</f>
        <v/>
      </c>
      <c r="K3493" s="26">
        <f>IF($A3493="","",SUMPRODUCT(--ISNUMBER(SEARCH('Category Dictionary'!$D$5:$D$135&amp;"",$C3493)),--('Category Dictionary'!$D$5:$D$135&lt;&gt;"")))</f>
        <v/>
      </c>
      <c r="L3493" s="27">
        <f>IF($A3493="","",TRIM(IF(ISERROR(FIND(",",$C3493)),$C3493,LEFT($C3493,FIND(",",$C3493)-1))))</f>
        <v/>
      </c>
      <c r="M3493" s="28">
        <f>IF($H3493="","",DATE(YEAR($H3493),MONTH($H3493),1))</f>
        <v/>
      </c>
      <c r="N3493" s="26">
        <f>IF($H3493="","",TODAY()-$H3493)</f>
        <v/>
      </c>
      <c r="O3493" s="15" t="n"/>
      <c r="P3493" s="15" t="n"/>
      <c r="Q3493" s="15" t="n"/>
      <c r="R3493" s="25" t="n"/>
      <c r="S3493" s="26">
        <f>IF($A3493="","",AND(OR('Assignment Builder'!$B$5="",$B3493='Assignment Builder'!$B$5),OR('Assignment Builder'!$B$6="",ISNUMBER(SEARCH('Assignment Builder'!$B$6,$C3493))),OR('Assignment Builder'!$B$7="",'Assignment Builder'!$B$7=IFERROR(INDEX('Category Dictionary'!$C$5:$C$135,MATCH($L3493,'Category Dictionary'!$D$5:$D$135,0)),"")),OR('Assignment Builder'!$B$8="",$D3493='Assignment Builder'!$B$8),OR('Assignment Builder'!$B$9="",$F3493='Assignment Builder'!$B$9),OR('Assignment Builder'!$B$10="",$O3493='Assignment Builder'!$B$10),OR('Assignment Builder'!$B$11="",$H3493&gt;='Assignment Builder'!$B$11),OR('Assignment Builder'!$B$12="",N($Q3493)&lt;='Assignment Builder'!$B$12)))</f>
        <v/>
      </c>
      <c r="T3493" s="23" t="n"/>
    </row>
    <row r="3494">
      <c r="A3494" s="23" t="n"/>
      <c r="B3494" s="23" t="n"/>
      <c r="C3494" s="24" t="n"/>
      <c r="D3494" s="15" t="n"/>
      <c r="E3494" s="23" t="n"/>
      <c r="F3494" s="15" t="n"/>
      <c r="G3494" s="23" t="n"/>
      <c r="H3494" s="25" t="n"/>
      <c r="I3494" s="15" t="n"/>
      <c r="J3494" s="26">
        <f>IF($A3494="","",LEN($C3494)-LEN(SUBSTITUTE($C3494,",",""))+1)</f>
        <v/>
      </c>
      <c r="K3494" s="26">
        <f>IF($A3494="","",SUMPRODUCT(--ISNUMBER(SEARCH('Category Dictionary'!$D$5:$D$135&amp;"",$C3494)),--('Category Dictionary'!$D$5:$D$135&lt;&gt;"")))</f>
        <v/>
      </c>
      <c r="L3494" s="27">
        <f>IF($A3494="","",TRIM(IF(ISERROR(FIND(",",$C3494)),$C3494,LEFT($C3494,FIND(",",$C3494)-1))))</f>
        <v/>
      </c>
      <c r="M3494" s="28">
        <f>IF($H3494="","",DATE(YEAR($H3494),MONTH($H3494),1))</f>
        <v/>
      </c>
      <c r="N3494" s="26">
        <f>IF($H3494="","",TODAY()-$H3494)</f>
        <v/>
      </c>
      <c r="O3494" s="15" t="n"/>
      <c r="P3494" s="15" t="n"/>
      <c r="Q3494" s="15" t="n"/>
      <c r="R3494" s="25" t="n"/>
      <c r="S3494" s="26">
        <f>IF($A3494="","",AND(OR('Assignment Builder'!$B$5="",$B3494='Assignment Builder'!$B$5),OR('Assignment Builder'!$B$6="",ISNUMBER(SEARCH('Assignment Builder'!$B$6,$C3494))),OR('Assignment Builder'!$B$7="",'Assignment Builder'!$B$7=IFERROR(INDEX('Category Dictionary'!$C$5:$C$135,MATCH($L3494,'Category Dictionary'!$D$5:$D$135,0)),"")),OR('Assignment Builder'!$B$8="",$D3494='Assignment Builder'!$B$8),OR('Assignment Builder'!$B$9="",$F3494='Assignment Builder'!$B$9),OR('Assignment Builder'!$B$10="",$O3494='Assignment Builder'!$B$10),OR('Assignment Builder'!$B$11="",$H3494&gt;='Assignment Builder'!$B$11),OR('Assignment Builder'!$B$12="",N($Q3494)&lt;='Assignment Builder'!$B$12)))</f>
        <v/>
      </c>
      <c r="T3494" s="23" t="n"/>
    </row>
    <row r="3495">
      <c r="A3495" s="23" t="n"/>
      <c r="B3495" s="23" t="n"/>
      <c r="C3495" s="24" t="n"/>
      <c r="D3495" s="15" t="n"/>
      <c r="E3495" s="23" t="n"/>
      <c r="F3495" s="15" t="n"/>
      <c r="G3495" s="23" t="n"/>
      <c r="H3495" s="25" t="n"/>
      <c r="I3495" s="15" t="n"/>
      <c r="J3495" s="26">
        <f>IF($A3495="","",LEN($C3495)-LEN(SUBSTITUTE($C3495,",",""))+1)</f>
        <v/>
      </c>
      <c r="K3495" s="26">
        <f>IF($A3495="","",SUMPRODUCT(--ISNUMBER(SEARCH('Category Dictionary'!$D$5:$D$135&amp;"",$C3495)),--('Category Dictionary'!$D$5:$D$135&lt;&gt;"")))</f>
        <v/>
      </c>
      <c r="L3495" s="27">
        <f>IF($A3495="","",TRIM(IF(ISERROR(FIND(",",$C3495)),$C3495,LEFT($C3495,FIND(",",$C3495)-1))))</f>
        <v/>
      </c>
      <c r="M3495" s="28">
        <f>IF($H3495="","",DATE(YEAR($H3495),MONTH($H3495),1))</f>
        <v/>
      </c>
      <c r="N3495" s="26">
        <f>IF($H3495="","",TODAY()-$H3495)</f>
        <v/>
      </c>
      <c r="O3495" s="15" t="n"/>
      <c r="P3495" s="15" t="n"/>
      <c r="Q3495" s="15" t="n"/>
      <c r="R3495" s="25" t="n"/>
      <c r="S3495" s="26">
        <f>IF($A3495="","",AND(OR('Assignment Builder'!$B$5="",$B3495='Assignment Builder'!$B$5),OR('Assignment Builder'!$B$6="",ISNUMBER(SEARCH('Assignment Builder'!$B$6,$C3495))),OR('Assignment Builder'!$B$7="",'Assignment Builder'!$B$7=IFERROR(INDEX('Category Dictionary'!$C$5:$C$135,MATCH($L3495,'Category Dictionary'!$D$5:$D$135,0)),"")),OR('Assignment Builder'!$B$8="",$D3495='Assignment Builder'!$B$8),OR('Assignment Builder'!$B$9="",$F3495='Assignment Builder'!$B$9),OR('Assignment Builder'!$B$10="",$O3495='Assignment Builder'!$B$10),OR('Assignment Builder'!$B$11="",$H3495&gt;='Assignment Builder'!$B$11),OR('Assignment Builder'!$B$12="",N($Q3495)&lt;='Assignment Builder'!$B$12)))</f>
        <v/>
      </c>
      <c r="T3495" s="23" t="n"/>
    </row>
    <row r="3496">
      <c r="A3496" s="23" t="n"/>
      <c r="B3496" s="23" t="n"/>
      <c r="C3496" s="24" t="n"/>
      <c r="D3496" s="15" t="n"/>
      <c r="E3496" s="23" t="n"/>
      <c r="F3496" s="15" t="n"/>
      <c r="G3496" s="23" t="n"/>
      <c r="H3496" s="25" t="n"/>
      <c r="I3496" s="15" t="n"/>
      <c r="J3496" s="26">
        <f>IF($A3496="","",LEN($C3496)-LEN(SUBSTITUTE($C3496,",",""))+1)</f>
        <v/>
      </c>
      <c r="K3496" s="26">
        <f>IF($A3496="","",SUMPRODUCT(--ISNUMBER(SEARCH('Category Dictionary'!$D$5:$D$135&amp;"",$C3496)),--('Category Dictionary'!$D$5:$D$135&lt;&gt;"")))</f>
        <v/>
      </c>
      <c r="L3496" s="27">
        <f>IF($A3496="","",TRIM(IF(ISERROR(FIND(",",$C3496)),$C3496,LEFT($C3496,FIND(",",$C3496)-1))))</f>
        <v/>
      </c>
      <c r="M3496" s="28">
        <f>IF($H3496="","",DATE(YEAR($H3496),MONTH($H3496),1))</f>
        <v/>
      </c>
      <c r="N3496" s="26">
        <f>IF($H3496="","",TODAY()-$H3496)</f>
        <v/>
      </c>
      <c r="O3496" s="15" t="n"/>
      <c r="P3496" s="15" t="n"/>
      <c r="Q3496" s="15" t="n"/>
      <c r="R3496" s="25" t="n"/>
      <c r="S3496" s="26">
        <f>IF($A3496="","",AND(OR('Assignment Builder'!$B$5="",$B3496='Assignment Builder'!$B$5),OR('Assignment Builder'!$B$6="",ISNUMBER(SEARCH('Assignment Builder'!$B$6,$C3496))),OR('Assignment Builder'!$B$7="",'Assignment Builder'!$B$7=IFERROR(INDEX('Category Dictionary'!$C$5:$C$135,MATCH($L3496,'Category Dictionary'!$D$5:$D$135,0)),"")),OR('Assignment Builder'!$B$8="",$D3496='Assignment Builder'!$B$8),OR('Assignment Builder'!$B$9="",$F3496='Assignment Builder'!$B$9),OR('Assignment Builder'!$B$10="",$O3496='Assignment Builder'!$B$10),OR('Assignment Builder'!$B$11="",$H3496&gt;='Assignment Builder'!$B$11),OR('Assignment Builder'!$B$12="",N($Q3496)&lt;='Assignment Builder'!$B$12)))</f>
        <v/>
      </c>
      <c r="T3496" s="23" t="n"/>
    </row>
    <row r="3497">
      <c r="A3497" s="23" t="n"/>
      <c r="B3497" s="23" t="n"/>
      <c r="C3497" s="24" t="n"/>
      <c r="D3497" s="15" t="n"/>
      <c r="E3497" s="23" t="n"/>
      <c r="F3497" s="15" t="n"/>
      <c r="G3497" s="23" t="n"/>
      <c r="H3497" s="25" t="n"/>
      <c r="I3497" s="15" t="n"/>
      <c r="J3497" s="26">
        <f>IF($A3497="","",LEN($C3497)-LEN(SUBSTITUTE($C3497,",",""))+1)</f>
        <v/>
      </c>
      <c r="K3497" s="26">
        <f>IF($A3497="","",SUMPRODUCT(--ISNUMBER(SEARCH('Category Dictionary'!$D$5:$D$135&amp;"",$C3497)),--('Category Dictionary'!$D$5:$D$135&lt;&gt;"")))</f>
        <v/>
      </c>
      <c r="L3497" s="27">
        <f>IF($A3497="","",TRIM(IF(ISERROR(FIND(",",$C3497)),$C3497,LEFT($C3497,FIND(",",$C3497)-1))))</f>
        <v/>
      </c>
      <c r="M3497" s="28">
        <f>IF($H3497="","",DATE(YEAR($H3497),MONTH($H3497),1))</f>
        <v/>
      </c>
      <c r="N3497" s="26">
        <f>IF($H3497="","",TODAY()-$H3497)</f>
        <v/>
      </c>
      <c r="O3497" s="15" t="n"/>
      <c r="P3497" s="15" t="n"/>
      <c r="Q3497" s="15" t="n"/>
      <c r="R3497" s="25" t="n"/>
      <c r="S3497" s="26">
        <f>IF($A3497="","",AND(OR('Assignment Builder'!$B$5="",$B3497='Assignment Builder'!$B$5),OR('Assignment Builder'!$B$6="",ISNUMBER(SEARCH('Assignment Builder'!$B$6,$C3497))),OR('Assignment Builder'!$B$7="",'Assignment Builder'!$B$7=IFERROR(INDEX('Category Dictionary'!$C$5:$C$135,MATCH($L3497,'Category Dictionary'!$D$5:$D$135,0)),"")),OR('Assignment Builder'!$B$8="",$D3497='Assignment Builder'!$B$8),OR('Assignment Builder'!$B$9="",$F3497='Assignment Builder'!$B$9),OR('Assignment Builder'!$B$10="",$O3497='Assignment Builder'!$B$10),OR('Assignment Builder'!$B$11="",$H3497&gt;='Assignment Builder'!$B$11),OR('Assignment Builder'!$B$12="",N($Q3497)&lt;='Assignment Builder'!$B$12)))</f>
        <v/>
      </c>
      <c r="T3497" s="23" t="n"/>
    </row>
    <row r="3498">
      <c r="A3498" s="23" t="n"/>
      <c r="B3498" s="23" t="n"/>
      <c r="C3498" s="24" t="n"/>
      <c r="D3498" s="15" t="n"/>
      <c r="E3498" s="23" t="n"/>
      <c r="F3498" s="15" t="n"/>
      <c r="G3498" s="23" t="n"/>
      <c r="H3498" s="25" t="n"/>
      <c r="I3498" s="15" t="n"/>
      <c r="J3498" s="26">
        <f>IF($A3498="","",LEN($C3498)-LEN(SUBSTITUTE($C3498,",",""))+1)</f>
        <v/>
      </c>
      <c r="K3498" s="26">
        <f>IF($A3498="","",SUMPRODUCT(--ISNUMBER(SEARCH('Category Dictionary'!$D$5:$D$135&amp;"",$C3498)),--('Category Dictionary'!$D$5:$D$135&lt;&gt;"")))</f>
        <v/>
      </c>
      <c r="L3498" s="27">
        <f>IF($A3498="","",TRIM(IF(ISERROR(FIND(",",$C3498)),$C3498,LEFT($C3498,FIND(",",$C3498)-1))))</f>
        <v/>
      </c>
      <c r="M3498" s="28">
        <f>IF($H3498="","",DATE(YEAR($H3498),MONTH($H3498),1))</f>
        <v/>
      </c>
      <c r="N3498" s="26">
        <f>IF($H3498="","",TODAY()-$H3498)</f>
        <v/>
      </c>
      <c r="O3498" s="15" t="n"/>
      <c r="P3498" s="15" t="n"/>
      <c r="Q3498" s="15" t="n"/>
      <c r="R3498" s="25" t="n"/>
      <c r="S3498" s="26">
        <f>IF($A3498="","",AND(OR('Assignment Builder'!$B$5="",$B3498='Assignment Builder'!$B$5),OR('Assignment Builder'!$B$6="",ISNUMBER(SEARCH('Assignment Builder'!$B$6,$C3498))),OR('Assignment Builder'!$B$7="",'Assignment Builder'!$B$7=IFERROR(INDEX('Category Dictionary'!$C$5:$C$135,MATCH($L3498,'Category Dictionary'!$D$5:$D$135,0)),"")),OR('Assignment Builder'!$B$8="",$D3498='Assignment Builder'!$B$8),OR('Assignment Builder'!$B$9="",$F3498='Assignment Builder'!$B$9),OR('Assignment Builder'!$B$10="",$O3498='Assignment Builder'!$B$10),OR('Assignment Builder'!$B$11="",$H3498&gt;='Assignment Builder'!$B$11),OR('Assignment Builder'!$B$12="",N($Q3498)&lt;='Assignment Builder'!$B$12)))</f>
        <v/>
      </c>
      <c r="T3498" s="23" t="n"/>
    </row>
    <row r="3499">
      <c r="A3499" s="23" t="n"/>
      <c r="B3499" s="23" t="n"/>
      <c r="C3499" s="24" t="n"/>
      <c r="D3499" s="15" t="n"/>
      <c r="E3499" s="23" t="n"/>
      <c r="F3499" s="15" t="n"/>
      <c r="G3499" s="23" t="n"/>
      <c r="H3499" s="25" t="n"/>
      <c r="I3499" s="15" t="n"/>
      <c r="J3499" s="26">
        <f>IF($A3499="","",LEN($C3499)-LEN(SUBSTITUTE($C3499,",",""))+1)</f>
        <v/>
      </c>
      <c r="K3499" s="26">
        <f>IF($A3499="","",SUMPRODUCT(--ISNUMBER(SEARCH('Category Dictionary'!$D$5:$D$135&amp;"",$C3499)),--('Category Dictionary'!$D$5:$D$135&lt;&gt;"")))</f>
        <v/>
      </c>
      <c r="L3499" s="27">
        <f>IF($A3499="","",TRIM(IF(ISERROR(FIND(",",$C3499)),$C3499,LEFT($C3499,FIND(",",$C3499)-1))))</f>
        <v/>
      </c>
      <c r="M3499" s="28">
        <f>IF($H3499="","",DATE(YEAR($H3499),MONTH($H3499),1))</f>
        <v/>
      </c>
      <c r="N3499" s="26">
        <f>IF($H3499="","",TODAY()-$H3499)</f>
        <v/>
      </c>
      <c r="O3499" s="15" t="n"/>
      <c r="P3499" s="15" t="n"/>
      <c r="Q3499" s="15" t="n"/>
      <c r="R3499" s="25" t="n"/>
      <c r="S3499" s="26">
        <f>IF($A3499="","",AND(OR('Assignment Builder'!$B$5="",$B3499='Assignment Builder'!$B$5),OR('Assignment Builder'!$B$6="",ISNUMBER(SEARCH('Assignment Builder'!$B$6,$C3499))),OR('Assignment Builder'!$B$7="",'Assignment Builder'!$B$7=IFERROR(INDEX('Category Dictionary'!$C$5:$C$135,MATCH($L3499,'Category Dictionary'!$D$5:$D$135,0)),"")),OR('Assignment Builder'!$B$8="",$D3499='Assignment Builder'!$B$8),OR('Assignment Builder'!$B$9="",$F3499='Assignment Builder'!$B$9),OR('Assignment Builder'!$B$10="",$O3499='Assignment Builder'!$B$10),OR('Assignment Builder'!$B$11="",$H3499&gt;='Assignment Builder'!$B$11),OR('Assignment Builder'!$B$12="",N($Q3499)&lt;='Assignment Builder'!$B$12)))</f>
        <v/>
      </c>
      <c r="T3499" s="23" t="n"/>
    </row>
    <row r="3500">
      <c r="A3500" s="23" t="n"/>
      <c r="B3500" s="23" t="n"/>
      <c r="C3500" s="24" t="n"/>
      <c r="D3500" s="15" t="n"/>
      <c r="E3500" s="23" t="n"/>
      <c r="F3500" s="15" t="n"/>
      <c r="G3500" s="23" t="n"/>
      <c r="H3500" s="25" t="n"/>
      <c r="I3500" s="15" t="n"/>
      <c r="J3500" s="26">
        <f>IF($A3500="","",LEN($C3500)-LEN(SUBSTITUTE($C3500,",",""))+1)</f>
        <v/>
      </c>
      <c r="K3500" s="26">
        <f>IF($A3500="","",SUMPRODUCT(--ISNUMBER(SEARCH('Category Dictionary'!$D$5:$D$135&amp;"",$C3500)),--('Category Dictionary'!$D$5:$D$135&lt;&gt;"")))</f>
        <v/>
      </c>
      <c r="L3500" s="27">
        <f>IF($A3500="","",TRIM(IF(ISERROR(FIND(",",$C3500)),$C3500,LEFT($C3500,FIND(",",$C3500)-1))))</f>
        <v/>
      </c>
      <c r="M3500" s="28">
        <f>IF($H3500="","",DATE(YEAR($H3500),MONTH($H3500),1))</f>
        <v/>
      </c>
      <c r="N3500" s="26">
        <f>IF($H3500="","",TODAY()-$H3500)</f>
        <v/>
      </c>
      <c r="O3500" s="15" t="n"/>
      <c r="P3500" s="15" t="n"/>
      <c r="Q3500" s="15" t="n"/>
      <c r="R3500" s="25" t="n"/>
      <c r="S3500" s="26">
        <f>IF($A3500="","",AND(OR('Assignment Builder'!$B$5="",$B3500='Assignment Builder'!$B$5),OR('Assignment Builder'!$B$6="",ISNUMBER(SEARCH('Assignment Builder'!$B$6,$C3500))),OR('Assignment Builder'!$B$7="",'Assignment Builder'!$B$7=IFERROR(INDEX('Category Dictionary'!$C$5:$C$135,MATCH($L3500,'Category Dictionary'!$D$5:$D$135,0)),"")),OR('Assignment Builder'!$B$8="",$D3500='Assignment Builder'!$B$8),OR('Assignment Builder'!$B$9="",$F3500='Assignment Builder'!$B$9),OR('Assignment Builder'!$B$10="",$O3500='Assignment Builder'!$B$10),OR('Assignment Builder'!$B$11="",$H3500&gt;='Assignment Builder'!$B$11),OR('Assignment Builder'!$B$12="",N($Q3500)&lt;='Assignment Builder'!$B$12)))</f>
        <v/>
      </c>
      <c r="T3500" s="23" t="n"/>
    </row>
    <row r="3501">
      <c r="A3501" s="23" t="n"/>
      <c r="B3501" s="23" t="n"/>
      <c r="C3501" s="24" t="n"/>
      <c r="D3501" s="15" t="n"/>
      <c r="E3501" s="23" t="n"/>
      <c r="F3501" s="15" t="n"/>
      <c r="G3501" s="23" t="n"/>
      <c r="H3501" s="25" t="n"/>
      <c r="I3501" s="15" t="n"/>
      <c r="J3501" s="26">
        <f>IF($A3501="","",LEN($C3501)-LEN(SUBSTITUTE($C3501,",",""))+1)</f>
        <v/>
      </c>
      <c r="K3501" s="26">
        <f>IF($A3501="","",SUMPRODUCT(--ISNUMBER(SEARCH('Category Dictionary'!$D$5:$D$135&amp;"",$C3501)),--('Category Dictionary'!$D$5:$D$135&lt;&gt;"")))</f>
        <v/>
      </c>
      <c r="L3501" s="27">
        <f>IF($A3501="","",TRIM(IF(ISERROR(FIND(",",$C3501)),$C3501,LEFT($C3501,FIND(",",$C3501)-1))))</f>
        <v/>
      </c>
      <c r="M3501" s="28">
        <f>IF($H3501="","",DATE(YEAR($H3501),MONTH($H3501),1))</f>
        <v/>
      </c>
      <c r="N3501" s="26">
        <f>IF($H3501="","",TODAY()-$H3501)</f>
        <v/>
      </c>
      <c r="O3501" s="15" t="n"/>
      <c r="P3501" s="15" t="n"/>
      <c r="Q3501" s="15" t="n"/>
      <c r="R3501" s="25" t="n"/>
      <c r="S3501" s="26">
        <f>IF($A3501="","",AND(OR('Assignment Builder'!$B$5="",$B3501='Assignment Builder'!$B$5),OR('Assignment Builder'!$B$6="",ISNUMBER(SEARCH('Assignment Builder'!$B$6,$C3501))),OR('Assignment Builder'!$B$7="",'Assignment Builder'!$B$7=IFERROR(INDEX('Category Dictionary'!$C$5:$C$135,MATCH($L3501,'Category Dictionary'!$D$5:$D$135,0)),"")),OR('Assignment Builder'!$B$8="",$D3501='Assignment Builder'!$B$8),OR('Assignment Builder'!$B$9="",$F3501='Assignment Builder'!$B$9),OR('Assignment Builder'!$B$10="",$O3501='Assignment Builder'!$B$10),OR('Assignment Builder'!$B$11="",$H3501&gt;='Assignment Builder'!$B$11),OR('Assignment Builder'!$B$12="",N($Q3501)&lt;='Assignment Builder'!$B$12)))</f>
        <v/>
      </c>
      <c r="T3501" s="23" t="n"/>
    </row>
    <row r="3502">
      <c r="A3502" s="23" t="n"/>
      <c r="B3502" s="23" t="n"/>
      <c r="C3502" s="24" t="n"/>
      <c r="D3502" s="15" t="n"/>
      <c r="E3502" s="23" t="n"/>
      <c r="F3502" s="15" t="n"/>
      <c r="G3502" s="23" t="n"/>
      <c r="H3502" s="25" t="n"/>
      <c r="I3502" s="15" t="n"/>
      <c r="J3502" s="26">
        <f>IF($A3502="","",LEN($C3502)-LEN(SUBSTITUTE($C3502,",",""))+1)</f>
        <v/>
      </c>
      <c r="K3502" s="26">
        <f>IF($A3502="","",SUMPRODUCT(--ISNUMBER(SEARCH('Category Dictionary'!$D$5:$D$135&amp;"",$C3502)),--('Category Dictionary'!$D$5:$D$135&lt;&gt;"")))</f>
        <v/>
      </c>
      <c r="L3502" s="27">
        <f>IF($A3502="","",TRIM(IF(ISERROR(FIND(",",$C3502)),$C3502,LEFT($C3502,FIND(",",$C3502)-1))))</f>
        <v/>
      </c>
      <c r="M3502" s="28">
        <f>IF($H3502="","",DATE(YEAR($H3502),MONTH($H3502),1))</f>
        <v/>
      </c>
      <c r="N3502" s="26">
        <f>IF($H3502="","",TODAY()-$H3502)</f>
        <v/>
      </c>
      <c r="O3502" s="15" t="n"/>
      <c r="P3502" s="15" t="n"/>
      <c r="Q3502" s="15" t="n"/>
      <c r="R3502" s="25" t="n"/>
      <c r="S3502" s="26">
        <f>IF($A3502="","",AND(OR('Assignment Builder'!$B$5="",$B3502='Assignment Builder'!$B$5),OR('Assignment Builder'!$B$6="",ISNUMBER(SEARCH('Assignment Builder'!$B$6,$C3502))),OR('Assignment Builder'!$B$7="",'Assignment Builder'!$B$7=IFERROR(INDEX('Category Dictionary'!$C$5:$C$135,MATCH($L3502,'Category Dictionary'!$D$5:$D$135,0)),"")),OR('Assignment Builder'!$B$8="",$D3502='Assignment Builder'!$B$8),OR('Assignment Builder'!$B$9="",$F3502='Assignment Builder'!$B$9),OR('Assignment Builder'!$B$10="",$O3502='Assignment Builder'!$B$10),OR('Assignment Builder'!$B$11="",$H3502&gt;='Assignment Builder'!$B$11),OR('Assignment Builder'!$B$12="",N($Q3502)&lt;='Assignment Builder'!$B$12)))</f>
        <v/>
      </c>
      <c r="T3502" s="23" t="n"/>
    </row>
    <row r="3503">
      <c r="A3503" s="23" t="n"/>
      <c r="B3503" s="23" t="n"/>
      <c r="C3503" s="24" t="n"/>
      <c r="D3503" s="15" t="n"/>
      <c r="E3503" s="23" t="n"/>
      <c r="F3503" s="15" t="n"/>
      <c r="G3503" s="23" t="n"/>
      <c r="H3503" s="25" t="n"/>
      <c r="I3503" s="15" t="n"/>
      <c r="J3503" s="26">
        <f>IF($A3503="","",LEN($C3503)-LEN(SUBSTITUTE($C3503,",",""))+1)</f>
        <v/>
      </c>
      <c r="K3503" s="26">
        <f>IF($A3503="","",SUMPRODUCT(--ISNUMBER(SEARCH('Category Dictionary'!$D$5:$D$135&amp;"",$C3503)),--('Category Dictionary'!$D$5:$D$135&lt;&gt;"")))</f>
        <v/>
      </c>
      <c r="L3503" s="27">
        <f>IF($A3503="","",TRIM(IF(ISERROR(FIND(",",$C3503)),$C3503,LEFT($C3503,FIND(",",$C3503)-1))))</f>
        <v/>
      </c>
      <c r="M3503" s="28">
        <f>IF($H3503="","",DATE(YEAR($H3503),MONTH($H3503),1))</f>
        <v/>
      </c>
      <c r="N3503" s="26">
        <f>IF($H3503="","",TODAY()-$H3503)</f>
        <v/>
      </c>
      <c r="O3503" s="15" t="n"/>
      <c r="P3503" s="15" t="n"/>
      <c r="Q3503" s="15" t="n"/>
      <c r="R3503" s="25" t="n"/>
      <c r="S3503" s="26">
        <f>IF($A3503="","",AND(OR('Assignment Builder'!$B$5="",$B3503='Assignment Builder'!$B$5),OR('Assignment Builder'!$B$6="",ISNUMBER(SEARCH('Assignment Builder'!$B$6,$C3503))),OR('Assignment Builder'!$B$7="",'Assignment Builder'!$B$7=IFERROR(INDEX('Category Dictionary'!$C$5:$C$135,MATCH($L3503,'Category Dictionary'!$D$5:$D$135,0)),"")),OR('Assignment Builder'!$B$8="",$D3503='Assignment Builder'!$B$8),OR('Assignment Builder'!$B$9="",$F3503='Assignment Builder'!$B$9),OR('Assignment Builder'!$B$10="",$O3503='Assignment Builder'!$B$10),OR('Assignment Builder'!$B$11="",$H3503&gt;='Assignment Builder'!$B$11),OR('Assignment Builder'!$B$12="",N($Q3503)&lt;='Assignment Builder'!$B$12)))</f>
        <v/>
      </c>
      <c r="T3503" s="23" t="n"/>
    </row>
    <row r="3504">
      <c r="A3504" s="23" t="n"/>
      <c r="B3504" s="23" t="n"/>
      <c r="C3504" s="24" t="n"/>
      <c r="D3504" s="15" t="n"/>
      <c r="E3504" s="23" t="n"/>
      <c r="F3504" s="15" t="n"/>
      <c r="G3504" s="23" t="n"/>
      <c r="H3504" s="25" t="n"/>
      <c r="I3504" s="15" t="n"/>
      <c r="J3504" s="26">
        <f>IF($A3504="","",LEN($C3504)-LEN(SUBSTITUTE($C3504,",",""))+1)</f>
        <v/>
      </c>
      <c r="K3504" s="26">
        <f>IF($A3504="","",SUMPRODUCT(--ISNUMBER(SEARCH('Category Dictionary'!$D$5:$D$135&amp;"",$C3504)),--('Category Dictionary'!$D$5:$D$135&lt;&gt;"")))</f>
        <v/>
      </c>
      <c r="L3504" s="27">
        <f>IF($A3504="","",TRIM(IF(ISERROR(FIND(",",$C3504)),$C3504,LEFT($C3504,FIND(",",$C3504)-1))))</f>
        <v/>
      </c>
      <c r="M3504" s="28">
        <f>IF($H3504="","",DATE(YEAR($H3504),MONTH($H3504),1))</f>
        <v/>
      </c>
      <c r="N3504" s="26">
        <f>IF($H3504="","",TODAY()-$H3504)</f>
        <v/>
      </c>
      <c r="O3504" s="15" t="n"/>
      <c r="P3504" s="15" t="n"/>
      <c r="Q3504" s="15" t="n"/>
      <c r="R3504" s="25" t="n"/>
      <c r="S3504" s="26">
        <f>IF($A3504="","",AND(OR('Assignment Builder'!$B$5="",$B3504='Assignment Builder'!$B$5),OR('Assignment Builder'!$B$6="",ISNUMBER(SEARCH('Assignment Builder'!$B$6,$C3504))),OR('Assignment Builder'!$B$7="",'Assignment Builder'!$B$7=IFERROR(INDEX('Category Dictionary'!$C$5:$C$135,MATCH($L3504,'Category Dictionary'!$D$5:$D$135,0)),"")),OR('Assignment Builder'!$B$8="",$D3504='Assignment Builder'!$B$8),OR('Assignment Builder'!$B$9="",$F3504='Assignment Builder'!$B$9),OR('Assignment Builder'!$B$10="",$O3504='Assignment Builder'!$B$10),OR('Assignment Builder'!$B$11="",$H3504&gt;='Assignment Builder'!$B$11),OR('Assignment Builder'!$B$12="",N($Q3504)&lt;='Assignment Builder'!$B$12)))</f>
        <v/>
      </c>
      <c r="T3504" s="23" t="n"/>
    </row>
    <row r="3505">
      <c r="A3505" s="23" t="n"/>
      <c r="B3505" s="23" t="n"/>
      <c r="C3505" s="24" t="n"/>
      <c r="D3505" s="15" t="n"/>
      <c r="E3505" s="23" t="n"/>
      <c r="F3505" s="15" t="n"/>
      <c r="G3505" s="23" t="n"/>
      <c r="H3505" s="25" t="n"/>
      <c r="I3505" s="15" t="n"/>
      <c r="J3505" s="26">
        <f>IF($A3505="","",LEN($C3505)-LEN(SUBSTITUTE($C3505,",",""))+1)</f>
        <v/>
      </c>
      <c r="K3505" s="26">
        <f>IF($A3505="","",SUMPRODUCT(--ISNUMBER(SEARCH('Category Dictionary'!$D$5:$D$135&amp;"",$C3505)),--('Category Dictionary'!$D$5:$D$135&lt;&gt;"")))</f>
        <v/>
      </c>
      <c r="L3505" s="27">
        <f>IF($A3505="","",TRIM(IF(ISERROR(FIND(",",$C3505)),$C3505,LEFT($C3505,FIND(",",$C3505)-1))))</f>
        <v/>
      </c>
      <c r="M3505" s="28">
        <f>IF($H3505="","",DATE(YEAR($H3505),MONTH($H3505),1))</f>
        <v/>
      </c>
      <c r="N3505" s="26">
        <f>IF($H3505="","",TODAY()-$H3505)</f>
        <v/>
      </c>
      <c r="O3505" s="15" t="n"/>
      <c r="P3505" s="15" t="n"/>
      <c r="Q3505" s="15" t="n"/>
      <c r="R3505" s="25" t="n"/>
      <c r="S3505" s="26">
        <f>IF($A3505="","",AND(OR('Assignment Builder'!$B$5="",$B3505='Assignment Builder'!$B$5),OR('Assignment Builder'!$B$6="",ISNUMBER(SEARCH('Assignment Builder'!$B$6,$C3505))),OR('Assignment Builder'!$B$7="",'Assignment Builder'!$B$7=IFERROR(INDEX('Category Dictionary'!$C$5:$C$135,MATCH($L3505,'Category Dictionary'!$D$5:$D$135,0)),"")),OR('Assignment Builder'!$B$8="",$D3505='Assignment Builder'!$B$8),OR('Assignment Builder'!$B$9="",$F3505='Assignment Builder'!$B$9),OR('Assignment Builder'!$B$10="",$O3505='Assignment Builder'!$B$10),OR('Assignment Builder'!$B$11="",$H3505&gt;='Assignment Builder'!$B$11),OR('Assignment Builder'!$B$12="",N($Q3505)&lt;='Assignment Builder'!$B$12)))</f>
        <v/>
      </c>
      <c r="T3505" s="23" t="n"/>
    </row>
    <row r="3506">
      <c r="A3506" s="23" t="n"/>
      <c r="B3506" s="23" t="n"/>
      <c r="C3506" s="24" t="n"/>
      <c r="D3506" s="15" t="n"/>
      <c r="E3506" s="23" t="n"/>
      <c r="F3506" s="15" t="n"/>
      <c r="G3506" s="23" t="n"/>
      <c r="H3506" s="25" t="n"/>
      <c r="I3506" s="15" t="n"/>
      <c r="J3506" s="26">
        <f>IF($A3506="","",LEN($C3506)-LEN(SUBSTITUTE($C3506,",",""))+1)</f>
        <v/>
      </c>
      <c r="K3506" s="26">
        <f>IF($A3506="","",SUMPRODUCT(--ISNUMBER(SEARCH('Category Dictionary'!$D$5:$D$135&amp;"",$C3506)),--('Category Dictionary'!$D$5:$D$135&lt;&gt;"")))</f>
        <v/>
      </c>
      <c r="L3506" s="27">
        <f>IF($A3506="","",TRIM(IF(ISERROR(FIND(",",$C3506)),$C3506,LEFT($C3506,FIND(",",$C3506)-1))))</f>
        <v/>
      </c>
      <c r="M3506" s="28">
        <f>IF($H3506="","",DATE(YEAR($H3506),MONTH($H3506),1))</f>
        <v/>
      </c>
      <c r="N3506" s="26">
        <f>IF($H3506="","",TODAY()-$H3506)</f>
        <v/>
      </c>
      <c r="O3506" s="15" t="n"/>
      <c r="P3506" s="15" t="n"/>
      <c r="Q3506" s="15" t="n"/>
      <c r="R3506" s="25" t="n"/>
      <c r="S3506" s="26">
        <f>IF($A3506="","",AND(OR('Assignment Builder'!$B$5="",$B3506='Assignment Builder'!$B$5),OR('Assignment Builder'!$B$6="",ISNUMBER(SEARCH('Assignment Builder'!$B$6,$C3506))),OR('Assignment Builder'!$B$7="",'Assignment Builder'!$B$7=IFERROR(INDEX('Category Dictionary'!$C$5:$C$135,MATCH($L3506,'Category Dictionary'!$D$5:$D$135,0)),"")),OR('Assignment Builder'!$B$8="",$D3506='Assignment Builder'!$B$8),OR('Assignment Builder'!$B$9="",$F3506='Assignment Builder'!$B$9),OR('Assignment Builder'!$B$10="",$O3506='Assignment Builder'!$B$10),OR('Assignment Builder'!$B$11="",$H3506&gt;='Assignment Builder'!$B$11),OR('Assignment Builder'!$B$12="",N($Q3506)&lt;='Assignment Builder'!$B$12)))</f>
        <v/>
      </c>
      <c r="T3506" s="23" t="n"/>
    </row>
    <row r="3507">
      <c r="A3507" s="23" t="n"/>
      <c r="B3507" s="23" t="n"/>
      <c r="C3507" s="24" t="n"/>
      <c r="D3507" s="15" t="n"/>
      <c r="E3507" s="23" t="n"/>
      <c r="F3507" s="15" t="n"/>
      <c r="G3507" s="23" t="n"/>
      <c r="H3507" s="25" t="n"/>
      <c r="I3507" s="15" t="n"/>
      <c r="J3507" s="26">
        <f>IF($A3507="","",LEN($C3507)-LEN(SUBSTITUTE($C3507,",",""))+1)</f>
        <v/>
      </c>
      <c r="K3507" s="26">
        <f>IF($A3507="","",SUMPRODUCT(--ISNUMBER(SEARCH('Category Dictionary'!$D$5:$D$135&amp;"",$C3507)),--('Category Dictionary'!$D$5:$D$135&lt;&gt;"")))</f>
        <v/>
      </c>
      <c r="L3507" s="27">
        <f>IF($A3507="","",TRIM(IF(ISERROR(FIND(",",$C3507)),$C3507,LEFT($C3507,FIND(",",$C3507)-1))))</f>
        <v/>
      </c>
      <c r="M3507" s="28">
        <f>IF($H3507="","",DATE(YEAR($H3507),MONTH($H3507),1))</f>
        <v/>
      </c>
      <c r="N3507" s="26">
        <f>IF($H3507="","",TODAY()-$H3507)</f>
        <v/>
      </c>
      <c r="O3507" s="15" t="n"/>
      <c r="P3507" s="15" t="n"/>
      <c r="Q3507" s="15" t="n"/>
      <c r="R3507" s="25" t="n"/>
      <c r="S3507" s="26">
        <f>IF($A3507="","",AND(OR('Assignment Builder'!$B$5="",$B3507='Assignment Builder'!$B$5),OR('Assignment Builder'!$B$6="",ISNUMBER(SEARCH('Assignment Builder'!$B$6,$C3507))),OR('Assignment Builder'!$B$7="",'Assignment Builder'!$B$7=IFERROR(INDEX('Category Dictionary'!$C$5:$C$135,MATCH($L3507,'Category Dictionary'!$D$5:$D$135,0)),"")),OR('Assignment Builder'!$B$8="",$D3507='Assignment Builder'!$B$8),OR('Assignment Builder'!$B$9="",$F3507='Assignment Builder'!$B$9),OR('Assignment Builder'!$B$10="",$O3507='Assignment Builder'!$B$10),OR('Assignment Builder'!$B$11="",$H3507&gt;='Assignment Builder'!$B$11),OR('Assignment Builder'!$B$12="",N($Q3507)&lt;='Assignment Builder'!$B$12)))</f>
        <v/>
      </c>
      <c r="T3507" s="23" t="n"/>
    </row>
    <row r="3508">
      <c r="A3508" s="23" t="n"/>
      <c r="B3508" s="23" t="n"/>
      <c r="C3508" s="24" t="n"/>
      <c r="D3508" s="15" t="n"/>
      <c r="E3508" s="23" t="n"/>
      <c r="F3508" s="15" t="n"/>
      <c r="G3508" s="23" t="n"/>
      <c r="H3508" s="25" t="n"/>
      <c r="I3508" s="15" t="n"/>
      <c r="J3508" s="26">
        <f>IF($A3508="","",LEN($C3508)-LEN(SUBSTITUTE($C3508,",",""))+1)</f>
        <v/>
      </c>
      <c r="K3508" s="26">
        <f>IF($A3508="","",SUMPRODUCT(--ISNUMBER(SEARCH('Category Dictionary'!$D$5:$D$135&amp;"",$C3508)),--('Category Dictionary'!$D$5:$D$135&lt;&gt;"")))</f>
        <v/>
      </c>
      <c r="L3508" s="27">
        <f>IF($A3508="","",TRIM(IF(ISERROR(FIND(",",$C3508)),$C3508,LEFT($C3508,FIND(",",$C3508)-1))))</f>
        <v/>
      </c>
      <c r="M3508" s="28">
        <f>IF($H3508="","",DATE(YEAR($H3508),MONTH($H3508),1))</f>
        <v/>
      </c>
      <c r="N3508" s="26">
        <f>IF($H3508="","",TODAY()-$H3508)</f>
        <v/>
      </c>
      <c r="O3508" s="15" t="n"/>
      <c r="P3508" s="15" t="n"/>
      <c r="Q3508" s="15" t="n"/>
      <c r="R3508" s="25" t="n"/>
      <c r="S3508" s="26">
        <f>IF($A3508="","",AND(OR('Assignment Builder'!$B$5="",$B3508='Assignment Builder'!$B$5),OR('Assignment Builder'!$B$6="",ISNUMBER(SEARCH('Assignment Builder'!$B$6,$C3508))),OR('Assignment Builder'!$B$7="",'Assignment Builder'!$B$7=IFERROR(INDEX('Category Dictionary'!$C$5:$C$135,MATCH($L3508,'Category Dictionary'!$D$5:$D$135,0)),"")),OR('Assignment Builder'!$B$8="",$D3508='Assignment Builder'!$B$8),OR('Assignment Builder'!$B$9="",$F3508='Assignment Builder'!$B$9),OR('Assignment Builder'!$B$10="",$O3508='Assignment Builder'!$B$10),OR('Assignment Builder'!$B$11="",$H3508&gt;='Assignment Builder'!$B$11),OR('Assignment Builder'!$B$12="",N($Q3508)&lt;='Assignment Builder'!$B$12)))</f>
        <v/>
      </c>
      <c r="T3508" s="23" t="n"/>
    </row>
    <row r="3509">
      <c r="A3509" s="23" t="n"/>
      <c r="B3509" s="23" t="n"/>
      <c r="C3509" s="24" t="n"/>
      <c r="D3509" s="15" t="n"/>
      <c r="E3509" s="23" t="n"/>
      <c r="F3509" s="15" t="n"/>
      <c r="G3509" s="23" t="n"/>
      <c r="H3509" s="25" t="n"/>
      <c r="I3509" s="15" t="n"/>
      <c r="J3509" s="26">
        <f>IF($A3509="","",LEN($C3509)-LEN(SUBSTITUTE($C3509,",",""))+1)</f>
        <v/>
      </c>
      <c r="K3509" s="26">
        <f>IF($A3509="","",SUMPRODUCT(--ISNUMBER(SEARCH('Category Dictionary'!$D$5:$D$135&amp;"",$C3509)),--('Category Dictionary'!$D$5:$D$135&lt;&gt;"")))</f>
        <v/>
      </c>
      <c r="L3509" s="27">
        <f>IF($A3509="","",TRIM(IF(ISERROR(FIND(",",$C3509)),$C3509,LEFT($C3509,FIND(",",$C3509)-1))))</f>
        <v/>
      </c>
      <c r="M3509" s="28">
        <f>IF($H3509="","",DATE(YEAR($H3509),MONTH($H3509),1))</f>
        <v/>
      </c>
      <c r="N3509" s="26">
        <f>IF($H3509="","",TODAY()-$H3509)</f>
        <v/>
      </c>
      <c r="O3509" s="15" t="n"/>
      <c r="P3509" s="15" t="n"/>
      <c r="Q3509" s="15" t="n"/>
      <c r="R3509" s="25" t="n"/>
      <c r="S3509" s="26">
        <f>IF($A3509="","",AND(OR('Assignment Builder'!$B$5="",$B3509='Assignment Builder'!$B$5),OR('Assignment Builder'!$B$6="",ISNUMBER(SEARCH('Assignment Builder'!$B$6,$C3509))),OR('Assignment Builder'!$B$7="",'Assignment Builder'!$B$7=IFERROR(INDEX('Category Dictionary'!$C$5:$C$135,MATCH($L3509,'Category Dictionary'!$D$5:$D$135,0)),"")),OR('Assignment Builder'!$B$8="",$D3509='Assignment Builder'!$B$8),OR('Assignment Builder'!$B$9="",$F3509='Assignment Builder'!$B$9),OR('Assignment Builder'!$B$10="",$O3509='Assignment Builder'!$B$10),OR('Assignment Builder'!$B$11="",$H3509&gt;='Assignment Builder'!$B$11),OR('Assignment Builder'!$B$12="",N($Q3509)&lt;='Assignment Builder'!$B$12)))</f>
        <v/>
      </c>
      <c r="T3509" s="23" t="n"/>
    </row>
    <row r="3510">
      <c r="A3510" s="23" t="n"/>
      <c r="B3510" s="23" t="n"/>
      <c r="C3510" s="24" t="n"/>
      <c r="D3510" s="15" t="n"/>
      <c r="E3510" s="23" t="n"/>
      <c r="F3510" s="15" t="n"/>
      <c r="G3510" s="23" t="n"/>
      <c r="H3510" s="25" t="n"/>
      <c r="I3510" s="15" t="n"/>
      <c r="J3510" s="26">
        <f>IF($A3510="","",LEN($C3510)-LEN(SUBSTITUTE($C3510,",",""))+1)</f>
        <v/>
      </c>
      <c r="K3510" s="26">
        <f>IF($A3510="","",SUMPRODUCT(--ISNUMBER(SEARCH('Category Dictionary'!$D$5:$D$135&amp;"",$C3510)),--('Category Dictionary'!$D$5:$D$135&lt;&gt;"")))</f>
        <v/>
      </c>
      <c r="L3510" s="27">
        <f>IF($A3510="","",TRIM(IF(ISERROR(FIND(",",$C3510)),$C3510,LEFT($C3510,FIND(",",$C3510)-1))))</f>
        <v/>
      </c>
      <c r="M3510" s="28">
        <f>IF($H3510="","",DATE(YEAR($H3510),MONTH($H3510),1))</f>
        <v/>
      </c>
      <c r="N3510" s="26">
        <f>IF($H3510="","",TODAY()-$H3510)</f>
        <v/>
      </c>
      <c r="O3510" s="15" t="n"/>
      <c r="P3510" s="15" t="n"/>
      <c r="Q3510" s="15" t="n"/>
      <c r="R3510" s="25" t="n"/>
      <c r="S3510" s="26">
        <f>IF($A3510="","",AND(OR('Assignment Builder'!$B$5="",$B3510='Assignment Builder'!$B$5),OR('Assignment Builder'!$B$6="",ISNUMBER(SEARCH('Assignment Builder'!$B$6,$C3510))),OR('Assignment Builder'!$B$7="",'Assignment Builder'!$B$7=IFERROR(INDEX('Category Dictionary'!$C$5:$C$135,MATCH($L3510,'Category Dictionary'!$D$5:$D$135,0)),"")),OR('Assignment Builder'!$B$8="",$D3510='Assignment Builder'!$B$8),OR('Assignment Builder'!$B$9="",$F3510='Assignment Builder'!$B$9),OR('Assignment Builder'!$B$10="",$O3510='Assignment Builder'!$B$10),OR('Assignment Builder'!$B$11="",$H3510&gt;='Assignment Builder'!$B$11),OR('Assignment Builder'!$B$12="",N($Q3510)&lt;='Assignment Builder'!$B$12)))</f>
        <v/>
      </c>
      <c r="T3510" s="23" t="n"/>
    </row>
    <row r="3511">
      <c r="A3511" s="23" t="n"/>
      <c r="B3511" s="23" t="n"/>
      <c r="C3511" s="24" t="n"/>
      <c r="D3511" s="15" t="n"/>
      <c r="E3511" s="23" t="n"/>
      <c r="F3511" s="15" t="n"/>
      <c r="G3511" s="23" t="n"/>
      <c r="H3511" s="25" t="n"/>
      <c r="I3511" s="15" t="n"/>
      <c r="J3511" s="26">
        <f>IF($A3511="","",LEN($C3511)-LEN(SUBSTITUTE($C3511,",",""))+1)</f>
        <v/>
      </c>
      <c r="K3511" s="26">
        <f>IF($A3511="","",SUMPRODUCT(--ISNUMBER(SEARCH('Category Dictionary'!$D$5:$D$135&amp;"",$C3511)),--('Category Dictionary'!$D$5:$D$135&lt;&gt;"")))</f>
        <v/>
      </c>
      <c r="L3511" s="27">
        <f>IF($A3511="","",TRIM(IF(ISERROR(FIND(",",$C3511)),$C3511,LEFT($C3511,FIND(",",$C3511)-1))))</f>
        <v/>
      </c>
      <c r="M3511" s="28">
        <f>IF($H3511="","",DATE(YEAR($H3511),MONTH($H3511),1))</f>
        <v/>
      </c>
      <c r="N3511" s="26">
        <f>IF($H3511="","",TODAY()-$H3511)</f>
        <v/>
      </c>
      <c r="O3511" s="15" t="n"/>
      <c r="P3511" s="15" t="n"/>
      <c r="Q3511" s="15" t="n"/>
      <c r="R3511" s="25" t="n"/>
      <c r="S3511" s="26">
        <f>IF($A3511="","",AND(OR('Assignment Builder'!$B$5="",$B3511='Assignment Builder'!$B$5),OR('Assignment Builder'!$B$6="",ISNUMBER(SEARCH('Assignment Builder'!$B$6,$C3511))),OR('Assignment Builder'!$B$7="",'Assignment Builder'!$B$7=IFERROR(INDEX('Category Dictionary'!$C$5:$C$135,MATCH($L3511,'Category Dictionary'!$D$5:$D$135,0)),"")),OR('Assignment Builder'!$B$8="",$D3511='Assignment Builder'!$B$8),OR('Assignment Builder'!$B$9="",$F3511='Assignment Builder'!$B$9),OR('Assignment Builder'!$B$10="",$O3511='Assignment Builder'!$B$10),OR('Assignment Builder'!$B$11="",$H3511&gt;='Assignment Builder'!$B$11),OR('Assignment Builder'!$B$12="",N($Q3511)&lt;='Assignment Builder'!$B$12)))</f>
        <v/>
      </c>
      <c r="T3511" s="23" t="n"/>
    </row>
    <row r="3512">
      <c r="A3512" s="23" t="n"/>
      <c r="B3512" s="23" t="n"/>
      <c r="C3512" s="24" t="n"/>
      <c r="D3512" s="15" t="n"/>
      <c r="E3512" s="23" t="n"/>
      <c r="F3512" s="15" t="n"/>
      <c r="G3512" s="23" t="n"/>
      <c r="H3512" s="25" t="n"/>
      <c r="I3512" s="15" t="n"/>
      <c r="J3512" s="26">
        <f>IF($A3512="","",LEN($C3512)-LEN(SUBSTITUTE($C3512,",",""))+1)</f>
        <v/>
      </c>
      <c r="K3512" s="26">
        <f>IF($A3512="","",SUMPRODUCT(--ISNUMBER(SEARCH('Category Dictionary'!$D$5:$D$135&amp;"",$C3512)),--('Category Dictionary'!$D$5:$D$135&lt;&gt;"")))</f>
        <v/>
      </c>
      <c r="L3512" s="27">
        <f>IF($A3512="","",TRIM(IF(ISERROR(FIND(",",$C3512)),$C3512,LEFT($C3512,FIND(",",$C3512)-1))))</f>
        <v/>
      </c>
      <c r="M3512" s="28">
        <f>IF($H3512="","",DATE(YEAR($H3512),MONTH($H3512),1))</f>
        <v/>
      </c>
      <c r="N3512" s="26">
        <f>IF($H3512="","",TODAY()-$H3512)</f>
        <v/>
      </c>
      <c r="O3512" s="15" t="n"/>
      <c r="P3512" s="15" t="n"/>
      <c r="Q3512" s="15" t="n"/>
      <c r="R3512" s="25" t="n"/>
      <c r="S3512" s="26">
        <f>IF($A3512="","",AND(OR('Assignment Builder'!$B$5="",$B3512='Assignment Builder'!$B$5),OR('Assignment Builder'!$B$6="",ISNUMBER(SEARCH('Assignment Builder'!$B$6,$C3512))),OR('Assignment Builder'!$B$7="",'Assignment Builder'!$B$7=IFERROR(INDEX('Category Dictionary'!$C$5:$C$135,MATCH($L3512,'Category Dictionary'!$D$5:$D$135,0)),"")),OR('Assignment Builder'!$B$8="",$D3512='Assignment Builder'!$B$8),OR('Assignment Builder'!$B$9="",$F3512='Assignment Builder'!$B$9),OR('Assignment Builder'!$B$10="",$O3512='Assignment Builder'!$B$10),OR('Assignment Builder'!$B$11="",$H3512&gt;='Assignment Builder'!$B$11),OR('Assignment Builder'!$B$12="",N($Q3512)&lt;='Assignment Builder'!$B$12)))</f>
        <v/>
      </c>
      <c r="T3512" s="23" t="n"/>
    </row>
    <row r="3513">
      <c r="A3513" s="23" t="n"/>
      <c r="B3513" s="23" t="n"/>
      <c r="C3513" s="24" t="n"/>
      <c r="D3513" s="15" t="n"/>
      <c r="E3513" s="23" t="n"/>
      <c r="F3513" s="15" t="n"/>
      <c r="G3513" s="23" t="n"/>
      <c r="H3513" s="25" t="n"/>
      <c r="I3513" s="15" t="n"/>
      <c r="J3513" s="26">
        <f>IF($A3513="","",LEN($C3513)-LEN(SUBSTITUTE($C3513,",",""))+1)</f>
        <v/>
      </c>
      <c r="K3513" s="26">
        <f>IF($A3513="","",SUMPRODUCT(--ISNUMBER(SEARCH('Category Dictionary'!$D$5:$D$135&amp;"",$C3513)),--('Category Dictionary'!$D$5:$D$135&lt;&gt;"")))</f>
        <v/>
      </c>
      <c r="L3513" s="27">
        <f>IF($A3513="","",TRIM(IF(ISERROR(FIND(",",$C3513)),$C3513,LEFT($C3513,FIND(",",$C3513)-1))))</f>
        <v/>
      </c>
      <c r="M3513" s="28">
        <f>IF($H3513="","",DATE(YEAR($H3513),MONTH($H3513),1))</f>
        <v/>
      </c>
      <c r="N3513" s="26">
        <f>IF($H3513="","",TODAY()-$H3513)</f>
        <v/>
      </c>
      <c r="O3513" s="15" t="n"/>
      <c r="P3513" s="15" t="n"/>
      <c r="Q3513" s="15" t="n"/>
      <c r="R3513" s="25" t="n"/>
      <c r="S3513" s="26">
        <f>IF($A3513="","",AND(OR('Assignment Builder'!$B$5="",$B3513='Assignment Builder'!$B$5),OR('Assignment Builder'!$B$6="",ISNUMBER(SEARCH('Assignment Builder'!$B$6,$C3513))),OR('Assignment Builder'!$B$7="",'Assignment Builder'!$B$7=IFERROR(INDEX('Category Dictionary'!$C$5:$C$135,MATCH($L3513,'Category Dictionary'!$D$5:$D$135,0)),"")),OR('Assignment Builder'!$B$8="",$D3513='Assignment Builder'!$B$8),OR('Assignment Builder'!$B$9="",$F3513='Assignment Builder'!$B$9),OR('Assignment Builder'!$B$10="",$O3513='Assignment Builder'!$B$10),OR('Assignment Builder'!$B$11="",$H3513&gt;='Assignment Builder'!$B$11),OR('Assignment Builder'!$B$12="",N($Q3513)&lt;='Assignment Builder'!$B$12)))</f>
        <v/>
      </c>
      <c r="T3513" s="23" t="n"/>
    </row>
    <row r="3514">
      <c r="A3514" s="23" t="n"/>
      <c r="B3514" s="23" t="n"/>
      <c r="C3514" s="24" t="n"/>
      <c r="D3514" s="15" t="n"/>
      <c r="E3514" s="23" t="n"/>
      <c r="F3514" s="15" t="n"/>
      <c r="G3514" s="23" t="n"/>
      <c r="H3514" s="25" t="n"/>
      <c r="I3514" s="15" t="n"/>
      <c r="J3514" s="26">
        <f>IF($A3514="","",LEN($C3514)-LEN(SUBSTITUTE($C3514,",",""))+1)</f>
        <v/>
      </c>
      <c r="K3514" s="26">
        <f>IF($A3514="","",SUMPRODUCT(--ISNUMBER(SEARCH('Category Dictionary'!$D$5:$D$135&amp;"",$C3514)),--('Category Dictionary'!$D$5:$D$135&lt;&gt;"")))</f>
        <v/>
      </c>
      <c r="L3514" s="27">
        <f>IF($A3514="","",TRIM(IF(ISERROR(FIND(",",$C3514)),$C3514,LEFT($C3514,FIND(",",$C3514)-1))))</f>
        <v/>
      </c>
      <c r="M3514" s="28">
        <f>IF($H3514="","",DATE(YEAR($H3514),MONTH($H3514),1))</f>
        <v/>
      </c>
      <c r="N3514" s="26">
        <f>IF($H3514="","",TODAY()-$H3514)</f>
        <v/>
      </c>
      <c r="O3514" s="15" t="n"/>
      <c r="P3514" s="15" t="n"/>
      <c r="Q3514" s="15" t="n"/>
      <c r="R3514" s="25" t="n"/>
      <c r="S3514" s="26">
        <f>IF($A3514="","",AND(OR('Assignment Builder'!$B$5="",$B3514='Assignment Builder'!$B$5),OR('Assignment Builder'!$B$6="",ISNUMBER(SEARCH('Assignment Builder'!$B$6,$C3514))),OR('Assignment Builder'!$B$7="",'Assignment Builder'!$B$7=IFERROR(INDEX('Category Dictionary'!$C$5:$C$135,MATCH($L3514,'Category Dictionary'!$D$5:$D$135,0)),"")),OR('Assignment Builder'!$B$8="",$D3514='Assignment Builder'!$B$8),OR('Assignment Builder'!$B$9="",$F3514='Assignment Builder'!$B$9),OR('Assignment Builder'!$B$10="",$O3514='Assignment Builder'!$B$10),OR('Assignment Builder'!$B$11="",$H3514&gt;='Assignment Builder'!$B$11),OR('Assignment Builder'!$B$12="",N($Q3514)&lt;='Assignment Builder'!$B$12)))</f>
        <v/>
      </c>
      <c r="T3514" s="23" t="n"/>
    </row>
    <row r="3515">
      <c r="A3515" s="23" t="n"/>
      <c r="B3515" s="23" t="n"/>
      <c r="C3515" s="24" t="n"/>
      <c r="D3515" s="15" t="n"/>
      <c r="E3515" s="23" t="n"/>
      <c r="F3515" s="15" t="n"/>
      <c r="G3515" s="23" t="n"/>
      <c r="H3515" s="25" t="n"/>
      <c r="I3515" s="15" t="n"/>
      <c r="J3515" s="26">
        <f>IF($A3515="","",LEN($C3515)-LEN(SUBSTITUTE($C3515,",",""))+1)</f>
        <v/>
      </c>
      <c r="K3515" s="26">
        <f>IF($A3515="","",SUMPRODUCT(--ISNUMBER(SEARCH('Category Dictionary'!$D$5:$D$135&amp;"",$C3515)),--('Category Dictionary'!$D$5:$D$135&lt;&gt;"")))</f>
        <v/>
      </c>
      <c r="L3515" s="27">
        <f>IF($A3515="","",TRIM(IF(ISERROR(FIND(",",$C3515)),$C3515,LEFT($C3515,FIND(",",$C3515)-1))))</f>
        <v/>
      </c>
      <c r="M3515" s="28">
        <f>IF($H3515="","",DATE(YEAR($H3515),MONTH($H3515),1))</f>
        <v/>
      </c>
      <c r="N3515" s="26">
        <f>IF($H3515="","",TODAY()-$H3515)</f>
        <v/>
      </c>
      <c r="O3515" s="15" t="n"/>
      <c r="P3515" s="15" t="n"/>
      <c r="Q3515" s="15" t="n"/>
      <c r="R3515" s="25" t="n"/>
      <c r="S3515" s="26">
        <f>IF($A3515="","",AND(OR('Assignment Builder'!$B$5="",$B3515='Assignment Builder'!$B$5),OR('Assignment Builder'!$B$6="",ISNUMBER(SEARCH('Assignment Builder'!$B$6,$C3515))),OR('Assignment Builder'!$B$7="",'Assignment Builder'!$B$7=IFERROR(INDEX('Category Dictionary'!$C$5:$C$135,MATCH($L3515,'Category Dictionary'!$D$5:$D$135,0)),"")),OR('Assignment Builder'!$B$8="",$D3515='Assignment Builder'!$B$8),OR('Assignment Builder'!$B$9="",$F3515='Assignment Builder'!$B$9),OR('Assignment Builder'!$B$10="",$O3515='Assignment Builder'!$B$10),OR('Assignment Builder'!$B$11="",$H3515&gt;='Assignment Builder'!$B$11),OR('Assignment Builder'!$B$12="",N($Q3515)&lt;='Assignment Builder'!$B$12)))</f>
        <v/>
      </c>
      <c r="T3515" s="23" t="n"/>
    </row>
    <row r="3516">
      <c r="A3516" s="23" t="n"/>
      <c r="B3516" s="23" t="n"/>
      <c r="C3516" s="24" t="n"/>
      <c r="D3516" s="15" t="n"/>
      <c r="E3516" s="23" t="n"/>
      <c r="F3516" s="15" t="n"/>
      <c r="G3516" s="23" t="n"/>
      <c r="H3516" s="25" t="n"/>
      <c r="I3516" s="15" t="n"/>
      <c r="J3516" s="26">
        <f>IF($A3516="","",LEN($C3516)-LEN(SUBSTITUTE($C3516,",",""))+1)</f>
        <v/>
      </c>
      <c r="K3516" s="26">
        <f>IF($A3516="","",SUMPRODUCT(--ISNUMBER(SEARCH('Category Dictionary'!$D$5:$D$135&amp;"",$C3516)),--('Category Dictionary'!$D$5:$D$135&lt;&gt;"")))</f>
        <v/>
      </c>
      <c r="L3516" s="27">
        <f>IF($A3516="","",TRIM(IF(ISERROR(FIND(",",$C3516)),$C3516,LEFT($C3516,FIND(",",$C3516)-1))))</f>
        <v/>
      </c>
      <c r="M3516" s="28">
        <f>IF($H3516="","",DATE(YEAR($H3516),MONTH($H3516),1))</f>
        <v/>
      </c>
      <c r="N3516" s="26">
        <f>IF($H3516="","",TODAY()-$H3516)</f>
        <v/>
      </c>
      <c r="O3516" s="15" t="n"/>
      <c r="P3516" s="15" t="n"/>
      <c r="Q3516" s="15" t="n"/>
      <c r="R3516" s="25" t="n"/>
      <c r="S3516" s="26">
        <f>IF($A3516="","",AND(OR('Assignment Builder'!$B$5="",$B3516='Assignment Builder'!$B$5),OR('Assignment Builder'!$B$6="",ISNUMBER(SEARCH('Assignment Builder'!$B$6,$C3516))),OR('Assignment Builder'!$B$7="",'Assignment Builder'!$B$7=IFERROR(INDEX('Category Dictionary'!$C$5:$C$135,MATCH($L3516,'Category Dictionary'!$D$5:$D$135,0)),"")),OR('Assignment Builder'!$B$8="",$D3516='Assignment Builder'!$B$8),OR('Assignment Builder'!$B$9="",$F3516='Assignment Builder'!$B$9),OR('Assignment Builder'!$B$10="",$O3516='Assignment Builder'!$B$10),OR('Assignment Builder'!$B$11="",$H3516&gt;='Assignment Builder'!$B$11),OR('Assignment Builder'!$B$12="",N($Q3516)&lt;='Assignment Builder'!$B$12)))</f>
        <v/>
      </c>
      <c r="T3516" s="23" t="n"/>
    </row>
    <row r="3517">
      <c r="A3517" s="23" t="n"/>
      <c r="B3517" s="23" t="n"/>
      <c r="C3517" s="24" t="n"/>
      <c r="D3517" s="15" t="n"/>
      <c r="E3517" s="23" t="n"/>
      <c r="F3517" s="15" t="n"/>
      <c r="G3517" s="23" t="n"/>
      <c r="H3517" s="25" t="n"/>
      <c r="I3517" s="15" t="n"/>
      <c r="J3517" s="26">
        <f>IF($A3517="","",LEN($C3517)-LEN(SUBSTITUTE($C3517,",",""))+1)</f>
        <v/>
      </c>
      <c r="K3517" s="26">
        <f>IF($A3517="","",SUMPRODUCT(--ISNUMBER(SEARCH('Category Dictionary'!$D$5:$D$135&amp;"",$C3517)),--('Category Dictionary'!$D$5:$D$135&lt;&gt;"")))</f>
        <v/>
      </c>
      <c r="L3517" s="27">
        <f>IF($A3517="","",TRIM(IF(ISERROR(FIND(",",$C3517)),$C3517,LEFT($C3517,FIND(",",$C3517)-1))))</f>
        <v/>
      </c>
      <c r="M3517" s="28">
        <f>IF($H3517="","",DATE(YEAR($H3517),MONTH($H3517),1))</f>
        <v/>
      </c>
      <c r="N3517" s="26">
        <f>IF($H3517="","",TODAY()-$H3517)</f>
        <v/>
      </c>
      <c r="O3517" s="15" t="n"/>
      <c r="P3517" s="15" t="n"/>
      <c r="Q3517" s="15" t="n"/>
      <c r="R3517" s="25" t="n"/>
      <c r="S3517" s="26">
        <f>IF($A3517="","",AND(OR('Assignment Builder'!$B$5="",$B3517='Assignment Builder'!$B$5),OR('Assignment Builder'!$B$6="",ISNUMBER(SEARCH('Assignment Builder'!$B$6,$C3517))),OR('Assignment Builder'!$B$7="",'Assignment Builder'!$B$7=IFERROR(INDEX('Category Dictionary'!$C$5:$C$135,MATCH($L3517,'Category Dictionary'!$D$5:$D$135,0)),"")),OR('Assignment Builder'!$B$8="",$D3517='Assignment Builder'!$B$8),OR('Assignment Builder'!$B$9="",$F3517='Assignment Builder'!$B$9),OR('Assignment Builder'!$B$10="",$O3517='Assignment Builder'!$B$10),OR('Assignment Builder'!$B$11="",$H3517&gt;='Assignment Builder'!$B$11),OR('Assignment Builder'!$B$12="",N($Q3517)&lt;='Assignment Builder'!$B$12)))</f>
        <v/>
      </c>
      <c r="T3517" s="23" t="n"/>
    </row>
    <row r="3518">
      <c r="A3518" s="23" t="n"/>
      <c r="B3518" s="23" t="n"/>
      <c r="C3518" s="24" t="n"/>
      <c r="D3518" s="15" t="n"/>
      <c r="E3518" s="23" t="n"/>
      <c r="F3518" s="15" t="n"/>
      <c r="G3518" s="23" t="n"/>
      <c r="H3518" s="25" t="n"/>
      <c r="I3518" s="15" t="n"/>
      <c r="J3518" s="26">
        <f>IF($A3518="","",LEN($C3518)-LEN(SUBSTITUTE($C3518,",",""))+1)</f>
        <v/>
      </c>
      <c r="K3518" s="26">
        <f>IF($A3518="","",SUMPRODUCT(--ISNUMBER(SEARCH('Category Dictionary'!$D$5:$D$135&amp;"",$C3518)),--('Category Dictionary'!$D$5:$D$135&lt;&gt;"")))</f>
        <v/>
      </c>
      <c r="L3518" s="27">
        <f>IF($A3518="","",TRIM(IF(ISERROR(FIND(",",$C3518)),$C3518,LEFT($C3518,FIND(",",$C3518)-1))))</f>
        <v/>
      </c>
      <c r="M3518" s="28">
        <f>IF($H3518="","",DATE(YEAR($H3518),MONTH($H3518),1))</f>
        <v/>
      </c>
      <c r="N3518" s="26">
        <f>IF($H3518="","",TODAY()-$H3518)</f>
        <v/>
      </c>
      <c r="O3518" s="15" t="n"/>
      <c r="P3518" s="15" t="n"/>
      <c r="Q3518" s="15" t="n"/>
      <c r="R3518" s="25" t="n"/>
      <c r="S3518" s="26">
        <f>IF($A3518="","",AND(OR('Assignment Builder'!$B$5="",$B3518='Assignment Builder'!$B$5),OR('Assignment Builder'!$B$6="",ISNUMBER(SEARCH('Assignment Builder'!$B$6,$C3518))),OR('Assignment Builder'!$B$7="",'Assignment Builder'!$B$7=IFERROR(INDEX('Category Dictionary'!$C$5:$C$135,MATCH($L3518,'Category Dictionary'!$D$5:$D$135,0)),"")),OR('Assignment Builder'!$B$8="",$D3518='Assignment Builder'!$B$8),OR('Assignment Builder'!$B$9="",$F3518='Assignment Builder'!$B$9),OR('Assignment Builder'!$B$10="",$O3518='Assignment Builder'!$B$10),OR('Assignment Builder'!$B$11="",$H3518&gt;='Assignment Builder'!$B$11),OR('Assignment Builder'!$B$12="",N($Q3518)&lt;='Assignment Builder'!$B$12)))</f>
        <v/>
      </c>
      <c r="T3518" s="23" t="n"/>
    </row>
    <row r="3519">
      <c r="A3519" s="23" t="n"/>
      <c r="B3519" s="23" t="n"/>
      <c r="C3519" s="24" t="n"/>
      <c r="D3519" s="15" t="n"/>
      <c r="E3519" s="23" t="n"/>
      <c r="F3519" s="15" t="n"/>
      <c r="G3519" s="23" t="n"/>
      <c r="H3519" s="25" t="n"/>
      <c r="I3519" s="15" t="n"/>
      <c r="J3519" s="26">
        <f>IF($A3519="","",LEN($C3519)-LEN(SUBSTITUTE($C3519,",",""))+1)</f>
        <v/>
      </c>
      <c r="K3519" s="26">
        <f>IF($A3519="","",SUMPRODUCT(--ISNUMBER(SEARCH('Category Dictionary'!$D$5:$D$135&amp;"",$C3519)),--('Category Dictionary'!$D$5:$D$135&lt;&gt;"")))</f>
        <v/>
      </c>
      <c r="L3519" s="27">
        <f>IF($A3519="","",TRIM(IF(ISERROR(FIND(",",$C3519)),$C3519,LEFT($C3519,FIND(",",$C3519)-1))))</f>
        <v/>
      </c>
      <c r="M3519" s="28">
        <f>IF($H3519="","",DATE(YEAR($H3519),MONTH($H3519),1))</f>
        <v/>
      </c>
      <c r="N3519" s="26">
        <f>IF($H3519="","",TODAY()-$H3519)</f>
        <v/>
      </c>
      <c r="O3519" s="15" t="n"/>
      <c r="P3519" s="15" t="n"/>
      <c r="Q3519" s="15" t="n"/>
      <c r="R3519" s="25" t="n"/>
      <c r="S3519" s="26">
        <f>IF($A3519="","",AND(OR('Assignment Builder'!$B$5="",$B3519='Assignment Builder'!$B$5),OR('Assignment Builder'!$B$6="",ISNUMBER(SEARCH('Assignment Builder'!$B$6,$C3519))),OR('Assignment Builder'!$B$7="",'Assignment Builder'!$B$7=IFERROR(INDEX('Category Dictionary'!$C$5:$C$135,MATCH($L3519,'Category Dictionary'!$D$5:$D$135,0)),"")),OR('Assignment Builder'!$B$8="",$D3519='Assignment Builder'!$B$8),OR('Assignment Builder'!$B$9="",$F3519='Assignment Builder'!$B$9),OR('Assignment Builder'!$B$10="",$O3519='Assignment Builder'!$B$10),OR('Assignment Builder'!$B$11="",$H3519&gt;='Assignment Builder'!$B$11),OR('Assignment Builder'!$B$12="",N($Q3519)&lt;='Assignment Builder'!$B$12)))</f>
        <v/>
      </c>
      <c r="T3519" s="23" t="n"/>
    </row>
    <row r="3520">
      <c r="A3520" s="23" t="n"/>
      <c r="B3520" s="23" t="n"/>
      <c r="C3520" s="24" t="n"/>
      <c r="D3520" s="15" t="n"/>
      <c r="E3520" s="23" t="n"/>
      <c r="F3520" s="15" t="n"/>
      <c r="G3520" s="23" t="n"/>
      <c r="H3520" s="25" t="n"/>
      <c r="I3520" s="15" t="n"/>
      <c r="J3520" s="26">
        <f>IF($A3520="","",LEN($C3520)-LEN(SUBSTITUTE($C3520,",",""))+1)</f>
        <v/>
      </c>
      <c r="K3520" s="26">
        <f>IF($A3520="","",SUMPRODUCT(--ISNUMBER(SEARCH('Category Dictionary'!$D$5:$D$135&amp;"",$C3520)),--('Category Dictionary'!$D$5:$D$135&lt;&gt;"")))</f>
        <v/>
      </c>
      <c r="L3520" s="27">
        <f>IF($A3520="","",TRIM(IF(ISERROR(FIND(",",$C3520)),$C3520,LEFT($C3520,FIND(",",$C3520)-1))))</f>
        <v/>
      </c>
      <c r="M3520" s="28">
        <f>IF($H3520="","",DATE(YEAR($H3520),MONTH($H3520),1))</f>
        <v/>
      </c>
      <c r="N3520" s="26">
        <f>IF($H3520="","",TODAY()-$H3520)</f>
        <v/>
      </c>
      <c r="O3520" s="15" t="n"/>
      <c r="P3520" s="15" t="n"/>
      <c r="Q3520" s="15" t="n"/>
      <c r="R3520" s="25" t="n"/>
      <c r="S3520" s="26">
        <f>IF($A3520="","",AND(OR('Assignment Builder'!$B$5="",$B3520='Assignment Builder'!$B$5),OR('Assignment Builder'!$B$6="",ISNUMBER(SEARCH('Assignment Builder'!$B$6,$C3520))),OR('Assignment Builder'!$B$7="",'Assignment Builder'!$B$7=IFERROR(INDEX('Category Dictionary'!$C$5:$C$135,MATCH($L3520,'Category Dictionary'!$D$5:$D$135,0)),"")),OR('Assignment Builder'!$B$8="",$D3520='Assignment Builder'!$B$8),OR('Assignment Builder'!$B$9="",$F3520='Assignment Builder'!$B$9),OR('Assignment Builder'!$B$10="",$O3520='Assignment Builder'!$B$10),OR('Assignment Builder'!$B$11="",$H3520&gt;='Assignment Builder'!$B$11),OR('Assignment Builder'!$B$12="",N($Q3520)&lt;='Assignment Builder'!$B$12)))</f>
        <v/>
      </c>
      <c r="T3520" s="23" t="n"/>
    </row>
    <row r="3521">
      <c r="A3521" s="23" t="n"/>
      <c r="B3521" s="23" t="n"/>
      <c r="C3521" s="24" t="n"/>
      <c r="D3521" s="15" t="n"/>
      <c r="E3521" s="23" t="n"/>
      <c r="F3521" s="15" t="n"/>
      <c r="G3521" s="23" t="n"/>
      <c r="H3521" s="25" t="n"/>
      <c r="I3521" s="15" t="n"/>
      <c r="J3521" s="26">
        <f>IF($A3521="","",LEN($C3521)-LEN(SUBSTITUTE($C3521,",",""))+1)</f>
        <v/>
      </c>
      <c r="K3521" s="26">
        <f>IF($A3521="","",SUMPRODUCT(--ISNUMBER(SEARCH('Category Dictionary'!$D$5:$D$135&amp;"",$C3521)),--('Category Dictionary'!$D$5:$D$135&lt;&gt;"")))</f>
        <v/>
      </c>
      <c r="L3521" s="27">
        <f>IF($A3521="","",TRIM(IF(ISERROR(FIND(",",$C3521)),$C3521,LEFT($C3521,FIND(",",$C3521)-1))))</f>
        <v/>
      </c>
      <c r="M3521" s="28">
        <f>IF($H3521="","",DATE(YEAR($H3521),MONTH($H3521),1))</f>
        <v/>
      </c>
      <c r="N3521" s="26">
        <f>IF($H3521="","",TODAY()-$H3521)</f>
        <v/>
      </c>
      <c r="O3521" s="15" t="n"/>
      <c r="P3521" s="15" t="n"/>
      <c r="Q3521" s="15" t="n"/>
      <c r="R3521" s="25" t="n"/>
      <c r="S3521" s="26">
        <f>IF($A3521="","",AND(OR('Assignment Builder'!$B$5="",$B3521='Assignment Builder'!$B$5),OR('Assignment Builder'!$B$6="",ISNUMBER(SEARCH('Assignment Builder'!$B$6,$C3521))),OR('Assignment Builder'!$B$7="",'Assignment Builder'!$B$7=IFERROR(INDEX('Category Dictionary'!$C$5:$C$135,MATCH($L3521,'Category Dictionary'!$D$5:$D$135,0)),"")),OR('Assignment Builder'!$B$8="",$D3521='Assignment Builder'!$B$8),OR('Assignment Builder'!$B$9="",$F3521='Assignment Builder'!$B$9),OR('Assignment Builder'!$B$10="",$O3521='Assignment Builder'!$B$10),OR('Assignment Builder'!$B$11="",$H3521&gt;='Assignment Builder'!$B$11),OR('Assignment Builder'!$B$12="",N($Q3521)&lt;='Assignment Builder'!$B$12)))</f>
        <v/>
      </c>
      <c r="T3521" s="23" t="n"/>
    </row>
    <row r="3522">
      <c r="A3522" s="23" t="n"/>
      <c r="B3522" s="23" t="n"/>
      <c r="C3522" s="24" t="n"/>
      <c r="D3522" s="15" t="n"/>
      <c r="E3522" s="23" t="n"/>
      <c r="F3522" s="15" t="n"/>
      <c r="G3522" s="23" t="n"/>
      <c r="H3522" s="25" t="n"/>
      <c r="I3522" s="15" t="n"/>
      <c r="J3522" s="26">
        <f>IF($A3522="","",LEN($C3522)-LEN(SUBSTITUTE($C3522,",",""))+1)</f>
        <v/>
      </c>
      <c r="K3522" s="26">
        <f>IF($A3522="","",SUMPRODUCT(--ISNUMBER(SEARCH('Category Dictionary'!$D$5:$D$135&amp;"",$C3522)),--('Category Dictionary'!$D$5:$D$135&lt;&gt;"")))</f>
        <v/>
      </c>
      <c r="L3522" s="27">
        <f>IF($A3522="","",TRIM(IF(ISERROR(FIND(",",$C3522)),$C3522,LEFT($C3522,FIND(",",$C3522)-1))))</f>
        <v/>
      </c>
      <c r="M3522" s="28">
        <f>IF($H3522="","",DATE(YEAR($H3522),MONTH($H3522),1))</f>
        <v/>
      </c>
      <c r="N3522" s="26">
        <f>IF($H3522="","",TODAY()-$H3522)</f>
        <v/>
      </c>
      <c r="O3522" s="15" t="n"/>
      <c r="P3522" s="15" t="n"/>
      <c r="Q3522" s="15" t="n"/>
      <c r="R3522" s="25" t="n"/>
      <c r="S3522" s="26">
        <f>IF($A3522="","",AND(OR('Assignment Builder'!$B$5="",$B3522='Assignment Builder'!$B$5),OR('Assignment Builder'!$B$6="",ISNUMBER(SEARCH('Assignment Builder'!$B$6,$C3522))),OR('Assignment Builder'!$B$7="",'Assignment Builder'!$B$7=IFERROR(INDEX('Category Dictionary'!$C$5:$C$135,MATCH($L3522,'Category Dictionary'!$D$5:$D$135,0)),"")),OR('Assignment Builder'!$B$8="",$D3522='Assignment Builder'!$B$8),OR('Assignment Builder'!$B$9="",$F3522='Assignment Builder'!$B$9),OR('Assignment Builder'!$B$10="",$O3522='Assignment Builder'!$B$10),OR('Assignment Builder'!$B$11="",$H3522&gt;='Assignment Builder'!$B$11),OR('Assignment Builder'!$B$12="",N($Q3522)&lt;='Assignment Builder'!$B$12)))</f>
        <v/>
      </c>
      <c r="T3522" s="23" t="n"/>
    </row>
    <row r="3523">
      <c r="A3523" s="23" t="n"/>
      <c r="B3523" s="23" t="n"/>
      <c r="C3523" s="24" t="n"/>
      <c r="D3523" s="15" t="n"/>
      <c r="E3523" s="23" t="n"/>
      <c r="F3523" s="15" t="n"/>
      <c r="G3523" s="23" t="n"/>
      <c r="H3523" s="25" t="n"/>
      <c r="I3523" s="15" t="n"/>
      <c r="J3523" s="26">
        <f>IF($A3523="","",LEN($C3523)-LEN(SUBSTITUTE($C3523,",",""))+1)</f>
        <v/>
      </c>
      <c r="K3523" s="26">
        <f>IF($A3523="","",SUMPRODUCT(--ISNUMBER(SEARCH('Category Dictionary'!$D$5:$D$135&amp;"",$C3523)),--('Category Dictionary'!$D$5:$D$135&lt;&gt;"")))</f>
        <v/>
      </c>
      <c r="L3523" s="27">
        <f>IF($A3523="","",TRIM(IF(ISERROR(FIND(",",$C3523)),$C3523,LEFT($C3523,FIND(",",$C3523)-1))))</f>
        <v/>
      </c>
      <c r="M3523" s="28">
        <f>IF($H3523="","",DATE(YEAR($H3523),MONTH($H3523),1))</f>
        <v/>
      </c>
      <c r="N3523" s="26">
        <f>IF($H3523="","",TODAY()-$H3523)</f>
        <v/>
      </c>
      <c r="O3523" s="15" t="n"/>
      <c r="P3523" s="15" t="n"/>
      <c r="Q3523" s="15" t="n"/>
      <c r="R3523" s="25" t="n"/>
      <c r="S3523" s="26">
        <f>IF($A3523="","",AND(OR('Assignment Builder'!$B$5="",$B3523='Assignment Builder'!$B$5),OR('Assignment Builder'!$B$6="",ISNUMBER(SEARCH('Assignment Builder'!$B$6,$C3523))),OR('Assignment Builder'!$B$7="",'Assignment Builder'!$B$7=IFERROR(INDEX('Category Dictionary'!$C$5:$C$135,MATCH($L3523,'Category Dictionary'!$D$5:$D$135,0)),"")),OR('Assignment Builder'!$B$8="",$D3523='Assignment Builder'!$B$8),OR('Assignment Builder'!$B$9="",$F3523='Assignment Builder'!$B$9),OR('Assignment Builder'!$B$10="",$O3523='Assignment Builder'!$B$10),OR('Assignment Builder'!$B$11="",$H3523&gt;='Assignment Builder'!$B$11),OR('Assignment Builder'!$B$12="",N($Q3523)&lt;='Assignment Builder'!$B$12)))</f>
        <v/>
      </c>
      <c r="T3523" s="23" t="n"/>
    </row>
    <row r="3524">
      <c r="A3524" s="23" t="n"/>
      <c r="B3524" s="23" t="n"/>
      <c r="C3524" s="24" t="n"/>
      <c r="D3524" s="15" t="n"/>
      <c r="E3524" s="23" t="n"/>
      <c r="F3524" s="15" t="n"/>
      <c r="G3524" s="23" t="n"/>
      <c r="H3524" s="25" t="n"/>
      <c r="I3524" s="15" t="n"/>
      <c r="J3524" s="26">
        <f>IF($A3524="","",LEN($C3524)-LEN(SUBSTITUTE($C3524,",",""))+1)</f>
        <v/>
      </c>
      <c r="K3524" s="26">
        <f>IF($A3524="","",SUMPRODUCT(--ISNUMBER(SEARCH('Category Dictionary'!$D$5:$D$135&amp;"",$C3524)),--('Category Dictionary'!$D$5:$D$135&lt;&gt;"")))</f>
        <v/>
      </c>
      <c r="L3524" s="27">
        <f>IF($A3524="","",TRIM(IF(ISERROR(FIND(",",$C3524)),$C3524,LEFT($C3524,FIND(",",$C3524)-1))))</f>
        <v/>
      </c>
      <c r="M3524" s="28">
        <f>IF($H3524="","",DATE(YEAR($H3524),MONTH($H3524),1))</f>
        <v/>
      </c>
      <c r="N3524" s="26">
        <f>IF($H3524="","",TODAY()-$H3524)</f>
        <v/>
      </c>
      <c r="O3524" s="15" t="n"/>
      <c r="P3524" s="15" t="n"/>
      <c r="Q3524" s="15" t="n"/>
      <c r="R3524" s="25" t="n"/>
      <c r="S3524" s="26">
        <f>IF($A3524="","",AND(OR('Assignment Builder'!$B$5="",$B3524='Assignment Builder'!$B$5),OR('Assignment Builder'!$B$6="",ISNUMBER(SEARCH('Assignment Builder'!$B$6,$C3524))),OR('Assignment Builder'!$B$7="",'Assignment Builder'!$B$7=IFERROR(INDEX('Category Dictionary'!$C$5:$C$135,MATCH($L3524,'Category Dictionary'!$D$5:$D$135,0)),"")),OR('Assignment Builder'!$B$8="",$D3524='Assignment Builder'!$B$8),OR('Assignment Builder'!$B$9="",$F3524='Assignment Builder'!$B$9),OR('Assignment Builder'!$B$10="",$O3524='Assignment Builder'!$B$10),OR('Assignment Builder'!$B$11="",$H3524&gt;='Assignment Builder'!$B$11),OR('Assignment Builder'!$B$12="",N($Q3524)&lt;='Assignment Builder'!$B$12)))</f>
        <v/>
      </c>
      <c r="T3524" s="23" t="n"/>
    </row>
    <row r="3525">
      <c r="A3525" s="23" t="n"/>
      <c r="B3525" s="23" t="n"/>
      <c r="C3525" s="24" t="n"/>
      <c r="D3525" s="15" t="n"/>
      <c r="E3525" s="23" t="n"/>
      <c r="F3525" s="15" t="n"/>
      <c r="G3525" s="23" t="n"/>
      <c r="H3525" s="25" t="n"/>
      <c r="I3525" s="15" t="n"/>
      <c r="J3525" s="26">
        <f>IF($A3525="","",LEN($C3525)-LEN(SUBSTITUTE($C3525,",",""))+1)</f>
        <v/>
      </c>
      <c r="K3525" s="26">
        <f>IF($A3525="","",SUMPRODUCT(--ISNUMBER(SEARCH('Category Dictionary'!$D$5:$D$135&amp;"",$C3525)),--('Category Dictionary'!$D$5:$D$135&lt;&gt;"")))</f>
        <v/>
      </c>
      <c r="L3525" s="27">
        <f>IF($A3525="","",TRIM(IF(ISERROR(FIND(",",$C3525)),$C3525,LEFT($C3525,FIND(",",$C3525)-1))))</f>
        <v/>
      </c>
      <c r="M3525" s="28">
        <f>IF($H3525="","",DATE(YEAR($H3525),MONTH($H3525),1))</f>
        <v/>
      </c>
      <c r="N3525" s="26">
        <f>IF($H3525="","",TODAY()-$H3525)</f>
        <v/>
      </c>
      <c r="O3525" s="15" t="n"/>
      <c r="P3525" s="15" t="n"/>
      <c r="Q3525" s="15" t="n"/>
      <c r="R3525" s="25" t="n"/>
      <c r="S3525" s="26">
        <f>IF($A3525="","",AND(OR('Assignment Builder'!$B$5="",$B3525='Assignment Builder'!$B$5),OR('Assignment Builder'!$B$6="",ISNUMBER(SEARCH('Assignment Builder'!$B$6,$C3525))),OR('Assignment Builder'!$B$7="",'Assignment Builder'!$B$7=IFERROR(INDEX('Category Dictionary'!$C$5:$C$135,MATCH($L3525,'Category Dictionary'!$D$5:$D$135,0)),"")),OR('Assignment Builder'!$B$8="",$D3525='Assignment Builder'!$B$8),OR('Assignment Builder'!$B$9="",$F3525='Assignment Builder'!$B$9),OR('Assignment Builder'!$B$10="",$O3525='Assignment Builder'!$B$10),OR('Assignment Builder'!$B$11="",$H3525&gt;='Assignment Builder'!$B$11),OR('Assignment Builder'!$B$12="",N($Q3525)&lt;='Assignment Builder'!$B$12)))</f>
        <v/>
      </c>
      <c r="T3525" s="23" t="n"/>
    </row>
    <row r="3526">
      <c r="A3526" s="23" t="n"/>
      <c r="B3526" s="23" t="n"/>
      <c r="C3526" s="24" t="n"/>
      <c r="D3526" s="15" t="n"/>
      <c r="E3526" s="23" t="n"/>
      <c r="F3526" s="15" t="n"/>
      <c r="G3526" s="23" t="n"/>
      <c r="H3526" s="25" t="n"/>
      <c r="I3526" s="15" t="n"/>
      <c r="J3526" s="26">
        <f>IF($A3526="","",LEN($C3526)-LEN(SUBSTITUTE($C3526,",",""))+1)</f>
        <v/>
      </c>
      <c r="K3526" s="26">
        <f>IF($A3526="","",SUMPRODUCT(--ISNUMBER(SEARCH('Category Dictionary'!$D$5:$D$135&amp;"",$C3526)),--('Category Dictionary'!$D$5:$D$135&lt;&gt;"")))</f>
        <v/>
      </c>
      <c r="L3526" s="27">
        <f>IF($A3526="","",TRIM(IF(ISERROR(FIND(",",$C3526)),$C3526,LEFT($C3526,FIND(",",$C3526)-1))))</f>
        <v/>
      </c>
      <c r="M3526" s="28">
        <f>IF($H3526="","",DATE(YEAR($H3526),MONTH($H3526),1))</f>
        <v/>
      </c>
      <c r="N3526" s="26">
        <f>IF($H3526="","",TODAY()-$H3526)</f>
        <v/>
      </c>
      <c r="O3526" s="15" t="n"/>
      <c r="P3526" s="15" t="n"/>
      <c r="Q3526" s="15" t="n"/>
      <c r="R3526" s="25" t="n"/>
      <c r="S3526" s="26">
        <f>IF($A3526="","",AND(OR('Assignment Builder'!$B$5="",$B3526='Assignment Builder'!$B$5),OR('Assignment Builder'!$B$6="",ISNUMBER(SEARCH('Assignment Builder'!$B$6,$C3526))),OR('Assignment Builder'!$B$7="",'Assignment Builder'!$B$7=IFERROR(INDEX('Category Dictionary'!$C$5:$C$135,MATCH($L3526,'Category Dictionary'!$D$5:$D$135,0)),"")),OR('Assignment Builder'!$B$8="",$D3526='Assignment Builder'!$B$8),OR('Assignment Builder'!$B$9="",$F3526='Assignment Builder'!$B$9),OR('Assignment Builder'!$B$10="",$O3526='Assignment Builder'!$B$10),OR('Assignment Builder'!$B$11="",$H3526&gt;='Assignment Builder'!$B$11),OR('Assignment Builder'!$B$12="",N($Q3526)&lt;='Assignment Builder'!$B$12)))</f>
        <v/>
      </c>
      <c r="T3526" s="23" t="n"/>
    </row>
    <row r="3527">
      <c r="A3527" s="23" t="n"/>
      <c r="B3527" s="23" t="n"/>
      <c r="C3527" s="24" t="n"/>
      <c r="D3527" s="15" t="n"/>
      <c r="E3527" s="23" t="n"/>
      <c r="F3527" s="15" t="n"/>
      <c r="G3527" s="23" t="n"/>
      <c r="H3527" s="25" t="n"/>
      <c r="I3527" s="15" t="n"/>
      <c r="J3527" s="26">
        <f>IF($A3527="","",LEN($C3527)-LEN(SUBSTITUTE($C3527,",",""))+1)</f>
        <v/>
      </c>
      <c r="K3527" s="26">
        <f>IF($A3527="","",SUMPRODUCT(--ISNUMBER(SEARCH('Category Dictionary'!$D$5:$D$135&amp;"",$C3527)),--('Category Dictionary'!$D$5:$D$135&lt;&gt;"")))</f>
        <v/>
      </c>
      <c r="L3527" s="27">
        <f>IF($A3527="","",TRIM(IF(ISERROR(FIND(",",$C3527)),$C3527,LEFT($C3527,FIND(",",$C3527)-1))))</f>
        <v/>
      </c>
      <c r="M3527" s="28">
        <f>IF($H3527="","",DATE(YEAR($H3527),MONTH($H3527),1))</f>
        <v/>
      </c>
      <c r="N3527" s="26">
        <f>IF($H3527="","",TODAY()-$H3527)</f>
        <v/>
      </c>
      <c r="O3527" s="15" t="n"/>
      <c r="P3527" s="15" t="n"/>
      <c r="Q3527" s="15" t="n"/>
      <c r="R3527" s="25" t="n"/>
      <c r="S3527" s="26">
        <f>IF($A3527="","",AND(OR('Assignment Builder'!$B$5="",$B3527='Assignment Builder'!$B$5),OR('Assignment Builder'!$B$6="",ISNUMBER(SEARCH('Assignment Builder'!$B$6,$C3527))),OR('Assignment Builder'!$B$7="",'Assignment Builder'!$B$7=IFERROR(INDEX('Category Dictionary'!$C$5:$C$135,MATCH($L3527,'Category Dictionary'!$D$5:$D$135,0)),"")),OR('Assignment Builder'!$B$8="",$D3527='Assignment Builder'!$B$8),OR('Assignment Builder'!$B$9="",$F3527='Assignment Builder'!$B$9),OR('Assignment Builder'!$B$10="",$O3527='Assignment Builder'!$B$10),OR('Assignment Builder'!$B$11="",$H3527&gt;='Assignment Builder'!$B$11),OR('Assignment Builder'!$B$12="",N($Q3527)&lt;='Assignment Builder'!$B$12)))</f>
        <v/>
      </c>
      <c r="T3527" s="23" t="n"/>
    </row>
    <row r="3528">
      <c r="A3528" s="23" t="n"/>
      <c r="B3528" s="23" t="n"/>
      <c r="C3528" s="24" t="n"/>
      <c r="D3528" s="15" t="n"/>
      <c r="E3528" s="23" t="n"/>
      <c r="F3528" s="15" t="n"/>
      <c r="G3528" s="23" t="n"/>
      <c r="H3528" s="25" t="n"/>
      <c r="I3528" s="15" t="n"/>
      <c r="J3528" s="26">
        <f>IF($A3528="","",LEN($C3528)-LEN(SUBSTITUTE($C3528,",",""))+1)</f>
        <v/>
      </c>
      <c r="K3528" s="26">
        <f>IF($A3528="","",SUMPRODUCT(--ISNUMBER(SEARCH('Category Dictionary'!$D$5:$D$135&amp;"",$C3528)),--('Category Dictionary'!$D$5:$D$135&lt;&gt;"")))</f>
        <v/>
      </c>
      <c r="L3528" s="27">
        <f>IF($A3528="","",TRIM(IF(ISERROR(FIND(",",$C3528)),$C3528,LEFT($C3528,FIND(",",$C3528)-1))))</f>
        <v/>
      </c>
      <c r="M3528" s="28">
        <f>IF($H3528="","",DATE(YEAR($H3528),MONTH($H3528),1))</f>
        <v/>
      </c>
      <c r="N3528" s="26">
        <f>IF($H3528="","",TODAY()-$H3528)</f>
        <v/>
      </c>
      <c r="O3528" s="15" t="n"/>
      <c r="P3528" s="15" t="n"/>
      <c r="Q3528" s="15" t="n"/>
      <c r="R3528" s="25" t="n"/>
      <c r="S3528" s="26">
        <f>IF($A3528="","",AND(OR('Assignment Builder'!$B$5="",$B3528='Assignment Builder'!$B$5),OR('Assignment Builder'!$B$6="",ISNUMBER(SEARCH('Assignment Builder'!$B$6,$C3528))),OR('Assignment Builder'!$B$7="",'Assignment Builder'!$B$7=IFERROR(INDEX('Category Dictionary'!$C$5:$C$135,MATCH($L3528,'Category Dictionary'!$D$5:$D$135,0)),"")),OR('Assignment Builder'!$B$8="",$D3528='Assignment Builder'!$B$8),OR('Assignment Builder'!$B$9="",$F3528='Assignment Builder'!$B$9),OR('Assignment Builder'!$B$10="",$O3528='Assignment Builder'!$B$10),OR('Assignment Builder'!$B$11="",$H3528&gt;='Assignment Builder'!$B$11),OR('Assignment Builder'!$B$12="",N($Q3528)&lt;='Assignment Builder'!$B$12)))</f>
        <v/>
      </c>
      <c r="T3528" s="23" t="n"/>
    </row>
    <row r="3529">
      <c r="A3529" s="23" t="n"/>
      <c r="B3529" s="23" t="n"/>
      <c r="C3529" s="24" t="n"/>
      <c r="D3529" s="15" t="n"/>
      <c r="E3529" s="23" t="n"/>
      <c r="F3529" s="15" t="n"/>
      <c r="G3529" s="23" t="n"/>
      <c r="H3529" s="25" t="n"/>
      <c r="I3529" s="15" t="n"/>
      <c r="J3529" s="26">
        <f>IF($A3529="","",LEN($C3529)-LEN(SUBSTITUTE($C3529,",",""))+1)</f>
        <v/>
      </c>
      <c r="K3529" s="26">
        <f>IF($A3529="","",SUMPRODUCT(--ISNUMBER(SEARCH('Category Dictionary'!$D$5:$D$135&amp;"",$C3529)),--('Category Dictionary'!$D$5:$D$135&lt;&gt;"")))</f>
        <v/>
      </c>
      <c r="L3529" s="27">
        <f>IF($A3529="","",TRIM(IF(ISERROR(FIND(",",$C3529)),$C3529,LEFT($C3529,FIND(",",$C3529)-1))))</f>
        <v/>
      </c>
      <c r="M3529" s="28">
        <f>IF($H3529="","",DATE(YEAR($H3529),MONTH($H3529),1))</f>
        <v/>
      </c>
      <c r="N3529" s="26">
        <f>IF($H3529="","",TODAY()-$H3529)</f>
        <v/>
      </c>
      <c r="O3529" s="15" t="n"/>
      <c r="P3529" s="15" t="n"/>
      <c r="Q3529" s="15" t="n"/>
      <c r="R3529" s="25" t="n"/>
      <c r="S3529" s="26">
        <f>IF($A3529="","",AND(OR('Assignment Builder'!$B$5="",$B3529='Assignment Builder'!$B$5),OR('Assignment Builder'!$B$6="",ISNUMBER(SEARCH('Assignment Builder'!$B$6,$C3529))),OR('Assignment Builder'!$B$7="",'Assignment Builder'!$B$7=IFERROR(INDEX('Category Dictionary'!$C$5:$C$135,MATCH($L3529,'Category Dictionary'!$D$5:$D$135,0)),"")),OR('Assignment Builder'!$B$8="",$D3529='Assignment Builder'!$B$8),OR('Assignment Builder'!$B$9="",$F3529='Assignment Builder'!$B$9),OR('Assignment Builder'!$B$10="",$O3529='Assignment Builder'!$B$10),OR('Assignment Builder'!$B$11="",$H3529&gt;='Assignment Builder'!$B$11),OR('Assignment Builder'!$B$12="",N($Q3529)&lt;='Assignment Builder'!$B$12)))</f>
        <v/>
      </c>
      <c r="T3529" s="23" t="n"/>
    </row>
    <row r="3530">
      <c r="A3530" s="23" t="n"/>
      <c r="B3530" s="23" t="n"/>
      <c r="C3530" s="24" t="n"/>
      <c r="D3530" s="15" t="n"/>
      <c r="E3530" s="23" t="n"/>
      <c r="F3530" s="15" t="n"/>
      <c r="G3530" s="23" t="n"/>
      <c r="H3530" s="25" t="n"/>
      <c r="I3530" s="15" t="n"/>
      <c r="J3530" s="26">
        <f>IF($A3530="","",LEN($C3530)-LEN(SUBSTITUTE($C3530,",",""))+1)</f>
        <v/>
      </c>
      <c r="K3530" s="26">
        <f>IF($A3530="","",SUMPRODUCT(--ISNUMBER(SEARCH('Category Dictionary'!$D$5:$D$135&amp;"",$C3530)),--('Category Dictionary'!$D$5:$D$135&lt;&gt;"")))</f>
        <v/>
      </c>
      <c r="L3530" s="27">
        <f>IF($A3530="","",TRIM(IF(ISERROR(FIND(",",$C3530)),$C3530,LEFT($C3530,FIND(",",$C3530)-1))))</f>
        <v/>
      </c>
      <c r="M3530" s="28">
        <f>IF($H3530="","",DATE(YEAR($H3530),MONTH($H3530),1))</f>
        <v/>
      </c>
      <c r="N3530" s="26">
        <f>IF($H3530="","",TODAY()-$H3530)</f>
        <v/>
      </c>
      <c r="O3530" s="15" t="n"/>
      <c r="P3530" s="15" t="n"/>
      <c r="Q3530" s="15" t="n"/>
      <c r="R3530" s="25" t="n"/>
      <c r="S3530" s="26">
        <f>IF($A3530="","",AND(OR('Assignment Builder'!$B$5="",$B3530='Assignment Builder'!$B$5),OR('Assignment Builder'!$B$6="",ISNUMBER(SEARCH('Assignment Builder'!$B$6,$C3530))),OR('Assignment Builder'!$B$7="",'Assignment Builder'!$B$7=IFERROR(INDEX('Category Dictionary'!$C$5:$C$135,MATCH($L3530,'Category Dictionary'!$D$5:$D$135,0)),"")),OR('Assignment Builder'!$B$8="",$D3530='Assignment Builder'!$B$8),OR('Assignment Builder'!$B$9="",$F3530='Assignment Builder'!$B$9),OR('Assignment Builder'!$B$10="",$O3530='Assignment Builder'!$B$10),OR('Assignment Builder'!$B$11="",$H3530&gt;='Assignment Builder'!$B$11),OR('Assignment Builder'!$B$12="",N($Q3530)&lt;='Assignment Builder'!$B$12)))</f>
        <v/>
      </c>
      <c r="T3530" s="23" t="n"/>
    </row>
    <row r="3531">
      <c r="A3531" s="23" t="n"/>
      <c r="B3531" s="23" t="n"/>
      <c r="C3531" s="24" t="n"/>
      <c r="D3531" s="15" t="n"/>
      <c r="E3531" s="23" t="n"/>
      <c r="F3531" s="15" t="n"/>
      <c r="G3531" s="23" t="n"/>
      <c r="H3531" s="25" t="n"/>
      <c r="I3531" s="15" t="n"/>
      <c r="J3531" s="26">
        <f>IF($A3531="","",LEN($C3531)-LEN(SUBSTITUTE($C3531,",",""))+1)</f>
        <v/>
      </c>
      <c r="K3531" s="26">
        <f>IF($A3531="","",SUMPRODUCT(--ISNUMBER(SEARCH('Category Dictionary'!$D$5:$D$135&amp;"",$C3531)),--('Category Dictionary'!$D$5:$D$135&lt;&gt;"")))</f>
        <v/>
      </c>
      <c r="L3531" s="27">
        <f>IF($A3531="","",TRIM(IF(ISERROR(FIND(",",$C3531)),$C3531,LEFT($C3531,FIND(",",$C3531)-1))))</f>
        <v/>
      </c>
      <c r="M3531" s="28">
        <f>IF($H3531="","",DATE(YEAR($H3531),MONTH($H3531),1))</f>
        <v/>
      </c>
      <c r="N3531" s="26">
        <f>IF($H3531="","",TODAY()-$H3531)</f>
        <v/>
      </c>
      <c r="O3531" s="15" t="n"/>
      <c r="P3531" s="15" t="n"/>
      <c r="Q3531" s="15" t="n"/>
      <c r="R3531" s="25" t="n"/>
      <c r="S3531" s="26">
        <f>IF($A3531="","",AND(OR('Assignment Builder'!$B$5="",$B3531='Assignment Builder'!$B$5),OR('Assignment Builder'!$B$6="",ISNUMBER(SEARCH('Assignment Builder'!$B$6,$C3531))),OR('Assignment Builder'!$B$7="",'Assignment Builder'!$B$7=IFERROR(INDEX('Category Dictionary'!$C$5:$C$135,MATCH($L3531,'Category Dictionary'!$D$5:$D$135,0)),"")),OR('Assignment Builder'!$B$8="",$D3531='Assignment Builder'!$B$8),OR('Assignment Builder'!$B$9="",$F3531='Assignment Builder'!$B$9),OR('Assignment Builder'!$B$10="",$O3531='Assignment Builder'!$B$10),OR('Assignment Builder'!$B$11="",$H3531&gt;='Assignment Builder'!$B$11),OR('Assignment Builder'!$B$12="",N($Q3531)&lt;='Assignment Builder'!$B$12)))</f>
        <v/>
      </c>
      <c r="T3531" s="23" t="n"/>
    </row>
    <row r="3532">
      <c r="A3532" s="23" t="n"/>
      <c r="B3532" s="23" t="n"/>
      <c r="C3532" s="24" t="n"/>
      <c r="D3532" s="15" t="n"/>
      <c r="E3532" s="23" t="n"/>
      <c r="F3532" s="15" t="n"/>
      <c r="G3532" s="23" t="n"/>
      <c r="H3532" s="25" t="n"/>
      <c r="I3532" s="15" t="n"/>
      <c r="J3532" s="26">
        <f>IF($A3532="","",LEN($C3532)-LEN(SUBSTITUTE($C3532,",",""))+1)</f>
        <v/>
      </c>
      <c r="K3532" s="26">
        <f>IF($A3532="","",SUMPRODUCT(--ISNUMBER(SEARCH('Category Dictionary'!$D$5:$D$135&amp;"",$C3532)),--('Category Dictionary'!$D$5:$D$135&lt;&gt;"")))</f>
        <v/>
      </c>
      <c r="L3532" s="27">
        <f>IF($A3532="","",TRIM(IF(ISERROR(FIND(",",$C3532)),$C3532,LEFT($C3532,FIND(",",$C3532)-1))))</f>
        <v/>
      </c>
      <c r="M3532" s="28">
        <f>IF($H3532="","",DATE(YEAR($H3532),MONTH($H3532),1))</f>
        <v/>
      </c>
      <c r="N3532" s="26">
        <f>IF($H3532="","",TODAY()-$H3532)</f>
        <v/>
      </c>
      <c r="O3532" s="15" t="n"/>
      <c r="P3532" s="15" t="n"/>
      <c r="Q3532" s="15" t="n"/>
      <c r="R3532" s="25" t="n"/>
      <c r="S3532" s="26">
        <f>IF($A3532="","",AND(OR('Assignment Builder'!$B$5="",$B3532='Assignment Builder'!$B$5),OR('Assignment Builder'!$B$6="",ISNUMBER(SEARCH('Assignment Builder'!$B$6,$C3532))),OR('Assignment Builder'!$B$7="",'Assignment Builder'!$B$7=IFERROR(INDEX('Category Dictionary'!$C$5:$C$135,MATCH($L3532,'Category Dictionary'!$D$5:$D$135,0)),"")),OR('Assignment Builder'!$B$8="",$D3532='Assignment Builder'!$B$8),OR('Assignment Builder'!$B$9="",$F3532='Assignment Builder'!$B$9),OR('Assignment Builder'!$B$10="",$O3532='Assignment Builder'!$B$10),OR('Assignment Builder'!$B$11="",$H3532&gt;='Assignment Builder'!$B$11),OR('Assignment Builder'!$B$12="",N($Q3532)&lt;='Assignment Builder'!$B$12)))</f>
        <v/>
      </c>
      <c r="T3532" s="23" t="n"/>
    </row>
    <row r="3533">
      <c r="A3533" s="23" t="n"/>
      <c r="B3533" s="23" t="n"/>
      <c r="C3533" s="24" t="n"/>
      <c r="D3533" s="15" t="n"/>
      <c r="E3533" s="23" t="n"/>
      <c r="F3533" s="15" t="n"/>
      <c r="G3533" s="23" t="n"/>
      <c r="H3533" s="25" t="n"/>
      <c r="I3533" s="15" t="n"/>
      <c r="J3533" s="26">
        <f>IF($A3533="","",LEN($C3533)-LEN(SUBSTITUTE($C3533,",",""))+1)</f>
        <v/>
      </c>
      <c r="K3533" s="26">
        <f>IF($A3533="","",SUMPRODUCT(--ISNUMBER(SEARCH('Category Dictionary'!$D$5:$D$135&amp;"",$C3533)),--('Category Dictionary'!$D$5:$D$135&lt;&gt;"")))</f>
        <v/>
      </c>
      <c r="L3533" s="27">
        <f>IF($A3533="","",TRIM(IF(ISERROR(FIND(",",$C3533)),$C3533,LEFT($C3533,FIND(",",$C3533)-1))))</f>
        <v/>
      </c>
      <c r="M3533" s="28">
        <f>IF($H3533="","",DATE(YEAR($H3533),MONTH($H3533),1))</f>
        <v/>
      </c>
      <c r="N3533" s="26">
        <f>IF($H3533="","",TODAY()-$H3533)</f>
        <v/>
      </c>
      <c r="O3533" s="15" t="n"/>
      <c r="P3533" s="15" t="n"/>
      <c r="Q3533" s="15" t="n"/>
      <c r="R3533" s="25" t="n"/>
      <c r="S3533" s="26">
        <f>IF($A3533="","",AND(OR('Assignment Builder'!$B$5="",$B3533='Assignment Builder'!$B$5),OR('Assignment Builder'!$B$6="",ISNUMBER(SEARCH('Assignment Builder'!$B$6,$C3533))),OR('Assignment Builder'!$B$7="",'Assignment Builder'!$B$7=IFERROR(INDEX('Category Dictionary'!$C$5:$C$135,MATCH($L3533,'Category Dictionary'!$D$5:$D$135,0)),"")),OR('Assignment Builder'!$B$8="",$D3533='Assignment Builder'!$B$8),OR('Assignment Builder'!$B$9="",$F3533='Assignment Builder'!$B$9),OR('Assignment Builder'!$B$10="",$O3533='Assignment Builder'!$B$10),OR('Assignment Builder'!$B$11="",$H3533&gt;='Assignment Builder'!$B$11),OR('Assignment Builder'!$B$12="",N($Q3533)&lt;='Assignment Builder'!$B$12)))</f>
        <v/>
      </c>
      <c r="T3533" s="23" t="n"/>
    </row>
    <row r="3534">
      <c r="A3534" s="23" t="n"/>
      <c r="B3534" s="23" t="n"/>
      <c r="C3534" s="24" t="n"/>
      <c r="D3534" s="15" t="n"/>
      <c r="E3534" s="23" t="n"/>
      <c r="F3534" s="15" t="n"/>
      <c r="G3534" s="23" t="n"/>
      <c r="H3534" s="25" t="n"/>
      <c r="I3534" s="15" t="n"/>
      <c r="J3534" s="26">
        <f>IF($A3534="","",LEN($C3534)-LEN(SUBSTITUTE($C3534,",",""))+1)</f>
        <v/>
      </c>
      <c r="K3534" s="26">
        <f>IF($A3534="","",SUMPRODUCT(--ISNUMBER(SEARCH('Category Dictionary'!$D$5:$D$135&amp;"",$C3534)),--('Category Dictionary'!$D$5:$D$135&lt;&gt;"")))</f>
        <v/>
      </c>
      <c r="L3534" s="27">
        <f>IF($A3534="","",TRIM(IF(ISERROR(FIND(",",$C3534)),$C3534,LEFT($C3534,FIND(",",$C3534)-1))))</f>
        <v/>
      </c>
      <c r="M3534" s="28">
        <f>IF($H3534="","",DATE(YEAR($H3534),MONTH($H3534),1))</f>
        <v/>
      </c>
      <c r="N3534" s="26">
        <f>IF($H3534="","",TODAY()-$H3534)</f>
        <v/>
      </c>
      <c r="O3534" s="15" t="n"/>
      <c r="P3534" s="15" t="n"/>
      <c r="Q3534" s="15" t="n"/>
      <c r="R3534" s="25" t="n"/>
      <c r="S3534" s="26">
        <f>IF($A3534="","",AND(OR('Assignment Builder'!$B$5="",$B3534='Assignment Builder'!$B$5),OR('Assignment Builder'!$B$6="",ISNUMBER(SEARCH('Assignment Builder'!$B$6,$C3534))),OR('Assignment Builder'!$B$7="",'Assignment Builder'!$B$7=IFERROR(INDEX('Category Dictionary'!$C$5:$C$135,MATCH($L3534,'Category Dictionary'!$D$5:$D$135,0)),"")),OR('Assignment Builder'!$B$8="",$D3534='Assignment Builder'!$B$8),OR('Assignment Builder'!$B$9="",$F3534='Assignment Builder'!$B$9),OR('Assignment Builder'!$B$10="",$O3534='Assignment Builder'!$B$10),OR('Assignment Builder'!$B$11="",$H3534&gt;='Assignment Builder'!$B$11),OR('Assignment Builder'!$B$12="",N($Q3534)&lt;='Assignment Builder'!$B$12)))</f>
        <v/>
      </c>
      <c r="T3534" s="23" t="n"/>
    </row>
    <row r="3535">
      <c r="A3535" s="23" t="n"/>
      <c r="B3535" s="23" t="n"/>
      <c r="C3535" s="24" t="n"/>
      <c r="D3535" s="15" t="n"/>
      <c r="E3535" s="23" t="n"/>
      <c r="F3535" s="15" t="n"/>
      <c r="G3535" s="23" t="n"/>
      <c r="H3535" s="25" t="n"/>
      <c r="I3535" s="15" t="n"/>
      <c r="J3535" s="26">
        <f>IF($A3535="","",LEN($C3535)-LEN(SUBSTITUTE($C3535,",",""))+1)</f>
        <v/>
      </c>
      <c r="K3535" s="26">
        <f>IF($A3535="","",SUMPRODUCT(--ISNUMBER(SEARCH('Category Dictionary'!$D$5:$D$135&amp;"",$C3535)),--('Category Dictionary'!$D$5:$D$135&lt;&gt;"")))</f>
        <v/>
      </c>
      <c r="L3535" s="27">
        <f>IF($A3535="","",TRIM(IF(ISERROR(FIND(",",$C3535)),$C3535,LEFT($C3535,FIND(",",$C3535)-1))))</f>
        <v/>
      </c>
      <c r="M3535" s="28">
        <f>IF($H3535="","",DATE(YEAR($H3535),MONTH($H3535),1))</f>
        <v/>
      </c>
      <c r="N3535" s="26">
        <f>IF($H3535="","",TODAY()-$H3535)</f>
        <v/>
      </c>
      <c r="O3535" s="15" t="n"/>
      <c r="P3535" s="15" t="n"/>
      <c r="Q3535" s="15" t="n"/>
      <c r="R3535" s="25" t="n"/>
      <c r="S3535" s="26">
        <f>IF($A3535="","",AND(OR('Assignment Builder'!$B$5="",$B3535='Assignment Builder'!$B$5),OR('Assignment Builder'!$B$6="",ISNUMBER(SEARCH('Assignment Builder'!$B$6,$C3535))),OR('Assignment Builder'!$B$7="",'Assignment Builder'!$B$7=IFERROR(INDEX('Category Dictionary'!$C$5:$C$135,MATCH($L3535,'Category Dictionary'!$D$5:$D$135,0)),"")),OR('Assignment Builder'!$B$8="",$D3535='Assignment Builder'!$B$8),OR('Assignment Builder'!$B$9="",$F3535='Assignment Builder'!$B$9),OR('Assignment Builder'!$B$10="",$O3535='Assignment Builder'!$B$10),OR('Assignment Builder'!$B$11="",$H3535&gt;='Assignment Builder'!$B$11),OR('Assignment Builder'!$B$12="",N($Q3535)&lt;='Assignment Builder'!$B$12)))</f>
        <v/>
      </c>
      <c r="T3535" s="23" t="n"/>
    </row>
    <row r="3536">
      <c r="A3536" s="23" t="n"/>
      <c r="B3536" s="23" t="n"/>
      <c r="C3536" s="24" t="n"/>
      <c r="D3536" s="15" t="n"/>
      <c r="E3536" s="23" t="n"/>
      <c r="F3536" s="15" t="n"/>
      <c r="G3536" s="23" t="n"/>
      <c r="H3536" s="25" t="n"/>
      <c r="I3536" s="15" t="n"/>
      <c r="J3536" s="26">
        <f>IF($A3536="","",LEN($C3536)-LEN(SUBSTITUTE($C3536,",",""))+1)</f>
        <v/>
      </c>
      <c r="K3536" s="26">
        <f>IF($A3536="","",SUMPRODUCT(--ISNUMBER(SEARCH('Category Dictionary'!$D$5:$D$135&amp;"",$C3536)),--('Category Dictionary'!$D$5:$D$135&lt;&gt;"")))</f>
        <v/>
      </c>
      <c r="L3536" s="27">
        <f>IF($A3536="","",TRIM(IF(ISERROR(FIND(",",$C3536)),$C3536,LEFT($C3536,FIND(",",$C3536)-1))))</f>
        <v/>
      </c>
      <c r="M3536" s="28">
        <f>IF($H3536="","",DATE(YEAR($H3536),MONTH($H3536),1))</f>
        <v/>
      </c>
      <c r="N3536" s="26">
        <f>IF($H3536="","",TODAY()-$H3536)</f>
        <v/>
      </c>
      <c r="O3536" s="15" t="n"/>
      <c r="P3536" s="15" t="n"/>
      <c r="Q3536" s="15" t="n"/>
      <c r="R3536" s="25" t="n"/>
      <c r="S3536" s="26">
        <f>IF($A3536="","",AND(OR('Assignment Builder'!$B$5="",$B3536='Assignment Builder'!$B$5),OR('Assignment Builder'!$B$6="",ISNUMBER(SEARCH('Assignment Builder'!$B$6,$C3536))),OR('Assignment Builder'!$B$7="",'Assignment Builder'!$B$7=IFERROR(INDEX('Category Dictionary'!$C$5:$C$135,MATCH($L3536,'Category Dictionary'!$D$5:$D$135,0)),"")),OR('Assignment Builder'!$B$8="",$D3536='Assignment Builder'!$B$8),OR('Assignment Builder'!$B$9="",$F3536='Assignment Builder'!$B$9),OR('Assignment Builder'!$B$10="",$O3536='Assignment Builder'!$B$10),OR('Assignment Builder'!$B$11="",$H3536&gt;='Assignment Builder'!$B$11),OR('Assignment Builder'!$B$12="",N($Q3536)&lt;='Assignment Builder'!$B$12)))</f>
        <v/>
      </c>
      <c r="T3536" s="23" t="n"/>
    </row>
    <row r="3537">
      <c r="A3537" s="23" t="n"/>
      <c r="B3537" s="23" t="n"/>
      <c r="C3537" s="24" t="n"/>
      <c r="D3537" s="15" t="n"/>
      <c r="E3537" s="23" t="n"/>
      <c r="F3537" s="15" t="n"/>
      <c r="G3537" s="23" t="n"/>
      <c r="H3537" s="25" t="n"/>
      <c r="I3537" s="15" t="n"/>
      <c r="J3537" s="26">
        <f>IF($A3537="","",LEN($C3537)-LEN(SUBSTITUTE($C3537,",",""))+1)</f>
        <v/>
      </c>
      <c r="K3537" s="26">
        <f>IF($A3537="","",SUMPRODUCT(--ISNUMBER(SEARCH('Category Dictionary'!$D$5:$D$135&amp;"",$C3537)),--('Category Dictionary'!$D$5:$D$135&lt;&gt;"")))</f>
        <v/>
      </c>
      <c r="L3537" s="27">
        <f>IF($A3537="","",TRIM(IF(ISERROR(FIND(",",$C3537)),$C3537,LEFT($C3537,FIND(",",$C3537)-1))))</f>
        <v/>
      </c>
      <c r="M3537" s="28">
        <f>IF($H3537="","",DATE(YEAR($H3537),MONTH($H3537),1))</f>
        <v/>
      </c>
      <c r="N3537" s="26">
        <f>IF($H3537="","",TODAY()-$H3537)</f>
        <v/>
      </c>
      <c r="O3537" s="15" t="n"/>
      <c r="P3537" s="15" t="n"/>
      <c r="Q3537" s="15" t="n"/>
      <c r="R3537" s="25" t="n"/>
      <c r="S3537" s="26">
        <f>IF($A3537="","",AND(OR('Assignment Builder'!$B$5="",$B3537='Assignment Builder'!$B$5),OR('Assignment Builder'!$B$6="",ISNUMBER(SEARCH('Assignment Builder'!$B$6,$C3537))),OR('Assignment Builder'!$B$7="",'Assignment Builder'!$B$7=IFERROR(INDEX('Category Dictionary'!$C$5:$C$135,MATCH($L3537,'Category Dictionary'!$D$5:$D$135,0)),"")),OR('Assignment Builder'!$B$8="",$D3537='Assignment Builder'!$B$8),OR('Assignment Builder'!$B$9="",$F3537='Assignment Builder'!$B$9),OR('Assignment Builder'!$B$10="",$O3537='Assignment Builder'!$B$10),OR('Assignment Builder'!$B$11="",$H3537&gt;='Assignment Builder'!$B$11),OR('Assignment Builder'!$B$12="",N($Q3537)&lt;='Assignment Builder'!$B$12)))</f>
        <v/>
      </c>
      <c r="T3537" s="23" t="n"/>
    </row>
    <row r="3538">
      <c r="A3538" s="23" t="n"/>
      <c r="B3538" s="23" t="n"/>
      <c r="C3538" s="24" t="n"/>
      <c r="D3538" s="15" t="n"/>
      <c r="E3538" s="23" t="n"/>
      <c r="F3538" s="15" t="n"/>
      <c r="G3538" s="23" t="n"/>
      <c r="H3538" s="25" t="n"/>
      <c r="I3538" s="15" t="n"/>
      <c r="J3538" s="26">
        <f>IF($A3538="","",LEN($C3538)-LEN(SUBSTITUTE($C3538,",",""))+1)</f>
        <v/>
      </c>
      <c r="K3538" s="26">
        <f>IF($A3538="","",SUMPRODUCT(--ISNUMBER(SEARCH('Category Dictionary'!$D$5:$D$135&amp;"",$C3538)),--('Category Dictionary'!$D$5:$D$135&lt;&gt;"")))</f>
        <v/>
      </c>
      <c r="L3538" s="27">
        <f>IF($A3538="","",TRIM(IF(ISERROR(FIND(",",$C3538)),$C3538,LEFT($C3538,FIND(",",$C3538)-1))))</f>
        <v/>
      </c>
      <c r="M3538" s="28">
        <f>IF($H3538="","",DATE(YEAR($H3538),MONTH($H3538),1))</f>
        <v/>
      </c>
      <c r="N3538" s="26">
        <f>IF($H3538="","",TODAY()-$H3538)</f>
        <v/>
      </c>
      <c r="O3538" s="15" t="n"/>
      <c r="P3538" s="15" t="n"/>
      <c r="Q3538" s="15" t="n"/>
      <c r="R3538" s="25" t="n"/>
      <c r="S3538" s="26">
        <f>IF($A3538="","",AND(OR('Assignment Builder'!$B$5="",$B3538='Assignment Builder'!$B$5),OR('Assignment Builder'!$B$6="",ISNUMBER(SEARCH('Assignment Builder'!$B$6,$C3538))),OR('Assignment Builder'!$B$7="",'Assignment Builder'!$B$7=IFERROR(INDEX('Category Dictionary'!$C$5:$C$135,MATCH($L3538,'Category Dictionary'!$D$5:$D$135,0)),"")),OR('Assignment Builder'!$B$8="",$D3538='Assignment Builder'!$B$8),OR('Assignment Builder'!$B$9="",$F3538='Assignment Builder'!$B$9),OR('Assignment Builder'!$B$10="",$O3538='Assignment Builder'!$B$10),OR('Assignment Builder'!$B$11="",$H3538&gt;='Assignment Builder'!$B$11),OR('Assignment Builder'!$B$12="",N($Q3538)&lt;='Assignment Builder'!$B$12)))</f>
        <v/>
      </c>
      <c r="T3538" s="23" t="n"/>
    </row>
    <row r="3539">
      <c r="A3539" s="23" t="n"/>
      <c r="B3539" s="23" t="n"/>
      <c r="C3539" s="24" t="n"/>
      <c r="D3539" s="15" t="n"/>
      <c r="E3539" s="23" t="n"/>
      <c r="F3539" s="15" t="n"/>
      <c r="G3539" s="23" t="n"/>
      <c r="H3539" s="25" t="n"/>
      <c r="I3539" s="15" t="n"/>
      <c r="J3539" s="26">
        <f>IF($A3539="","",LEN($C3539)-LEN(SUBSTITUTE($C3539,",",""))+1)</f>
        <v/>
      </c>
      <c r="K3539" s="26">
        <f>IF($A3539="","",SUMPRODUCT(--ISNUMBER(SEARCH('Category Dictionary'!$D$5:$D$135&amp;"",$C3539)),--('Category Dictionary'!$D$5:$D$135&lt;&gt;"")))</f>
        <v/>
      </c>
      <c r="L3539" s="27">
        <f>IF($A3539="","",TRIM(IF(ISERROR(FIND(",",$C3539)),$C3539,LEFT($C3539,FIND(",",$C3539)-1))))</f>
        <v/>
      </c>
      <c r="M3539" s="28">
        <f>IF($H3539="","",DATE(YEAR($H3539),MONTH($H3539),1))</f>
        <v/>
      </c>
      <c r="N3539" s="26">
        <f>IF($H3539="","",TODAY()-$H3539)</f>
        <v/>
      </c>
      <c r="O3539" s="15" t="n"/>
      <c r="P3539" s="15" t="n"/>
      <c r="Q3539" s="15" t="n"/>
      <c r="R3539" s="25" t="n"/>
      <c r="S3539" s="26">
        <f>IF($A3539="","",AND(OR('Assignment Builder'!$B$5="",$B3539='Assignment Builder'!$B$5),OR('Assignment Builder'!$B$6="",ISNUMBER(SEARCH('Assignment Builder'!$B$6,$C3539))),OR('Assignment Builder'!$B$7="",'Assignment Builder'!$B$7=IFERROR(INDEX('Category Dictionary'!$C$5:$C$135,MATCH($L3539,'Category Dictionary'!$D$5:$D$135,0)),"")),OR('Assignment Builder'!$B$8="",$D3539='Assignment Builder'!$B$8),OR('Assignment Builder'!$B$9="",$F3539='Assignment Builder'!$B$9),OR('Assignment Builder'!$B$10="",$O3539='Assignment Builder'!$B$10),OR('Assignment Builder'!$B$11="",$H3539&gt;='Assignment Builder'!$B$11),OR('Assignment Builder'!$B$12="",N($Q3539)&lt;='Assignment Builder'!$B$12)))</f>
        <v/>
      </c>
      <c r="T3539" s="23" t="n"/>
    </row>
    <row r="3540">
      <c r="A3540" s="23" t="n"/>
      <c r="B3540" s="23" t="n"/>
      <c r="C3540" s="24" t="n"/>
      <c r="D3540" s="15" t="n"/>
      <c r="E3540" s="23" t="n"/>
      <c r="F3540" s="15" t="n"/>
      <c r="G3540" s="23" t="n"/>
      <c r="H3540" s="25" t="n"/>
      <c r="I3540" s="15" t="n"/>
      <c r="J3540" s="26">
        <f>IF($A3540="","",LEN($C3540)-LEN(SUBSTITUTE($C3540,",",""))+1)</f>
        <v/>
      </c>
      <c r="K3540" s="26">
        <f>IF($A3540="","",SUMPRODUCT(--ISNUMBER(SEARCH('Category Dictionary'!$D$5:$D$135&amp;"",$C3540)),--('Category Dictionary'!$D$5:$D$135&lt;&gt;"")))</f>
        <v/>
      </c>
      <c r="L3540" s="27">
        <f>IF($A3540="","",TRIM(IF(ISERROR(FIND(",",$C3540)),$C3540,LEFT($C3540,FIND(",",$C3540)-1))))</f>
        <v/>
      </c>
      <c r="M3540" s="28">
        <f>IF($H3540="","",DATE(YEAR($H3540),MONTH($H3540),1))</f>
        <v/>
      </c>
      <c r="N3540" s="26">
        <f>IF($H3540="","",TODAY()-$H3540)</f>
        <v/>
      </c>
      <c r="O3540" s="15" t="n"/>
      <c r="P3540" s="15" t="n"/>
      <c r="Q3540" s="15" t="n"/>
      <c r="R3540" s="25" t="n"/>
      <c r="S3540" s="26">
        <f>IF($A3540="","",AND(OR('Assignment Builder'!$B$5="",$B3540='Assignment Builder'!$B$5),OR('Assignment Builder'!$B$6="",ISNUMBER(SEARCH('Assignment Builder'!$B$6,$C3540))),OR('Assignment Builder'!$B$7="",'Assignment Builder'!$B$7=IFERROR(INDEX('Category Dictionary'!$C$5:$C$135,MATCH($L3540,'Category Dictionary'!$D$5:$D$135,0)),"")),OR('Assignment Builder'!$B$8="",$D3540='Assignment Builder'!$B$8),OR('Assignment Builder'!$B$9="",$F3540='Assignment Builder'!$B$9),OR('Assignment Builder'!$B$10="",$O3540='Assignment Builder'!$B$10),OR('Assignment Builder'!$B$11="",$H3540&gt;='Assignment Builder'!$B$11),OR('Assignment Builder'!$B$12="",N($Q3540)&lt;='Assignment Builder'!$B$12)))</f>
        <v/>
      </c>
      <c r="T3540" s="23" t="n"/>
    </row>
    <row r="3541">
      <c r="A3541" s="23" t="n"/>
      <c r="B3541" s="23" t="n"/>
      <c r="C3541" s="24" t="n"/>
      <c r="D3541" s="15" t="n"/>
      <c r="E3541" s="23" t="n"/>
      <c r="F3541" s="15" t="n"/>
      <c r="G3541" s="23" t="n"/>
      <c r="H3541" s="25" t="n"/>
      <c r="I3541" s="15" t="n"/>
      <c r="J3541" s="26">
        <f>IF($A3541="","",LEN($C3541)-LEN(SUBSTITUTE($C3541,",",""))+1)</f>
        <v/>
      </c>
      <c r="K3541" s="26">
        <f>IF($A3541="","",SUMPRODUCT(--ISNUMBER(SEARCH('Category Dictionary'!$D$5:$D$135&amp;"",$C3541)),--('Category Dictionary'!$D$5:$D$135&lt;&gt;"")))</f>
        <v/>
      </c>
      <c r="L3541" s="27">
        <f>IF($A3541="","",TRIM(IF(ISERROR(FIND(",",$C3541)),$C3541,LEFT($C3541,FIND(",",$C3541)-1))))</f>
        <v/>
      </c>
      <c r="M3541" s="28">
        <f>IF($H3541="","",DATE(YEAR($H3541),MONTH($H3541),1))</f>
        <v/>
      </c>
      <c r="N3541" s="26">
        <f>IF($H3541="","",TODAY()-$H3541)</f>
        <v/>
      </c>
      <c r="O3541" s="15" t="n"/>
      <c r="P3541" s="15" t="n"/>
      <c r="Q3541" s="15" t="n"/>
      <c r="R3541" s="25" t="n"/>
      <c r="S3541" s="26">
        <f>IF($A3541="","",AND(OR('Assignment Builder'!$B$5="",$B3541='Assignment Builder'!$B$5),OR('Assignment Builder'!$B$6="",ISNUMBER(SEARCH('Assignment Builder'!$B$6,$C3541))),OR('Assignment Builder'!$B$7="",'Assignment Builder'!$B$7=IFERROR(INDEX('Category Dictionary'!$C$5:$C$135,MATCH($L3541,'Category Dictionary'!$D$5:$D$135,0)),"")),OR('Assignment Builder'!$B$8="",$D3541='Assignment Builder'!$B$8),OR('Assignment Builder'!$B$9="",$F3541='Assignment Builder'!$B$9),OR('Assignment Builder'!$B$10="",$O3541='Assignment Builder'!$B$10),OR('Assignment Builder'!$B$11="",$H3541&gt;='Assignment Builder'!$B$11),OR('Assignment Builder'!$B$12="",N($Q3541)&lt;='Assignment Builder'!$B$12)))</f>
        <v/>
      </c>
      <c r="T3541" s="23" t="n"/>
    </row>
    <row r="3542">
      <c r="A3542" s="23" t="n"/>
      <c r="B3542" s="23" t="n"/>
      <c r="C3542" s="24" t="n"/>
      <c r="D3542" s="15" t="n"/>
      <c r="E3542" s="23" t="n"/>
      <c r="F3542" s="15" t="n"/>
      <c r="G3542" s="23" t="n"/>
      <c r="H3542" s="25" t="n"/>
      <c r="I3542" s="15" t="n"/>
      <c r="J3542" s="26">
        <f>IF($A3542="","",LEN($C3542)-LEN(SUBSTITUTE($C3542,",",""))+1)</f>
        <v/>
      </c>
      <c r="K3542" s="26">
        <f>IF($A3542="","",SUMPRODUCT(--ISNUMBER(SEARCH('Category Dictionary'!$D$5:$D$135&amp;"",$C3542)),--('Category Dictionary'!$D$5:$D$135&lt;&gt;"")))</f>
        <v/>
      </c>
      <c r="L3542" s="27">
        <f>IF($A3542="","",TRIM(IF(ISERROR(FIND(",",$C3542)),$C3542,LEFT($C3542,FIND(",",$C3542)-1))))</f>
        <v/>
      </c>
      <c r="M3542" s="28">
        <f>IF($H3542="","",DATE(YEAR($H3542),MONTH($H3542),1))</f>
        <v/>
      </c>
      <c r="N3542" s="26">
        <f>IF($H3542="","",TODAY()-$H3542)</f>
        <v/>
      </c>
      <c r="O3542" s="15" t="n"/>
      <c r="P3542" s="15" t="n"/>
      <c r="Q3542" s="15" t="n"/>
      <c r="R3542" s="25" t="n"/>
      <c r="S3542" s="26">
        <f>IF($A3542="","",AND(OR('Assignment Builder'!$B$5="",$B3542='Assignment Builder'!$B$5),OR('Assignment Builder'!$B$6="",ISNUMBER(SEARCH('Assignment Builder'!$B$6,$C3542))),OR('Assignment Builder'!$B$7="",'Assignment Builder'!$B$7=IFERROR(INDEX('Category Dictionary'!$C$5:$C$135,MATCH($L3542,'Category Dictionary'!$D$5:$D$135,0)),"")),OR('Assignment Builder'!$B$8="",$D3542='Assignment Builder'!$B$8),OR('Assignment Builder'!$B$9="",$F3542='Assignment Builder'!$B$9),OR('Assignment Builder'!$B$10="",$O3542='Assignment Builder'!$B$10),OR('Assignment Builder'!$B$11="",$H3542&gt;='Assignment Builder'!$B$11),OR('Assignment Builder'!$B$12="",N($Q3542)&lt;='Assignment Builder'!$B$12)))</f>
        <v/>
      </c>
      <c r="T3542" s="23" t="n"/>
    </row>
    <row r="3543">
      <c r="A3543" s="23" t="n"/>
      <c r="B3543" s="23" t="n"/>
      <c r="C3543" s="24" t="n"/>
      <c r="D3543" s="15" t="n"/>
      <c r="E3543" s="23" t="n"/>
      <c r="F3543" s="15" t="n"/>
      <c r="G3543" s="23" t="n"/>
      <c r="H3543" s="25" t="n"/>
      <c r="I3543" s="15" t="n"/>
      <c r="J3543" s="26">
        <f>IF($A3543="","",LEN($C3543)-LEN(SUBSTITUTE($C3543,",",""))+1)</f>
        <v/>
      </c>
      <c r="K3543" s="26">
        <f>IF($A3543="","",SUMPRODUCT(--ISNUMBER(SEARCH('Category Dictionary'!$D$5:$D$135&amp;"",$C3543)),--('Category Dictionary'!$D$5:$D$135&lt;&gt;"")))</f>
        <v/>
      </c>
      <c r="L3543" s="27">
        <f>IF($A3543="","",TRIM(IF(ISERROR(FIND(",",$C3543)),$C3543,LEFT($C3543,FIND(",",$C3543)-1))))</f>
        <v/>
      </c>
      <c r="M3543" s="28">
        <f>IF($H3543="","",DATE(YEAR($H3543),MONTH($H3543),1))</f>
        <v/>
      </c>
      <c r="N3543" s="26">
        <f>IF($H3543="","",TODAY()-$H3543)</f>
        <v/>
      </c>
      <c r="O3543" s="15" t="n"/>
      <c r="P3543" s="15" t="n"/>
      <c r="Q3543" s="15" t="n"/>
      <c r="R3543" s="25" t="n"/>
      <c r="S3543" s="26">
        <f>IF($A3543="","",AND(OR('Assignment Builder'!$B$5="",$B3543='Assignment Builder'!$B$5),OR('Assignment Builder'!$B$6="",ISNUMBER(SEARCH('Assignment Builder'!$B$6,$C3543))),OR('Assignment Builder'!$B$7="",'Assignment Builder'!$B$7=IFERROR(INDEX('Category Dictionary'!$C$5:$C$135,MATCH($L3543,'Category Dictionary'!$D$5:$D$135,0)),"")),OR('Assignment Builder'!$B$8="",$D3543='Assignment Builder'!$B$8),OR('Assignment Builder'!$B$9="",$F3543='Assignment Builder'!$B$9),OR('Assignment Builder'!$B$10="",$O3543='Assignment Builder'!$B$10),OR('Assignment Builder'!$B$11="",$H3543&gt;='Assignment Builder'!$B$11),OR('Assignment Builder'!$B$12="",N($Q3543)&lt;='Assignment Builder'!$B$12)))</f>
        <v/>
      </c>
      <c r="T3543" s="23" t="n"/>
    </row>
    <row r="3544">
      <c r="A3544" s="23" t="n"/>
      <c r="B3544" s="23" t="n"/>
      <c r="C3544" s="24" t="n"/>
      <c r="D3544" s="15" t="n"/>
      <c r="E3544" s="23" t="n"/>
      <c r="F3544" s="15" t="n"/>
      <c r="G3544" s="23" t="n"/>
      <c r="H3544" s="25" t="n"/>
      <c r="I3544" s="15" t="n"/>
      <c r="J3544" s="26">
        <f>IF($A3544="","",LEN($C3544)-LEN(SUBSTITUTE($C3544,",",""))+1)</f>
        <v/>
      </c>
      <c r="K3544" s="26">
        <f>IF($A3544="","",SUMPRODUCT(--ISNUMBER(SEARCH('Category Dictionary'!$D$5:$D$135&amp;"",$C3544)),--('Category Dictionary'!$D$5:$D$135&lt;&gt;"")))</f>
        <v/>
      </c>
      <c r="L3544" s="27">
        <f>IF($A3544="","",TRIM(IF(ISERROR(FIND(",",$C3544)),$C3544,LEFT($C3544,FIND(",",$C3544)-1))))</f>
        <v/>
      </c>
      <c r="M3544" s="28">
        <f>IF($H3544="","",DATE(YEAR($H3544),MONTH($H3544),1))</f>
        <v/>
      </c>
      <c r="N3544" s="26">
        <f>IF($H3544="","",TODAY()-$H3544)</f>
        <v/>
      </c>
      <c r="O3544" s="15" t="n"/>
      <c r="P3544" s="15" t="n"/>
      <c r="Q3544" s="15" t="n"/>
      <c r="R3544" s="25" t="n"/>
      <c r="S3544" s="26">
        <f>IF($A3544="","",AND(OR('Assignment Builder'!$B$5="",$B3544='Assignment Builder'!$B$5),OR('Assignment Builder'!$B$6="",ISNUMBER(SEARCH('Assignment Builder'!$B$6,$C3544))),OR('Assignment Builder'!$B$7="",'Assignment Builder'!$B$7=IFERROR(INDEX('Category Dictionary'!$C$5:$C$135,MATCH($L3544,'Category Dictionary'!$D$5:$D$135,0)),"")),OR('Assignment Builder'!$B$8="",$D3544='Assignment Builder'!$B$8),OR('Assignment Builder'!$B$9="",$F3544='Assignment Builder'!$B$9),OR('Assignment Builder'!$B$10="",$O3544='Assignment Builder'!$B$10),OR('Assignment Builder'!$B$11="",$H3544&gt;='Assignment Builder'!$B$11),OR('Assignment Builder'!$B$12="",N($Q3544)&lt;='Assignment Builder'!$B$12)))</f>
        <v/>
      </c>
      <c r="T3544" s="23" t="n"/>
    </row>
    <row r="3545">
      <c r="A3545" s="23" t="n"/>
      <c r="B3545" s="23" t="n"/>
      <c r="C3545" s="24" t="n"/>
      <c r="D3545" s="15" t="n"/>
      <c r="E3545" s="23" t="n"/>
      <c r="F3545" s="15" t="n"/>
      <c r="G3545" s="23" t="n"/>
      <c r="H3545" s="25" t="n"/>
      <c r="I3545" s="15" t="n"/>
      <c r="J3545" s="26">
        <f>IF($A3545="","",LEN($C3545)-LEN(SUBSTITUTE($C3545,",",""))+1)</f>
        <v/>
      </c>
      <c r="K3545" s="26">
        <f>IF($A3545="","",SUMPRODUCT(--ISNUMBER(SEARCH('Category Dictionary'!$D$5:$D$135&amp;"",$C3545)),--('Category Dictionary'!$D$5:$D$135&lt;&gt;"")))</f>
        <v/>
      </c>
      <c r="L3545" s="27">
        <f>IF($A3545="","",TRIM(IF(ISERROR(FIND(",",$C3545)),$C3545,LEFT($C3545,FIND(",",$C3545)-1))))</f>
        <v/>
      </c>
      <c r="M3545" s="28">
        <f>IF($H3545="","",DATE(YEAR($H3545),MONTH($H3545),1))</f>
        <v/>
      </c>
      <c r="N3545" s="26">
        <f>IF($H3545="","",TODAY()-$H3545)</f>
        <v/>
      </c>
      <c r="O3545" s="15" t="n"/>
      <c r="P3545" s="15" t="n"/>
      <c r="Q3545" s="15" t="n"/>
      <c r="R3545" s="25" t="n"/>
      <c r="S3545" s="26">
        <f>IF($A3545="","",AND(OR('Assignment Builder'!$B$5="",$B3545='Assignment Builder'!$B$5),OR('Assignment Builder'!$B$6="",ISNUMBER(SEARCH('Assignment Builder'!$B$6,$C3545))),OR('Assignment Builder'!$B$7="",'Assignment Builder'!$B$7=IFERROR(INDEX('Category Dictionary'!$C$5:$C$135,MATCH($L3545,'Category Dictionary'!$D$5:$D$135,0)),"")),OR('Assignment Builder'!$B$8="",$D3545='Assignment Builder'!$B$8),OR('Assignment Builder'!$B$9="",$F3545='Assignment Builder'!$B$9),OR('Assignment Builder'!$B$10="",$O3545='Assignment Builder'!$B$10),OR('Assignment Builder'!$B$11="",$H3545&gt;='Assignment Builder'!$B$11),OR('Assignment Builder'!$B$12="",N($Q3545)&lt;='Assignment Builder'!$B$12)))</f>
        <v/>
      </c>
      <c r="T3545" s="23" t="n"/>
    </row>
    <row r="3546">
      <c r="A3546" s="23" t="n"/>
      <c r="B3546" s="23" t="n"/>
      <c r="C3546" s="24" t="n"/>
      <c r="D3546" s="15" t="n"/>
      <c r="E3546" s="23" t="n"/>
      <c r="F3546" s="15" t="n"/>
      <c r="G3546" s="23" t="n"/>
      <c r="H3546" s="25" t="n"/>
      <c r="I3546" s="15" t="n"/>
      <c r="J3546" s="26">
        <f>IF($A3546="","",LEN($C3546)-LEN(SUBSTITUTE($C3546,",",""))+1)</f>
        <v/>
      </c>
      <c r="K3546" s="26">
        <f>IF($A3546="","",SUMPRODUCT(--ISNUMBER(SEARCH('Category Dictionary'!$D$5:$D$135&amp;"",$C3546)),--('Category Dictionary'!$D$5:$D$135&lt;&gt;"")))</f>
        <v/>
      </c>
      <c r="L3546" s="27">
        <f>IF($A3546="","",TRIM(IF(ISERROR(FIND(",",$C3546)),$C3546,LEFT($C3546,FIND(",",$C3546)-1))))</f>
        <v/>
      </c>
      <c r="M3546" s="28">
        <f>IF($H3546="","",DATE(YEAR($H3546),MONTH($H3546),1))</f>
        <v/>
      </c>
      <c r="N3546" s="26">
        <f>IF($H3546="","",TODAY()-$H3546)</f>
        <v/>
      </c>
      <c r="O3546" s="15" t="n"/>
      <c r="P3546" s="15" t="n"/>
      <c r="Q3546" s="15" t="n"/>
      <c r="R3546" s="25" t="n"/>
      <c r="S3546" s="26">
        <f>IF($A3546="","",AND(OR('Assignment Builder'!$B$5="",$B3546='Assignment Builder'!$B$5),OR('Assignment Builder'!$B$6="",ISNUMBER(SEARCH('Assignment Builder'!$B$6,$C3546))),OR('Assignment Builder'!$B$7="",'Assignment Builder'!$B$7=IFERROR(INDEX('Category Dictionary'!$C$5:$C$135,MATCH($L3546,'Category Dictionary'!$D$5:$D$135,0)),"")),OR('Assignment Builder'!$B$8="",$D3546='Assignment Builder'!$B$8),OR('Assignment Builder'!$B$9="",$F3546='Assignment Builder'!$B$9),OR('Assignment Builder'!$B$10="",$O3546='Assignment Builder'!$B$10),OR('Assignment Builder'!$B$11="",$H3546&gt;='Assignment Builder'!$B$11),OR('Assignment Builder'!$B$12="",N($Q3546)&lt;='Assignment Builder'!$B$12)))</f>
        <v/>
      </c>
      <c r="T3546" s="23" t="n"/>
    </row>
    <row r="3547">
      <c r="A3547" s="23" t="n"/>
      <c r="B3547" s="23" t="n"/>
      <c r="C3547" s="24" t="n"/>
      <c r="D3547" s="15" t="n"/>
      <c r="E3547" s="23" t="n"/>
      <c r="F3547" s="15" t="n"/>
      <c r="G3547" s="23" t="n"/>
      <c r="H3547" s="25" t="n"/>
      <c r="I3547" s="15" t="n"/>
      <c r="J3547" s="26">
        <f>IF($A3547="","",LEN($C3547)-LEN(SUBSTITUTE($C3547,",",""))+1)</f>
        <v/>
      </c>
      <c r="K3547" s="26">
        <f>IF($A3547="","",SUMPRODUCT(--ISNUMBER(SEARCH('Category Dictionary'!$D$5:$D$135&amp;"",$C3547)),--('Category Dictionary'!$D$5:$D$135&lt;&gt;"")))</f>
        <v/>
      </c>
      <c r="L3547" s="27">
        <f>IF($A3547="","",TRIM(IF(ISERROR(FIND(",",$C3547)),$C3547,LEFT($C3547,FIND(",",$C3547)-1))))</f>
        <v/>
      </c>
      <c r="M3547" s="28">
        <f>IF($H3547="","",DATE(YEAR($H3547),MONTH($H3547),1))</f>
        <v/>
      </c>
      <c r="N3547" s="26">
        <f>IF($H3547="","",TODAY()-$H3547)</f>
        <v/>
      </c>
      <c r="O3547" s="15" t="n"/>
      <c r="P3547" s="15" t="n"/>
      <c r="Q3547" s="15" t="n"/>
      <c r="R3547" s="25" t="n"/>
      <c r="S3547" s="26">
        <f>IF($A3547="","",AND(OR('Assignment Builder'!$B$5="",$B3547='Assignment Builder'!$B$5),OR('Assignment Builder'!$B$6="",ISNUMBER(SEARCH('Assignment Builder'!$B$6,$C3547))),OR('Assignment Builder'!$B$7="",'Assignment Builder'!$B$7=IFERROR(INDEX('Category Dictionary'!$C$5:$C$135,MATCH($L3547,'Category Dictionary'!$D$5:$D$135,0)),"")),OR('Assignment Builder'!$B$8="",$D3547='Assignment Builder'!$B$8),OR('Assignment Builder'!$B$9="",$F3547='Assignment Builder'!$B$9),OR('Assignment Builder'!$B$10="",$O3547='Assignment Builder'!$B$10),OR('Assignment Builder'!$B$11="",$H3547&gt;='Assignment Builder'!$B$11),OR('Assignment Builder'!$B$12="",N($Q3547)&lt;='Assignment Builder'!$B$12)))</f>
        <v/>
      </c>
      <c r="T3547" s="23" t="n"/>
    </row>
    <row r="3548">
      <c r="A3548" s="23" t="n"/>
      <c r="B3548" s="23" t="n"/>
      <c r="C3548" s="24" t="n"/>
      <c r="D3548" s="15" t="n"/>
      <c r="E3548" s="23" t="n"/>
      <c r="F3548" s="15" t="n"/>
      <c r="G3548" s="23" t="n"/>
      <c r="H3548" s="25" t="n"/>
      <c r="I3548" s="15" t="n"/>
      <c r="J3548" s="26">
        <f>IF($A3548="","",LEN($C3548)-LEN(SUBSTITUTE($C3548,",",""))+1)</f>
        <v/>
      </c>
      <c r="K3548" s="26">
        <f>IF($A3548="","",SUMPRODUCT(--ISNUMBER(SEARCH('Category Dictionary'!$D$5:$D$135&amp;"",$C3548)),--('Category Dictionary'!$D$5:$D$135&lt;&gt;"")))</f>
        <v/>
      </c>
      <c r="L3548" s="27">
        <f>IF($A3548="","",TRIM(IF(ISERROR(FIND(",",$C3548)),$C3548,LEFT($C3548,FIND(",",$C3548)-1))))</f>
        <v/>
      </c>
      <c r="M3548" s="28">
        <f>IF($H3548="","",DATE(YEAR($H3548),MONTH($H3548),1))</f>
        <v/>
      </c>
      <c r="N3548" s="26">
        <f>IF($H3548="","",TODAY()-$H3548)</f>
        <v/>
      </c>
      <c r="O3548" s="15" t="n"/>
      <c r="P3548" s="15" t="n"/>
      <c r="Q3548" s="15" t="n"/>
      <c r="R3548" s="25" t="n"/>
      <c r="S3548" s="26">
        <f>IF($A3548="","",AND(OR('Assignment Builder'!$B$5="",$B3548='Assignment Builder'!$B$5),OR('Assignment Builder'!$B$6="",ISNUMBER(SEARCH('Assignment Builder'!$B$6,$C3548))),OR('Assignment Builder'!$B$7="",'Assignment Builder'!$B$7=IFERROR(INDEX('Category Dictionary'!$C$5:$C$135,MATCH($L3548,'Category Dictionary'!$D$5:$D$135,0)),"")),OR('Assignment Builder'!$B$8="",$D3548='Assignment Builder'!$B$8),OR('Assignment Builder'!$B$9="",$F3548='Assignment Builder'!$B$9),OR('Assignment Builder'!$B$10="",$O3548='Assignment Builder'!$B$10),OR('Assignment Builder'!$B$11="",$H3548&gt;='Assignment Builder'!$B$11),OR('Assignment Builder'!$B$12="",N($Q3548)&lt;='Assignment Builder'!$B$12)))</f>
        <v/>
      </c>
      <c r="T3548" s="23" t="n"/>
    </row>
    <row r="3549">
      <c r="A3549" s="23" t="n"/>
      <c r="B3549" s="23" t="n"/>
      <c r="C3549" s="24" t="n"/>
      <c r="D3549" s="15" t="n"/>
      <c r="E3549" s="23" t="n"/>
      <c r="F3549" s="15" t="n"/>
      <c r="G3549" s="23" t="n"/>
      <c r="H3549" s="25" t="n"/>
      <c r="I3549" s="15" t="n"/>
      <c r="J3549" s="26">
        <f>IF($A3549="","",LEN($C3549)-LEN(SUBSTITUTE($C3549,",",""))+1)</f>
        <v/>
      </c>
      <c r="K3549" s="26">
        <f>IF($A3549="","",SUMPRODUCT(--ISNUMBER(SEARCH('Category Dictionary'!$D$5:$D$135&amp;"",$C3549)),--('Category Dictionary'!$D$5:$D$135&lt;&gt;"")))</f>
        <v/>
      </c>
      <c r="L3549" s="27">
        <f>IF($A3549="","",TRIM(IF(ISERROR(FIND(",",$C3549)),$C3549,LEFT($C3549,FIND(",",$C3549)-1))))</f>
        <v/>
      </c>
      <c r="M3549" s="28">
        <f>IF($H3549="","",DATE(YEAR($H3549),MONTH($H3549),1))</f>
        <v/>
      </c>
      <c r="N3549" s="26">
        <f>IF($H3549="","",TODAY()-$H3549)</f>
        <v/>
      </c>
      <c r="O3549" s="15" t="n"/>
      <c r="P3549" s="15" t="n"/>
      <c r="Q3549" s="15" t="n"/>
      <c r="R3549" s="25" t="n"/>
      <c r="S3549" s="26">
        <f>IF($A3549="","",AND(OR('Assignment Builder'!$B$5="",$B3549='Assignment Builder'!$B$5),OR('Assignment Builder'!$B$6="",ISNUMBER(SEARCH('Assignment Builder'!$B$6,$C3549))),OR('Assignment Builder'!$B$7="",'Assignment Builder'!$B$7=IFERROR(INDEX('Category Dictionary'!$C$5:$C$135,MATCH($L3549,'Category Dictionary'!$D$5:$D$135,0)),"")),OR('Assignment Builder'!$B$8="",$D3549='Assignment Builder'!$B$8),OR('Assignment Builder'!$B$9="",$F3549='Assignment Builder'!$B$9),OR('Assignment Builder'!$B$10="",$O3549='Assignment Builder'!$B$10),OR('Assignment Builder'!$B$11="",$H3549&gt;='Assignment Builder'!$B$11),OR('Assignment Builder'!$B$12="",N($Q3549)&lt;='Assignment Builder'!$B$12)))</f>
        <v/>
      </c>
      <c r="T3549" s="23" t="n"/>
    </row>
    <row r="3550">
      <c r="A3550" s="23" t="n"/>
      <c r="B3550" s="23" t="n"/>
      <c r="C3550" s="24" t="n"/>
      <c r="D3550" s="15" t="n"/>
      <c r="E3550" s="23" t="n"/>
      <c r="F3550" s="15" t="n"/>
      <c r="G3550" s="23" t="n"/>
      <c r="H3550" s="25" t="n"/>
      <c r="I3550" s="15" t="n"/>
      <c r="J3550" s="26">
        <f>IF($A3550="","",LEN($C3550)-LEN(SUBSTITUTE($C3550,",",""))+1)</f>
        <v/>
      </c>
      <c r="K3550" s="26">
        <f>IF($A3550="","",SUMPRODUCT(--ISNUMBER(SEARCH('Category Dictionary'!$D$5:$D$135&amp;"",$C3550)),--('Category Dictionary'!$D$5:$D$135&lt;&gt;"")))</f>
        <v/>
      </c>
      <c r="L3550" s="27">
        <f>IF($A3550="","",TRIM(IF(ISERROR(FIND(",",$C3550)),$C3550,LEFT($C3550,FIND(",",$C3550)-1))))</f>
        <v/>
      </c>
      <c r="M3550" s="28">
        <f>IF($H3550="","",DATE(YEAR($H3550),MONTH($H3550),1))</f>
        <v/>
      </c>
      <c r="N3550" s="26">
        <f>IF($H3550="","",TODAY()-$H3550)</f>
        <v/>
      </c>
      <c r="O3550" s="15" t="n"/>
      <c r="P3550" s="15" t="n"/>
      <c r="Q3550" s="15" t="n"/>
      <c r="R3550" s="25" t="n"/>
      <c r="S3550" s="26">
        <f>IF($A3550="","",AND(OR('Assignment Builder'!$B$5="",$B3550='Assignment Builder'!$B$5),OR('Assignment Builder'!$B$6="",ISNUMBER(SEARCH('Assignment Builder'!$B$6,$C3550))),OR('Assignment Builder'!$B$7="",'Assignment Builder'!$B$7=IFERROR(INDEX('Category Dictionary'!$C$5:$C$135,MATCH($L3550,'Category Dictionary'!$D$5:$D$135,0)),"")),OR('Assignment Builder'!$B$8="",$D3550='Assignment Builder'!$B$8),OR('Assignment Builder'!$B$9="",$F3550='Assignment Builder'!$B$9),OR('Assignment Builder'!$B$10="",$O3550='Assignment Builder'!$B$10),OR('Assignment Builder'!$B$11="",$H3550&gt;='Assignment Builder'!$B$11),OR('Assignment Builder'!$B$12="",N($Q3550)&lt;='Assignment Builder'!$B$12)))</f>
        <v/>
      </c>
      <c r="T3550" s="23" t="n"/>
    </row>
    <row r="3551">
      <c r="A3551" s="23" t="n"/>
      <c r="B3551" s="23" t="n"/>
      <c r="C3551" s="24" t="n"/>
      <c r="D3551" s="15" t="n"/>
      <c r="E3551" s="23" t="n"/>
      <c r="F3551" s="15" t="n"/>
      <c r="G3551" s="23" t="n"/>
      <c r="H3551" s="25" t="n"/>
      <c r="I3551" s="15" t="n"/>
      <c r="J3551" s="26">
        <f>IF($A3551="","",LEN($C3551)-LEN(SUBSTITUTE($C3551,",",""))+1)</f>
        <v/>
      </c>
      <c r="K3551" s="26">
        <f>IF($A3551="","",SUMPRODUCT(--ISNUMBER(SEARCH('Category Dictionary'!$D$5:$D$135&amp;"",$C3551)),--('Category Dictionary'!$D$5:$D$135&lt;&gt;"")))</f>
        <v/>
      </c>
      <c r="L3551" s="27">
        <f>IF($A3551="","",TRIM(IF(ISERROR(FIND(",",$C3551)),$C3551,LEFT($C3551,FIND(",",$C3551)-1))))</f>
        <v/>
      </c>
      <c r="M3551" s="28">
        <f>IF($H3551="","",DATE(YEAR($H3551),MONTH($H3551),1))</f>
        <v/>
      </c>
      <c r="N3551" s="26">
        <f>IF($H3551="","",TODAY()-$H3551)</f>
        <v/>
      </c>
      <c r="O3551" s="15" t="n"/>
      <c r="P3551" s="15" t="n"/>
      <c r="Q3551" s="15" t="n"/>
      <c r="R3551" s="25" t="n"/>
      <c r="S3551" s="26">
        <f>IF($A3551="","",AND(OR('Assignment Builder'!$B$5="",$B3551='Assignment Builder'!$B$5),OR('Assignment Builder'!$B$6="",ISNUMBER(SEARCH('Assignment Builder'!$B$6,$C3551))),OR('Assignment Builder'!$B$7="",'Assignment Builder'!$B$7=IFERROR(INDEX('Category Dictionary'!$C$5:$C$135,MATCH($L3551,'Category Dictionary'!$D$5:$D$135,0)),"")),OR('Assignment Builder'!$B$8="",$D3551='Assignment Builder'!$B$8),OR('Assignment Builder'!$B$9="",$F3551='Assignment Builder'!$B$9),OR('Assignment Builder'!$B$10="",$O3551='Assignment Builder'!$B$10),OR('Assignment Builder'!$B$11="",$H3551&gt;='Assignment Builder'!$B$11),OR('Assignment Builder'!$B$12="",N($Q3551)&lt;='Assignment Builder'!$B$12)))</f>
        <v/>
      </c>
      <c r="T3551" s="23" t="n"/>
    </row>
    <row r="3552">
      <c r="A3552" s="23" t="n"/>
      <c r="B3552" s="23" t="n"/>
      <c r="C3552" s="24" t="n"/>
      <c r="D3552" s="15" t="n"/>
      <c r="E3552" s="23" t="n"/>
      <c r="F3552" s="15" t="n"/>
      <c r="G3552" s="23" t="n"/>
      <c r="H3552" s="25" t="n"/>
      <c r="I3552" s="15" t="n"/>
      <c r="J3552" s="26">
        <f>IF($A3552="","",LEN($C3552)-LEN(SUBSTITUTE($C3552,",",""))+1)</f>
        <v/>
      </c>
      <c r="K3552" s="26">
        <f>IF($A3552="","",SUMPRODUCT(--ISNUMBER(SEARCH('Category Dictionary'!$D$5:$D$135&amp;"",$C3552)),--('Category Dictionary'!$D$5:$D$135&lt;&gt;"")))</f>
        <v/>
      </c>
      <c r="L3552" s="27">
        <f>IF($A3552="","",TRIM(IF(ISERROR(FIND(",",$C3552)),$C3552,LEFT($C3552,FIND(",",$C3552)-1))))</f>
        <v/>
      </c>
      <c r="M3552" s="28">
        <f>IF($H3552="","",DATE(YEAR($H3552),MONTH($H3552),1))</f>
        <v/>
      </c>
      <c r="N3552" s="26">
        <f>IF($H3552="","",TODAY()-$H3552)</f>
        <v/>
      </c>
      <c r="O3552" s="15" t="n"/>
      <c r="P3552" s="15" t="n"/>
      <c r="Q3552" s="15" t="n"/>
      <c r="R3552" s="25" t="n"/>
      <c r="S3552" s="26">
        <f>IF($A3552="","",AND(OR('Assignment Builder'!$B$5="",$B3552='Assignment Builder'!$B$5),OR('Assignment Builder'!$B$6="",ISNUMBER(SEARCH('Assignment Builder'!$B$6,$C3552))),OR('Assignment Builder'!$B$7="",'Assignment Builder'!$B$7=IFERROR(INDEX('Category Dictionary'!$C$5:$C$135,MATCH($L3552,'Category Dictionary'!$D$5:$D$135,0)),"")),OR('Assignment Builder'!$B$8="",$D3552='Assignment Builder'!$B$8),OR('Assignment Builder'!$B$9="",$F3552='Assignment Builder'!$B$9),OR('Assignment Builder'!$B$10="",$O3552='Assignment Builder'!$B$10),OR('Assignment Builder'!$B$11="",$H3552&gt;='Assignment Builder'!$B$11),OR('Assignment Builder'!$B$12="",N($Q3552)&lt;='Assignment Builder'!$B$12)))</f>
        <v/>
      </c>
      <c r="T3552" s="23" t="n"/>
    </row>
    <row r="3553">
      <c r="A3553" s="23" t="n"/>
      <c r="B3553" s="23" t="n"/>
      <c r="C3553" s="24" t="n"/>
      <c r="D3553" s="15" t="n"/>
      <c r="E3553" s="23" t="n"/>
      <c r="F3553" s="15" t="n"/>
      <c r="G3553" s="23" t="n"/>
      <c r="H3553" s="25" t="n"/>
      <c r="I3553" s="15" t="n"/>
      <c r="J3553" s="26">
        <f>IF($A3553="","",LEN($C3553)-LEN(SUBSTITUTE($C3553,",",""))+1)</f>
        <v/>
      </c>
      <c r="K3553" s="26">
        <f>IF($A3553="","",SUMPRODUCT(--ISNUMBER(SEARCH('Category Dictionary'!$D$5:$D$135&amp;"",$C3553)),--('Category Dictionary'!$D$5:$D$135&lt;&gt;"")))</f>
        <v/>
      </c>
      <c r="L3553" s="27">
        <f>IF($A3553="","",TRIM(IF(ISERROR(FIND(",",$C3553)),$C3553,LEFT($C3553,FIND(",",$C3553)-1))))</f>
        <v/>
      </c>
      <c r="M3553" s="28">
        <f>IF($H3553="","",DATE(YEAR($H3553),MONTH($H3553),1))</f>
        <v/>
      </c>
      <c r="N3553" s="26">
        <f>IF($H3553="","",TODAY()-$H3553)</f>
        <v/>
      </c>
      <c r="O3553" s="15" t="n"/>
      <c r="P3553" s="15" t="n"/>
      <c r="Q3553" s="15" t="n"/>
      <c r="R3553" s="25" t="n"/>
      <c r="S3553" s="26">
        <f>IF($A3553="","",AND(OR('Assignment Builder'!$B$5="",$B3553='Assignment Builder'!$B$5),OR('Assignment Builder'!$B$6="",ISNUMBER(SEARCH('Assignment Builder'!$B$6,$C3553))),OR('Assignment Builder'!$B$7="",'Assignment Builder'!$B$7=IFERROR(INDEX('Category Dictionary'!$C$5:$C$135,MATCH($L3553,'Category Dictionary'!$D$5:$D$135,0)),"")),OR('Assignment Builder'!$B$8="",$D3553='Assignment Builder'!$B$8),OR('Assignment Builder'!$B$9="",$F3553='Assignment Builder'!$B$9),OR('Assignment Builder'!$B$10="",$O3553='Assignment Builder'!$B$10),OR('Assignment Builder'!$B$11="",$H3553&gt;='Assignment Builder'!$B$11),OR('Assignment Builder'!$B$12="",N($Q3553)&lt;='Assignment Builder'!$B$12)))</f>
        <v/>
      </c>
      <c r="T3553" s="23" t="n"/>
    </row>
    <row r="3554">
      <c r="A3554" s="23" t="n"/>
      <c r="B3554" s="23" t="n"/>
      <c r="C3554" s="24" t="n"/>
      <c r="D3554" s="15" t="n"/>
      <c r="E3554" s="23" t="n"/>
      <c r="F3554" s="15" t="n"/>
      <c r="G3554" s="23" t="n"/>
      <c r="H3554" s="25" t="n"/>
      <c r="I3554" s="15" t="n"/>
      <c r="J3554" s="26">
        <f>IF($A3554="","",LEN($C3554)-LEN(SUBSTITUTE($C3554,",",""))+1)</f>
        <v/>
      </c>
      <c r="K3554" s="26">
        <f>IF($A3554="","",SUMPRODUCT(--ISNUMBER(SEARCH('Category Dictionary'!$D$5:$D$135&amp;"",$C3554)),--('Category Dictionary'!$D$5:$D$135&lt;&gt;"")))</f>
        <v/>
      </c>
      <c r="L3554" s="27">
        <f>IF($A3554="","",TRIM(IF(ISERROR(FIND(",",$C3554)),$C3554,LEFT($C3554,FIND(",",$C3554)-1))))</f>
        <v/>
      </c>
      <c r="M3554" s="28">
        <f>IF($H3554="","",DATE(YEAR($H3554),MONTH($H3554),1))</f>
        <v/>
      </c>
      <c r="N3554" s="26">
        <f>IF($H3554="","",TODAY()-$H3554)</f>
        <v/>
      </c>
      <c r="O3554" s="15" t="n"/>
      <c r="P3554" s="15" t="n"/>
      <c r="Q3554" s="15" t="n"/>
      <c r="R3554" s="25" t="n"/>
      <c r="S3554" s="26">
        <f>IF($A3554="","",AND(OR('Assignment Builder'!$B$5="",$B3554='Assignment Builder'!$B$5),OR('Assignment Builder'!$B$6="",ISNUMBER(SEARCH('Assignment Builder'!$B$6,$C3554))),OR('Assignment Builder'!$B$7="",'Assignment Builder'!$B$7=IFERROR(INDEX('Category Dictionary'!$C$5:$C$135,MATCH($L3554,'Category Dictionary'!$D$5:$D$135,0)),"")),OR('Assignment Builder'!$B$8="",$D3554='Assignment Builder'!$B$8),OR('Assignment Builder'!$B$9="",$F3554='Assignment Builder'!$B$9),OR('Assignment Builder'!$B$10="",$O3554='Assignment Builder'!$B$10),OR('Assignment Builder'!$B$11="",$H3554&gt;='Assignment Builder'!$B$11),OR('Assignment Builder'!$B$12="",N($Q3554)&lt;='Assignment Builder'!$B$12)))</f>
        <v/>
      </c>
      <c r="T3554" s="23" t="n"/>
    </row>
    <row r="3555">
      <c r="A3555" s="23" t="n"/>
      <c r="B3555" s="23" t="n"/>
      <c r="C3555" s="24" t="n"/>
      <c r="D3555" s="15" t="n"/>
      <c r="E3555" s="23" t="n"/>
      <c r="F3555" s="15" t="n"/>
      <c r="G3555" s="23" t="n"/>
      <c r="H3555" s="25" t="n"/>
      <c r="I3555" s="15" t="n"/>
      <c r="J3555" s="26">
        <f>IF($A3555="","",LEN($C3555)-LEN(SUBSTITUTE($C3555,",",""))+1)</f>
        <v/>
      </c>
      <c r="K3555" s="26">
        <f>IF($A3555="","",SUMPRODUCT(--ISNUMBER(SEARCH('Category Dictionary'!$D$5:$D$135&amp;"",$C3555)),--('Category Dictionary'!$D$5:$D$135&lt;&gt;"")))</f>
        <v/>
      </c>
      <c r="L3555" s="27">
        <f>IF($A3555="","",TRIM(IF(ISERROR(FIND(",",$C3555)),$C3555,LEFT($C3555,FIND(",",$C3555)-1))))</f>
        <v/>
      </c>
      <c r="M3555" s="28">
        <f>IF($H3555="","",DATE(YEAR($H3555),MONTH($H3555),1))</f>
        <v/>
      </c>
      <c r="N3555" s="26">
        <f>IF($H3555="","",TODAY()-$H3555)</f>
        <v/>
      </c>
      <c r="O3555" s="15" t="n"/>
      <c r="P3555" s="15" t="n"/>
      <c r="Q3555" s="15" t="n"/>
      <c r="R3555" s="25" t="n"/>
      <c r="S3555" s="26">
        <f>IF($A3555="","",AND(OR('Assignment Builder'!$B$5="",$B3555='Assignment Builder'!$B$5),OR('Assignment Builder'!$B$6="",ISNUMBER(SEARCH('Assignment Builder'!$B$6,$C3555))),OR('Assignment Builder'!$B$7="",'Assignment Builder'!$B$7=IFERROR(INDEX('Category Dictionary'!$C$5:$C$135,MATCH($L3555,'Category Dictionary'!$D$5:$D$135,0)),"")),OR('Assignment Builder'!$B$8="",$D3555='Assignment Builder'!$B$8),OR('Assignment Builder'!$B$9="",$F3555='Assignment Builder'!$B$9),OR('Assignment Builder'!$B$10="",$O3555='Assignment Builder'!$B$10),OR('Assignment Builder'!$B$11="",$H3555&gt;='Assignment Builder'!$B$11),OR('Assignment Builder'!$B$12="",N($Q3555)&lt;='Assignment Builder'!$B$12)))</f>
        <v/>
      </c>
      <c r="T3555" s="23" t="n"/>
    </row>
    <row r="3556">
      <c r="A3556" s="23" t="n"/>
      <c r="B3556" s="23" t="n"/>
      <c r="C3556" s="24" t="n"/>
      <c r="D3556" s="15" t="n"/>
      <c r="E3556" s="23" t="n"/>
      <c r="F3556" s="15" t="n"/>
      <c r="G3556" s="23" t="n"/>
      <c r="H3556" s="25" t="n"/>
      <c r="I3556" s="15" t="n"/>
      <c r="J3556" s="26">
        <f>IF($A3556="","",LEN($C3556)-LEN(SUBSTITUTE($C3556,",",""))+1)</f>
        <v/>
      </c>
      <c r="K3556" s="26">
        <f>IF($A3556="","",SUMPRODUCT(--ISNUMBER(SEARCH('Category Dictionary'!$D$5:$D$135&amp;"",$C3556)),--('Category Dictionary'!$D$5:$D$135&lt;&gt;"")))</f>
        <v/>
      </c>
      <c r="L3556" s="27">
        <f>IF($A3556="","",TRIM(IF(ISERROR(FIND(",",$C3556)),$C3556,LEFT($C3556,FIND(",",$C3556)-1))))</f>
        <v/>
      </c>
      <c r="M3556" s="28">
        <f>IF($H3556="","",DATE(YEAR($H3556),MONTH($H3556),1))</f>
        <v/>
      </c>
      <c r="N3556" s="26">
        <f>IF($H3556="","",TODAY()-$H3556)</f>
        <v/>
      </c>
      <c r="O3556" s="15" t="n"/>
      <c r="P3556" s="15" t="n"/>
      <c r="Q3556" s="15" t="n"/>
      <c r="R3556" s="25" t="n"/>
      <c r="S3556" s="26">
        <f>IF($A3556="","",AND(OR('Assignment Builder'!$B$5="",$B3556='Assignment Builder'!$B$5),OR('Assignment Builder'!$B$6="",ISNUMBER(SEARCH('Assignment Builder'!$B$6,$C3556))),OR('Assignment Builder'!$B$7="",'Assignment Builder'!$B$7=IFERROR(INDEX('Category Dictionary'!$C$5:$C$135,MATCH($L3556,'Category Dictionary'!$D$5:$D$135,0)),"")),OR('Assignment Builder'!$B$8="",$D3556='Assignment Builder'!$B$8),OR('Assignment Builder'!$B$9="",$F3556='Assignment Builder'!$B$9),OR('Assignment Builder'!$B$10="",$O3556='Assignment Builder'!$B$10),OR('Assignment Builder'!$B$11="",$H3556&gt;='Assignment Builder'!$B$11),OR('Assignment Builder'!$B$12="",N($Q3556)&lt;='Assignment Builder'!$B$12)))</f>
        <v/>
      </c>
      <c r="T3556" s="23" t="n"/>
    </row>
    <row r="3557">
      <c r="A3557" s="23" t="n"/>
      <c r="B3557" s="23" t="n"/>
      <c r="C3557" s="24" t="n"/>
      <c r="D3557" s="15" t="n"/>
      <c r="E3557" s="23" t="n"/>
      <c r="F3557" s="15" t="n"/>
      <c r="G3557" s="23" t="n"/>
      <c r="H3557" s="25" t="n"/>
      <c r="I3557" s="15" t="n"/>
      <c r="J3557" s="26">
        <f>IF($A3557="","",LEN($C3557)-LEN(SUBSTITUTE($C3557,",",""))+1)</f>
        <v/>
      </c>
      <c r="K3557" s="26">
        <f>IF($A3557="","",SUMPRODUCT(--ISNUMBER(SEARCH('Category Dictionary'!$D$5:$D$135&amp;"",$C3557)),--('Category Dictionary'!$D$5:$D$135&lt;&gt;"")))</f>
        <v/>
      </c>
      <c r="L3557" s="27">
        <f>IF($A3557="","",TRIM(IF(ISERROR(FIND(",",$C3557)),$C3557,LEFT($C3557,FIND(",",$C3557)-1))))</f>
        <v/>
      </c>
      <c r="M3557" s="28">
        <f>IF($H3557="","",DATE(YEAR($H3557),MONTH($H3557),1))</f>
        <v/>
      </c>
      <c r="N3557" s="26">
        <f>IF($H3557="","",TODAY()-$H3557)</f>
        <v/>
      </c>
      <c r="O3557" s="15" t="n"/>
      <c r="P3557" s="15" t="n"/>
      <c r="Q3557" s="15" t="n"/>
      <c r="R3557" s="25" t="n"/>
      <c r="S3557" s="26">
        <f>IF($A3557="","",AND(OR('Assignment Builder'!$B$5="",$B3557='Assignment Builder'!$B$5),OR('Assignment Builder'!$B$6="",ISNUMBER(SEARCH('Assignment Builder'!$B$6,$C3557))),OR('Assignment Builder'!$B$7="",'Assignment Builder'!$B$7=IFERROR(INDEX('Category Dictionary'!$C$5:$C$135,MATCH($L3557,'Category Dictionary'!$D$5:$D$135,0)),"")),OR('Assignment Builder'!$B$8="",$D3557='Assignment Builder'!$B$8),OR('Assignment Builder'!$B$9="",$F3557='Assignment Builder'!$B$9),OR('Assignment Builder'!$B$10="",$O3557='Assignment Builder'!$B$10),OR('Assignment Builder'!$B$11="",$H3557&gt;='Assignment Builder'!$B$11),OR('Assignment Builder'!$B$12="",N($Q3557)&lt;='Assignment Builder'!$B$12)))</f>
        <v/>
      </c>
      <c r="T3557" s="23" t="n"/>
    </row>
    <row r="3558">
      <c r="A3558" s="23" t="n"/>
      <c r="B3558" s="23" t="n"/>
      <c r="C3558" s="24" t="n"/>
      <c r="D3558" s="15" t="n"/>
      <c r="E3558" s="23" t="n"/>
      <c r="F3558" s="15" t="n"/>
      <c r="G3558" s="23" t="n"/>
      <c r="H3558" s="25" t="n"/>
      <c r="I3558" s="15" t="n"/>
      <c r="J3558" s="26">
        <f>IF($A3558="","",LEN($C3558)-LEN(SUBSTITUTE($C3558,",",""))+1)</f>
        <v/>
      </c>
      <c r="K3558" s="26">
        <f>IF($A3558="","",SUMPRODUCT(--ISNUMBER(SEARCH('Category Dictionary'!$D$5:$D$135&amp;"",$C3558)),--('Category Dictionary'!$D$5:$D$135&lt;&gt;"")))</f>
        <v/>
      </c>
      <c r="L3558" s="27">
        <f>IF($A3558="","",TRIM(IF(ISERROR(FIND(",",$C3558)),$C3558,LEFT($C3558,FIND(",",$C3558)-1))))</f>
        <v/>
      </c>
      <c r="M3558" s="28">
        <f>IF($H3558="","",DATE(YEAR($H3558),MONTH($H3558),1))</f>
        <v/>
      </c>
      <c r="N3558" s="26">
        <f>IF($H3558="","",TODAY()-$H3558)</f>
        <v/>
      </c>
      <c r="O3558" s="15" t="n"/>
      <c r="P3558" s="15" t="n"/>
      <c r="Q3558" s="15" t="n"/>
      <c r="R3558" s="25" t="n"/>
      <c r="S3558" s="26">
        <f>IF($A3558="","",AND(OR('Assignment Builder'!$B$5="",$B3558='Assignment Builder'!$B$5),OR('Assignment Builder'!$B$6="",ISNUMBER(SEARCH('Assignment Builder'!$B$6,$C3558))),OR('Assignment Builder'!$B$7="",'Assignment Builder'!$B$7=IFERROR(INDEX('Category Dictionary'!$C$5:$C$135,MATCH($L3558,'Category Dictionary'!$D$5:$D$135,0)),"")),OR('Assignment Builder'!$B$8="",$D3558='Assignment Builder'!$B$8),OR('Assignment Builder'!$B$9="",$F3558='Assignment Builder'!$B$9),OR('Assignment Builder'!$B$10="",$O3558='Assignment Builder'!$B$10),OR('Assignment Builder'!$B$11="",$H3558&gt;='Assignment Builder'!$B$11),OR('Assignment Builder'!$B$12="",N($Q3558)&lt;='Assignment Builder'!$B$12)))</f>
        <v/>
      </c>
      <c r="T3558" s="23" t="n"/>
    </row>
    <row r="3559">
      <c r="A3559" s="23" t="n"/>
      <c r="B3559" s="23" t="n"/>
      <c r="C3559" s="24" t="n"/>
      <c r="D3559" s="15" t="n"/>
      <c r="E3559" s="23" t="n"/>
      <c r="F3559" s="15" t="n"/>
      <c r="G3559" s="23" t="n"/>
      <c r="H3559" s="25" t="n"/>
      <c r="I3559" s="15" t="n"/>
      <c r="J3559" s="26">
        <f>IF($A3559="","",LEN($C3559)-LEN(SUBSTITUTE($C3559,",",""))+1)</f>
        <v/>
      </c>
      <c r="K3559" s="26">
        <f>IF($A3559="","",SUMPRODUCT(--ISNUMBER(SEARCH('Category Dictionary'!$D$5:$D$135&amp;"",$C3559)),--('Category Dictionary'!$D$5:$D$135&lt;&gt;"")))</f>
        <v/>
      </c>
      <c r="L3559" s="27">
        <f>IF($A3559="","",TRIM(IF(ISERROR(FIND(",",$C3559)),$C3559,LEFT($C3559,FIND(",",$C3559)-1))))</f>
        <v/>
      </c>
      <c r="M3559" s="28">
        <f>IF($H3559="","",DATE(YEAR($H3559),MONTH($H3559),1))</f>
        <v/>
      </c>
      <c r="N3559" s="26">
        <f>IF($H3559="","",TODAY()-$H3559)</f>
        <v/>
      </c>
      <c r="O3559" s="15" t="n"/>
      <c r="P3559" s="15" t="n"/>
      <c r="Q3559" s="15" t="n"/>
      <c r="R3559" s="25" t="n"/>
      <c r="S3559" s="26">
        <f>IF($A3559="","",AND(OR('Assignment Builder'!$B$5="",$B3559='Assignment Builder'!$B$5),OR('Assignment Builder'!$B$6="",ISNUMBER(SEARCH('Assignment Builder'!$B$6,$C3559))),OR('Assignment Builder'!$B$7="",'Assignment Builder'!$B$7=IFERROR(INDEX('Category Dictionary'!$C$5:$C$135,MATCH($L3559,'Category Dictionary'!$D$5:$D$135,0)),"")),OR('Assignment Builder'!$B$8="",$D3559='Assignment Builder'!$B$8),OR('Assignment Builder'!$B$9="",$F3559='Assignment Builder'!$B$9),OR('Assignment Builder'!$B$10="",$O3559='Assignment Builder'!$B$10),OR('Assignment Builder'!$B$11="",$H3559&gt;='Assignment Builder'!$B$11),OR('Assignment Builder'!$B$12="",N($Q3559)&lt;='Assignment Builder'!$B$12)))</f>
        <v/>
      </c>
      <c r="T3559" s="23" t="n"/>
    </row>
    <row r="3560">
      <c r="A3560" s="23" t="n"/>
      <c r="B3560" s="23" t="n"/>
      <c r="C3560" s="24" t="n"/>
      <c r="D3560" s="15" t="n"/>
      <c r="E3560" s="23" t="n"/>
      <c r="F3560" s="15" t="n"/>
      <c r="G3560" s="23" t="n"/>
      <c r="H3560" s="25" t="n"/>
      <c r="I3560" s="15" t="n"/>
      <c r="J3560" s="26">
        <f>IF($A3560="","",LEN($C3560)-LEN(SUBSTITUTE($C3560,",",""))+1)</f>
        <v/>
      </c>
      <c r="K3560" s="26">
        <f>IF($A3560="","",SUMPRODUCT(--ISNUMBER(SEARCH('Category Dictionary'!$D$5:$D$135&amp;"",$C3560)),--('Category Dictionary'!$D$5:$D$135&lt;&gt;"")))</f>
        <v/>
      </c>
      <c r="L3560" s="27">
        <f>IF($A3560="","",TRIM(IF(ISERROR(FIND(",",$C3560)),$C3560,LEFT($C3560,FIND(",",$C3560)-1))))</f>
        <v/>
      </c>
      <c r="M3560" s="28">
        <f>IF($H3560="","",DATE(YEAR($H3560),MONTH($H3560),1))</f>
        <v/>
      </c>
      <c r="N3560" s="26">
        <f>IF($H3560="","",TODAY()-$H3560)</f>
        <v/>
      </c>
      <c r="O3560" s="15" t="n"/>
      <c r="P3560" s="15" t="n"/>
      <c r="Q3560" s="15" t="n"/>
      <c r="R3560" s="25" t="n"/>
      <c r="S3560" s="26">
        <f>IF($A3560="","",AND(OR('Assignment Builder'!$B$5="",$B3560='Assignment Builder'!$B$5),OR('Assignment Builder'!$B$6="",ISNUMBER(SEARCH('Assignment Builder'!$B$6,$C3560))),OR('Assignment Builder'!$B$7="",'Assignment Builder'!$B$7=IFERROR(INDEX('Category Dictionary'!$C$5:$C$135,MATCH($L3560,'Category Dictionary'!$D$5:$D$135,0)),"")),OR('Assignment Builder'!$B$8="",$D3560='Assignment Builder'!$B$8),OR('Assignment Builder'!$B$9="",$F3560='Assignment Builder'!$B$9),OR('Assignment Builder'!$B$10="",$O3560='Assignment Builder'!$B$10),OR('Assignment Builder'!$B$11="",$H3560&gt;='Assignment Builder'!$B$11),OR('Assignment Builder'!$B$12="",N($Q3560)&lt;='Assignment Builder'!$B$12)))</f>
        <v/>
      </c>
      <c r="T3560" s="23" t="n"/>
    </row>
    <row r="3561">
      <c r="A3561" s="23" t="n"/>
      <c r="B3561" s="23" t="n"/>
      <c r="C3561" s="24" t="n"/>
      <c r="D3561" s="15" t="n"/>
      <c r="E3561" s="23" t="n"/>
      <c r="F3561" s="15" t="n"/>
      <c r="G3561" s="23" t="n"/>
      <c r="H3561" s="25" t="n"/>
      <c r="I3561" s="15" t="n"/>
      <c r="J3561" s="26">
        <f>IF($A3561="","",LEN($C3561)-LEN(SUBSTITUTE($C3561,",",""))+1)</f>
        <v/>
      </c>
      <c r="K3561" s="26">
        <f>IF($A3561="","",SUMPRODUCT(--ISNUMBER(SEARCH('Category Dictionary'!$D$5:$D$135&amp;"",$C3561)),--('Category Dictionary'!$D$5:$D$135&lt;&gt;"")))</f>
        <v/>
      </c>
      <c r="L3561" s="27">
        <f>IF($A3561="","",TRIM(IF(ISERROR(FIND(",",$C3561)),$C3561,LEFT($C3561,FIND(",",$C3561)-1))))</f>
        <v/>
      </c>
      <c r="M3561" s="28">
        <f>IF($H3561="","",DATE(YEAR($H3561),MONTH($H3561),1))</f>
        <v/>
      </c>
      <c r="N3561" s="26">
        <f>IF($H3561="","",TODAY()-$H3561)</f>
        <v/>
      </c>
      <c r="O3561" s="15" t="n"/>
      <c r="P3561" s="15" t="n"/>
      <c r="Q3561" s="15" t="n"/>
      <c r="R3561" s="25" t="n"/>
      <c r="S3561" s="26">
        <f>IF($A3561="","",AND(OR('Assignment Builder'!$B$5="",$B3561='Assignment Builder'!$B$5),OR('Assignment Builder'!$B$6="",ISNUMBER(SEARCH('Assignment Builder'!$B$6,$C3561))),OR('Assignment Builder'!$B$7="",'Assignment Builder'!$B$7=IFERROR(INDEX('Category Dictionary'!$C$5:$C$135,MATCH($L3561,'Category Dictionary'!$D$5:$D$135,0)),"")),OR('Assignment Builder'!$B$8="",$D3561='Assignment Builder'!$B$8),OR('Assignment Builder'!$B$9="",$F3561='Assignment Builder'!$B$9),OR('Assignment Builder'!$B$10="",$O3561='Assignment Builder'!$B$10),OR('Assignment Builder'!$B$11="",$H3561&gt;='Assignment Builder'!$B$11),OR('Assignment Builder'!$B$12="",N($Q3561)&lt;='Assignment Builder'!$B$12)))</f>
        <v/>
      </c>
      <c r="T3561" s="23" t="n"/>
    </row>
    <row r="3562">
      <c r="A3562" s="23" t="n"/>
      <c r="B3562" s="23" t="n"/>
      <c r="C3562" s="24" t="n"/>
      <c r="D3562" s="15" t="n"/>
      <c r="E3562" s="23" t="n"/>
      <c r="F3562" s="15" t="n"/>
      <c r="G3562" s="23" t="n"/>
      <c r="H3562" s="25" t="n"/>
      <c r="I3562" s="15" t="n"/>
      <c r="J3562" s="26">
        <f>IF($A3562="","",LEN($C3562)-LEN(SUBSTITUTE($C3562,",",""))+1)</f>
        <v/>
      </c>
      <c r="K3562" s="26">
        <f>IF($A3562="","",SUMPRODUCT(--ISNUMBER(SEARCH('Category Dictionary'!$D$5:$D$135&amp;"",$C3562)),--('Category Dictionary'!$D$5:$D$135&lt;&gt;"")))</f>
        <v/>
      </c>
      <c r="L3562" s="27">
        <f>IF($A3562="","",TRIM(IF(ISERROR(FIND(",",$C3562)),$C3562,LEFT($C3562,FIND(",",$C3562)-1))))</f>
        <v/>
      </c>
      <c r="M3562" s="28">
        <f>IF($H3562="","",DATE(YEAR($H3562),MONTH($H3562),1))</f>
        <v/>
      </c>
      <c r="N3562" s="26">
        <f>IF($H3562="","",TODAY()-$H3562)</f>
        <v/>
      </c>
      <c r="O3562" s="15" t="n"/>
      <c r="P3562" s="15" t="n"/>
      <c r="Q3562" s="15" t="n"/>
      <c r="R3562" s="25" t="n"/>
      <c r="S3562" s="26">
        <f>IF($A3562="","",AND(OR('Assignment Builder'!$B$5="",$B3562='Assignment Builder'!$B$5),OR('Assignment Builder'!$B$6="",ISNUMBER(SEARCH('Assignment Builder'!$B$6,$C3562))),OR('Assignment Builder'!$B$7="",'Assignment Builder'!$B$7=IFERROR(INDEX('Category Dictionary'!$C$5:$C$135,MATCH($L3562,'Category Dictionary'!$D$5:$D$135,0)),"")),OR('Assignment Builder'!$B$8="",$D3562='Assignment Builder'!$B$8),OR('Assignment Builder'!$B$9="",$F3562='Assignment Builder'!$B$9),OR('Assignment Builder'!$B$10="",$O3562='Assignment Builder'!$B$10),OR('Assignment Builder'!$B$11="",$H3562&gt;='Assignment Builder'!$B$11),OR('Assignment Builder'!$B$12="",N($Q3562)&lt;='Assignment Builder'!$B$12)))</f>
        <v/>
      </c>
      <c r="T3562" s="23" t="n"/>
    </row>
    <row r="3563">
      <c r="A3563" s="23" t="n"/>
      <c r="B3563" s="23" t="n"/>
      <c r="C3563" s="24" t="n"/>
      <c r="D3563" s="15" t="n"/>
      <c r="E3563" s="23" t="n"/>
      <c r="F3563" s="15" t="n"/>
      <c r="G3563" s="23" t="n"/>
      <c r="H3563" s="25" t="n"/>
      <c r="I3563" s="15" t="n"/>
      <c r="J3563" s="26">
        <f>IF($A3563="","",LEN($C3563)-LEN(SUBSTITUTE($C3563,",",""))+1)</f>
        <v/>
      </c>
      <c r="K3563" s="26">
        <f>IF($A3563="","",SUMPRODUCT(--ISNUMBER(SEARCH('Category Dictionary'!$D$5:$D$135&amp;"",$C3563)),--('Category Dictionary'!$D$5:$D$135&lt;&gt;"")))</f>
        <v/>
      </c>
      <c r="L3563" s="27">
        <f>IF($A3563="","",TRIM(IF(ISERROR(FIND(",",$C3563)),$C3563,LEFT($C3563,FIND(",",$C3563)-1))))</f>
        <v/>
      </c>
      <c r="M3563" s="28">
        <f>IF($H3563="","",DATE(YEAR($H3563),MONTH($H3563),1))</f>
        <v/>
      </c>
      <c r="N3563" s="26">
        <f>IF($H3563="","",TODAY()-$H3563)</f>
        <v/>
      </c>
      <c r="O3563" s="15" t="n"/>
      <c r="P3563" s="15" t="n"/>
      <c r="Q3563" s="15" t="n"/>
      <c r="R3563" s="25" t="n"/>
      <c r="S3563" s="26">
        <f>IF($A3563="","",AND(OR('Assignment Builder'!$B$5="",$B3563='Assignment Builder'!$B$5),OR('Assignment Builder'!$B$6="",ISNUMBER(SEARCH('Assignment Builder'!$B$6,$C3563))),OR('Assignment Builder'!$B$7="",'Assignment Builder'!$B$7=IFERROR(INDEX('Category Dictionary'!$C$5:$C$135,MATCH($L3563,'Category Dictionary'!$D$5:$D$135,0)),"")),OR('Assignment Builder'!$B$8="",$D3563='Assignment Builder'!$B$8),OR('Assignment Builder'!$B$9="",$F3563='Assignment Builder'!$B$9),OR('Assignment Builder'!$B$10="",$O3563='Assignment Builder'!$B$10),OR('Assignment Builder'!$B$11="",$H3563&gt;='Assignment Builder'!$B$11),OR('Assignment Builder'!$B$12="",N($Q3563)&lt;='Assignment Builder'!$B$12)))</f>
        <v/>
      </c>
      <c r="T3563" s="23" t="n"/>
    </row>
    <row r="3564">
      <c r="A3564" s="23" t="n"/>
      <c r="B3564" s="23" t="n"/>
      <c r="C3564" s="24" t="n"/>
      <c r="D3564" s="15" t="n"/>
      <c r="E3564" s="23" t="n"/>
      <c r="F3564" s="15" t="n"/>
      <c r="G3564" s="23" t="n"/>
      <c r="H3564" s="25" t="n"/>
      <c r="I3564" s="15" t="n"/>
      <c r="J3564" s="26">
        <f>IF($A3564="","",LEN($C3564)-LEN(SUBSTITUTE($C3564,",",""))+1)</f>
        <v/>
      </c>
      <c r="K3564" s="26">
        <f>IF($A3564="","",SUMPRODUCT(--ISNUMBER(SEARCH('Category Dictionary'!$D$5:$D$135&amp;"",$C3564)),--('Category Dictionary'!$D$5:$D$135&lt;&gt;"")))</f>
        <v/>
      </c>
      <c r="L3564" s="27">
        <f>IF($A3564="","",TRIM(IF(ISERROR(FIND(",",$C3564)),$C3564,LEFT($C3564,FIND(",",$C3564)-1))))</f>
        <v/>
      </c>
      <c r="M3564" s="28">
        <f>IF($H3564="","",DATE(YEAR($H3564),MONTH($H3564),1))</f>
        <v/>
      </c>
      <c r="N3564" s="26">
        <f>IF($H3564="","",TODAY()-$H3564)</f>
        <v/>
      </c>
      <c r="O3564" s="15" t="n"/>
      <c r="P3564" s="15" t="n"/>
      <c r="Q3564" s="15" t="n"/>
      <c r="R3564" s="25" t="n"/>
      <c r="S3564" s="26">
        <f>IF($A3564="","",AND(OR('Assignment Builder'!$B$5="",$B3564='Assignment Builder'!$B$5),OR('Assignment Builder'!$B$6="",ISNUMBER(SEARCH('Assignment Builder'!$B$6,$C3564))),OR('Assignment Builder'!$B$7="",'Assignment Builder'!$B$7=IFERROR(INDEX('Category Dictionary'!$C$5:$C$135,MATCH($L3564,'Category Dictionary'!$D$5:$D$135,0)),"")),OR('Assignment Builder'!$B$8="",$D3564='Assignment Builder'!$B$8),OR('Assignment Builder'!$B$9="",$F3564='Assignment Builder'!$B$9),OR('Assignment Builder'!$B$10="",$O3564='Assignment Builder'!$B$10),OR('Assignment Builder'!$B$11="",$H3564&gt;='Assignment Builder'!$B$11),OR('Assignment Builder'!$B$12="",N($Q3564)&lt;='Assignment Builder'!$B$12)))</f>
        <v/>
      </c>
      <c r="T3564" s="23" t="n"/>
    </row>
    <row r="3565">
      <c r="A3565" s="23" t="n"/>
      <c r="B3565" s="23" t="n"/>
      <c r="C3565" s="24" t="n"/>
      <c r="D3565" s="15" t="n"/>
      <c r="E3565" s="23" t="n"/>
      <c r="F3565" s="15" t="n"/>
      <c r="G3565" s="23" t="n"/>
      <c r="H3565" s="25" t="n"/>
      <c r="I3565" s="15" t="n"/>
      <c r="J3565" s="26">
        <f>IF($A3565="","",LEN($C3565)-LEN(SUBSTITUTE($C3565,",",""))+1)</f>
        <v/>
      </c>
      <c r="K3565" s="26">
        <f>IF($A3565="","",SUMPRODUCT(--ISNUMBER(SEARCH('Category Dictionary'!$D$5:$D$135&amp;"",$C3565)),--('Category Dictionary'!$D$5:$D$135&lt;&gt;"")))</f>
        <v/>
      </c>
      <c r="L3565" s="27">
        <f>IF($A3565="","",TRIM(IF(ISERROR(FIND(",",$C3565)),$C3565,LEFT($C3565,FIND(",",$C3565)-1))))</f>
        <v/>
      </c>
      <c r="M3565" s="28">
        <f>IF($H3565="","",DATE(YEAR($H3565),MONTH($H3565),1))</f>
        <v/>
      </c>
      <c r="N3565" s="26">
        <f>IF($H3565="","",TODAY()-$H3565)</f>
        <v/>
      </c>
      <c r="O3565" s="15" t="n"/>
      <c r="P3565" s="15" t="n"/>
      <c r="Q3565" s="15" t="n"/>
      <c r="R3565" s="25" t="n"/>
      <c r="S3565" s="26">
        <f>IF($A3565="","",AND(OR('Assignment Builder'!$B$5="",$B3565='Assignment Builder'!$B$5),OR('Assignment Builder'!$B$6="",ISNUMBER(SEARCH('Assignment Builder'!$B$6,$C3565))),OR('Assignment Builder'!$B$7="",'Assignment Builder'!$B$7=IFERROR(INDEX('Category Dictionary'!$C$5:$C$135,MATCH($L3565,'Category Dictionary'!$D$5:$D$135,0)),"")),OR('Assignment Builder'!$B$8="",$D3565='Assignment Builder'!$B$8),OR('Assignment Builder'!$B$9="",$F3565='Assignment Builder'!$B$9),OR('Assignment Builder'!$B$10="",$O3565='Assignment Builder'!$B$10),OR('Assignment Builder'!$B$11="",$H3565&gt;='Assignment Builder'!$B$11),OR('Assignment Builder'!$B$12="",N($Q3565)&lt;='Assignment Builder'!$B$12)))</f>
        <v/>
      </c>
      <c r="T3565" s="23" t="n"/>
    </row>
    <row r="3566">
      <c r="A3566" s="23" t="n"/>
      <c r="B3566" s="23" t="n"/>
      <c r="C3566" s="24" t="n"/>
      <c r="D3566" s="15" t="n"/>
      <c r="E3566" s="23" t="n"/>
      <c r="F3566" s="15" t="n"/>
      <c r="G3566" s="23" t="n"/>
      <c r="H3566" s="25" t="n"/>
      <c r="I3566" s="15" t="n"/>
      <c r="J3566" s="26">
        <f>IF($A3566="","",LEN($C3566)-LEN(SUBSTITUTE($C3566,",",""))+1)</f>
        <v/>
      </c>
      <c r="K3566" s="26">
        <f>IF($A3566="","",SUMPRODUCT(--ISNUMBER(SEARCH('Category Dictionary'!$D$5:$D$135&amp;"",$C3566)),--('Category Dictionary'!$D$5:$D$135&lt;&gt;"")))</f>
        <v/>
      </c>
      <c r="L3566" s="27">
        <f>IF($A3566="","",TRIM(IF(ISERROR(FIND(",",$C3566)),$C3566,LEFT($C3566,FIND(",",$C3566)-1))))</f>
        <v/>
      </c>
      <c r="M3566" s="28">
        <f>IF($H3566="","",DATE(YEAR($H3566),MONTH($H3566),1))</f>
        <v/>
      </c>
      <c r="N3566" s="26">
        <f>IF($H3566="","",TODAY()-$H3566)</f>
        <v/>
      </c>
      <c r="O3566" s="15" t="n"/>
      <c r="P3566" s="15" t="n"/>
      <c r="Q3566" s="15" t="n"/>
      <c r="R3566" s="25" t="n"/>
      <c r="S3566" s="26">
        <f>IF($A3566="","",AND(OR('Assignment Builder'!$B$5="",$B3566='Assignment Builder'!$B$5),OR('Assignment Builder'!$B$6="",ISNUMBER(SEARCH('Assignment Builder'!$B$6,$C3566))),OR('Assignment Builder'!$B$7="",'Assignment Builder'!$B$7=IFERROR(INDEX('Category Dictionary'!$C$5:$C$135,MATCH($L3566,'Category Dictionary'!$D$5:$D$135,0)),"")),OR('Assignment Builder'!$B$8="",$D3566='Assignment Builder'!$B$8),OR('Assignment Builder'!$B$9="",$F3566='Assignment Builder'!$B$9),OR('Assignment Builder'!$B$10="",$O3566='Assignment Builder'!$B$10),OR('Assignment Builder'!$B$11="",$H3566&gt;='Assignment Builder'!$B$11),OR('Assignment Builder'!$B$12="",N($Q3566)&lt;='Assignment Builder'!$B$12)))</f>
        <v/>
      </c>
      <c r="T3566" s="23" t="n"/>
    </row>
    <row r="3567">
      <c r="A3567" s="23" t="n"/>
      <c r="B3567" s="23" t="n"/>
      <c r="C3567" s="24" t="n"/>
      <c r="D3567" s="15" t="n"/>
      <c r="E3567" s="23" t="n"/>
      <c r="F3567" s="15" t="n"/>
      <c r="G3567" s="23" t="n"/>
      <c r="H3567" s="25" t="n"/>
      <c r="I3567" s="15" t="n"/>
      <c r="J3567" s="26">
        <f>IF($A3567="","",LEN($C3567)-LEN(SUBSTITUTE($C3567,",",""))+1)</f>
        <v/>
      </c>
      <c r="K3567" s="26">
        <f>IF($A3567="","",SUMPRODUCT(--ISNUMBER(SEARCH('Category Dictionary'!$D$5:$D$135&amp;"",$C3567)),--('Category Dictionary'!$D$5:$D$135&lt;&gt;"")))</f>
        <v/>
      </c>
      <c r="L3567" s="27">
        <f>IF($A3567="","",TRIM(IF(ISERROR(FIND(",",$C3567)),$C3567,LEFT($C3567,FIND(",",$C3567)-1))))</f>
        <v/>
      </c>
      <c r="M3567" s="28">
        <f>IF($H3567="","",DATE(YEAR($H3567),MONTH($H3567),1))</f>
        <v/>
      </c>
      <c r="N3567" s="26">
        <f>IF($H3567="","",TODAY()-$H3567)</f>
        <v/>
      </c>
      <c r="O3567" s="15" t="n"/>
      <c r="P3567" s="15" t="n"/>
      <c r="Q3567" s="15" t="n"/>
      <c r="R3567" s="25" t="n"/>
      <c r="S3567" s="26">
        <f>IF($A3567="","",AND(OR('Assignment Builder'!$B$5="",$B3567='Assignment Builder'!$B$5),OR('Assignment Builder'!$B$6="",ISNUMBER(SEARCH('Assignment Builder'!$B$6,$C3567))),OR('Assignment Builder'!$B$7="",'Assignment Builder'!$B$7=IFERROR(INDEX('Category Dictionary'!$C$5:$C$135,MATCH($L3567,'Category Dictionary'!$D$5:$D$135,0)),"")),OR('Assignment Builder'!$B$8="",$D3567='Assignment Builder'!$B$8),OR('Assignment Builder'!$B$9="",$F3567='Assignment Builder'!$B$9),OR('Assignment Builder'!$B$10="",$O3567='Assignment Builder'!$B$10),OR('Assignment Builder'!$B$11="",$H3567&gt;='Assignment Builder'!$B$11),OR('Assignment Builder'!$B$12="",N($Q3567)&lt;='Assignment Builder'!$B$12)))</f>
        <v/>
      </c>
      <c r="T3567" s="23" t="n"/>
    </row>
    <row r="3568">
      <c r="A3568" s="23" t="n"/>
      <c r="B3568" s="23" t="n"/>
      <c r="C3568" s="24" t="n"/>
      <c r="D3568" s="15" t="n"/>
      <c r="E3568" s="23" t="n"/>
      <c r="F3568" s="15" t="n"/>
      <c r="G3568" s="23" t="n"/>
      <c r="H3568" s="25" t="n"/>
      <c r="I3568" s="15" t="n"/>
      <c r="J3568" s="26">
        <f>IF($A3568="","",LEN($C3568)-LEN(SUBSTITUTE($C3568,",",""))+1)</f>
        <v/>
      </c>
      <c r="K3568" s="26">
        <f>IF($A3568="","",SUMPRODUCT(--ISNUMBER(SEARCH('Category Dictionary'!$D$5:$D$135&amp;"",$C3568)),--('Category Dictionary'!$D$5:$D$135&lt;&gt;"")))</f>
        <v/>
      </c>
      <c r="L3568" s="27">
        <f>IF($A3568="","",TRIM(IF(ISERROR(FIND(",",$C3568)),$C3568,LEFT($C3568,FIND(",",$C3568)-1))))</f>
        <v/>
      </c>
      <c r="M3568" s="28">
        <f>IF($H3568="","",DATE(YEAR($H3568),MONTH($H3568),1))</f>
        <v/>
      </c>
      <c r="N3568" s="26">
        <f>IF($H3568="","",TODAY()-$H3568)</f>
        <v/>
      </c>
      <c r="O3568" s="15" t="n"/>
      <c r="P3568" s="15" t="n"/>
      <c r="Q3568" s="15" t="n"/>
      <c r="R3568" s="25" t="n"/>
      <c r="S3568" s="26">
        <f>IF($A3568="","",AND(OR('Assignment Builder'!$B$5="",$B3568='Assignment Builder'!$B$5),OR('Assignment Builder'!$B$6="",ISNUMBER(SEARCH('Assignment Builder'!$B$6,$C3568))),OR('Assignment Builder'!$B$7="",'Assignment Builder'!$B$7=IFERROR(INDEX('Category Dictionary'!$C$5:$C$135,MATCH($L3568,'Category Dictionary'!$D$5:$D$135,0)),"")),OR('Assignment Builder'!$B$8="",$D3568='Assignment Builder'!$B$8),OR('Assignment Builder'!$B$9="",$F3568='Assignment Builder'!$B$9),OR('Assignment Builder'!$B$10="",$O3568='Assignment Builder'!$B$10),OR('Assignment Builder'!$B$11="",$H3568&gt;='Assignment Builder'!$B$11),OR('Assignment Builder'!$B$12="",N($Q3568)&lt;='Assignment Builder'!$B$12)))</f>
        <v/>
      </c>
      <c r="T3568" s="23" t="n"/>
    </row>
    <row r="3569">
      <c r="A3569" s="23" t="n"/>
      <c r="B3569" s="23" t="n"/>
      <c r="C3569" s="24" t="n"/>
      <c r="D3569" s="15" t="n"/>
      <c r="E3569" s="23" t="n"/>
      <c r="F3569" s="15" t="n"/>
      <c r="G3569" s="23" t="n"/>
      <c r="H3569" s="25" t="n"/>
      <c r="I3569" s="15" t="n"/>
      <c r="J3569" s="26">
        <f>IF($A3569="","",LEN($C3569)-LEN(SUBSTITUTE($C3569,",",""))+1)</f>
        <v/>
      </c>
      <c r="K3569" s="26">
        <f>IF($A3569="","",SUMPRODUCT(--ISNUMBER(SEARCH('Category Dictionary'!$D$5:$D$135&amp;"",$C3569)),--('Category Dictionary'!$D$5:$D$135&lt;&gt;"")))</f>
        <v/>
      </c>
      <c r="L3569" s="27">
        <f>IF($A3569="","",TRIM(IF(ISERROR(FIND(",",$C3569)),$C3569,LEFT($C3569,FIND(",",$C3569)-1))))</f>
        <v/>
      </c>
      <c r="M3569" s="28">
        <f>IF($H3569="","",DATE(YEAR($H3569),MONTH($H3569),1))</f>
        <v/>
      </c>
      <c r="N3569" s="26">
        <f>IF($H3569="","",TODAY()-$H3569)</f>
        <v/>
      </c>
      <c r="O3569" s="15" t="n"/>
      <c r="P3569" s="15" t="n"/>
      <c r="Q3569" s="15" t="n"/>
      <c r="R3569" s="25" t="n"/>
      <c r="S3569" s="26">
        <f>IF($A3569="","",AND(OR('Assignment Builder'!$B$5="",$B3569='Assignment Builder'!$B$5),OR('Assignment Builder'!$B$6="",ISNUMBER(SEARCH('Assignment Builder'!$B$6,$C3569))),OR('Assignment Builder'!$B$7="",'Assignment Builder'!$B$7=IFERROR(INDEX('Category Dictionary'!$C$5:$C$135,MATCH($L3569,'Category Dictionary'!$D$5:$D$135,0)),"")),OR('Assignment Builder'!$B$8="",$D3569='Assignment Builder'!$B$8),OR('Assignment Builder'!$B$9="",$F3569='Assignment Builder'!$B$9),OR('Assignment Builder'!$B$10="",$O3569='Assignment Builder'!$B$10),OR('Assignment Builder'!$B$11="",$H3569&gt;='Assignment Builder'!$B$11),OR('Assignment Builder'!$B$12="",N($Q3569)&lt;='Assignment Builder'!$B$12)))</f>
        <v/>
      </c>
      <c r="T3569" s="23" t="n"/>
    </row>
    <row r="3570">
      <c r="A3570" s="23" t="n"/>
      <c r="B3570" s="23" t="n"/>
      <c r="C3570" s="24" t="n"/>
      <c r="D3570" s="15" t="n"/>
      <c r="E3570" s="23" t="n"/>
      <c r="F3570" s="15" t="n"/>
      <c r="G3570" s="23" t="n"/>
      <c r="H3570" s="25" t="n"/>
      <c r="I3570" s="15" t="n"/>
      <c r="J3570" s="26">
        <f>IF($A3570="","",LEN($C3570)-LEN(SUBSTITUTE($C3570,",",""))+1)</f>
        <v/>
      </c>
      <c r="K3570" s="26">
        <f>IF($A3570="","",SUMPRODUCT(--ISNUMBER(SEARCH('Category Dictionary'!$D$5:$D$135&amp;"",$C3570)),--('Category Dictionary'!$D$5:$D$135&lt;&gt;"")))</f>
        <v/>
      </c>
      <c r="L3570" s="27">
        <f>IF($A3570="","",TRIM(IF(ISERROR(FIND(",",$C3570)),$C3570,LEFT($C3570,FIND(",",$C3570)-1))))</f>
        <v/>
      </c>
      <c r="M3570" s="28">
        <f>IF($H3570="","",DATE(YEAR($H3570),MONTH($H3570),1))</f>
        <v/>
      </c>
      <c r="N3570" s="26">
        <f>IF($H3570="","",TODAY()-$H3570)</f>
        <v/>
      </c>
      <c r="O3570" s="15" t="n"/>
      <c r="P3570" s="15" t="n"/>
      <c r="Q3570" s="15" t="n"/>
      <c r="R3570" s="25" t="n"/>
      <c r="S3570" s="26">
        <f>IF($A3570="","",AND(OR('Assignment Builder'!$B$5="",$B3570='Assignment Builder'!$B$5),OR('Assignment Builder'!$B$6="",ISNUMBER(SEARCH('Assignment Builder'!$B$6,$C3570))),OR('Assignment Builder'!$B$7="",'Assignment Builder'!$B$7=IFERROR(INDEX('Category Dictionary'!$C$5:$C$135,MATCH($L3570,'Category Dictionary'!$D$5:$D$135,0)),"")),OR('Assignment Builder'!$B$8="",$D3570='Assignment Builder'!$B$8),OR('Assignment Builder'!$B$9="",$F3570='Assignment Builder'!$B$9),OR('Assignment Builder'!$B$10="",$O3570='Assignment Builder'!$B$10),OR('Assignment Builder'!$B$11="",$H3570&gt;='Assignment Builder'!$B$11),OR('Assignment Builder'!$B$12="",N($Q3570)&lt;='Assignment Builder'!$B$12)))</f>
        <v/>
      </c>
      <c r="T3570" s="23" t="n"/>
    </row>
    <row r="3571">
      <c r="A3571" s="23" t="n"/>
      <c r="B3571" s="23" t="n"/>
      <c r="C3571" s="24" t="n"/>
      <c r="D3571" s="15" t="n"/>
      <c r="E3571" s="23" t="n"/>
      <c r="F3571" s="15" t="n"/>
      <c r="G3571" s="23" t="n"/>
      <c r="H3571" s="25" t="n"/>
      <c r="I3571" s="15" t="n"/>
      <c r="J3571" s="26">
        <f>IF($A3571="","",LEN($C3571)-LEN(SUBSTITUTE($C3571,",",""))+1)</f>
        <v/>
      </c>
      <c r="K3571" s="26">
        <f>IF($A3571="","",SUMPRODUCT(--ISNUMBER(SEARCH('Category Dictionary'!$D$5:$D$135&amp;"",$C3571)),--('Category Dictionary'!$D$5:$D$135&lt;&gt;"")))</f>
        <v/>
      </c>
      <c r="L3571" s="27">
        <f>IF($A3571="","",TRIM(IF(ISERROR(FIND(",",$C3571)),$C3571,LEFT($C3571,FIND(",",$C3571)-1))))</f>
        <v/>
      </c>
      <c r="M3571" s="28">
        <f>IF($H3571="","",DATE(YEAR($H3571),MONTH($H3571),1))</f>
        <v/>
      </c>
      <c r="N3571" s="26">
        <f>IF($H3571="","",TODAY()-$H3571)</f>
        <v/>
      </c>
      <c r="O3571" s="15" t="n"/>
      <c r="P3571" s="15" t="n"/>
      <c r="Q3571" s="15" t="n"/>
      <c r="R3571" s="25" t="n"/>
      <c r="S3571" s="26">
        <f>IF($A3571="","",AND(OR('Assignment Builder'!$B$5="",$B3571='Assignment Builder'!$B$5),OR('Assignment Builder'!$B$6="",ISNUMBER(SEARCH('Assignment Builder'!$B$6,$C3571))),OR('Assignment Builder'!$B$7="",'Assignment Builder'!$B$7=IFERROR(INDEX('Category Dictionary'!$C$5:$C$135,MATCH($L3571,'Category Dictionary'!$D$5:$D$135,0)),"")),OR('Assignment Builder'!$B$8="",$D3571='Assignment Builder'!$B$8),OR('Assignment Builder'!$B$9="",$F3571='Assignment Builder'!$B$9),OR('Assignment Builder'!$B$10="",$O3571='Assignment Builder'!$B$10),OR('Assignment Builder'!$B$11="",$H3571&gt;='Assignment Builder'!$B$11),OR('Assignment Builder'!$B$12="",N($Q3571)&lt;='Assignment Builder'!$B$12)))</f>
        <v/>
      </c>
      <c r="T3571" s="23" t="n"/>
    </row>
    <row r="3572">
      <c r="A3572" s="23" t="n"/>
      <c r="B3572" s="23" t="n"/>
      <c r="C3572" s="24" t="n"/>
      <c r="D3572" s="15" t="n"/>
      <c r="E3572" s="23" t="n"/>
      <c r="F3572" s="15" t="n"/>
      <c r="G3572" s="23" t="n"/>
      <c r="H3572" s="25" t="n"/>
      <c r="I3572" s="15" t="n"/>
      <c r="J3572" s="26">
        <f>IF($A3572="","",LEN($C3572)-LEN(SUBSTITUTE($C3572,",",""))+1)</f>
        <v/>
      </c>
      <c r="K3572" s="26">
        <f>IF($A3572="","",SUMPRODUCT(--ISNUMBER(SEARCH('Category Dictionary'!$D$5:$D$135&amp;"",$C3572)),--('Category Dictionary'!$D$5:$D$135&lt;&gt;"")))</f>
        <v/>
      </c>
      <c r="L3572" s="27">
        <f>IF($A3572="","",TRIM(IF(ISERROR(FIND(",",$C3572)),$C3572,LEFT($C3572,FIND(",",$C3572)-1))))</f>
        <v/>
      </c>
      <c r="M3572" s="28">
        <f>IF($H3572="","",DATE(YEAR($H3572),MONTH($H3572),1))</f>
        <v/>
      </c>
      <c r="N3572" s="26">
        <f>IF($H3572="","",TODAY()-$H3572)</f>
        <v/>
      </c>
      <c r="O3572" s="15" t="n"/>
      <c r="P3572" s="15" t="n"/>
      <c r="Q3572" s="15" t="n"/>
      <c r="R3572" s="25" t="n"/>
      <c r="S3572" s="26">
        <f>IF($A3572="","",AND(OR('Assignment Builder'!$B$5="",$B3572='Assignment Builder'!$B$5),OR('Assignment Builder'!$B$6="",ISNUMBER(SEARCH('Assignment Builder'!$B$6,$C3572))),OR('Assignment Builder'!$B$7="",'Assignment Builder'!$B$7=IFERROR(INDEX('Category Dictionary'!$C$5:$C$135,MATCH($L3572,'Category Dictionary'!$D$5:$D$135,0)),"")),OR('Assignment Builder'!$B$8="",$D3572='Assignment Builder'!$B$8),OR('Assignment Builder'!$B$9="",$F3572='Assignment Builder'!$B$9),OR('Assignment Builder'!$B$10="",$O3572='Assignment Builder'!$B$10),OR('Assignment Builder'!$B$11="",$H3572&gt;='Assignment Builder'!$B$11),OR('Assignment Builder'!$B$12="",N($Q3572)&lt;='Assignment Builder'!$B$12)))</f>
        <v/>
      </c>
      <c r="T3572" s="23" t="n"/>
    </row>
    <row r="3573">
      <c r="A3573" s="23" t="n"/>
      <c r="B3573" s="23" t="n"/>
      <c r="C3573" s="24" t="n"/>
      <c r="D3573" s="15" t="n"/>
      <c r="E3573" s="23" t="n"/>
      <c r="F3573" s="15" t="n"/>
      <c r="G3573" s="23" t="n"/>
      <c r="H3573" s="25" t="n"/>
      <c r="I3573" s="15" t="n"/>
      <c r="J3573" s="26">
        <f>IF($A3573="","",LEN($C3573)-LEN(SUBSTITUTE($C3573,",",""))+1)</f>
        <v/>
      </c>
      <c r="K3573" s="26">
        <f>IF($A3573="","",SUMPRODUCT(--ISNUMBER(SEARCH('Category Dictionary'!$D$5:$D$135&amp;"",$C3573)),--('Category Dictionary'!$D$5:$D$135&lt;&gt;"")))</f>
        <v/>
      </c>
      <c r="L3573" s="27">
        <f>IF($A3573="","",TRIM(IF(ISERROR(FIND(",",$C3573)),$C3573,LEFT($C3573,FIND(",",$C3573)-1))))</f>
        <v/>
      </c>
      <c r="M3573" s="28">
        <f>IF($H3573="","",DATE(YEAR($H3573),MONTH($H3573),1))</f>
        <v/>
      </c>
      <c r="N3573" s="26">
        <f>IF($H3573="","",TODAY()-$H3573)</f>
        <v/>
      </c>
      <c r="O3573" s="15" t="n"/>
      <c r="P3573" s="15" t="n"/>
      <c r="Q3573" s="15" t="n"/>
      <c r="R3573" s="25" t="n"/>
      <c r="S3573" s="26">
        <f>IF($A3573="","",AND(OR('Assignment Builder'!$B$5="",$B3573='Assignment Builder'!$B$5),OR('Assignment Builder'!$B$6="",ISNUMBER(SEARCH('Assignment Builder'!$B$6,$C3573))),OR('Assignment Builder'!$B$7="",'Assignment Builder'!$B$7=IFERROR(INDEX('Category Dictionary'!$C$5:$C$135,MATCH($L3573,'Category Dictionary'!$D$5:$D$135,0)),"")),OR('Assignment Builder'!$B$8="",$D3573='Assignment Builder'!$B$8),OR('Assignment Builder'!$B$9="",$F3573='Assignment Builder'!$B$9),OR('Assignment Builder'!$B$10="",$O3573='Assignment Builder'!$B$10),OR('Assignment Builder'!$B$11="",$H3573&gt;='Assignment Builder'!$B$11),OR('Assignment Builder'!$B$12="",N($Q3573)&lt;='Assignment Builder'!$B$12)))</f>
        <v/>
      </c>
      <c r="T3573" s="23" t="n"/>
    </row>
    <row r="3574">
      <c r="A3574" s="23" t="n"/>
      <c r="B3574" s="23" t="n"/>
      <c r="C3574" s="24" t="n"/>
      <c r="D3574" s="15" t="n"/>
      <c r="E3574" s="23" t="n"/>
      <c r="F3574" s="15" t="n"/>
      <c r="G3574" s="23" t="n"/>
      <c r="H3574" s="25" t="n"/>
      <c r="I3574" s="15" t="n"/>
      <c r="J3574" s="26">
        <f>IF($A3574="","",LEN($C3574)-LEN(SUBSTITUTE($C3574,",",""))+1)</f>
        <v/>
      </c>
      <c r="K3574" s="26">
        <f>IF($A3574="","",SUMPRODUCT(--ISNUMBER(SEARCH('Category Dictionary'!$D$5:$D$135&amp;"",$C3574)),--('Category Dictionary'!$D$5:$D$135&lt;&gt;"")))</f>
        <v/>
      </c>
      <c r="L3574" s="27">
        <f>IF($A3574="","",TRIM(IF(ISERROR(FIND(",",$C3574)),$C3574,LEFT($C3574,FIND(",",$C3574)-1))))</f>
        <v/>
      </c>
      <c r="M3574" s="28">
        <f>IF($H3574="","",DATE(YEAR($H3574),MONTH($H3574),1))</f>
        <v/>
      </c>
      <c r="N3574" s="26">
        <f>IF($H3574="","",TODAY()-$H3574)</f>
        <v/>
      </c>
      <c r="O3574" s="15" t="n"/>
      <c r="P3574" s="15" t="n"/>
      <c r="Q3574" s="15" t="n"/>
      <c r="R3574" s="25" t="n"/>
      <c r="S3574" s="26">
        <f>IF($A3574="","",AND(OR('Assignment Builder'!$B$5="",$B3574='Assignment Builder'!$B$5),OR('Assignment Builder'!$B$6="",ISNUMBER(SEARCH('Assignment Builder'!$B$6,$C3574))),OR('Assignment Builder'!$B$7="",'Assignment Builder'!$B$7=IFERROR(INDEX('Category Dictionary'!$C$5:$C$135,MATCH($L3574,'Category Dictionary'!$D$5:$D$135,0)),"")),OR('Assignment Builder'!$B$8="",$D3574='Assignment Builder'!$B$8),OR('Assignment Builder'!$B$9="",$F3574='Assignment Builder'!$B$9),OR('Assignment Builder'!$B$10="",$O3574='Assignment Builder'!$B$10),OR('Assignment Builder'!$B$11="",$H3574&gt;='Assignment Builder'!$B$11),OR('Assignment Builder'!$B$12="",N($Q3574)&lt;='Assignment Builder'!$B$12)))</f>
        <v/>
      </c>
      <c r="T3574" s="23" t="n"/>
    </row>
    <row r="3575">
      <c r="A3575" s="23" t="n"/>
      <c r="B3575" s="23" t="n"/>
      <c r="C3575" s="24" t="n"/>
      <c r="D3575" s="15" t="n"/>
      <c r="E3575" s="23" t="n"/>
      <c r="F3575" s="15" t="n"/>
      <c r="G3575" s="23" t="n"/>
      <c r="H3575" s="25" t="n"/>
      <c r="I3575" s="15" t="n"/>
      <c r="J3575" s="26">
        <f>IF($A3575="","",LEN($C3575)-LEN(SUBSTITUTE($C3575,",",""))+1)</f>
        <v/>
      </c>
      <c r="K3575" s="26">
        <f>IF($A3575="","",SUMPRODUCT(--ISNUMBER(SEARCH('Category Dictionary'!$D$5:$D$135&amp;"",$C3575)),--('Category Dictionary'!$D$5:$D$135&lt;&gt;"")))</f>
        <v/>
      </c>
      <c r="L3575" s="27">
        <f>IF($A3575="","",TRIM(IF(ISERROR(FIND(",",$C3575)),$C3575,LEFT($C3575,FIND(",",$C3575)-1))))</f>
        <v/>
      </c>
      <c r="M3575" s="28">
        <f>IF($H3575="","",DATE(YEAR($H3575),MONTH($H3575),1))</f>
        <v/>
      </c>
      <c r="N3575" s="26">
        <f>IF($H3575="","",TODAY()-$H3575)</f>
        <v/>
      </c>
      <c r="O3575" s="15" t="n"/>
      <c r="P3575" s="15" t="n"/>
      <c r="Q3575" s="15" t="n"/>
      <c r="R3575" s="25" t="n"/>
      <c r="S3575" s="26">
        <f>IF($A3575="","",AND(OR('Assignment Builder'!$B$5="",$B3575='Assignment Builder'!$B$5),OR('Assignment Builder'!$B$6="",ISNUMBER(SEARCH('Assignment Builder'!$B$6,$C3575))),OR('Assignment Builder'!$B$7="",'Assignment Builder'!$B$7=IFERROR(INDEX('Category Dictionary'!$C$5:$C$135,MATCH($L3575,'Category Dictionary'!$D$5:$D$135,0)),"")),OR('Assignment Builder'!$B$8="",$D3575='Assignment Builder'!$B$8),OR('Assignment Builder'!$B$9="",$F3575='Assignment Builder'!$B$9),OR('Assignment Builder'!$B$10="",$O3575='Assignment Builder'!$B$10),OR('Assignment Builder'!$B$11="",$H3575&gt;='Assignment Builder'!$B$11),OR('Assignment Builder'!$B$12="",N($Q3575)&lt;='Assignment Builder'!$B$12)))</f>
        <v/>
      </c>
      <c r="T3575" s="23" t="n"/>
    </row>
    <row r="3576">
      <c r="A3576" s="23" t="n"/>
      <c r="B3576" s="23" t="n"/>
      <c r="C3576" s="24" t="n"/>
      <c r="D3576" s="15" t="n"/>
      <c r="E3576" s="23" t="n"/>
      <c r="F3576" s="15" t="n"/>
      <c r="G3576" s="23" t="n"/>
      <c r="H3576" s="25" t="n"/>
      <c r="I3576" s="15" t="n"/>
      <c r="J3576" s="26">
        <f>IF($A3576="","",LEN($C3576)-LEN(SUBSTITUTE($C3576,",",""))+1)</f>
        <v/>
      </c>
      <c r="K3576" s="26">
        <f>IF($A3576="","",SUMPRODUCT(--ISNUMBER(SEARCH('Category Dictionary'!$D$5:$D$135&amp;"",$C3576)),--('Category Dictionary'!$D$5:$D$135&lt;&gt;"")))</f>
        <v/>
      </c>
      <c r="L3576" s="27">
        <f>IF($A3576="","",TRIM(IF(ISERROR(FIND(",",$C3576)),$C3576,LEFT($C3576,FIND(",",$C3576)-1))))</f>
        <v/>
      </c>
      <c r="M3576" s="28">
        <f>IF($H3576="","",DATE(YEAR($H3576),MONTH($H3576),1))</f>
        <v/>
      </c>
      <c r="N3576" s="26">
        <f>IF($H3576="","",TODAY()-$H3576)</f>
        <v/>
      </c>
      <c r="O3576" s="15" t="n"/>
      <c r="P3576" s="15" t="n"/>
      <c r="Q3576" s="15" t="n"/>
      <c r="R3576" s="25" t="n"/>
      <c r="S3576" s="26">
        <f>IF($A3576="","",AND(OR('Assignment Builder'!$B$5="",$B3576='Assignment Builder'!$B$5),OR('Assignment Builder'!$B$6="",ISNUMBER(SEARCH('Assignment Builder'!$B$6,$C3576))),OR('Assignment Builder'!$B$7="",'Assignment Builder'!$B$7=IFERROR(INDEX('Category Dictionary'!$C$5:$C$135,MATCH($L3576,'Category Dictionary'!$D$5:$D$135,0)),"")),OR('Assignment Builder'!$B$8="",$D3576='Assignment Builder'!$B$8),OR('Assignment Builder'!$B$9="",$F3576='Assignment Builder'!$B$9),OR('Assignment Builder'!$B$10="",$O3576='Assignment Builder'!$B$10),OR('Assignment Builder'!$B$11="",$H3576&gt;='Assignment Builder'!$B$11),OR('Assignment Builder'!$B$12="",N($Q3576)&lt;='Assignment Builder'!$B$12)))</f>
        <v/>
      </c>
      <c r="T3576" s="23" t="n"/>
    </row>
    <row r="3577">
      <c r="A3577" s="23" t="n"/>
      <c r="B3577" s="23" t="n"/>
      <c r="C3577" s="24" t="n"/>
      <c r="D3577" s="15" t="n"/>
      <c r="E3577" s="23" t="n"/>
      <c r="F3577" s="15" t="n"/>
      <c r="G3577" s="23" t="n"/>
      <c r="H3577" s="25" t="n"/>
      <c r="I3577" s="15" t="n"/>
      <c r="J3577" s="26">
        <f>IF($A3577="","",LEN($C3577)-LEN(SUBSTITUTE($C3577,",",""))+1)</f>
        <v/>
      </c>
      <c r="K3577" s="26">
        <f>IF($A3577="","",SUMPRODUCT(--ISNUMBER(SEARCH('Category Dictionary'!$D$5:$D$135&amp;"",$C3577)),--('Category Dictionary'!$D$5:$D$135&lt;&gt;"")))</f>
        <v/>
      </c>
      <c r="L3577" s="27">
        <f>IF($A3577="","",TRIM(IF(ISERROR(FIND(",",$C3577)),$C3577,LEFT($C3577,FIND(",",$C3577)-1))))</f>
        <v/>
      </c>
      <c r="M3577" s="28">
        <f>IF($H3577="","",DATE(YEAR($H3577),MONTH($H3577),1))</f>
        <v/>
      </c>
      <c r="N3577" s="26">
        <f>IF($H3577="","",TODAY()-$H3577)</f>
        <v/>
      </c>
      <c r="O3577" s="15" t="n"/>
      <c r="P3577" s="15" t="n"/>
      <c r="Q3577" s="15" t="n"/>
      <c r="R3577" s="25" t="n"/>
      <c r="S3577" s="26">
        <f>IF($A3577="","",AND(OR('Assignment Builder'!$B$5="",$B3577='Assignment Builder'!$B$5),OR('Assignment Builder'!$B$6="",ISNUMBER(SEARCH('Assignment Builder'!$B$6,$C3577))),OR('Assignment Builder'!$B$7="",'Assignment Builder'!$B$7=IFERROR(INDEX('Category Dictionary'!$C$5:$C$135,MATCH($L3577,'Category Dictionary'!$D$5:$D$135,0)),"")),OR('Assignment Builder'!$B$8="",$D3577='Assignment Builder'!$B$8),OR('Assignment Builder'!$B$9="",$F3577='Assignment Builder'!$B$9),OR('Assignment Builder'!$B$10="",$O3577='Assignment Builder'!$B$10),OR('Assignment Builder'!$B$11="",$H3577&gt;='Assignment Builder'!$B$11),OR('Assignment Builder'!$B$12="",N($Q3577)&lt;='Assignment Builder'!$B$12)))</f>
        <v/>
      </c>
      <c r="T3577" s="23" t="n"/>
    </row>
    <row r="3578">
      <c r="A3578" s="23" t="n"/>
      <c r="B3578" s="23" t="n"/>
      <c r="C3578" s="24" t="n"/>
      <c r="D3578" s="15" t="n"/>
      <c r="E3578" s="23" t="n"/>
      <c r="F3578" s="15" t="n"/>
      <c r="G3578" s="23" t="n"/>
      <c r="H3578" s="25" t="n"/>
      <c r="I3578" s="15" t="n"/>
      <c r="J3578" s="26">
        <f>IF($A3578="","",LEN($C3578)-LEN(SUBSTITUTE($C3578,",",""))+1)</f>
        <v/>
      </c>
      <c r="K3578" s="26">
        <f>IF($A3578="","",SUMPRODUCT(--ISNUMBER(SEARCH('Category Dictionary'!$D$5:$D$135&amp;"",$C3578)),--('Category Dictionary'!$D$5:$D$135&lt;&gt;"")))</f>
        <v/>
      </c>
      <c r="L3578" s="27">
        <f>IF($A3578="","",TRIM(IF(ISERROR(FIND(",",$C3578)),$C3578,LEFT($C3578,FIND(",",$C3578)-1))))</f>
        <v/>
      </c>
      <c r="M3578" s="28">
        <f>IF($H3578="","",DATE(YEAR($H3578),MONTH($H3578),1))</f>
        <v/>
      </c>
      <c r="N3578" s="26">
        <f>IF($H3578="","",TODAY()-$H3578)</f>
        <v/>
      </c>
      <c r="O3578" s="15" t="n"/>
      <c r="P3578" s="15" t="n"/>
      <c r="Q3578" s="15" t="n"/>
      <c r="R3578" s="25" t="n"/>
      <c r="S3578" s="26">
        <f>IF($A3578="","",AND(OR('Assignment Builder'!$B$5="",$B3578='Assignment Builder'!$B$5),OR('Assignment Builder'!$B$6="",ISNUMBER(SEARCH('Assignment Builder'!$B$6,$C3578))),OR('Assignment Builder'!$B$7="",'Assignment Builder'!$B$7=IFERROR(INDEX('Category Dictionary'!$C$5:$C$135,MATCH($L3578,'Category Dictionary'!$D$5:$D$135,0)),"")),OR('Assignment Builder'!$B$8="",$D3578='Assignment Builder'!$B$8),OR('Assignment Builder'!$B$9="",$F3578='Assignment Builder'!$B$9),OR('Assignment Builder'!$B$10="",$O3578='Assignment Builder'!$B$10),OR('Assignment Builder'!$B$11="",$H3578&gt;='Assignment Builder'!$B$11),OR('Assignment Builder'!$B$12="",N($Q3578)&lt;='Assignment Builder'!$B$12)))</f>
        <v/>
      </c>
      <c r="T3578" s="23" t="n"/>
    </row>
    <row r="3579">
      <c r="A3579" s="23" t="n"/>
      <c r="B3579" s="23" t="n"/>
      <c r="C3579" s="24" t="n"/>
      <c r="D3579" s="15" t="n"/>
      <c r="E3579" s="23" t="n"/>
      <c r="F3579" s="15" t="n"/>
      <c r="G3579" s="23" t="n"/>
      <c r="H3579" s="25" t="n"/>
      <c r="I3579" s="15" t="n"/>
      <c r="J3579" s="26">
        <f>IF($A3579="","",LEN($C3579)-LEN(SUBSTITUTE($C3579,",",""))+1)</f>
        <v/>
      </c>
      <c r="K3579" s="26">
        <f>IF($A3579="","",SUMPRODUCT(--ISNUMBER(SEARCH('Category Dictionary'!$D$5:$D$135&amp;"",$C3579)),--('Category Dictionary'!$D$5:$D$135&lt;&gt;"")))</f>
        <v/>
      </c>
      <c r="L3579" s="27">
        <f>IF($A3579="","",TRIM(IF(ISERROR(FIND(",",$C3579)),$C3579,LEFT($C3579,FIND(",",$C3579)-1))))</f>
        <v/>
      </c>
      <c r="M3579" s="28">
        <f>IF($H3579="","",DATE(YEAR($H3579),MONTH($H3579),1))</f>
        <v/>
      </c>
      <c r="N3579" s="26">
        <f>IF($H3579="","",TODAY()-$H3579)</f>
        <v/>
      </c>
      <c r="O3579" s="15" t="n"/>
      <c r="P3579" s="15" t="n"/>
      <c r="Q3579" s="15" t="n"/>
      <c r="R3579" s="25" t="n"/>
      <c r="S3579" s="26">
        <f>IF($A3579="","",AND(OR('Assignment Builder'!$B$5="",$B3579='Assignment Builder'!$B$5),OR('Assignment Builder'!$B$6="",ISNUMBER(SEARCH('Assignment Builder'!$B$6,$C3579))),OR('Assignment Builder'!$B$7="",'Assignment Builder'!$B$7=IFERROR(INDEX('Category Dictionary'!$C$5:$C$135,MATCH($L3579,'Category Dictionary'!$D$5:$D$135,0)),"")),OR('Assignment Builder'!$B$8="",$D3579='Assignment Builder'!$B$8),OR('Assignment Builder'!$B$9="",$F3579='Assignment Builder'!$B$9),OR('Assignment Builder'!$B$10="",$O3579='Assignment Builder'!$B$10),OR('Assignment Builder'!$B$11="",$H3579&gt;='Assignment Builder'!$B$11),OR('Assignment Builder'!$B$12="",N($Q3579)&lt;='Assignment Builder'!$B$12)))</f>
        <v/>
      </c>
      <c r="T3579" s="23" t="n"/>
    </row>
    <row r="3580">
      <c r="A3580" s="23" t="n"/>
      <c r="B3580" s="23" t="n"/>
      <c r="C3580" s="24" t="n"/>
      <c r="D3580" s="15" t="n"/>
      <c r="E3580" s="23" t="n"/>
      <c r="F3580" s="15" t="n"/>
      <c r="G3580" s="23" t="n"/>
      <c r="H3580" s="25" t="n"/>
      <c r="I3580" s="15" t="n"/>
      <c r="J3580" s="26">
        <f>IF($A3580="","",LEN($C3580)-LEN(SUBSTITUTE($C3580,",",""))+1)</f>
        <v/>
      </c>
      <c r="K3580" s="26">
        <f>IF($A3580="","",SUMPRODUCT(--ISNUMBER(SEARCH('Category Dictionary'!$D$5:$D$135&amp;"",$C3580)),--('Category Dictionary'!$D$5:$D$135&lt;&gt;"")))</f>
        <v/>
      </c>
      <c r="L3580" s="27">
        <f>IF($A3580="","",TRIM(IF(ISERROR(FIND(",",$C3580)),$C3580,LEFT($C3580,FIND(",",$C3580)-1))))</f>
        <v/>
      </c>
      <c r="M3580" s="28">
        <f>IF($H3580="","",DATE(YEAR($H3580),MONTH($H3580),1))</f>
        <v/>
      </c>
      <c r="N3580" s="26">
        <f>IF($H3580="","",TODAY()-$H3580)</f>
        <v/>
      </c>
      <c r="O3580" s="15" t="n"/>
      <c r="P3580" s="15" t="n"/>
      <c r="Q3580" s="15" t="n"/>
      <c r="R3580" s="25" t="n"/>
      <c r="S3580" s="26">
        <f>IF($A3580="","",AND(OR('Assignment Builder'!$B$5="",$B3580='Assignment Builder'!$B$5),OR('Assignment Builder'!$B$6="",ISNUMBER(SEARCH('Assignment Builder'!$B$6,$C3580))),OR('Assignment Builder'!$B$7="",'Assignment Builder'!$B$7=IFERROR(INDEX('Category Dictionary'!$C$5:$C$135,MATCH($L3580,'Category Dictionary'!$D$5:$D$135,0)),"")),OR('Assignment Builder'!$B$8="",$D3580='Assignment Builder'!$B$8),OR('Assignment Builder'!$B$9="",$F3580='Assignment Builder'!$B$9),OR('Assignment Builder'!$B$10="",$O3580='Assignment Builder'!$B$10),OR('Assignment Builder'!$B$11="",$H3580&gt;='Assignment Builder'!$B$11),OR('Assignment Builder'!$B$12="",N($Q3580)&lt;='Assignment Builder'!$B$12)))</f>
        <v/>
      </c>
      <c r="T3580" s="23" t="n"/>
    </row>
    <row r="3581">
      <c r="A3581" s="23" t="n"/>
      <c r="B3581" s="23" t="n"/>
      <c r="C3581" s="24" t="n"/>
      <c r="D3581" s="15" t="n"/>
      <c r="E3581" s="23" t="n"/>
      <c r="F3581" s="15" t="n"/>
      <c r="G3581" s="23" t="n"/>
      <c r="H3581" s="25" t="n"/>
      <c r="I3581" s="15" t="n"/>
      <c r="J3581" s="26">
        <f>IF($A3581="","",LEN($C3581)-LEN(SUBSTITUTE($C3581,",",""))+1)</f>
        <v/>
      </c>
      <c r="K3581" s="26">
        <f>IF($A3581="","",SUMPRODUCT(--ISNUMBER(SEARCH('Category Dictionary'!$D$5:$D$135&amp;"",$C3581)),--('Category Dictionary'!$D$5:$D$135&lt;&gt;"")))</f>
        <v/>
      </c>
      <c r="L3581" s="27">
        <f>IF($A3581="","",TRIM(IF(ISERROR(FIND(",",$C3581)),$C3581,LEFT($C3581,FIND(",",$C3581)-1))))</f>
        <v/>
      </c>
      <c r="M3581" s="28">
        <f>IF($H3581="","",DATE(YEAR($H3581),MONTH($H3581),1))</f>
        <v/>
      </c>
      <c r="N3581" s="26">
        <f>IF($H3581="","",TODAY()-$H3581)</f>
        <v/>
      </c>
      <c r="O3581" s="15" t="n"/>
      <c r="P3581" s="15" t="n"/>
      <c r="Q3581" s="15" t="n"/>
      <c r="R3581" s="25" t="n"/>
      <c r="S3581" s="26">
        <f>IF($A3581="","",AND(OR('Assignment Builder'!$B$5="",$B3581='Assignment Builder'!$B$5),OR('Assignment Builder'!$B$6="",ISNUMBER(SEARCH('Assignment Builder'!$B$6,$C3581))),OR('Assignment Builder'!$B$7="",'Assignment Builder'!$B$7=IFERROR(INDEX('Category Dictionary'!$C$5:$C$135,MATCH($L3581,'Category Dictionary'!$D$5:$D$135,0)),"")),OR('Assignment Builder'!$B$8="",$D3581='Assignment Builder'!$B$8),OR('Assignment Builder'!$B$9="",$F3581='Assignment Builder'!$B$9),OR('Assignment Builder'!$B$10="",$O3581='Assignment Builder'!$B$10),OR('Assignment Builder'!$B$11="",$H3581&gt;='Assignment Builder'!$B$11),OR('Assignment Builder'!$B$12="",N($Q3581)&lt;='Assignment Builder'!$B$12)))</f>
        <v/>
      </c>
      <c r="T3581" s="23" t="n"/>
    </row>
    <row r="3582">
      <c r="A3582" s="23" t="n"/>
      <c r="B3582" s="23" t="n"/>
      <c r="C3582" s="24" t="n"/>
      <c r="D3582" s="15" t="n"/>
      <c r="E3582" s="23" t="n"/>
      <c r="F3582" s="15" t="n"/>
      <c r="G3582" s="23" t="n"/>
      <c r="H3582" s="25" t="n"/>
      <c r="I3582" s="15" t="n"/>
      <c r="J3582" s="26">
        <f>IF($A3582="","",LEN($C3582)-LEN(SUBSTITUTE($C3582,",",""))+1)</f>
        <v/>
      </c>
      <c r="K3582" s="26">
        <f>IF($A3582="","",SUMPRODUCT(--ISNUMBER(SEARCH('Category Dictionary'!$D$5:$D$135&amp;"",$C3582)),--('Category Dictionary'!$D$5:$D$135&lt;&gt;"")))</f>
        <v/>
      </c>
      <c r="L3582" s="27">
        <f>IF($A3582="","",TRIM(IF(ISERROR(FIND(",",$C3582)),$C3582,LEFT($C3582,FIND(",",$C3582)-1))))</f>
        <v/>
      </c>
      <c r="M3582" s="28">
        <f>IF($H3582="","",DATE(YEAR($H3582),MONTH($H3582),1))</f>
        <v/>
      </c>
      <c r="N3582" s="26">
        <f>IF($H3582="","",TODAY()-$H3582)</f>
        <v/>
      </c>
      <c r="O3582" s="15" t="n"/>
      <c r="P3582" s="15" t="n"/>
      <c r="Q3582" s="15" t="n"/>
      <c r="R3582" s="25" t="n"/>
      <c r="S3582" s="26">
        <f>IF($A3582="","",AND(OR('Assignment Builder'!$B$5="",$B3582='Assignment Builder'!$B$5),OR('Assignment Builder'!$B$6="",ISNUMBER(SEARCH('Assignment Builder'!$B$6,$C3582))),OR('Assignment Builder'!$B$7="",'Assignment Builder'!$B$7=IFERROR(INDEX('Category Dictionary'!$C$5:$C$135,MATCH($L3582,'Category Dictionary'!$D$5:$D$135,0)),"")),OR('Assignment Builder'!$B$8="",$D3582='Assignment Builder'!$B$8),OR('Assignment Builder'!$B$9="",$F3582='Assignment Builder'!$B$9),OR('Assignment Builder'!$B$10="",$O3582='Assignment Builder'!$B$10),OR('Assignment Builder'!$B$11="",$H3582&gt;='Assignment Builder'!$B$11),OR('Assignment Builder'!$B$12="",N($Q3582)&lt;='Assignment Builder'!$B$12)))</f>
        <v/>
      </c>
      <c r="T3582" s="23" t="n"/>
    </row>
    <row r="3583">
      <c r="A3583" s="23" t="n"/>
      <c r="B3583" s="23" t="n"/>
      <c r="C3583" s="24" t="n"/>
      <c r="D3583" s="15" t="n"/>
      <c r="E3583" s="23" t="n"/>
      <c r="F3583" s="15" t="n"/>
      <c r="G3583" s="23" t="n"/>
      <c r="H3583" s="25" t="n"/>
      <c r="I3583" s="15" t="n"/>
      <c r="J3583" s="26">
        <f>IF($A3583="","",LEN($C3583)-LEN(SUBSTITUTE($C3583,",",""))+1)</f>
        <v/>
      </c>
      <c r="K3583" s="26">
        <f>IF($A3583="","",SUMPRODUCT(--ISNUMBER(SEARCH('Category Dictionary'!$D$5:$D$135&amp;"",$C3583)),--('Category Dictionary'!$D$5:$D$135&lt;&gt;"")))</f>
        <v/>
      </c>
      <c r="L3583" s="27">
        <f>IF($A3583="","",TRIM(IF(ISERROR(FIND(",",$C3583)),$C3583,LEFT($C3583,FIND(",",$C3583)-1))))</f>
        <v/>
      </c>
      <c r="M3583" s="28">
        <f>IF($H3583="","",DATE(YEAR($H3583),MONTH($H3583),1))</f>
        <v/>
      </c>
      <c r="N3583" s="26">
        <f>IF($H3583="","",TODAY()-$H3583)</f>
        <v/>
      </c>
      <c r="O3583" s="15" t="n"/>
      <c r="P3583" s="15" t="n"/>
      <c r="Q3583" s="15" t="n"/>
      <c r="R3583" s="25" t="n"/>
      <c r="S3583" s="26">
        <f>IF($A3583="","",AND(OR('Assignment Builder'!$B$5="",$B3583='Assignment Builder'!$B$5),OR('Assignment Builder'!$B$6="",ISNUMBER(SEARCH('Assignment Builder'!$B$6,$C3583))),OR('Assignment Builder'!$B$7="",'Assignment Builder'!$B$7=IFERROR(INDEX('Category Dictionary'!$C$5:$C$135,MATCH($L3583,'Category Dictionary'!$D$5:$D$135,0)),"")),OR('Assignment Builder'!$B$8="",$D3583='Assignment Builder'!$B$8),OR('Assignment Builder'!$B$9="",$F3583='Assignment Builder'!$B$9),OR('Assignment Builder'!$B$10="",$O3583='Assignment Builder'!$B$10),OR('Assignment Builder'!$B$11="",$H3583&gt;='Assignment Builder'!$B$11),OR('Assignment Builder'!$B$12="",N($Q3583)&lt;='Assignment Builder'!$B$12)))</f>
        <v/>
      </c>
      <c r="T3583" s="23" t="n"/>
    </row>
    <row r="3584">
      <c r="A3584" s="23" t="n"/>
      <c r="B3584" s="23" t="n"/>
      <c r="C3584" s="24" t="n"/>
      <c r="D3584" s="15" t="n"/>
      <c r="E3584" s="23" t="n"/>
      <c r="F3584" s="15" t="n"/>
      <c r="G3584" s="23" t="n"/>
      <c r="H3584" s="25" t="n"/>
      <c r="I3584" s="15" t="n"/>
      <c r="J3584" s="26">
        <f>IF($A3584="","",LEN($C3584)-LEN(SUBSTITUTE($C3584,",",""))+1)</f>
        <v/>
      </c>
      <c r="K3584" s="26">
        <f>IF($A3584="","",SUMPRODUCT(--ISNUMBER(SEARCH('Category Dictionary'!$D$5:$D$135&amp;"",$C3584)),--('Category Dictionary'!$D$5:$D$135&lt;&gt;"")))</f>
        <v/>
      </c>
      <c r="L3584" s="27">
        <f>IF($A3584="","",TRIM(IF(ISERROR(FIND(",",$C3584)),$C3584,LEFT($C3584,FIND(",",$C3584)-1))))</f>
        <v/>
      </c>
      <c r="M3584" s="28">
        <f>IF($H3584="","",DATE(YEAR($H3584),MONTH($H3584),1))</f>
        <v/>
      </c>
      <c r="N3584" s="26">
        <f>IF($H3584="","",TODAY()-$H3584)</f>
        <v/>
      </c>
      <c r="O3584" s="15" t="n"/>
      <c r="P3584" s="15" t="n"/>
      <c r="Q3584" s="15" t="n"/>
      <c r="R3584" s="25" t="n"/>
      <c r="S3584" s="26">
        <f>IF($A3584="","",AND(OR('Assignment Builder'!$B$5="",$B3584='Assignment Builder'!$B$5),OR('Assignment Builder'!$B$6="",ISNUMBER(SEARCH('Assignment Builder'!$B$6,$C3584))),OR('Assignment Builder'!$B$7="",'Assignment Builder'!$B$7=IFERROR(INDEX('Category Dictionary'!$C$5:$C$135,MATCH($L3584,'Category Dictionary'!$D$5:$D$135,0)),"")),OR('Assignment Builder'!$B$8="",$D3584='Assignment Builder'!$B$8),OR('Assignment Builder'!$B$9="",$F3584='Assignment Builder'!$B$9),OR('Assignment Builder'!$B$10="",$O3584='Assignment Builder'!$B$10),OR('Assignment Builder'!$B$11="",$H3584&gt;='Assignment Builder'!$B$11),OR('Assignment Builder'!$B$12="",N($Q3584)&lt;='Assignment Builder'!$B$12)))</f>
        <v/>
      </c>
      <c r="T3584" s="23" t="n"/>
    </row>
    <row r="3585">
      <c r="A3585" s="23" t="n"/>
      <c r="B3585" s="23" t="n"/>
      <c r="C3585" s="24" t="n"/>
      <c r="D3585" s="15" t="n"/>
      <c r="E3585" s="23" t="n"/>
      <c r="F3585" s="15" t="n"/>
      <c r="G3585" s="23" t="n"/>
      <c r="H3585" s="25" t="n"/>
      <c r="I3585" s="15" t="n"/>
      <c r="J3585" s="26">
        <f>IF($A3585="","",LEN($C3585)-LEN(SUBSTITUTE($C3585,",",""))+1)</f>
        <v/>
      </c>
      <c r="K3585" s="26">
        <f>IF($A3585="","",SUMPRODUCT(--ISNUMBER(SEARCH('Category Dictionary'!$D$5:$D$135&amp;"",$C3585)),--('Category Dictionary'!$D$5:$D$135&lt;&gt;"")))</f>
        <v/>
      </c>
      <c r="L3585" s="27">
        <f>IF($A3585="","",TRIM(IF(ISERROR(FIND(",",$C3585)),$C3585,LEFT($C3585,FIND(",",$C3585)-1))))</f>
        <v/>
      </c>
      <c r="M3585" s="28">
        <f>IF($H3585="","",DATE(YEAR($H3585),MONTH($H3585),1))</f>
        <v/>
      </c>
      <c r="N3585" s="26">
        <f>IF($H3585="","",TODAY()-$H3585)</f>
        <v/>
      </c>
      <c r="O3585" s="15" t="n"/>
      <c r="P3585" s="15" t="n"/>
      <c r="Q3585" s="15" t="n"/>
      <c r="R3585" s="25" t="n"/>
      <c r="S3585" s="26">
        <f>IF($A3585="","",AND(OR('Assignment Builder'!$B$5="",$B3585='Assignment Builder'!$B$5),OR('Assignment Builder'!$B$6="",ISNUMBER(SEARCH('Assignment Builder'!$B$6,$C3585))),OR('Assignment Builder'!$B$7="",'Assignment Builder'!$B$7=IFERROR(INDEX('Category Dictionary'!$C$5:$C$135,MATCH($L3585,'Category Dictionary'!$D$5:$D$135,0)),"")),OR('Assignment Builder'!$B$8="",$D3585='Assignment Builder'!$B$8),OR('Assignment Builder'!$B$9="",$F3585='Assignment Builder'!$B$9),OR('Assignment Builder'!$B$10="",$O3585='Assignment Builder'!$B$10),OR('Assignment Builder'!$B$11="",$H3585&gt;='Assignment Builder'!$B$11),OR('Assignment Builder'!$B$12="",N($Q3585)&lt;='Assignment Builder'!$B$12)))</f>
        <v/>
      </c>
      <c r="T3585" s="23" t="n"/>
    </row>
    <row r="3586">
      <c r="A3586" s="23" t="n"/>
      <c r="B3586" s="23" t="n"/>
      <c r="C3586" s="24" t="n"/>
      <c r="D3586" s="15" t="n"/>
      <c r="E3586" s="23" t="n"/>
      <c r="F3586" s="15" t="n"/>
      <c r="G3586" s="23" t="n"/>
      <c r="H3586" s="25" t="n"/>
      <c r="I3586" s="15" t="n"/>
      <c r="J3586" s="26">
        <f>IF($A3586="","",LEN($C3586)-LEN(SUBSTITUTE($C3586,",",""))+1)</f>
        <v/>
      </c>
      <c r="K3586" s="26">
        <f>IF($A3586="","",SUMPRODUCT(--ISNUMBER(SEARCH('Category Dictionary'!$D$5:$D$135&amp;"",$C3586)),--('Category Dictionary'!$D$5:$D$135&lt;&gt;"")))</f>
        <v/>
      </c>
      <c r="L3586" s="27">
        <f>IF($A3586="","",TRIM(IF(ISERROR(FIND(",",$C3586)),$C3586,LEFT($C3586,FIND(",",$C3586)-1))))</f>
        <v/>
      </c>
      <c r="M3586" s="28">
        <f>IF($H3586="","",DATE(YEAR($H3586),MONTH($H3586),1))</f>
        <v/>
      </c>
      <c r="N3586" s="26">
        <f>IF($H3586="","",TODAY()-$H3586)</f>
        <v/>
      </c>
      <c r="O3586" s="15" t="n"/>
      <c r="P3586" s="15" t="n"/>
      <c r="Q3586" s="15" t="n"/>
      <c r="R3586" s="25" t="n"/>
      <c r="S3586" s="26">
        <f>IF($A3586="","",AND(OR('Assignment Builder'!$B$5="",$B3586='Assignment Builder'!$B$5),OR('Assignment Builder'!$B$6="",ISNUMBER(SEARCH('Assignment Builder'!$B$6,$C3586))),OR('Assignment Builder'!$B$7="",'Assignment Builder'!$B$7=IFERROR(INDEX('Category Dictionary'!$C$5:$C$135,MATCH($L3586,'Category Dictionary'!$D$5:$D$135,0)),"")),OR('Assignment Builder'!$B$8="",$D3586='Assignment Builder'!$B$8),OR('Assignment Builder'!$B$9="",$F3586='Assignment Builder'!$B$9),OR('Assignment Builder'!$B$10="",$O3586='Assignment Builder'!$B$10),OR('Assignment Builder'!$B$11="",$H3586&gt;='Assignment Builder'!$B$11),OR('Assignment Builder'!$B$12="",N($Q3586)&lt;='Assignment Builder'!$B$12)))</f>
        <v/>
      </c>
      <c r="T3586" s="23" t="n"/>
    </row>
    <row r="3587">
      <c r="A3587" s="23" t="n"/>
      <c r="B3587" s="23" t="n"/>
      <c r="C3587" s="24" t="n"/>
      <c r="D3587" s="15" t="n"/>
      <c r="E3587" s="23" t="n"/>
      <c r="F3587" s="15" t="n"/>
      <c r="G3587" s="23" t="n"/>
      <c r="H3587" s="25" t="n"/>
      <c r="I3587" s="15" t="n"/>
      <c r="J3587" s="26">
        <f>IF($A3587="","",LEN($C3587)-LEN(SUBSTITUTE($C3587,",",""))+1)</f>
        <v/>
      </c>
      <c r="K3587" s="26">
        <f>IF($A3587="","",SUMPRODUCT(--ISNUMBER(SEARCH('Category Dictionary'!$D$5:$D$135&amp;"",$C3587)),--('Category Dictionary'!$D$5:$D$135&lt;&gt;"")))</f>
        <v/>
      </c>
      <c r="L3587" s="27">
        <f>IF($A3587="","",TRIM(IF(ISERROR(FIND(",",$C3587)),$C3587,LEFT($C3587,FIND(",",$C3587)-1))))</f>
        <v/>
      </c>
      <c r="M3587" s="28">
        <f>IF($H3587="","",DATE(YEAR($H3587),MONTH($H3587),1))</f>
        <v/>
      </c>
      <c r="N3587" s="26">
        <f>IF($H3587="","",TODAY()-$H3587)</f>
        <v/>
      </c>
      <c r="O3587" s="15" t="n"/>
      <c r="P3587" s="15" t="n"/>
      <c r="Q3587" s="15" t="n"/>
      <c r="R3587" s="25" t="n"/>
      <c r="S3587" s="26">
        <f>IF($A3587="","",AND(OR('Assignment Builder'!$B$5="",$B3587='Assignment Builder'!$B$5),OR('Assignment Builder'!$B$6="",ISNUMBER(SEARCH('Assignment Builder'!$B$6,$C3587))),OR('Assignment Builder'!$B$7="",'Assignment Builder'!$B$7=IFERROR(INDEX('Category Dictionary'!$C$5:$C$135,MATCH($L3587,'Category Dictionary'!$D$5:$D$135,0)),"")),OR('Assignment Builder'!$B$8="",$D3587='Assignment Builder'!$B$8),OR('Assignment Builder'!$B$9="",$F3587='Assignment Builder'!$B$9),OR('Assignment Builder'!$B$10="",$O3587='Assignment Builder'!$B$10),OR('Assignment Builder'!$B$11="",$H3587&gt;='Assignment Builder'!$B$11),OR('Assignment Builder'!$B$12="",N($Q3587)&lt;='Assignment Builder'!$B$12)))</f>
        <v/>
      </c>
      <c r="T3587" s="23" t="n"/>
    </row>
    <row r="3588">
      <c r="A3588" s="23" t="n"/>
      <c r="B3588" s="23" t="n"/>
      <c r="C3588" s="24" t="n"/>
      <c r="D3588" s="15" t="n"/>
      <c r="E3588" s="23" t="n"/>
      <c r="F3588" s="15" t="n"/>
      <c r="G3588" s="23" t="n"/>
      <c r="H3588" s="25" t="n"/>
      <c r="I3588" s="15" t="n"/>
      <c r="J3588" s="26">
        <f>IF($A3588="","",LEN($C3588)-LEN(SUBSTITUTE($C3588,",",""))+1)</f>
        <v/>
      </c>
      <c r="K3588" s="26">
        <f>IF($A3588="","",SUMPRODUCT(--ISNUMBER(SEARCH('Category Dictionary'!$D$5:$D$135&amp;"",$C3588)),--('Category Dictionary'!$D$5:$D$135&lt;&gt;"")))</f>
        <v/>
      </c>
      <c r="L3588" s="27">
        <f>IF($A3588="","",TRIM(IF(ISERROR(FIND(",",$C3588)),$C3588,LEFT($C3588,FIND(",",$C3588)-1))))</f>
        <v/>
      </c>
      <c r="M3588" s="28">
        <f>IF($H3588="","",DATE(YEAR($H3588),MONTH($H3588),1))</f>
        <v/>
      </c>
      <c r="N3588" s="26">
        <f>IF($H3588="","",TODAY()-$H3588)</f>
        <v/>
      </c>
      <c r="O3588" s="15" t="n"/>
      <c r="P3588" s="15" t="n"/>
      <c r="Q3588" s="15" t="n"/>
      <c r="R3588" s="25" t="n"/>
      <c r="S3588" s="26">
        <f>IF($A3588="","",AND(OR('Assignment Builder'!$B$5="",$B3588='Assignment Builder'!$B$5),OR('Assignment Builder'!$B$6="",ISNUMBER(SEARCH('Assignment Builder'!$B$6,$C3588))),OR('Assignment Builder'!$B$7="",'Assignment Builder'!$B$7=IFERROR(INDEX('Category Dictionary'!$C$5:$C$135,MATCH($L3588,'Category Dictionary'!$D$5:$D$135,0)),"")),OR('Assignment Builder'!$B$8="",$D3588='Assignment Builder'!$B$8),OR('Assignment Builder'!$B$9="",$F3588='Assignment Builder'!$B$9),OR('Assignment Builder'!$B$10="",$O3588='Assignment Builder'!$B$10),OR('Assignment Builder'!$B$11="",$H3588&gt;='Assignment Builder'!$B$11),OR('Assignment Builder'!$B$12="",N($Q3588)&lt;='Assignment Builder'!$B$12)))</f>
        <v/>
      </c>
      <c r="T3588" s="23" t="n"/>
    </row>
    <row r="3589">
      <c r="A3589" s="23" t="n"/>
      <c r="B3589" s="23" t="n"/>
      <c r="C3589" s="24" t="n"/>
      <c r="D3589" s="15" t="n"/>
      <c r="E3589" s="23" t="n"/>
      <c r="F3589" s="15" t="n"/>
      <c r="G3589" s="23" t="n"/>
      <c r="H3589" s="25" t="n"/>
      <c r="I3589" s="15" t="n"/>
      <c r="J3589" s="26">
        <f>IF($A3589="","",LEN($C3589)-LEN(SUBSTITUTE($C3589,",",""))+1)</f>
        <v/>
      </c>
      <c r="K3589" s="26">
        <f>IF($A3589="","",SUMPRODUCT(--ISNUMBER(SEARCH('Category Dictionary'!$D$5:$D$135&amp;"",$C3589)),--('Category Dictionary'!$D$5:$D$135&lt;&gt;"")))</f>
        <v/>
      </c>
      <c r="L3589" s="27">
        <f>IF($A3589="","",TRIM(IF(ISERROR(FIND(",",$C3589)),$C3589,LEFT($C3589,FIND(",",$C3589)-1))))</f>
        <v/>
      </c>
      <c r="M3589" s="28">
        <f>IF($H3589="","",DATE(YEAR($H3589),MONTH($H3589),1))</f>
        <v/>
      </c>
      <c r="N3589" s="26">
        <f>IF($H3589="","",TODAY()-$H3589)</f>
        <v/>
      </c>
      <c r="O3589" s="15" t="n"/>
      <c r="P3589" s="15" t="n"/>
      <c r="Q3589" s="15" t="n"/>
      <c r="R3589" s="25" t="n"/>
      <c r="S3589" s="26">
        <f>IF($A3589="","",AND(OR('Assignment Builder'!$B$5="",$B3589='Assignment Builder'!$B$5),OR('Assignment Builder'!$B$6="",ISNUMBER(SEARCH('Assignment Builder'!$B$6,$C3589))),OR('Assignment Builder'!$B$7="",'Assignment Builder'!$B$7=IFERROR(INDEX('Category Dictionary'!$C$5:$C$135,MATCH($L3589,'Category Dictionary'!$D$5:$D$135,0)),"")),OR('Assignment Builder'!$B$8="",$D3589='Assignment Builder'!$B$8),OR('Assignment Builder'!$B$9="",$F3589='Assignment Builder'!$B$9),OR('Assignment Builder'!$B$10="",$O3589='Assignment Builder'!$B$10),OR('Assignment Builder'!$B$11="",$H3589&gt;='Assignment Builder'!$B$11),OR('Assignment Builder'!$B$12="",N($Q3589)&lt;='Assignment Builder'!$B$12)))</f>
        <v/>
      </c>
      <c r="T3589" s="23" t="n"/>
    </row>
    <row r="3590">
      <c r="A3590" s="23" t="n"/>
      <c r="B3590" s="23" t="n"/>
      <c r="C3590" s="24" t="n"/>
      <c r="D3590" s="15" t="n"/>
      <c r="E3590" s="23" t="n"/>
      <c r="F3590" s="15" t="n"/>
      <c r="G3590" s="23" t="n"/>
      <c r="H3590" s="25" t="n"/>
      <c r="I3590" s="15" t="n"/>
      <c r="J3590" s="26">
        <f>IF($A3590="","",LEN($C3590)-LEN(SUBSTITUTE($C3590,",",""))+1)</f>
        <v/>
      </c>
      <c r="K3590" s="26">
        <f>IF($A3590="","",SUMPRODUCT(--ISNUMBER(SEARCH('Category Dictionary'!$D$5:$D$135&amp;"",$C3590)),--('Category Dictionary'!$D$5:$D$135&lt;&gt;"")))</f>
        <v/>
      </c>
      <c r="L3590" s="27">
        <f>IF($A3590="","",TRIM(IF(ISERROR(FIND(",",$C3590)),$C3590,LEFT($C3590,FIND(",",$C3590)-1))))</f>
        <v/>
      </c>
      <c r="M3590" s="28">
        <f>IF($H3590="","",DATE(YEAR($H3590),MONTH($H3590),1))</f>
        <v/>
      </c>
      <c r="N3590" s="26">
        <f>IF($H3590="","",TODAY()-$H3590)</f>
        <v/>
      </c>
      <c r="O3590" s="15" t="n"/>
      <c r="P3590" s="15" t="n"/>
      <c r="Q3590" s="15" t="n"/>
      <c r="R3590" s="25" t="n"/>
      <c r="S3590" s="26">
        <f>IF($A3590="","",AND(OR('Assignment Builder'!$B$5="",$B3590='Assignment Builder'!$B$5),OR('Assignment Builder'!$B$6="",ISNUMBER(SEARCH('Assignment Builder'!$B$6,$C3590))),OR('Assignment Builder'!$B$7="",'Assignment Builder'!$B$7=IFERROR(INDEX('Category Dictionary'!$C$5:$C$135,MATCH($L3590,'Category Dictionary'!$D$5:$D$135,0)),"")),OR('Assignment Builder'!$B$8="",$D3590='Assignment Builder'!$B$8),OR('Assignment Builder'!$B$9="",$F3590='Assignment Builder'!$B$9),OR('Assignment Builder'!$B$10="",$O3590='Assignment Builder'!$B$10),OR('Assignment Builder'!$B$11="",$H3590&gt;='Assignment Builder'!$B$11),OR('Assignment Builder'!$B$12="",N($Q3590)&lt;='Assignment Builder'!$B$12)))</f>
        <v/>
      </c>
      <c r="T3590" s="23" t="n"/>
    </row>
    <row r="3591">
      <c r="A3591" s="23" t="n"/>
      <c r="B3591" s="23" t="n"/>
      <c r="C3591" s="24" t="n"/>
      <c r="D3591" s="15" t="n"/>
      <c r="E3591" s="23" t="n"/>
      <c r="F3591" s="15" t="n"/>
      <c r="G3591" s="23" t="n"/>
      <c r="H3591" s="25" t="n"/>
      <c r="I3591" s="15" t="n"/>
      <c r="J3591" s="26">
        <f>IF($A3591="","",LEN($C3591)-LEN(SUBSTITUTE($C3591,",",""))+1)</f>
        <v/>
      </c>
      <c r="K3591" s="26">
        <f>IF($A3591="","",SUMPRODUCT(--ISNUMBER(SEARCH('Category Dictionary'!$D$5:$D$135&amp;"",$C3591)),--('Category Dictionary'!$D$5:$D$135&lt;&gt;"")))</f>
        <v/>
      </c>
      <c r="L3591" s="27">
        <f>IF($A3591="","",TRIM(IF(ISERROR(FIND(",",$C3591)),$C3591,LEFT($C3591,FIND(",",$C3591)-1))))</f>
        <v/>
      </c>
      <c r="M3591" s="28">
        <f>IF($H3591="","",DATE(YEAR($H3591),MONTH($H3591),1))</f>
        <v/>
      </c>
      <c r="N3591" s="26">
        <f>IF($H3591="","",TODAY()-$H3591)</f>
        <v/>
      </c>
      <c r="O3591" s="15" t="n"/>
      <c r="P3591" s="15" t="n"/>
      <c r="Q3591" s="15" t="n"/>
      <c r="R3591" s="25" t="n"/>
      <c r="S3591" s="26">
        <f>IF($A3591="","",AND(OR('Assignment Builder'!$B$5="",$B3591='Assignment Builder'!$B$5),OR('Assignment Builder'!$B$6="",ISNUMBER(SEARCH('Assignment Builder'!$B$6,$C3591))),OR('Assignment Builder'!$B$7="",'Assignment Builder'!$B$7=IFERROR(INDEX('Category Dictionary'!$C$5:$C$135,MATCH($L3591,'Category Dictionary'!$D$5:$D$135,0)),"")),OR('Assignment Builder'!$B$8="",$D3591='Assignment Builder'!$B$8),OR('Assignment Builder'!$B$9="",$F3591='Assignment Builder'!$B$9),OR('Assignment Builder'!$B$10="",$O3591='Assignment Builder'!$B$10),OR('Assignment Builder'!$B$11="",$H3591&gt;='Assignment Builder'!$B$11),OR('Assignment Builder'!$B$12="",N($Q3591)&lt;='Assignment Builder'!$B$12)))</f>
        <v/>
      </c>
      <c r="T3591" s="23" t="n"/>
    </row>
    <row r="3592">
      <c r="A3592" s="23" t="n"/>
      <c r="B3592" s="23" t="n"/>
      <c r="C3592" s="24" t="n"/>
      <c r="D3592" s="15" t="n"/>
      <c r="E3592" s="23" t="n"/>
      <c r="F3592" s="15" t="n"/>
      <c r="G3592" s="23" t="n"/>
      <c r="H3592" s="25" t="n"/>
      <c r="I3592" s="15" t="n"/>
      <c r="J3592" s="26">
        <f>IF($A3592="","",LEN($C3592)-LEN(SUBSTITUTE($C3592,",",""))+1)</f>
        <v/>
      </c>
      <c r="K3592" s="26">
        <f>IF($A3592="","",SUMPRODUCT(--ISNUMBER(SEARCH('Category Dictionary'!$D$5:$D$135&amp;"",$C3592)),--('Category Dictionary'!$D$5:$D$135&lt;&gt;"")))</f>
        <v/>
      </c>
      <c r="L3592" s="27">
        <f>IF($A3592="","",TRIM(IF(ISERROR(FIND(",",$C3592)),$C3592,LEFT($C3592,FIND(",",$C3592)-1))))</f>
        <v/>
      </c>
      <c r="M3592" s="28">
        <f>IF($H3592="","",DATE(YEAR($H3592),MONTH($H3592),1))</f>
        <v/>
      </c>
      <c r="N3592" s="26">
        <f>IF($H3592="","",TODAY()-$H3592)</f>
        <v/>
      </c>
      <c r="O3592" s="15" t="n"/>
      <c r="P3592" s="15" t="n"/>
      <c r="Q3592" s="15" t="n"/>
      <c r="R3592" s="25" t="n"/>
      <c r="S3592" s="26">
        <f>IF($A3592="","",AND(OR('Assignment Builder'!$B$5="",$B3592='Assignment Builder'!$B$5),OR('Assignment Builder'!$B$6="",ISNUMBER(SEARCH('Assignment Builder'!$B$6,$C3592))),OR('Assignment Builder'!$B$7="",'Assignment Builder'!$B$7=IFERROR(INDEX('Category Dictionary'!$C$5:$C$135,MATCH($L3592,'Category Dictionary'!$D$5:$D$135,0)),"")),OR('Assignment Builder'!$B$8="",$D3592='Assignment Builder'!$B$8),OR('Assignment Builder'!$B$9="",$F3592='Assignment Builder'!$B$9),OR('Assignment Builder'!$B$10="",$O3592='Assignment Builder'!$B$10),OR('Assignment Builder'!$B$11="",$H3592&gt;='Assignment Builder'!$B$11),OR('Assignment Builder'!$B$12="",N($Q3592)&lt;='Assignment Builder'!$B$12)))</f>
        <v/>
      </c>
      <c r="T3592" s="23" t="n"/>
    </row>
    <row r="3593">
      <c r="A3593" s="23" t="n"/>
      <c r="B3593" s="23" t="n"/>
      <c r="C3593" s="24" t="n"/>
      <c r="D3593" s="15" t="n"/>
      <c r="E3593" s="23" t="n"/>
      <c r="F3593" s="15" t="n"/>
      <c r="G3593" s="23" t="n"/>
      <c r="H3593" s="25" t="n"/>
      <c r="I3593" s="15" t="n"/>
      <c r="J3593" s="26">
        <f>IF($A3593="","",LEN($C3593)-LEN(SUBSTITUTE($C3593,",",""))+1)</f>
        <v/>
      </c>
      <c r="K3593" s="26">
        <f>IF($A3593="","",SUMPRODUCT(--ISNUMBER(SEARCH('Category Dictionary'!$D$5:$D$135&amp;"",$C3593)),--('Category Dictionary'!$D$5:$D$135&lt;&gt;"")))</f>
        <v/>
      </c>
      <c r="L3593" s="27">
        <f>IF($A3593="","",TRIM(IF(ISERROR(FIND(",",$C3593)),$C3593,LEFT($C3593,FIND(",",$C3593)-1))))</f>
        <v/>
      </c>
      <c r="M3593" s="28">
        <f>IF($H3593="","",DATE(YEAR($H3593),MONTH($H3593),1))</f>
        <v/>
      </c>
      <c r="N3593" s="26">
        <f>IF($H3593="","",TODAY()-$H3593)</f>
        <v/>
      </c>
      <c r="O3593" s="15" t="n"/>
      <c r="P3593" s="15" t="n"/>
      <c r="Q3593" s="15" t="n"/>
      <c r="R3593" s="25" t="n"/>
      <c r="S3593" s="26">
        <f>IF($A3593="","",AND(OR('Assignment Builder'!$B$5="",$B3593='Assignment Builder'!$B$5),OR('Assignment Builder'!$B$6="",ISNUMBER(SEARCH('Assignment Builder'!$B$6,$C3593))),OR('Assignment Builder'!$B$7="",'Assignment Builder'!$B$7=IFERROR(INDEX('Category Dictionary'!$C$5:$C$135,MATCH($L3593,'Category Dictionary'!$D$5:$D$135,0)),"")),OR('Assignment Builder'!$B$8="",$D3593='Assignment Builder'!$B$8),OR('Assignment Builder'!$B$9="",$F3593='Assignment Builder'!$B$9),OR('Assignment Builder'!$B$10="",$O3593='Assignment Builder'!$B$10),OR('Assignment Builder'!$B$11="",$H3593&gt;='Assignment Builder'!$B$11),OR('Assignment Builder'!$B$12="",N($Q3593)&lt;='Assignment Builder'!$B$12)))</f>
        <v/>
      </c>
      <c r="T3593" s="23" t="n"/>
    </row>
    <row r="3594">
      <c r="A3594" s="23" t="n"/>
      <c r="B3594" s="23" t="n"/>
      <c r="C3594" s="24" t="n"/>
      <c r="D3594" s="15" t="n"/>
      <c r="E3594" s="23" t="n"/>
      <c r="F3594" s="15" t="n"/>
      <c r="G3594" s="23" t="n"/>
      <c r="H3594" s="25" t="n"/>
      <c r="I3594" s="15" t="n"/>
      <c r="J3594" s="26">
        <f>IF($A3594="","",LEN($C3594)-LEN(SUBSTITUTE($C3594,",",""))+1)</f>
        <v/>
      </c>
      <c r="K3594" s="26">
        <f>IF($A3594="","",SUMPRODUCT(--ISNUMBER(SEARCH('Category Dictionary'!$D$5:$D$135&amp;"",$C3594)),--('Category Dictionary'!$D$5:$D$135&lt;&gt;"")))</f>
        <v/>
      </c>
      <c r="L3594" s="27">
        <f>IF($A3594="","",TRIM(IF(ISERROR(FIND(",",$C3594)),$C3594,LEFT($C3594,FIND(",",$C3594)-1))))</f>
        <v/>
      </c>
      <c r="M3594" s="28">
        <f>IF($H3594="","",DATE(YEAR($H3594),MONTH($H3594),1))</f>
        <v/>
      </c>
      <c r="N3594" s="26">
        <f>IF($H3594="","",TODAY()-$H3594)</f>
        <v/>
      </c>
      <c r="O3594" s="15" t="n"/>
      <c r="P3594" s="15" t="n"/>
      <c r="Q3594" s="15" t="n"/>
      <c r="R3594" s="25" t="n"/>
      <c r="S3594" s="26">
        <f>IF($A3594="","",AND(OR('Assignment Builder'!$B$5="",$B3594='Assignment Builder'!$B$5),OR('Assignment Builder'!$B$6="",ISNUMBER(SEARCH('Assignment Builder'!$B$6,$C3594))),OR('Assignment Builder'!$B$7="",'Assignment Builder'!$B$7=IFERROR(INDEX('Category Dictionary'!$C$5:$C$135,MATCH($L3594,'Category Dictionary'!$D$5:$D$135,0)),"")),OR('Assignment Builder'!$B$8="",$D3594='Assignment Builder'!$B$8),OR('Assignment Builder'!$B$9="",$F3594='Assignment Builder'!$B$9),OR('Assignment Builder'!$B$10="",$O3594='Assignment Builder'!$B$10),OR('Assignment Builder'!$B$11="",$H3594&gt;='Assignment Builder'!$B$11),OR('Assignment Builder'!$B$12="",N($Q3594)&lt;='Assignment Builder'!$B$12)))</f>
        <v/>
      </c>
      <c r="T3594" s="23" t="n"/>
    </row>
    <row r="3595">
      <c r="A3595" s="23" t="n"/>
      <c r="B3595" s="23" t="n"/>
      <c r="C3595" s="24" t="n"/>
      <c r="D3595" s="15" t="n"/>
      <c r="E3595" s="23" t="n"/>
      <c r="F3595" s="15" t="n"/>
      <c r="G3595" s="23" t="n"/>
      <c r="H3595" s="25" t="n"/>
      <c r="I3595" s="15" t="n"/>
      <c r="J3595" s="26">
        <f>IF($A3595="","",LEN($C3595)-LEN(SUBSTITUTE($C3595,",",""))+1)</f>
        <v/>
      </c>
      <c r="K3595" s="26">
        <f>IF($A3595="","",SUMPRODUCT(--ISNUMBER(SEARCH('Category Dictionary'!$D$5:$D$135&amp;"",$C3595)),--('Category Dictionary'!$D$5:$D$135&lt;&gt;"")))</f>
        <v/>
      </c>
      <c r="L3595" s="27">
        <f>IF($A3595="","",TRIM(IF(ISERROR(FIND(",",$C3595)),$C3595,LEFT($C3595,FIND(",",$C3595)-1))))</f>
        <v/>
      </c>
      <c r="M3595" s="28">
        <f>IF($H3595="","",DATE(YEAR($H3595),MONTH($H3595),1))</f>
        <v/>
      </c>
      <c r="N3595" s="26">
        <f>IF($H3595="","",TODAY()-$H3595)</f>
        <v/>
      </c>
      <c r="O3595" s="15" t="n"/>
      <c r="P3595" s="15" t="n"/>
      <c r="Q3595" s="15" t="n"/>
      <c r="R3595" s="25" t="n"/>
      <c r="S3595" s="26">
        <f>IF($A3595="","",AND(OR('Assignment Builder'!$B$5="",$B3595='Assignment Builder'!$B$5),OR('Assignment Builder'!$B$6="",ISNUMBER(SEARCH('Assignment Builder'!$B$6,$C3595))),OR('Assignment Builder'!$B$7="",'Assignment Builder'!$B$7=IFERROR(INDEX('Category Dictionary'!$C$5:$C$135,MATCH($L3595,'Category Dictionary'!$D$5:$D$135,0)),"")),OR('Assignment Builder'!$B$8="",$D3595='Assignment Builder'!$B$8),OR('Assignment Builder'!$B$9="",$F3595='Assignment Builder'!$B$9),OR('Assignment Builder'!$B$10="",$O3595='Assignment Builder'!$B$10),OR('Assignment Builder'!$B$11="",$H3595&gt;='Assignment Builder'!$B$11),OR('Assignment Builder'!$B$12="",N($Q3595)&lt;='Assignment Builder'!$B$12)))</f>
        <v/>
      </c>
      <c r="T3595" s="23" t="n"/>
    </row>
    <row r="3596">
      <c r="A3596" s="23" t="n"/>
      <c r="B3596" s="23" t="n"/>
      <c r="C3596" s="24" t="n"/>
      <c r="D3596" s="15" t="n"/>
      <c r="E3596" s="23" t="n"/>
      <c r="F3596" s="15" t="n"/>
      <c r="G3596" s="23" t="n"/>
      <c r="H3596" s="25" t="n"/>
      <c r="I3596" s="15" t="n"/>
      <c r="J3596" s="26">
        <f>IF($A3596="","",LEN($C3596)-LEN(SUBSTITUTE($C3596,",",""))+1)</f>
        <v/>
      </c>
      <c r="K3596" s="26">
        <f>IF($A3596="","",SUMPRODUCT(--ISNUMBER(SEARCH('Category Dictionary'!$D$5:$D$135&amp;"",$C3596)),--('Category Dictionary'!$D$5:$D$135&lt;&gt;"")))</f>
        <v/>
      </c>
      <c r="L3596" s="27">
        <f>IF($A3596="","",TRIM(IF(ISERROR(FIND(",",$C3596)),$C3596,LEFT($C3596,FIND(",",$C3596)-1))))</f>
        <v/>
      </c>
      <c r="M3596" s="28">
        <f>IF($H3596="","",DATE(YEAR($H3596),MONTH($H3596),1))</f>
        <v/>
      </c>
      <c r="N3596" s="26">
        <f>IF($H3596="","",TODAY()-$H3596)</f>
        <v/>
      </c>
      <c r="O3596" s="15" t="n"/>
      <c r="P3596" s="15" t="n"/>
      <c r="Q3596" s="15" t="n"/>
      <c r="R3596" s="25" t="n"/>
      <c r="S3596" s="26">
        <f>IF($A3596="","",AND(OR('Assignment Builder'!$B$5="",$B3596='Assignment Builder'!$B$5),OR('Assignment Builder'!$B$6="",ISNUMBER(SEARCH('Assignment Builder'!$B$6,$C3596))),OR('Assignment Builder'!$B$7="",'Assignment Builder'!$B$7=IFERROR(INDEX('Category Dictionary'!$C$5:$C$135,MATCH($L3596,'Category Dictionary'!$D$5:$D$135,0)),"")),OR('Assignment Builder'!$B$8="",$D3596='Assignment Builder'!$B$8),OR('Assignment Builder'!$B$9="",$F3596='Assignment Builder'!$B$9),OR('Assignment Builder'!$B$10="",$O3596='Assignment Builder'!$B$10),OR('Assignment Builder'!$B$11="",$H3596&gt;='Assignment Builder'!$B$11),OR('Assignment Builder'!$B$12="",N($Q3596)&lt;='Assignment Builder'!$B$12)))</f>
        <v/>
      </c>
      <c r="T3596" s="23" t="n"/>
    </row>
    <row r="3597">
      <c r="A3597" s="23" t="n"/>
      <c r="B3597" s="23" t="n"/>
      <c r="C3597" s="24" t="n"/>
      <c r="D3597" s="15" t="n"/>
      <c r="E3597" s="23" t="n"/>
      <c r="F3597" s="15" t="n"/>
      <c r="G3597" s="23" t="n"/>
      <c r="H3597" s="25" t="n"/>
      <c r="I3597" s="15" t="n"/>
      <c r="J3597" s="26">
        <f>IF($A3597="","",LEN($C3597)-LEN(SUBSTITUTE($C3597,",",""))+1)</f>
        <v/>
      </c>
      <c r="K3597" s="26">
        <f>IF($A3597="","",SUMPRODUCT(--ISNUMBER(SEARCH('Category Dictionary'!$D$5:$D$135&amp;"",$C3597)),--('Category Dictionary'!$D$5:$D$135&lt;&gt;"")))</f>
        <v/>
      </c>
      <c r="L3597" s="27">
        <f>IF($A3597="","",TRIM(IF(ISERROR(FIND(",",$C3597)),$C3597,LEFT($C3597,FIND(",",$C3597)-1))))</f>
        <v/>
      </c>
      <c r="M3597" s="28">
        <f>IF($H3597="","",DATE(YEAR($H3597),MONTH($H3597),1))</f>
        <v/>
      </c>
      <c r="N3597" s="26">
        <f>IF($H3597="","",TODAY()-$H3597)</f>
        <v/>
      </c>
      <c r="O3597" s="15" t="n"/>
      <c r="P3597" s="15" t="n"/>
      <c r="Q3597" s="15" t="n"/>
      <c r="R3597" s="25" t="n"/>
      <c r="S3597" s="26">
        <f>IF($A3597="","",AND(OR('Assignment Builder'!$B$5="",$B3597='Assignment Builder'!$B$5),OR('Assignment Builder'!$B$6="",ISNUMBER(SEARCH('Assignment Builder'!$B$6,$C3597))),OR('Assignment Builder'!$B$7="",'Assignment Builder'!$B$7=IFERROR(INDEX('Category Dictionary'!$C$5:$C$135,MATCH($L3597,'Category Dictionary'!$D$5:$D$135,0)),"")),OR('Assignment Builder'!$B$8="",$D3597='Assignment Builder'!$B$8),OR('Assignment Builder'!$B$9="",$F3597='Assignment Builder'!$B$9),OR('Assignment Builder'!$B$10="",$O3597='Assignment Builder'!$B$10),OR('Assignment Builder'!$B$11="",$H3597&gt;='Assignment Builder'!$B$11),OR('Assignment Builder'!$B$12="",N($Q3597)&lt;='Assignment Builder'!$B$12)))</f>
        <v/>
      </c>
      <c r="T3597" s="23" t="n"/>
    </row>
    <row r="3598">
      <c r="A3598" s="23" t="n"/>
      <c r="B3598" s="23" t="n"/>
      <c r="C3598" s="24" t="n"/>
      <c r="D3598" s="15" t="n"/>
      <c r="E3598" s="23" t="n"/>
      <c r="F3598" s="15" t="n"/>
      <c r="G3598" s="23" t="n"/>
      <c r="H3598" s="25" t="n"/>
      <c r="I3598" s="15" t="n"/>
      <c r="J3598" s="26">
        <f>IF($A3598="","",LEN($C3598)-LEN(SUBSTITUTE($C3598,",",""))+1)</f>
        <v/>
      </c>
      <c r="K3598" s="26">
        <f>IF($A3598="","",SUMPRODUCT(--ISNUMBER(SEARCH('Category Dictionary'!$D$5:$D$135&amp;"",$C3598)),--('Category Dictionary'!$D$5:$D$135&lt;&gt;"")))</f>
        <v/>
      </c>
      <c r="L3598" s="27">
        <f>IF($A3598="","",TRIM(IF(ISERROR(FIND(",",$C3598)),$C3598,LEFT($C3598,FIND(",",$C3598)-1))))</f>
        <v/>
      </c>
      <c r="M3598" s="28">
        <f>IF($H3598="","",DATE(YEAR($H3598),MONTH($H3598),1))</f>
        <v/>
      </c>
      <c r="N3598" s="26">
        <f>IF($H3598="","",TODAY()-$H3598)</f>
        <v/>
      </c>
      <c r="O3598" s="15" t="n"/>
      <c r="P3598" s="15" t="n"/>
      <c r="Q3598" s="15" t="n"/>
      <c r="R3598" s="25" t="n"/>
      <c r="S3598" s="26">
        <f>IF($A3598="","",AND(OR('Assignment Builder'!$B$5="",$B3598='Assignment Builder'!$B$5),OR('Assignment Builder'!$B$6="",ISNUMBER(SEARCH('Assignment Builder'!$B$6,$C3598))),OR('Assignment Builder'!$B$7="",'Assignment Builder'!$B$7=IFERROR(INDEX('Category Dictionary'!$C$5:$C$135,MATCH($L3598,'Category Dictionary'!$D$5:$D$135,0)),"")),OR('Assignment Builder'!$B$8="",$D3598='Assignment Builder'!$B$8),OR('Assignment Builder'!$B$9="",$F3598='Assignment Builder'!$B$9),OR('Assignment Builder'!$B$10="",$O3598='Assignment Builder'!$B$10),OR('Assignment Builder'!$B$11="",$H3598&gt;='Assignment Builder'!$B$11),OR('Assignment Builder'!$B$12="",N($Q3598)&lt;='Assignment Builder'!$B$12)))</f>
        <v/>
      </c>
      <c r="T3598" s="23" t="n"/>
    </row>
    <row r="3599">
      <c r="A3599" s="23" t="n"/>
      <c r="B3599" s="23" t="n"/>
      <c r="C3599" s="24" t="n"/>
      <c r="D3599" s="15" t="n"/>
      <c r="E3599" s="23" t="n"/>
      <c r="F3599" s="15" t="n"/>
      <c r="G3599" s="23" t="n"/>
      <c r="H3599" s="25" t="n"/>
      <c r="I3599" s="15" t="n"/>
      <c r="J3599" s="26">
        <f>IF($A3599="","",LEN($C3599)-LEN(SUBSTITUTE($C3599,",",""))+1)</f>
        <v/>
      </c>
      <c r="K3599" s="26">
        <f>IF($A3599="","",SUMPRODUCT(--ISNUMBER(SEARCH('Category Dictionary'!$D$5:$D$135&amp;"",$C3599)),--('Category Dictionary'!$D$5:$D$135&lt;&gt;"")))</f>
        <v/>
      </c>
      <c r="L3599" s="27">
        <f>IF($A3599="","",TRIM(IF(ISERROR(FIND(",",$C3599)),$C3599,LEFT($C3599,FIND(",",$C3599)-1))))</f>
        <v/>
      </c>
      <c r="M3599" s="28">
        <f>IF($H3599="","",DATE(YEAR($H3599),MONTH($H3599),1))</f>
        <v/>
      </c>
      <c r="N3599" s="26">
        <f>IF($H3599="","",TODAY()-$H3599)</f>
        <v/>
      </c>
      <c r="O3599" s="15" t="n"/>
      <c r="P3599" s="15" t="n"/>
      <c r="Q3599" s="15" t="n"/>
      <c r="R3599" s="25" t="n"/>
      <c r="S3599" s="26">
        <f>IF($A3599="","",AND(OR('Assignment Builder'!$B$5="",$B3599='Assignment Builder'!$B$5),OR('Assignment Builder'!$B$6="",ISNUMBER(SEARCH('Assignment Builder'!$B$6,$C3599))),OR('Assignment Builder'!$B$7="",'Assignment Builder'!$B$7=IFERROR(INDEX('Category Dictionary'!$C$5:$C$135,MATCH($L3599,'Category Dictionary'!$D$5:$D$135,0)),"")),OR('Assignment Builder'!$B$8="",$D3599='Assignment Builder'!$B$8),OR('Assignment Builder'!$B$9="",$F3599='Assignment Builder'!$B$9),OR('Assignment Builder'!$B$10="",$O3599='Assignment Builder'!$B$10),OR('Assignment Builder'!$B$11="",$H3599&gt;='Assignment Builder'!$B$11),OR('Assignment Builder'!$B$12="",N($Q3599)&lt;='Assignment Builder'!$B$12)))</f>
        <v/>
      </c>
      <c r="T3599" s="23" t="n"/>
    </row>
    <row r="3600">
      <c r="A3600" s="23" t="n"/>
      <c r="B3600" s="23" t="n"/>
      <c r="C3600" s="24" t="n"/>
      <c r="D3600" s="15" t="n"/>
      <c r="E3600" s="23" t="n"/>
      <c r="F3600" s="15" t="n"/>
      <c r="G3600" s="23" t="n"/>
      <c r="H3600" s="25" t="n"/>
      <c r="I3600" s="15" t="n"/>
      <c r="J3600" s="26">
        <f>IF($A3600="","",LEN($C3600)-LEN(SUBSTITUTE($C3600,",",""))+1)</f>
        <v/>
      </c>
      <c r="K3600" s="26">
        <f>IF($A3600="","",SUMPRODUCT(--ISNUMBER(SEARCH('Category Dictionary'!$D$5:$D$135&amp;"",$C3600)),--('Category Dictionary'!$D$5:$D$135&lt;&gt;"")))</f>
        <v/>
      </c>
      <c r="L3600" s="27">
        <f>IF($A3600="","",TRIM(IF(ISERROR(FIND(",",$C3600)),$C3600,LEFT($C3600,FIND(",",$C3600)-1))))</f>
        <v/>
      </c>
      <c r="M3600" s="28">
        <f>IF($H3600="","",DATE(YEAR($H3600),MONTH($H3600),1))</f>
        <v/>
      </c>
      <c r="N3600" s="26">
        <f>IF($H3600="","",TODAY()-$H3600)</f>
        <v/>
      </c>
      <c r="O3600" s="15" t="n"/>
      <c r="P3600" s="15" t="n"/>
      <c r="Q3600" s="15" t="n"/>
      <c r="R3600" s="25" t="n"/>
      <c r="S3600" s="26">
        <f>IF($A3600="","",AND(OR('Assignment Builder'!$B$5="",$B3600='Assignment Builder'!$B$5),OR('Assignment Builder'!$B$6="",ISNUMBER(SEARCH('Assignment Builder'!$B$6,$C3600))),OR('Assignment Builder'!$B$7="",'Assignment Builder'!$B$7=IFERROR(INDEX('Category Dictionary'!$C$5:$C$135,MATCH($L3600,'Category Dictionary'!$D$5:$D$135,0)),"")),OR('Assignment Builder'!$B$8="",$D3600='Assignment Builder'!$B$8),OR('Assignment Builder'!$B$9="",$F3600='Assignment Builder'!$B$9),OR('Assignment Builder'!$B$10="",$O3600='Assignment Builder'!$B$10),OR('Assignment Builder'!$B$11="",$H3600&gt;='Assignment Builder'!$B$11),OR('Assignment Builder'!$B$12="",N($Q3600)&lt;='Assignment Builder'!$B$12)))</f>
        <v/>
      </c>
      <c r="T3600" s="23" t="n"/>
    </row>
    <row r="3601">
      <c r="A3601" s="23" t="n"/>
      <c r="B3601" s="23" t="n"/>
      <c r="C3601" s="24" t="n"/>
      <c r="D3601" s="15" t="n"/>
      <c r="E3601" s="23" t="n"/>
      <c r="F3601" s="15" t="n"/>
      <c r="G3601" s="23" t="n"/>
      <c r="H3601" s="25" t="n"/>
      <c r="I3601" s="15" t="n"/>
      <c r="J3601" s="26">
        <f>IF($A3601="","",LEN($C3601)-LEN(SUBSTITUTE($C3601,",",""))+1)</f>
        <v/>
      </c>
      <c r="K3601" s="26">
        <f>IF($A3601="","",SUMPRODUCT(--ISNUMBER(SEARCH('Category Dictionary'!$D$5:$D$135&amp;"",$C3601)),--('Category Dictionary'!$D$5:$D$135&lt;&gt;"")))</f>
        <v/>
      </c>
      <c r="L3601" s="27">
        <f>IF($A3601="","",TRIM(IF(ISERROR(FIND(",",$C3601)),$C3601,LEFT($C3601,FIND(",",$C3601)-1))))</f>
        <v/>
      </c>
      <c r="M3601" s="28">
        <f>IF($H3601="","",DATE(YEAR($H3601),MONTH($H3601),1))</f>
        <v/>
      </c>
      <c r="N3601" s="26">
        <f>IF($H3601="","",TODAY()-$H3601)</f>
        <v/>
      </c>
      <c r="O3601" s="15" t="n"/>
      <c r="P3601" s="15" t="n"/>
      <c r="Q3601" s="15" t="n"/>
      <c r="R3601" s="25" t="n"/>
      <c r="S3601" s="26">
        <f>IF($A3601="","",AND(OR('Assignment Builder'!$B$5="",$B3601='Assignment Builder'!$B$5),OR('Assignment Builder'!$B$6="",ISNUMBER(SEARCH('Assignment Builder'!$B$6,$C3601))),OR('Assignment Builder'!$B$7="",'Assignment Builder'!$B$7=IFERROR(INDEX('Category Dictionary'!$C$5:$C$135,MATCH($L3601,'Category Dictionary'!$D$5:$D$135,0)),"")),OR('Assignment Builder'!$B$8="",$D3601='Assignment Builder'!$B$8),OR('Assignment Builder'!$B$9="",$F3601='Assignment Builder'!$B$9),OR('Assignment Builder'!$B$10="",$O3601='Assignment Builder'!$B$10),OR('Assignment Builder'!$B$11="",$H3601&gt;='Assignment Builder'!$B$11),OR('Assignment Builder'!$B$12="",N($Q3601)&lt;='Assignment Builder'!$B$12)))</f>
        <v/>
      </c>
      <c r="T3601" s="23" t="n"/>
    </row>
    <row r="3602">
      <c r="A3602" s="23" t="n"/>
      <c r="B3602" s="23" t="n"/>
      <c r="C3602" s="24" t="n"/>
      <c r="D3602" s="15" t="n"/>
      <c r="E3602" s="23" t="n"/>
      <c r="F3602" s="15" t="n"/>
      <c r="G3602" s="23" t="n"/>
      <c r="H3602" s="25" t="n"/>
      <c r="I3602" s="15" t="n"/>
      <c r="J3602" s="26">
        <f>IF($A3602="","",LEN($C3602)-LEN(SUBSTITUTE($C3602,",",""))+1)</f>
        <v/>
      </c>
      <c r="K3602" s="26">
        <f>IF($A3602="","",SUMPRODUCT(--ISNUMBER(SEARCH('Category Dictionary'!$D$5:$D$135&amp;"",$C3602)),--('Category Dictionary'!$D$5:$D$135&lt;&gt;"")))</f>
        <v/>
      </c>
      <c r="L3602" s="27">
        <f>IF($A3602="","",TRIM(IF(ISERROR(FIND(",",$C3602)),$C3602,LEFT($C3602,FIND(",",$C3602)-1))))</f>
        <v/>
      </c>
      <c r="M3602" s="28">
        <f>IF($H3602="","",DATE(YEAR($H3602),MONTH($H3602),1))</f>
        <v/>
      </c>
      <c r="N3602" s="26">
        <f>IF($H3602="","",TODAY()-$H3602)</f>
        <v/>
      </c>
      <c r="O3602" s="15" t="n"/>
      <c r="P3602" s="15" t="n"/>
      <c r="Q3602" s="15" t="n"/>
      <c r="R3602" s="25" t="n"/>
      <c r="S3602" s="26">
        <f>IF($A3602="","",AND(OR('Assignment Builder'!$B$5="",$B3602='Assignment Builder'!$B$5),OR('Assignment Builder'!$B$6="",ISNUMBER(SEARCH('Assignment Builder'!$B$6,$C3602))),OR('Assignment Builder'!$B$7="",'Assignment Builder'!$B$7=IFERROR(INDEX('Category Dictionary'!$C$5:$C$135,MATCH($L3602,'Category Dictionary'!$D$5:$D$135,0)),"")),OR('Assignment Builder'!$B$8="",$D3602='Assignment Builder'!$B$8),OR('Assignment Builder'!$B$9="",$F3602='Assignment Builder'!$B$9),OR('Assignment Builder'!$B$10="",$O3602='Assignment Builder'!$B$10),OR('Assignment Builder'!$B$11="",$H3602&gt;='Assignment Builder'!$B$11),OR('Assignment Builder'!$B$12="",N($Q3602)&lt;='Assignment Builder'!$B$12)))</f>
        <v/>
      </c>
      <c r="T3602" s="23" t="n"/>
    </row>
    <row r="3603">
      <c r="A3603" s="23" t="n"/>
      <c r="B3603" s="23" t="n"/>
      <c r="C3603" s="24" t="n"/>
      <c r="D3603" s="15" t="n"/>
      <c r="E3603" s="23" t="n"/>
      <c r="F3603" s="15" t="n"/>
      <c r="G3603" s="23" t="n"/>
      <c r="H3603" s="25" t="n"/>
      <c r="I3603" s="15" t="n"/>
      <c r="J3603" s="26">
        <f>IF($A3603="","",LEN($C3603)-LEN(SUBSTITUTE($C3603,",",""))+1)</f>
        <v/>
      </c>
      <c r="K3603" s="26">
        <f>IF($A3603="","",SUMPRODUCT(--ISNUMBER(SEARCH('Category Dictionary'!$D$5:$D$135&amp;"",$C3603)),--('Category Dictionary'!$D$5:$D$135&lt;&gt;"")))</f>
        <v/>
      </c>
      <c r="L3603" s="27">
        <f>IF($A3603="","",TRIM(IF(ISERROR(FIND(",",$C3603)),$C3603,LEFT($C3603,FIND(",",$C3603)-1))))</f>
        <v/>
      </c>
      <c r="M3603" s="28">
        <f>IF($H3603="","",DATE(YEAR($H3603),MONTH($H3603),1))</f>
        <v/>
      </c>
      <c r="N3603" s="26">
        <f>IF($H3603="","",TODAY()-$H3603)</f>
        <v/>
      </c>
      <c r="O3603" s="15" t="n"/>
      <c r="P3603" s="15" t="n"/>
      <c r="Q3603" s="15" t="n"/>
      <c r="R3603" s="25" t="n"/>
      <c r="S3603" s="26">
        <f>IF($A3603="","",AND(OR('Assignment Builder'!$B$5="",$B3603='Assignment Builder'!$B$5),OR('Assignment Builder'!$B$6="",ISNUMBER(SEARCH('Assignment Builder'!$B$6,$C3603))),OR('Assignment Builder'!$B$7="",'Assignment Builder'!$B$7=IFERROR(INDEX('Category Dictionary'!$C$5:$C$135,MATCH($L3603,'Category Dictionary'!$D$5:$D$135,0)),"")),OR('Assignment Builder'!$B$8="",$D3603='Assignment Builder'!$B$8),OR('Assignment Builder'!$B$9="",$F3603='Assignment Builder'!$B$9),OR('Assignment Builder'!$B$10="",$O3603='Assignment Builder'!$B$10),OR('Assignment Builder'!$B$11="",$H3603&gt;='Assignment Builder'!$B$11),OR('Assignment Builder'!$B$12="",N($Q3603)&lt;='Assignment Builder'!$B$12)))</f>
        <v/>
      </c>
      <c r="T3603" s="23" t="n"/>
    </row>
    <row r="3604">
      <c r="A3604" s="23" t="n"/>
      <c r="B3604" s="23" t="n"/>
      <c r="C3604" s="24" t="n"/>
      <c r="D3604" s="15" t="n"/>
      <c r="E3604" s="23" t="n"/>
      <c r="F3604" s="15" t="n"/>
      <c r="G3604" s="23" t="n"/>
      <c r="H3604" s="25" t="n"/>
      <c r="I3604" s="15" t="n"/>
      <c r="J3604" s="26">
        <f>IF($A3604="","",LEN($C3604)-LEN(SUBSTITUTE($C3604,",",""))+1)</f>
        <v/>
      </c>
      <c r="K3604" s="26">
        <f>IF($A3604="","",SUMPRODUCT(--ISNUMBER(SEARCH('Category Dictionary'!$D$5:$D$135&amp;"",$C3604)),--('Category Dictionary'!$D$5:$D$135&lt;&gt;"")))</f>
        <v/>
      </c>
      <c r="L3604" s="27">
        <f>IF($A3604="","",TRIM(IF(ISERROR(FIND(",",$C3604)),$C3604,LEFT($C3604,FIND(",",$C3604)-1))))</f>
        <v/>
      </c>
      <c r="M3604" s="28">
        <f>IF($H3604="","",DATE(YEAR($H3604),MONTH($H3604),1))</f>
        <v/>
      </c>
      <c r="N3604" s="26">
        <f>IF($H3604="","",TODAY()-$H3604)</f>
        <v/>
      </c>
      <c r="O3604" s="15" t="n"/>
      <c r="P3604" s="15" t="n"/>
      <c r="Q3604" s="15" t="n"/>
      <c r="R3604" s="25" t="n"/>
      <c r="S3604" s="26">
        <f>IF($A3604="","",AND(OR('Assignment Builder'!$B$5="",$B3604='Assignment Builder'!$B$5),OR('Assignment Builder'!$B$6="",ISNUMBER(SEARCH('Assignment Builder'!$B$6,$C3604))),OR('Assignment Builder'!$B$7="",'Assignment Builder'!$B$7=IFERROR(INDEX('Category Dictionary'!$C$5:$C$135,MATCH($L3604,'Category Dictionary'!$D$5:$D$135,0)),"")),OR('Assignment Builder'!$B$8="",$D3604='Assignment Builder'!$B$8),OR('Assignment Builder'!$B$9="",$F3604='Assignment Builder'!$B$9),OR('Assignment Builder'!$B$10="",$O3604='Assignment Builder'!$B$10),OR('Assignment Builder'!$B$11="",$H3604&gt;='Assignment Builder'!$B$11),OR('Assignment Builder'!$B$12="",N($Q3604)&lt;='Assignment Builder'!$B$12)))</f>
        <v/>
      </c>
      <c r="T3604" s="23" t="n"/>
    </row>
    <row r="3605">
      <c r="A3605" s="23" t="n"/>
      <c r="B3605" s="23" t="n"/>
      <c r="C3605" s="24" t="n"/>
      <c r="D3605" s="15" t="n"/>
      <c r="E3605" s="23" t="n"/>
      <c r="F3605" s="15" t="n"/>
      <c r="G3605" s="23" t="n"/>
      <c r="H3605" s="25" t="n"/>
      <c r="I3605" s="15" t="n"/>
      <c r="J3605" s="26">
        <f>IF($A3605="","",LEN($C3605)-LEN(SUBSTITUTE($C3605,",",""))+1)</f>
        <v/>
      </c>
      <c r="K3605" s="26">
        <f>IF($A3605="","",SUMPRODUCT(--ISNUMBER(SEARCH('Category Dictionary'!$D$5:$D$135&amp;"",$C3605)),--('Category Dictionary'!$D$5:$D$135&lt;&gt;"")))</f>
        <v/>
      </c>
      <c r="L3605" s="27">
        <f>IF($A3605="","",TRIM(IF(ISERROR(FIND(",",$C3605)),$C3605,LEFT($C3605,FIND(",",$C3605)-1))))</f>
        <v/>
      </c>
      <c r="M3605" s="28">
        <f>IF($H3605="","",DATE(YEAR($H3605),MONTH($H3605),1))</f>
        <v/>
      </c>
      <c r="N3605" s="26">
        <f>IF($H3605="","",TODAY()-$H3605)</f>
        <v/>
      </c>
      <c r="O3605" s="15" t="n"/>
      <c r="P3605" s="15" t="n"/>
      <c r="Q3605" s="15" t="n"/>
      <c r="R3605" s="25" t="n"/>
      <c r="S3605" s="26">
        <f>IF($A3605="","",AND(OR('Assignment Builder'!$B$5="",$B3605='Assignment Builder'!$B$5),OR('Assignment Builder'!$B$6="",ISNUMBER(SEARCH('Assignment Builder'!$B$6,$C3605))),OR('Assignment Builder'!$B$7="",'Assignment Builder'!$B$7=IFERROR(INDEX('Category Dictionary'!$C$5:$C$135,MATCH($L3605,'Category Dictionary'!$D$5:$D$135,0)),"")),OR('Assignment Builder'!$B$8="",$D3605='Assignment Builder'!$B$8),OR('Assignment Builder'!$B$9="",$F3605='Assignment Builder'!$B$9),OR('Assignment Builder'!$B$10="",$O3605='Assignment Builder'!$B$10),OR('Assignment Builder'!$B$11="",$H3605&gt;='Assignment Builder'!$B$11),OR('Assignment Builder'!$B$12="",N($Q3605)&lt;='Assignment Builder'!$B$12)))</f>
        <v/>
      </c>
      <c r="T3605" s="23" t="n"/>
    </row>
    <row r="3606">
      <c r="A3606" s="23" t="n"/>
      <c r="B3606" s="23" t="n"/>
      <c r="C3606" s="24" t="n"/>
      <c r="D3606" s="15" t="n"/>
      <c r="E3606" s="23" t="n"/>
      <c r="F3606" s="15" t="n"/>
      <c r="G3606" s="23" t="n"/>
      <c r="H3606" s="25" t="n"/>
      <c r="I3606" s="15" t="n"/>
      <c r="J3606" s="26">
        <f>IF($A3606="","",LEN($C3606)-LEN(SUBSTITUTE($C3606,",",""))+1)</f>
        <v/>
      </c>
      <c r="K3606" s="26">
        <f>IF($A3606="","",SUMPRODUCT(--ISNUMBER(SEARCH('Category Dictionary'!$D$5:$D$135&amp;"",$C3606)),--('Category Dictionary'!$D$5:$D$135&lt;&gt;"")))</f>
        <v/>
      </c>
      <c r="L3606" s="27">
        <f>IF($A3606="","",TRIM(IF(ISERROR(FIND(",",$C3606)),$C3606,LEFT($C3606,FIND(",",$C3606)-1))))</f>
        <v/>
      </c>
      <c r="M3606" s="28">
        <f>IF($H3606="","",DATE(YEAR($H3606),MONTH($H3606),1))</f>
        <v/>
      </c>
      <c r="N3606" s="26">
        <f>IF($H3606="","",TODAY()-$H3606)</f>
        <v/>
      </c>
      <c r="O3606" s="15" t="n"/>
      <c r="P3606" s="15" t="n"/>
      <c r="Q3606" s="15" t="n"/>
      <c r="R3606" s="25" t="n"/>
      <c r="S3606" s="26">
        <f>IF($A3606="","",AND(OR('Assignment Builder'!$B$5="",$B3606='Assignment Builder'!$B$5),OR('Assignment Builder'!$B$6="",ISNUMBER(SEARCH('Assignment Builder'!$B$6,$C3606))),OR('Assignment Builder'!$B$7="",'Assignment Builder'!$B$7=IFERROR(INDEX('Category Dictionary'!$C$5:$C$135,MATCH($L3606,'Category Dictionary'!$D$5:$D$135,0)),"")),OR('Assignment Builder'!$B$8="",$D3606='Assignment Builder'!$B$8),OR('Assignment Builder'!$B$9="",$F3606='Assignment Builder'!$B$9),OR('Assignment Builder'!$B$10="",$O3606='Assignment Builder'!$B$10),OR('Assignment Builder'!$B$11="",$H3606&gt;='Assignment Builder'!$B$11),OR('Assignment Builder'!$B$12="",N($Q3606)&lt;='Assignment Builder'!$B$12)))</f>
        <v/>
      </c>
      <c r="T3606" s="23" t="n"/>
    </row>
    <row r="3607">
      <c r="A3607" s="23" t="n"/>
      <c r="B3607" s="23" t="n"/>
      <c r="C3607" s="24" t="n"/>
      <c r="D3607" s="15" t="n"/>
      <c r="E3607" s="23" t="n"/>
      <c r="F3607" s="15" t="n"/>
      <c r="G3607" s="23" t="n"/>
      <c r="H3607" s="25" t="n"/>
      <c r="I3607" s="15" t="n"/>
      <c r="J3607" s="26">
        <f>IF($A3607="","",LEN($C3607)-LEN(SUBSTITUTE($C3607,",",""))+1)</f>
        <v/>
      </c>
      <c r="K3607" s="26">
        <f>IF($A3607="","",SUMPRODUCT(--ISNUMBER(SEARCH('Category Dictionary'!$D$5:$D$135&amp;"",$C3607)),--('Category Dictionary'!$D$5:$D$135&lt;&gt;"")))</f>
        <v/>
      </c>
      <c r="L3607" s="27">
        <f>IF($A3607="","",TRIM(IF(ISERROR(FIND(",",$C3607)),$C3607,LEFT($C3607,FIND(",",$C3607)-1))))</f>
        <v/>
      </c>
      <c r="M3607" s="28">
        <f>IF($H3607="","",DATE(YEAR($H3607),MONTH($H3607),1))</f>
        <v/>
      </c>
      <c r="N3607" s="26">
        <f>IF($H3607="","",TODAY()-$H3607)</f>
        <v/>
      </c>
      <c r="O3607" s="15" t="n"/>
      <c r="P3607" s="15" t="n"/>
      <c r="Q3607" s="15" t="n"/>
      <c r="R3607" s="25" t="n"/>
      <c r="S3607" s="26">
        <f>IF($A3607="","",AND(OR('Assignment Builder'!$B$5="",$B3607='Assignment Builder'!$B$5),OR('Assignment Builder'!$B$6="",ISNUMBER(SEARCH('Assignment Builder'!$B$6,$C3607))),OR('Assignment Builder'!$B$7="",'Assignment Builder'!$B$7=IFERROR(INDEX('Category Dictionary'!$C$5:$C$135,MATCH($L3607,'Category Dictionary'!$D$5:$D$135,0)),"")),OR('Assignment Builder'!$B$8="",$D3607='Assignment Builder'!$B$8),OR('Assignment Builder'!$B$9="",$F3607='Assignment Builder'!$B$9),OR('Assignment Builder'!$B$10="",$O3607='Assignment Builder'!$B$10),OR('Assignment Builder'!$B$11="",$H3607&gt;='Assignment Builder'!$B$11),OR('Assignment Builder'!$B$12="",N($Q3607)&lt;='Assignment Builder'!$B$12)))</f>
        <v/>
      </c>
      <c r="T3607" s="23" t="n"/>
    </row>
    <row r="3608">
      <c r="A3608" s="23" t="n"/>
      <c r="B3608" s="23" t="n"/>
      <c r="C3608" s="24" t="n"/>
      <c r="D3608" s="15" t="n"/>
      <c r="E3608" s="23" t="n"/>
      <c r="F3608" s="15" t="n"/>
      <c r="G3608" s="23" t="n"/>
      <c r="H3608" s="25" t="n"/>
      <c r="I3608" s="15" t="n"/>
      <c r="J3608" s="26">
        <f>IF($A3608="","",LEN($C3608)-LEN(SUBSTITUTE($C3608,",",""))+1)</f>
        <v/>
      </c>
      <c r="K3608" s="26">
        <f>IF($A3608="","",SUMPRODUCT(--ISNUMBER(SEARCH('Category Dictionary'!$D$5:$D$135&amp;"",$C3608)),--('Category Dictionary'!$D$5:$D$135&lt;&gt;"")))</f>
        <v/>
      </c>
      <c r="L3608" s="27">
        <f>IF($A3608="","",TRIM(IF(ISERROR(FIND(",",$C3608)),$C3608,LEFT($C3608,FIND(",",$C3608)-1))))</f>
        <v/>
      </c>
      <c r="M3608" s="28">
        <f>IF($H3608="","",DATE(YEAR($H3608),MONTH($H3608),1))</f>
        <v/>
      </c>
      <c r="N3608" s="26">
        <f>IF($H3608="","",TODAY()-$H3608)</f>
        <v/>
      </c>
      <c r="O3608" s="15" t="n"/>
      <c r="P3608" s="15" t="n"/>
      <c r="Q3608" s="15" t="n"/>
      <c r="R3608" s="25" t="n"/>
      <c r="S3608" s="26">
        <f>IF($A3608="","",AND(OR('Assignment Builder'!$B$5="",$B3608='Assignment Builder'!$B$5),OR('Assignment Builder'!$B$6="",ISNUMBER(SEARCH('Assignment Builder'!$B$6,$C3608))),OR('Assignment Builder'!$B$7="",'Assignment Builder'!$B$7=IFERROR(INDEX('Category Dictionary'!$C$5:$C$135,MATCH($L3608,'Category Dictionary'!$D$5:$D$135,0)),"")),OR('Assignment Builder'!$B$8="",$D3608='Assignment Builder'!$B$8),OR('Assignment Builder'!$B$9="",$F3608='Assignment Builder'!$B$9),OR('Assignment Builder'!$B$10="",$O3608='Assignment Builder'!$B$10),OR('Assignment Builder'!$B$11="",$H3608&gt;='Assignment Builder'!$B$11),OR('Assignment Builder'!$B$12="",N($Q3608)&lt;='Assignment Builder'!$B$12)))</f>
        <v/>
      </c>
      <c r="T3608" s="23" t="n"/>
    </row>
    <row r="3609">
      <c r="A3609" s="23" t="n"/>
      <c r="B3609" s="23" t="n"/>
      <c r="C3609" s="24" t="n"/>
      <c r="D3609" s="15" t="n"/>
      <c r="E3609" s="23" t="n"/>
      <c r="F3609" s="15" t="n"/>
      <c r="G3609" s="23" t="n"/>
      <c r="H3609" s="25" t="n"/>
      <c r="I3609" s="15" t="n"/>
      <c r="J3609" s="26">
        <f>IF($A3609="","",LEN($C3609)-LEN(SUBSTITUTE($C3609,",",""))+1)</f>
        <v/>
      </c>
      <c r="K3609" s="26">
        <f>IF($A3609="","",SUMPRODUCT(--ISNUMBER(SEARCH('Category Dictionary'!$D$5:$D$135&amp;"",$C3609)),--('Category Dictionary'!$D$5:$D$135&lt;&gt;"")))</f>
        <v/>
      </c>
      <c r="L3609" s="27">
        <f>IF($A3609="","",TRIM(IF(ISERROR(FIND(",",$C3609)),$C3609,LEFT($C3609,FIND(",",$C3609)-1))))</f>
        <v/>
      </c>
      <c r="M3609" s="28">
        <f>IF($H3609="","",DATE(YEAR($H3609),MONTH($H3609),1))</f>
        <v/>
      </c>
      <c r="N3609" s="26">
        <f>IF($H3609="","",TODAY()-$H3609)</f>
        <v/>
      </c>
      <c r="O3609" s="15" t="n"/>
      <c r="P3609" s="15" t="n"/>
      <c r="Q3609" s="15" t="n"/>
      <c r="R3609" s="25" t="n"/>
      <c r="S3609" s="26">
        <f>IF($A3609="","",AND(OR('Assignment Builder'!$B$5="",$B3609='Assignment Builder'!$B$5),OR('Assignment Builder'!$B$6="",ISNUMBER(SEARCH('Assignment Builder'!$B$6,$C3609))),OR('Assignment Builder'!$B$7="",'Assignment Builder'!$B$7=IFERROR(INDEX('Category Dictionary'!$C$5:$C$135,MATCH($L3609,'Category Dictionary'!$D$5:$D$135,0)),"")),OR('Assignment Builder'!$B$8="",$D3609='Assignment Builder'!$B$8),OR('Assignment Builder'!$B$9="",$F3609='Assignment Builder'!$B$9),OR('Assignment Builder'!$B$10="",$O3609='Assignment Builder'!$B$10),OR('Assignment Builder'!$B$11="",$H3609&gt;='Assignment Builder'!$B$11),OR('Assignment Builder'!$B$12="",N($Q3609)&lt;='Assignment Builder'!$B$12)))</f>
        <v/>
      </c>
      <c r="T3609" s="23" t="n"/>
    </row>
    <row r="3610">
      <c r="A3610" s="23" t="n"/>
      <c r="B3610" s="23" t="n"/>
      <c r="C3610" s="24" t="n"/>
      <c r="D3610" s="15" t="n"/>
      <c r="E3610" s="23" t="n"/>
      <c r="F3610" s="15" t="n"/>
      <c r="G3610" s="23" t="n"/>
      <c r="H3610" s="25" t="n"/>
      <c r="I3610" s="15" t="n"/>
      <c r="J3610" s="26">
        <f>IF($A3610="","",LEN($C3610)-LEN(SUBSTITUTE($C3610,",",""))+1)</f>
        <v/>
      </c>
      <c r="K3610" s="26">
        <f>IF($A3610="","",SUMPRODUCT(--ISNUMBER(SEARCH('Category Dictionary'!$D$5:$D$135&amp;"",$C3610)),--('Category Dictionary'!$D$5:$D$135&lt;&gt;"")))</f>
        <v/>
      </c>
      <c r="L3610" s="27">
        <f>IF($A3610="","",TRIM(IF(ISERROR(FIND(",",$C3610)),$C3610,LEFT($C3610,FIND(",",$C3610)-1))))</f>
        <v/>
      </c>
      <c r="M3610" s="28">
        <f>IF($H3610="","",DATE(YEAR($H3610),MONTH($H3610),1))</f>
        <v/>
      </c>
      <c r="N3610" s="26">
        <f>IF($H3610="","",TODAY()-$H3610)</f>
        <v/>
      </c>
      <c r="O3610" s="15" t="n"/>
      <c r="P3610" s="15" t="n"/>
      <c r="Q3610" s="15" t="n"/>
      <c r="R3610" s="25" t="n"/>
      <c r="S3610" s="26">
        <f>IF($A3610="","",AND(OR('Assignment Builder'!$B$5="",$B3610='Assignment Builder'!$B$5),OR('Assignment Builder'!$B$6="",ISNUMBER(SEARCH('Assignment Builder'!$B$6,$C3610))),OR('Assignment Builder'!$B$7="",'Assignment Builder'!$B$7=IFERROR(INDEX('Category Dictionary'!$C$5:$C$135,MATCH($L3610,'Category Dictionary'!$D$5:$D$135,0)),"")),OR('Assignment Builder'!$B$8="",$D3610='Assignment Builder'!$B$8),OR('Assignment Builder'!$B$9="",$F3610='Assignment Builder'!$B$9),OR('Assignment Builder'!$B$10="",$O3610='Assignment Builder'!$B$10),OR('Assignment Builder'!$B$11="",$H3610&gt;='Assignment Builder'!$B$11),OR('Assignment Builder'!$B$12="",N($Q3610)&lt;='Assignment Builder'!$B$12)))</f>
        <v/>
      </c>
      <c r="T3610" s="23" t="n"/>
    </row>
    <row r="3611">
      <c r="A3611" s="23" t="n"/>
      <c r="B3611" s="23" t="n"/>
      <c r="C3611" s="24" t="n"/>
      <c r="D3611" s="15" t="n"/>
      <c r="E3611" s="23" t="n"/>
      <c r="F3611" s="15" t="n"/>
      <c r="G3611" s="23" t="n"/>
      <c r="H3611" s="25" t="n"/>
      <c r="I3611" s="15" t="n"/>
      <c r="J3611" s="26">
        <f>IF($A3611="","",LEN($C3611)-LEN(SUBSTITUTE($C3611,",",""))+1)</f>
        <v/>
      </c>
      <c r="K3611" s="26">
        <f>IF($A3611="","",SUMPRODUCT(--ISNUMBER(SEARCH('Category Dictionary'!$D$5:$D$135&amp;"",$C3611)),--('Category Dictionary'!$D$5:$D$135&lt;&gt;"")))</f>
        <v/>
      </c>
      <c r="L3611" s="27">
        <f>IF($A3611="","",TRIM(IF(ISERROR(FIND(",",$C3611)),$C3611,LEFT($C3611,FIND(",",$C3611)-1))))</f>
        <v/>
      </c>
      <c r="M3611" s="28">
        <f>IF($H3611="","",DATE(YEAR($H3611),MONTH($H3611),1))</f>
        <v/>
      </c>
      <c r="N3611" s="26">
        <f>IF($H3611="","",TODAY()-$H3611)</f>
        <v/>
      </c>
      <c r="O3611" s="15" t="n"/>
      <c r="P3611" s="15" t="n"/>
      <c r="Q3611" s="15" t="n"/>
      <c r="R3611" s="25" t="n"/>
      <c r="S3611" s="26">
        <f>IF($A3611="","",AND(OR('Assignment Builder'!$B$5="",$B3611='Assignment Builder'!$B$5),OR('Assignment Builder'!$B$6="",ISNUMBER(SEARCH('Assignment Builder'!$B$6,$C3611))),OR('Assignment Builder'!$B$7="",'Assignment Builder'!$B$7=IFERROR(INDEX('Category Dictionary'!$C$5:$C$135,MATCH($L3611,'Category Dictionary'!$D$5:$D$135,0)),"")),OR('Assignment Builder'!$B$8="",$D3611='Assignment Builder'!$B$8),OR('Assignment Builder'!$B$9="",$F3611='Assignment Builder'!$B$9),OR('Assignment Builder'!$B$10="",$O3611='Assignment Builder'!$B$10),OR('Assignment Builder'!$B$11="",$H3611&gt;='Assignment Builder'!$B$11),OR('Assignment Builder'!$B$12="",N($Q3611)&lt;='Assignment Builder'!$B$12)))</f>
        <v/>
      </c>
      <c r="T3611" s="23" t="n"/>
    </row>
    <row r="3612">
      <c r="A3612" s="23" t="n"/>
      <c r="B3612" s="23" t="n"/>
      <c r="C3612" s="24" t="n"/>
      <c r="D3612" s="15" t="n"/>
      <c r="E3612" s="23" t="n"/>
      <c r="F3612" s="15" t="n"/>
      <c r="G3612" s="23" t="n"/>
      <c r="H3612" s="25" t="n"/>
      <c r="I3612" s="15" t="n"/>
      <c r="J3612" s="26">
        <f>IF($A3612="","",LEN($C3612)-LEN(SUBSTITUTE($C3612,",",""))+1)</f>
        <v/>
      </c>
      <c r="K3612" s="26">
        <f>IF($A3612="","",SUMPRODUCT(--ISNUMBER(SEARCH('Category Dictionary'!$D$5:$D$135&amp;"",$C3612)),--('Category Dictionary'!$D$5:$D$135&lt;&gt;"")))</f>
        <v/>
      </c>
      <c r="L3612" s="27">
        <f>IF($A3612="","",TRIM(IF(ISERROR(FIND(",",$C3612)),$C3612,LEFT($C3612,FIND(",",$C3612)-1))))</f>
        <v/>
      </c>
      <c r="M3612" s="28">
        <f>IF($H3612="","",DATE(YEAR($H3612),MONTH($H3612),1))</f>
        <v/>
      </c>
      <c r="N3612" s="26">
        <f>IF($H3612="","",TODAY()-$H3612)</f>
        <v/>
      </c>
      <c r="O3612" s="15" t="n"/>
      <c r="P3612" s="15" t="n"/>
      <c r="Q3612" s="15" t="n"/>
      <c r="R3612" s="25" t="n"/>
      <c r="S3612" s="26">
        <f>IF($A3612="","",AND(OR('Assignment Builder'!$B$5="",$B3612='Assignment Builder'!$B$5),OR('Assignment Builder'!$B$6="",ISNUMBER(SEARCH('Assignment Builder'!$B$6,$C3612))),OR('Assignment Builder'!$B$7="",'Assignment Builder'!$B$7=IFERROR(INDEX('Category Dictionary'!$C$5:$C$135,MATCH($L3612,'Category Dictionary'!$D$5:$D$135,0)),"")),OR('Assignment Builder'!$B$8="",$D3612='Assignment Builder'!$B$8),OR('Assignment Builder'!$B$9="",$F3612='Assignment Builder'!$B$9),OR('Assignment Builder'!$B$10="",$O3612='Assignment Builder'!$B$10),OR('Assignment Builder'!$B$11="",$H3612&gt;='Assignment Builder'!$B$11),OR('Assignment Builder'!$B$12="",N($Q3612)&lt;='Assignment Builder'!$B$12)))</f>
        <v/>
      </c>
      <c r="T3612" s="23" t="n"/>
    </row>
    <row r="3613">
      <c r="A3613" s="23" t="n"/>
      <c r="B3613" s="23" t="n"/>
      <c r="C3613" s="24" t="n"/>
      <c r="D3613" s="15" t="n"/>
      <c r="E3613" s="23" t="n"/>
      <c r="F3613" s="15" t="n"/>
      <c r="G3613" s="23" t="n"/>
      <c r="H3613" s="25" t="n"/>
      <c r="I3613" s="15" t="n"/>
      <c r="J3613" s="26">
        <f>IF($A3613="","",LEN($C3613)-LEN(SUBSTITUTE($C3613,",",""))+1)</f>
        <v/>
      </c>
      <c r="K3613" s="26">
        <f>IF($A3613="","",SUMPRODUCT(--ISNUMBER(SEARCH('Category Dictionary'!$D$5:$D$135&amp;"",$C3613)),--('Category Dictionary'!$D$5:$D$135&lt;&gt;"")))</f>
        <v/>
      </c>
      <c r="L3613" s="27">
        <f>IF($A3613="","",TRIM(IF(ISERROR(FIND(",",$C3613)),$C3613,LEFT($C3613,FIND(",",$C3613)-1))))</f>
        <v/>
      </c>
      <c r="M3613" s="28">
        <f>IF($H3613="","",DATE(YEAR($H3613),MONTH($H3613),1))</f>
        <v/>
      </c>
      <c r="N3613" s="26">
        <f>IF($H3613="","",TODAY()-$H3613)</f>
        <v/>
      </c>
      <c r="O3613" s="15" t="n"/>
      <c r="P3613" s="15" t="n"/>
      <c r="Q3613" s="15" t="n"/>
      <c r="R3613" s="25" t="n"/>
      <c r="S3613" s="26">
        <f>IF($A3613="","",AND(OR('Assignment Builder'!$B$5="",$B3613='Assignment Builder'!$B$5),OR('Assignment Builder'!$B$6="",ISNUMBER(SEARCH('Assignment Builder'!$B$6,$C3613))),OR('Assignment Builder'!$B$7="",'Assignment Builder'!$B$7=IFERROR(INDEX('Category Dictionary'!$C$5:$C$135,MATCH($L3613,'Category Dictionary'!$D$5:$D$135,0)),"")),OR('Assignment Builder'!$B$8="",$D3613='Assignment Builder'!$B$8),OR('Assignment Builder'!$B$9="",$F3613='Assignment Builder'!$B$9),OR('Assignment Builder'!$B$10="",$O3613='Assignment Builder'!$B$10),OR('Assignment Builder'!$B$11="",$H3613&gt;='Assignment Builder'!$B$11),OR('Assignment Builder'!$B$12="",N($Q3613)&lt;='Assignment Builder'!$B$12)))</f>
        <v/>
      </c>
      <c r="T3613" s="23" t="n"/>
    </row>
    <row r="3614">
      <c r="A3614" s="23" t="n"/>
      <c r="B3614" s="23" t="n"/>
      <c r="C3614" s="24" t="n"/>
      <c r="D3614" s="15" t="n"/>
      <c r="E3614" s="23" t="n"/>
      <c r="F3614" s="15" t="n"/>
      <c r="G3614" s="23" t="n"/>
      <c r="H3614" s="25" t="n"/>
      <c r="I3614" s="15" t="n"/>
      <c r="J3614" s="26">
        <f>IF($A3614="","",LEN($C3614)-LEN(SUBSTITUTE($C3614,",",""))+1)</f>
        <v/>
      </c>
      <c r="K3614" s="26">
        <f>IF($A3614="","",SUMPRODUCT(--ISNUMBER(SEARCH('Category Dictionary'!$D$5:$D$135&amp;"",$C3614)),--('Category Dictionary'!$D$5:$D$135&lt;&gt;"")))</f>
        <v/>
      </c>
      <c r="L3614" s="27">
        <f>IF($A3614="","",TRIM(IF(ISERROR(FIND(",",$C3614)),$C3614,LEFT($C3614,FIND(",",$C3614)-1))))</f>
        <v/>
      </c>
      <c r="M3614" s="28">
        <f>IF($H3614="","",DATE(YEAR($H3614),MONTH($H3614),1))</f>
        <v/>
      </c>
      <c r="N3614" s="26">
        <f>IF($H3614="","",TODAY()-$H3614)</f>
        <v/>
      </c>
      <c r="O3614" s="15" t="n"/>
      <c r="P3614" s="15" t="n"/>
      <c r="Q3614" s="15" t="n"/>
      <c r="R3614" s="25" t="n"/>
      <c r="S3614" s="26">
        <f>IF($A3614="","",AND(OR('Assignment Builder'!$B$5="",$B3614='Assignment Builder'!$B$5),OR('Assignment Builder'!$B$6="",ISNUMBER(SEARCH('Assignment Builder'!$B$6,$C3614))),OR('Assignment Builder'!$B$7="",'Assignment Builder'!$B$7=IFERROR(INDEX('Category Dictionary'!$C$5:$C$135,MATCH($L3614,'Category Dictionary'!$D$5:$D$135,0)),"")),OR('Assignment Builder'!$B$8="",$D3614='Assignment Builder'!$B$8),OR('Assignment Builder'!$B$9="",$F3614='Assignment Builder'!$B$9),OR('Assignment Builder'!$B$10="",$O3614='Assignment Builder'!$B$10),OR('Assignment Builder'!$B$11="",$H3614&gt;='Assignment Builder'!$B$11),OR('Assignment Builder'!$B$12="",N($Q3614)&lt;='Assignment Builder'!$B$12)))</f>
        <v/>
      </c>
      <c r="T3614" s="23" t="n"/>
    </row>
    <row r="3615">
      <c r="A3615" s="23" t="n"/>
      <c r="B3615" s="23" t="n"/>
      <c r="C3615" s="24" t="n"/>
      <c r="D3615" s="15" t="n"/>
      <c r="E3615" s="23" t="n"/>
      <c r="F3615" s="15" t="n"/>
      <c r="G3615" s="23" t="n"/>
      <c r="H3615" s="25" t="n"/>
      <c r="I3615" s="15" t="n"/>
      <c r="J3615" s="26">
        <f>IF($A3615="","",LEN($C3615)-LEN(SUBSTITUTE($C3615,",",""))+1)</f>
        <v/>
      </c>
      <c r="K3615" s="26">
        <f>IF($A3615="","",SUMPRODUCT(--ISNUMBER(SEARCH('Category Dictionary'!$D$5:$D$135&amp;"",$C3615)),--('Category Dictionary'!$D$5:$D$135&lt;&gt;"")))</f>
        <v/>
      </c>
      <c r="L3615" s="27">
        <f>IF($A3615="","",TRIM(IF(ISERROR(FIND(",",$C3615)),$C3615,LEFT($C3615,FIND(",",$C3615)-1))))</f>
        <v/>
      </c>
      <c r="M3615" s="28">
        <f>IF($H3615="","",DATE(YEAR($H3615),MONTH($H3615),1))</f>
        <v/>
      </c>
      <c r="N3615" s="26">
        <f>IF($H3615="","",TODAY()-$H3615)</f>
        <v/>
      </c>
      <c r="O3615" s="15" t="n"/>
      <c r="P3615" s="15" t="n"/>
      <c r="Q3615" s="15" t="n"/>
      <c r="R3615" s="25" t="n"/>
      <c r="S3615" s="26">
        <f>IF($A3615="","",AND(OR('Assignment Builder'!$B$5="",$B3615='Assignment Builder'!$B$5),OR('Assignment Builder'!$B$6="",ISNUMBER(SEARCH('Assignment Builder'!$B$6,$C3615))),OR('Assignment Builder'!$B$7="",'Assignment Builder'!$B$7=IFERROR(INDEX('Category Dictionary'!$C$5:$C$135,MATCH($L3615,'Category Dictionary'!$D$5:$D$135,0)),"")),OR('Assignment Builder'!$B$8="",$D3615='Assignment Builder'!$B$8),OR('Assignment Builder'!$B$9="",$F3615='Assignment Builder'!$B$9),OR('Assignment Builder'!$B$10="",$O3615='Assignment Builder'!$B$10),OR('Assignment Builder'!$B$11="",$H3615&gt;='Assignment Builder'!$B$11),OR('Assignment Builder'!$B$12="",N($Q3615)&lt;='Assignment Builder'!$B$12)))</f>
        <v/>
      </c>
      <c r="T3615" s="23" t="n"/>
    </row>
    <row r="3616">
      <c r="A3616" s="23" t="n"/>
      <c r="B3616" s="23" t="n"/>
      <c r="C3616" s="24" t="n"/>
      <c r="D3616" s="15" t="n"/>
      <c r="E3616" s="23" t="n"/>
      <c r="F3616" s="15" t="n"/>
      <c r="G3616" s="23" t="n"/>
      <c r="H3616" s="25" t="n"/>
      <c r="I3616" s="15" t="n"/>
      <c r="J3616" s="26">
        <f>IF($A3616="","",LEN($C3616)-LEN(SUBSTITUTE($C3616,",",""))+1)</f>
        <v/>
      </c>
      <c r="K3616" s="26">
        <f>IF($A3616="","",SUMPRODUCT(--ISNUMBER(SEARCH('Category Dictionary'!$D$5:$D$135&amp;"",$C3616)),--('Category Dictionary'!$D$5:$D$135&lt;&gt;"")))</f>
        <v/>
      </c>
      <c r="L3616" s="27">
        <f>IF($A3616="","",TRIM(IF(ISERROR(FIND(",",$C3616)),$C3616,LEFT($C3616,FIND(",",$C3616)-1))))</f>
        <v/>
      </c>
      <c r="M3616" s="28">
        <f>IF($H3616="","",DATE(YEAR($H3616),MONTH($H3616),1))</f>
        <v/>
      </c>
      <c r="N3616" s="26">
        <f>IF($H3616="","",TODAY()-$H3616)</f>
        <v/>
      </c>
      <c r="O3616" s="15" t="n"/>
      <c r="P3616" s="15" t="n"/>
      <c r="Q3616" s="15" t="n"/>
      <c r="R3616" s="25" t="n"/>
      <c r="S3616" s="26">
        <f>IF($A3616="","",AND(OR('Assignment Builder'!$B$5="",$B3616='Assignment Builder'!$B$5),OR('Assignment Builder'!$B$6="",ISNUMBER(SEARCH('Assignment Builder'!$B$6,$C3616))),OR('Assignment Builder'!$B$7="",'Assignment Builder'!$B$7=IFERROR(INDEX('Category Dictionary'!$C$5:$C$135,MATCH($L3616,'Category Dictionary'!$D$5:$D$135,0)),"")),OR('Assignment Builder'!$B$8="",$D3616='Assignment Builder'!$B$8),OR('Assignment Builder'!$B$9="",$F3616='Assignment Builder'!$B$9),OR('Assignment Builder'!$B$10="",$O3616='Assignment Builder'!$B$10),OR('Assignment Builder'!$B$11="",$H3616&gt;='Assignment Builder'!$B$11),OR('Assignment Builder'!$B$12="",N($Q3616)&lt;='Assignment Builder'!$B$12)))</f>
        <v/>
      </c>
      <c r="T3616" s="23" t="n"/>
    </row>
    <row r="3617">
      <c r="A3617" s="23" t="n"/>
      <c r="B3617" s="23" t="n"/>
      <c r="C3617" s="24" t="n"/>
      <c r="D3617" s="15" t="n"/>
      <c r="E3617" s="23" t="n"/>
      <c r="F3617" s="15" t="n"/>
      <c r="G3617" s="23" t="n"/>
      <c r="H3617" s="25" t="n"/>
      <c r="I3617" s="15" t="n"/>
      <c r="J3617" s="26">
        <f>IF($A3617="","",LEN($C3617)-LEN(SUBSTITUTE($C3617,",",""))+1)</f>
        <v/>
      </c>
      <c r="K3617" s="26">
        <f>IF($A3617="","",SUMPRODUCT(--ISNUMBER(SEARCH('Category Dictionary'!$D$5:$D$135&amp;"",$C3617)),--('Category Dictionary'!$D$5:$D$135&lt;&gt;"")))</f>
        <v/>
      </c>
      <c r="L3617" s="27">
        <f>IF($A3617="","",TRIM(IF(ISERROR(FIND(",",$C3617)),$C3617,LEFT($C3617,FIND(",",$C3617)-1))))</f>
        <v/>
      </c>
      <c r="M3617" s="28">
        <f>IF($H3617="","",DATE(YEAR($H3617),MONTH($H3617),1))</f>
        <v/>
      </c>
      <c r="N3617" s="26">
        <f>IF($H3617="","",TODAY()-$H3617)</f>
        <v/>
      </c>
      <c r="O3617" s="15" t="n"/>
      <c r="P3617" s="15" t="n"/>
      <c r="Q3617" s="15" t="n"/>
      <c r="R3617" s="25" t="n"/>
      <c r="S3617" s="26">
        <f>IF($A3617="","",AND(OR('Assignment Builder'!$B$5="",$B3617='Assignment Builder'!$B$5),OR('Assignment Builder'!$B$6="",ISNUMBER(SEARCH('Assignment Builder'!$B$6,$C3617))),OR('Assignment Builder'!$B$7="",'Assignment Builder'!$B$7=IFERROR(INDEX('Category Dictionary'!$C$5:$C$135,MATCH($L3617,'Category Dictionary'!$D$5:$D$135,0)),"")),OR('Assignment Builder'!$B$8="",$D3617='Assignment Builder'!$B$8),OR('Assignment Builder'!$B$9="",$F3617='Assignment Builder'!$B$9),OR('Assignment Builder'!$B$10="",$O3617='Assignment Builder'!$B$10),OR('Assignment Builder'!$B$11="",$H3617&gt;='Assignment Builder'!$B$11),OR('Assignment Builder'!$B$12="",N($Q3617)&lt;='Assignment Builder'!$B$12)))</f>
        <v/>
      </c>
      <c r="T3617" s="23" t="n"/>
    </row>
    <row r="3618">
      <c r="A3618" s="23" t="n"/>
      <c r="B3618" s="23" t="n"/>
      <c r="C3618" s="24" t="n"/>
      <c r="D3618" s="15" t="n"/>
      <c r="E3618" s="23" t="n"/>
      <c r="F3618" s="15" t="n"/>
      <c r="G3618" s="23" t="n"/>
      <c r="H3618" s="25" t="n"/>
      <c r="I3618" s="15" t="n"/>
      <c r="J3618" s="26">
        <f>IF($A3618="","",LEN($C3618)-LEN(SUBSTITUTE($C3618,",",""))+1)</f>
        <v/>
      </c>
      <c r="K3618" s="26">
        <f>IF($A3618="","",SUMPRODUCT(--ISNUMBER(SEARCH('Category Dictionary'!$D$5:$D$135&amp;"",$C3618)),--('Category Dictionary'!$D$5:$D$135&lt;&gt;"")))</f>
        <v/>
      </c>
      <c r="L3618" s="27">
        <f>IF($A3618="","",TRIM(IF(ISERROR(FIND(",",$C3618)),$C3618,LEFT($C3618,FIND(",",$C3618)-1))))</f>
        <v/>
      </c>
      <c r="M3618" s="28">
        <f>IF($H3618="","",DATE(YEAR($H3618),MONTH($H3618),1))</f>
        <v/>
      </c>
      <c r="N3618" s="26">
        <f>IF($H3618="","",TODAY()-$H3618)</f>
        <v/>
      </c>
      <c r="O3618" s="15" t="n"/>
      <c r="P3618" s="15" t="n"/>
      <c r="Q3618" s="15" t="n"/>
      <c r="R3618" s="25" t="n"/>
      <c r="S3618" s="26">
        <f>IF($A3618="","",AND(OR('Assignment Builder'!$B$5="",$B3618='Assignment Builder'!$B$5),OR('Assignment Builder'!$B$6="",ISNUMBER(SEARCH('Assignment Builder'!$B$6,$C3618))),OR('Assignment Builder'!$B$7="",'Assignment Builder'!$B$7=IFERROR(INDEX('Category Dictionary'!$C$5:$C$135,MATCH($L3618,'Category Dictionary'!$D$5:$D$135,0)),"")),OR('Assignment Builder'!$B$8="",$D3618='Assignment Builder'!$B$8),OR('Assignment Builder'!$B$9="",$F3618='Assignment Builder'!$B$9),OR('Assignment Builder'!$B$10="",$O3618='Assignment Builder'!$B$10),OR('Assignment Builder'!$B$11="",$H3618&gt;='Assignment Builder'!$B$11),OR('Assignment Builder'!$B$12="",N($Q3618)&lt;='Assignment Builder'!$B$12)))</f>
        <v/>
      </c>
      <c r="T3618" s="23" t="n"/>
    </row>
    <row r="3619">
      <c r="A3619" s="23" t="n"/>
      <c r="B3619" s="23" t="n"/>
      <c r="C3619" s="24" t="n"/>
      <c r="D3619" s="15" t="n"/>
      <c r="E3619" s="23" t="n"/>
      <c r="F3619" s="15" t="n"/>
      <c r="G3619" s="23" t="n"/>
      <c r="H3619" s="25" t="n"/>
      <c r="I3619" s="15" t="n"/>
      <c r="J3619" s="26">
        <f>IF($A3619="","",LEN($C3619)-LEN(SUBSTITUTE($C3619,",",""))+1)</f>
        <v/>
      </c>
      <c r="K3619" s="26">
        <f>IF($A3619="","",SUMPRODUCT(--ISNUMBER(SEARCH('Category Dictionary'!$D$5:$D$135&amp;"",$C3619)),--('Category Dictionary'!$D$5:$D$135&lt;&gt;"")))</f>
        <v/>
      </c>
      <c r="L3619" s="27">
        <f>IF($A3619="","",TRIM(IF(ISERROR(FIND(",",$C3619)),$C3619,LEFT($C3619,FIND(",",$C3619)-1))))</f>
        <v/>
      </c>
      <c r="M3619" s="28">
        <f>IF($H3619="","",DATE(YEAR($H3619),MONTH($H3619),1))</f>
        <v/>
      </c>
      <c r="N3619" s="26">
        <f>IF($H3619="","",TODAY()-$H3619)</f>
        <v/>
      </c>
      <c r="O3619" s="15" t="n"/>
      <c r="P3619" s="15" t="n"/>
      <c r="Q3619" s="15" t="n"/>
      <c r="R3619" s="25" t="n"/>
      <c r="S3619" s="26">
        <f>IF($A3619="","",AND(OR('Assignment Builder'!$B$5="",$B3619='Assignment Builder'!$B$5),OR('Assignment Builder'!$B$6="",ISNUMBER(SEARCH('Assignment Builder'!$B$6,$C3619))),OR('Assignment Builder'!$B$7="",'Assignment Builder'!$B$7=IFERROR(INDEX('Category Dictionary'!$C$5:$C$135,MATCH($L3619,'Category Dictionary'!$D$5:$D$135,0)),"")),OR('Assignment Builder'!$B$8="",$D3619='Assignment Builder'!$B$8),OR('Assignment Builder'!$B$9="",$F3619='Assignment Builder'!$B$9),OR('Assignment Builder'!$B$10="",$O3619='Assignment Builder'!$B$10),OR('Assignment Builder'!$B$11="",$H3619&gt;='Assignment Builder'!$B$11),OR('Assignment Builder'!$B$12="",N($Q3619)&lt;='Assignment Builder'!$B$12)))</f>
        <v/>
      </c>
      <c r="T3619" s="23" t="n"/>
    </row>
    <row r="3620">
      <c r="A3620" s="23" t="n"/>
      <c r="B3620" s="23" t="n"/>
      <c r="C3620" s="24" t="n"/>
      <c r="D3620" s="15" t="n"/>
      <c r="E3620" s="23" t="n"/>
      <c r="F3620" s="15" t="n"/>
      <c r="G3620" s="23" t="n"/>
      <c r="H3620" s="25" t="n"/>
      <c r="I3620" s="15" t="n"/>
      <c r="J3620" s="26">
        <f>IF($A3620="","",LEN($C3620)-LEN(SUBSTITUTE($C3620,",",""))+1)</f>
        <v/>
      </c>
      <c r="K3620" s="26">
        <f>IF($A3620="","",SUMPRODUCT(--ISNUMBER(SEARCH('Category Dictionary'!$D$5:$D$135&amp;"",$C3620)),--('Category Dictionary'!$D$5:$D$135&lt;&gt;"")))</f>
        <v/>
      </c>
      <c r="L3620" s="27">
        <f>IF($A3620="","",TRIM(IF(ISERROR(FIND(",",$C3620)),$C3620,LEFT($C3620,FIND(",",$C3620)-1))))</f>
        <v/>
      </c>
      <c r="M3620" s="28">
        <f>IF($H3620="","",DATE(YEAR($H3620),MONTH($H3620),1))</f>
        <v/>
      </c>
      <c r="N3620" s="26">
        <f>IF($H3620="","",TODAY()-$H3620)</f>
        <v/>
      </c>
      <c r="O3620" s="15" t="n"/>
      <c r="P3620" s="15" t="n"/>
      <c r="Q3620" s="15" t="n"/>
      <c r="R3620" s="25" t="n"/>
      <c r="S3620" s="26">
        <f>IF($A3620="","",AND(OR('Assignment Builder'!$B$5="",$B3620='Assignment Builder'!$B$5),OR('Assignment Builder'!$B$6="",ISNUMBER(SEARCH('Assignment Builder'!$B$6,$C3620))),OR('Assignment Builder'!$B$7="",'Assignment Builder'!$B$7=IFERROR(INDEX('Category Dictionary'!$C$5:$C$135,MATCH($L3620,'Category Dictionary'!$D$5:$D$135,0)),"")),OR('Assignment Builder'!$B$8="",$D3620='Assignment Builder'!$B$8),OR('Assignment Builder'!$B$9="",$F3620='Assignment Builder'!$B$9),OR('Assignment Builder'!$B$10="",$O3620='Assignment Builder'!$B$10),OR('Assignment Builder'!$B$11="",$H3620&gt;='Assignment Builder'!$B$11),OR('Assignment Builder'!$B$12="",N($Q3620)&lt;='Assignment Builder'!$B$12)))</f>
        <v/>
      </c>
      <c r="T3620" s="23" t="n"/>
    </row>
    <row r="3621">
      <c r="A3621" s="23" t="n"/>
      <c r="B3621" s="23" t="n"/>
      <c r="C3621" s="24" t="n"/>
      <c r="D3621" s="15" t="n"/>
      <c r="E3621" s="23" t="n"/>
      <c r="F3621" s="15" t="n"/>
      <c r="G3621" s="23" t="n"/>
      <c r="H3621" s="25" t="n"/>
      <c r="I3621" s="15" t="n"/>
      <c r="J3621" s="26">
        <f>IF($A3621="","",LEN($C3621)-LEN(SUBSTITUTE($C3621,",",""))+1)</f>
        <v/>
      </c>
      <c r="K3621" s="26">
        <f>IF($A3621="","",SUMPRODUCT(--ISNUMBER(SEARCH('Category Dictionary'!$D$5:$D$135&amp;"",$C3621)),--('Category Dictionary'!$D$5:$D$135&lt;&gt;"")))</f>
        <v/>
      </c>
      <c r="L3621" s="27">
        <f>IF($A3621="","",TRIM(IF(ISERROR(FIND(",",$C3621)),$C3621,LEFT($C3621,FIND(",",$C3621)-1))))</f>
        <v/>
      </c>
      <c r="M3621" s="28">
        <f>IF($H3621="","",DATE(YEAR($H3621),MONTH($H3621),1))</f>
        <v/>
      </c>
      <c r="N3621" s="26">
        <f>IF($H3621="","",TODAY()-$H3621)</f>
        <v/>
      </c>
      <c r="O3621" s="15" t="n"/>
      <c r="P3621" s="15" t="n"/>
      <c r="Q3621" s="15" t="n"/>
      <c r="R3621" s="25" t="n"/>
      <c r="S3621" s="26">
        <f>IF($A3621="","",AND(OR('Assignment Builder'!$B$5="",$B3621='Assignment Builder'!$B$5),OR('Assignment Builder'!$B$6="",ISNUMBER(SEARCH('Assignment Builder'!$B$6,$C3621))),OR('Assignment Builder'!$B$7="",'Assignment Builder'!$B$7=IFERROR(INDEX('Category Dictionary'!$C$5:$C$135,MATCH($L3621,'Category Dictionary'!$D$5:$D$135,0)),"")),OR('Assignment Builder'!$B$8="",$D3621='Assignment Builder'!$B$8),OR('Assignment Builder'!$B$9="",$F3621='Assignment Builder'!$B$9),OR('Assignment Builder'!$B$10="",$O3621='Assignment Builder'!$B$10),OR('Assignment Builder'!$B$11="",$H3621&gt;='Assignment Builder'!$B$11),OR('Assignment Builder'!$B$12="",N($Q3621)&lt;='Assignment Builder'!$B$12)))</f>
        <v/>
      </c>
      <c r="T3621" s="23" t="n"/>
    </row>
    <row r="3622">
      <c r="A3622" s="23" t="n"/>
      <c r="B3622" s="23" t="n"/>
      <c r="C3622" s="24" t="n"/>
      <c r="D3622" s="15" t="n"/>
      <c r="E3622" s="23" t="n"/>
      <c r="F3622" s="15" t="n"/>
      <c r="G3622" s="23" t="n"/>
      <c r="H3622" s="25" t="n"/>
      <c r="I3622" s="15" t="n"/>
      <c r="J3622" s="26">
        <f>IF($A3622="","",LEN($C3622)-LEN(SUBSTITUTE($C3622,",",""))+1)</f>
        <v/>
      </c>
      <c r="K3622" s="26">
        <f>IF($A3622="","",SUMPRODUCT(--ISNUMBER(SEARCH('Category Dictionary'!$D$5:$D$135&amp;"",$C3622)),--('Category Dictionary'!$D$5:$D$135&lt;&gt;"")))</f>
        <v/>
      </c>
      <c r="L3622" s="27">
        <f>IF($A3622="","",TRIM(IF(ISERROR(FIND(",",$C3622)),$C3622,LEFT($C3622,FIND(",",$C3622)-1))))</f>
        <v/>
      </c>
      <c r="M3622" s="28">
        <f>IF($H3622="","",DATE(YEAR($H3622),MONTH($H3622),1))</f>
        <v/>
      </c>
      <c r="N3622" s="26">
        <f>IF($H3622="","",TODAY()-$H3622)</f>
        <v/>
      </c>
      <c r="O3622" s="15" t="n"/>
      <c r="P3622" s="15" t="n"/>
      <c r="Q3622" s="15" t="n"/>
      <c r="R3622" s="25" t="n"/>
      <c r="S3622" s="26">
        <f>IF($A3622="","",AND(OR('Assignment Builder'!$B$5="",$B3622='Assignment Builder'!$B$5),OR('Assignment Builder'!$B$6="",ISNUMBER(SEARCH('Assignment Builder'!$B$6,$C3622))),OR('Assignment Builder'!$B$7="",'Assignment Builder'!$B$7=IFERROR(INDEX('Category Dictionary'!$C$5:$C$135,MATCH($L3622,'Category Dictionary'!$D$5:$D$135,0)),"")),OR('Assignment Builder'!$B$8="",$D3622='Assignment Builder'!$B$8),OR('Assignment Builder'!$B$9="",$F3622='Assignment Builder'!$B$9),OR('Assignment Builder'!$B$10="",$O3622='Assignment Builder'!$B$10),OR('Assignment Builder'!$B$11="",$H3622&gt;='Assignment Builder'!$B$11),OR('Assignment Builder'!$B$12="",N($Q3622)&lt;='Assignment Builder'!$B$12)))</f>
        <v/>
      </c>
      <c r="T3622" s="23" t="n"/>
    </row>
    <row r="3623">
      <c r="A3623" s="23" t="n"/>
      <c r="B3623" s="23" t="n"/>
      <c r="C3623" s="24" t="n"/>
      <c r="D3623" s="15" t="n"/>
      <c r="E3623" s="23" t="n"/>
      <c r="F3623" s="15" t="n"/>
      <c r="G3623" s="23" t="n"/>
      <c r="H3623" s="25" t="n"/>
      <c r="I3623" s="15" t="n"/>
      <c r="J3623" s="26">
        <f>IF($A3623="","",LEN($C3623)-LEN(SUBSTITUTE($C3623,",",""))+1)</f>
        <v/>
      </c>
      <c r="K3623" s="26">
        <f>IF($A3623="","",SUMPRODUCT(--ISNUMBER(SEARCH('Category Dictionary'!$D$5:$D$135&amp;"",$C3623)),--('Category Dictionary'!$D$5:$D$135&lt;&gt;"")))</f>
        <v/>
      </c>
      <c r="L3623" s="27">
        <f>IF($A3623="","",TRIM(IF(ISERROR(FIND(",",$C3623)),$C3623,LEFT($C3623,FIND(",",$C3623)-1))))</f>
        <v/>
      </c>
      <c r="M3623" s="28">
        <f>IF($H3623="","",DATE(YEAR($H3623),MONTH($H3623),1))</f>
        <v/>
      </c>
      <c r="N3623" s="26">
        <f>IF($H3623="","",TODAY()-$H3623)</f>
        <v/>
      </c>
      <c r="O3623" s="15" t="n"/>
      <c r="P3623" s="15" t="n"/>
      <c r="Q3623" s="15" t="n"/>
      <c r="R3623" s="25" t="n"/>
      <c r="S3623" s="26">
        <f>IF($A3623="","",AND(OR('Assignment Builder'!$B$5="",$B3623='Assignment Builder'!$B$5),OR('Assignment Builder'!$B$6="",ISNUMBER(SEARCH('Assignment Builder'!$B$6,$C3623))),OR('Assignment Builder'!$B$7="",'Assignment Builder'!$B$7=IFERROR(INDEX('Category Dictionary'!$C$5:$C$135,MATCH($L3623,'Category Dictionary'!$D$5:$D$135,0)),"")),OR('Assignment Builder'!$B$8="",$D3623='Assignment Builder'!$B$8),OR('Assignment Builder'!$B$9="",$F3623='Assignment Builder'!$B$9),OR('Assignment Builder'!$B$10="",$O3623='Assignment Builder'!$B$10),OR('Assignment Builder'!$B$11="",$H3623&gt;='Assignment Builder'!$B$11),OR('Assignment Builder'!$B$12="",N($Q3623)&lt;='Assignment Builder'!$B$12)))</f>
        <v/>
      </c>
      <c r="T3623" s="23" t="n"/>
    </row>
    <row r="3624">
      <c r="A3624" s="23" t="n"/>
      <c r="B3624" s="23" t="n"/>
      <c r="C3624" s="24" t="n"/>
      <c r="D3624" s="15" t="n"/>
      <c r="E3624" s="23" t="n"/>
      <c r="F3624" s="15" t="n"/>
      <c r="G3624" s="23" t="n"/>
      <c r="H3624" s="25" t="n"/>
      <c r="I3624" s="15" t="n"/>
      <c r="J3624" s="26">
        <f>IF($A3624="","",LEN($C3624)-LEN(SUBSTITUTE($C3624,",",""))+1)</f>
        <v/>
      </c>
      <c r="K3624" s="26">
        <f>IF($A3624="","",SUMPRODUCT(--ISNUMBER(SEARCH('Category Dictionary'!$D$5:$D$135&amp;"",$C3624)),--('Category Dictionary'!$D$5:$D$135&lt;&gt;"")))</f>
        <v/>
      </c>
      <c r="L3624" s="27">
        <f>IF($A3624="","",TRIM(IF(ISERROR(FIND(",",$C3624)),$C3624,LEFT($C3624,FIND(",",$C3624)-1))))</f>
        <v/>
      </c>
      <c r="M3624" s="28">
        <f>IF($H3624="","",DATE(YEAR($H3624),MONTH($H3624),1))</f>
        <v/>
      </c>
      <c r="N3624" s="26">
        <f>IF($H3624="","",TODAY()-$H3624)</f>
        <v/>
      </c>
      <c r="O3624" s="15" t="n"/>
      <c r="P3624" s="15" t="n"/>
      <c r="Q3624" s="15" t="n"/>
      <c r="R3624" s="25" t="n"/>
      <c r="S3624" s="26">
        <f>IF($A3624="","",AND(OR('Assignment Builder'!$B$5="",$B3624='Assignment Builder'!$B$5),OR('Assignment Builder'!$B$6="",ISNUMBER(SEARCH('Assignment Builder'!$B$6,$C3624))),OR('Assignment Builder'!$B$7="",'Assignment Builder'!$B$7=IFERROR(INDEX('Category Dictionary'!$C$5:$C$135,MATCH($L3624,'Category Dictionary'!$D$5:$D$135,0)),"")),OR('Assignment Builder'!$B$8="",$D3624='Assignment Builder'!$B$8),OR('Assignment Builder'!$B$9="",$F3624='Assignment Builder'!$B$9),OR('Assignment Builder'!$B$10="",$O3624='Assignment Builder'!$B$10),OR('Assignment Builder'!$B$11="",$H3624&gt;='Assignment Builder'!$B$11),OR('Assignment Builder'!$B$12="",N($Q3624)&lt;='Assignment Builder'!$B$12)))</f>
        <v/>
      </c>
      <c r="T3624" s="23" t="n"/>
    </row>
    <row r="3625">
      <c r="A3625" s="23" t="n"/>
      <c r="B3625" s="23" t="n"/>
      <c r="C3625" s="24" t="n"/>
      <c r="D3625" s="15" t="n"/>
      <c r="E3625" s="23" t="n"/>
      <c r="F3625" s="15" t="n"/>
      <c r="G3625" s="23" t="n"/>
      <c r="H3625" s="25" t="n"/>
      <c r="I3625" s="15" t="n"/>
      <c r="J3625" s="26">
        <f>IF($A3625="","",LEN($C3625)-LEN(SUBSTITUTE($C3625,",",""))+1)</f>
        <v/>
      </c>
      <c r="K3625" s="26">
        <f>IF($A3625="","",SUMPRODUCT(--ISNUMBER(SEARCH('Category Dictionary'!$D$5:$D$135&amp;"",$C3625)),--('Category Dictionary'!$D$5:$D$135&lt;&gt;"")))</f>
        <v/>
      </c>
      <c r="L3625" s="27">
        <f>IF($A3625="","",TRIM(IF(ISERROR(FIND(",",$C3625)),$C3625,LEFT($C3625,FIND(",",$C3625)-1))))</f>
        <v/>
      </c>
      <c r="M3625" s="28">
        <f>IF($H3625="","",DATE(YEAR($H3625),MONTH($H3625),1))</f>
        <v/>
      </c>
      <c r="N3625" s="26">
        <f>IF($H3625="","",TODAY()-$H3625)</f>
        <v/>
      </c>
      <c r="O3625" s="15" t="n"/>
      <c r="P3625" s="15" t="n"/>
      <c r="Q3625" s="15" t="n"/>
      <c r="R3625" s="25" t="n"/>
      <c r="S3625" s="26">
        <f>IF($A3625="","",AND(OR('Assignment Builder'!$B$5="",$B3625='Assignment Builder'!$B$5),OR('Assignment Builder'!$B$6="",ISNUMBER(SEARCH('Assignment Builder'!$B$6,$C3625))),OR('Assignment Builder'!$B$7="",'Assignment Builder'!$B$7=IFERROR(INDEX('Category Dictionary'!$C$5:$C$135,MATCH($L3625,'Category Dictionary'!$D$5:$D$135,0)),"")),OR('Assignment Builder'!$B$8="",$D3625='Assignment Builder'!$B$8),OR('Assignment Builder'!$B$9="",$F3625='Assignment Builder'!$B$9),OR('Assignment Builder'!$B$10="",$O3625='Assignment Builder'!$B$10),OR('Assignment Builder'!$B$11="",$H3625&gt;='Assignment Builder'!$B$11),OR('Assignment Builder'!$B$12="",N($Q3625)&lt;='Assignment Builder'!$B$12)))</f>
        <v/>
      </c>
      <c r="T3625" s="23" t="n"/>
    </row>
    <row r="3626">
      <c r="A3626" s="23" t="n"/>
      <c r="B3626" s="23" t="n"/>
      <c r="C3626" s="24" t="n"/>
      <c r="D3626" s="15" t="n"/>
      <c r="E3626" s="23" t="n"/>
      <c r="F3626" s="15" t="n"/>
      <c r="G3626" s="23" t="n"/>
      <c r="H3626" s="25" t="n"/>
      <c r="I3626" s="15" t="n"/>
      <c r="J3626" s="26">
        <f>IF($A3626="","",LEN($C3626)-LEN(SUBSTITUTE($C3626,",",""))+1)</f>
        <v/>
      </c>
      <c r="K3626" s="26">
        <f>IF($A3626="","",SUMPRODUCT(--ISNUMBER(SEARCH('Category Dictionary'!$D$5:$D$135&amp;"",$C3626)),--('Category Dictionary'!$D$5:$D$135&lt;&gt;"")))</f>
        <v/>
      </c>
      <c r="L3626" s="27">
        <f>IF($A3626="","",TRIM(IF(ISERROR(FIND(",",$C3626)),$C3626,LEFT($C3626,FIND(",",$C3626)-1))))</f>
        <v/>
      </c>
      <c r="M3626" s="28">
        <f>IF($H3626="","",DATE(YEAR($H3626),MONTH($H3626),1))</f>
        <v/>
      </c>
      <c r="N3626" s="26">
        <f>IF($H3626="","",TODAY()-$H3626)</f>
        <v/>
      </c>
      <c r="O3626" s="15" t="n"/>
      <c r="P3626" s="15" t="n"/>
      <c r="Q3626" s="15" t="n"/>
      <c r="R3626" s="25" t="n"/>
      <c r="S3626" s="26">
        <f>IF($A3626="","",AND(OR('Assignment Builder'!$B$5="",$B3626='Assignment Builder'!$B$5),OR('Assignment Builder'!$B$6="",ISNUMBER(SEARCH('Assignment Builder'!$B$6,$C3626))),OR('Assignment Builder'!$B$7="",'Assignment Builder'!$B$7=IFERROR(INDEX('Category Dictionary'!$C$5:$C$135,MATCH($L3626,'Category Dictionary'!$D$5:$D$135,0)),"")),OR('Assignment Builder'!$B$8="",$D3626='Assignment Builder'!$B$8),OR('Assignment Builder'!$B$9="",$F3626='Assignment Builder'!$B$9),OR('Assignment Builder'!$B$10="",$O3626='Assignment Builder'!$B$10),OR('Assignment Builder'!$B$11="",$H3626&gt;='Assignment Builder'!$B$11),OR('Assignment Builder'!$B$12="",N($Q3626)&lt;='Assignment Builder'!$B$12)))</f>
        <v/>
      </c>
      <c r="T3626" s="23" t="n"/>
    </row>
    <row r="3627">
      <c r="A3627" s="23" t="n"/>
      <c r="B3627" s="23" t="n"/>
      <c r="C3627" s="24" t="n"/>
      <c r="D3627" s="15" t="n"/>
      <c r="E3627" s="23" t="n"/>
      <c r="F3627" s="15" t="n"/>
      <c r="G3627" s="23" t="n"/>
      <c r="H3627" s="25" t="n"/>
      <c r="I3627" s="15" t="n"/>
      <c r="J3627" s="26">
        <f>IF($A3627="","",LEN($C3627)-LEN(SUBSTITUTE($C3627,",",""))+1)</f>
        <v/>
      </c>
      <c r="K3627" s="26">
        <f>IF($A3627="","",SUMPRODUCT(--ISNUMBER(SEARCH('Category Dictionary'!$D$5:$D$135&amp;"",$C3627)),--('Category Dictionary'!$D$5:$D$135&lt;&gt;"")))</f>
        <v/>
      </c>
      <c r="L3627" s="27">
        <f>IF($A3627="","",TRIM(IF(ISERROR(FIND(",",$C3627)),$C3627,LEFT($C3627,FIND(",",$C3627)-1))))</f>
        <v/>
      </c>
      <c r="M3627" s="28">
        <f>IF($H3627="","",DATE(YEAR($H3627),MONTH($H3627),1))</f>
        <v/>
      </c>
      <c r="N3627" s="26">
        <f>IF($H3627="","",TODAY()-$H3627)</f>
        <v/>
      </c>
      <c r="O3627" s="15" t="n"/>
      <c r="P3627" s="15" t="n"/>
      <c r="Q3627" s="15" t="n"/>
      <c r="R3627" s="25" t="n"/>
      <c r="S3627" s="26">
        <f>IF($A3627="","",AND(OR('Assignment Builder'!$B$5="",$B3627='Assignment Builder'!$B$5),OR('Assignment Builder'!$B$6="",ISNUMBER(SEARCH('Assignment Builder'!$B$6,$C3627))),OR('Assignment Builder'!$B$7="",'Assignment Builder'!$B$7=IFERROR(INDEX('Category Dictionary'!$C$5:$C$135,MATCH($L3627,'Category Dictionary'!$D$5:$D$135,0)),"")),OR('Assignment Builder'!$B$8="",$D3627='Assignment Builder'!$B$8),OR('Assignment Builder'!$B$9="",$F3627='Assignment Builder'!$B$9),OR('Assignment Builder'!$B$10="",$O3627='Assignment Builder'!$B$10),OR('Assignment Builder'!$B$11="",$H3627&gt;='Assignment Builder'!$B$11),OR('Assignment Builder'!$B$12="",N($Q3627)&lt;='Assignment Builder'!$B$12)))</f>
        <v/>
      </c>
      <c r="T3627" s="23" t="n"/>
    </row>
    <row r="3628">
      <c r="A3628" s="23" t="n"/>
      <c r="B3628" s="23" t="n"/>
      <c r="C3628" s="24" t="n"/>
      <c r="D3628" s="15" t="n"/>
      <c r="E3628" s="23" t="n"/>
      <c r="F3628" s="15" t="n"/>
      <c r="G3628" s="23" t="n"/>
      <c r="H3628" s="25" t="n"/>
      <c r="I3628" s="15" t="n"/>
      <c r="J3628" s="26">
        <f>IF($A3628="","",LEN($C3628)-LEN(SUBSTITUTE($C3628,",",""))+1)</f>
        <v/>
      </c>
      <c r="K3628" s="26">
        <f>IF($A3628="","",SUMPRODUCT(--ISNUMBER(SEARCH('Category Dictionary'!$D$5:$D$135&amp;"",$C3628)),--('Category Dictionary'!$D$5:$D$135&lt;&gt;"")))</f>
        <v/>
      </c>
      <c r="L3628" s="27">
        <f>IF($A3628="","",TRIM(IF(ISERROR(FIND(",",$C3628)),$C3628,LEFT($C3628,FIND(",",$C3628)-1))))</f>
        <v/>
      </c>
      <c r="M3628" s="28">
        <f>IF($H3628="","",DATE(YEAR($H3628),MONTH($H3628),1))</f>
        <v/>
      </c>
      <c r="N3628" s="26">
        <f>IF($H3628="","",TODAY()-$H3628)</f>
        <v/>
      </c>
      <c r="O3628" s="15" t="n"/>
      <c r="P3628" s="15" t="n"/>
      <c r="Q3628" s="15" t="n"/>
      <c r="R3628" s="25" t="n"/>
      <c r="S3628" s="26">
        <f>IF($A3628="","",AND(OR('Assignment Builder'!$B$5="",$B3628='Assignment Builder'!$B$5),OR('Assignment Builder'!$B$6="",ISNUMBER(SEARCH('Assignment Builder'!$B$6,$C3628))),OR('Assignment Builder'!$B$7="",'Assignment Builder'!$B$7=IFERROR(INDEX('Category Dictionary'!$C$5:$C$135,MATCH($L3628,'Category Dictionary'!$D$5:$D$135,0)),"")),OR('Assignment Builder'!$B$8="",$D3628='Assignment Builder'!$B$8),OR('Assignment Builder'!$B$9="",$F3628='Assignment Builder'!$B$9),OR('Assignment Builder'!$B$10="",$O3628='Assignment Builder'!$B$10),OR('Assignment Builder'!$B$11="",$H3628&gt;='Assignment Builder'!$B$11),OR('Assignment Builder'!$B$12="",N($Q3628)&lt;='Assignment Builder'!$B$12)))</f>
        <v/>
      </c>
      <c r="T3628" s="23" t="n"/>
    </row>
    <row r="3629">
      <c r="A3629" s="23" t="n"/>
      <c r="B3629" s="23" t="n"/>
      <c r="C3629" s="24" t="n"/>
      <c r="D3629" s="15" t="n"/>
      <c r="E3629" s="23" t="n"/>
      <c r="F3629" s="15" t="n"/>
      <c r="G3629" s="23" t="n"/>
      <c r="H3629" s="25" t="n"/>
      <c r="I3629" s="15" t="n"/>
      <c r="J3629" s="26">
        <f>IF($A3629="","",LEN($C3629)-LEN(SUBSTITUTE($C3629,",",""))+1)</f>
        <v/>
      </c>
      <c r="K3629" s="26">
        <f>IF($A3629="","",SUMPRODUCT(--ISNUMBER(SEARCH('Category Dictionary'!$D$5:$D$135&amp;"",$C3629)),--('Category Dictionary'!$D$5:$D$135&lt;&gt;"")))</f>
        <v/>
      </c>
      <c r="L3629" s="27">
        <f>IF($A3629="","",TRIM(IF(ISERROR(FIND(",",$C3629)),$C3629,LEFT($C3629,FIND(",",$C3629)-1))))</f>
        <v/>
      </c>
      <c r="M3629" s="28">
        <f>IF($H3629="","",DATE(YEAR($H3629),MONTH($H3629),1))</f>
        <v/>
      </c>
      <c r="N3629" s="26">
        <f>IF($H3629="","",TODAY()-$H3629)</f>
        <v/>
      </c>
      <c r="O3629" s="15" t="n"/>
      <c r="P3629" s="15" t="n"/>
      <c r="Q3629" s="15" t="n"/>
      <c r="R3629" s="25" t="n"/>
      <c r="S3629" s="26">
        <f>IF($A3629="","",AND(OR('Assignment Builder'!$B$5="",$B3629='Assignment Builder'!$B$5),OR('Assignment Builder'!$B$6="",ISNUMBER(SEARCH('Assignment Builder'!$B$6,$C3629))),OR('Assignment Builder'!$B$7="",'Assignment Builder'!$B$7=IFERROR(INDEX('Category Dictionary'!$C$5:$C$135,MATCH($L3629,'Category Dictionary'!$D$5:$D$135,0)),"")),OR('Assignment Builder'!$B$8="",$D3629='Assignment Builder'!$B$8),OR('Assignment Builder'!$B$9="",$F3629='Assignment Builder'!$B$9),OR('Assignment Builder'!$B$10="",$O3629='Assignment Builder'!$B$10),OR('Assignment Builder'!$B$11="",$H3629&gt;='Assignment Builder'!$B$11),OR('Assignment Builder'!$B$12="",N($Q3629)&lt;='Assignment Builder'!$B$12)))</f>
        <v/>
      </c>
      <c r="T3629" s="23" t="n"/>
    </row>
    <row r="3630">
      <c r="A3630" s="23" t="n"/>
      <c r="B3630" s="23" t="n"/>
      <c r="C3630" s="24" t="n"/>
      <c r="D3630" s="15" t="n"/>
      <c r="E3630" s="23" t="n"/>
      <c r="F3630" s="15" t="n"/>
      <c r="G3630" s="23" t="n"/>
      <c r="H3630" s="25" t="n"/>
      <c r="I3630" s="15" t="n"/>
      <c r="J3630" s="26">
        <f>IF($A3630="","",LEN($C3630)-LEN(SUBSTITUTE($C3630,",",""))+1)</f>
        <v/>
      </c>
      <c r="K3630" s="26">
        <f>IF($A3630="","",SUMPRODUCT(--ISNUMBER(SEARCH('Category Dictionary'!$D$5:$D$135&amp;"",$C3630)),--('Category Dictionary'!$D$5:$D$135&lt;&gt;"")))</f>
        <v/>
      </c>
      <c r="L3630" s="27">
        <f>IF($A3630="","",TRIM(IF(ISERROR(FIND(",",$C3630)),$C3630,LEFT($C3630,FIND(",",$C3630)-1))))</f>
        <v/>
      </c>
      <c r="M3630" s="28">
        <f>IF($H3630="","",DATE(YEAR($H3630),MONTH($H3630),1))</f>
        <v/>
      </c>
      <c r="N3630" s="26">
        <f>IF($H3630="","",TODAY()-$H3630)</f>
        <v/>
      </c>
      <c r="O3630" s="15" t="n"/>
      <c r="P3630" s="15" t="n"/>
      <c r="Q3630" s="15" t="n"/>
      <c r="R3630" s="25" t="n"/>
      <c r="S3630" s="26">
        <f>IF($A3630="","",AND(OR('Assignment Builder'!$B$5="",$B3630='Assignment Builder'!$B$5),OR('Assignment Builder'!$B$6="",ISNUMBER(SEARCH('Assignment Builder'!$B$6,$C3630))),OR('Assignment Builder'!$B$7="",'Assignment Builder'!$B$7=IFERROR(INDEX('Category Dictionary'!$C$5:$C$135,MATCH($L3630,'Category Dictionary'!$D$5:$D$135,0)),"")),OR('Assignment Builder'!$B$8="",$D3630='Assignment Builder'!$B$8),OR('Assignment Builder'!$B$9="",$F3630='Assignment Builder'!$B$9),OR('Assignment Builder'!$B$10="",$O3630='Assignment Builder'!$B$10),OR('Assignment Builder'!$B$11="",$H3630&gt;='Assignment Builder'!$B$11),OR('Assignment Builder'!$B$12="",N($Q3630)&lt;='Assignment Builder'!$B$12)))</f>
        <v/>
      </c>
      <c r="T3630" s="23" t="n"/>
    </row>
    <row r="3631">
      <c r="A3631" s="23" t="n"/>
      <c r="B3631" s="23" t="n"/>
      <c r="C3631" s="24" t="n"/>
      <c r="D3631" s="15" t="n"/>
      <c r="E3631" s="23" t="n"/>
      <c r="F3631" s="15" t="n"/>
      <c r="G3631" s="23" t="n"/>
      <c r="H3631" s="25" t="n"/>
      <c r="I3631" s="15" t="n"/>
      <c r="J3631" s="26">
        <f>IF($A3631="","",LEN($C3631)-LEN(SUBSTITUTE($C3631,",",""))+1)</f>
        <v/>
      </c>
      <c r="K3631" s="26">
        <f>IF($A3631="","",SUMPRODUCT(--ISNUMBER(SEARCH('Category Dictionary'!$D$5:$D$135&amp;"",$C3631)),--('Category Dictionary'!$D$5:$D$135&lt;&gt;"")))</f>
        <v/>
      </c>
      <c r="L3631" s="27">
        <f>IF($A3631="","",TRIM(IF(ISERROR(FIND(",",$C3631)),$C3631,LEFT($C3631,FIND(",",$C3631)-1))))</f>
        <v/>
      </c>
      <c r="M3631" s="28">
        <f>IF($H3631="","",DATE(YEAR($H3631),MONTH($H3631),1))</f>
        <v/>
      </c>
      <c r="N3631" s="26">
        <f>IF($H3631="","",TODAY()-$H3631)</f>
        <v/>
      </c>
      <c r="O3631" s="15" t="n"/>
      <c r="P3631" s="15" t="n"/>
      <c r="Q3631" s="15" t="n"/>
      <c r="R3631" s="25" t="n"/>
      <c r="S3631" s="26">
        <f>IF($A3631="","",AND(OR('Assignment Builder'!$B$5="",$B3631='Assignment Builder'!$B$5),OR('Assignment Builder'!$B$6="",ISNUMBER(SEARCH('Assignment Builder'!$B$6,$C3631))),OR('Assignment Builder'!$B$7="",'Assignment Builder'!$B$7=IFERROR(INDEX('Category Dictionary'!$C$5:$C$135,MATCH($L3631,'Category Dictionary'!$D$5:$D$135,0)),"")),OR('Assignment Builder'!$B$8="",$D3631='Assignment Builder'!$B$8),OR('Assignment Builder'!$B$9="",$F3631='Assignment Builder'!$B$9),OR('Assignment Builder'!$B$10="",$O3631='Assignment Builder'!$B$10),OR('Assignment Builder'!$B$11="",$H3631&gt;='Assignment Builder'!$B$11),OR('Assignment Builder'!$B$12="",N($Q3631)&lt;='Assignment Builder'!$B$12)))</f>
        <v/>
      </c>
      <c r="T3631" s="23" t="n"/>
    </row>
    <row r="3632">
      <c r="A3632" s="23" t="n"/>
      <c r="B3632" s="23" t="n"/>
      <c r="C3632" s="24" t="n"/>
      <c r="D3632" s="15" t="n"/>
      <c r="E3632" s="23" t="n"/>
      <c r="F3632" s="15" t="n"/>
      <c r="G3632" s="23" t="n"/>
      <c r="H3632" s="25" t="n"/>
      <c r="I3632" s="15" t="n"/>
      <c r="J3632" s="26">
        <f>IF($A3632="","",LEN($C3632)-LEN(SUBSTITUTE($C3632,",",""))+1)</f>
        <v/>
      </c>
      <c r="K3632" s="26">
        <f>IF($A3632="","",SUMPRODUCT(--ISNUMBER(SEARCH('Category Dictionary'!$D$5:$D$135&amp;"",$C3632)),--('Category Dictionary'!$D$5:$D$135&lt;&gt;"")))</f>
        <v/>
      </c>
      <c r="L3632" s="27">
        <f>IF($A3632="","",TRIM(IF(ISERROR(FIND(",",$C3632)),$C3632,LEFT($C3632,FIND(",",$C3632)-1))))</f>
        <v/>
      </c>
      <c r="M3632" s="28">
        <f>IF($H3632="","",DATE(YEAR($H3632),MONTH($H3632),1))</f>
        <v/>
      </c>
      <c r="N3632" s="26">
        <f>IF($H3632="","",TODAY()-$H3632)</f>
        <v/>
      </c>
      <c r="O3632" s="15" t="n"/>
      <c r="P3632" s="15" t="n"/>
      <c r="Q3632" s="15" t="n"/>
      <c r="R3632" s="25" t="n"/>
      <c r="S3632" s="26">
        <f>IF($A3632="","",AND(OR('Assignment Builder'!$B$5="",$B3632='Assignment Builder'!$B$5),OR('Assignment Builder'!$B$6="",ISNUMBER(SEARCH('Assignment Builder'!$B$6,$C3632))),OR('Assignment Builder'!$B$7="",'Assignment Builder'!$B$7=IFERROR(INDEX('Category Dictionary'!$C$5:$C$135,MATCH($L3632,'Category Dictionary'!$D$5:$D$135,0)),"")),OR('Assignment Builder'!$B$8="",$D3632='Assignment Builder'!$B$8),OR('Assignment Builder'!$B$9="",$F3632='Assignment Builder'!$B$9),OR('Assignment Builder'!$B$10="",$O3632='Assignment Builder'!$B$10),OR('Assignment Builder'!$B$11="",$H3632&gt;='Assignment Builder'!$B$11),OR('Assignment Builder'!$B$12="",N($Q3632)&lt;='Assignment Builder'!$B$12)))</f>
        <v/>
      </c>
      <c r="T3632" s="23" t="n"/>
    </row>
    <row r="3633">
      <c r="A3633" s="23" t="n"/>
      <c r="B3633" s="23" t="n"/>
      <c r="C3633" s="24" t="n"/>
      <c r="D3633" s="15" t="n"/>
      <c r="E3633" s="23" t="n"/>
      <c r="F3633" s="15" t="n"/>
      <c r="G3633" s="23" t="n"/>
      <c r="H3633" s="25" t="n"/>
      <c r="I3633" s="15" t="n"/>
      <c r="J3633" s="26">
        <f>IF($A3633="","",LEN($C3633)-LEN(SUBSTITUTE($C3633,",",""))+1)</f>
        <v/>
      </c>
      <c r="K3633" s="26">
        <f>IF($A3633="","",SUMPRODUCT(--ISNUMBER(SEARCH('Category Dictionary'!$D$5:$D$135&amp;"",$C3633)),--('Category Dictionary'!$D$5:$D$135&lt;&gt;"")))</f>
        <v/>
      </c>
      <c r="L3633" s="27">
        <f>IF($A3633="","",TRIM(IF(ISERROR(FIND(",",$C3633)),$C3633,LEFT($C3633,FIND(",",$C3633)-1))))</f>
        <v/>
      </c>
      <c r="M3633" s="28">
        <f>IF($H3633="","",DATE(YEAR($H3633),MONTH($H3633),1))</f>
        <v/>
      </c>
      <c r="N3633" s="26">
        <f>IF($H3633="","",TODAY()-$H3633)</f>
        <v/>
      </c>
      <c r="O3633" s="15" t="n"/>
      <c r="P3633" s="15" t="n"/>
      <c r="Q3633" s="15" t="n"/>
      <c r="R3633" s="25" t="n"/>
      <c r="S3633" s="26">
        <f>IF($A3633="","",AND(OR('Assignment Builder'!$B$5="",$B3633='Assignment Builder'!$B$5),OR('Assignment Builder'!$B$6="",ISNUMBER(SEARCH('Assignment Builder'!$B$6,$C3633))),OR('Assignment Builder'!$B$7="",'Assignment Builder'!$B$7=IFERROR(INDEX('Category Dictionary'!$C$5:$C$135,MATCH($L3633,'Category Dictionary'!$D$5:$D$135,0)),"")),OR('Assignment Builder'!$B$8="",$D3633='Assignment Builder'!$B$8),OR('Assignment Builder'!$B$9="",$F3633='Assignment Builder'!$B$9),OR('Assignment Builder'!$B$10="",$O3633='Assignment Builder'!$B$10),OR('Assignment Builder'!$B$11="",$H3633&gt;='Assignment Builder'!$B$11),OR('Assignment Builder'!$B$12="",N($Q3633)&lt;='Assignment Builder'!$B$12)))</f>
        <v/>
      </c>
      <c r="T3633" s="23" t="n"/>
    </row>
    <row r="3634">
      <c r="A3634" s="23" t="n"/>
      <c r="B3634" s="23" t="n"/>
      <c r="C3634" s="24" t="n"/>
      <c r="D3634" s="15" t="n"/>
      <c r="E3634" s="23" t="n"/>
      <c r="F3634" s="15" t="n"/>
      <c r="G3634" s="23" t="n"/>
      <c r="H3634" s="25" t="n"/>
      <c r="I3634" s="15" t="n"/>
      <c r="J3634" s="26">
        <f>IF($A3634="","",LEN($C3634)-LEN(SUBSTITUTE($C3634,",",""))+1)</f>
        <v/>
      </c>
      <c r="K3634" s="26">
        <f>IF($A3634="","",SUMPRODUCT(--ISNUMBER(SEARCH('Category Dictionary'!$D$5:$D$135&amp;"",$C3634)),--('Category Dictionary'!$D$5:$D$135&lt;&gt;"")))</f>
        <v/>
      </c>
      <c r="L3634" s="27">
        <f>IF($A3634="","",TRIM(IF(ISERROR(FIND(",",$C3634)),$C3634,LEFT($C3634,FIND(",",$C3634)-1))))</f>
        <v/>
      </c>
      <c r="M3634" s="28">
        <f>IF($H3634="","",DATE(YEAR($H3634),MONTH($H3634),1))</f>
        <v/>
      </c>
      <c r="N3634" s="26">
        <f>IF($H3634="","",TODAY()-$H3634)</f>
        <v/>
      </c>
      <c r="O3634" s="15" t="n"/>
      <c r="P3634" s="15" t="n"/>
      <c r="Q3634" s="15" t="n"/>
      <c r="R3634" s="25" t="n"/>
      <c r="S3634" s="26">
        <f>IF($A3634="","",AND(OR('Assignment Builder'!$B$5="",$B3634='Assignment Builder'!$B$5),OR('Assignment Builder'!$B$6="",ISNUMBER(SEARCH('Assignment Builder'!$B$6,$C3634))),OR('Assignment Builder'!$B$7="",'Assignment Builder'!$B$7=IFERROR(INDEX('Category Dictionary'!$C$5:$C$135,MATCH($L3634,'Category Dictionary'!$D$5:$D$135,0)),"")),OR('Assignment Builder'!$B$8="",$D3634='Assignment Builder'!$B$8),OR('Assignment Builder'!$B$9="",$F3634='Assignment Builder'!$B$9),OR('Assignment Builder'!$B$10="",$O3634='Assignment Builder'!$B$10),OR('Assignment Builder'!$B$11="",$H3634&gt;='Assignment Builder'!$B$11),OR('Assignment Builder'!$B$12="",N($Q3634)&lt;='Assignment Builder'!$B$12)))</f>
        <v/>
      </c>
      <c r="T3634" s="23" t="n"/>
    </row>
    <row r="3635">
      <c r="A3635" s="23" t="n"/>
      <c r="B3635" s="23" t="n"/>
      <c r="C3635" s="24" t="n"/>
      <c r="D3635" s="15" t="n"/>
      <c r="E3635" s="23" t="n"/>
      <c r="F3635" s="15" t="n"/>
      <c r="G3635" s="23" t="n"/>
      <c r="H3635" s="25" t="n"/>
      <c r="I3635" s="15" t="n"/>
      <c r="J3635" s="26">
        <f>IF($A3635="","",LEN($C3635)-LEN(SUBSTITUTE($C3635,",",""))+1)</f>
        <v/>
      </c>
      <c r="K3635" s="26">
        <f>IF($A3635="","",SUMPRODUCT(--ISNUMBER(SEARCH('Category Dictionary'!$D$5:$D$135&amp;"",$C3635)),--('Category Dictionary'!$D$5:$D$135&lt;&gt;"")))</f>
        <v/>
      </c>
      <c r="L3635" s="27">
        <f>IF($A3635="","",TRIM(IF(ISERROR(FIND(",",$C3635)),$C3635,LEFT($C3635,FIND(",",$C3635)-1))))</f>
        <v/>
      </c>
      <c r="M3635" s="28">
        <f>IF($H3635="","",DATE(YEAR($H3635),MONTH($H3635),1))</f>
        <v/>
      </c>
      <c r="N3635" s="26">
        <f>IF($H3635="","",TODAY()-$H3635)</f>
        <v/>
      </c>
      <c r="O3635" s="15" t="n"/>
      <c r="P3635" s="15" t="n"/>
      <c r="Q3635" s="15" t="n"/>
      <c r="R3635" s="25" t="n"/>
      <c r="S3635" s="26">
        <f>IF($A3635="","",AND(OR('Assignment Builder'!$B$5="",$B3635='Assignment Builder'!$B$5),OR('Assignment Builder'!$B$6="",ISNUMBER(SEARCH('Assignment Builder'!$B$6,$C3635))),OR('Assignment Builder'!$B$7="",'Assignment Builder'!$B$7=IFERROR(INDEX('Category Dictionary'!$C$5:$C$135,MATCH($L3635,'Category Dictionary'!$D$5:$D$135,0)),"")),OR('Assignment Builder'!$B$8="",$D3635='Assignment Builder'!$B$8),OR('Assignment Builder'!$B$9="",$F3635='Assignment Builder'!$B$9),OR('Assignment Builder'!$B$10="",$O3635='Assignment Builder'!$B$10),OR('Assignment Builder'!$B$11="",$H3635&gt;='Assignment Builder'!$B$11),OR('Assignment Builder'!$B$12="",N($Q3635)&lt;='Assignment Builder'!$B$12)))</f>
        <v/>
      </c>
      <c r="T3635" s="23" t="n"/>
    </row>
    <row r="3636">
      <c r="A3636" s="23" t="n"/>
      <c r="B3636" s="23" t="n"/>
      <c r="C3636" s="24" t="n"/>
      <c r="D3636" s="15" t="n"/>
      <c r="E3636" s="23" t="n"/>
      <c r="F3636" s="15" t="n"/>
      <c r="G3636" s="23" t="n"/>
      <c r="H3636" s="25" t="n"/>
      <c r="I3636" s="15" t="n"/>
      <c r="J3636" s="26">
        <f>IF($A3636="","",LEN($C3636)-LEN(SUBSTITUTE($C3636,",",""))+1)</f>
        <v/>
      </c>
      <c r="K3636" s="26">
        <f>IF($A3636="","",SUMPRODUCT(--ISNUMBER(SEARCH('Category Dictionary'!$D$5:$D$135&amp;"",$C3636)),--('Category Dictionary'!$D$5:$D$135&lt;&gt;"")))</f>
        <v/>
      </c>
      <c r="L3636" s="27">
        <f>IF($A3636="","",TRIM(IF(ISERROR(FIND(",",$C3636)),$C3636,LEFT($C3636,FIND(",",$C3636)-1))))</f>
        <v/>
      </c>
      <c r="M3636" s="28">
        <f>IF($H3636="","",DATE(YEAR($H3636),MONTH($H3636),1))</f>
        <v/>
      </c>
      <c r="N3636" s="26">
        <f>IF($H3636="","",TODAY()-$H3636)</f>
        <v/>
      </c>
      <c r="O3636" s="15" t="n"/>
      <c r="P3636" s="15" t="n"/>
      <c r="Q3636" s="15" t="n"/>
      <c r="R3636" s="25" t="n"/>
      <c r="S3636" s="26">
        <f>IF($A3636="","",AND(OR('Assignment Builder'!$B$5="",$B3636='Assignment Builder'!$B$5),OR('Assignment Builder'!$B$6="",ISNUMBER(SEARCH('Assignment Builder'!$B$6,$C3636))),OR('Assignment Builder'!$B$7="",'Assignment Builder'!$B$7=IFERROR(INDEX('Category Dictionary'!$C$5:$C$135,MATCH($L3636,'Category Dictionary'!$D$5:$D$135,0)),"")),OR('Assignment Builder'!$B$8="",$D3636='Assignment Builder'!$B$8),OR('Assignment Builder'!$B$9="",$F3636='Assignment Builder'!$B$9),OR('Assignment Builder'!$B$10="",$O3636='Assignment Builder'!$B$10),OR('Assignment Builder'!$B$11="",$H3636&gt;='Assignment Builder'!$B$11),OR('Assignment Builder'!$B$12="",N($Q3636)&lt;='Assignment Builder'!$B$12)))</f>
        <v/>
      </c>
      <c r="T3636" s="23" t="n"/>
    </row>
    <row r="3637">
      <c r="A3637" s="23" t="n"/>
      <c r="B3637" s="23" t="n"/>
      <c r="C3637" s="24" t="n"/>
      <c r="D3637" s="15" t="n"/>
      <c r="E3637" s="23" t="n"/>
      <c r="F3637" s="15" t="n"/>
      <c r="G3637" s="23" t="n"/>
      <c r="H3637" s="25" t="n"/>
      <c r="I3637" s="15" t="n"/>
      <c r="J3637" s="26">
        <f>IF($A3637="","",LEN($C3637)-LEN(SUBSTITUTE($C3637,",",""))+1)</f>
        <v/>
      </c>
      <c r="K3637" s="26">
        <f>IF($A3637="","",SUMPRODUCT(--ISNUMBER(SEARCH('Category Dictionary'!$D$5:$D$135&amp;"",$C3637)),--('Category Dictionary'!$D$5:$D$135&lt;&gt;"")))</f>
        <v/>
      </c>
      <c r="L3637" s="27">
        <f>IF($A3637="","",TRIM(IF(ISERROR(FIND(",",$C3637)),$C3637,LEFT($C3637,FIND(",",$C3637)-1))))</f>
        <v/>
      </c>
      <c r="M3637" s="28">
        <f>IF($H3637="","",DATE(YEAR($H3637),MONTH($H3637),1))</f>
        <v/>
      </c>
      <c r="N3637" s="26">
        <f>IF($H3637="","",TODAY()-$H3637)</f>
        <v/>
      </c>
      <c r="O3637" s="15" t="n"/>
      <c r="P3637" s="15" t="n"/>
      <c r="Q3637" s="15" t="n"/>
      <c r="R3637" s="25" t="n"/>
      <c r="S3637" s="26">
        <f>IF($A3637="","",AND(OR('Assignment Builder'!$B$5="",$B3637='Assignment Builder'!$B$5),OR('Assignment Builder'!$B$6="",ISNUMBER(SEARCH('Assignment Builder'!$B$6,$C3637))),OR('Assignment Builder'!$B$7="",'Assignment Builder'!$B$7=IFERROR(INDEX('Category Dictionary'!$C$5:$C$135,MATCH($L3637,'Category Dictionary'!$D$5:$D$135,0)),"")),OR('Assignment Builder'!$B$8="",$D3637='Assignment Builder'!$B$8),OR('Assignment Builder'!$B$9="",$F3637='Assignment Builder'!$B$9),OR('Assignment Builder'!$B$10="",$O3637='Assignment Builder'!$B$10),OR('Assignment Builder'!$B$11="",$H3637&gt;='Assignment Builder'!$B$11),OR('Assignment Builder'!$B$12="",N($Q3637)&lt;='Assignment Builder'!$B$12)))</f>
        <v/>
      </c>
      <c r="T3637" s="23" t="n"/>
    </row>
    <row r="3638">
      <c r="A3638" s="23" t="n"/>
      <c r="B3638" s="23" t="n"/>
      <c r="C3638" s="24" t="n"/>
      <c r="D3638" s="15" t="n"/>
      <c r="E3638" s="23" t="n"/>
      <c r="F3638" s="15" t="n"/>
      <c r="G3638" s="23" t="n"/>
      <c r="H3638" s="25" t="n"/>
      <c r="I3638" s="15" t="n"/>
      <c r="J3638" s="26">
        <f>IF($A3638="","",LEN($C3638)-LEN(SUBSTITUTE($C3638,",",""))+1)</f>
        <v/>
      </c>
      <c r="K3638" s="26">
        <f>IF($A3638="","",SUMPRODUCT(--ISNUMBER(SEARCH('Category Dictionary'!$D$5:$D$135&amp;"",$C3638)),--('Category Dictionary'!$D$5:$D$135&lt;&gt;"")))</f>
        <v/>
      </c>
      <c r="L3638" s="27">
        <f>IF($A3638="","",TRIM(IF(ISERROR(FIND(",",$C3638)),$C3638,LEFT($C3638,FIND(",",$C3638)-1))))</f>
        <v/>
      </c>
      <c r="M3638" s="28">
        <f>IF($H3638="","",DATE(YEAR($H3638),MONTH($H3638),1))</f>
        <v/>
      </c>
      <c r="N3638" s="26">
        <f>IF($H3638="","",TODAY()-$H3638)</f>
        <v/>
      </c>
      <c r="O3638" s="15" t="n"/>
      <c r="P3638" s="15" t="n"/>
      <c r="Q3638" s="15" t="n"/>
      <c r="R3638" s="25" t="n"/>
      <c r="S3638" s="26">
        <f>IF($A3638="","",AND(OR('Assignment Builder'!$B$5="",$B3638='Assignment Builder'!$B$5),OR('Assignment Builder'!$B$6="",ISNUMBER(SEARCH('Assignment Builder'!$B$6,$C3638))),OR('Assignment Builder'!$B$7="",'Assignment Builder'!$B$7=IFERROR(INDEX('Category Dictionary'!$C$5:$C$135,MATCH($L3638,'Category Dictionary'!$D$5:$D$135,0)),"")),OR('Assignment Builder'!$B$8="",$D3638='Assignment Builder'!$B$8),OR('Assignment Builder'!$B$9="",$F3638='Assignment Builder'!$B$9),OR('Assignment Builder'!$B$10="",$O3638='Assignment Builder'!$B$10),OR('Assignment Builder'!$B$11="",$H3638&gt;='Assignment Builder'!$B$11),OR('Assignment Builder'!$B$12="",N($Q3638)&lt;='Assignment Builder'!$B$12)))</f>
        <v/>
      </c>
      <c r="T3638" s="23" t="n"/>
    </row>
    <row r="3639">
      <c r="A3639" s="23" t="n"/>
      <c r="B3639" s="23" t="n"/>
      <c r="C3639" s="24" t="n"/>
      <c r="D3639" s="15" t="n"/>
      <c r="E3639" s="23" t="n"/>
      <c r="F3639" s="15" t="n"/>
      <c r="G3639" s="23" t="n"/>
      <c r="H3639" s="25" t="n"/>
      <c r="I3639" s="15" t="n"/>
      <c r="J3639" s="26">
        <f>IF($A3639="","",LEN($C3639)-LEN(SUBSTITUTE($C3639,",",""))+1)</f>
        <v/>
      </c>
      <c r="K3639" s="26">
        <f>IF($A3639="","",SUMPRODUCT(--ISNUMBER(SEARCH('Category Dictionary'!$D$5:$D$135&amp;"",$C3639)),--('Category Dictionary'!$D$5:$D$135&lt;&gt;"")))</f>
        <v/>
      </c>
      <c r="L3639" s="27">
        <f>IF($A3639="","",TRIM(IF(ISERROR(FIND(",",$C3639)),$C3639,LEFT($C3639,FIND(",",$C3639)-1))))</f>
        <v/>
      </c>
      <c r="M3639" s="28">
        <f>IF($H3639="","",DATE(YEAR($H3639),MONTH($H3639),1))</f>
        <v/>
      </c>
      <c r="N3639" s="26">
        <f>IF($H3639="","",TODAY()-$H3639)</f>
        <v/>
      </c>
      <c r="O3639" s="15" t="n"/>
      <c r="P3639" s="15" t="n"/>
      <c r="Q3639" s="15" t="n"/>
      <c r="R3639" s="25" t="n"/>
      <c r="S3639" s="26">
        <f>IF($A3639="","",AND(OR('Assignment Builder'!$B$5="",$B3639='Assignment Builder'!$B$5),OR('Assignment Builder'!$B$6="",ISNUMBER(SEARCH('Assignment Builder'!$B$6,$C3639))),OR('Assignment Builder'!$B$7="",'Assignment Builder'!$B$7=IFERROR(INDEX('Category Dictionary'!$C$5:$C$135,MATCH($L3639,'Category Dictionary'!$D$5:$D$135,0)),"")),OR('Assignment Builder'!$B$8="",$D3639='Assignment Builder'!$B$8),OR('Assignment Builder'!$B$9="",$F3639='Assignment Builder'!$B$9),OR('Assignment Builder'!$B$10="",$O3639='Assignment Builder'!$B$10),OR('Assignment Builder'!$B$11="",$H3639&gt;='Assignment Builder'!$B$11),OR('Assignment Builder'!$B$12="",N($Q3639)&lt;='Assignment Builder'!$B$12)))</f>
        <v/>
      </c>
      <c r="T3639" s="23" t="n"/>
    </row>
    <row r="3640">
      <c r="A3640" s="23" t="n"/>
      <c r="B3640" s="23" t="n"/>
      <c r="C3640" s="24" t="n"/>
      <c r="D3640" s="15" t="n"/>
      <c r="E3640" s="23" t="n"/>
      <c r="F3640" s="15" t="n"/>
      <c r="G3640" s="23" t="n"/>
      <c r="H3640" s="25" t="n"/>
      <c r="I3640" s="15" t="n"/>
      <c r="J3640" s="26">
        <f>IF($A3640="","",LEN($C3640)-LEN(SUBSTITUTE($C3640,",",""))+1)</f>
        <v/>
      </c>
      <c r="K3640" s="26">
        <f>IF($A3640="","",SUMPRODUCT(--ISNUMBER(SEARCH('Category Dictionary'!$D$5:$D$135&amp;"",$C3640)),--('Category Dictionary'!$D$5:$D$135&lt;&gt;"")))</f>
        <v/>
      </c>
      <c r="L3640" s="27">
        <f>IF($A3640="","",TRIM(IF(ISERROR(FIND(",",$C3640)),$C3640,LEFT($C3640,FIND(",",$C3640)-1))))</f>
        <v/>
      </c>
      <c r="M3640" s="28">
        <f>IF($H3640="","",DATE(YEAR($H3640),MONTH($H3640),1))</f>
        <v/>
      </c>
      <c r="N3640" s="26">
        <f>IF($H3640="","",TODAY()-$H3640)</f>
        <v/>
      </c>
      <c r="O3640" s="15" t="n"/>
      <c r="P3640" s="15" t="n"/>
      <c r="Q3640" s="15" t="n"/>
      <c r="R3640" s="25" t="n"/>
      <c r="S3640" s="26">
        <f>IF($A3640="","",AND(OR('Assignment Builder'!$B$5="",$B3640='Assignment Builder'!$B$5),OR('Assignment Builder'!$B$6="",ISNUMBER(SEARCH('Assignment Builder'!$B$6,$C3640))),OR('Assignment Builder'!$B$7="",'Assignment Builder'!$B$7=IFERROR(INDEX('Category Dictionary'!$C$5:$C$135,MATCH($L3640,'Category Dictionary'!$D$5:$D$135,0)),"")),OR('Assignment Builder'!$B$8="",$D3640='Assignment Builder'!$B$8),OR('Assignment Builder'!$B$9="",$F3640='Assignment Builder'!$B$9),OR('Assignment Builder'!$B$10="",$O3640='Assignment Builder'!$B$10),OR('Assignment Builder'!$B$11="",$H3640&gt;='Assignment Builder'!$B$11),OR('Assignment Builder'!$B$12="",N($Q3640)&lt;='Assignment Builder'!$B$12)))</f>
        <v/>
      </c>
      <c r="T3640" s="23" t="n"/>
    </row>
    <row r="3641">
      <c r="A3641" s="23" t="n"/>
      <c r="B3641" s="23" t="n"/>
      <c r="C3641" s="24" t="n"/>
      <c r="D3641" s="15" t="n"/>
      <c r="E3641" s="23" t="n"/>
      <c r="F3641" s="15" t="n"/>
      <c r="G3641" s="23" t="n"/>
      <c r="H3641" s="25" t="n"/>
      <c r="I3641" s="15" t="n"/>
      <c r="J3641" s="26">
        <f>IF($A3641="","",LEN($C3641)-LEN(SUBSTITUTE($C3641,",",""))+1)</f>
        <v/>
      </c>
      <c r="K3641" s="26">
        <f>IF($A3641="","",SUMPRODUCT(--ISNUMBER(SEARCH('Category Dictionary'!$D$5:$D$135&amp;"",$C3641)),--('Category Dictionary'!$D$5:$D$135&lt;&gt;"")))</f>
        <v/>
      </c>
      <c r="L3641" s="27">
        <f>IF($A3641="","",TRIM(IF(ISERROR(FIND(",",$C3641)),$C3641,LEFT($C3641,FIND(",",$C3641)-1))))</f>
        <v/>
      </c>
      <c r="M3641" s="28">
        <f>IF($H3641="","",DATE(YEAR($H3641),MONTH($H3641),1))</f>
        <v/>
      </c>
      <c r="N3641" s="26">
        <f>IF($H3641="","",TODAY()-$H3641)</f>
        <v/>
      </c>
      <c r="O3641" s="15" t="n"/>
      <c r="P3641" s="15" t="n"/>
      <c r="Q3641" s="15" t="n"/>
      <c r="R3641" s="25" t="n"/>
      <c r="S3641" s="26">
        <f>IF($A3641="","",AND(OR('Assignment Builder'!$B$5="",$B3641='Assignment Builder'!$B$5),OR('Assignment Builder'!$B$6="",ISNUMBER(SEARCH('Assignment Builder'!$B$6,$C3641))),OR('Assignment Builder'!$B$7="",'Assignment Builder'!$B$7=IFERROR(INDEX('Category Dictionary'!$C$5:$C$135,MATCH($L3641,'Category Dictionary'!$D$5:$D$135,0)),"")),OR('Assignment Builder'!$B$8="",$D3641='Assignment Builder'!$B$8),OR('Assignment Builder'!$B$9="",$F3641='Assignment Builder'!$B$9),OR('Assignment Builder'!$B$10="",$O3641='Assignment Builder'!$B$10),OR('Assignment Builder'!$B$11="",$H3641&gt;='Assignment Builder'!$B$11),OR('Assignment Builder'!$B$12="",N($Q3641)&lt;='Assignment Builder'!$B$12)))</f>
        <v/>
      </c>
      <c r="T3641" s="23" t="n"/>
    </row>
    <row r="3642">
      <c r="A3642" s="23" t="n"/>
      <c r="B3642" s="23" t="n"/>
      <c r="C3642" s="24" t="n"/>
      <c r="D3642" s="15" t="n"/>
      <c r="E3642" s="23" t="n"/>
      <c r="F3642" s="15" t="n"/>
      <c r="G3642" s="23" t="n"/>
      <c r="H3642" s="25" t="n"/>
      <c r="I3642" s="15" t="n"/>
      <c r="J3642" s="26">
        <f>IF($A3642="","",LEN($C3642)-LEN(SUBSTITUTE($C3642,",",""))+1)</f>
        <v/>
      </c>
      <c r="K3642" s="26">
        <f>IF($A3642="","",SUMPRODUCT(--ISNUMBER(SEARCH('Category Dictionary'!$D$5:$D$135&amp;"",$C3642)),--('Category Dictionary'!$D$5:$D$135&lt;&gt;"")))</f>
        <v/>
      </c>
      <c r="L3642" s="27">
        <f>IF($A3642="","",TRIM(IF(ISERROR(FIND(",",$C3642)),$C3642,LEFT($C3642,FIND(",",$C3642)-1))))</f>
        <v/>
      </c>
      <c r="M3642" s="28">
        <f>IF($H3642="","",DATE(YEAR($H3642),MONTH($H3642),1))</f>
        <v/>
      </c>
      <c r="N3642" s="26">
        <f>IF($H3642="","",TODAY()-$H3642)</f>
        <v/>
      </c>
      <c r="O3642" s="15" t="n"/>
      <c r="P3642" s="15" t="n"/>
      <c r="Q3642" s="15" t="n"/>
      <c r="R3642" s="25" t="n"/>
      <c r="S3642" s="26">
        <f>IF($A3642="","",AND(OR('Assignment Builder'!$B$5="",$B3642='Assignment Builder'!$B$5),OR('Assignment Builder'!$B$6="",ISNUMBER(SEARCH('Assignment Builder'!$B$6,$C3642))),OR('Assignment Builder'!$B$7="",'Assignment Builder'!$B$7=IFERROR(INDEX('Category Dictionary'!$C$5:$C$135,MATCH($L3642,'Category Dictionary'!$D$5:$D$135,0)),"")),OR('Assignment Builder'!$B$8="",$D3642='Assignment Builder'!$B$8),OR('Assignment Builder'!$B$9="",$F3642='Assignment Builder'!$B$9),OR('Assignment Builder'!$B$10="",$O3642='Assignment Builder'!$B$10),OR('Assignment Builder'!$B$11="",$H3642&gt;='Assignment Builder'!$B$11),OR('Assignment Builder'!$B$12="",N($Q3642)&lt;='Assignment Builder'!$B$12)))</f>
        <v/>
      </c>
      <c r="T3642" s="23" t="n"/>
    </row>
    <row r="3643">
      <c r="A3643" s="23" t="n"/>
      <c r="B3643" s="23" t="n"/>
      <c r="C3643" s="24" t="n"/>
      <c r="D3643" s="15" t="n"/>
      <c r="E3643" s="23" t="n"/>
      <c r="F3643" s="15" t="n"/>
      <c r="G3643" s="23" t="n"/>
      <c r="H3643" s="25" t="n"/>
      <c r="I3643" s="15" t="n"/>
      <c r="J3643" s="26">
        <f>IF($A3643="","",LEN($C3643)-LEN(SUBSTITUTE($C3643,",",""))+1)</f>
        <v/>
      </c>
      <c r="K3643" s="26">
        <f>IF($A3643="","",SUMPRODUCT(--ISNUMBER(SEARCH('Category Dictionary'!$D$5:$D$135&amp;"",$C3643)),--('Category Dictionary'!$D$5:$D$135&lt;&gt;"")))</f>
        <v/>
      </c>
      <c r="L3643" s="27">
        <f>IF($A3643="","",TRIM(IF(ISERROR(FIND(",",$C3643)),$C3643,LEFT($C3643,FIND(",",$C3643)-1))))</f>
        <v/>
      </c>
      <c r="M3643" s="28">
        <f>IF($H3643="","",DATE(YEAR($H3643),MONTH($H3643),1))</f>
        <v/>
      </c>
      <c r="N3643" s="26">
        <f>IF($H3643="","",TODAY()-$H3643)</f>
        <v/>
      </c>
      <c r="O3643" s="15" t="n"/>
      <c r="P3643" s="15" t="n"/>
      <c r="Q3643" s="15" t="n"/>
      <c r="R3643" s="25" t="n"/>
      <c r="S3643" s="26">
        <f>IF($A3643="","",AND(OR('Assignment Builder'!$B$5="",$B3643='Assignment Builder'!$B$5),OR('Assignment Builder'!$B$6="",ISNUMBER(SEARCH('Assignment Builder'!$B$6,$C3643))),OR('Assignment Builder'!$B$7="",'Assignment Builder'!$B$7=IFERROR(INDEX('Category Dictionary'!$C$5:$C$135,MATCH($L3643,'Category Dictionary'!$D$5:$D$135,0)),"")),OR('Assignment Builder'!$B$8="",$D3643='Assignment Builder'!$B$8),OR('Assignment Builder'!$B$9="",$F3643='Assignment Builder'!$B$9),OR('Assignment Builder'!$B$10="",$O3643='Assignment Builder'!$B$10),OR('Assignment Builder'!$B$11="",$H3643&gt;='Assignment Builder'!$B$11),OR('Assignment Builder'!$B$12="",N($Q3643)&lt;='Assignment Builder'!$B$12)))</f>
        <v/>
      </c>
      <c r="T3643" s="23" t="n"/>
    </row>
    <row r="3644">
      <c r="A3644" s="23" t="n"/>
      <c r="B3644" s="23" t="n"/>
      <c r="C3644" s="24" t="n"/>
      <c r="D3644" s="15" t="n"/>
      <c r="E3644" s="23" t="n"/>
      <c r="F3644" s="15" t="n"/>
      <c r="G3644" s="23" t="n"/>
      <c r="H3644" s="25" t="n"/>
      <c r="I3644" s="15" t="n"/>
      <c r="J3644" s="26">
        <f>IF($A3644="","",LEN($C3644)-LEN(SUBSTITUTE($C3644,",",""))+1)</f>
        <v/>
      </c>
      <c r="K3644" s="26">
        <f>IF($A3644="","",SUMPRODUCT(--ISNUMBER(SEARCH('Category Dictionary'!$D$5:$D$135&amp;"",$C3644)),--('Category Dictionary'!$D$5:$D$135&lt;&gt;"")))</f>
        <v/>
      </c>
      <c r="L3644" s="27">
        <f>IF($A3644="","",TRIM(IF(ISERROR(FIND(",",$C3644)),$C3644,LEFT($C3644,FIND(",",$C3644)-1))))</f>
        <v/>
      </c>
      <c r="M3644" s="28">
        <f>IF($H3644="","",DATE(YEAR($H3644),MONTH($H3644),1))</f>
        <v/>
      </c>
      <c r="N3644" s="26">
        <f>IF($H3644="","",TODAY()-$H3644)</f>
        <v/>
      </c>
      <c r="O3644" s="15" t="n"/>
      <c r="P3644" s="15" t="n"/>
      <c r="Q3644" s="15" t="n"/>
      <c r="R3644" s="25" t="n"/>
      <c r="S3644" s="26">
        <f>IF($A3644="","",AND(OR('Assignment Builder'!$B$5="",$B3644='Assignment Builder'!$B$5),OR('Assignment Builder'!$B$6="",ISNUMBER(SEARCH('Assignment Builder'!$B$6,$C3644))),OR('Assignment Builder'!$B$7="",'Assignment Builder'!$B$7=IFERROR(INDEX('Category Dictionary'!$C$5:$C$135,MATCH($L3644,'Category Dictionary'!$D$5:$D$135,0)),"")),OR('Assignment Builder'!$B$8="",$D3644='Assignment Builder'!$B$8),OR('Assignment Builder'!$B$9="",$F3644='Assignment Builder'!$B$9),OR('Assignment Builder'!$B$10="",$O3644='Assignment Builder'!$B$10),OR('Assignment Builder'!$B$11="",$H3644&gt;='Assignment Builder'!$B$11),OR('Assignment Builder'!$B$12="",N($Q3644)&lt;='Assignment Builder'!$B$12)))</f>
        <v/>
      </c>
      <c r="T3644" s="23" t="n"/>
    </row>
    <row r="3645">
      <c r="A3645" s="23" t="n"/>
      <c r="B3645" s="23" t="n"/>
      <c r="C3645" s="24" t="n"/>
      <c r="D3645" s="15" t="n"/>
      <c r="E3645" s="23" t="n"/>
      <c r="F3645" s="15" t="n"/>
      <c r="G3645" s="23" t="n"/>
      <c r="H3645" s="25" t="n"/>
      <c r="I3645" s="15" t="n"/>
      <c r="J3645" s="26">
        <f>IF($A3645="","",LEN($C3645)-LEN(SUBSTITUTE($C3645,",",""))+1)</f>
        <v/>
      </c>
      <c r="K3645" s="26">
        <f>IF($A3645="","",SUMPRODUCT(--ISNUMBER(SEARCH('Category Dictionary'!$D$5:$D$135&amp;"",$C3645)),--('Category Dictionary'!$D$5:$D$135&lt;&gt;"")))</f>
        <v/>
      </c>
      <c r="L3645" s="27">
        <f>IF($A3645="","",TRIM(IF(ISERROR(FIND(",",$C3645)),$C3645,LEFT($C3645,FIND(",",$C3645)-1))))</f>
        <v/>
      </c>
      <c r="M3645" s="28">
        <f>IF($H3645="","",DATE(YEAR($H3645),MONTH($H3645),1))</f>
        <v/>
      </c>
      <c r="N3645" s="26">
        <f>IF($H3645="","",TODAY()-$H3645)</f>
        <v/>
      </c>
      <c r="O3645" s="15" t="n"/>
      <c r="P3645" s="15" t="n"/>
      <c r="Q3645" s="15" t="n"/>
      <c r="R3645" s="25" t="n"/>
      <c r="S3645" s="26">
        <f>IF($A3645="","",AND(OR('Assignment Builder'!$B$5="",$B3645='Assignment Builder'!$B$5),OR('Assignment Builder'!$B$6="",ISNUMBER(SEARCH('Assignment Builder'!$B$6,$C3645))),OR('Assignment Builder'!$B$7="",'Assignment Builder'!$B$7=IFERROR(INDEX('Category Dictionary'!$C$5:$C$135,MATCH($L3645,'Category Dictionary'!$D$5:$D$135,0)),"")),OR('Assignment Builder'!$B$8="",$D3645='Assignment Builder'!$B$8),OR('Assignment Builder'!$B$9="",$F3645='Assignment Builder'!$B$9),OR('Assignment Builder'!$B$10="",$O3645='Assignment Builder'!$B$10),OR('Assignment Builder'!$B$11="",$H3645&gt;='Assignment Builder'!$B$11),OR('Assignment Builder'!$B$12="",N($Q3645)&lt;='Assignment Builder'!$B$12)))</f>
        <v/>
      </c>
      <c r="T3645" s="23" t="n"/>
    </row>
    <row r="3646">
      <c r="A3646" s="23" t="n"/>
      <c r="B3646" s="23" t="n"/>
      <c r="C3646" s="24" t="n"/>
      <c r="D3646" s="15" t="n"/>
      <c r="E3646" s="23" t="n"/>
      <c r="F3646" s="15" t="n"/>
      <c r="G3646" s="23" t="n"/>
      <c r="H3646" s="25" t="n"/>
      <c r="I3646" s="15" t="n"/>
      <c r="J3646" s="26">
        <f>IF($A3646="","",LEN($C3646)-LEN(SUBSTITUTE($C3646,",",""))+1)</f>
        <v/>
      </c>
      <c r="K3646" s="26">
        <f>IF($A3646="","",SUMPRODUCT(--ISNUMBER(SEARCH('Category Dictionary'!$D$5:$D$135&amp;"",$C3646)),--('Category Dictionary'!$D$5:$D$135&lt;&gt;"")))</f>
        <v/>
      </c>
      <c r="L3646" s="27">
        <f>IF($A3646="","",TRIM(IF(ISERROR(FIND(",",$C3646)),$C3646,LEFT($C3646,FIND(",",$C3646)-1))))</f>
        <v/>
      </c>
      <c r="M3646" s="28">
        <f>IF($H3646="","",DATE(YEAR($H3646),MONTH($H3646),1))</f>
        <v/>
      </c>
      <c r="N3646" s="26">
        <f>IF($H3646="","",TODAY()-$H3646)</f>
        <v/>
      </c>
      <c r="O3646" s="15" t="n"/>
      <c r="P3646" s="15" t="n"/>
      <c r="Q3646" s="15" t="n"/>
      <c r="R3646" s="25" t="n"/>
      <c r="S3646" s="26">
        <f>IF($A3646="","",AND(OR('Assignment Builder'!$B$5="",$B3646='Assignment Builder'!$B$5),OR('Assignment Builder'!$B$6="",ISNUMBER(SEARCH('Assignment Builder'!$B$6,$C3646))),OR('Assignment Builder'!$B$7="",'Assignment Builder'!$B$7=IFERROR(INDEX('Category Dictionary'!$C$5:$C$135,MATCH($L3646,'Category Dictionary'!$D$5:$D$135,0)),"")),OR('Assignment Builder'!$B$8="",$D3646='Assignment Builder'!$B$8),OR('Assignment Builder'!$B$9="",$F3646='Assignment Builder'!$B$9),OR('Assignment Builder'!$B$10="",$O3646='Assignment Builder'!$B$10),OR('Assignment Builder'!$B$11="",$H3646&gt;='Assignment Builder'!$B$11),OR('Assignment Builder'!$B$12="",N($Q3646)&lt;='Assignment Builder'!$B$12)))</f>
        <v/>
      </c>
      <c r="T3646" s="23" t="n"/>
    </row>
    <row r="3647">
      <c r="A3647" s="23" t="n"/>
      <c r="B3647" s="23" t="n"/>
      <c r="C3647" s="24" t="n"/>
      <c r="D3647" s="15" t="n"/>
      <c r="E3647" s="23" t="n"/>
      <c r="F3647" s="15" t="n"/>
      <c r="G3647" s="23" t="n"/>
      <c r="H3647" s="25" t="n"/>
      <c r="I3647" s="15" t="n"/>
      <c r="J3647" s="26">
        <f>IF($A3647="","",LEN($C3647)-LEN(SUBSTITUTE($C3647,",",""))+1)</f>
        <v/>
      </c>
      <c r="K3647" s="26">
        <f>IF($A3647="","",SUMPRODUCT(--ISNUMBER(SEARCH('Category Dictionary'!$D$5:$D$135&amp;"",$C3647)),--('Category Dictionary'!$D$5:$D$135&lt;&gt;"")))</f>
        <v/>
      </c>
      <c r="L3647" s="27">
        <f>IF($A3647="","",TRIM(IF(ISERROR(FIND(",",$C3647)),$C3647,LEFT($C3647,FIND(",",$C3647)-1))))</f>
        <v/>
      </c>
      <c r="M3647" s="28">
        <f>IF($H3647="","",DATE(YEAR($H3647),MONTH($H3647),1))</f>
        <v/>
      </c>
      <c r="N3647" s="26">
        <f>IF($H3647="","",TODAY()-$H3647)</f>
        <v/>
      </c>
      <c r="O3647" s="15" t="n"/>
      <c r="P3647" s="15" t="n"/>
      <c r="Q3647" s="15" t="n"/>
      <c r="R3647" s="25" t="n"/>
      <c r="S3647" s="26">
        <f>IF($A3647="","",AND(OR('Assignment Builder'!$B$5="",$B3647='Assignment Builder'!$B$5),OR('Assignment Builder'!$B$6="",ISNUMBER(SEARCH('Assignment Builder'!$B$6,$C3647))),OR('Assignment Builder'!$B$7="",'Assignment Builder'!$B$7=IFERROR(INDEX('Category Dictionary'!$C$5:$C$135,MATCH($L3647,'Category Dictionary'!$D$5:$D$135,0)),"")),OR('Assignment Builder'!$B$8="",$D3647='Assignment Builder'!$B$8),OR('Assignment Builder'!$B$9="",$F3647='Assignment Builder'!$B$9),OR('Assignment Builder'!$B$10="",$O3647='Assignment Builder'!$B$10),OR('Assignment Builder'!$B$11="",$H3647&gt;='Assignment Builder'!$B$11),OR('Assignment Builder'!$B$12="",N($Q3647)&lt;='Assignment Builder'!$B$12)))</f>
        <v/>
      </c>
      <c r="T3647" s="23" t="n"/>
    </row>
    <row r="3648">
      <c r="A3648" s="23" t="n"/>
      <c r="B3648" s="23" t="n"/>
      <c r="C3648" s="24" t="n"/>
      <c r="D3648" s="15" t="n"/>
      <c r="E3648" s="23" t="n"/>
      <c r="F3648" s="15" t="n"/>
      <c r="G3648" s="23" t="n"/>
      <c r="H3648" s="25" t="n"/>
      <c r="I3648" s="15" t="n"/>
      <c r="J3648" s="26">
        <f>IF($A3648="","",LEN($C3648)-LEN(SUBSTITUTE($C3648,",",""))+1)</f>
        <v/>
      </c>
      <c r="K3648" s="26">
        <f>IF($A3648="","",SUMPRODUCT(--ISNUMBER(SEARCH('Category Dictionary'!$D$5:$D$135&amp;"",$C3648)),--('Category Dictionary'!$D$5:$D$135&lt;&gt;"")))</f>
        <v/>
      </c>
      <c r="L3648" s="27">
        <f>IF($A3648="","",TRIM(IF(ISERROR(FIND(",",$C3648)),$C3648,LEFT($C3648,FIND(",",$C3648)-1))))</f>
        <v/>
      </c>
      <c r="M3648" s="28">
        <f>IF($H3648="","",DATE(YEAR($H3648),MONTH($H3648),1))</f>
        <v/>
      </c>
      <c r="N3648" s="26">
        <f>IF($H3648="","",TODAY()-$H3648)</f>
        <v/>
      </c>
      <c r="O3648" s="15" t="n"/>
      <c r="P3648" s="15" t="n"/>
      <c r="Q3648" s="15" t="n"/>
      <c r="R3648" s="25" t="n"/>
      <c r="S3648" s="26">
        <f>IF($A3648="","",AND(OR('Assignment Builder'!$B$5="",$B3648='Assignment Builder'!$B$5),OR('Assignment Builder'!$B$6="",ISNUMBER(SEARCH('Assignment Builder'!$B$6,$C3648))),OR('Assignment Builder'!$B$7="",'Assignment Builder'!$B$7=IFERROR(INDEX('Category Dictionary'!$C$5:$C$135,MATCH($L3648,'Category Dictionary'!$D$5:$D$135,0)),"")),OR('Assignment Builder'!$B$8="",$D3648='Assignment Builder'!$B$8),OR('Assignment Builder'!$B$9="",$F3648='Assignment Builder'!$B$9),OR('Assignment Builder'!$B$10="",$O3648='Assignment Builder'!$B$10),OR('Assignment Builder'!$B$11="",$H3648&gt;='Assignment Builder'!$B$11),OR('Assignment Builder'!$B$12="",N($Q3648)&lt;='Assignment Builder'!$B$12)))</f>
        <v/>
      </c>
      <c r="T3648" s="23" t="n"/>
    </row>
    <row r="3649">
      <c r="A3649" s="23" t="n"/>
      <c r="B3649" s="23" t="n"/>
      <c r="C3649" s="24" t="n"/>
      <c r="D3649" s="15" t="n"/>
      <c r="E3649" s="23" t="n"/>
      <c r="F3649" s="15" t="n"/>
      <c r="G3649" s="23" t="n"/>
      <c r="H3649" s="25" t="n"/>
      <c r="I3649" s="15" t="n"/>
      <c r="J3649" s="26">
        <f>IF($A3649="","",LEN($C3649)-LEN(SUBSTITUTE($C3649,",",""))+1)</f>
        <v/>
      </c>
      <c r="K3649" s="26">
        <f>IF($A3649="","",SUMPRODUCT(--ISNUMBER(SEARCH('Category Dictionary'!$D$5:$D$135&amp;"",$C3649)),--('Category Dictionary'!$D$5:$D$135&lt;&gt;"")))</f>
        <v/>
      </c>
      <c r="L3649" s="27">
        <f>IF($A3649="","",TRIM(IF(ISERROR(FIND(",",$C3649)),$C3649,LEFT($C3649,FIND(",",$C3649)-1))))</f>
        <v/>
      </c>
      <c r="M3649" s="28">
        <f>IF($H3649="","",DATE(YEAR($H3649),MONTH($H3649),1))</f>
        <v/>
      </c>
      <c r="N3649" s="26">
        <f>IF($H3649="","",TODAY()-$H3649)</f>
        <v/>
      </c>
      <c r="O3649" s="15" t="n"/>
      <c r="P3649" s="15" t="n"/>
      <c r="Q3649" s="15" t="n"/>
      <c r="R3649" s="25" t="n"/>
      <c r="S3649" s="26">
        <f>IF($A3649="","",AND(OR('Assignment Builder'!$B$5="",$B3649='Assignment Builder'!$B$5),OR('Assignment Builder'!$B$6="",ISNUMBER(SEARCH('Assignment Builder'!$B$6,$C3649))),OR('Assignment Builder'!$B$7="",'Assignment Builder'!$B$7=IFERROR(INDEX('Category Dictionary'!$C$5:$C$135,MATCH($L3649,'Category Dictionary'!$D$5:$D$135,0)),"")),OR('Assignment Builder'!$B$8="",$D3649='Assignment Builder'!$B$8),OR('Assignment Builder'!$B$9="",$F3649='Assignment Builder'!$B$9),OR('Assignment Builder'!$B$10="",$O3649='Assignment Builder'!$B$10),OR('Assignment Builder'!$B$11="",$H3649&gt;='Assignment Builder'!$B$11),OR('Assignment Builder'!$B$12="",N($Q3649)&lt;='Assignment Builder'!$B$12)))</f>
        <v/>
      </c>
      <c r="T3649" s="23" t="n"/>
    </row>
    <row r="3650">
      <c r="A3650" s="23" t="n"/>
      <c r="B3650" s="23" t="n"/>
      <c r="C3650" s="24" t="n"/>
      <c r="D3650" s="15" t="n"/>
      <c r="E3650" s="23" t="n"/>
      <c r="F3650" s="15" t="n"/>
      <c r="G3650" s="23" t="n"/>
      <c r="H3650" s="25" t="n"/>
      <c r="I3650" s="15" t="n"/>
      <c r="J3650" s="26">
        <f>IF($A3650="","",LEN($C3650)-LEN(SUBSTITUTE($C3650,",",""))+1)</f>
        <v/>
      </c>
      <c r="K3650" s="26">
        <f>IF($A3650="","",SUMPRODUCT(--ISNUMBER(SEARCH('Category Dictionary'!$D$5:$D$135&amp;"",$C3650)),--('Category Dictionary'!$D$5:$D$135&lt;&gt;"")))</f>
        <v/>
      </c>
      <c r="L3650" s="27">
        <f>IF($A3650="","",TRIM(IF(ISERROR(FIND(",",$C3650)),$C3650,LEFT($C3650,FIND(",",$C3650)-1))))</f>
        <v/>
      </c>
      <c r="M3650" s="28">
        <f>IF($H3650="","",DATE(YEAR($H3650),MONTH($H3650),1))</f>
        <v/>
      </c>
      <c r="N3650" s="26">
        <f>IF($H3650="","",TODAY()-$H3650)</f>
        <v/>
      </c>
      <c r="O3650" s="15" t="n"/>
      <c r="P3650" s="15" t="n"/>
      <c r="Q3650" s="15" t="n"/>
      <c r="R3650" s="25" t="n"/>
      <c r="S3650" s="26">
        <f>IF($A3650="","",AND(OR('Assignment Builder'!$B$5="",$B3650='Assignment Builder'!$B$5),OR('Assignment Builder'!$B$6="",ISNUMBER(SEARCH('Assignment Builder'!$B$6,$C3650))),OR('Assignment Builder'!$B$7="",'Assignment Builder'!$B$7=IFERROR(INDEX('Category Dictionary'!$C$5:$C$135,MATCH($L3650,'Category Dictionary'!$D$5:$D$135,0)),"")),OR('Assignment Builder'!$B$8="",$D3650='Assignment Builder'!$B$8),OR('Assignment Builder'!$B$9="",$F3650='Assignment Builder'!$B$9),OR('Assignment Builder'!$B$10="",$O3650='Assignment Builder'!$B$10),OR('Assignment Builder'!$B$11="",$H3650&gt;='Assignment Builder'!$B$11),OR('Assignment Builder'!$B$12="",N($Q3650)&lt;='Assignment Builder'!$B$12)))</f>
        <v/>
      </c>
      <c r="T3650" s="23" t="n"/>
    </row>
    <row r="3651">
      <c r="A3651" s="23" t="n"/>
      <c r="B3651" s="23" t="n"/>
      <c r="C3651" s="24" t="n"/>
      <c r="D3651" s="15" t="n"/>
      <c r="E3651" s="23" t="n"/>
      <c r="F3651" s="15" t="n"/>
      <c r="G3651" s="23" t="n"/>
      <c r="H3651" s="25" t="n"/>
      <c r="I3651" s="15" t="n"/>
      <c r="J3651" s="26">
        <f>IF($A3651="","",LEN($C3651)-LEN(SUBSTITUTE($C3651,",",""))+1)</f>
        <v/>
      </c>
      <c r="K3651" s="26">
        <f>IF($A3651="","",SUMPRODUCT(--ISNUMBER(SEARCH('Category Dictionary'!$D$5:$D$135&amp;"",$C3651)),--('Category Dictionary'!$D$5:$D$135&lt;&gt;"")))</f>
        <v/>
      </c>
      <c r="L3651" s="27">
        <f>IF($A3651="","",TRIM(IF(ISERROR(FIND(",",$C3651)),$C3651,LEFT($C3651,FIND(",",$C3651)-1))))</f>
        <v/>
      </c>
      <c r="M3651" s="28">
        <f>IF($H3651="","",DATE(YEAR($H3651),MONTH($H3651),1))</f>
        <v/>
      </c>
      <c r="N3651" s="26">
        <f>IF($H3651="","",TODAY()-$H3651)</f>
        <v/>
      </c>
      <c r="O3651" s="15" t="n"/>
      <c r="P3651" s="15" t="n"/>
      <c r="Q3651" s="15" t="n"/>
      <c r="R3651" s="25" t="n"/>
      <c r="S3651" s="26">
        <f>IF($A3651="","",AND(OR('Assignment Builder'!$B$5="",$B3651='Assignment Builder'!$B$5),OR('Assignment Builder'!$B$6="",ISNUMBER(SEARCH('Assignment Builder'!$B$6,$C3651))),OR('Assignment Builder'!$B$7="",'Assignment Builder'!$B$7=IFERROR(INDEX('Category Dictionary'!$C$5:$C$135,MATCH($L3651,'Category Dictionary'!$D$5:$D$135,0)),"")),OR('Assignment Builder'!$B$8="",$D3651='Assignment Builder'!$B$8),OR('Assignment Builder'!$B$9="",$F3651='Assignment Builder'!$B$9),OR('Assignment Builder'!$B$10="",$O3651='Assignment Builder'!$B$10),OR('Assignment Builder'!$B$11="",$H3651&gt;='Assignment Builder'!$B$11),OR('Assignment Builder'!$B$12="",N($Q3651)&lt;='Assignment Builder'!$B$12)))</f>
        <v/>
      </c>
      <c r="T3651" s="23" t="n"/>
    </row>
    <row r="3652">
      <c r="A3652" s="23" t="n"/>
      <c r="B3652" s="23" t="n"/>
      <c r="C3652" s="24" t="n"/>
      <c r="D3652" s="15" t="n"/>
      <c r="E3652" s="23" t="n"/>
      <c r="F3652" s="15" t="n"/>
      <c r="G3652" s="23" t="n"/>
      <c r="H3652" s="25" t="n"/>
      <c r="I3652" s="15" t="n"/>
      <c r="J3652" s="26">
        <f>IF($A3652="","",LEN($C3652)-LEN(SUBSTITUTE($C3652,",",""))+1)</f>
        <v/>
      </c>
      <c r="K3652" s="26">
        <f>IF($A3652="","",SUMPRODUCT(--ISNUMBER(SEARCH('Category Dictionary'!$D$5:$D$135&amp;"",$C3652)),--('Category Dictionary'!$D$5:$D$135&lt;&gt;"")))</f>
        <v/>
      </c>
      <c r="L3652" s="27">
        <f>IF($A3652="","",TRIM(IF(ISERROR(FIND(",",$C3652)),$C3652,LEFT($C3652,FIND(",",$C3652)-1))))</f>
        <v/>
      </c>
      <c r="M3652" s="28">
        <f>IF($H3652="","",DATE(YEAR($H3652),MONTH($H3652),1))</f>
        <v/>
      </c>
      <c r="N3652" s="26">
        <f>IF($H3652="","",TODAY()-$H3652)</f>
        <v/>
      </c>
      <c r="O3652" s="15" t="n"/>
      <c r="P3652" s="15" t="n"/>
      <c r="Q3652" s="15" t="n"/>
      <c r="R3652" s="25" t="n"/>
      <c r="S3652" s="26">
        <f>IF($A3652="","",AND(OR('Assignment Builder'!$B$5="",$B3652='Assignment Builder'!$B$5),OR('Assignment Builder'!$B$6="",ISNUMBER(SEARCH('Assignment Builder'!$B$6,$C3652))),OR('Assignment Builder'!$B$7="",'Assignment Builder'!$B$7=IFERROR(INDEX('Category Dictionary'!$C$5:$C$135,MATCH($L3652,'Category Dictionary'!$D$5:$D$135,0)),"")),OR('Assignment Builder'!$B$8="",$D3652='Assignment Builder'!$B$8),OR('Assignment Builder'!$B$9="",$F3652='Assignment Builder'!$B$9),OR('Assignment Builder'!$B$10="",$O3652='Assignment Builder'!$B$10),OR('Assignment Builder'!$B$11="",$H3652&gt;='Assignment Builder'!$B$11),OR('Assignment Builder'!$B$12="",N($Q3652)&lt;='Assignment Builder'!$B$12)))</f>
        <v/>
      </c>
      <c r="T3652" s="23" t="n"/>
    </row>
    <row r="3653">
      <c r="A3653" s="23" t="n"/>
      <c r="B3653" s="23" t="n"/>
      <c r="C3653" s="24" t="n"/>
      <c r="D3653" s="15" t="n"/>
      <c r="E3653" s="23" t="n"/>
      <c r="F3653" s="15" t="n"/>
      <c r="G3653" s="23" t="n"/>
      <c r="H3653" s="25" t="n"/>
      <c r="I3653" s="15" t="n"/>
      <c r="J3653" s="26">
        <f>IF($A3653="","",LEN($C3653)-LEN(SUBSTITUTE($C3653,",",""))+1)</f>
        <v/>
      </c>
      <c r="K3653" s="26">
        <f>IF($A3653="","",SUMPRODUCT(--ISNUMBER(SEARCH('Category Dictionary'!$D$5:$D$135&amp;"",$C3653)),--('Category Dictionary'!$D$5:$D$135&lt;&gt;"")))</f>
        <v/>
      </c>
      <c r="L3653" s="27">
        <f>IF($A3653="","",TRIM(IF(ISERROR(FIND(",",$C3653)),$C3653,LEFT($C3653,FIND(",",$C3653)-1))))</f>
        <v/>
      </c>
      <c r="M3653" s="28">
        <f>IF($H3653="","",DATE(YEAR($H3653),MONTH($H3653),1))</f>
        <v/>
      </c>
      <c r="N3653" s="26">
        <f>IF($H3653="","",TODAY()-$H3653)</f>
        <v/>
      </c>
      <c r="O3653" s="15" t="n"/>
      <c r="P3653" s="15" t="n"/>
      <c r="Q3653" s="15" t="n"/>
      <c r="R3653" s="25" t="n"/>
      <c r="S3653" s="26">
        <f>IF($A3653="","",AND(OR('Assignment Builder'!$B$5="",$B3653='Assignment Builder'!$B$5),OR('Assignment Builder'!$B$6="",ISNUMBER(SEARCH('Assignment Builder'!$B$6,$C3653))),OR('Assignment Builder'!$B$7="",'Assignment Builder'!$B$7=IFERROR(INDEX('Category Dictionary'!$C$5:$C$135,MATCH($L3653,'Category Dictionary'!$D$5:$D$135,0)),"")),OR('Assignment Builder'!$B$8="",$D3653='Assignment Builder'!$B$8),OR('Assignment Builder'!$B$9="",$F3653='Assignment Builder'!$B$9),OR('Assignment Builder'!$B$10="",$O3653='Assignment Builder'!$B$10),OR('Assignment Builder'!$B$11="",$H3653&gt;='Assignment Builder'!$B$11),OR('Assignment Builder'!$B$12="",N($Q3653)&lt;='Assignment Builder'!$B$12)))</f>
        <v/>
      </c>
      <c r="T3653" s="23" t="n"/>
    </row>
    <row r="3654">
      <c r="A3654" s="23" t="n"/>
      <c r="B3654" s="23" t="n"/>
      <c r="C3654" s="24" t="n"/>
      <c r="D3654" s="15" t="n"/>
      <c r="E3654" s="23" t="n"/>
      <c r="F3654" s="15" t="n"/>
      <c r="G3654" s="23" t="n"/>
      <c r="H3654" s="25" t="n"/>
      <c r="I3654" s="15" t="n"/>
      <c r="J3654" s="26">
        <f>IF($A3654="","",LEN($C3654)-LEN(SUBSTITUTE($C3654,",",""))+1)</f>
        <v/>
      </c>
      <c r="K3654" s="26">
        <f>IF($A3654="","",SUMPRODUCT(--ISNUMBER(SEARCH('Category Dictionary'!$D$5:$D$135&amp;"",$C3654)),--('Category Dictionary'!$D$5:$D$135&lt;&gt;"")))</f>
        <v/>
      </c>
      <c r="L3654" s="27">
        <f>IF($A3654="","",TRIM(IF(ISERROR(FIND(",",$C3654)),$C3654,LEFT($C3654,FIND(",",$C3654)-1))))</f>
        <v/>
      </c>
      <c r="M3654" s="28">
        <f>IF($H3654="","",DATE(YEAR($H3654),MONTH($H3654),1))</f>
        <v/>
      </c>
      <c r="N3654" s="26">
        <f>IF($H3654="","",TODAY()-$H3654)</f>
        <v/>
      </c>
      <c r="O3654" s="15" t="n"/>
      <c r="P3654" s="15" t="n"/>
      <c r="Q3654" s="15" t="n"/>
      <c r="R3654" s="25" t="n"/>
      <c r="S3654" s="26">
        <f>IF($A3654="","",AND(OR('Assignment Builder'!$B$5="",$B3654='Assignment Builder'!$B$5),OR('Assignment Builder'!$B$6="",ISNUMBER(SEARCH('Assignment Builder'!$B$6,$C3654))),OR('Assignment Builder'!$B$7="",'Assignment Builder'!$B$7=IFERROR(INDEX('Category Dictionary'!$C$5:$C$135,MATCH($L3654,'Category Dictionary'!$D$5:$D$135,0)),"")),OR('Assignment Builder'!$B$8="",$D3654='Assignment Builder'!$B$8),OR('Assignment Builder'!$B$9="",$F3654='Assignment Builder'!$B$9),OR('Assignment Builder'!$B$10="",$O3654='Assignment Builder'!$B$10),OR('Assignment Builder'!$B$11="",$H3654&gt;='Assignment Builder'!$B$11),OR('Assignment Builder'!$B$12="",N($Q3654)&lt;='Assignment Builder'!$B$12)))</f>
        <v/>
      </c>
      <c r="T3654" s="23" t="n"/>
    </row>
    <row r="3655">
      <c r="A3655" s="23" t="n"/>
      <c r="B3655" s="23" t="n"/>
      <c r="C3655" s="24" t="n"/>
      <c r="D3655" s="15" t="n"/>
      <c r="E3655" s="23" t="n"/>
      <c r="F3655" s="15" t="n"/>
      <c r="G3655" s="23" t="n"/>
      <c r="H3655" s="25" t="n"/>
      <c r="I3655" s="15" t="n"/>
      <c r="J3655" s="26">
        <f>IF($A3655="","",LEN($C3655)-LEN(SUBSTITUTE($C3655,",",""))+1)</f>
        <v/>
      </c>
      <c r="K3655" s="26">
        <f>IF($A3655="","",SUMPRODUCT(--ISNUMBER(SEARCH('Category Dictionary'!$D$5:$D$135&amp;"",$C3655)),--('Category Dictionary'!$D$5:$D$135&lt;&gt;"")))</f>
        <v/>
      </c>
      <c r="L3655" s="27">
        <f>IF($A3655="","",TRIM(IF(ISERROR(FIND(",",$C3655)),$C3655,LEFT($C3655,FIND(",",$C3655)-1))))</f>
        <v/>
      </c>
      <c r="M3655" s="28">
        <f>IF($H3655="","",DATE(YEAR($H3655),MONTH($H3655),1))</f>
        <v/>
      </c>
      <c r="N3655" s="26">
        <f>IF($H3655="","",TODAY()-$H3655)</f>
        <v/>
      </c>
      <c r="O3655" s="15" t="n"/>
      <c r="P3655" s="15" t="n"/>
      <c r="Q3655" s="15" t="n"/>
      <c r="R3655" s="25" t="n"/>
      <c r="S3655" s="26">
        <f>IF($A3655="","",AND(OR('Assignment Builder'!$B$5="",$B3655='Assignment Builder'!$B$5),OR('Assignment Builder'!$B$6="",ISNUMBER(SEARCH('Assignment Builder'!$B$6,$C3655))),OR('Assignment Builder'!$B$7="",'Assignment Builder'!$B$7=IFERROR(INDEX('Category Dictionary'!$C$5:$C$135,MATCH($L3655,'Category Dictionary'!$D$5:$D$135,0)),"")),OR('Assignment Builder'!$B$8="",$D3655='Assignment Builder'!$B$8),OR('Assignment Builder'!$B$9="",$F3655='Assignment Builder'!$B$9),OR('Assignment Builder'!$B$10="",$O3655='Assignment Builder'!$B$10),OR('Assignment Builder'!$B$11="",$H3655&gt;='Assignment Builder'!$B$11),OR('Assignment Builder'!$B$12="",N($Q3655)&lt;='Assignment Builder'!$B$12)))</f>
        <v/>
      </c>
      <c r="T3655" s="23" t="n"/>
    </row>
    <row r="3656">
      <c r="A3656" s="23" t="n"/>
      <c r="B3656" s="23" t="n"/>
      <c r="C3656" s="24" t="n"/>
      <c r="D3656" s="15" t="n"/>
      <c r="E3656" s="23" t="n"/>
      <c r="F3656" s="15" t="n"/>
      <c r="G3656" s="23" t="n"/>
      <c r="H3656" s="25" t="n"/>
      <c r="I3656" s="15" t="n"/>
      <c r="J3656" s="26">
        <f>IF($A3656="","",LEN($C3656)-LEN(SUBSTITUTE($C3656,",",""))+1)</f>
        <v/>
      </c>
      <c r="K3656" s="26">
        <f>IF($A3656="","",SUMPRODUCT(--ISNUMBER(SEARCH('Category Dictionary'!$D$5:$D$135&amp;"",$C3656)),--('Category Dictionary'!$D$5:$D$135&lt;&gt;"")))</f>
        <v/>
      </c>
      <c r="L3656" s="27">
        <f>IF($A3656="","",TRIM(IF(ISERROR(FIND(",",$C3656)),$C3656,LEFT($C3656,FIND(",",$C3656)-1))))</f>
        <v/>
      </c>
      <c r="M3656" s="28">
        <f>IF($H3656="","",DATE(YEAR($H3656),MONTH($H3656),1))</f>
        <v/>
      </c>
      <c r="N3656" s="26">
        <f>IF($H3656="","",TODAY()-$H3656)</f>
        <v/>
      </c>
      <c r="O3656" s="15" t="n"/>
      <c r="P3656" s="15" t="n"/>
      <c r="Q3656" s="15" t="n"/>
      <c r="R3656" s="25" t="n"/>
      <c r="S3656" s="26">
        <f>IF($A3656="","",AND(OR('Assignment Builder'!$B$5="",$B3656='Assignment Builder'!$B$5),OR('Assignment Builder'!$B$6="",ISNUMBER(SEARCH('Assignment Builder'!$B$6,$C3656))),OR('Assignment Builder'!$B$7="",'Assignment Builder'!$B$7=IFERROR(INDEX('Category Dictionary'!$C$5:$C$135,MATCH($L3656,'Category Dictionary'!$D$5:$D$135,0)),"")),OR('Assignment Builder'!$B$8="",$D3656='Assignment Builder'!$B$8),OR('Assignment Builder'!$B$9="",$F3656='Assignment Builder'!$B$9),OR('Assignment Builder'!$B$10="",$O3656='Assignment Builder'!$B$10),OR('Assignment Builder'!$B$11="",$H3656&gt;='Assignment Builder'!$B$11),OR('Assignment Builder'!$B$12="",N($Q3656)&lt;='Assignment Builder'!$B$12)))</f>
        <v/>
      </c>
      <c r="T3656" s="23" t="n"/>
    </row>
    <row r="3657">
      <c r="A3657" s="23" t="n"/>
      <c r="B3657" s="23" t="n"/>
      <c r="C3657" s="24" t="n"/>
      <c r="D3657" s="15" t="n"/>
      <c r="E3657" s="23" t="n"/>
      <c r="F3657" s="15" t="n"/>
      <c r="G3657" s="23" t="n"/>
      <c r="H3657" s="25" t="n"/>
      <c r="I3657" s="15" t="n"/>
      <c r="J3657" s="26">
        <f>IF($A3657="","",LEN($C3657)-LEN(SUBSTITUTE($C3657,",",""))+1)</f>
        <v/>
      </c>
      <c r="K3657" s="26">
        <f>IF($A3657="","",SUMPRODUCT(--ISNUMBER(SEARCH('Category Dictionary'!$D$5:$D$135&amp;"",$C3657)),--('Category Dictionary'!$D$5:$D$135&lt;&gt;"")))</f>
        <v/>
      </c>
      <c r="L3657" s="27">
        <f>IF($A3657="","",TRIM(IF(ISERROR(FIND(",",$C3657)),$C3657,LEFT($C3657,FIND(",",$C3657)-1))))</f>
        <v/>
      </c>
      <c r="M3657" s="28">
        <f>IF($H3657="","",DATE(YEAR($H3657),MONTH($H3657),1))</f>
        <v/>
      </c>
      <c r="N3657" s="26">
        <f>IF($H3657="","",TODAY()-$H3657)</f>
        <v/>
      </c>
      <c r="O3657" s="15" t="n"/>
      <c r="P3657" s="15" t="n"/>
      <c r="Q3657" s="15" t="n"/>
      <c r="R3657" s="25" t="n"/>
      <c r="S3657" s="26">
        <f>IF($A3657="","",AND(OR('Assignment Builder'!$B$5="",$B3657='Assignment Builder'!$B$5),OR('Assignment Builder'!$B$6="",ISNUMBER(SEARCH('Assignment Builder'!$B$6,$C3657))),OR('Assignment Builder'!$B$7="",'Assignment Builder'!$B$7=IFERROR(INDEX('Category Dictionary'!$C$5:$C$135,MATCH($L3657,'Category Dictionary'!$D$5:$D$135,0)),"")),OR('Assignment Builder'!$B$8="",$D3657='Assignment Builder'!$B$8),OR('Assignment Builder'!$B$9="",$F3657='Assignment Builder'!$B$9),OR('Assignment Builder'!$B$10="",$O3657='Assignment Builder'!$B$10),OR('Assignment Builder'!$B$11="",$H3657&gt;='Assignment Builder'!$B$11),OR('Assignment Builder'!$B$12="",N($Q3657)&lt;='Assignment Builder'!$B$12)))</f>
        <v/>
      </c>
      <c r="T3657" s="23" t="n"/>
    </row>
    <row r="3658">
      <c r="A3658" s="23" t="n"/>
      <c r="B3658" s="23" t="n"/>
      <c r="C3658" s="24" t="n"/>
      <c r="D3658" s="15" t="n"/>
      <c r="E3658" s="23" t="n"/>
      <c r="F3658" s="15" t="n"/>
      <c r="G3658" s="23" t="n"/>
      <c r="H3658" s="25" t="n"/>
      <c r="I3658" s="15" t="n"/>
      <c r="J3658" s="26">
        <f>IF($A3658="","",LEN($C3658)-LEN(SUBSTITUTE($C3658,",",""))+1)</f>
        <v/>
      </c>
      <c r="K3658" s="26">
        <f>IF($A3658="","",SUMPRODUCT(--ISNUMBER(SEARCH('Category Dictionary'!$D$5:$D$135&amp;"",$C3658)),--('Category Dictionary'!$D$5:$D$135&lt;&gt;"")))</f>
        <v/>
      </c>
      <c r="L3658" s="27">
        <f>IF($A3658="","",TRIM(IF(ISERROR(FIND(",",$C3658)),$C3658,LEFT($C3658,FIND(",",$C3658)-1))))</f>
        <v/>
      </c>
      <c r="M3658" s="28">
        <f>IF($H3658="","",DATE(YEAR($H3658),MONTH($H3658),1))</f>
        <v/>
      </c>
      <c r="N3658" s="26">
        <f>IF($H3658="","",TODAY()-$H3658)</f>
        <v/>
      </c>
      <c r="O3658" s="15" t="n"/>
      <c r="P3658" s="15" t="n"/>
      <c r="Q3658" s="15" t="n"/>
      <c r="R3658" s="25" t="n"/>
      <c r="S3658" s="26">
        <f>IF($A3658="","",AND(OR('Assignment Builder'!$B$5="",$B3658='Assignment Builder'!$B$5),OR('Assignment Builder'!$B$6="",ISNUMBER(SEARCH('Assignment Builder'!$B$6,$C3658))),OR('Assignment Builder'!$B$7="",'Assignment Builder'!$B$7=IFERROR(INDEX('Category Dictionary'!$C$5:$C$135,MATCH($L3658,'Category Dictionary'!$D$5:$D$135,0)),"")),OR('Assignment Builder'!$B$8="",$D3658='Assignment Builder'!$B$8),OR('Assignment Builder'!$B$9="",$F3658='Assignment Builder'!$B$9),OR('Assignment Builder'!$B$10="",$O3658='Assignment Builder'!$B$10),OR('Assignment Builder'!$B$11="",$H3658&gt;='Assignment Builder'!$B$11),OR('Assignment Builder'!$B$12="",N($Q3658)&lt;='Assignment Builder'!$B$12)))</f>
        <v/>
      </c>
      <c r="T3658" s="23" t="n"/>
    </row>
    <row r="3659">
      <c r="A3659" s="23" t="n"/>
      <c r="B3659" s="23" t="n"/>
      <c r="C3659" s="24" t="n"/>
      <c r="D3659" s="15" t="n"/>
      <c r="E3659" s="23" t="n"/>
      <c r="F3659" s="15" t="n"/>
      <c r="G3659" s="23" t="n"/>
      <c r="H3659" s="25" t="n"/>
      <c r="I3659" s="15" t="n"/>
      <c r="J3659" s="26">
        <f>IF($A3659="","",LEN($C3659)-LEN(SUBSTITUTE($C3659,",",""))+1)</f>
        <v/>
      </c>
      <c r="K3659" s="26">
        <f>IF($A3659="","",SUMPRODUCT(--ISNUMBER(SEARCH('Category Dictionary'!$D$5:$D$135&amp;"",$C3659)),--('Category Dictionary'!$D$5:$D$135&lt;&gt;"")))</f>
        <v/>
      </c>
      <c r="L3659" s="27">
        <f>IF($A3659="","",TRIM(IF(ISERROR(FIND(",",$C3659)),$C3659,LEFT($C3659,FIND(",",$C3659)-1))))</f>
        <v/>
      </c>
      <c r="M3659" s="28">
        <f>IF($H3659="","",DATE(YEAR($H3659),MONTH($H3659),1))</f>
        <v/>
      </c>
      <c r="N3659" s="26">
        <f>IF($H3659="","",TODAY()-$H3659)</f>
        <v/>
      </c>
      <c r="O3659" s="15" t="n"/>
      <c r="P3659" s="15" t="n"/>
      <c r="Q3659" s="15" t="n"/>
      <c r="R3659" s="25" t="n"/>
      <c r="S3659" s="26">
        <f>IF($A3659="","",AND(OR('Assignment Builder'!$B$5="",$B3659='Assignment Builder'!$B$5),OR('Assignment Builder'!$B$6="",ISNUMBER(SEARCH('Assignment Builder'!$B$6,$C3659))),OR('Assignment Builder'!$B$7="",'Assignment Builder'!$B$7=IFERROR(INDEX('Category Dictionary'!$C$5:$C$135,MATCH($L3659,'Category Dictionary'!$D$5:$D$135,0)),"")),OR('Assignment Builder'!$B$8="",$D3659='Assignment Builder'!$B$8),OR('Assignment Builder'!$B$9="",$F3659='Assignment Builder'!$B$9),OR('Assignment Builder'!$B$10="",$O3659='Assignment Builder'!$B$10),OR('Assignment Builder'!$B$11="",$H3659&gt;='Assignment Builder'!$B$11),OR('Assignment Builder'!$B$12="",N($Q3659)&lt;='Assignment Builder'!$B$12)))</f>
        <v/>
      </c>
      <c r="T3659" s="23" t="n"/>
    </row>
    <row r="3660">
      <c r="A3660" s="23" t="n"/>
      <c r="B3660" s="23" t="n"/>
      <c r="C3660" s="24" t="n"/>
      <c r="D3660" s="15" t="n"/>
      <c r="E3660" s="23" t="n"/>
      <c r="F3660" s="15" t="n"/>
      <c r="G3660" s="23" t="n"/>
      <c r="H3660" s="25" t="n"/>
      <c r="I3660" s="15" t="n"/>
      <c r="J3660" s="26">
        <f>IF($A3660="","",LEN($C3660)-LEN(SUBSTITUTE($C3660,",",""))+1)</f>
        <v/>
      </c>
      <c r="K3660" s="26">
        <f>IF($A3660="","",SUMPRODUCT(--ISNUMBER(SEARCH('Category Dictionary'!$D$5:$D$135&amp;"",$C3660)),--('Category Dictionary'!$D$5:$D$135&lt;&gt;"")))</f>
        <v/>
      </c>
      <c r="L3660" s="27">
        <f>IF($A3660="","",TRIM(IF(ISERROR(FIND(",",$C3660)),$C3660,LEFT($C3660,FIND(",",$C3660)-1))))</f>
        <v/>
      </c>
      <c r="M3660" s="28">
        <f>IF($H3660="","",DATE(YEAR($H3660),MONTH($H3660),1))</f>
        <v/>
      </c>
      <c r="N3660" s="26">
        <f>IF($H3660="","",TODAY()-$H3660)</f>
        <v/>
      </c>
      <c r="O3660" s="15" t="n"/>
      <c r="P3660" s="15" t="n"/>
      <c r="Q3660" s="15" t="n"/>
      <c r="R3660" s="25" t="n"/>
      <c r="S3660" s="26">
        <f>IF($A3660="","",AND(OR('Assignment Builder'!$B$5="",$B3660='Assignment Builder'!$B$5),OR('Assignment Builder'!$B$6="",ISNUMBER(SEARCH('Assignment Builder'!$B$6,$C3660))),OR('Assignment Builder'!$B$7="",'Assignment Builder'!$B$7=IFERROR(INDEX('Category Dictionary'!$C$5:$C$135,MATCH($L3660,'Category Dictionary'!$D$5:$D$135,0)),"")),OR('Assignment Builder'!$B$8="",$D3660='Assignment Builder'!$B$8),OR('Assignment Builder'!$B$9="",$F3660='Assignment Builder'!$B$9),OR('Assignment Builder'!$B$10="",$O3660='Assignment Builder'!$B$10),OR('Assignment Builder'!$B$11="",$H3660&gt;='Assignment Builder'!$B$11),OR('Assignment Builder'!$B$12="",N($Q3660)&lt;='Assignment Builder'!$B$12)))</f>
        <v/>
      </c>
      <c r="T3660" s="23" t="n"/>
    </row>
    <row r="3661">
      <c r="A3661" s="23" t="n"/>
      <c r="B3661" s="23" t="n"/>
      <c r="C3661" s="24" t="n"/>
      <c r="D3661" s="15" t="n"/>
      <c r="E3661" s="23" t="n"/>
      <c r="F3661" s="15" t="n"/>
      <c r="G3661" s="23" t="n"/>
      <c r="H3661" s="25" t="n"/>
      <c r="I3661" s="15" t="n"/>
      <c r="J3661" s="26">
        <f>IF($A3661="","",LEN($C3661)-LEN(SUBSTITUTE($C3661,",",""))+1)</f>
        <v/>
      </c>
      <c r="K3661" s="26">
        <f>IF($A3661="","",SUMPRODUCT(--ISNUMBER(SEARCH('Category Dictionary'!$D$5:$D$135&amp;"",$C3661)),--('Category Dictionary'!$D$5:$D$135&lt;&gt;"")))</f>
        <v/>
      </c>
      <c r="L3661" s="27">
        <f>IF($A3661="","",TRIM(IF(ISERROR(FIND(",",$C3661)),$C3661,LEFT($C3661,FIND(",",$C3661)-1))))</f>
        <v/>
      </c>
      <c r="M3661" s="28">
        <f>IF($H3661="","",DATE(YEAR($H3661),MONTH($H3661),1))</f>
        <v/>
      </c>
      <c r="N3661" s="26">
        <f>IF($H3661="","",TODAY()-$H3661)</f>
        <v/>
      </c>
      <c r="O3661" s="15" t="n"/>
      <c r="P3661" s="15" t="n"/>
      <c r="Q3661" s="15" t="n"/>
      <c r="R3661" s="25" t="n"/>
      <c r="S3661" s="26">
        <f>IF($A3661="","",AND(OR('Assignment Builder'!$B$5="",$B3661='Assignment Builder'!$B$5),OR('Assignment Builder'!$B$6="",ISNUMBER(SEARCH('Assignment Builder'!$B$6,$C3661))),OR('Assignment Builder'!$B$7="",'Assignment Builder'!$B$7=IFERROR(INDEX('Category Dictionary'!$C$5:$C$135,MATCH($L3661,'Category Dictionary'!$D$5:$D$135,0)),"")),OR('Assignment Builder'!$B$8="",$D3661='Assignment Builder'!$B$8),OR('Assignment Builder'!$B$9="",$F3661='Assignment Builder'!$B$9),OR('Assignment Builder'!$B$10="",$O3661='Assignment Builder'!$B$10),OR('Assignment Builder'!$B$11="",$H3661&gt;='Assignment Builder'!$B$11),OR('Assignment Builder'!$B$12="",N($Q3661)&lt;='Assignment Builder'!$B$12)))</f>
        <v/>
      </c>
      <c r="T3661" s="23" t="n"/>
    </row>
    <row r="3662">
      <c r="A3662" s="23" t="n"/>
      <c r="B3662" s="23" t="n"/>
      <c r="C3662" s="24" t="n"/>
      <c r="D3662" s="15" t="n"/>
      <c r="E3662" s="23" t="n"/>
      <c r="F3662" s="15" t="n"/>
      <c r="G3662" s="23" t="n"/>
      <c r="H3662" s="25" t="n"/>
      <c r="I3662" s="15" t="n"/>
      <c r="J3662" s="26">
        <f>IF($A3662="","",LEN($C3662)-LEN(SUBSTITUTE($C3662,",",""))+1)</f>
        <v/>
      </c>
      <c r="K3662" s="26">
        <f>IF($A3662="","",SUMPRODUCT(--ISNUMBER(SEARCH('Category Dictionary'!$D$5:$D$135&amp;"",$C3662)),--('Category Dictionary'!$D$5:$D$135&lt;&gt;"")))</f>
        <v/>
      </c>
      <c r="L3662" s="27">
        <f>IF($A3662="","",TRIM(IF(ISERROR(FIND(",",$C3662)),$C3662,LEFT($C3662,FIND(",",$C3662)-1))))</f>
        <v/>
      </c>
      <c r="M3662" s="28">
        <f>IF($H3662="","",DATE(YEAR($H3662),MONTH($H3662),1))</f>
        <v/>
      </c>
      <c r="N3662" s="26">
        <f>IF($H3662="","",TODAY()-$H3662)</f>
        <v/>
      </c>
      <c r="O3662" s="15" t="n"/>
      <c r="P3662" s="15" t="n"/>
      <c r="Q3662" s="15" t="n"/>
      <c r="R3662" s="25" t="n"/>
      <c r="S3662" s="26">
        <f>IF($A3662="","",AND(OR('Assignment Builder'!$B$5="",$B3662='Assignment Builder'!$B$5),OR('Assignment Builder'!$B$6="",ISNUMBER(SEARCH('Assignment Builder'!$B$6,$C3662))),OR('Assignment Builder'!$B$7="",'Assignment Builder'!$B$7=IFERROR(INDEX('Category Dictionary'!$C$5:$C$135,MATCH($L3662,'Category Dictionary'!$D$5:$D$135,0)),"")),OR('Assignment Builder'!$B$8="",$D3662='Assignment Builder'!$B$8),OR('Assignment Builder'!$B$9="",$F3662='Assignment Builder'!$B$9),OR('Assignment Builder'!$B$10="",$O3662='Assignment Builder'!$B$10),OR('Assignment Builder'!$B$11="",$H3662&gt;='Assignment Builder'!$B$11),OR('Assignment Builder'!$B$12="",N($Q3662)&lt;='Assignment Builder'!$B$12)))</f>
        <v/>
      </c>
      <c r="T3662" s="23" t="n"/>
    </row>
    <row r="3663">
      <c r="A3663" s="23" t="n"/>
      <c r="B3663" s="23" t="n"/>
      <c r="C3663" s="24" t="n"/>
      <c r="D3663" s="15" t="n"/>
      <c r="E3663" s="23" t="n"/>
      <c r="F3663" s="15" t="n"/>
      <c r="G3663" s="23" t="n"/>
      <c r="H3663" s="25" t="n"/>
      <c r="I3663" s="15" t="n"/>
      <c r="J3663" s="26">
        <f>IF($A3663="","",LEN($C3663)-LEN(SUBSTITUTE($C3663,",",""))+1)</f>
        <v/>
      </c>
      <c r="K3663" s="26">
        <f>IF($A3663="","",SUMPRODUCT(--ISNUMBER(SEARCH('Category Dictionary'!$D$5:$D$135&amp;"",$C3663)),--('Category Dictionary'!$D$5:$D$135&lt;&gt;"")))</f>
        <v/>
      </c>
      <c r="L3663" s="27">
        <f>IF($A3663="","",TRIM(IF(ISERROR(FIND(",",$C3663)),$C3663,LEFT($C3663,FIND(",",$C3663)-1))))</f>
        <v/>
      </c>
      <c r="M3663" s="28">
        <f>IF($H3663="","",DATE(YEAR($H3663),MONTH($H3663),1))</f>
        <v/>
      </c>
      <c r="N3663" s="26">
        <f>IF($H3663="","",TODAY()-$H3663)</f>
        <v/>
      </c>
      <c r="O3663" s="15" t="n"/>
      <c r="P3663" s="15" t="n"/>
      <c r="Q3663" s="15" t="n"/>
      <c r="R3663" s="25" t="n"/>
      <c r="S3663" s="26">
        <f>IF($A3663="","",AND(OR('Assignment Builder'!$B$5="",$B3663='Assignment Builder'!$B$5),OR('Assignment Builder'!$B$6="",ISNUMBER(SEARCH('Assignment Builder'!$B$6,$C3663))),OR('Assignment Builder'!$B$7="",'Assignment Builder'!$B$7=IFERROR(INDEX('Category Dictionary'!$C$5:$C$135,MATCH($L3663,'Category Dictionary'!$D$5:$D$135,0)),"")),OR('Assignment Builder'!$B$8="",$D3663='Assignment Builder'!$B$8),OR('Assignment Builder'!$B$9="",$F3663='Assignment Builder'!$B$9),OR('Assignment Builder'!$B$10="",$O3663='Assignment Builder'!$B$10),OR('Assignment Builder'!$B$11="",$H3663&gt;='Assignment Builder'!$B$11),OR('Assignment Builder'!$B$12="",N($Q3663)&lt;='Assignment Builder'!$B$12)))</f>
        <v/>
      </c>
      <c r="T3663" s="23" t="n"/>
    </row>
    <row r="3664">
      <c r="A3664" s="23" t="n"/>
      <c r="B3664" s="23" t="n"/>
      <c r="C3664" s="24" t="n"/>
      <c r="D3664" s="15" t="n"/>
      <c r="E3664" s="23" t="n"/>
      <c r="F3664" s="15" t="n"/>
      <c r="G3664" s="23" t="n"/>
      <c r="H3664" s="25" t="n"/>
      <c r="I3664" s="15" t="n"/>
      <c r="J3664" s="26">
        <f>IF($A3664="","",LEN($C3664)-LEN(SUBSTITUTE($C3664,",",""))+1)</f>
        <v/>
      </c>
      <c r="K3664" s="26">
        <f>IF($A3664="","",SUMPRODUCT(--ISNUMBER(SEARCH('Category Dictionary'!$D$5:$D$135&amp;"",$C3664)),--('Category Dictionary'!$D$5:$D$135&lt;&gt;"")))</f>
        <v/>
      </c>
      <c r="L3664" s="27">
        <f>IF($A3664="","",TRIM(IF(ISERROR(FIND(",",$C3664)),$C3664,LEFT($C3664,FIND(",",$C3664)-1))))</f>
        <v/>
      </c>
      <c r="M3664" s="28">
        <f>IF($H3664="","",DATE(YEAR($H3664),MONTH($H3664),1))</f>
        <v/>
      </c>
      <c r="N3664" s="26">
        <f>IF($H3664="","",TODAY()-$H3664)</f>
        <v/>
      </c>
      <c r="O3664" s="15" t="n"/>
      <c r="P3664" s="15" t="n"/>
      <c r="Q3664" s="15" t="n"/>
      <c r="R3664" s="25" t="n"/>
      <c r="S3664" s="26">
        <f>IF($A3664="","",AND(OR('Assignment Builder'!$B$5="",$B3664='Assignment Builder'!$B$5),OR('Assignment Builder'!$B$6="",ISNUMBER(SEARCH('Assignment Builder'!$B$6,$C3664))),OR('Assignment Builder'!$B$7="",'Assignment Builder'!$B$7=IFERROR(INDEX('Category Dictionary'!$C$5:$C$135,MATCH($L3664,'Category Dictionary'!$D$5:$D$135,0)),"")),OR('Assignment Builder'!$B$8="",$D3664='Assignment Builder'!$B$8),OR('Assignment Builder'!$B$9="",$F3664='Assignment Builder'!$B$9),OR('Assignment Builder'!$B$10="",$O3664='Assignment Builder'!$B$10),OR('Assignment Builder'!$B$11="",$H3664&gt;='Assignment Builder'!$B$11),OR('Assignment Builder'!$B$12="",N($Q3664)&lt;='Assignment Builder'!$B$12)))</f>
        <v/>
      </c>
      <c r="T3664" s="23" t="n"/>
    </row>
    <row r="3665">
      <c r="A3665" s="23" t="n"/>
      <c r="B3665" s="23" t="n"/>
      <c r="C3665" s="24" t="n"/>
      <c r="D3665" s="15" t="n"/>
      <c r="E3665" s="23" t="n"/>
      <c r="F3665" s="15" t="n"/>
      <c r="G3665" s="23" t="n"/>
      <c r="H3665" s="25" t="n"/>
      <c r="I3665" s="15" t="n"/>
      <c r="J3665" s="26">
        <f>IF($A3665="","",LEN($C3665)-LEN(SUBSTITUTE($C3665,",",""))+1)</f>
        <v/>
      </c>
      <c r="K3665" s="26">
        <f>IF($A3665="","",SUMPRODUCT(--ISNUMBER(SEARCH('Category Dictionary'!$D$5:$D$135&amp;"",$C3665)),--('Category Dictionary'!$D$5:$D$135&lt;&gt;"")))</f>
        <v/>
      </c>
      <c r="L3665" s="27">
        <f>IF($A3665="","",TRIM(IF(ISERROR(FIND(",",$C3665)),$C3665,LEFT($C3665,FIND(",",$C3665)-1))))</f>
        <v/>
      </c>
      <c r="M3665" s="28">
        <f>IF($H3665="","",DATE(YEAR($H3665),MONTH($H3665),1))</f>
        <v/>
      </c>
      <c r="N3665" s="26">
        <f>IF($H3665="","",TODAY()-$H3665)</f>
        <v/>
      </c>
      <c r="O3665" s="15" t="n"/>
      <c r="P3665" s="15" t="n"/>
      <c r="Q3665" s="15" t="n"/>
      <c r="R3665" s="25" t="n"/>
      <c r="S3665" s="26">
        <f>IF($A3665="","",AND(OR('Assignment Builder'!$B$5="",$B3665='Assignment Builder'!$B$5),OR('Assignment Builder'!$B$6="",ISNUMBER(SEARCH('Assignment Builder'!$B$6,$C3665))),OR('Assignment Builder'!$B$7="",'Assignment Builder'!$B$7=IFERROR(INDEX('Category Dictionary'!$C$5:$C$135,MATCH($L3665,'Category Dictionary'!$D$5:$D$135,0)),"")),OR('Assignment Builder'!$B$8="",$D3665='Assignment Builder'!$B$8),OR('Assignment Builder'!$B$9="",$F3665='Assignment Builder'!$B$9),OR('Assignment Builder'!$B$10="",$O3665='Assignment Builder'!$B$10),OR('Assignment Builder'!$B$11="",$H3665&gt;='Assignment Builder'!$B$11),OR('Assignment Builder'!$B$12="",N($Q3665)&lt;='Assignment Builder'!$B$12)))</f>
        <v/>
      </c>
      <c r="T3665" s="23" t="n"/>
    </row>
    <row r="3666">
      <c r="A3666" s="23" t="n"/>
      <c r="B3666" s="23" t="n"/>
      <c r="C3666" s="24" t="n"/>
      <c r="D3666" s="15" t="n"/>
      <c r="E3666" s="23" t="n"/>
      <c r="F3666" s="15" t="n"/>
      <c r="G3666" s="23" t="n"/>
      <c r="H3666" s="25" t="n"/>
      <c r="I3666" s="15" t="n"/>
      <c r="J3666" s="26">
        <f>IF($A3666="","",LEN($C3666)-LEN(SUBSTITUTE($C3666,",",""))+1)</f>
        <v/>
      </c>
      <c r="K3666" s="26">
        <f>IF($A3666="","",SUMPRODUCT(--ISNUMBER(SEARCH('Category Dictionary'!$D$5:$D$135&amp;"",$C3666)),--('Category Dictionary'!$D$5:$D$135&lt;&gt;"")))</f>
        <v/>
      </c>
      <c r="L3666" s="27">
        <f>IF($A3666="","",TRIM(IF(ISERROR(FIND(",",$C3666)),$C3666,LEFT($C3666,FIND(",",$C3666)-1))))</f>
        <v/>
      </c>
      <c r="M3666" s="28">
        <f>IF($H3666="","",DATE(YEAR($H3666),MONTH($H3666),1))</f>
        <v/>
      </c>
      <c r="N3666" s="26">
        <f>IF($H3666="","",TODAY()-$H3666)</f>
        <v/>
      </c>
      <c r="O3666" s="15" t="n"/>
      <c r="P3666" s="15" t="n"/>
      <c r="Q3666" s="15" t="n"/>
      <c r="R3666" s="25" t="n"/>
      <c r="S3666" s="26">
        <f>IF($A3666="","",AND(OR('Assignment Builder'!$B$5="",$B3666='Assignment Builder'!$B$5),OR('Assignment Builder'!$B$6="",ISNUMBER(SEARCH('Assignment Builder'!$B$6,$C3666))),OR('Assignment Builder'!$B$7="",'Assignment Builder'!$B$7=IFERROR(INDEX('Category Dictionary'!$C$5:$C$135,MATCH($L3666,'Category Dictionary'!$D$5:$D$135,0)),"")),OR('Assignment Builder'!$B$8="",$D3666='Assignment Builder'!$B$8),OR('Assignment Builder'!$B$9="",$F3666='Assignment Builder'!$B$9),OR('Assignment Builder'!$B$10="",$O3666='Assignment Builder'!$B$10),OR('Assignment Builder'!$B$11="",$H3666&gt;='Assignment Builder'!$B$11),OR('Assignment Builder'!$B$12="",N($Q3666)&lt;='Assignment Builder'!$B$12)))</f>
        <v/>
      </c>
      <c r="T3666" s="23" t="n"/>
    </row>
    <row r="3667">
      <c r="A3667" s="23" t="n"/>
      <c r="B3667" s="23" t="n"/>
      <c r="C3667" s="24" t="n"/>
      <c r="D3667" s="15" t="n"/>
      <c r="E3667" s="23" t="n"/>
      <c r="F3667" s="15" t="n"/>
      <c r="G3667" s="23" t="n"/>
      <c r="H3667" s="25" t="n"/>
      <c r="I3667" s="15" t="n"/>
      <c r="J3667" s="26">
        <f>IF($A3667="","",LEN($C3667)-LEN(SUBSTITUTE($C3667,",",""))+1)</f>
        <v/>
      </c>
      <c r="K3667" s="26">
        <f>IF($A3667="","",SUMPRODUCT(--ISNUMBER(SEARCH('Category Dictionary'!$D$5:$D$135&amp;"",$C3667)),--('Category Dictionary'!$D$5:$D$135&lt;&gt;"")))</f>
        <v/>
      </c>
      <c r="L3667" s="27">
        <f>IF($A3667="","",TRIM(IF(ISERROR(FIND(",",$C3667)),$C3667,LEFT($C3667,FIND(",",$C3667)-1))))</f>
        <v/>
      </c>
      <c r="M3667" s="28">
        <f>IF($H3667="","",DATE(YEAR($H3667),MONTH($H3667),1))</f>
        <v/>
      </c>
      <c r="N3667" s="26">
        <f>IF($H3667="","",TODAY()-$H3667)</f>
        <v/>
      </c>
      <c r="O3667" s="15" t="n"/>
      <c r="P3667" s="15" t="n"/>
      <c r="Q3667" s="15" t="n"/>
      <c r="R3667" s="25" t="n"/>
      <c r="S3667" s="26">
        <f>IF($A3667="","",AND(OR('Assignment Builder'!$B$5="",$B3667='Assignment Builder'!$B$5),OR('Assignment Builder'!$B$6="",ISNUMBER(SEARCH('Assignment Builder'!$B$6,$C3667))),OR('Assignment Builder'!$B$7="",'Assignment Builder'!$B$7=IFERROR(INDEX('Category Dictionary'!$C$5:$C$135,MATCH($L3667,'Category Dictionary'!$D$5:$D$135,0)),"")),OR('Assignment Builder'!$B$8="",$D3667='Assignment Builder'!$B$8),OR('Assignment Builder'!$B$9="",$F3667='Assignment Builder'!$B$9),OR('Assignment Builder'!$B$10="",$O3667='Assignment Builder'!$B$10),OR('Assignment Builder'!$B$11="",$H3667&gt;='Assignment Builder'!$B$11),OR('Assignment Builder'!$B$12="",N($Q3667)&lt;='Assignment Builder'!$B$12)))</f>
        <v/>
      </c>
      <c r="T3667" s="23" t="n"/>
    </row>
    <row r="3668">
      <c r="A3668" s="23" t="n"/>
      <c r="B3668" s="23" t="n"/>
      <c r="C3668" s="24" t="n"/>
      <c r="D3668" s="15" t="n"/>
      <c r="E3668" s="23" t="n"/>
      <c r="F3668" s="15" t="n"/>
      <c r="G3668" s="23" t="n"/>
      <c r="H3668" s="25" t="n"/>
      <c r="I3668" s="15" t="n"/>
      <c r="J3668" s="26">
        <f>IF($A3668="","",LEN($C3668)-LEN(SUBSTITUTE($C3668,",",""))+1)</f>
        <v/>
      </c>
      <c r="K3668" s="26">
        <f>IF($A3668="","",SUMPRODUCT(--ISNUMBER(SEARCH('Category Dictionary'!$D$5:$D$135&amp;"",$C3668)),--('Category Dictionary'!$D$5:$D$135&lt;&gt;"")))</f>
        <v/>
      </c>
      <c r="L3668" s="27">
        <f>IF($A3668="","",TRIM(IF(ISERROR(FIND(",",$C3668)),$C3668,LEFT($C3668,FIND(",",$C3668)-1))))</f>
        <v/>
      </c>
      <c r="M3668" s="28">
        <f>IF($H3668="","",DATE(YEAR($H3668),MONTH($H3668),1))</f>
        <v/>
      </c>
      <c r="N3668" s="26">
        <f>IF($H3668="","",TODAY()-$H3668)</f>
        <v/>
      </c>
      <c r="O3668" s="15" t="n"/>
      <c r="P3668" s="15" t="n"/>
      <c r="Q3668" s="15" t="n"/>
      <c r="R3668" s="25" t="n"/>
      <c r="S3668" s="26">
        <f>IF($A3668="","",AND(OR('Assignment Builder'!$B$5="",$B3668='Assignment Builder'!$B$5),OR('Assignment Builder'!$B$6="",ISNUMBER(SEARCH('Assignment Builder'!$B$6,$C3668))),OR('Assignment Builder'!$B$7="",'Assignment Builder'!$B$7=IFERROR(INDEX('Category Dictionary'!$C$5:$C$135,MATCH($L3668,'Category Dictionary'!$D$5:$D$135,0)),"")),OR('Assignment Builder'!$B$8="",$D3668='Assignment Builder'!$B$8),OR('Assignment Builder'!$B$9="",$F3668='Assignment Builder'!$B$9),OR('Assignment Builder'!$B$10="",$O3668='Assignment Builder'!$B$10),OR('Assignment Builder'!$B$11="",$H3668&gt;='Assignment Builder'!$B$11),OR('Assignment Builder'!$B$12="",N($Q3668)&lt;='Assignment Builder'!$B$12)))</f>
        <v/>
      </c>
      <c r="T3668" s="23" t="n"/>
    </row>
    <row r="3669">
      <c r="A3669" s="23" t="n"/>
      <c r="B3669" s="23" t="n"/>
      <c r="C3669" s="24" t="n"/>
      <c r="D3669" s="15" t="n"/>
      <c r="E3669" s="23" t="n"/>
      <c r="F3669" s="15" t="n"/>
      <c r="G3669" s="23" t="n"/>
      <c r="H3669" s="25" t="n"/>
      <c r="I3669" s="15" t="n"/>
      <c r="J3669" s="26">
        <f>IF($A3669="","",LEN($C3669)-LEN(SUBSTITUTE($C3669,",",""))+1)</f>
        <v/>
      </c>
      <c r="K3669" s="26">
        <f>IF($A3669="","",SUMPRODUCT(--ISNUMBER(SEARCH('Category Dictionary'!$D$5:$D$135&amp;"",$C3669)),--('Category Dictionary'!$D$5:$D$135&lt;&gt;"")))</f>
        <v/>
      </c>
      <c r="L3669" s="27">
        <f>IF($A3669="","",TRIM(IF(ISERROR(FIND(",",$C3669)),$C3669,LEFT($C3669,FIND(",",$C3669)-1))))</f>
        <v/>
      </c>
      <c r="M3669" s="28">
        <f>IF($H3669="","",DATE(YEAR($H3669),MONTH($H3669),1))</f>
        <v/>
      </c>
      <c r="N3669" s="26">
        <f>IF($H3669="","",TODAY()-$H3669)</f>
        <v/>
      </c>
      <c r="O3669" s="15" t="n"/>
      <c r="P3669" s="15" t="n"/>
      <c r="Q3669" s="15" t="n"/>
      <c r="R3669" s="25" t="n"/>
      <c r="S3669" s="26">
        <f>IF($A3669="","",AND(OR('Assignment Builder'!$B$5="",$B3669='Assignment Builder'!$B$5),OR('Assignment Builder'!$B$6="",ISNUMBER(SEARCH('Assignment Builder'!$B$6,$C3669))),OR('Assignment Builder'!$B$7="",'Assignment Builder'!$B$7=IFERROR(INDEX('Category Dictionary'!$C$5:$C$135,MATCH($L3669,'Category Dictionary'!$D$5:$D$135,0)),"")),OR('Assignment Builder'!$B$8="",$D3669='Assignment Builder'!$B$8),OR('Assignment Builder'!$B$9="",$F3669='Assignment Builder'!$B$9),OR('Assignment Builder'!$B$10="",$O3669='Assignment Builder'!$B$10),OR('Assignment Builder'!$B$11="",$H3669&gt;='Assignment Builder'!$B$11),OR('Assignment Builder'!$B$12="",N($Q3669)&lt;='Assignment Builder'!$B$12)))</f>
        <v/>
      </c>
      <c r="T3669" s="23" t="n"/>
    </row>
    <row r="3670">
      <c r="A3670" s="23" t="n"/>
      <c r="B3670" s="23" t="n"/>
      <c r="C3670" s="24" t="n"/>
      <c r="D3670" s="15" t="n"/>
      <c r="E3670" s="23" t="n"/>
      <c r="F3670" s="15" t="n"/>
      <c r="G3670" s="23" t="n"/>
      <c r="H3670" s="25" t="n"/>
      <c r="I3670" s="15" t="n"/>
      <c r="J3670" s="26">
        <f>IF($A3670="","",LEN($C3670)-LEN(SUBSTITUTE($C3670,",",""))+1)</f>
        <v/>
      </c>
      <c r="K3670" s="26">
        <f>IF($A3670="","",SUMPRODUCT(--ISNUMBER(SEARCH('Category Dictionary'!$D$5:$D$135&amp;"",$C3670)),--('Category Dictionary'!$D$5:$D$135&lt;&gt;"")))</f>
        <v/>
      </c>
      <c r="L3670" s="27">
        <f>IF($A3670="","",TRIM(IF(ISERROR(FIND(",",$C3670)),$C3670,LEFT($C3670,FIND(",",$C3670)-1))))</f>
        <v/>
      </c>
      <c r="M3670" s="28">
        <f>IF($H3670="","",DATE(YEAR($H3670),MONTH($H3670),1))</f>
        <v/>
      </c>
      <c r="N3670" s="26">
        <f>IF($H3670="","",TODAY()-$H3670)</f>
        <v/>
      </c>
      <c r="O3670" s="15" t="n"/>
      <c r="P3670" s="15" t="n"/>
      <c r="Q3670" s="15" t="n"/>
      <c r="R3670" s="25" t="n"/>
      <c r="S3670" s="26">
        <f>IF($A3670="","",AND(OR('Assignment Builder'!$B$5="",$B3670='Assignment Builder'!$B$5),OR('Assignment Builder'!$B$6="",ISNUMBER(SEARCH('Assignment Builder'!$B$6,$C3670))),OR('Assignment Builder'!$B$7="",'Assignment Builder'!$B$7=IFERROR(INDEX('Category Dictionary'!$C$5:$C$135,MATCH($L3670,'Category Dictionary'!$D$5:$D$135,0)),"")),OR('Assignment Builder'!$B$8="",$D3670='Assignment Builder'!$B$8),OR('Assignment Builder'!$B$9="",$F3670='Assignment Builder'!$B$9),OR('Assignment Builder'!$B$10="",$O3670='Assignment Builder'!$B$10),OR('Assignment Builder'!$B$11="",$H3670&gt;='Assignment Builder'!$B$11),OR('Assignment Builder'!$B$12="",N($Q3670)&lt;='Assignment Builder'!$B$12)))</f>
        <v/>
      </c>
      <c r="T3670" s="23" t="n"/>
    </row>
    <row r="3671">
      <c r="A3671" s="23" t="n"/>
      <c r="B3671" s="23" t="n"/>
      <c r="C3671" s="24" t="n"/>
      <c r="D3671" s="15" t="n"/>
      <c r="E3671" s="23" t="n"/>
      <c r="F3671" s="15" t="n"/>
      <c r="G3671" s="23" t="n"/>
      <c r="H3671" s="25" t="n"/>
      <c r="I3671" s="15" t="n"/>
      <c r="J3671" s="26">
        <f>IF($A3671="","",LEN($C3671)-LEN(SUBSTITUTE($C3671,",",""))+1)</f>
        <v/>
      </c>
      <c r="K3671" s="26">
        <f>IF($A3671="","",SUMPRODUCT(--ISNUMBER(SEARCH('Category Dictionary'!$D$5:$D$135&amp;"",$C3671)),--('Category Dictionary'!$D$5:$D$135&lt;&gt;"")))</f>
        <v/>
      </c>
      <c r="L3671" s="27">
        <f>IF($A3671="","",TRIM(IF(ISERROR(FIND(",",$C3671)),$C3671,LEFT($C3671,FIND(",",$C3671)-1))))</f>
        <v/>
      </c>
      <c r="M3671" s="28">
        <f>IF($H3671="","",DATE(YEAR($H3671),MONTH($H3671),1))</f>
        <v/>
      </c>
      <c r="N3671" s="26">
        <f>IF($H3671="","",TODAY()-$H3671)</f>
        <v/>
      </c>
      <c r="O3671" s="15" t="n"/>
      <c r="P3671" s="15" t="n"/>
      <c r="Q3671" s="15" t="n"/>
      <c r="R3671" s="25" t="n"/>
      <c r="S3671" s="26">
        <f>IF($A3671="","",AND(OR('Assignment Builder'!$B$5="",$B3671='Assignment Builder'!$B$5),OR('Assignment Builder'!$B$6="",ISNUMBER(SEARCH('Assignment Builder'!$B$6,$C3671))),OR('Assignment Builder'!$B$7="",'Assignment Builder'!$B$7=IFERROR(INDEX('Category Dictionary'!$C$5:$C$135,MATCH($L3671,'Category Dictionary'!$D$5:$D$135,0)),"")),OR('Assignment Builder'!$B$8="",$D3671='Assignment Builder'!$B$8),OR('Assignment Builder'!$B$9="",$F3671='Assignment Builder'!$B$9),OR('Assignment Builder'!$B$10="",$O3671='Assignment Builder'!$B$10),OR('Assignment Builder'!$B$11="",$H3671&gt;='Assignment Builder'!$B$11),OR('Assignment Builder'!$B$12="",N($Q3671)&lt;='Assignment Builder'!$B$12)))</f>
        <v/>
      </c>
      <c r="T3671" s="23" t="n"/>
    </row>
    <row r="3672">
      <c r="A3672" s="23" t="n"/>
      <c r="B3672" s="23" t="n"/>
      <c r="C3672" s="24" t="n"/>
      <c r="D3672" s="15" t="n"/>
      <c r="E3672" s="23" t="n"/>
      <c r="F3672" s="15" t="n"/>
      <c r="G3672" s="23" t="n"/>
      <c r="H3672" s="25" t="n"/>
      <c r="I3672" s="15" t="n"/>
      <c r="J3672" s="26">
        <f>IF($A3672="","",LEN($C3672)-LEN(SUBSTITUTE($C3672,",",""))+1)</f>
        <v/>
      </c>
      <c r="K3672" s="26">
        <f>IF($A3672="","",SUMPRODUCT(--ISNUMBER(SEARCH('Category Dictionary'!$D$5:$D$135&amp;"",$C3672)),--('Category Dictionary'!$D$5:$D$135&lt;&gt;"")))</f>
        <v/>
      </c>
      <c r="L3672" s="27">
        <f>IF($A3672="","",TRIM(IF(ISERROR(FIND(",",$C3672)),$C3672,LEFT($C3672,FIND(",",$C3672)-1))))</f>
        <v/>
      </c>
      <c r="M3672" s="28">
        <f>IF($H3672="","",DATE(YEAR($H3672),MONTH($H3672),1))</f>
        <v/>
      </c>
      <c r="N3672" s="26">
        <f>IF($H3672="","",TODAY()-$H3672)</f>
        <v/>
      </c>
      <c r="O3672" s="15" t="n"/>
      <c r="P3672" s="15" t="n"/>
      <c r="Q3672" s="15" t="n"/>
      <c r="R3672" s="25" t="n"/>
      <c r="S3672" s="26">
        <f>IF($A3672="","",AND(OR('Assignment Builder'!$B$5="",$B3672='Assignment Builder'!$B$5),OR('Assignment Builder'!$B$6="",ISNUMBER(SEARCH('Assignment Builder'!$B$6,$C3672))),OR('Assignment Builder'!$B$7="",'Assignment Builder'!$B$7=IFERROR(INDEX('Category Dictionary'!$C$5:$C$135,MATCH($L3672,'Category Dictionary'!$D$5:$D$135,0)),"")),OR('Assignment Builder'!$B$8="",$D3672='Assignment Builder'!$B$8),OR('Assignment Builder'!$B$9="",$F3672='Assignment Builder'!$B$9),OR('Assignment Builder'!$B$10="",$O3672='Assignment Builder'!$B$10),OR('Assignment Builder'!$B$11="",$H3672&gt;='Assignment Builder'!$B$11),OR('Assignment Builder'!$B$12="",N($Q3672)&lt;='Assignment Builder'!$B$12)))</f>
        <v/>
      </c>
      <c r="T3672" s="23" t="n"/>
    </row>
    <row r="3673">
      <c r="A3673" s="23" t="n"/>
      <c r="B3673" s="23" t="n"/>
      <c r="C3673" s="24" t="n"/>
      <c r="D3673" s="15" t="n"/>
      <c r="E3673" s="23" t="n"/>
      <c r="F3673" s="15" t="n"/>
      <c r="G3673" s="23" t="n"/>
      <c r="H3673" s="25" t="n"/>
      <c r="I3673" s="15" t="n"/>
      <c r="J3673" s="26">
        <f>IF($A3673="","",LEN($C3673)-LEN(SUBSTITUTE($C3673,",",""))+1)</f>
        <v/>
      </c>
      <c r="K3673" s="26">
        <f>IF($A3673="","",SUMPRODUCT(--ISNUMBER(SEARCH('Category Dictionary'!$D$5:$D$135&amp;"",$C3673)),--('Category Dictionary'!$D$5:$D$135&lt;&gt;"")))</f>
        <v/>
      </c>
      <c r="L3673" s="27">
        <f>IF($A3673="","",TRIM(IF(ISERROR(FIND(",",$C3673)),$C3673,LEFT($C3673,FIND(",",$C3673)-1))))</f>
        <v/>
      </c>
      <c r="M3673" s="28">
        <f>IF($H3673="","",DATE(YEAR($H3673),MONTH($H3673),1))</f>
        <v/>
      </c>
      <c r="N3673" s="26">
        <f>IF($H3673="","",TODAY()-$H3673)</f>
        <v/>
      </c>
      <c r="O3673" s="15" t="n"/>
      <c r="P3673" s="15" t="n"/>
      <c r="Q3673" s="15" t="n"/>
      <c r="R3673" s="25" t="n"/>
      <c r="S3673" s="26">
        <f>IF($A3673="","",AND(OR('Assignment Builder'!$B$5="",$B3673='Assignment Builder'!$B$5),OR('Assignment Builder'!$B$6="",ISNUMBER(SEARCH('Assignment Builder'!$B$6,$C3673))),OR('Assignment Builder'!$B$7="",'Assignment Builder'!$B$7=IFERROR(INDEX('Category Dictionary'!$C$5:$C$135,MATCH($L3673,'Category Dictionary'!$D$5:$D$135,0)),"")),OR('Assignment Builder'!$B$8="",$D3673='Assignment Builder'!$B$8),OR('Assignment Builder'!$B$9="",$F3673='Assignment Builder'!$B$9),OR('Assignment Builder'!$B$10="",$O3673='Assignment Builder'!$B$10),OR('Assignment Builder'!$B$11="",$H3673&gt;='Assignment Builder'!$B$11),OR('Assignment Builder'!$B$12="",N($Q3673)&lt;='Assignment Builder'!$B$12)))</f>
        <v/>
      </c>
      <c r="T3673" s="23" t="n"/>
    </row>
    <row r="3674">
      <c r="A3674" s="23" t="n"/>
      <c r="B3674" s="23" t="n"/>
      <c r="C3674" s="24" t="n"/>
      <c r="D3674" s="15" t="n"/>
      <c r="E3674" s="23" t="n"/>
      <c r="F3674" s="15" t="n"/>
      <c r="G3674" s="23" t="n"/>
      <c r="H3674" s="25" t="n"/>
      <c r="I3674" s="15" t="n"/>
      <c r="J3674" s="26">
        <f>IF($A3674="","",LEN($C3674)-LEN(SUBSTITUTE($C3674,",",""))+1)</f>
        <v/>
      </c>
      <c r="K3674" s="26">
        <f>IF($A3674="","",SUMPRODUCT(--ISNUMBER(SEARCH('Category Dictionary'!$D$5:$D$135&amp;"",$C3674)),--('Category Dictionary'!$D$5:$D$135&lt;&gt;"")))</f>
        <v/>
      </c>
      <c r="L3674" s="27">
        <f>IF($A3674="","",TRIM(IF(ISERROR(FIND(",",$C3674)),$C3674,LEFT($C3674,FIND(",",$C3674)-1))))</f>
        <v/>
      </c>
      <c r="M3674" s="28">
        <f>IF($H3674="","",DATE(YEAR($H3674),MONTH($H3674),1))</f>
        <v/>
      </c>
      <c r="N3674" s="26">
        <f>IF($H3674="","",TODAY()-$H3674)</f>
        <v/>
      </c>
      <c r="O3674" s="15" t="n"/>
      <c r="P3674" s="15" t="n"/>
      <c r="Q3674" s="15" t="n"/>
      <c r="R3674" s="25" t="n"/>
      <c r="S3674" s="26">
        <f>IF($A3674="","",AND(OR('Assignment Builder'!$B$5="",$B3674='Assignment Builder'!$B$5),OR('Assignment Builder'!$B$6="",ISNUMBER(SEARCH('Assignment Builder'!$B$6,$C3674))),OR('Assignment Builder'!$B$7="",'Assignment Builder'!$B$7=IFERROR(INDEX('Category Dictionary'!$C$5:$C$135,MATCH($L3674,'Category Dictionary'!$D$5:$D$135,0)),"")),OR('Assignment Builder'!$B$8="",$D3674='Assignment Builder'!$B$8),OR('Assignment Builder'!$B$9="",$F3674='Assignment Builder'!$B$9),OR('Assignment Builder'!$B$10="",$O3674='Assignment Builder'!$B$10),OR('Assignment Builder'!$B$11="",$H3674&gt;='Assignment Builder'!$B$11),OR('Assignment Builder'!$B$12="",N($Q3674)&lt;='Assignment Builder'!$B$12)))</f>
        <v/>
      </c>
      <c r="T3674" s="23" t="n"/>
    </row>
    <row r="3675">
      <c r="A3675" s="23" t="n"/>
      <c r="B3675" s="23" t="n"/>
      <c r="C3675" s="24" t="n"/>
      <c r="D3675" s="15" t="n"/>
      <c r="E3675" s="23" t="n"/>
      <c r="F3675" s="15" t="n"/>
      <c r="G3675" s="23" t="n"/>
      <c r="H3675" s="25" t="n"/>
      <c r="I3675" s="15" t="n"/>
      <c r="J3675" s="26">
        <f>IF($A3675="","",LEN($C3675)-LEN(SUBSTITUTE($C3675,",",""))+1)</f>
        <v/>
      </c>
      <c r="K3675" s="26">
        <f>IF($A3675="","",SUMPRODUCT(--ISNUMBER(SEARCH('Category Dictionary'!$D$5:$D$135&amp;"",$C3675)),--('Category Dictionary'!$D$5:$D$135&lt;&gt;"")))</f>
        <v/>
      </c>
      <c r="L3675" s="27">
        <f>IF($A3675="","",TRIM(IF(ISERROR(FIND(",",$C3675)),$C3675,LEFT($C3675,FIND(",",$C3675)-1))))</f>
        <v/>
      </c>
      <c r="M3675" s="28">
        <f>IF($H3675="","",DATE(YEAR($H3675),MONTH($H3675),1))</f>
        <v/>
      </c>
      <c r="N3675" s="26">
        <f>IF($H3675="","",TODAY()-$H3675)</f>
        <v/>
      </c>
      <c r="O3675" s="15" t="n"/>
      <c r="P3675" s="15" t="n"/>
      <c r="Q3675" s="15" t="n"/>
      <c r="R3675" s="25" t="n"/>
      <c r="S3675" s="26">
        <f>IF($A3675="","",AND(OR('Assignment Builder'!$B$5="",$B3675='Assignment Builder'!$B$5),OR('Assignment Builder'!$B$6="",ISNUMBER(SEARCH('Assignment Builder'!$B$6,$C3675))),OR('Assignment Builder'!$B$7="",'Assignment Builder'!$B$7=IFERROR(INDEX('Category Dictionary'!$C$5:$C$135,MATCH($L3675,'Category Dictionary'!$D$5:$D$135,0)),"")),OR('Assignment Builder'!$B$8="",$D3675='Assignment Builder'!$B$8),OR('Assignment Builder'!$B$9="",$F3675='Assignment Builder'!$B$9),OR('Assignment Builder'!$B$10="",$O3675='Assignment Builder'!$B$10),OR('Assignment Builder'!$B$11="",$H3675&gt;='Assignment Builder'!$B$11),OR('Assignment Builder'!$B$12="",N($Q3675)&lt;='Assignment Builder'!$B$12)))</f>
        <v/>
      </c>
      <c r="T3675" s="23" t="n"/>
    </row>
    <row r="3676">
      <c r="A3676" s="23" t="n"/>
      <c r="B3676" s="23" t="n"/>
      <c r="C3676" s="24" t="n"/>
      <c r="D3676" s="15" t="n"/>
      <c r="E3676" s="23" t="n"/>
      <c r="F3676" s="15" t="n"/>
      <c r="G3676" s="23" t="n"/>
      <c r="H3676" s="25" t="n"/>
      <c r="I3676" s="15" t="n"/>
      <c r="J3676" s="26">
        <f>IF($A3676="","",LEN($C3676)-LEN(SUBSTITUTE($C3676,",",""))+1)</f>
        <v/>
      </c>
      <c r="K3676" s="26">
        <f>IF($A3676="","",SUMPRODUCT(--ISNUMBER(SEARCH('Category Dictionary'!$D$5:$D$135&amp;"",$C3676)),--('Category Dictionary'!$D$5:$D$135&lt;&gt;"")))</f>
        <v/>
      </c>
      <c r="L3676" s="27">
        <f>IF($A3676="","",TRIM(IF(ISERROR(FIND(",",$C3676)),$C3676,LEFT($C3676,FIND(",",$C3676)-1))))</f>
        <v/>
      </c>
      <c r="M3676" s="28">
        <f>IF($H3676="","",DATE(YEAR($H3676),MONTH($H3676),1))</f>
        <v/>
      </c>
      <c r="N3676" s="26">
        <f>IF($H3676="","",TODAY()-$H3676)</f>
        <v/>
      </c>
      <c r="O3676" s="15" t="n"/>
      <c r="P3676" s="15" t="n"/>
      <c r="Q3676" s="15" t="n"/>
      <c r="R3676" s="25" t="n"/>
      <c r="S3676" s="26">
        <f>IF($A3676="","",AND(OR('Assignment Builder'!$B$5="",$B3676='Assignment Builder'!$B$5),OR('Assignment Builder'!$B$6="",ISNUMBER(SEARCH('Assignment Builder'!$B$6,$C3676))),OR('Assignment Builder'!$B$7="",'Assignment Builder'!$B$7=IFERROR(INDEX('Category Dictionary'!$C$5:$C$135,MATCH($L3676,'Category Dictionary'!$D$5:$D$135,0)),"")),OR('Assignment Builder'!$B$8="",$D3676='Assignment Builder'!$B$8),OR('Assignment Builder'!$B$9="",$F3676='Assignment Builder'!$B$9),OR('Assignment Builder'!$B$10="",$O3676='Assignment Builder'!$B$10),OR('Assignment Builder'!$B$11="",$H3676&gt;='Assignment Builder'!$B$11),OR('Assignment Builder'!$B$12="",N($Q3676)&lt;='Assignment Builder'!$B$12)))</f>
        <v/>
      </c>
      <c r="T3676" s="23" t="n"/>
    </row>
    <row r="3677">
      <c r="A3677" s="23" t="n"/>
      <c r="B3677" s="23" t="n"/>
      <c r="C3677" s="24" t="n"/>
      <c r="D3677" s="15" t="n"/>
      <c r="E3677" s="23" t="n"/>
      <c r="F3677" s="15" t="n"/>
      <c r="G3677" s="23" t="n"/>
      <c r="H3677" s="25" t="n"/>
      <c r="I3677" s="15" t="n"/>
      <c r="J3677" s="26">
        <f>IF($A3677="","",LEN($C3677)-LEN(SUBSTITUTE($C3677,",",""))+1)</f>
        <v/>
      </c>
      <c r="K3677" s="26">
        <f>IF($A3677="","",SUMPRODUCT(--ISNUMBER(SEARCH('Category Dictionary'!$D$5:$D$135&amp;"",$C3677)),--('Category Dictionary'!$D$5:$D$135&lt;&gt;"")))</f>
        <v/>
      </c>
      <c r="L3677" s="27">
        <f>IF($A3677="","",TRIM(IF(ISERROR(FIND(",",$C3677)),$C3677,LEFT($C3677,FIND(",",$C3677)-1))))</f>
        <v/>
      </c>
      <c r="M3677" s="28">
        <f>IF($H3677="","",DATE(YEAR($H3677),MONTH($H3677),1))</f>
        <v/>
      </c>
      <c r="N3677" s="26">
        <f>IF($H3677="","",TODAY()-$H3677)</f>
        <v/>
      </c>
      <c r="O3677" s="15" t="n"/>
      <c r="P3677" s="15" t="n"/>
      <c r="Q3677" s="15" t="n"/>
      <c r="R3677" s="25" t="n"/>
      <c r="S3677" s="26">
        <f>IF($A3677="","",AND(OR('Assignment Builder'!$B$5="",$B3677='Assignment Builder'!$B$5),OR('Assignment Builder'!$B$6="",ISNUMBER(SEARCH('Assignment Builder'!$B$6,$C3677))),OR('Assignment Builder'!$B$7="",'Assignment Builder'!$B$7=IFERROR(INDEX('Category Dictionary'!$C$5:$C$135,MATCH($L3677,'Category Dictionary'!$D$5:$D$135,0)),"")),OR('Assignment Builder'!$B$8="",$D3677='Assignment Builder'!$B$8),OR('Assignment Builder'!$B$9="",$F3677='Assignment Builder'!$B$9),OR('Assignment Builder'!$B$10="",$O3677='Assignment Builder'!$B$10),OR('Assignment Builder'!$B$11="",$H3677&gt;='Assignment Builder'!$B$11),OR('Assignment Builder'!$B$12="",N($Q3677)&lt;='Assignment Builder'!$B$12)))</f>
        <v/>
      </c>
      <c r="T3677" s="23" t="n"/>
    </row>
    <row r="3678">
      <c r="A3678" s="23" t="n"/>
      <c r="B3678" s="23" t="n"/>
      <c r="C3678" s="24" t="n"/>
      <c r="D3678" s="15" t="n"/>
      <c r="E3678" s="23" t="n"/>
      <c r="F3678" s="15" t="n"/>
      <c r="G3678" s="23" t="n"/>
      <c r="H3678" s="25" t="n"/>
      <c r="I3678" s="15" t="n"/>
      <c r="J3678" s="26">
        <f>IF($A3678="","",LEN($C3678)-LEN(SUBSTITUTE($C3678,",",""))+1)</f>
        <v/>
      </c>
      <c r="K3678" s="26">
        <f>IF($A3678="","",SUMPRODUCT(--ISNUMBER(SEARCH('Category Dictionary'!$D$5:$D$135&amp;"",$C3678)),--('Category Dictionary'!$D$5:$D$135&lt;&gt;"")))</f>
        <v/>
      </c>
      <c r="L3678" s="27">
        <f>IF($A3678="","",TRIM(IF(ISERROR(FIND(",",$C3678)),$C3678,LEFT($C3678,FIND(",",$C3678)-1))))</f>
        <v/>
      </c>
      <c r="M3678" s="28">
        <f>IF($H3678="","",DATE(YEAR($H3678),MONTH($H3678),1))</f>
        <v/>
      </c>
      <c r="N3678" s="26">
        <f>IF($H3678="","",TODAY()-$H3678)</f>
        <v/>
      </c>
      <c r="O3678" s="15" t="n"/>
      <c r="P3678" s="15" t="n"/>
      <c r="Q3678" s="15" t="n"/>
      <c r="R3678" s="25" t="n"/>
      <c r="S3678" s="26">
        <f>IF($A3678="","",AND(OR('Assignment Builder'!$B$5="",$B3678='Assignment Builder'!$B$5),OR('Assignment Builder'!$B$6="",ISNUMBER(SEARCH('Assignment Builder'!$B$6,$C3678))),OR('Assignment Builder'!$B$7="",'Assignment Builder'!$B$7=IFERROR(INDEX('Category Dictionary'!$C$5:$C$135,MATCH($L3678,'Category Dictionary'!$D$5:$D$135,0)),"")),OR('Assignment Builder'!$B$8="",$D3678='Assignment Builder'!$B$8),OR('Assignment Builder'!$B$9="",$F3678='Assignment Builder'!$B$9),OR('Assignment Builder'!$B$10="",$O3678='Assignment Builder'!$B$10),OR('Assignment Builder'!$B$11="",$H3678&gt;='Assignment Builder'!$B$11),OR('Assignment Builder'!$B$12="",N($Q3678)&lt;='Assignment Builder'!$B$12)))</f>
        <v/>
      </c>
      <c r="T3678" s="23" t="n"/>
    </row>
    <row r="3679">
      <c r="A3679" s="23" t="n"/>
      <c r="B3679" s="23" t="n"/>
      <c r="C3679" s="24" t="n"/>
      <c r="D3679" s="15" t="n"/>
      <c r="E3679" s="23" t="n"/>
      <c r="F3679" s="15" t="n"/>
      <c r="G3679" s="23" t="n"/>
      <c r="H3679" s="25" t="n"/>
      <c r="I3679" s="15" t="n"/>
      <c r="J3679" s="26">
        <f>IF($A3679="","",LEN($C3679)-LEN(SUBSTITUTE($C3679,",",""))+1)</f>
        <v/>
      </c>
      <c r="K3679" s="26">
        <f>IF($A3679="","",SUMPRODUCT(--ISNUMBER(SEARCH('Category Dictionary'!$D$5:$D$135&amp;"",$C3679)),--('Category Dictionary'!$D$5:$D$135&lt;&gt;"")))</f>
        <v/>
      </c>
      <c r="L3679" s="27">
        <f>IF($A3679="","",TRIM(IF(ISERROR(FIND(",",$C3679)),$C3679,LEFT($C3679,FIND(",",$C3679)-1))))</f>
        <v/>
      </c>
      <c r="M3679" s="28">
        <f>IF($H3679="","",DATE(YEAR($H3679),MONTH($H3679),1))</f>
        <v/>
      </c>
      <c r="N3679" s="26">
        <f>IF($H3679="","",TODAY()-$H3679)</f>
        <v/>
      </c>
      <c r="O3679" s="15" t="n"/>
      <c r="P3679" s="15" t="n"/>
      <c r="Q3679" s="15" t="n"/>
      <c r="R3679" s="25" t="n"/>
      <c r="S3679" s="26">
        <f>IF($A3679="","",AND(OR('Assignment Builder'!$B$5="",$B3679='Assignment Builder'!$B$5),OR('Assignment Builder'!$B$6="",ISNUMBER(SEARCH('Assignment Builder'!$B$6,$C3679))),OR('Assignment Builder'!$B$7="",'Assignment Builder'!$B$7=IFERROR(INDEX('Category Dictionary'!$C$5:$C$135,MATCH($L3679,'Category Dictionary'!$D$5:$D$135,0)),"")),OR('Assignment Builder'!$B$8="",$D3679='Assignment Builder'!$B$8),OR('Assignment Builder'!$B$9="",$F3679='Assignment Builder'!$B$9),OR('Assignment Builder'!$B$10="",$O3679='Assignment Builder'!$B$10),OR('Assignment Builder'!$B$11="",$H3679&gt;='Assignment Builder'!$B$11),OR('Assignment Builder'!$B$12="",N($Q3679)&lt;='Assignment Builder'!$B$12)))</f>
        <v/>
      </c>
      <c r="T3679" s="23" t="n"/>
    </row>
    <row r="3680">
      <c r="A3680" s="23" t="n"/>
      <c r="B3680" s="23" t="n"/>
      <c r="C3680" s="24" t="n"/>
      <c r="D3680" s="15" t="n"/>
      <c r="E3680" s="23" t="n"/>
      <c r="F3680" s="15" t="n"/>
      <c r="G3680" s="23" t="n"/>
      <c r="H3680" s="25" t="n"/>
      <c r="I3680" s="15" t="n"/>
      <c r="J3680" s="26">
        <f>IF($A3680="","",LEN($C3680)-LEN(SUBSTITUTE($C3680,",",""))+1)</f>
        <v/>
      </c>
      <c r="K3680" s="26">
        <f>IF($A3680="","",SUMPRODUCT(--ISNUMBER(SEARCH('Category Dictionary'!$D$5:$D$135&amp;"",$C3680)),--('Category Dictionary'!$D$5:$D$135&lt;&gt;"")))</f>
        <v/>
      </c>
      <c r="L3680" s="27">
        <f>IF($A3680="","",TRIM(IF(ISERROR(FIND(",",$C3680)),$C3680,LEFT($C3680,FIND(",",$C3680)-1))))</f>
        <v/>
      </c>
      <c r="M3680" s="28">
        <f>IF($H3680="","",DATE(YEAR($H3680),MONTH($H3680),1))</f>
        <v/>
      </c>
      <c r="N3680" s="26">
        <f>IF($H3680="","",TODAY()-$H3680)</f>
        <v/>
      </c>
      <c r="O3680" s="15" t="n"/>
      <c r="P3680" s="15" t="n"/>
      <c r="Q3680" s="15" t="n"/>
      <c r="R3680" s="25" t="n"/>
      <c r="S3680" s="26">
        <f>IF($A3680="","",AND(OR('Assignment Builder'!$B$5="",$B3680='Assignment Builder'!$B$5),OR('Assignment Builder'!$B$6="",ISNUMBER(SEARCH('Assignment Builder'!$B$6,$C3680))),OR('Assignment Builder'!$B$7="",'Assignment Builder'!$B$7=IFERROR(INDEX('Category Dictionary'!$C$5:$C$135,MATCH($L3680,'Category Dictionary'!$D$5:$D$135,0)),"")),OR('Assignment Builder'!$B$8="",$D3680='Assignment Builder'!$B$8),OR('Assignment Builder'!$B$9="",$F3680='Assignment Builder'!$B$9),OR('Assignment Builder'!$B$10="",$O3680='Assignment Builder'!$B$10),OR('Assignment Builder'!$B$11="",$H3680&gt;='Assignment Builder'!$B$11),OR('Assignment Builder'!$B$12="",N($Q3680)&lt;='Assignment Builder'!$B$12)))</f>
        <v/>
      </c>
      <c r="T3680" s="23" t="n"/>
    </row>
    <row r="3681">
      <c r="A3681" s="23" t="n"/>
      <c r="B3681" s="23" t="n"/>
      <c r="C3681" s="24" t="n"/>
      <c r="D3681" s="15" t="n"/>
      <c r="E3681" s="23" t="n"/>
      <c r="F3681" s="15" t="n"/>
      <c r="G3681" s="23" t="n"/>
      <c r="H3681" s="25" t="n"/>
      <c r="I3681" s="15" t="n"/>
      <c r="J3681" s="26">
        <f>IF($A3681="","",LEN($C3681)-LEN(SUBSTITUTE($C3681,",",""))+1)</f>
        <v/>
      </c>
      <c r="K3681" s="26">
        <f>IF($A3681="","",SUMPRODUCT(--ISNUMBER(SEARCH('Category Dictionary'!$D$5:$D$135&amp;"",$C3681)),--('Category Dictionary'!$D$5:$D$135&lt;&gt;"")))</f>
        <v/>
      </c>
      <c r="L3681" s="27">
        <f>IF($A3681="","",TRIM(IF(ISERROR(FIND(",",$C3681)),$C3681,LEFT($C3681,FIND(",",$C3681)-1))))</f>
        <v/>
      </c>
      <c r="M3681" s="28">
        <f>IF($H3681="","",DATE(YEAR($H3681),MONTH($H3681),1))</f>
        <v/>
      </c>
      <c r="N3681" s="26">
        <f>IF($H3681="","",TODAY()-$H3681)</f>
        <v/>
      </c>
      <c r="O3681" s="15" t="n"/>
      <c r="P3681" s="15" t="n"/>
      <c r="Q3681" s="15" t="n"/>
      <c r="R3681" s="25" t="n"/>
      <c r="S3681" s="26">
        <f>IF($A3681="","",AND(OR('Assignment Builder'!$B$5="",$B3681='Assignment Builder'!$B$5),OR('Assignment Builder'!$B$6="",ISNUMBER(SEARCH('Assignment Builder'!$B$6,$C3681))),OR('Assignment Builder'!$B$7="",'Assignment Builder'!$B$7=IFERROR(INDEX('Category Dictionary'!$C$5:$C$135,MATCH($L3681,'Category Dictionary'!$D$5:$D$135,0)),"")),OR('Assignment Builder'!$B$8="",$D3681='Assignment Builder'!$B$8),OR('Assignment Builder'!$B$9="",$F3681='Assignment Builder'!$B$9),OR('Assignment Builder'!$B$10="",$O3681='Assignment Builder'!$B$10),OR('Assignment Builder'!$B$11="",$H3681&gt;='Assignment Builder'!$B$11),OR('Assignment Builder'!$B$12="",N($Q3681)&lt;='Assignment Builder'!$B$12)))</f>
        <v/>
      </c>
      <c r="T3681" s="23" t="n"/>
    </row>
    <row r="3682">
      <c r="A3682" s="23" t="n"/>
      <c r="B3682" s="23" t="n"/>
      <c r="C3682" s="24" t="n"/>
      <c r="D3682" s="15" t="n"/>
      <c r="E3682" s="23" t="n"/>
      <c r="F3682" s="15" t="n"/>
      <c r="G3682" s="23" t="n"/>
      <c r="H3682" s="25" t="n"/>
      <c r="I3682" s="15" t="n"/>
      <c r="J3682" s="26">
        <f>IF($A3682="","",LEN($C3682)-LEN(SUBSTITUTE($C3682,",",""))+1)</f>
        <v/>
      </c>
      <c r="K3682" s="26">
        <f>IF($A3682="","",SUMPRODUCT(--ISNUMBER(SEARCH('Category Dictionary'!$D$5:$D$135&amp;"",$C3682)),--('Category Dictionary'!$D$5:$D$135&lt;&gt;"")))</f>
        <v/>
      </c>
      <c r="L3682" s="27">
        <f>IF($A3682="","",TRIM(IF(ISERROR(FIND(",",$C3682)),$C3682,LEFT($C3682,FIND(",",$C3682)-1))))</f>
        <v/>
      </c>
      <c r="M3682" s="28">
        <f>IF($H3682="","",DATE(YEAR($H3682),MONTH($H3682),1))</f>
        <v/>
      </c>
      <c r="N3682" s="26">
        <f>IF($H3682="","",TODAY()-$H3682)</f>
        <v/>
      </c>
      <c r="O3682" s="15" t="n"/>
      <c r="P3682" s="15" t="n"/>
      <c r="Q3682" s="15" t="n"/>
      <c r="R3682" s="25" t="n"/>
      <c r="S3682" s="26">
        <f>IF($A3682="","",AND(OR('Assignment Builder'!$B$5="",$B3682='Assignment Builder'!$B$5),OR('Assignment Builder'!$B$6="",ISNUMBER(SEARCH('Assignment Builder'!$B$6,$C3682))),OR('Assignment Builder'!$B$7="",'Assignment Builder'!$B$7=IFERROR(INDEX('Category Dictionary'!$C$5:$C$135,MATCH($L3682,'Category Dictionary'!$D$5:$D$135,0)),"")),OR('Assignment Builder'!$B$8="",$D3682='Assignment Builder'!$B$8),OR('Assignment Builder'!$B$9="",$F3682='Assignment Builder'!$B$9),OR('Assignment Builder'!$B$10="",$O3682='Assignment Builder'!$B$10),OR('Assignment Builder'!$B$11="",$H3682&gt;='Assignment Builder'!$B$11),OR('Assignment Builder'!$B$12="",N($Q3682)&lt;='Assignment Builder'!$B$12)))</f>
        <v/>
      </c>
      <c r="T3682" s="23" t="n"/>
    </row>
    <row r="3683">
      <c r="A3683" s="23" t="n"/>
      <c r="B3683" s="23" t="n"/>
      <c r="C3683" s="24" t="n"/>
      <c r="D3683" s="15" t="n"/>
      <c r="E3683" s="23" t="n"/>
      <c r="F3683" s="15" t="n"/>
      <c r="G3683" s="23" t="n"/>
      <c r="H3683" s="25" t="n"/>
      <c r="I3683" s="15" t="n"/>
      <c r="J3683" s="26">
        <f>IF($A3683="","",LEN($C3683)-LEN(SUBSTITUTE($C3683,",",""))+1)</f>
        <v/>
      </c>
      <c r="K3683" s="26">
        <f>IF($A3683="","",SUMPRODUCT(--ISNUMBER(SEARCH('Category Dictionary'!$D$5:$D$135&amp;"",$C3683)),--('Category Dictionary'!$D$5:$D$135&lt;&gt;"")))</f>
        <v/>
      </c>
      <c r="L3683" s="27">
        <f>IF($A3683="","",TRIM(IF(ISERROR(FIND(",",$C3683)),$C3683,LEFT($C3683,FIND(",",$C3683)-1))))</f>
        <v/>
      </c>
      <c r="M3683" s="28">
        <f>IF($H3683="","",DATE(YEAR($H3683),MONTH($H3683),1))</f>
        <v/>
      </c>
      <c r="N3683" s="26">
        <f>IF($H3683="","",TODAY()-$H3683)</f>
        <v/>
      </c>
      <c r="O3683" s="15" t="n"/>
      <c r="P3683" s="15" t="n"/>
      <c r="Q3683" s="15" t="n"/>
      <c r="R3683" s="25" t="n"/>
      <c r="S3683" s="26">
        <f>IF($A3683="","",AND(OR('Assignment Builder'!$B$5="",$B3683='Assignment Builder'!$B$5),OR('Assignment Builder'!$B$6="",ISNUMBER(SEARCH('Assignment Builder'!$B$6,$C3683))),OR('Assignment Builder'!$B$7="",'Assignment Builder'!$B$7=IFERROR(INDEX('Category Dictionary'!$C$5:$C$135,MATCH($L3683,'Category Dictionary'!$D$5:$D$135,0)),"")),OR('Assignment Builder'!$B$8="",$D3683='Assignment Builder'!$B$8),OR('Assignment Builder'!$B$9="",$F3683='Assignment Builder'!$B$9),OR('Assignment Builder'!$B$10="",$O3683='Assignment Builder'!$B$10),OR('Assignment Builder'!$B$11="",$H3683&gt;='Assignment Builder'!$B$11),OR('Assignment Builder'!$B$12="",N($Q3683)&lt;='Assignment Builder'!$B$12)))</f>
        <v/>
      </c>
      <c r="T3683" s="23" t="n"/>
    </row>
    <row r="3684">
      <c r="A3684" s="23" t="n"/>
      <c r="B3684" s="23" t="n"/>
      <c r="C3684" s="24" t="n"/>
      <c r="D3684" s="15" t="n"/>
      <c r="E3684" s="23" t="n"/>
      <c r="F3684" s="15" t="n"/>
      <c r="G3684" s="23" t="n"/>
      <c r="H3684" s="25" t="n"/>
      <c r="I3684" s="15" t="n"/>
      <c r="J3684" s="26">
        <f>IF($A3684="","",LEN($C3684)-LEN(SUBSTITUTE($C3684,",",""))+1)</f>
        <v/>
      </c>
      <c r="K3684" s="26">
        <f>IF($A3684="","",SUMPRODUCT(--ISNUMBER(SEARCH('Category Dictionary'!$D$5:$D$135&amp;"",$C3684)),--('Category Dictionary'!$D$5:$D$135&lt;&gt;"")))</f>
        <v/>
      </c>
      <c r="L3684" s="27">
        <f>IF($A3684="","",TRIM(IF(ISERROR(FIND(",",$C3684)),$C3684,LEFT($C3684,FIND(",",$C3684)-1))))</f>
        <v/>
      </c>
      <c r="M3684" s="28">
        <f>IF($H3684="","",DATE(YEAR($H3684),MONTH($H3684),1))</f>
        <v/>
      </c>
      <c r="N3684" s="26">
        <f>IF($H3684="","",TODAY()-$H3684)</f>
        <v/>
      </c>
      <c r="O3684" s="15" t="n"/>
      <c r="P3684" s="15" t="n"/>
      <c r="Q3684" s="15" t="n"/>
      <c r="R3684" s="25" t="n"/>
      <c r="S3684" s="26">
        <f>IF($A3684="","",AND(OR('Assignment Builder'!$B$5="",$B3684='Assignment Builder'!$B$5),OR('Assignment Builder'!$B$6="",ISNUMBER(SEARCH('Assignment Builder'!$B$6,$C3684))),OR('Assignment Builder'!$B$7="",'Assignment Builder'!$B$7=IFERROR(INDEX('Category Dictionary'!$C$5:$C$135,MATCH($L3684,'Category Dictionary'!$D$5:$D$135,0)),"")),OR('Assignment Builder'!$B$8="",$D3684='Assignment Builder'!$B$8),OR('Assignment Builder'!$B$9="",$F3684='Assignment Builder'!$B$9),OR('Assignment Builder'!$B$10="",$O3684='Assignment Builder'!$B$10),OR('Assignment Builder'!$B$11="",$H3684&gt;='Assignment Builder'!$B$11),OR('Assignment Builder'!$B$12="",N($Q3684)&lt;='Assignment Builder'!$B$12)))</f>
        <v/>
      </c>
      <c r="T3684" s="23" t="n"/>
    </row>
    <row r="3685">
      <c r="A3685" s="23" t="n"/>
      <c r="B3685" s="23" t="n"/>
      <c r="C3685" s="24" t="n"/>
      <c r="D3685" s="15" t="n"/>
      <c r="E3685" s="23" t="n"/>
      <c r="F3685" s="15" t="n"/>
      <c r="G3685" s="23" t="n"/>
      <c r="H3685" s="25" t="n"/>
      <c r="I3685" s="15" t="n"/>
      <c r="J3685" s="26">
        <f>IF($A3685="","",LEN($C3685)-LEN(SUBSTITUTE($C3685,",",""))+1)</f>
        <v/>
      </c>
      <c r="K3685" s="26">
        <f>IF($A3685="","",SUMPRODUCT(--ISNUMBER(SEARCH('Category Dictionary'!$D$5:$D$135&amp;"",$C3685)),--('Category Dictionary'!$D$5:$D$135&lt;&gt;"")))</f>
        <v/>
      </c>
      <c r="L3685" s="27">
        <f>IF($A3685="","",TRIM(IF(ISERROR(FIND(",",$C3685)),$C3685,LEFT($C3685,FIND(",",$C3685)-1))))</f>
        <v/>
      </c>
      <c r="M3685" s="28">
        <f>IF($H3685="","",DATE(YEAR($H3685),MONTH($H3685),1))</f>
        <v/>
      </c>
      <c r="N3685" s="26">
        <f>IF($H3685="","",TODAY()-$H3685)</f>
        <v/>
      </c>
      <c r="O3685" s="15" t="n"/>
      <c r="P3685" s="15" t="n"/>
      <c r="Q3685" s="15" t="n"/>
      <c r="R3685" s="25" t="n"/>
      <c r="S3685" s="26">
        <f>IF($A3685="","",AND(OR('Assignment Builder'!$B$5="",$B3685='Assignment Builder'!$B$5),OR('Assignment Builder'!$B$6="",ISNUMBER(SEARCH('Assignment Builder'!$B$6,$C3685))),OR('Assignment Builder'!$B$7="",'Assignment Builder'!$B$7=IFERROR(INDEX('Category Dictionary'!$C$5:$C$135,MATCH($L3685,'Category Dictionary'!$D$5:$D$135,0)),"")),OR('Assignment Builder'!$B$8="",$D3685='Assignment Builder'!$B$8),OR('Assignment Builder'!$B$9="",$F3685='Assignment Builder'!$B$9),OR('Assignment Builder'!$B$10="",$O3685='Assignment Builder'!$B$10),OR('Assignment Builder'!$B$11="",$H3685&gt;='Assignment Builder'!$B$11),OR('Assignment Builder'!$B$12="",N($Q3685)&lt;='Assignment Builder'!$B$12)))</f>
        <v/>
      </c>
      <c r="T3685" s="23" t="n"/>
    </row>
    <row r="3686">
      <c r="A3686" s="23" t="n"/>
      <c r="B3686" s="23" t="n"/>
      <c r="C3686" s="24" t="n"/>
      <c r="D3686" s="15" t="n"/>
      <c r="E3686" s="23" t="n"/>
      <c r="F3686" s="15" t="n"/>
      <c r="G3686" s="23" t="n"/>
      <c r="H3686" s="25" t="n"/>
      <c r="I3686" s="15" t="n"/>
      <c r="J3686" s="26">
        <f>IF($A3686="","",LEN($C3686)-LEN(SUBSTITUTE($C3686,",",""))+1)</f>
        <v/>
      </c>
      <c r="K3686" s="26">
        <f>IF($A3686="","",SUMPRODUCT(--ISNUMBER(SEARCH('Category Dictionary'!$D$5:$D$135&amp;"",$C3686)),--('Category Dictionary'!$D$5:$D$135&lt;&gt;"")))</f>
        <v/>
      </c>
      <c r="L3686" s="27">
        <f>IF($A3686="","",TRIM(IF(ISERROR(FIND(",",$C3686)),$C3686,LEFT($C3686,FIND(",",$C3686)-1))))</f>
        <v/>
      </c>
      <c r="M3686" s="28">
        <f>IF($H3686="","",DATE(YEAR($H3686),MONTH($H3686),1))</f>
        <v/>
      </c>
      <c r="N3686" s="26">
        <f>IF($H3686="","",TODAY()-$H3686)</f>
        <v/>
      </c>
      <c r="O3686" s="15" t="n"/>
      <c r="P3686" s="15" t="n"/>
      <c r="Q3686" s="15" t="n"/>
      <c r="R3686" s="25" t="n"/>
      <c r="S3686" s="26">
        <f>IF($A3686="","",AND(OR('Assignment Builder'!$B$5="",$B3686='Assignment Builder'!$B$5),OR('Assignment Builder'!$B$6="",ISNUMBER(SEARCH('Assignment Builder'!$B$6,$C3686))),OR('Assignment Builder'!$B$7="",'Assignment Builder'!$B$7=IFERROR(INDEX('Category Dictionary'!$C$5:$C$135,MATCH($L3686,'Category Dictionary'!$D$5:$D$135,0)),"")),OR('Assignment Builder'!$B$8="",$D3686='Assignment Builder'!$B$8),OR('Assignment Builder'!$B$9="",$F3686='Assignment Builder'!$B$9),OR('Assignment Builder'!$B$10="",$O3686='Assignment Builder'!$B$10),OR('Assignment Builder'!$B$11="",$H3686&gt;='Assignment Builder'!$B$11),OR('Assignment Builder'!$B$12="",N($Q3686)&lt;='Assignment Builder'!$B$12)))</f>
        <v/>
      </c>
      <c r="T3686" s="23" t="n"/>
    </row>
    <row r="3687">
      <c r="A3687" s="23" t="n"/>
      <c r="B3687" s="23" t="n"/>
      <c r="C3687" s="24" t="n"/>
      <c r="D3687" s="15" t="n"/>
      <c r="E3687" s="23" t="n"/>
      <c r="F3687" s="15" t="n"/>
      <c r="G3687" s="23" t="n"/>
      <c r="H3687" s="25" t="n"/>
      <c r="I3687" s="15" t="n"/>
      <c r="J3687" s="26">
        <f>IF($A3687="","",LEN($C3687)-LEN(SUBSTITUTE($C3687,",",""))+1)</f>
        <v/>
      </c>
      <c r="K3687" s="26">
        <f>IF($A3687="","",SUMPRODUCT(--ISNUMBER(SEARCH('Category Dictionary'!$D$5:$D$135&amp;"",$C3687)),--('Category Dictionary'!$D$5:$D$135&lt;&gt;"")))</f>
        <v/>
      </c>
      <c r="L3687" s="27">
        <f>IF($A3687="","",TRIM(IF(ISERROR(FIND(",",$C3687)),$C3687,LEFT($C3687,FIND(",",$C3687)-1))))</f>
        <v/>
      </c>
      <c r="M3687" s="28">
        <f>IF($H3687="","",DATE(YEAR($H3687),MONTH($H3687),1))</f>
        <v/>
      </c>
      <c r="N3687" s="26">
        <f>IF($H3687="","",TODAY()-$H3687)</f>
        <v/>
      </c>
      <c r="O3687" s="15" t="n"/>
      <c r="P3687" s="15" t="n"/>
      <c r="Q3687" s="15" t="n"/>
      <c r="R3687" s="25" t="n"/>
      <c r="S3687" s="26">
        <f>IF($A3687="","",AND(OR('Assignment Builder'!$B$5="",$B3687='Assignment Builder'!$B$5),OR('Assignment Builder'!$B$6="",ISNUMBER(SEARCH('Assignment Builder'!$B$6,$C3687))),OR('Assignment Builder'!$B$7="",'Assignment Builder'!$B$7=IFERROR(INDEX('Category Dictionary'!$C$5:$C$135,MATCH($L3687,'Category Dictionary'!$D$5:$D$135,0)),"")),OR('Assignment Builder'!$B$8="",$D3687='Assignment Builder'!$B$8),OR('Assignment Builder'!$B$9="",$F3687='Assignment Builder'!$B$9),OR('Assignment Builder'!$B$10="",$O3687='Assignment Builder'!$B$10),OR('Assignment Builder'!$B$11="",$H3687&gt;='Assignment Builder'!$B$11),OR('Assignment Builder'!$B$12="",N($Q3687)&lt;='Assignment Builder'!$B$12)))</f>
        <v/>
      </c>
      <c r="T3687" s="23" t="n"/>
    </row>
    <row r="3688">
      <c r="A3688" s="23" t="n"/>
      <c r="B3688" s="23" t="n"/>
      <c r="C3688" s="24" t="n"/>
      <c r="D3688" s="15" t="n"/>
      <c r="E3688" s="23" t="n"/>
      <c r="F3688" s="15" t="n"/>
      <c r="G3688" s="23" t="n"/>
      <c r="H3688" s="25" t="n"/>
      <c r="I3688" s="15" t="n"/>
      <c r="J3688" s="26">
        <f>IF($A3688="","",LEN($C3688)-LEN(SUBSTITUTE($C3688,",",""))+1)</f>
        <v/>
      </c>
      <c r="K3688" s="26">
        <f>IF($A3688="","",SUMPRODUCT(--ISNUMBER(SEARCH('Category Dictionary'!$D$5:$D$135&amp;"",$C3688)),--('Category Dictionary'!$D$5:$D$135&lt;&gt;"")))</f>
        <v/>
      </c>
      <c r="L3688" s="27">
        <f>IF($A3688="","",TRIM(IF(ISERROR(FIND(",",$C3688)),$C3688,LEFT($C3688,FIND(",",$C3688)-1))))</f>
        <v/>
      </c>
      <c r="M3688" s="28">
        <f>IF($H3688="","",DATE(YEAR($H3688),MONTH($H3688),1))</f>
        <v/>
      </c>
      <c r="N3688" s="26">
        <f>IF($H3688="","",TODAY()-$H3688)</f>
        <v/>
      </c>
      <c r="O3688" s="15" t="n"/>
      <c r="P3688" s="15" t="n"/>
      <c r="Q3688" s="15" t="n"/>
      <c r="R3688" s="25" t="n"/>
      <c r="S3688" s="26">
        <f>IF($A3688="","",AND(OR('Assignment Builder'!$B$5="",$B3688='Assignment Builder'!$B$5),OR('Assignment Builder'!$B$6="",ISNUMBER(SEARCH('Assignment Builder'!$B$6,$C3688))),OR('Assignment Builder'!$B$7="",'Assignment Builder'!$B$7=IFERROR(INDEX('Category Dictionary'!$C$5:$C$135,MATCH($L3688,'Category Dictionary'!$D$5:$D$135,0)),"")),OR('Assignment Builder'!$B$8="",$D3688='Assignment Builder'!$B$8),OR('Assignment Builder'!$B$9="",$F3688='Assignment Builder'!$B$9),OR('Assignment Builder'!$B$10="",$O3688='Assignment Builder'!$B$10),OR('Assignment Builder'!$B$11="",$H3688&gt;='Assignment Builder'!$B$11),OR('Assignment Builder'!$B$12="",N($Q3688)&lt;='Assignment Builder'!$B$12)))</f>
        <v/>
      </c>
      <c r="T3688" s="23" t="n"/>
    </row>
    <row r="3689">
      <c r="A3689" s="23" t="n"/>
      <c r="B3689" s="23" t="n"/>
      <c r="C3689" s="24" t="n"/>
      <c r="D3689" s="15" t="n"/>
      <c r="E3689" s="23" t="n"/>
      <c r="F3689" s="15" t="n"/>
      <c r="G3689" s="23" t="n"/>
      <c r="H3689" s="25" t="n"/>
      <c r="I3689" s="15" t="n"/>
      <c r="J3689" s="26">
        <f>IF($A3689="","",LEN($C3689)-LEN(SUBSTITUTE($C3689,",",""))+1)</f>
        <v/>
      </c>
      <c r="K3689" s="26">
        <f>IF($A3689="","",SUMPRODUCT(--ISNUMBER(SEARCH('Category Dictionary'!$D$5:$D$135&amp;"",$C3689)),--('Category Dictionary'!$D$5:$D$135&lt;&gt;"")))</f>
        <v/>
      </c>
      <c r="L3689" s="27">
        <f>IF($A3689="","",TRIM(IF(ISERROR(FIND(",",$C3689)),$C3689,LEFT($C3689,FIND(",",$C3689)-1))))</f>
        <v/>
      </c>
      <c r="M3689" s="28">
        <f>IF($H3689="","",DATE(YEAR($H3689),MONTH($H3689),1))</f>
        <v/>
      </c>
      <c r="N3689" s="26">
        <f>IF($H3689="","",TODAY()-$H3689)</f>
        <v/>
      </c>
      <c r="O3689" s="15" t="n"/>
      <c r="P3689" s="15" t="n"/>
      <c r="Q3689" s="15" t="n"/>
      <c r="R3689" s="25" t="n"/>
      <c r="S3689" s="26">
        <f>IF($A3689="","",AND(OR('Assignment Builder'!$B$5="",$B3689='Assignment Builder'!$B$5),OR('Assignment Builder'!$B$6="",ISNUMBER(SEARCH('Assignment Builder'!$B$6,$C3689))),OR('Assignment Builder'!$B$7="",'Assignment Builder'!$B$7=IFERROR(INDEX('Category Dictionary'!$C$5:$C$135,MATCH($L3689,'Category Dictionary'!$D$5:$D$135,0)),"")),OR('Assignment Builder'!$B$8="",$D3689='Assignment Builder'!$B$8),OR('Assignment Builder'!$B$9="",$F3689='Assignment Builder'!$B$9),OR('Assignment Builder'!$B$10="",$O3689='Assignment Builder'!$B$10),OR('Assignment Builder'!$B$11="",$H3689&gt;='Assignment Builder'!$B$11),OR('Assignment Builder'!$B$12="",N($Q3689)&lt;='Assignment Builder'!$B$12)))</f>
        <v/>
      </c>
      <c r="T3689" s="23" t="n"/>
    </row>
    <row r="3690">
      <c r="A3690" s="23" t="n"/>
      <c r="B3690" s="23" t="n"/>
      <c r="C3690" s="24" t="n"/>
      <c r="D3690" s="15" t="n"/>
      <c r="E3690" s="23" t="n"/>
      <c r="F3690" s="15" t="n"/>
      <c r="G3690" s="23" t="n"/>
      <c r="H3690" s="25" t="n"/>
      <c r="I3690" s="15" t="n"/>
      <c r="J3690" s="26">
        <f>IF($A3690="","",LEN($C3690)-LEN(SUBSTITUTE($C3690,",",""))+1)</f>
        <v/>
      </c>
      <c r="K3690" s="26">
        <f>IF($A3690="","",SUMPRODUCT(--ISNUMBER(SEARCH('Category Dictionary'!$D$5:$D$135&amp;"",$C3690)),--('Category Dictionary'!$D$5:$D$135&lt;&gt;"")))</f>
        <v/>
      </c>
      <c r="L3690" s="27">
        <f>IF($A3690="","",TRIM(IF(ISERROR(FIND(",",$C3690)),$C3690,LEFT($C3690,FIND(",",$C3690)-1))))</f>
        <v/>
      </c>
      <c r="M3690" s="28">
        <f>IF($H3690="","",DATE(YEAR($H3690),MONTH($H3690),1))</f>
        <v/>
      </c>
      <c r="N3690" s="26">
        <f>IF($H3690="","",TODAY()-$H3690)</f>
        <v/>
      </c>
      <c r="O3690" s="15" t="n"/>
      <c r="P3690" s="15" t="n"/>
      <c r="Q3690" s="15" t="n"/>
      <c r="R3690" s="25" t="n"/>
      <c r="S3690" s="26">
        <f>IF($A3690="","",AND(OR('Assignment Builder'!$B$5="",$B3690='Assignment Builder'!$B$5),OR('Assignment Builder'!$B$6="",ISNUMBER(SEARCH('Assignment Builder'!$B$6,$C3690))),OR('Assignment Builder'!$B$7="",'Assignment Builder'!$B$7=IFERROR(INDEX('Category Dictionary'!$C$5:$C$135,MATCH($L3690,'Category Dictionary'!$D$5:$D$135,0)),"")),OR('Assignment Builder'!$B$8="",$D3690='Assignment Builder'!$B$8),OR('Assignment Builder'!$B$9="",$F3690='Assignment Builder'!$B$9),OR('Assignment Builder'!$B$10="",$O3690='Assignment Builder'!$B$10),OR('Assignment Builder'!$B$11="",$H3690&gt;='Assignment Builder'!$B$11),OR('Assignment Builder'!$B$12="",N($Q3690)&lt;='Assignment Builder'!$B$12)))</f>
        <v/>
      </c>
      <c r="T3690" s="23" t="n"/>
    </row>
    <row r="3691">
      <c r="A3691" s="23" t="n"/>
      <c r="B3691" s="23" t="n"/>
      <c r="C3691" s="24" t="n"/>
      <c r="D3691" s="15" t="n"/>
      <c r="E3691" s="23" t="n"/>
      <c r="F3691" s="15" t="n"/>
      <c r="G3691" s="23" t="n"/>
      <c r="H3691" s="25" t="n"/>
      <c r="I3691" s="15" t="n"/>
      <c r="J3691" s="26">
        <f>IF($A3691="","",LEN($C3691)-LEN(SUBSTITUTE($C3691,",",""))+1)</f>
        <v/>
      </c>
      <c r="K3691" s="26">
        <f>IF($A3691="","",SUMPRODUCT(--ISNUMBER(SEARCH('Category Dictionary'!$D$5:$D$135&amp;"",$C3691)),--('Category Dictionary'!$D$5:$D$135&lt;&gt;"")))</f>
        <v/>
      </c>
      <c r="L3691" s="27">
        <f>IF($A3691="","",TRIM(IF(ISERROR(FIND(",",$C3691)),$C3691,LEFT($C3691,FIND(",",$C3691)-1))))</f>
        <v/>
      </c>
      <c r="M3691" s="28">
        <f>IF($H3691="","",DATE(YEAR($H3691),MONTH($H3691),1))</f>
        <v/>
      </c>
      <c r="N3691" s="26">
        <f>IF($H3691="","",TODAY()-$H3691)</f>
        <v/>
      </c>
      <c r="O3691" s="15" t="n"/>
      <c r="P3691" s="15" t="n"/>
      <c r="Q3691" s="15" t="n"/>
      <c r="R3691" s="25" t="n"/>
      <c r="S3691" s="26">
        <f>IF($A3691="","",AND(OR('Assignment Builder'!$B$5="",$B3691='Assignment Builder'!$B$5),OR('Assignment Builder'!$B$6="",ISNUMBER(SEARCH('Assignment Builder'!$B$6,$C3691))),OR('Assignment Builder'!$B$7="",'Assignment Builder'!$B$7=IFERROR(INDEX('Category Dictionary'!$C$5:$C$135,MATCH($L3691,'Category Dictionary'!$D$5:$D$135,0)),"")),OR('Assignment Builder'!$B$8="",$D3691='Assignment Builder'!$B$8),OR('Assignment Builder'!$B$9="",$F3691='Assignment Builder'!$B$9),OR('Assignment Builder'!$B$10="",$O3691='Assignment Builder'!$B$10),OR('Assignment Builder'!$B$11="",$H3691&gt;='Assignment Builder'!$B$11),OR('Assignment Builder'!$B$12="",N($Q3691)&lt;='Assignment Builder'!$B$12)))</f>
        <v/>
      </c>
      <c r="T3691" s="23" t="n"/>
    </row>
    <row r="3692">
      <c r="A3692" s="23" t="n"/>
      <c r="B3692" s="23" t="n"/>
      <c r="C3692" s="24" t="n"/>
      <c r="D3692" s="15" t="n"/>
      <c r="E3692" s="23" t="n"/>
      <c r="F3692" s="15" t="n"/>
      <c r="G3692" s="23" t="n"/>
      <c r="H3692" s="25" t="n"/>
      <c r="I3692" s="15" t="n"/>
      <c r="J3692" s="26">
        <f>IF($A3692="","",LEN($C3692)-LEN(SUBSTITUTE($C3692,",",""))+1)</f>
        <v/>
      </c>
      <c r="K3692" s="26">
        <f>IF($A3692="","",SUMPRODUCT(--ISNUMBER(SEARCH('Category Dictionary'!$D$5:$D$135&amp;"",$C3692)),--('Category Dictionary'!$D$5:$D$135&lt;&gt;"")))</f>
        <v/>
      </c>
      <c r="L3692" s="27">
        <f>IF($A3692="","",TRIM(IF(ISERROR(FIND(",",$C3692)),$C3692,LEFT($C3692,FIND(",",$C3692)-1))))</f>
        <v/>
      </c>
      <c r="M3692" s="28">
        <f>IF($H3692="","",DATE(YEAR($H3692),MONTH($H3692),1))</f>
        <v/>
      </c>
      <c r="N3692" s="26">
        <f>IF($H3692="","",TODAY()-$H3692)</f>
        <v/>
      </c>
      <c r="O3692" s="15" t="n"/>
      <c r="P3692" s="15" t="n"/>
      <c r="Q3692" s="15" t="n"/>
      <c r="R3692" s="25" t="n"/>
      <c r="S3692" s="26">
        <f>IF($A3692="","",AND(OR('Assignment Builder'!$B$5="",$B3692='Assignment Builder'!$B$5),OR('Assignment Builder'!$B$6="",ISNUMBER(SEARCH('Assignment Builder'!$B$6,$C3692))),OR('Assignment Builder'!$B$7="",'Assignment Builder'!$B$7=IFERROR(INDEX('Category Dictionary'!$C$5:$C$135,MATCH($L3692,'Category Dictionary'!$D$5:$D$135,0)),"")),OR('Assignment Builder'!$B$8="",$D3692='Assignment Builder'!$B$8),OR('Assignment Builder'!$B$9="",$F3692='Assignment Builder'!$B$9),OR('Assignment Builder'!$B$10="",$O3692='Assignment Builder'!$B$10),OR('Assignment Builder'!$B$11="",$H3692&gt;='Assignment Builder'!$B$11),OR('Assignment Builder'!$B$12="",N($Q3692)&lt;='Assignment Builder'!$B$12)))</f>
        <v/>
      </c>
      <c r="T3692" s="23" t="n"/>
    </row>
    <row r="3693">
      <c r="A3693" s="23" t="n"/>
      <c r="B3693" s="23" t="n"/>
      <c r="C3693" s="24" t="n"/>
      <c r="D3693" s="15" t="n"/>
      <c r="E3693" s="23" t="n"/>
      <c r="F3693" s="15" t="n"/>
      <c r="G3693" s="23" t="n"/>
      <c r="H3693" s="25" t="n"/>
      <c r="I3693" s="15" t="n"/>
      <c r="J3693" s="26">
        <f>IF($A3693="","",LEN($C3693)-LEN(SUBSTITUTE($C3693,",",""))+1)</f>
        <v/>
      </c>
      <c r="K3693" s="26">
        <f>IF($A3693="","",SUMPRODUCT(--ISNUMBER(SEARCH('Category Dictionary'!$D$5:$D$135&amp;"",$C3693)),--('Category Dictionary'!$D$5:$D$135&lt;&gt;"")))</f>
        <v/>
      </c>
      <c r="L3693" s="27">
        <f>IF($A3693="","",TRIM(IF(ISERROR(FIND(",",$C3693)),$C3693,LEFT($C3693,FIND(",",$C3693)-1))))</f>
        <v/>
      </c>
      <c r="M3693" s="28">
        <f>IF($H3693="","",DATE(YEAR($H3693),MONTH($H3693),1))</f>
        <v/>
      </c>
      <c r="N3693" s="26">
        <f>IF($H3693="","",TODAY()-$H3693)</f>
        <v/>
      </c>
      <c r="O3693" s="15" t="n"/>
      <c r="P3693" s="15" t="n"/>
      <c r="Q3693" s="15" t="n"/>
      <c r="R3693" s="25" t="n"/>
      <c r="S3693" s="26">
        <f>IF($A3693="","",AND(OR('Assignment Builder'!$B$5="",$B3693='Assignment Builder'!$B$5),OR('Assignment Builder'!$B$6="",ISNUMBER(SEARCH('Assignment Builder'!$B$6,$C3693))),OR('Assignment Builder'!$B$7="",'Assignment Builder'!$B$7=IFERROR(INDEX('Category Dictionary'!$C$5:$C$135,MATCH($L3693,'Category Dictionary'!$D$5:$D$135,0)),"")),OR('Assignment Builder'!$B$8="",$D3693='Assignment Builder'!$B$8),OR('Assignment Builder'!$B$9="",$F3693='Assignment Builder'!$B$9),OR('Assignment Builder'!$B$10="",$O3693='Assignment Builder'!$B$10),OR('Assignment Builder'!$B$11="",$H3693&gt;='Assignment Builder'!$B$11),OR('Assignment Builder'!$B$12="",N($Q3693)&lt;='Assignment Builder'!$B$12)))</f>
        <v/>
      </c>
      <c r="T3693" s="23" t="n"/>
    </row>
    <row r="3694">
      <c r="A3694" s="23" t="n"/>
      <c r="B3694" s="23" t="n"/>
      <c r="C3694" s="24" t="n"/>
      <c r="D3694" s="15" t="n"/>
      <c r="E3694" s="23" t="n"/>
      <c r="F3694" s="15" t="n"/>
      <c r="G3694" s="23" t="n"/>
      <c r="H3694" s="25" t="n"/>
      <c r="I3694" s="15" t="n"/>
      <c r="J3694" s="26">
        <f>IF($A3694="","",LEN($C3694)-LEN(SUBSTITUTE($C3694,",",""))+1)</f>
        <v/>
      </c>
      <c r="K3694" s="26">
        <f>IF($A3694="","",SUMPRODUCT(--ISNUMBER(SEARCH('Category Dictionary'!$D$5:$D$135&amp;"",$C3694)),--('Category Dictionary'!$D$5:$D$135&lt;&gt;"")))</f>
        <v/>
      </c>
      <c r="L3694" s="27">
        <f>IF($A3694="","",TRIM(IF(ISERROR(FIND(",",$C3694)),$C3694,LEFT($C3694,FIND(",",$C3694)-1))))</f>
        <v/>
      </c>
      <c r="M3694" s="28">
        <f>IF($H3694="","",DATE(YEAR($H3694),MONTH($H3694),1))</f>
        <v/>
      </c>
      <c r="N3694" s="26">
        <f>IF($H3694="","",TODAY()-$H3694)</f>
        <v/>
      </c>
      <c r="O3694" s="15" t="n"/>
      <c r="P3694" s="15" t="n"/>
      <c r="Q3694" s="15" t="n"/>
      <c r="R3694" s="25" t="n"/>
      <c r="S3694" s="26">
        <f>IF($A3694="","",AND(OR('Assignment Builder'!$B$5="",$B3694='Assignment Builder'!$B$5),OR('Assignment Builder'!$B$6="",ISNUMBER(SEARCH('Assignment Builder'!$B$6,$C3694))),OR('Assignment Builder'!$B$7="",'Assignment Builder'!$B$7=IFERROR(INDEX('Category Dictionary'!$C$5:$C$135,MATCH($L3694,'Category Dictionary'!$D$5:$D$135,0)),"")),OR('Assignment Builder'!$B$8="",$D3694='Assignment Builder'!$B$8),OR('Assignment Builder'!$B$9="",$F3694='Assignment Builder'!$B$9),OR('Assignment Builder'!$B$10="",$O3694='Assignment Builder'!$B$10),OR('Assignment Builder'!$B$11="",$H3694&gt;='Assignment Builder'!$B$11),OR('Assignment Builder'!$B$12="",N($Q3694)&lt;='Assignment Builder'!$B$12)))</f>
        <v/>
      </c>
      <c r="T3694" s="23" t="n"/>
    </row>
    <row r="3695">
      <c r="A3695" s="23" t="n"/>
      <c r="B3695" s="23" t="n"/>
      <c r="C3695" s="24" t="n"/>
      <c r="D3695" s="15" t="n"/>
      <c r="E3695" s="23" t="n"/>
      <c r="F3695" s="15" t="n"/>
      <c r="G3695" s="23" t="n"/>
      <c r="H3695" s="25" t="n"/>
      <c r="I3695" s="15" t="n"/>
      <c r="J3695" s="26">
        <f>IF($A3695="","",LEN($C3695)-LEN(SUBSTITUTE($C3695,",",""))+1)</f>
        <v/>
      </c>
      <c r="K3695" s="26">
        <f>IF($A3695="","",SUMPRODUCT(--ISNUMBER(SEARCH('Category Dictionary'!$D$5:$D$135&amp;"",$C3695)),--('Category Dictionary'!$D$5:$D$135&lt;&gt;"")))</f>
        <v/>
      </c>
      <c r="L3695" s="27">
        <f>IF($A3695="","",TRIM(IF(ISERROR(FIND(",",$C3695)),$C3695,LEFT($C3695,FIND(",",$C3695)-1))))</f>
        <v/>
      </c>
      <c r="M3695" s="28">
        <f>IF($H3695="","",DATE(YEAR($H3695),MONTH($H3695),1))</f>
        <v/>
      </c>
      <c r="N3695" s="26">
        <f>IF($H3695="","",TODAY()-$H3695)</f>
        <v/>
      </c>
      <c r="O3695" s="15" t="n"/>
      <c r="P3695" s="15" t="n"/>
      <c r="Q3695" s="15" t="n"/>
      <c r="R3695" s="25" t="n"/>
      <c r="S3695" s="26">
        <f>IF($A3695="","",AND(OR('Assignment Builder'!$B$5="",$B3695='Assignment Builder'!$B$5),OR('Assignment Builder'!$B$6="",ISNUMBER(SEARCH('Assignment Builder'!$B$6,$C3695))),OR('Assignment Builder'!$B$7="",'Assignment Builder'!$B$7=IFERROR(INDEX('Category Dictionary'!$C$5:$C$135,MATCH($L3695,'Category Dictionary'!$D$5:$D$135,0)),"")),OR('Assignment Builder'!$B$8="",$D3695='Assignment Builder'!$B$8),OR('Assignment Builder'!$B$9="",$F3695='Assignment Builder'!$B$9),OR('Assignment Builder'!$B$10="",$O3695='Assignment Builder'!$B$10),OR('Assignment Builder'!$B$11="",$H3695&gt;='Assignment Builder'!$B$11),OR('Assignment Builder'!$B$12="",N($Q3695)&lt;='Assignment Builder'!$B$12)))</f>
        <v/>
      </c>
      <c r="T3695" s="23" t="n"/>
    </row>
    <row r="3696">
      <c r="A3696" s="23" t="n"/>
      <c r="B3696" s="23" t="n"/>
      <c r="C3696" s="24" t="n"/>
      <c r="D3696" s="15" t="n"/>
      <c r="E3696" s="23" t="n"/>
      <c r="F3696" s="15" t="n"/>
      <c r="G3696" s="23" t="n"/>
      <c r="H3696" s="25" t="n"/>
      <c r="I3696" s="15" t="n"/>
      <c r="J3696" s="26">
        <f>IF($A3696="","",LEN($C3696)-LEN(SUBSTITUTE($C3696,",",""))+1)</f>
        <v/>
      </c>
      <c r="K3696" s="26">
        <f>IF($A3696="","",SUMPRODUCT(--ISNUMBER(SEARCH('Category Dictionary'!$D$5:$D$135&amp;"",$C3696)),--('Category Dictionary'!$D$5:$D$135&lt;&gt;"")))</f>
        <v/>
      </c>
      <c r="L3696" s="27">
        <f>IF($A3696="","",TRIM(IF(ISERROR(FIND(",",$C3696)),$C3696,LEFT($C3696,FIND(",",$C3696)-1))))</f>
        <v/>
      </c>
      <c r="M3696" s="28">
        <f>IF($H3696="","",DATE(YEAR($H3696),MONTH($H3696),1))</f>
        <v/>
      </c>
      <c r="N3696" s="26">
        <f>IF($H3696="","",TODAY()-$H3696)</f>
        <v/>
      </c>
      <c r="O3696" s="15" t="n"/>
      <c r="P3696" s="15" t="n"/>
      <c r="Q3696" s="15" t="n"/>
      <c r="R3696" s="25" t="n"/>
      <c r="S3696" s="26">
        <f>IF($A3696="","",AND(OR('Assignment Builder'!$B$5="",$B3696='Assignment Builder'!$B$5),OR('Assignment Builder'!$B$6="",ISNUMBER(SEARCH('Assignment Builder'!$B$6,$C3696))),OR('Assignment Builder'!$B$7="",'Assignment Builder'!$B$7=IFERROR(INDEX('Category Dictionary'!$C$5:$C$135,MATCH($L3696,'Category Dictionary'!$D$5:$D$135,0)),"")),OR('Assignment Builder'!$B$8="",$D3696='Assignment Builder'!$B$8),OR('Assignment Builder'!$B$9="",$F3696='Assignment Builder'!$B$9),OR('Assignment Builder'!$B$10="",$O3696='Assignment Builder'!$B$10),OR('Assignment Builder'!$B$11="",$H3696&gt;='Assignment Builder'!$B$11),OR('Assignment Builder'!$B$12="",N($Q3696)&lt;='Assignment Builder'!$B$12)))</f>
        <v/>
      </c>
      <c r="T3696" s="23" t="n"/>
    </row>
    <row r="3697">
      <c r="A3697" s="23" t="n"/>
      <c r="B3697" s="23" t="n"/>
      <c r="C3697" s="24" t="n"/>
      <c r="D3697" s="15" t="n"/>
      <c r="E3697" s="23" t="n"/>
      <c r="F3697" s="15" t="n"/>
      <c r="G3697" s="23" t="n"/>
      <c r="H3697" s="25" t="n"/>
      <c r="I3697" s="15" t="n"/>
      <c r="J3697" s="26">
        <f>IF($A3697="","",LEN($C3697)-LEN(SUBSTITUTE($C3697,",",""))+1)</f>
        <v/>
      </c>
      <c r="K3697" s="26">
        <f>IF($A3697="","",SUMPRODUCT(--ISNUMBER(SEARCH('Category Dictionary'!$D$5:$D$135&amp;"",$C3697)),--('Category Dictionary'!$D$5:$D$135&lt;&gt;"")))</f>
        <v/>
      </c>
      <c r="L3697" s="27">
        <f>IF($A3697="","",TRIM(IF(ISERROR(FIND(",",$C3697)),$C3697,LEFT($C3697,FIND(",",$C3697)-1))))</f>
        <v/>
      </c>
      <c r="M3697" s="28">
        <f>IF($H3697="","",DATE(YEAR($H3697),MONTH($H3697),1))</f>
        <v/>
      </c>
      <c r="N3697" s="26">
        <f>IF($H3697="","",TODAY()-$H3697)</f>
        <v/>
      </c>
      <c r="O3697" s="15" t="n"/>
      <c r="P3697" s="15" t="n"/>
      <c r="Q3697" s="15" t="n"/>
      <c r="R3697" s="25" t="n"/>
      <c r="S3697" s="26">
        <f>IF($A3697="","",AND(OR('Assignment Builder'!$B$5="",$B3697='Assignment Builder'!$B$5),OR('Assignment Builder'!$B$6="",ISNUMBER(SEARCH('Assignment Builder'!$B$6,$C3697))),OR('Assignment Builder'!$B$7="",'Assignment Builder'!$B$7=IFERROR(INDEX('Category Dictionary'!$C$5:$C$135,MATCH($L3697,'Category Dictionary'!$D$5:$D$135,0)),"")),OR('Assignment Builder'!$B$8="",$D3697='Assignment Builder'!$B$8),OR('Assignment Builder'!$B$9="",$F3697='Assignment Builder'!$B$9),OR('Assignment Builder'!$B$10="",$O3697='Assignment Builder'!$B$10),OR('Assignment Builder'!$B$11="",$H3697&gt;='Assignment Builder'!$B$11),OR('Assignment Builder'!$B$12="",N($Q3697)&lt;='Assignment Builder'!$B$12)))</f>
        <v/>
      </c>
      <c r="T3697" s="23" t="n"/>
    </row>
    <row r="3698">
      <c r="A3698" s="23" t="n"/>
      <c r="B3698" s="23" t="n"/>
      <c r="C3698" s="24" t="n"/>
      <c r="D3698" s="15" t="n"/>
      <c r="E3698" s="23" t="n"/>
      <c r="F3698" s="15" t="n"/>
      <c r="G3698" s="23" t="n"/>
      <c r="H3698" s="25" t="n"/>
      <c r="I3698" s="15" t="n"/>
      <c r="J3698" s="26">
        <f>IF($A3698="","",LEN($C3698)-LEN(SUBSTITUTE($C3698,",",""))+1)</f>
        <v/>
      </c>
      <c r="K3698" s="26">
        <f>IF($A3698="","",SUMPRODUCT(--ISNUMBER(SEARCH('Category Dictionary'!$D$5:$D$135&amp;"",$C3698)),--('Category Dictionary'!$D$5:$D$135&lt;&gt;"")))</f>
        <v/>
      </c>
      <c r="L3698" s="27">
        <f>IF($A3698="","",TRIM(IF(ISERROR(FIND(",",$C3698)),$C3698,LEFT($C3698,FIND(",",$C3698)-1))))</f>
        <v/>
      </c>
      <c r="M3698" s="28">
        <f>IF($H3698="","",DATE(YEAR($H3698),MONTH($H3698),1))</f>
        <v/>
      </c>
      <c r="N3698" s="26">
        <f>IF($H3698="","",TODAY()-$H3698)</f>
        <v/>
      </c>
      <c r="O3698" s="15" t="n"/>
      <c r="P3698" s="15" t="n"/>
      <c r="Q3698" s="15" t="n"/>
      <c r="R3698" s="25" t="n"/>
      <c r="S3698" s="26">
        <f>IF($A3698="","",AND(OR('Assignment Builder'!$B$5="",$B3698='Assignment Builder'!$B$5),OR('Assignment Builder'!$B$6="",ISNUMBER(SEARCH('Assignment Builder'!$B$6,$C3698))),OR('Assignment Builder'!$B$7="",'Assignment Builder'!$B$7=IFERROR(INDEX('Category Dictionary'!$C$5:$C$135,MATCH($L3698,'Category Dictionary'!$D$5:$D$135,0)),"")),OR('Assignment Builder'!$B$8="",$D3698='Assignment Builder'!$B$8),OR('Assignment Builder'!$B$9="",$F3698='Assignment Builder'!$B$9),OR('Assignment Builder'!$B$10="",$O3698='Assignment Builder'!$B$10),OR('Assignment Builder'!$B$11="",$H3698&gt;='Assignment Builder'!$B$11),OR('Assignment Builder'!$B$12="",N($Q3698)&lt;='Assignment Builder'!$B$12)))</f>
        <v/>
      </c>
      <c r="T3698" s="23" t="n"/>
    </row>
    <row r="3699">
      <c r="A3699" s="23" t="n"/>
      <c r="B3699" s="23" t="n"/>
      <c r="C3699" s="24" t="n"/>
      <c r="D3699" s="15" t="n"/>
      <c r="E3699" s="23" t="n"/>
      <c r="F3699" s="15" t="n"/>
      <c r="G3699" s="23" t="n"/>
      <c r="H3699" s="25" t="n"/>
      <c r="I3699" s="15" t="n"/>
      <c r="J3699" s="26">
        <f>IF($A3699="","",LEN($C3699)-LEN(SUBSTITUTE($C3699,",",""))+1)</f>
        <v/>
      </c>
      <c r="K3699" s="26">
        <f>IF($A3699="","",SUMPRODUCT(--ISNUMBER(SEARCH('Category Dictionary'!$D$5:$D$135&amp;"",$C3699)),--('Category Dictionary'!$D$5:$D$135&lt;&gt;"")))</f>
        <v/>
      </c>
      <c r="L3699" s="27">
        <f>IF($A3699="","",TRIM(IF(ISERROR(FIND(",",$C3699)),$C3699,LEFT($C3699,FIND(",",$C3699)-1))))</f>
        <v/>
      </c>
      <c r="M3699" s="28">
        <f>IF($H3699="","",DATE(YEAR($H3699),MONTH($H3699),1))</f>
        <v/>
      </c>
      <c r="N3699" s="26">
        <f>IF($H3699="","",TODAY()-$H3699)</f>
        <v/>
      </c>
      <c r="O3699" s="15" t="n"/>
      <c r="P3699" s="15" t="n"/>
      <c r="Q3699" s="15" t="n"/>
      <c r="R3699" s="25" t="n"/>
      <c r="S3699" s="26">
        <f>IF($A3699="","",AND(OR('Assignment Builder'!$B$5="",$B3699='Assignment Builder'!$B$5),OR('Assignment Builder'!$B$6="",ISNUMBER(SEARCH('Assignment Builder'!$B$6,$C3699))),OR('Assignment Builder'!$B$7="",'Assignment Builder'!$B$7=IFERROR(INDEX('Category Dictionary'!$C$5:$C$135,MATCH($L3699,'Category Dictionary'!$D$5:$D$135,0)),"")),OR('Assignment Builder'!$B$8="",$D3699='Assignment Builder'!$B$8),OR('Assignment Builder'!$B$9="",$F3699='Assignment Builder'!$B$9),OR('Assignment Builder'!$B$10="",$O3699='Assignment Builder'!$B$10),OR('Assignment Builder'!$B$11="",$H3699&gt;='Assignment Builder'!$B$11),OR('Assignment Builder'!$B$12="",N($Q3699)&lt;='Assignment Builder'!$B$12)))</f>
        <v/>
      </c>
      <c r="T3699" s="23" t="n"/>
    </row>
    <row r="3700">
      <c r="A3700" s="23" t="n"/>
      <c r="B3700" s="23" t="n"/>
      <c r="C3700" s="24" t="n"/>
      <c r="D3700" s="15" t="n"/>
      <c r="E3700" s="23" t="n"/>
      <c r="F3700" s="15" t="n"/>
      <c r="G3700" s="23" t="n"/>
      <c r="H3700" s="25" t="n"/>
      <c r="I3700" s="15" t="n"/>
      <c r="J3700" s="26">
        <f>IF($A3700="","",LEN($C3700)-LEN(SUBSTITUTE($C3700,",",""))+1)</f>
        <v/>
      </c>
      <c r="K3700" s="26">
        <f>IF($A3700="","",SUMPRODUCT(--ISNUMBER(SEARCH('Category Dictionary'!$D$5:$D$135&amp;"",$C3700)),--('Category Dictionary'!$D$5:$D$135&lt;&gt;"")))</f>
        <v/>
      </c>
      <c r="L3700" s="27">
        <f>IF($A3700="","",TRIM(IF(ISERROR(FIND(",",$C3700)),$C3700,LEFT($C3700,FIND(",",$C3700)-1))))</f>
        <v/>
      </c>
      <c r="M3700" s="28">
        <f>IF($H3700="","",DATE(YEAR($H3700),MONTH($H3700),1))</f>
        <v/>
      </c>
      <c r="N3700" s="26">
        <f>IF($H3700="","",TODAY()-$H3700)</f>
        <v/>
      </c>
      <c r="O3700" s="15" t="n"/>
      <c r="P3700" s="15" t="n"/>
      <c r="Q3700" s="15" t="n"/>
      <c r="R3700" s="25" t="n"/>
      <c r="S3700" s="26">
        <f>IF($A3700="","",AND(OR('Assignment Builder'!$B$5="",$B3700='Assignment Builder'!$B$5),OR('Assignment Builder'!$B$6="",ISNUMBER(SEARCH('Assignment Builder'!$B$6,$C3700))),OR('Assignment Builder'!$B$7="",'Assignment Builder'!$B$7=IFERROR(INDEX('Category Dictionary'!$C$5:$C$135,MATCH($L3700,'Category Dictionary'!$D$5:$D$135,0)),"")),OR('Assignment Builder'!$B$8="",$D3700='Assignment Builder'!$B$8),OR('Assignment Builder'!$B$9="",$F3700='Assignment Builder'!$B$9),OR('Assignment Builder'!$B$10="",$O3700='Assignment Builder'!$B$10),OR('Assignment Builder'!$B$11="",$H3700&gt;='Assignment Builder'!$B$11),OR('Assignment Builder'!$B$12="",N($Q3700)&lt;='Assignment Builder'!$B$12)))</f>
        <v/>
      </c>
      <c r="T3700" s="23" t="n"/>
    </row>
    <row r="3701">
      <c r="A3701" s="23" t="n"/>
      <c r="B3701" s="23" t="n"/>
      <c r="C3701" s="24" t="n"/>
      <c r="D3701" s="15" t="n"/>
      <c r="E3701" s="23" t="n"/>
      <c r="F3701" s="15" t="n"/>
      <c r="G3701" s="23" t="n"/>
      <c r="H3701" s="25" t="n"/>
      <c r="I3701" s="15" t="n"/>
      <c r="J3701" s="26">
        <f>IF($A3701="","",LEN($C3701)-LEN(SUBSTITUTE($C3701,",",""))+1)</f>
        <v/>
      </c>
      <c r="K3701" s="26">
        <f>IF($A3701="","",SUMPRODUCT(--ISNUMBER(SEARCH('Category Dictionary'!$D$5:$D$135&amp;"",$C3701)),--('Category Dictionary'!$D$5:$D$135&lt;&gt;"")))</f>
        <v/>
      </c>
      <c r="L3701" s="27">
        <f>IF($A3701="","",TRIM(IF(ISERROR(FIND(",",$C3701)),$C3701,LEFT($C3701,FIND(",",$C3701)-1))))</f>
        <v/>
      </c>
      <c r="M3701" s="28">
        <f>IF($H3701="","",DATE(YEAR($H3701),MONTH($H3701),1))</f>
        <v/>
      </c>
      <c r="N3701" s="26">
        <f>IF($H3701="","",TODAY()-$H3701)</f>
        <v/>
      </c>
      <c r="O3701" s="15" t="n"/>
      <c r="P3701" s="15" t="n"/>
      <c r="Q3701" s="15" t="n"/>
      <c r="R3701" s="25" t="n"/>
      <c r="S3701" s="26">
        <f>IF($A3701="","",AND(OR('Assignment Builder'!$B$5="",$B3701='Assignment Builder'!$B$5),OR('Assignment Builder'!$B$6="",ISNUMBER(SEARCH('Assignment Builder'!$B$6,$C3701))),OR('Assignment Builder'!$B$7="",'Assignment Builder'!$B$7=IFERROR(INDEX('Category Dictionary'!$C$5:$C$135,MATCH($L3701,'Category Dictionary'!$D$5:$D$135,0)),"")),OR('Assignment Builder'!$B$8="",$D3701='Assignment Builder'!$B$8),OR('Assignment Builder'!$B$9="",$F3701='Assignment Builder'!$B$9),OR('Assignment Builder'!$B$10="",$O3701='Assignment Builder'!$B$10),OR('Assignment Builder'!$B$11="",$H3701&gt;='Assignment Builder'!$B$11),OR('Assignment Builder'!$B$12="",N($Q3701)&lt;='Assignment Builder'!$B$12)))</f>
        <v/>
      </c>
      <c r="T3701" s="23" t="n"/>
    </row>
    <row r="3702">
      <c r="A3702" s="23" t="n"/>
      <c r="B3702" s="23" t="n"/>
      <c r="C3702" s="24" t="n"/>
      <c r="D3702" s="15" t="n"/>
      <c r="E3702" s="23" t="n"/>
      <c r="F3702" s="15" t="n"/>
      <c r="G3702" s="23" t="n"/>
      <c r="H3702" s="25" t="n"/>
      <c r="I3702" s="15" t="n"/>
      <c r="J3702" s="26">
        <f>IF($A3702="","",LEN($C3702)-LEN(SUBSTITUTE($C3702,",",""))+1)</f>
        <v/>
      </c>
      <c r="K3702" s="26">
        <f>IF($A3702="","",SUMPRODUCT(--ISNUMBER(SEARCH('Category Dictionary'!$D$5:$D$135&amp;"",$C3702)),--('Category Dictionary'!$D$5:$D$135&lt;&gt;"")))</f>
        <v/>
      </c>
      <c r="L3702" s="27">
        <f>IF($A3702="","",TRIM(IF(ISERROR(FIND(",",$C3702)),$C3702,LEFT($C3702,FIND(",",$C3702)-1))))</f>
        <v/>
      </c>
      <c r="M3702" s="28">
        <f>IF($H3702="","",DATE(YEAR($H3702),MONTH($H3702),1))</f>
        <v/>
      </c>
      <c r="N3702" s="26">
        <f>IF($H3702="","",TODAY()-$H3702)</f>
        <v/>
      </c>
      <c r="O3702" s="15" t="n"/>
      <c r="P3702" s="15" t="n"/>
      <c r="Q3702" s="15" t="n"/>
      <c r="R3702" s="25" t="n"/>
      <c r="S3702" s="26">
        <f>IF($A3702="","",AND(OR('Assignment Builder'!$B$5="",$B3702='Assignment Builder'!$B$5),OR('Assignment Builder'!$B$6="",ISNUMBER(SEARCH('Assignment Builder'!$B$6,$C3702))),OR('Assignment Builder'!$B$7="",'Assignment Builder'!$B$7=IFERROR(INDEX('Category Dictionary'!$C$5:$C$135,MATCH($L3702,'Category Dictionary'!$D$5:$D$135,0)),"")),OR('Assignment Builder'!$B$8="",$D3702='Assignment Builder'!$B$8),OR('Assignment Builder'!$B$9="",$F3702='Assignment Builder'!$B$9),OR('Assignment Builder'!$B$10="",$O3702='Assignment Builder'!$B$10),OR('Assignment Builder'!$B$11="",$H3702&gt;='Assignment Builder'!$B$11),OR('Assignment Builder'!$B$12="",N($Q3702)&lt;='Assignment Builder'!$B$12)))</f>
        <v/>
      </c>
      <c r="T3702" s="23" t="n"/>
    </row>
    <row r="3703">
      <c r="A3703" s="23" t="n"/>
      <c r="B3703" s="23" t="n"/>
      <c r="C3703" s="24" t="n"/>
      <c r="D3703" s="15" t="n"/>
      <c r="E3703" s="23" t="n"/>
      <c r="F3703" s="15" t="n"/>
      <c r="G3703" s="23" t="n"/>
      <c r="H3703" s="25" t="n"/>
      <c r="I3703" s="15" t="n"/>
      <c r="J3703" s="26">
        <f>IF($A3703="","",LEN($C3703)-LEN(SUBSTITUTE($C3703,",",""))+1)</f>
        <v/>
      </c>
      <c r="K3703" s="26">
        <f>IF($A3703="","",SUMPRODUCT(--ISNUMBER(SEARCH('Category Dictionary'!$D$5:$D$135&amp;"",$C3703)),--('Category Dictionary'!$D$5:$D$135&lt;&gt;"")))</f>
        <v/>
      </c>
      <c r="L3703" s="27">
        <f>IF($A3703="","",TRIM(IF(ISERROR(FIND(",",$C3703)),$C3703,LEFT($C3703,FIND(",",$C3703)-1))))</f>
        <v/>
      </c>
      <c r="M3703" s="28">
        <f>IF($H3703="","",DATE(YEAR($H3703),MONTH($H3703),1))</f>
        <v/>
      </c>
      <c r="N3703" s="26">
        <f>IF($H3703="","",TODAY()-$H3703)</f>
        <v/>
      </c>
      <c r="O3703" s="15" t="n"/>
      <c r="P3703" s="15" t="n"/>
      <c r="Q3703" s="15" t="n"/>
      <c r="R3703" s="25" t="n"/>
      <c r="S3703" s="26">
        <f>IF($A3703="","",AND(OR('Assignment Builder'!$B$5="",$B3703='Assignment Builder'!$B$5),OR('Assignment Builder'!$B$6="",ISNUMBER(SEARCH('Assignment Builder'!$B$6,$C3703))),OR('Assignment Builder'!$B$7="",'Assignment Builder'!$B$7=IFERROR(INDEX('Category Dictionary'!$C$5:$C$135,MATCH($L3703,'Category Dictionary'!$D$5:$D$135,0)),"")),OR('Assignment Builder'!$B$8="",$D3703='Assignment Builder'!$B$8),OR('Assignment Builder'!$B$9="",$F3703='Assignment Builder'!$B$9),OR('Assignment Builder'!$B$10="",$O3703='Assignment Builder'!$B$10),OR('Assignment Builder'!$B$11="",$H3703&gt;='Assignment Builder'!$B$11),OR('Assignment Builder'!$B$12="",N($Q3703)&lt;='Assignment Builder'!$B$12)))</f>
        <v/>
      </c>
      <c r="T3703" s="23" t="n"/>
    </row>
    <row r="3704">
      <c r="A3704" s="23" t="n"/>
      <c r="B3704" s="23" t="n"/>
      <c r="C3704" s="24" t="n"/>
      <c r="D3704" s="15" t="n"/>
      <c r="E3704" s="23" t="n"/>
      <c r="F3704" s="15" t="n"/>
      <c r="G3704" s="23" t="n"/>
      <c r="H3704" s="25" t="n"/>
      <c r="I3704" s="15" t="n"/>
      <c r="J3704" s="26">
        <f>IF($A3704="","",LEN($C3704)-LEN(SUBSTITUTE($C3704,",",""))+1)</f>
        <v/>
      </c>
      <c r="K3704" s="26">
        <f>IF($A3704="","",SUMPRODUCT(--ISNUMBER(SEARCH('Category Dictionary'!$D$5:$D$135&amp;"",$C3704)),--('Category Dictionary'!$D$5:$D$135&lt;&gt;"")))</f>
        <v/>
      </c>
      <c r="L3704" s="27">
        <f>IF($A3704="","",TRIM(IF(ISERROR(FIND(",",$C3704)),$C3704,LEFT($C3704,FIND(",",$C3704)-1))))</f>
        <v/>
      </c>
      <c r="M3704" s="28">
        <f>IF($H3704="","",DATE(YEAR($H3704),MONTH($H3704),1))</f>
        <v/>
      </c>
      <c r="N3704" s="26">
        <f>IF($H3704="","",TODAY()-$H3704)</f>
        <v/>
      </c>
      <c r="O3704" s="15" t="n"/>
      <c r="P3704" s="15" t="n"/>
      <c r="Q3704" s="15" t="n"/>
      <c r="R3704" s="25" t="n"/>
      <c r="S3704" s="26">
        <f>IF($A3704="","",AND(OR('Assignment Builder'!$B$5="",$B3704='Assignment Builder'!$B$5),OR('Assignment Builder'!$B$6="",ISNUMBER(SEARCH('Assignment Builder'!$B$6,$C3704))),OR('Assignment Builder'!$B$7="",'Assignment Builder'!$B$7=IFERROR(INDEX('Category Dictionary'!$C$5:$C$135,MATCH($L3704,'Category Dictionary'!$D$5:$D$135,0)),"")),OR('Assignment Builder'!$B$8="",$D3704='Assignment Builder'!$B$8),OR('Assignment Builder'!$B$9="",$F3704='Assignment Builder'!$B$9),OR('Assignment Builder'!$B$10="",$O3704='Assignment Builder'!$B$10),OR('Assignment Builder'!$B$11="",$H3704&gt;='Assignment Builder'!$B$11),OR('Assignment Builder'!$B$12="",N($Q3704)&lt;='Assignment Builder'!$B$12)))</f>
        <v/>
      </c>
      <c r="T3704" s="23" t="n"/>
    </row>
    <row r="3705">
      <c r="A3705" s="23" t="n"/>
      <c r="B3705" s="23" t="n"/>
      <c r="C3705" s="24" t="n"/>
      <c r="D3705" s="15" t="n"/>
      <c r="E3705" s="23" t="n"/>
      <c r="F3705" s="15" t="n"/>
      <c r="G3705" s="23" t="n"/>
      <c r="H3705" s="25" t="n"/>
      <c r="I3705" s="15" t="n"/>
      <c r="J3705" s="26">
        <f>IF($A3705="","",LEN($C3705)-LEN(SUBSTITUTE($C3705,",",""))+1)</f>
        <v/>
      </c>
      <c r="K3705" s="26">
        <f>IF($A3705="","",SUMPRODUCT(--ISNUMBER(SEARCH('Category Dictionary'!$D$5:$D$135&amp;"",$C3705)),--('Category Dictionary'!$D$5:$D$135&lt;&gt;"")))</f>
        <v/>
      </c>
      <c r="L3705" s="27">
        <f>IF($A3705="","",TRIM(IF(ISERROR(FIND(",",$C3705)),$C3705,LEFT($C3705,FIND(",",$C3705)-1))))</f>
        <v/>
      </c>
      <c r="M3705" s="28">
        <f>IF($H3705="","",DATE(YEAR($H3705),MONTH($H3705),1))</f>
        <v/>
      </c>
      <c r="N3705" s="26">
        <f>IF($H3705="","",TODAY()-$H3705)</f>
        <v/>
      </c>
      <c r="O3705" s="15" t="n"/>
      <c r="P3705" s="15" t="n"/>
      <c r="Q3705" s="15" t="n"/>
      <c r="R3705" s="25" t="n"/>
      <c r="S3705" s="26">
        <f>IF($A3705="","",AND(OR('Assignment Builder'!$B$5="",$B3705='Assignment Builder'!$B$5),OR('Assignment Builder'!$B$6="",ISNUMBER(SEARCH('Assignment Builder'!$B$6,$C3705))),OR('Assignment Builder'!$B$7="",'Assignment Builder'!$B$7=IFERROR(INDEX('Category Dictionary'!$C$5:$C$135,MATCH($L3705,'Category Dictionary'!$D$5:$D$135,0)),"")),OR('Assignment Builder'!$B$8="",$D3705='Assignment Builder'!$B$8),OR('Assignment Builder'!$B$9="",$F3705='Assignment Builder'!$B$9),OR('Assignment Builder'!$B$10="",$O3705='Assignment Builder'!$B$10),OR('Assignment Builder'!$B$11="",$H3705&gt;='Assignment Builder'!$B$11),OR('Assignment Builder'!$B$12="",N($Q3705)&lt;='Assignment Builder'!$B$12)))</f>
        <v/>
      </c>
      <c r="T3705" s="23" t="n"/>
    </row>
    <row r="3706">
      <c r="A3706" s="23" t="n"/>
      <c r="B3706" s="23" t="n"/>
      <c r="C3706" s="24" t="n"/>
      <c r="D3706" s="15" t="n"/>
      <c r="E3706" s="23" t="n"/>
      <c r="F3706" s="15" t="n"/>
      <c r="G3706" s="23" t="n"/>
      <c r="H3706" s="25" t="n"/>
      <c r="I3706" s="15" t="n"/>
      <c r="J3706" s="26">
        <f>IF($A3706="","",LEN($C3706)-LEN(SUBSTITUTE($C3706,",",""))+1)</f>
        <v/>
      </c>
      <c r="K3706" s="26">
        <f>IF($A3706="","",SUMPRODUCT(--ISNUMBER(SEARCH('Category Dictionary'!$D$5:$D$135&amp;"",$C3706)),--('Category Dictionary'!$D$5:$D$135&lt;&gt;"")))</f>
        <v/>
      </c>
      <c r="L3706" s="27">
        <f>IF($A3706="","",TRIM(IF(ISERROR(FIND(",",$C3706)),$C3706,LEFT($C3706,FIND(",",$C3706)-1))))</f>
        <v/>
      </c>
      <c r="M3706" s="28">
        <f>IF($H3706="","",DATE(YEAR($H3706),MONTH($H3706),1))</f>
        <v/>
      </c>
      <c r="N3706" s="26">
        <f>IF($H3706="","",TODAY()-$H3706)</f>
        <v/>
      </c>
      <c r="O3706" s="15" t="n"/>
      <c r="P3706" s="15" t="n"/>
      <c r="Q3706" s="15" t="n"/>
      <c r="R3706" s="25" t="n"/>
      <c r="S3706" s="26">
        <f>IF($A3706="","",AND(OR('Assignment Builder'!$B$5="",$B3706='Assignment Builder'!$B$5),OR('Assignment Builder'!$B$6="",ISNUMBER(SEARCH('Assignment Builder'!$B$6,$C3706))),OR('Assignment Builder'!$B$7="",'Assignment Builder'!$B$7=IFERROR(INDEX('Category Dictionary'!$C$5:$C$135,MATCH($L3706,'Category Dictionary'!$D$5:$D$135,0)),"")),OR('Assignment Builder'!$B$8="",$D3706='Assignment Builder'!$B$8),OR('Assignment Builder'!$B$9="",$F3706='Assignment Builder'!$B$9),OR('Assignment Builder'!$B$10="",$O3706='Assignment Builder'!$B$10),OR('Assignment Builder'!$B$11="",$H3706&gt;='Assignment Builder'!$B$11),OR('Assignment Builder'!$B$12="",N($Q3706)&lt;='Assignment Builder'!$B$12)))</f>
        <v/>
      </c>
      <c r="T3706" s="23" t="n"/>
    </row>
    <row r="3707">
      <c r="A3707" s="23" t="n"/>
      <c r="B3707" s="23" t="n"/>
      <c r="C3707" s="24" t="n"/>
      <c r="D3707" s="15" t="n"/>
      <c r="E3707" s="23" t="n"/>
      <c r="F3707" s="15" t="n"/>
      <c r="G3707" s="23" t="n"/>
      <c r="H3707" s="25" t="n"/>
      <c r="I3707" s="15" t="n"/>
      <c r="J3707" s="26">
        <f>IF($A3707="","",LEN($C3707)-LEN(SUBSTITUTE($C3707,",",""))+1)</f>
        <v/>
      </c>
      <c r="K3707" s="26">
        <f>IF($A3707="","",SUMPRODUCT(--ISNUMBER(SEARCH('Category Dictionary'!$D$5:$D$135&amp;"",$C3707)),--('Category Dictionary'!$D$5:$D$135&lt;&gt;"")))</f>
        <v/>
      </c>
      <c r="L3707" s="27">
        <f>IF($A3707="","",TRIM(IF(ISERROR(FIND(",",$C3707)),$C3707,LEFT($C3707,FIND(",",$C3707)-1))))</f>
        <v/>
      </c>
      <c r="M3707" s="28">
        <f>IF($H3707="","",DATE(YEAR($H3707),MONTH($H3707),1))</f>
        <v/>
      </c>
      <c r="N3707" s="26">
        <f>IF($H3707="","",TODAY()-$H3707)</f>
        <v/>
      </c>
      <c r="O3707" s="15" t="n"/>
      <c r="P3707" s="15" t="n"/>
      <c r="Q3707" s="15" t="n"/>
      <c r="R3707" s="25" t="n"/>
      <c r="S3707" s="26">
        <f>IF($A3707="","",AND(OR('Assignment Builder'!$B$5="",$B3707='Assignment Builder'!$B$5),OR('Assignment Builder'!$B$6="",ISNUMBER(SEARCH('Assignment Builder'!$B$6,$C3707))),OR('Assignment Builder'!$B$7="",'Assignment Builder'!$B$7=IFERROR(INDEX('Category Dictionary'!$C$5:$C$135,MATCH($L3707,'Category Dictionary'!$D$5:$D$135,0)),"")),OR('Assignment Builder'!$B$8="",$D3707='Assignment Builder'!$B$8),OR('Assignment Builder'!$B$9="",$F3707='Assignment Builder'!$B$9),OR('Assignment Builder'!$B$10="",$O3707='Assignment Builder'!$B$10),OR('Assignment Builder'!$B$11="",$H3707&gt;='Assignment Builder'!$B$11),OR('Assignment Builder'!$B$12="",N($Q3707)&lt;='Assignment Builder'!$B$12)))</f>
        <v/>
      </c>
      <c r="T3707" s="23" t="n"/>
    </row>
    <row r="3708">
      <c r="A3708" s="23" t="n"/>
      <c r="B3708" s="23" t="n"/>
      <c r="C3708" s="24" t="n"/>
      <c r="D3708" s="15" t="n"/>
      <c r="E3708" s="23" t="n"/>
      <c r="F3708" s="15" t="n"/>
      <c r="G3708" s="23" t="n"/>
      <c r="H3708" s="25" t="n"/>
      <c r="I3708" s="15" t="n"/>
      <c r="J3708" s="26">
        <f>IF($A3708="","",LEN($C3708)-LEN(SUBSTITUTE($C3708,",",""))+1)</f>
        <v/>
      </c>
      <c r="K3708" s="26">
        <f>IF($A3708="","",SUMPRODUCT(--ISNUMBER(SEARCH('Category Dictionary'!$D$5:$D$135&amp;"",$C3708)),--('Category Dictionary'!$D$5:$D$135&lt;&gt;"")))</f>
        <v/>
      </c>
      <c r="L3708" s="27">
        <f>IF($A3708="","",TRIM(IF(ISERROR(FIND(",",$C3708)),$C3708,LEFT($C3708,FIND(",",$C3708)-1))))</f>
        <v/>
      </c>
      <c r="M3708" s="28">
        <f>IF($H3708="","",DATE(YEAR($H3708),MONTH($H3708),1))</f>
        <v/>
      </c>
      <c r="N3708" s="26">
        <f>IF($H3708="","",TODAY()-$H3708)</f>
        <v/>
      </c>
      <c r="O3708" s="15" t="n"/>
      <c r="P3708" s="15" t="n"/>
      <c r="Q3708" s="15" t="n"/>
      <c r="R3708" s="25" t="n"/>
      <c r="S3708" s="26">
        <f>IF($A3708="","",AND(OR('Assignment Builder'!$B$5="",$B3708='Assignment Builder'!$B$5),OR('Assignment Builder'!$B$6="",ISNUMBER(SEARCH('Assignment Builder'!$B$6,$C3708))),OR('Assignment Builder'!$B$7="",'Assignment Builder'!$B$7=IFERROR(INDEX('Category Dictionary'!$C$5:$C$135,MATCH($L3708,'Category Dictionary'!$D$5:$D$135,0)),"")),OR('Assignment Builder'!$B$8="",$D3708='Assignment Builder'!$B$8),OR('Assignment Builder'!$B$9="",$F3708='Assignment Builder'!$B$9),OR('Assignment Builder'!$B$10="",$O3708='Assignment Builder'!$B$10),OR('Assignment Builder'!$B$11="",$H3708&gt;='Assignment Builder'!$B$11),OR('Assignment Builder'!$B$12="",N($Q3708)&lt;='Assignment Builder'!$B$12)))</f>
        <v/>
      </c>
      <c r="T3708" s="23" t="n"/>
    </row>
    <row r="3709">
      <c r="A3709" s="23" t="n"/>
      <c r="B3709" s="23" t="n"/>
      <c r="C3709" s="24" t="n"/>
      <c r="D3709" s="15" t="n"/>
      <c r="E3709" s="23" t="n"/>
      <c r="F3709" s="15" t="n"/>
      <c r="G3709" s="23" t="n"/>
      <c r="H3709" s="25" t="n"/>
      <c r="I3709" s="15" t="n"/>
      <c r="J3709" s="26">
        <f>IF($A3709="","",LEN($C3709)-LEN(SUBSTITUTE($C3709,",",""))+1)</f>
        <v/>
      </c>
      <c r="K3709" s="26">
        <f>IF($A3709="","",SUMPRODUCT(--ISNUMBER(SEARCH('Category Dictionary'!$D$5:$D$135&amp;"",$C3709)),--('Category Dictionary'!$D$5:$D$135&lt;&gt;"")))</f>
        <v/>
      </c>
      <c r="L3709" s="27">
        <f>IF($A3709="","",TRIM(IF(ISERROR(FIND(",",$C3709)),$C3709,LEFT($C3709,FIND(",",$C3709)-1))))</f>
        <v/>
      </c>
      <c r="M3709" s="28">
        <f>IF($H3709="","",DATE(YEAR($H3709),MONTH($H3709),1))</f>
        <v/>
      </c>
      <c r="N3709" s="26">
        <f>IF($H3709="","",TODAY()-$H3709)</f>
        <v/>
      </c>
      <c r="O3709" s="15" t="n"/>
      <c r="P3709" s="15" t="n"/>
      <c r="Q3709" s="15" t="n"/>
      <c r="R3709" s="25" t="n"/>
      <c r="S3709" s="26">
        <f>IF($A3709="","",AND(OR('Assignment Builder'!$B$5="",$B3709='Assignment Builder'!$B$5),OR('Assignment Builder'!$B$6="",ISNUMBER(SEARCH('Assignment Builder'!$B$6,$C3709))),OR('Assignment Builder'!$B$7="",'Assignment Builder'!$B$7=IFERROR(INDEX('Category Dictionary'!$C$5:$C$135,MATCH($L3709,'Category Dictionary'!$D$5:$D$135,0)),"")),OR('Assignment Builder'!$B$8="",$D3709='Assignment Builder'!$B$8),OR('Assignment Builder'!$B$9="",$F3709='Assignment Builder'!$B$9),OR('Assignment Builder'!$B$10="",$O3709='Assignment Builder'!$B$10),OR('Assignment Builder'!$B$11="",$H3709&gt;='Assignment Builder'!$B$11),OR('Assignment Builder'!$B$12="",N($Q3709)&lt;='Assignment Builder'!$B$12)))</f>
        <v/>
      </c>
      <c r="T3709" s="23" t="n"/>
    </row>
    <row r="3710">
      <c r="A3710" s="23" t="n"/>
      <c r="B3710" s="23" t="n"/>
      <c r="C3710" s="24" t="n"/>
      <c r="D3710" s="15" t="n"/>
      <c r="E3710" s="23" t="n"/>
      <c r="F3710" s="15" t="n"/>
      <c r="G3710" s="23" t="n"/>
      <c r="H3710" s="25" t="n"/>
      <c r="I3710" s="15" t="n"/>
      <c r="J3710" s="26">
        <f>IF($A3710="","",LEN($C3710)-LEN(SUBSTITUTE($C3710,",",""))+1)</f>
        <v/>
      </c>
      <c r="K3710" s="26">
        <f>IF($A3710="","",SUMPRODUCT(--ISNUMBER(SEARCH('Category Dictionary'!$D$5:$D$135&amp;"",$C3710)),--('Category Dictionary'!$D$5:$D$135&lt;&gt;"")))</f>
        <v/>
      </c>
      <c r="L3710" s="27">
        <f>IF($A3710="","",TRIM(IF(ISERROR(FIND(",",$C3710)),$C3710,LEFT($C3710,FIND(",",$C3710)-1))))</f>
        <v/>
      </c>
      <c r="M3710" s="28">
        <f>IF($H3710="","",DATE(YEAR($H3710),MONTH($H3710),1))</f>
        <v/>
      </c>
      <c r="N3710" s="26">
        <f>IF($H3710="","",TODAY()-$H3710)</f>
        <v/>
      </c>
      <c r="O3710" s="15" t="n"/>
      <c r="P3710" s="15" t="n"/>
      <c r="Q3710" s="15" t="n"/>
      <c r="R3710" s="25" t="n"/>
      <c r="S3710" s="26">
        <f>IF($A3710="","",AND(OR('Assignment Builder'!$B$5="",$B3710='Assignment Builder'!$B$5),OR('Assignment Builder'!$B$6="",ISNUMBER(SEARCH('Assignment Builder'!$B$6,$C3710))),OR('Assignment Builder'!$B$7="",'Assignment Builder'!$B$7=IFERROR(INDEX('Category Dictionary'!$C$5:$C$135,MATCH($L3710,'Category Dictionary'!$D$5:$D$135,0)),"")),OR('Assignment Builder'!$B$8="",$D3710='Assignment Builder'!$B$8),OR('Assignment Builder'!$B$9="",$F3710='Assignment Builder'!$B$9),OR('Assignment Builder'!$B$10="",$O3710='Assignment Builder'!$B$10),OR('Assignment Builder'!$B$11="",$H3710&gt;='Assignment Builder'!$B$11),OR('Assignment Builder'!$B$12="",N($Q3710)&lt;='Assignment Builder'!$B$12)))</f>
        <v/>
      </c>
      <c r="T3710" s="23" t="n"/>
    </row>
    <row r="3711">
      <c r="A3711" s="23" t="n"/>
      <c r="B3711" s="23" t="n"/>
      <c r="C3711" s="24" t="n"/>
      <c r="D3711" s="15" t="n"/>
      <c r="E3711" s="23" t="n"/>
      <c r="F3711" s="15" t="n"/>
      <c r="G3711" s="23" t="n"/>
      <c r="H3711" s="25" t="n"/>
      <c r="I3711" s="15" t="n"/>
      <c r="J3711" s="26">
        <f>IF($A3711="","",LEN($C3711)-LEN(SUBSTITUTE($C3711,",",""))+1)</f>
        <v/>
      </c>
      <c r="K3711" s="26">
        <f>IF($A3711="","",SUMPRODUCT(--ISNUMBER(SEARCH('Category Dictionary'!$D$5:$D$135&amp;"",$C3711)),--('Category Dictionary'!$D$5:$D$135&lt;&gt;"")))</f>
        <v/>
      </c>
      <c r="L3711" s="27">
        <f>IF($A3711="","",TRIM(IF(ISERROR(FIND(",",$C3711)),$C3711,LEFT($C3711,FIND(",",$C3711)-1))))</f>
        <v/>
      </c>
      <c r="M3711" s="28">
        <f>IF($H3711="","",DATE(YEAR($H3711),MONTH($H3711),1))</f>
        <v/>
      </c>
      <c r="N3711" s="26">
        <f>IF($H3711="","",TODAY()-$H3711)</f>
        <v/>
      </c>
      <c r="O3711" s="15" t="n"/>
      <c r="P3711" s="15" t="n"/>
      <c r="Q3711" s="15" t="n"/>
      <c r="R3711" s="25" t="n"/>
      <c r="S3711" s="26">
        <f>IF($A3711="","",AND(OR('Assignment Builder'!$B$5="",$B3711='Assignment Builder'!$B$5),OR('Assignment Builder'!$B$6="",ISNUMBER(SEARCH('Assignment Builder'!$B$6,$C3711))),OR('Assignment Builder'!$B$7="",'Assignment Builder'!$B$7=IFERROR(INDEX('Category Dictionary'!$C$5:$C$135,MATCH($L3711,'Category Dictionary'!$D$5:$D$135,0)),"")),OR('Assignment Builder'!$B$8="",$D3711='Assignment Builder'!$B$8),OR('Assignment Builder'!$B$9="",$F3711='Assignment Builder'!$B$9),OR('Assignment Builder'!$B$10="",$O3711='Assignment Builder'!$B$10),OR('Assignment Builder'!$B$11="",$H3711&gt;='Assignment Builder'!$B$11),OR('Assignment Builder'!$B$12="",N($Q3711)&lt;='Assignment Builder'!$B$12)))</f>
        <v/>
      </c>
      <c r="T3711" s="23" t="n"/>
    </row>
    <row r="3712">
      <c r="A3712" s="23" t="n"/>
      <c r="B3712" s="23" t="n"/>
      <c r="C3712" s="24" t="n"/>
      <c r="D3712" s="15" t="n"/>
      <c r="E3712" s="23" t="n"/>
      <c r="F3712" s="15" t="n"/>
      <c r="G3712" s="23" t="n"/>
      <c r="H3712" s="25" t="n"/>
      <c r="I3712" s="15" t="n"/>
      <c r="J3712" s="26">
        <f>IF($A3712="","",LEN($C3712)-LEN(SUBSTITUTE($C3712,",",""))+1)</f>
        <v/>
      </c>
      <c r="K3712" s="26">
        <f>IF($A3712="","",SUMPRODUCT(--ISNUMBER(SEARCH('Category Dictionary'!$D$5:$D$135&amp;"",$C3712)),--('Category Dictionary'!$D$5:$D$135&lt;&gt;"")))</f>
        <v/>
      </c>
      <c r="L3712" s="27">
        <f>IF($A3712="","",TRIM(IF(ISERROR(FIND(",",$C3712)),$C3712,LEFT($C3712,FIND(",",$C3712)-1))))</f>
        <v/>
      </c>
      <c r="M3712" s="28">
        <f>IF($H3712="","",DATE(YEAR($H3712),MONTH($H3712),1))</f>
        <v/>
      </c>
      <c r="N3712" s="26">
        <f>IF($H3712="","",TODAY()-$H3712)</f>
        <v/>
      </c>
      <c r="O3712" s="15" t="n"/>
      <c r="P3712" s="15" t="n"/>
      <c r="Q3712" s="15" t="n"/>
      <c r="R3712" s="25" t="n"/>
      <c r="S3712" s="26">
        <f>IF($A3712="","",AND(OR('Assignment Builder'!$B$5="",$B3712='Assignment Builder'!$B$5),OR('Assignment Builder'!$B$6="",ISNUMBER(SEARCH('Assignment Builder'!$B$6,$C3712))),OR('Assignment Builder'!$B$7="",'Assignment Builder'!$B$7=IFERROR(INDEX('Category Dictionary'!$C$5:$C$135,MATCH($L3712,'Category Dictionary'!$D$5:$D$135,0)),"")),OR('Assignment Builder'!$B$8="",$D3712='Assignment Builder'!$B$8),OR('Assignment Builder'!$B$9="",$F3712='Assignment Builder'!$B$9),OR('Assignment Builder'!$B$10="",$O3712='Assignment Builder'!$B$10),OR('Assignment Builder'!$B$11="",$H3712&gt;='Assignment Builder'!$B$11),OR('Assignment Builder'!$B$12="",N($Q3712)&lt;='Assignment Builder'!$B$12)))</f>
        <v/>
      </c>
      <c r="T3712" s="23" t="n"/>
    </row>
    <row r="3713">
      <c r="A3713" s="23" t="n"/>
      <c r="B3713" s="23" t="n"/>
      <c r="C3713" s="24" t="n"/>
      <c r="D3713" s="15" t="n"/>
      <c r="E3713" s="23" t="n"/>
      <c r="F3713" s="15" t="n"/>
      <c r="G3713" s="23" t="n"/>
      <c r="H3713" s="25" t="n"/>
      <c r="I3713" s="15" t="n"/>
      <c r="J3713" s="26">
        <f>IF($A3713="","",LEN($C3713)-LEN(SUBSTITUTE($C3713,",",""))+1)</f>
        <v/>
      </c>
      <c r="K3713" s="26">
        <f>IF($A3713="","",SUMPRODUCT(--ISNUMBER(SEARCH('Category Dictionary'!$D$5:$D$135&amp;"",$C3713)),--('Category Dictionary'!$D$5:$D$135&lt;&gt;"")))</f>
        <v/>
      </c>
      <c r="L3713" s="27">
        <f>IF($A3713="","",TRIM(IF(ISERROR(FIND(",",$C3713)),$C3713,LEFT($C3713,FIND(",",$C3713)-1))))</f>
        <v/>
      </c>
      <c r="M3713" s="28">
        <f>IF($H3713="","",DATE(YEAR($H3713),MONTH($H3713),1))</f>
        <v/>
      </c>
      <c r="N3713" s="26">
        <f>IF($H3713="","",TODAY()-$H3713)</f>
        <v/>
      </c>
      <c r="O3713" s="15" t="n"/>
      <c r="P3713" s="15" t="n"/>
      <c r="Q3713" s="15" t="n"/>
      <c r="R3713" s="25" t="n"/>
      <c r="S3713" s="26">
        <f>IF($A3713="","",AND(OR('Assignment Builder'!$B$5="",$B3713='Assignment Builder'!$B$5),OR('Assignment Builder'!$B$6="",ISNUMBER(SEARCH('Assignment Builder'!$B$6,$C3713))),OR('Assignment Builder'!$B$7="",'Assignment Builder'!$B$7=IFERROR(INDEX('Category Dictionary'!$C$5:$C$135,MATCH($L3713,'Category Dictionary'!$D$5:$D$135,0)),"")),OR('Assignment Builder'!$B$8="",$D3713='Assignment Builder'!$B$8),OR('Assignment Builder'!$B$9="",$F3713='Assignment Builder'!$B$9),OR('Assignment Builder'!$B$10="",$O3713='Assignment Builder'!$B$10),OR('Assignment Builder'!$B$11="",$H3713&gt;='Assignment Builder'!$B$11),OR('Assignment Builder'!$B$12="",N($Q3713)&lt;='Assignment Builder'!$B$12)))</f>
        <v/>
      </c>
      <c r="T3713" s="23" t="n"/>
    </row>
    <row r="3714">
      <c r="A3714" s="23" t="n"/>
      <c r="B3714" s="23" t="n"/>
      <c r="C3714" s="24" t="n"/>
      <c r="D3714" s="15" t="n"/>
      <c r="E3714" s="23" t="n"/>
      <c r="F3714" s="15" t="n"/>
      <c r="G3714" s="23" t="n"/>
      <c r="H3714" s="25" t="n"/>
      <c r="I3714" s="15" t="n"/>
      <c r="J3714" s="26">
        <f>IF($A3714="","",LEN($C3714)-LEN(SUBSTITUTE($C3714,",",""))+1)</f>
        <v/>
      </c>
      <c r="K3714" s="26">
        <f>IF($A3714="","",SUMPRODUCT(--ISNUMBER(SEARCH('Category Dictionary'!$D$5:$D$135&amp;"",$C3714)),--('Category Dictionary'!$D$5:$D$135&lt;&gt;"")))</f>
        <v/>
      </c>
      <c r="L3714" s="27">
        <f>IF($A3714="","",TRIM(IF(ISERROR(FIND(",",$C3714)),$C3714,LEFT($C3714,FIND(",",$C3714)-1))))</f>
        <v/>
      </c>
      <c r="M3714" s="28">
        <f>IF($H3714="","",DATE(YEAR($H3714),MONTH($H3714),1))</f>
        <v/>
      </c>
      <c r="N3714" s="26">
        <f>IF($H3714="","",TODAY()-$H3714)</f>
        <v/>
      </c>
      <c r="O3714" s="15" t="n"/>
      <c r="P3714" s="15" t="n"/>
      <c r="Q3714" s="15" t="n"/>
      <c r="R3714" s="25" t="n"/>
      <c r="S3714" s="26">
        <f>IF($A3714="","",AND(OR('Assignment Builder'!$B$5="",$B3714='Assignment Builder'!$B$5),OR('Assignment Builder'!$B$6="",ISNUMBER(SEARCH('Assignment Builder'!$B$6,$C3714))),OR('Assignment Builder'!$B$7="",'Assignment Builder'!$B$7=IFERROR(INDEX('Category Dictionary'!$C$5:$C$135,MATCH($L3714,'Category Dictionary'!$D$5:$D$135,0)),"")),OR('Assignment Builder'!$B$8="",$D3714='Assignment Builder'!$B$8),OR('Assignment Builder'!$B$9="",$F3714='Assignment Builder'!$B$9),OR('Assignment Builder'!$B$10="",$O3714='Assignment Builder'!$B$10),OR('Assignment Builder'!$B$11="",$H3714&gt;='Assignment Builder'!$B$11),OR('Assignment Builder'!$B$12="",N($Q3714)&lt;='Assignment Builder'!$B$12)))</f>
        <v/>
      </c>
      <c r="T3714" s="23" t="n"/>
    </row>
    <row r="3715">
      <c r="A3715" s="23" t="n"/>
      <c r="B3715" s="23" t="n"/>
      <c r="C3715" s="24" t="n"/>
      <c r="D3715" s="15" t="n"/>
      <c r="E3715" s="23" t="n"/>
      <c r="F3715" s="15" t="n"/>
      <c r="G3715" s="23" t="n"/>
      <c r="H3715" s="25" t="n"/>
      <c r="I3715" s="15" t="n"/>
      <c r="J3715" s="26">
        <f>IF($A3715="","",LEN($C3715)-LEN(SUBSTITUTE($C3715,",",""))+1)</f>
        <v/>
      </c>
      <c r="K3715" s="26">
        <f>IF($A3715="","",SUMPRODUCT(--ISNUMBER(SEARCH('Category Dictionary'!$D$5:$D$135&amp;"",$C3715)),--('Category Dictionary'!$D$5:$D$135&lt;&gt;"")))</f>
        <v/>
      </c>
      <c r="L3715" s="27">
        <f>IF($A3715="","",TRIM(IF(ISERROR(FIND(",",$C3715)),$C3715,LEFT($C3715,FIND(",",$C3715)-1))))</f>
        <v/>
      </c>
      <c r="M3715" s="28">
        <f>IF($H3715="","",DATE(YEAR($H3715),MONTH($H3715),1))</f>
        <v/>
      </c>
      <c r="N3715" s="26">
        <f>IF($H3715="","",TODAY()-$H3715)</f>
        <v/>
      </c>
      <c r="O3715" s="15" t="n"/>
      <c r="P3715" s="15" t="n"/>
      <c r="Q3715" s="15" t="n"/>
      <c r="R3715" s="25" t="n"/>
      <c r="S3715" s="26">
        <f>IF($A3715="","",AND(OR('Assignment Builder'!$B$5="",$B3715='Assignment Builder'!$B$5),OR('Assignment Builder'!$B$6="",ISNUMBER(SEARCH('Assignment Builder'!$B$6,$C3715))),OR('Assignment Builder'!$B$7="",'Assignment Builder'!$B$7=IFERROR(INDEX('Category Dictionary'!$C$5:$C$135,MATCH($L3715,'Category Dictionary'!$D$5:$D$135,0)),"")),OR('Assignment Builder'!$B$8="",$D3715='Assignment Builder'!$B$8),OR('Assignment Builder'!$B$9="",$F3715='Assignment Builder'!$B$9),OR('Assignment Builder'!$B$10="",$O3715='Assignment Builder'!$B$10),OR('Assignment Builder'!$B$11="",$H3715&gt;='Assignment Builder'!$B$11),OR('Assignment Builder'!$B$12="",N($Q3715)&lt;='Assignment Builder'!$B$12)))</f>
        <v/>
      </c>
      <c r="T3715" s="23" t="n"/>
    </row>
    <row r="3716">
      <c r="A3716" s="23" t="n"/>
      <c r="B3716" s="23" t="n"/>
      <c r="C3716" s="24" t="n"/>
      <c r="D3716" s="15" t="n"/>
      <c r="E3716" s="23" t="n"/>
      <c r="F3716" s="15" t="n"/>
      <c r="G3716" s="23" t="n"/>
      <c r="H3716" s="25" t="n"/>
      <c r="I3716" s="15" t="n"/>
      <c r="J3716" s="26">
        <f>IF($A3716="","",LEN($C3716)-LEN(SUBSTITUTE($C3716,",",""))+1)</f>
        <v/>
      </c>
      <c r="K3716" s="26">
        <f>IF($A3716="","",SUMPRODUCT(--ISNUMBER(SEARCH('Category Dictionary'!$D$5:$D$135&amp;"",$C3716)),--('Category Dictionary'!$D$5:$D$135&lt;&gt;"")))</f>
        <v/>
      </c>
      <c r="L3716" s="27">
        <f>IF($A3716="","",TRIM(IF(ISERROR(FIND(",",$C3716)),$C3716,LEFT($C3716,FIND(",",$C3716)-1))))</f>
        <v/>
      </c>
      <c r="M3716" s="28">
        <f>IF($H3716="","",DATE(YEAR($H3716),MONTH($H3716),1))</f>
        <v/>
      </c>
      <c r="N3716" s="26">
        <f>IF($H3716="","",TODAY()-$H3716)</f>
        <v/>
      </c>
      <c r="O3716" s="15" t="n"/>
      <c r="P3716" s="15" t="n"/>
      <c r="Q3716" s="15" t="n"/>
      <c r="R3716" s="25" t="n"/>
      <c r="S3716" s="26">
        <f>IF($A3716="","",AND(OR('Assignment Builder'!$B$5="",$B3716='Assignment Builder'!$B$5),OR('Assignment Builder'!$B$6="",ISNUMBER(SEARCH('Assignment Builder'!$B$6,$C3716))),OR('Assignment Builder'!$B$7="",'Assignment Builder'!$B$7=IFERROR(INDEX('Category Dictionary'!$C$5:$C$135,MATCH($L3716,'Category Dictionary'!$D$5:$D$135,0)),"")),OR('Assignment Builder'!$B$8="",$D3716='Assignment Builder'!$B$8),OR('Assignment Builder'!$B$9="",$F3716='Assignment Builder'!$B$9),OR('Assignment Builder'!$B$10="",$O3716='Assignment Builder'!$B$10),OR('Assignment Builder'!$B$11="",$H3716&gt;='Assignment Builder'!$B$11),OR('Assignment Builder'!$B$12="",N($Q3716)&lt;='Assignment Builder'!$B$12)))</f>
        <v/>
      </c>
      <c r="T3716" s="23" t="n"/>
    </row>
    <row r="3717">
      <c r="A3717" s="23" t="n"/>
      <c r="B3717" s="23" t="n"/>
      <c r="C3717" s="24" t="n"/>
      <c r="D3717" s="15" t="n"/>
      <c r="E3717" s="23" t="n"/>
      <c r="F3717" s="15" t="n"/>
      <c r="G3717" s="23" t="n"/>
      <c r="H3717" s="25" t="n"/>
      <c r="I3717" s="15" t="n"/>
      <c r="J3717" s="26">
        <f>IF($A3717="","",LEN($C3717)-LEN(SUBSTITUTE($C3717,",",""))+1)</f>
        <v/>
      </c>
      <c r="K3717" s="26">
        <f>IF($A3717="","",SUMPRODUCT(--ISNUMBER(SEARCH('Category Dictionary'!$D$5:$D$135&amp;"",$C3717)),--('Category Dictionary'!$D$5:$D$135&lt;&gt;"")))</f>
        <v/>
      </c>
      <c r="L3717" s="27">
        <f>IF($A3717="","",TRIM(IF(ISERROR(FIND(",",$C3717)),$C3717,LEFT($C3717,FIND(",",$C3717)-1))))</f>
        <v/>
      </c>
      <c r="M3717" s="28">
        <f>IF($H3717="","",DATE(YEAR($H3717),MONTH($H3717),1))</f>
        <v/>
      </c>
      <c r="N3717" s="26">
        <f>IF($H3717="","",TODAY()-$H3717)</f>
        <v/>
      </c>
      <c r="O3717" s="15" t="n"/>
      <c r="P3717" s="15" t="n"/>
      <c r="Q3717" s="15" t="n"/>
      <c r="R3717" s="25" t="n"/>
      <c r="S3717" s="26">
        <f>IF($A3717="","",AND(OR('Assignment Builder'!$B$5="",$B3717='Assignment Builder'!$B$5),OR('Assignment Builder'!$B$6="",ISNUMBER(SEARCH('Assignment Builder'!$B$6,$C3717))),OR('Assignment Builder'!$B$7="",'Assignment Builder'!$B$7=IFERROR(INDEX('Category Dictionary'!$C$5:$C$135,MATCH($L3717,'Category Dictionary'!$D$5:$D$135,0)),"")),OR('Assignment Builder'!$B$8="",$D3717='Assignment Builder'!$B$8),OR('Assignment Builder'!$B$9="",$F3717='Assignment Builder'!$B$9),OR('Assignment Builder'!$B$10="",$O3717='Assignment Builder'!$B$10),OR('Assignment Builder'!$B$11="",$H3717&gt;='Assignment Builder'!$B$11),OR('Assignment Builder'!$B$12="",N($Q3717)&lt;='Assignment Builder'!$B$12)))</f>
        <v/>
      </c>
      <c r="T3717" s="23" t="n"/>
    </row>
    <row r="3718">
      <c r="A3718" s="23" t="n"/>
      <c r="B3718" s="23" t="n"/>
      <c r="C3718" s="24" t="n"/>
      <c r="D3718" s="15" t="n"/>
      <c r="E3718" s="23" t="n"/>
      <c r="F3718" s="15" t="n"/>
      <c r="G3718" s="23" t="n"/>
      <c r="H3718" s="25" t="n"/>
      <c r="I3718" s="15" t="n"/>
      <c r="J3718" s="26">
        <f>IF($A3718="","",LEN($C3718)-LEN(SUBSTITUTE($C3718,",",""))+1)</f>
        <v/>
      </c>
      <c r="K3718" s="26">
        <f>IF($A3718="","",SUMPRODUCT(--ISNUMBER(SEARCH('Category Dictionary'!$D$5:$D$135&amp;"",$C3718)),--('Category Dictionary'!$D$5:$D$135&lt;&gt;"")))</f>
        <v/>
      </c>
      <c r="L3718" s="27">
        <f>IF($A3718="","",TRIM(IF(ISERROR(FIND(",",$C3718)),$C3718,LEFT($C3718,FIND(",",$C3718)-1))))</f>
        <v/>
      </c>
      <c r="M3718" s="28">
        <f>IF($H3718="","",DATE(YEAR($H3718),MONTH($H3718),1))</f>
        <v/>
      </c>
      <c r="N3718" s="26">
        <f>IF($H3718="","",TODAY()-$H3718)</f>
        <v/>
      </c>
      <c r="O3718" s="15" t="n"/>
      <c r="P3718" s="15" t="n"/>
      <c r="Q3718" s="15" t="n"/>
      <c r="R3718" s="25" t="n"/>
      <c r="S3718" s="26">
        <f>IF($A3718="","",AND(OR('Assignment Builder'!$B$5="",$B3718='Assignment Builder'!$B$5),OR('Assignment Builder'!$B$6="",ISNUMBER(SEARCH('Assignment Builder'!$B$6,$C3718))),OR('Assignment Builder'!$B$7="",'Assignment Builder'!$B$7=IFERROR(INDEX('Category Dictionary'!$C$5:$C$135,MATCH($L3718,'Category Dictionary'!$D$5:$D$135,0)),"")),OR('Assignment Builder'!$B$8="",$D3718='Assignment Builder'!$B$8),OR('Assignment Builder'!$B$9="",$F3718='Assignment Builder'!$B$9),OR('Assignment Builder'!$B$10="",$O3718='Assignment Builder'!$B$10),OR('Assignment Builder'!$B$11="",$H3718&gt;='Assignment Builder'!$B$11),OR('Assignment Builder'!$B$12="",N($Q3718)&lt;='Assignment Builder'!$B$12)))</f>
        <v/>
      </c>
      <c r="T3718" s="23" t="n"/>
    </row>
    <row r="3719">
      <c r="A3719" s="23" t="n"/>
      <c r="B3719" s="23" t="n"/>
      <c r="C3719" s="24" t="n"/>
      <c r="D3719" s="15" t="n"/>
      <c r="E3719" s="23" t="n"/>
      <c r="F3719" s="15" t="n"/>
      <c r="G3719" s="23" t="n"/>
      <c r="H3719" s="25" t="n"/>
      <c r="I3719" s="15" t="n"/>
      <c r="J3719" s="26">
        <f>IF($A3719="","",LEN($C3719)-LEN(SUBSTITUTE($C3719,",",""))+1)</f>
        <v/>
      </c>
      <c r="K3719" s="26">
        <f>IF($A3719="","",SUMPRODUCT(--ISNUMBER(SEARCH('Category Dictionary'!$D$5:$D$135&amp;"",$C3719)),--('Category Dictionary'!$D$5:$D$135&lt;&gt;"")))</f>
        <v/>
      </c>
      <c r="L3719" s="27">
        <f>IF($A3719="","",TRIM(IF(ISERROR(FIND(",",$C3719)),$C3719,LEFT($C3719,FIND(",",$C3719)-1))))</f>
        <v/>
      </c>
      <c r="M3719" s="28">
        <f>IF($H3719="","",DATE(YEAR($H3719),MONTH($H3719),1))</f>
        <v/>
      </c>
      <c r="N3719" s="26">
        <f>IF($H3719="","",TODAY()-$H3719)</f>
        <v/>
      </c>
      <c r="O3719" s="15" t="n"/>
      <c r="P3719" s="15" t="n"/>
      <c r="Q3719" s="15" t="n"/>
      <c r="R3719" s="25" t="n"/>
      <c r="S3719" s="26">
        <f>IF($A3719="","",AND(OR('Assignment Builder'!$B$5="",$B3719='Assignment Builder'!$B$5),OR('Assignment Builder'!$B$6="",ISNUMBER(SEARCH('Assignment Builder'!$B$6,$C3719))),OR('Assignment Builder'!$B$7="",'Assignment Builder'!$B$7=IFERROR(INDEX('Category Dictionary'!$C$5:$C$135,MATCH($L3719,'Category Dictionary'!$D$5:$D$135,0)),"")),OR('Assignment Builder'!$B$8="",$D3719='Assignment Builder'!$B$8),OR('Assignment Builder'!$B$9="",$F3719='Assignment Builder'!$B$9),OR('Assignment Builder'!$B$10="",$O3719='Assignment Builder'!$B$10),OR('Assignment Builder'!$B$11="",$H3719&gt;='Assignment Builder'!$B$11),OR('Assignment Builder'!$B$12="",N($Q3719)&lt;='Assignment Builder'!$B$12)))</f>
        <v/>
      </c>
      <c r="T3719" s="23" t="n"/>
    </row>
    <row r="3720">
      <c r="A3720" s="23" t="n"/>
      <c r="B3720" s="23" t="n"/>
      <c r="C3720" s="24" t="n"/>
      <c r="D3720" s="15" t="n"/>
      <c r="E3720" s="23" t="n"/>
      <c r="F3720" s="15" t="n"/>
      <c r="G3720" s="23" t="n"/>
      <c r="H3720" s="25" t="n"/>
      <c r="I3720" s="15" t="n"/>
      <c r="J3720" s="26">
        <f>IF($A3720="","",LEN($C3720)-LEN(SUBSTITUTE($C3720,",",""))+1)</f>
        <v/>
      </c>
      <c r="K3720" s="26">
        <f>IF($A3720="","",SUMPRODUCT(--ISNUMBER(SEARCH('Category Dictionary'!$D$5:$D$135&amp;"",$C3720)),--('Category Dictionary'!$D$5:$D$135&lt;&gt;"")))</f>
        <v/>
      </c>
      <c r="L3720" s="27">
        <f>IF($A3720="","",TRIM(IF(ISERROR(FIND(",",$C3720)),$C3720,LEFT($C3720,FIND(",",$C3720)-1))))</f>
        <v/>
      </c>
      <c r="M3720" s="28">
        <f>IF($H3720="","",DATE(YEAR($H3720),MONTH($H3720),1))</f>
        <v/>
      </c>
      <c r="N3720" s="26">
        <f>IF($H3720="","",TODAY()-$H3720)</f>
        <v/>
      </c>
      <c r="O3720" s="15" t="n"/>
      <c r="P3720" s="15" t="n"/>
      <c r="Q3720" s="15" t="n"/>
      <c r="R3720" s="25" t="n"/>
      <c r="S3720" s="26">
        <f>IF($A3720="","",AND(OR('Assignment Builder'!$B$5="",$B3720='Assignment Builder'!$B$5),OR('Assignment Builder'!$B$6="",ISNUMBER(SEARCH('Assignment Builder'!$B$6,$C3720))),OR('Assignment Builder'!$B$7="",'Assignment Builder'!$B$7=IFERROR(INDEX('Category Dictionary'!$C$5:$C$135,MATCH($L3720,'Category Dictionary'!$D$5:$D$135,0)),"")),OR('Assignment Builder'!$B$8="",$D3720='Assignment Builder'!$B$8),OR('Assignment Builder'!$B$9="",$F3720='Assignment Builder'!$B$9),OR('Assignment Builder'!$B$10="",$O3720='Assignment Builder'!$B$10),OR('Assignment Builder'!$B$11="",$H3720&gt;='Assignment Builder'!$B$11),OR('Assignment Builder'!$B$12="",N($Q3720)&lt;='Assignment Builder'!$B$12)))</f>
        <v/>
      </c>
      <c r="T3720" s="23" t="n"/>
    </row>
    <row r="3721">
      <c r="A3721" s="23" t="n"/>
      <c r="B3721" s="23" t="n"/>
      <c r="C3721" s="24" t="n"/>
      <c r="D3721" s="15" t="n"/>
      <c r="E3721" s="23" t="n"/>
      <c r="F3721" s="15" t="n"/>
      <c r="G3721" s="23" t="n"/>
      <c r="H3721" s="25" t="n"/>
      <c r="I3721" s="15" t="n"/>
      <c r="J3721" s="26">
        <f>IF($A3721="","",LEN($C3721)-LEN(SUBSTITUTE($C3721,",",""))+1)</f>
        <v/>
      </c>
      <c r="K3721" s="26">
        <f>IF($A3721="","",SUMPRODUCT(--ISNUMBER(SEARCH('Category Dictionary'!$D$5:$D$135&amp;"",$C3721)),--('Category Dictionary'!$D$5:$D$135&lt;&gt;"")))</f>
        <v/>
      </c>
      <c r="L3721" s="27">
        <f>IF($A3721="","",TRIM(IF(ISERROR(FIND(",",$C3721)),$C3721,LEFT($C3721,FIND(",",$C3721)-1))))</f>
        <v/>
      </c>
      <c r="M3721" s="28">
        <f>IF($H3721="","",DATE(YEAR($H3721),MONTH($H3721),1))</f>
        <v/>
      </c>
      <c r="N3721" s="26">
        <f>IF($H3721="","",TODAY()-$H3721)</f>
        <v/>
      </c>
      <c r="O3721" s="15" t="n"/>
      <c r="P3721" s="15" t="n"/>
      <c r="Q3721" s="15" t="n"/>
      <c r="R3721" s="25" t="n"/>
      <c r="S3721" s="26">
        <f>IF($A3721="","",AND(OR('Assignment Builder'!$B$5="",$B3721='Assignment Builder'!$B$5),OR('Assignment Builder'!$B$6="",ISNUMBER(SEARCH('Assignment Builder'!$B$6,$C3721))),OR('Assignment Builder'!$B$7="",'Assignment Builder'!$B$7=IFERROR(INDEX('Category Dictionary'!$C$5:$C$135,MATCH($L3721,'Category Dictionary'!$D$5:$D$135,0)),"")),OR('Assignment Builder'!$B$8="",$D3721='Assignment Builder'!$B$8),OR('Assignment Builder'!$B$9="",$F3721='Assignment Builder'!$B$9),OR('Assignment Builder'!$B$10="",$O3721='Assignment Builder'!$B$10),OR('Assignment Builder'!$B$11="",$H3721&gt;='Assignment Builder'!$B$11),OR('Assignment Builder'!$B$12="",N($Q3721)&lt;='Assignment Builder'!$B$12)))</f>
        <v/>
      </c>
      <c r="T3721" s="23" t="n"/>
    </row>
    <row r="3722">
      <c r="A3722" s="23" t="n"/>
      <c r="B3722" s="23" t="n"/>
      <c r="C3722" s="24" t="n"/>
      <c r="D3722" s="15" t="n"/>
      <c r="E3722" s="23" t="n"/>
      <c r="F3722" s="15" t="n"/>
      <c r="G3722" s="23" t="n"/>
      <c r="H3722" s="25" t="n"/>
      <c r="I3722" s="15" t="n"/>
      <c r="J3722" s="26">
        <f>IF($A3722="","",LEN($C3722)-LEN(SUBSTITUTE($C3722,",",""))+1)</f>
        <v/>
      </c>
      <c r="K3722" s="26">
        <f>IF($A3722="","",SUMPRODUCT(--ISNUMBER(SEARCH('Category Dictionary'!$D$5:$D$135&amp;"",$C3722)),--('Category Dictionary'!$D$5:$D$135&lt;&gt;"")))</f>
        <v/>
      </c>
      <c r="L3722" s="27">
        <f>IF($A3722="","",TRIM(IF(ISERROR(FIND(",",$C3722)),$C3722,LEFT($C3722,FIND(",",$C3722)-1))))</f>
        <v/>
      </c>
      <c r="M3722" s="28">
        <f>IF($H3722="","",DATE(YEAR($H3722),MONTH($H3722),1))</f>
        <v/>
      </c>
      <c r="N3722" s="26">
        <f>IF($H3722="","",TODAY()-$H3722)</f>
        <v/>
      </c>
      <c r="O3722" s="15" t="n"/>
      <c r="P3722" s="15" t="n"/>
      <c r="Q3722" s="15" t="n"/>
      <c r="R3722" s="25" t="n"/>
      <c r="S3722" s="26">
        <f>IF($A3722="","",AND(OR('Assignment Builder'!$B$5="",$B3722='Assignment Builder'!$B$5),OR('Assignment Builder'!$B$6="",ISNUMBER(SEARCH('Assignment Builder'!$B$6,$C3722))),OR('Assignment Builder'!$B$7="",'Assignment Builder'!$B$7=IFERROR(INDEX('Category Dictionary'!$C$5:$C$135,MATCH($L3722,'Category Dictionary'!$D$5:$D$135,0)),"")),OR('Assignment Builder'!$B$8="",$D3722='Assignment Builder'!$B$8),OR('Assignment Builder'!$B$9="",$F3722='Assignment Builder'!$B$9),OR('Assignment Builder'!$B$10="",$O3722='Assignment Builder'!$B$10),OR('Assignment Builder'!$B$11="",$H3722&gt;='Assignment Builder'!$B$11),OR('Assignment Builder'!$B$12="",N($Q3722)&lt;='Assignment Builder'!$B$12)))</f>
        <v/>
      </c>
      <c r="T3722" s="23" t="n"/>
    </row>
    <row r="3723">
      <c r="A3723" s="23" t="n"/>
      <c r="B3723" s="23" t="n"/>
      <c r="C3723" s="24" t="n"/>
      <c r="D3723" s="15" t="n"/>
      <c r="E3723" s="23" t="n"/>
      <c r="F3723" s="15" t="n"/>
      <c r="G3723" s="23" t="n"/>
      <c r="H3723" s="25" t="n"/>
      <c r="I3723" s="15" t="n"/>
      <c r="J3723" s="26">
        <f>IF($A3723="","",LEN($C3723)-LEN(SUBSTITUTE($C3723,",",""))+1)</f>
        <v/>
      </c>
      <c r="K3723" s="26">
        <f>IF($A3723="","",SUMPRODUCT(--ISNUMBER(SEARCH('Category Dictionary'!$D$5:$D$135&amp;"",$C3723)),--('Category Dictionary'!$D$5:$D$135&lt;&gt;"")))</f>
        <v/>
      </c>
      <c r="L3723" s="27">
        <f>IF($A3723="","",TRIM(IF(ISERROR(FIND(",",$C3723)),$C3723,LEFT($C3723,FIND(",",$C3723)-1))))</f>
        <v/>
      </c>
      <c r="M3723" s="28">
        <f>IF($H3723="","",DATE(YEAR($H3723),MONTH($H3723),1))</f>
        <v/>
      </c>
      <c r="N3723" s="26">
        <f>IF($H3723="","",TODAY()-$H3723)</f>
        <v/>
      </c>
      <c r="O3723" s="15" t="n"/>
      <c r="P3723" s="15" t="n"/>
      <c r="Q3723" s="15" t="n"/>
      <c r="R3723" s="25" t="n"/>
      <c r="S3723" s="26">
        <f>IF($A3723="","",AND(OR('Assignment Builder'!$B$5="",$B3723='Assignment Builder'!$B$5),OR('Assignment Builder'!$B$6="",ISNUMBER(SEARCH('Assignment Builder'!$B$6,$C3723))),OR('Assignment Builder'!$B$7="",'Assignment Builder'!$B$7=IFERROR(INDEX('Category Dictionary'!$C$5:$C$135,MATCH($L3723,'Category Dictionary'!$D$5:$D$135,0)),"")),OR('Assignment Builder'!$B$8="",$D3723='Assignment Builder'!$B$8),OR('Assignment Builder'!$B$9="",$F3723='Assignment Builder'!$B$9),OR('Assignment Builder'!$B$10="",$O3723='Assignment Builder'!$B$10),OR('Assignment Builder'!$B$11="",$H3723&gt;='Assignment Builder'!$B$11),OR('Assignment Builder'!$B$12="",N($Q3723)&lt;='Assignment Builder'!$B$12)))</f>
        <v/>
      </c>
      <c r="T3723" s="23" t="n"/>
    </row>
    <row r="3724">
      <c r="A3724" s="23" t="n"/>
      <c r="B3724" s="23" t="n"/>
      <c r="C3724" s="24" t="n"/>
      <c r="D3724" s="15" t="n"/>
      <c r="E3724" s="23" t="n"/>
      <c r="F3724" s="15" t="n"/>
      <c r="G3724" s="23" t="n"/>
      <c r="H3724" s="25" t="n"/>
      <c r="I3724" s="15" t="n"/>
      <c r="J3724" s="26">
        <f>IF($A3724="","",LEN($C3724)-LEN(SUBSTITUTE($C3724,",",""))+1)</f>
        <v/>
      </c>
      <c r="K3724" s="26">
        <f>IF($A3724="","",SUMPRODUCT(--ISNUMBER(SEARCH('Category Dictionary'!$D$5:$D$135&amp;"",$C3724)),--('Category Dictionary'!$D$5:$D$135&lt;&gt;"")))</f>
        <v/>
      </c>
      <c r="L3724" s="27">
        <f>IF($A3724="","",TRIM(IF(ISERROR(FIND(",",$C3724)),$C3724,LEFT($C3724,FIND(",",$C3724)-1))))</f>
        <v/>
      </c>
      <c r="M3724" s="28">
        <f>IF($H3724="","",DATE(YEAR($H3724),MONTH($H3724),1))</f>
        <v/>
      </c>
      <c r="N3724" s="26">
        <f>IF($H3724="","",TODAY()-$H3724)</f>
        <v/>
      </c>
      <c r="O3724" s="15" t="n"/>
      <c r="P3724" s="15" t="n"/>
      <c r="Q3724" s="15" t="n"/>
      <c r="R3724" s="25" t="n"/>
      <c r="S3724" s="26">
        <f>IF($A3724="","",AND(OR('Assignment Builder'!$B$5="",$B3724='Assignment Builder'!$B$5),OR('Assignment Builder'!$B$6="",ISNUMBER(SEARCH('Assignment Builder'!$B$6,$C3724))),OR('Assignment Builder'!$B$7="",'Assignment Builder'!$B$7=IFERROR(INDEX('Category Dictionary'!$C$5:$C$135,MATCH($L3724,'Category Dictionary'!$D$5:$D$135,0)),"")),OR('Assignment Builder'!$B$8="",$D3724='Assignment Builder'!$B$8),OR('Assignment Builder'!$B$9="",$F3724='Assignment Builder'!$B$9),OR('Assignment Builder'!$B$10="",$O3724='Assignment Builder'!$B$10),OR('Assignment Builder'!$B$11="",$H3724&gt;='Assignment Builder'!$B$11),OR('Assignment Builder'!$B$12="",N($Q3724)&lt;='Assignment Builder'!$B$12)))</f>
        <v/>
      </c>
      <c r="T3724" s="23" t="n"/>
    </row>
    <row r="3725">
      <c r="A3725" s="23" t="n"/>
      <c r="B3725" s="23" t="n"/>
      <c r="C3725" s="24" t="n"/>
      <c r="D3725" s="15" t="n"/>
      <c r="E3725" s="23" t="n"/>
      <c r="F3725" s="15" t="n"/>
      <c r="G3725" s="23" t="n"/>
      <c r="H3725" s="25" t="n"/>
      <c r="I3725" s="15" t="n"/>
      <c r="J3725" s="26">
        <f>IF($A3725="","",LEN($C3725)-LEN(SUBSTITUTE($C3725,",",""))+1)</f>
        <v/>
      </c>
      <c r="K3725" s="26">
        <f>IF($A3725="","",SUMPRODUCT(--ISNUMBER(SEARCH('Category Dictionary'!$D$5:$D$135&amp;"",$C3725)),--('Category Dictionary'!$D$5:$D$135&lt;&gt;"")))</f>
        <v/>
      </c>
      <c r="L3725" s="27">
        <f>IF($A3725="","",TRIM(IF(ISERROR(FIND(",",$C3725)),$C3725,LEFT($C3725,FIND(",",$C3725)-1))))</f>
        <v/>
      </c>
      <c r="M3725" s="28">
        <f>IF($H3725="","",DATE(YEAR($H3725),MONTH($H3725),1))</f>
        <v/>
      </c>
      <c r="N3725" s="26">
        <f>IF($H3725="","",TODAY()-$H3725)</f>
        <v/>
      </c>
      <c r="O3725" s="15" t="n"/>
      <c r="P3725" s="15" t="n"/>
      <c r="Q3725" s="15" t="n"/>
      <c r="R3725" s="25" t="n"/>
      <c r="S3725" s="26">
        <f>IF($A3725="","",AND(OR('Assignment Builder'!$B$5="",$B3725='Assignment Builder'!$B$5),OR('Assignment Builder'!$B$6="",ISNUMBER(SEARCH('Assignment Builder'!$B$6,$C3725))),OR('Assignment Builder'!$B$7="",'Assignment Builder'!$B$7=IFERROR(INDEX('Category Dictionary'!$C$5:$C$135,MATCH($L3725,'Category Dictionary'!$D$5:$D$135,0)),"")),OR('Assignment Builder'!$B$8="",$D3725='Assignment Builder'!$B$8),OR('Assignment Builder'!$B$9="",$F3725='Assignment Builder'!$B$9),OR('Assignment Builder'!$B$10="",$O3725='Assignment Builder'!$B$10),OR('Assignment Builder'!$B$11="",$H3725&gt;='Assignment Builder'!$B$11),OR('Assignment Builder'!$B$12="",N($Q3725)&lt;='Assignment Builder'!$B$12)))</f>
        <v/>
      </c>
      <c r="T3725" s="23" t="n"/>
    </row>
    <row r="3726">
      <c r="A3726" s="23" t="n"/>
      <c r="B3726" s="23" t="n"/>
      <c r="C3726" s="24" t="n"/>
      <c r="D3726" s="15" t="n"/>
      <c r="E3726" s="23" t="n"/>
      <c r="F3726" s="15" t="n"/>
      <c r="G3726" s="23" t="n"/>
      <c r="H3726" s="25" t="n"/>
      <c r="I3726" s="15" t="n"/>
      <c r="J3726" s="26">
        <f>IF($A3726="","",LEN($C3726)-LEN(SUBSTITUTE($C3726,",",""))+1)</f>
        <v/>
      </c>
      <c r="K3726" s="26">
        <f>IF($A3726="","",SUMPRODUCT(--ISNUMBER(SEARCH('Category Dictionary'!$D$5:$D$135&amp;"",$C3726)),--('Category Dictionary'!$D$5:$D$135&lt;&gt;"")))</f>
        <v/>
      </c>
      <c r="L3726" s="27">
        <f>IF($A3726="","",TRIM(IF(ISERROR(FIND(",",$C3726)),$C3726,LEFT($C3726,FIND(",",$C3726)-1))))</f>
        <v/>
      </c>
      <c r="M3726" s="28">
        <f>IF($H3726="","",DATE(YEAR($H3726),MONTH($H3726),1))</f>
        <v/>
      </c>
      <c r="N3726" s="26">
        <f>IF($H3726="","",TODAY()-$H3726)</f>
        <v/>
      </c>
      <c r="O3726" s="15" t="n"/>
      <c r="P3726" s="15" t="n"/>
      <c r="Q3726" s="15" t="n"/>
      <c r="R3726" s="25" t="n"/>
      <c r="S3726" s="26">
        <f>IF($A3726="","",AND(OR('Assignment Builder'!$B$5="",$B3726='Assignment Builder'!$B$5),OR('Assignment Builder'!$B$6="",ISNUMBER(SEARCH('Assignment Builder'!$B$6,$C3726))),OR('Assignment Builder'!$B$7="",'Assignment Builder'!$B$7=IFERROR(INDEX('Category Dictionary'!$C$5:$C$135,MATCH($L3726,'Category Dictionary'!$D$5:$D$135,0)),"")),OR('Assignment Builder'!$B$8="",$D3726='Assignment Builder'!$B$8),OR('Assignment Builder'!$B$9="",$F3726='Assignment Builder'!$B$9),OR('Assignment Builder'!$B$10="",$O3726='Assignment Builder'!$B$10),OR('Assignment Builder'!$B$11="",$H3726&gt;='Assignment Builder'!$B$11),OR('Assignment Builder'!$B$12="",N($Q3726)&lt;='Assignment Builder'!$B$12)))</f>
        <v/>
      </c>
      <c r="T3726" s="23" t="n"/>
    </row>
    <row r="3727">
      <c r="A3727" s="23" t="n"/>
      <c r="B3727" s="23" t="n"/>
      <c r="C3727" s="24" t="n"/>
      <c r="D3727" s="15" t="n"/>
      <c r="E3727" s="23" t="n"/>
      <c r="F3727" s="15" t="n"/>
      <c r="G3727" s="23" t="n"/>
      <c r="H3727" s="25" t="n"/>
      <c r="I3727" s="15" t="n"/>
      <c r="J3727" s="26">
        <f>IF($A3727="","",LEN($C3727)-LEN(SUBSTITUTE($C3727,",",""))+1)</f>
        <v/>
      </c>
      <c r="K3727" s="26">
        <f>IF($A3727="","",SUMPRODUCT(--ISNUMBER(SEARCH('Category Dictionary'!$D$5:$D$135&amp;"",$C3727)),--('Category Dictionary'!$D$5:$D$135&lt;&gt;"")))</f>
        <v/>
      </c>
      <c r="L3727" s="27">
        <f>IF($A3727="","",TRIM(IF(ISERROR(FIND(",",$C3727)),$C3727,LEFT($C3727,FIND(",",$C3727)-1))))</f>
        <v/>
      </c>
      <c r="M3727" s="28">
        <f>IF($H3727="","",DATE(YEAR($H3727),MONTH($H3727),1))</f>
        <v/>
      </c>
      <c r="N3727" s="26">
        <f>IF($H3727="","",TODAY()-$H3727)</f>
        <v/>
      </c>
      <c r="O3727" s="15" t="n"/>
      <c r="P3727" s="15" t="n"/>
      <c r="Q3727" s="15" t="n"/>
      <c r="R3727" s="25" t="n"/>
      <c r="S3727" s="26">
        <f>IF($A3727="","",AND(OR('Assignment Builder'!$B$5="",$B3727='Assignment Builder'!$B$5),OR('Assignment Builder'!$B$6="",ISNUMBER(SEARCH('Assignment Builder'!$B$6,$C3727))),OR('Assignment Builder'!$B$7="",'Assignment Builder'!$B$7=IFERROR(INDEX('Category Dictionary'!$C$5:$C$135,MATCH($L3727,'Category Dictionary'!$D$5:$D$135,0)),"")),OR('Assignment Builder'!$B$8="",$D3727='Assignment Builder'!$B$8),OR('Assignment Builder'!$B$9="",$F3727='Assignment Builder'!$B$9),OR('Assignment Builder'!$B$10="",$O3727='Assignment Builder'!$B$10),OR('Assignment Builder'!$B$11="",$H3727&gt;='Assignment Builder'!$B$11),OR('Assignment Builder'!$B$12="",N($Q3727)&lt;='Assignment Builder'!$B$12)))</f>
        <v/>
      </c>
      <c r="T3727" s="23" t="n"/>
    </row>
    <row r="3728">
      <c r="A3728" s="23" t="n"/>
      <c r="B3728" s="23" t="n"/>
      <c r="C3728" s="24" t="n"/>
      <c r="D3728" s="15" t="n"/>
      <c r="E3728" s="23" t="n"/>
      <c r="F3728" s="15" t="n"/>
      <c r="G3728" s="23" t="n"/>
      <c r="H3728" s="25" t="n"/>
      <c r="I3728" s="15" t="n"/>
      <c r="J3728" s="26">
        <f>IF($A3728="","",LEN($C3728)-LEN(SUBSTITUTE($C3728,",",""))+1)</f>
        <v/>
      </c>
      <c r="K3728" s="26">
        <f>IF($A3728="","",SUMPRODUCT(--ISNUMBER(SEARCH('Category Dictionary'!$D$5:$D$135&amp;"",$C3728)),--('Category Dictionary'!$D$5:$D$135&lt;&gt;"")))</f>
        <v/>
      </c>
      <c r="L3728" s="27">
        <f>IF($A3728="","",TRIM(IF(ISERROR(FIND(",",$C3728)),$C3728,LEFT($C3728,FIND(",",$C3728)-1))))</f>
        <v/>
      </c>
      <c r="M3728" s="28">
        <f>IF($H3728="","",DATE(YEAR($H3728),MONTH($H3728),1))</f>
        <v/>
      </c>
      <c r="N3728" s="26">
        <f>IF($H3728="","",TODAY()-$H3728)</f>
        <v/>
      </c>
      <c r="O3728" s="15" t="n"/>
      <c r="P3728" s="15" t="n"/>
      <c r="Q3728" s="15" t="n"/>
      <c r="R3728" s="25" t="n"/>
      <c r="S3728" s="26">
        <f>IF($A3728="","",AND(OR('Assignment Builder'!$B$5="",$B3728='Assignment Builder'!$B$5),OR('Assignment Builder'!$B$6="",ISNUMBER(SEARCH('Assignment Builder'!$B$6,$C3728))),OR('Assignment Builder'!$B$7="",'Assignment Builder'!$B$7=IFERROR(INDEX('Category Dictionary'!$C$5:$C$135,MATCH($L3728,'Category Dictionary'!$D$5:$D$135,0)),"")),OR('Assignment Builder'!$B$8="",$D3728='Assignment Builder'!$B$8),OR('Assignment Builder'!$B$9="",$F3728='Assignment Builder'!$B$9),OR('Assignment Builder'!$B$10="",$O3728='Assignment Builder'!$B$10),OR('Assignment Builder'!$B$11="",$H3728&gt;='Assignment Builder'!$B$11),OR('Assignment Builder'!$B$12="",N($Q3728)&lt;='Assignment Builder'!$B$12)))</f>
        <v/>
      </c>
      <c r="T3728" s="23" t="n"/>
    </row>
    <row r="3729">
      <c r="A3729" s="23" t="n"/>
      <c r="B3729" s="23" t="n"/>
      <c r="C3729" s="24" t="n"/>
      <c r="D3729" s="15" t="n"/>
      <c r="E3729" s="23" t="n"/>
      <c r="F3729" s="15" t="n"/>
      <c r="G3729" s="23" t="n"/>
      <c r="H3729" s="25" t="n"/>
      <c r="I3729" s="15" t="n"/>
      <c r="J3729" s="26">
        <f>IF($A3729="","",LEN($C3729)-LEN(SUBSTITUTE($C3729,",",""))+1)</f>
        <v/>
      </c>
      <c r="K3729" s="26">
        <f>IF($A3729="","",SUMPRODUCT(--ISNUMBER(SEARCH('Category Dictionary'!$D$5:$D$135&amp;"",$C3729)),--('Category Dictionary'!$D$5:$D$135&lt;&gt;"")))</f>
        <v/>
      </c>
      <c r="L3729" s="27">
        <f>IF($A3729="","",TRIM(IF(ISERROR(FIND(",",$C3729)),$C3729,LEFT($C3729,FIND(",",$C3729)-1))))</f>
        <v/>
      </c>
      <c r="M3729" s="28">
        <f>IF($H3729="","",DATE(YEAR($H3729),MONTH($H3729),1))</f>
        <v/>
      </c>
      <c r="N3729" s="26">
        <f>IF($H3729="","",TODAY()-$H3729)</f>
        <v/>
      </c>
      <c r="O3729" s="15" t="n"/>
      <c r="P3729" s="15" t="n"/>
      <c r="Q3729" s="15" t="n"/>
      <c r="R3729" s="25" t="n"/>
      <c r="S3729" s="26">
        <f>IF($A3729="","",AND(OR('Assignment Builder'!$B$5="",$B3729='Assignment Builder'!$B$5),OR('Assignment Builder'!$B$6="",ISNUMBER(SEARCH('Assignment Builder'!$B$6,$C3729))),OR('Assignment Builder'!$B$7="",'Assignment Builder'!$B$7=IFERROR(INDEX('Category Dictionary'!$C$5:$C$135,MATCH($L3729,'Category Dictionary'!$D$5:$D$135,0)),"")),OR('Assignment Builder'!$B$8="",$D3729='Assignment Builder'!$B$8),OR('Assignment Builder'!$B$9="",$F3729='Assignment Builder'!$B$9),OR('Assignment Builder'!$B$10="",$O3729='Assignment Builder'!$B$10),OR('Assignment Builder'!$B$11="",$H3729&gt;='Assignment Builder'!$B$11),OR('Assignment Builder'!$B$12="",N($Q3729)&lt;='Assignment Builder'!$B$12)))</f>
        <v/>
      </c>
      <c r="T3729" s="23" t="n"/>
    </row>
    <row r="3730">
      <c r="A3730" s="23" t="n"/>
      <c r="B3730" s="23" t="n"/>
      <c r="C3730" s="24" t="n"/>
      <c r="D3730" s="15" t="n"/>
      <c r="E3730" s="23" t="n"/>
      <c r="F3730" s="15" t="n"/>
      <c r="G3730" s="23" t="n"/>
      <c r="H3730" s="25" t="n"/>
      <c r="I3730" s="15" t="n"/>
      <c r="J3730" s="26">
        <f>IF($A3730="","",LEN($C3730)-LEN(SUBSTITUTE($C3730,",",""))+1)</f>
        <v/>
      </c>
      <c r="K3730" s="26">
        <f>IF($A3730="","",SUMPRODUCT(--ISNUMBER(SEARCH('Category Dictionary'!$D$5:$D$135&amp;"",$C3730)),--('Category Dictionary'!$D$5:$D$135&lt;&gt;"")))</f>
        <v/>
      </c>
      <c r="L3730" s="27">
        <f>IF($A3730="","",TRIM(IF(ISERROR(FIND(",",$C3730)),$C3730,LEFT($C3730,FIND(",",$C3730)-1))))</f>
        <v/>
      </c>
      <c r="M3730" s="28">
        <f>IF($H3730="","",DATE(YEAR($H3730),MONTH($H3730),1))</f>
        <v/>
      </c>
      <c r="N3730" s="26">
        <f>IF($H3730="","",TODAY()-$H3730)</f>
        <v/>
      </c>
      <c r="O3730" s="15" t="n"/>
      <c r="P3730" s="15" t="n"/>
      <c r="Q3730" s="15" t="n"/>
      <c r="R3730" s="25" t="n"/>
      <c r="S3730" s="26">
        <f>IF($A3730="","",AND(OR('Assignment Builder'!$B$5="",$B3730='Assignment Builder'!$B$5),OR('Assignment Builder'!$B$6="",ISNUMBER(SEARCH('Assignment Builder'!$B$6,$C3730))),OR('Assignment Builder'!$B$7="",'Assignment Builder'!$B$7=IFERROR(INDEX('Category Dictionary'!$C$5:$C$135,MATCH($L3730,'Category Dictionary'!$D$5:$D$135,0)),"")),OR('Assignment Builder'!$B$8="",$D3730='Assignment Builder'!$B$8),OR('Assignment Builder'!$B$9="",$F3730='Assignment Builder'!$B$9),OR('Assignment Builder'!$B$10="",$O3730='Assignment Builder'!$B$10),OR('Assignment Builder'!$B$11="",$H3730&gt;='Assignment Builder'!$B$11),OR('Assignment Builder'!$B$12="",N($Q3730)&lt;='Assignment Builder'!$B$12)))</f>
        <v/>
      </c>
      <c r="T3730" s="23" t="n"/>
    </row>
    <row r="3731">
      <c r="A3731" s="23" t="n"/>
      <c r="B3731" s="23" t="n"/>
      <c r="C3731" s="24" t="n"/>
      <c r="D3731" s="15" t="n"/>
      <c r="E3731" s="23" t="n"/>
      <c r="F3731" s="15" t="n"/>
      <c r="G3731" s="23" t="n"/>
      <c r="H3731" s="25" t="n"/>
      <c r="I3731" s="15" t="n"/>
      <c r="J3731" s="26">
        <f>IF($A3731="","",LEN($C3731)-LEN(SUBSTITUTE($C3731,",",""))+1)</f>
        <v/>
      </c>
      <c r="K3731" s="26">
        <f>IF($A3731="","",SUMPRODUCT(--ISNUMBER(SEARCH('Category Dictionary'!$D$5:$D$135&amp;"",$C3731)),--('Category Dictionary'!$D$5:$D$135&lt;&gt;"")))</f>
        <v/>
      </c>
      <c r="L3731" s="27">
        <f>IF($A3731="","",TRIM(IF(ISERROR(FIND(",",$C3731)),$C3731,LEFT($C3731,FIND(",",$C3731)-1))))</f>
        <v/>
      </c>
      <c r="M3731" s="28">
        <f>IF($H3731="","",DATE(YEAR($H3731),MONTH($H3731),1))</f>
        <v/>
      </c>
      <c r="N3731" s="26">
        <f>IF($H3731="","",TODAY()-$H3731)</f>
        <v/>
      </c>
      <c r="O3731" s="15" t="n"/>
      <c r="P3731" s="15" t="n"/>
      <c r="Q3731" s="15" t="n"/>
      <c r="R3731" s="25" t="n"/>
      <c r="S3731" s="26">
        <f>IF($A3731="","",AND(OR('Assignment Builder'!$B$5="",$B3731='Assignment Builder'!$B$5),OR('Assignment Builder'!$B$6="",ISNUMBER(SEARCH('Assignment Builder'!$B$6,$C3731))),OR('Assignment Builder'!$B$7="",'Assignment Builder'!$B$7=IFERROR(INDEX('Category Dictionary'!$C$5:$C$135,MATCH($L3731,'Category Dictionary'!$D$5:$D$135,0)),"")),OR('Assignment Builder'!$B$8="",$D3731='Assignment Builder'!$B$8),OR('Assignment Builder'!$B$9="",$F3731='Assignment Builder'!$B$9),OR('Assignment Builder'!$B$10="",$O3731='Assignment Builder'!$B$10),OR('Assignment Builder'!$B$11="",$H3731&gt;='Assignment Builder'!$B$11),OR('Assignment Builder'!$B$12="",N($Q3731)&lt;='Assignment Builder'!$B$12)))</f>
        <v/>
      </c>
      <c r="T3731" s="23" t="n"/>
    </row>
    <row r="3732">
      <c r="A3732" s="23" t="n"/>
      <c r="B3732" s="23" t="n"/>
      <c r="C3732" s="24" t="n"/>
      <c r="D3732" s="15" t="n"/>
      <c r="E3732" s="23" t="n"/>
      <c r="F3732" s="15" t="n"/>
      <c r="G3732" s="23" t="n"/>
      <c r="H3732" s="25" t="n"/>
      <c r="I3732" s="15" t="n"/>
      <c r="J3732" s="26">
        <f>IF($A3732="","",LEN($C3732)-LEN(SUBSTITUTE($C3732,",",""))+1)</f>
        <v/>
      </c>
      <c r="K3732" s="26">
        <f>IF($A3732="","",SUMPRODUCT(--ISNUMBER(SEARCH('Category Dictionary'!$D$5:$D$135&amp;"",$C3732)),--('Category Dictionary'!$D$5:$D$135&lt;&gt;"")))</f>
        <v/>
      </c>
      <c r="L3732" s="27">
        <f>IF($A3732="","",TRIM(IF(ISERROR(FIND(",",$C3732)),$C3732,LEFT($C3732,FIND(",",$C3732)-1))))</f>
        <v/>
      </c>
      <c r="M3732" s="28">
        <f>IF($H3732="","",DATE(YEAR($H3732),MONTH($H3732),1))</f>
        <v/>
      </c>
      <c r="N3732" s="26">
        <f>IF($H3732="","",TODAY()-$H3732)</f>
        <v/>
      </c>
      <c r="O3732" s="15" t="n"/>
      <c r="P3732" s="15" t="n"/>
      <c r="Q3732" s="15" t="n"/>
      <c r="R3732" s="25" t="n"/>
      <c r="S3732" s="26">
        <f>IF($A3732="","",AND(OR('Assignment Builder'!$B$5="",$B3732='Assignment Builder'!$B$5),OR('Assignment Builder'!$B$6="",ISNUMBER(SEARCH('Assignment Builder'!$B$6,$C3732))),OR('Assignment Builder'!$B$7="",'Assignment Builder'!$B$7=IFERROR(INDEX('Category Dictionary'!$C$5:$C$135,MATCH($L3732,'Category Dictionary'!$D$5:$D$135,0)),"")),OR('Assignment Builder'!$B$8="",$D3732='Assignment Builder'!$B$8),OR('Assignment Builder'!$B$9="",$F3732='Assignment Builder'!$B$9),OR('Assignment Builder'!$B$10="",$O3732='Assignment Builder'!$B$10),OR('Assignment Builder'!$B$11="",$H3732&gt;='Assignment Builder'!$B$11),OR('Assignment Builder'!$B$12="",N($Q3732)&lt;='Assignment Builder'!$B$12)))</f>
        <v/>
      </c>
      <c r="T3732" s="23" t="n"/>
    </row>
    <row r="3733">
      <c r="A3733" s="23" t="n"/>
      <c r="B3733" s="23" t="n"/>
      <c r="C3733" s="24" t="n"/>
      <c r="D3733" s="15" t="n"/>
      <c r="E3733" s="23" t="n"/>
      <c r="F3733" s="15" t="n"/>
      <c r="G3733" s="23" t="n"/>
      <c r="H3733" s="25" t="n"/>
      <c r="I3733" s="15" t="n"/>
      <c r="J3733" s="26">
        <f>IF($A3733="","",LEN($C3733)-LEN(SUBSTITUTE($C3733,",",""))+1)</f>
        <v/>
      </c>
      <c r="K3733" s="26">
        <f>IF($A3733="","",SUMPRODUCT(--ISNUMBER(SEARCH('Category Dictionary'!$D$5:$D$135&amp;"",$C3733)),--('Category Dictionary'!$D$5:$D$135&lt;&gt;"")))</f>
        <v/>
      </c>
      <c r="L3733" s="27">
        <f>IF($A3733="","",TRIM(IF(ISERROR(FIND(",",$C3733)),$C3733,LEFT($C3733,FIND(",",$C3733)-1))))</f>
        <v/>
      </c>
      <c r="M3733" s="28">
        <f>IF($H3733="","",DATE(YEAR($H3733),MONTH($H3733),1))</f>
        <v/>
      </c>
      <c r="N3733" s="26">
        <f>IF($H3733="","",TODAY()-$H3733)</f>
        <v/>
      </c>
      <c r="O3733" s="15" t="n"/>
      <c r="P3733" s="15" t="n"/>
      <c r="Q3733" s="15" t="n"/>
      <c r="R3733" s="25" t="n"/>
      <c r="S3733" s="26">
        <f>IF($A3733="","",AND(OR('Assignment Builder'!$B$5="",$B3733='Assignment Builder'!$B$5),OR('Assignment Builder'!$B$6="",ISNUMBER(SEARCH('Assignment Builder'!$B$6,$C3733))),OR('Assignment Builder'!$B$7="",'Assignment Builder'!$B$7=IFERROR(INDEX('Category Dictionary'!$C$5:$C$135,MATCH($L3733,'Category Dictionary'!$D$5:$D$135,0)),"")),OR('Assignment Builder'!$B$8="",$D3733='Assignment Builder'!$B$8),OR('Assignment Builder'!$B$9="",$F3733='Assignment Builder'!$B$9),OR('Assignment Builder'!$B$10="",$O3733='Assignment Builder'!$B$10),OR('Assignment Builder'!$B$11="",$H3733&gt;='Assignment Builder'!$B$11),OR('Assignment Builder'!$B$12="",N($Q3733)&lt;='Assignment Builder'!$B$12)))</f>
        <v/>
      </c>
      <c r="T3733" s="23" t="n"/>
    </row>
    <row r="3734">
      <c r="A3734" s="23" t="n"/>
      <c r="B3734" s="23" t="n"/>
      <c r="C3734" s="24" t="n"/>
      <c r="D3734" s="15" t="n"/>
      <c r="E3734" s="23" t="n"/>
      <c r="F3734" s="15" t="n"/>
      <c r="G3734" s="23" t="n"/>
      <c r="H3734" s="25" t="n"/>
      <c r="I3734" s="15" t="n"/>
      <c r="J3734" s="26">
        <f>IF($A3734="","",LEN($C3734)-LEN(SUBSTITUTE($C3734,",",""))+1)</f>
        <v/>
      </c>
      <c r="K3734" s="26">
        <f>IF($A3734="","",SUMPRODUCT(--ISNUMBER(SEARCH('Category Dictionary'!$D$5:$D$135&amp;"",$C3734)),--('Category Dictionary'!$D$5:$D$135&lt;&gt;"")))</f>
        <v/>
      </c>
      <c r="L3734" s="27">
        <f>IF($A3734="","",TRIM(IF(ISERROR(FIND(",",$C3734)),$C3734,LEFT($C3734,FIND(",",$C3734)-1))))</f>
        <v/>
      </c>
      <c r="M3734" s="28">
        <f>IF($H3734="","",DATE(YEAR($H3734),MONTH($H3734),1))</f>
        <v/>
      </c>
      <c r="N3734" s="26">
        <f>IF($H3734="","",TODAY()-$H3734)</f>
        <v/>
      </c>
      <c r="O3734" s="15" t="n"/>
      <c r="P3734" s="15" t="n"/>
      <c r="Q3734" s="15" t="n"/>
      <c r="R3734" s="25" t="n"/>
      <c r="S3734" s="26">
        <f>IF($A3734="","",AND(OR('Assignment Builder'!$B$5="",$B3734='Assignment Builder'!$B$5),OR('Assignment Builder'!$B$6="",ISNUMBER(SEARCH('Assignment Builder'!$B$6,$C3734))),OR('Assignment Builder'!$B$7="",'Assignment Builder'!$B$7=IFERROR(INDEX('Category Dictionary'!$C$5:$C$135,MATCH($L3734,'Category Dictionary'!$D$5:$D$135,0)),"")),OR('Assignment Builder'!$B$8="",$D3734='Assignment Builder'!$B$8),OR('Assignment Builder'!$B$9="",$F3734='Assignment Builder'!$B$9),OR('Assignment Builder'!$B$10="",$O3734='Assignment Builder'!$B$10),OR('Assignment Builder'!$B$11="",$H3734&gt;='Assignment Builder'!$B$11),OR('Assignment Builder'!$B$12="",N($Q3734)&lt;='Assignment Builder'!$B$12)))</f>
        <v/>
      </c>
      <c r="T3734" s="23" t="n"/>
    </row>
    <row r="3735">
      <c r="A3735" s="23" t="n"/>
      <c r="B3735" s="23" t="n"/>
      <c r="C3735" s="24" t="n"/>
      <c r="D3735" s="15" t="n"/>
      <c r="E3735" s="23" t="n"/>
      <c r="F3735" s="15" t="n"/>
      <c r="G3735" s="23" t="n"/>
      <c r="H3735" s="25" t="n"/>
      <c r="I3735" s="15" t="n"/>
      <c r="J3735" s="26">
        <f>IF($A3735="","",LEN($C3735)-LEN(SUBSTITUTE($C3735,",",""))+1)</f>
        <v/>
      </c>
      <c r="K3735" s="26">
        <f>IF($A3735="","",SUMPRODUCT(--ISNUMBER(SEARCH('Category Dictionary'!$D$5:$D$135&amp;"",$C3735)),--('Category Dictionary'!$D$5:$D$135&lt;&gt;"")))</f>
        <v/>
      </c>
      <c r="L3735" s="27">
        <f>IF($A3735="","",TRIM(IF(ISERROR(FIND(",",$C3735)),$C3735,LEFT($C3735,FIND(",",$C3735)-1))))</f>
        <v/>
      </c>
      <c r="M3735" s="28">
        <f>IF($H3735="","",DATE(YEAR($H3735),MONTH($H3735),1))</f>
        <v/>
      </c>
      <c r="N3735" s="26">
        <f>IF($H3735="","",TODAY()-$H3735)</f>
        <v/>
      </c>
      <c r="O3735" s="15" t="n"/>
      <c r="P3735" s="15" t="n"/>
      <c r="Q3735" s="15" t="n"/>
      <c r="R3735" s="25" t="n"/>
      <c r="S3735" s="26">
        <f>IF($A3735="","",AND(OR('Assignment Builder'!$B$5="",$B3735='Assignment Builder'!$B$5),OR('Assignment Builder'!$B$6="",ISNUMBER(SEARCH('Assignment Builder'!$B$6,$C3735))),OR('Assignment Builder'!$B$7="",'Assignment Builder'!$B$7=IFERROR(INDEX('Category Dictionary'!$C$5:$C$135,MATCH($L3735,'Category Dictionary'!$D$5:$D$135,0)),"")),OR('Assignment Builder'!$B$8="",$D3735='Assignment Builder'!$B$8),OR('Assignment Builder'!$B$9="",$F3735='Assignment Builder'!$B$9),OR('Assignment Builder'!$B$10="",$O3735='Assignment Builder'!$B$10),OR('Assignment Builder'!$B$11="",$H3735&gt;='Assignment Builder'!$B$11),OR('Assignment Builder'!$B$12="",N($Q3735)&lt;='Assignment Builder'!$B$12)))</f>
        <v/>
      </c>
      <c r="T3735" s="23" t="n"/>
    </row>
    <row r="3736">
      <c r="A3736" s="23" t="n"/>
      <c r="B3736" s="23" t="n"/>
      <c r="C3736" s="24" t="n"/>
      <c r="D3736" s="15" t="n"/>
      <c r="E3736" s="23" t="n"/>
      <c r="F3736" s="15" t="n"/>
      <c r="G3736" s="23" t="n"/>
      <c r="H3736" s="25" t="n"/>
      <c r="I3736" s="15" t="n"/>
      <c r="J3736" s="26">
        <f>IF($A3736="","",LEN($C3736)-LEN(SUBSTITUTE($C3736,",",""))+1)</f>
        <v/>
      </c>
      <c r="K3736" s="26">
        <f>IF($A3736="","",SUMPRODUCT(--ISNUMBER(SEARCH('Category Dictionary'!$D$5:$D$135&amp;"",$C3736)),--('Category Dictionary'!$D$5:$D$135&lt;&gt;"")))</f>
        <v/>
      </c>
      <c r="L3736" s="27">
        <f>IF($A3736="","",TRIM(IF(ISERROR(FIND(",",$C3736)),$C3736,LEFT($C3736,FIND(",",$C3736)-1))))</f>
        <v/>
      </c>
      <c r="M3736" s="28">
        <f>IF($H3736="","",DATE(YEAR($H3736),MONTH($H3736),1))</f>
        <v/>
      </c>
      <c r="N3736" s="26">
        <f>IF($H3736="","",TODAY()-$H3736)</f>
        <v/>
      </c>
      <c r="O3736" s="15" t="n"/>
      <c r="P3736" s="15" t="n"/>
      <c r="Q3736" s="15" t="n"/>
      <c r="R3736" s="25" t="n"/>
      <c r="S3736" s="26">
        <f>IF($A3736="","",AND(OR('Assignment Builder'!$B$5="",$B3736='Assignment Builder'!$B$5),OR('Assignment Builder'!$B$6="",ISNUMBER(SEARCH('Assignment Builder'!$B$6,$C3736))),OR('Assignment Builder'!$B$7="",'Assignment Builder'!$B$7=IFERROR(INDEX('Category Dictionary'!$C$5:$C$135,MATCH($L3736,'Category Dictionary'!$D$5:$D$135,0)),"")),OR('Assignment Builder'!$B$8="",$D3736='Assignment Builder'!$B$8),OR('Assignment Builder'!$B$9="",$F3736='Assignment Builder'!$B$9),OR('Assignment Builder'!$B$10="",$O3736='Assignment Builder'!$B$10),OR('Assignment Builder'!$B$11="",$H3736&gt;='Assignment Builder'!$B$11),OR('Assignment Builder'!$B$12="",N($Q3736)&lt;='Assignment Builder'!$B$12)))</f>
        <v/>
      </c>
      <c r="T3736" s="23" t="n"/>
    </row>
    <row r="3737">
      <c r="A3737" s="23" t="n"/>
      <c r="B3737" s="23" t="n"/>
      <c r="C3737" s="24" t="n"/>
      <c r="D3737" s="15" t="n"/>
      <c r="E3737" s="23" t="n"/>
      <c r="F3737" s="15" t="n"/>
      <c r="G3737" s="23" t="n"/>
      <c r="H3737" s="25" t="n"/>
      <c r="I3737" s="15" t="n"/>
      <c r="J3737" s="26">
        <f>IF($A3737="","",LEN($C3737)-LEN(SUBSTITUTE($C3737,",",""))+1)</f>
        <v/>
      </c>
      <c r="K3737" s="26">
        <f>IF($A3737="","",SUMPRODUCT(--ISNUMBER(SEARCH('Category Dictionary'!$D$5:$D$135&amp;"",$C3737)),--('Category Dictionary'!$D$5:$D$135&lt;&gt;"")))</f>
        <v/>
      </c>
      <c r="L3737" s="27">
        <f>IF($A3737="","",TRIM(IF(ISERROR(FIND(",",$C3737)),$C3737,LEFT($C3737,FIND(",",$C3737)-1))))</f>
        <v/>
      </c>
      <c r="M3737" s="28">
        <f>IF($H3737="","",DATE(YEAR($H3737),MONTH($H3737),1))</f>
        <v/>
      </c>
      <c r="N3737" s="26">
        <f>IF($H3737="","",TODAY()-$H3737)</f>
        <v/>
      </c>
      <c r="O3737" s="15" t="n"/>
      <c r="P3737" s="15" t="n"/>
      <c r="Q3737" s="15" t="n"/>
      <c r="R3737" s="25" t="n"/>
      <c r="S3737" s="26">
        <f>IF($A3737="","",AND(OR('Assignment Builder'!$B$5="",$B3737='Assignment Builder'!$B$5),OR('Assignment Builder'!$B$6="",ISNUMBER(SEARCH('Assignment Builder'!$B$6,$C3737))),OR('Assignment Builder'!$B$7="",'Assignment Builder'!$B$7=IFERROR(INDEX('Category Dictionary'!$C$5:$C$135,MATCH($L3737,'Category Dictionary'!$D$5:$D$135,0)),"")),OR('Assignment Builder'!$B$8="",$D3737='Assignment Builder'!$B$8),OR('Assignment Builder'!$B$9="",$F3737='Assignment Builder'!$B$9),OR('Assignment Builder'!$B$10="",$O3737='Assignment Builder'!$B$10),OR('Assignment Builder'!$B$11="",$H3737&gt;='Assignment Builder'!$B$11),OR('Assignment Builder'!$B$12="",N($Q3737)&lt;='Assignment Builder'!$B$12)))</f>
        <v/>
      </c>
      <c r="T3737" s="23" t="n"/>
    </row>
    <row r="3738">
      <c r="A3738" s="23" t="n"/>
      <c r="B3738" s="23" t="n"/>
      <c r="C3738" s="24" t="n"/>
      <c r="D3738" s="15" t="n"/>
      <c r="E3738" s="23" t="n"/>
      <c r="F3738" s="15" t="n"/>
      <c r="G3738" s="23" t="n"/>
      <c r="H3738" s="25" t="n"/>
      <c r="I3738" s="15" t="n"/>
      <c r="J3738" s="26">
        <f>IF($A3738="","",LEN($C3738)-LEN(SUBSTITUTE($C3738,",",""))+1)</f>
        <v/>
      </c>
      <c r="K3738" s="26">
        <f>IF($A3738="","",SUMPRODUCT(--ISNUMBER(SEARCH('Category Dictionary'!$D$5:$D$135&amp;"",$C3738)),--('Category Dictionary'!$D$5:$D$135&lt;&gt;"")))</f>
        <v/>
      </c>
      <c r="L3738" s="27">
        <f>IF($A3738="","",TRIM(IF(ISERROR(FIND(",",$C3738)),$C3738,LEFT($C3738,FIND(",",$C3738)-1))))</f>
        <v/>
      </c>
      <c r="M3738" s="28">
        <f>IF($H3738="","",DATE(YEAR($H3738),MONTH($H3738),1))</f>
        <v/>
      </c>
      <c r="N3738" s="26">
        <f>IF($H3738="","",TODAY()-$H3738)</f>
        <v/>
      </c>
      <c r="O3738" s="15" t="n"/>
      <c r="P3738" s="15" t="n"/>
      <c r="Q3738" s="15" t="n"/>
      <c r="R3738" s="25" t="n"/>
      <c r="S3738" s="26">
        <f>IF($A3738="","",AND(OR('Assignment Builder'!$B$5="",$B3738='Assignment Builder'!$B$5),OR('Assignment Builder'!$B$6="",ISNUMBER(SEARCH('Assignment Builder'!$B$6,$C3738))),OR('Assignment Builder'!$B$7="",'Assignment Builder'!$B$7=IFERROR(INDEX('Category Dictionary'!$C$5:$C$135,MATCH($L3738,'Category Dictionary'!$D$5:$D$135,0)),"")),OR('Assignment Builder'!$B$8="",$D3738='Assignment Builder'!$B$8),OR('Assignment Builder'!$B$9="",$F3738='Assignment Builder'!$B$9),OR('Assignment Builder'!$B$10="",$O3738='Assignment Builder'!$B$10),OR('Assignment Builder'!$B$11="",$H3738&gt;='Assignment Builder'!$B$11),OR('Assignment Builder'!$B$12="",N($Q3738)&lt;='Assignment Builder'!$B$12)))</f>
        <v/>
      </c>
      <c r="T3738" s="23" t="n"/>
    </row>
    <row r="3739">
      <c r="A3739" s="23" t="n"/>
      <c r="B3739" s="23" t="n"/>
      <c r="C3739" s="24" t="n"/>
      <c r="D3739" s="15" t="n"/>
      <c r="E3739" s="23" t="n"/>
      <c r="F3739" s="15" t="n"/>
      <c r="G3739" s="23" t="n"/>
      <c r="H3739" s="25" t="n"/>
      <c r="I3739" s="15" t="n"/>
      <c r="J3739" s="26">
        <f>IF($A3739="","",LEN($C3739)-LEN(SUBSTITUTE($C3739,",",""))+1)</f>
        <v/>
      </c>
      <c r="K3739" s="26">
        <f>IF($A3739="","",SUMPRODUCT(--ISNUMBER(SEARCH('Category Dictionary'!$D$5:$D$135&amp;"",$C3739)),--('Category Dictionary'!$D$5:$D$135&lt;&gt;"")))</f>
        <v/>
      </c>
      <c r="L3739" s="27">
        <f>IF($A3739="","",TRIM(IF(ISERROR(FIND(",",$C3739)),$C3739,LEFT($C3739,FIND(",",$C3739)-1))))</f>
        <v/>
      </c>
      <c r="M3739" s="28">
        <f>IF($H3739="","",DATE(YEAR($H3739),MONTH($H3739),1))</f>
        <v/>
      </c>
      <c r="N3739" s="26">
        <f>IF($H3739="","",TODAY()-$H3739)</f>
        <v/>
      </c>
      <c r="O3739" s="15" t="n"/>
      <c r="P3739" s="15" t="n"/>
      <c r="Q3739" s="15" t="n"/>
      <c r="R3739" s="25" t="n"/>
      <c r="S3739" s="26">
        <f>IF($A3739="","",AND(OR('Assignment Builder'!$B$5="",$B3739='Assignment Builder'!$B$5),OR('Assignment Builder'!$B$6="",ISNUMBER(SEARCH('Assignment Builder'!$B$6,$C3739))),OR('Assignment Builder'!$B$7="",'Assignment Builder'!$B$7=IFERROR(INDEX('Category Dictionary'!$C$5:$C$135,MATCH($L3739,'Category Dictionary'!$D$5:$D$135,0)),"")),OR('Assignment Builder'!$B$8="",$D3739='Assignment Builder'!$B$8),OR('Assignment Builder'!$B$9="",$F3739='Assignment Builder'!$B$9),OR('Assignment Builder'!$B$10="",$O3739='Assignment Builder'!$B$10),OR('Assignment Builder'!$B$11="",$H3739&gt;='Assignment Builder'!$B$11),OR('Assignment Builder'!$B$12="",N($Q3739)&lt;='Assignment Builder'!$B$12)))</f>
        <v/>
      </c>
      <c r="T3739" s="23" t="n"/>
    </row>
    <row r="3740">
      <c r="A3740" s="23" t="n"/>
      <c r="B3740" s="23" t="n"/>
      <c r="C3740" s="24" t="n"/>
      <c r="D3740" s="15" t="n"/>
      <c r="E3740" s="23" t="n"/>
      <c r="F3740" s="15" t="n"/>
      <c r="G3740" s="23" t="n"/>
      <c r="H3740" s="25" t="n"/>
      <c r="I3740" s="15" t="n"/>
      <c r="J3740" s="26">
        <f>IF($A3740="","",LEN($C3740)-LEN(SUBSTITUTE($C3740,",",""))+1)</f>
        <v/>
      </c>
      <c r="K3740" s="26">
        <f>IF($A3740="","",SUMPRODUCT(--ISNUMBER(SEARCH('Category Dictionary'!$D$5:$D$135&amp;"",$C3740)),--('Category Dictionary'!$D$5:$D$135&lt;&gt;"")))</f>
        <v/>
      </c>
      <c r="L3740" s="27">
        <f>IF($A3740="","",TRIM(IF(ISERROR(FIND(",",$C3740)),$C3740,LEFT($C3740,FIND(",",$C3740)-1))))</f>
        <v/>
      </c>
      <c r="M3740" s="28">
        <f>IF($H3740="","",DATE(YEAR($H3740),MONTH($H3740),1))</f>
        <v/>
      </c>
      <c r="N3740" s="26">
        <f>IF($H3740="","",TODAY()-$H3740)</f>
        <v/>
      </c>
      <c r="O3740" s="15" t="n"/>
      <c r="P3740" s="15" t="n"/>
      <c r="Q3740" s="15" t="n"/>
      <c r="R3740" s="25" t="n"/>
      <c r="S3740" s="26">
        <f>IF($A3740="","",AND(OR('Assignment Builder'!$B$5="",$B3740='Assignment Builder'!$B$5),OR('Assignment Builder'!$B$6="",ISNUMBER(SEARCH('Assignment Builder'!$B$6,$C3740))),OR('Assignment Builder'!$B$7="",'Assignment Builder'!$B$7=IFERROR(INDEX('Category Dictionary'!$C$5:$C$135,MATCH($L3740,'Category Dictionary'!$D$5:$D$135,0)),"")),OR('Assignment Builder'!$B$8="",$D3740='Assignment Builder'!$B$8),OR('Assignment Builder'!$B$9="",$F3740='Assignment Builder'!$B$9),OR('Assignment Builder'!$B$10="",$O3740='Assignment Builder'!$B$10),OR('Assignment Builder'!$B$11="",$H3740&gt;='Assignment Builder'!$B$11),OR('Assignment Builder'!$B$12="",N($Q3740)&lt;='Assignment Builder'!$B$12)))</f>
        <v/>
      </c>
      <c r="T3740" s="23" t="n"/>
    </row>
    <row r="3741">
      <c r="A3741" s="23" t="n"/>
      <c r="B3741" s="23" t="n"/>
      <c r="C3741" s="24" t="n"/>
      <c r="D3741" s="15" t="n"/>
      <c r="E3741" s="23" t="n"/>
      <c r="F3741" s="15" t="n"/>
      <c r="G3741" s="23" t="n"/>
      <c r="H3741" s="25" t="n"/>
      <c r="I3741" s="15" t="n"/>
      <c r="J3741" s="26">
        <f>IF($A3741="","",LEN($C3741)-LEN(SUBSTITUTE($C3741,",",""))+1)</f>
        <v/>
      </c>
      <c r="K3741" s="26">
        <f>IF($A3741="","",SUMPRODUCT(--ISNUMBER(SEARCH('Category Dictionary'!$D$5:$D$135&amp;"",$C3741)),--('Category Dictionary'!$D$5:$D$135&lt;&gt;"")))</f>
        <v/>
      </c>
      <c r="L3741" s="27">
        <f>IF($A3741="","",TRIM(IF(ISERROR(FIND(",",$C3741)),$C3741,LEFT($C3741,FIND(",",$C3741)-1))))</f>
        <v/>
      </c>
      <c r="M3741" s="28">
        <f>IF($H3741="","",DATE(YEAR($H3741),MONTH($H3741),1))</f>
        <v/>
      </c>
      <c r="N3741" s="26">
        <f>IF($H3741="","",TODAY()-$H3741)</f>
        <v/>
      </c>
      <c r="O3741" s="15" t="n"/>
      <c r="P3741" s="15" t="n"/>
      <c r="Q3741" s="15" t="n"/>
      <c r="R3741" s="25" t="n"/>
      <c r="S3741" s="26">
        <f>IF($A3741="","",AND(OR('Assignment Builder'!$B$5="",$B3741='Assignment Builder'!$B$5),OR('Assignment Builder'!$B$6="",ISNUMBER(SEARCH('Assignment Builder'!$B$6,$C3741))),OR('Assignment Builder'!$B$7="",'Assignment Builder'!$B$7=IFERROR(INDEX('Category Dictionary'!$C$5:$C$135,MATCH($L3741,'Category Dictionary'!$D$5:$D$135,0)),"")),OR('Assignment Builder'!$B$8="",$D3741='Assignment Builder'!$B$8),OR('Assignment Builder'!$B$9="",$F3741='Assignment Builder'!$B$9),OR('Assignment Builder'!$B$10="",$O3741='Assignment Builder'!$B$10),OR('Assignment Builder'!$B$11="",$H3741&gt;='Assignment Builder'!$B$11),OR('Assignment Builder'!$B$12="",N($Q3741)&lt;='Assignment Builder'!$B$12)))</f>
        <v/>
      </c>
      <c r="T3741" s="23" t="n"/>
    </row>
    <row r="3742">
      <c r="A3742" s="23" t="n"/>
      <c r="B3742" s="23" t="n"/>
      <c r="C3742" s="24" t="n"/>
      <c r="D3742" s="15" t="n"/>
      <c r="E3742" s="23" t="n"/>
      <c r="F3742" s="15" t="n"/>
      <c r="G3742" s="23" t="n"/>
      <c r="H3742" s="25" t="n"/>
      <c r="I3742" s="15" t="n"/>
      <c r="J3742" s="26">
        <f>IF($A3742="","",LEN($C3742)-LEN(SUBSTITUTE($C3742,",",""))+1)</f>
        <v/>
      </c>
      <c r="K3742" s="26">
        <f>IF($A3742="","",SUMPRODUCT(--ISNUMBER(SEARCH('Category Dictionary'!$D$5:$D$135&amp;"",$C3742)),--('Category Dictionary'!$D$5:$D$135&lt;&gt;"")))</f>
        <v/>
      </c>
      <c r="L3742" s="27">
        <f>IF($A3742="","",TRIM(IF(ISERROR(FIND(",",$C3742)),$C3742,LEFT($C3742,FIND(",",$C3742)-1))))</f>
        <v/>
      </c>
      <c r="M3742" s="28">
        <f>IF($H3742="","",DATE(YEAR($H3742),MONTH($H3742),1))</f>
        <v/>
      </c>
      <c r="N3742" s="26">
        <f>IF($H3742="","",TODAY()-$H3742)</f>
        <v/>
      </c>
      <c r="O3742" s="15" t="n"/>
      <c r="P3742" s="15" t="n"/>
      <c r="Q3742" s="15" t="n"/>
      <c r="R3742" s="25" t="n"/>
      <c r="S3742" s="26">
        <f>IF($A3742="","",AND(OR('Assignment Builder'!$B$5="",$B3742='Assignment Builder'!$B$5),OR('Assignment Builder'!$B$6="",ISNUMBER(SEARCH('Assignment Builder'!$B$6,$C3742))),OR('Assignment Builder'!$B$7="",'Assignment Builder'!$B$7=IFERROR(INDEX('Category Dictionary'!$C$5:$C$135,MATCH($L3742,'Category Dictionary'!$D$5:$D$135,0)),"")),OR('Assignment Builder'!$B$8="",$D3742='Assignment Builder'!$B$8),OR('Assignment Builder'!$B$9="",$F3742='Assignment Builder'!$B$9),OR('Assignment Builder'!$B$10="",$O3742='Assignment Builder'!$B$10),OR('Assignment Builder'!$B$11="",$H3742&gt;='Assignment Builder'!$B$11),OR('Assignment Builder'!$B$12="",N($Q3742)&lt;='Assignment Builder'!$B$12)))</f>
        <v/>
      </c>
      <c r="T3742" s="23" t="n"/>
    </row>
    <row r="3743">
      <c r="A3743" s="23" t="n"/>
      <c r="B3743" s="23" t="n"/>
      <c r="C3743" s="24" t="n"/>
      <c r="D3743" s="15" t="n"/>
      <c r="E3743" s="23" t="n"/>
      <c r="F3743" s="15" t="n"/>
      <c r="G3743" s="23" t="n"/>
      <c r="H3743" s="25" t="n"/>
      <c r="I3743" s="15" t="n"/>
      <c r="J3743" s="26">
        <f>IF($A3743="","",LEN($C3743)-LEN(SUBSTITUTE($C3743,",",""))+1)</f>
        <v/>
      </c>
      <c r="K3743" s="26">
        <f>IF($A3743="","",SUMPRODUCT(--ISNUMBER(SEARCH('Category Dictionary'!$D$5:$D$135&amp;"",$C3743)),--('Category Dictionary'!$D$5:$D$135&lt;&gt;"")))</f>
        <v/>
      </c>
      <c r="L3743" s="27">
        <f>IF($A3743="","",TRIM(IF(ISERROR(FIND(",",$C3743)),$C3743,LEFT($C3743,FIND(",",$C3743)-1))))</f>
        <v/>
      </c>
      <c r="M3743" s="28">
        <f>IF($H3743="","",DATE(YEAR($H3743),MONTH($H3743),1))</f>
        <v/>
      </c>
      <c r="N3743" s="26">
        <f>IF($H3743="","",TODAY()-$H3743)</f>
        <v/>
      </c>
      <c r="O3743" s="15" t="n"/>
      <c r="P3743" s="15" t="n"/>
      <c r="Q3743" s="15" t="n"/>
      <c r="R3743" s="25" t="n"/>
      <c r="S3743" s="26">
        <f>IF($A3743="","",AND(OR('Assignment Builder'!$B$5="",$B3743='Assignment Builder'!$B$5),OR('Assignment Builder'!$B$6="",ISNUMBER(SEARCH('Assignment Builder'!$B$6,$C3743))),OR('Assignment Builder'!$B$7="",'Assignment Builder'!$B$7=IFERROR(INDEX('Category Dictionary'!$C$5:$C$135,MATCH($L3743,'Category Dictionary'!$D$5:$D$135,0)),"")),OR('Assignment Builder'!$B$8="",$D3743='Assignment Builder'!$B$8),OR('Assignment Builder'!$B$9="",$F3743='Assignment Builder'!$B$9),OR('Assignment Builder'!$B$10="",$O3743='Assignment Builder'!$B$10),OR('Assignment Builder'!$B$11="",$H3743&gt;='Assignment Builder'!$B$11),OR('Assignment Builder'!$B$12="",N($Q3743)&lt;='Assignment Builder'!$B$12)))</f>
        <v/>
      </c>
      <c r="T3743" s="23" t="n"/>
    </row>
    <row r="3744">
      <c r="A3744" s="23" t="n"/>
      <c r="B3744" s="23" t="n"/>
      <c r="C3744" s="24" t="n"/>
      <c r="D3744" s="15" t="n"/>
      <c r="E3744" s="23" t="n"/>
      <c r="F3744" s="15" t="n"/>
      <c r="G3744" s="23" t="n"/>
      <c r="H3744" s="25" t="n"/>
      <c r="I3744" s="15" t="n"/>
      <c r="J3744" s="26">
        <f>IF($A3744="","",LEN($C3744)-LEN(SUBSTITUTE($C3744,",",""))+1)</f>
        <v/>
      </c>
      <c r="K3744" s="26">
        <f>IF($A3744="","",SUMPRODUCT(--ISNUMBER(SEARCH('Category Dictionary'!$D$5:$D$135&amp;"",$C3744)),--('Category Dictionary'!$D$5:$D$135&lt;&gt;"")))</f>
        <v/>
      </c>
      <c r="L3744" s="27">
        <f>IF($A3744="","",TRIM(IF(ISERROR(FIND(",",$C3744)),$C3744,LEFT($C3744,FIND(",",$C3744)-1))))</f>
        <v/>
      </c>
      <c r="M3744" s="28">
        <f>IF($H3744="","",DATE(YEAR($H3744),MONTH($H3744),1))</f>
        <v/>
      </c>
      <c r="N3744" s="26">
        <f>IF($H3744="","",TODAY()-$H3744)</f>
        <v/>
      </c>
      <c r="O3744" s="15" t="n"/>
      <c r="P3744" s="15" t="n"/>
      <c r="Q3744" s="15" t="n"/>
      <c r="R3744" s="25" t="n"/>
      <c r="S3744" s="26">
        <f>IF($A3744="","",AND(OR('Assignment Builder'!$B$5="",$B3744='Assignment Builder'!$B$5),OR('Assignment Builder'!$B$6="",ISNUMBER(SEARCH('Assignment Builder'!$B$6,$C3744))),OR('Assignment Builder'!$B$7="",'Assignment Builder'!$B$7=IFERROR(INDEX('Category Dictionary'!$C$5:$C$135,MATCH($L3744,'Category Dictionary'!$D$5:$D$135,0)),"")),OR('Assignment Builder'!$B$8="",$D3744='Assignment Builder'!$B$8),OR('Assignment Builder'!$B$9="",$F3744='Assignment Builder'!$B$9),OR('Assignment Builder'!$B$10="",$O3744='Assignment Builder'!$B$10),OR('Assignment Builder'!$B$11="",$H3744&gt;='Assignment Builder'!$B$11),OR('Assignment Builder'!$B$12="",N($Q3744)&lt;='Assignment Builder'!$B$12)))</f>
        <v/>
      </c>
      <c r="T3744" s="23" t="n"/>
    </row>
    <row r="3745">
      <c r="A3745" s="23" t="n"/>
      <c r="B3745" s="23" t="n"/>
      <c r="C3745" s="24" t="n"/>
      <c r="D3745" s="15" t="n"/>
      <c r="E3745" s="23" t="n"/>
      <c r="F3745" s="15" t="n"/>
      <c r="G3745" s="23" t="n"/>
      <c r="H3745" s="25" t="n"/>
      <c r="I3745" s="15" t="n"/>
      <c r="J3745" s="26">
        <f>IF($A3745="","",LEN($C3745)-LEN(SUBSTITUTE($C3745,",",""))+1)</f>
        <v/>
      </c>
      <c r="K3745" s="26">
        <f>IF($A3745="","",SUMPRODUCT(--ISNUMBER(SEARCH('Category Dictionary'!$D$5:$D$135&amp;"",$C3745)),--('Category Dictionary'!$D$5:$D$135&lt;&gt;"")))</f>
        <v/>
      </c>
      <c r="L3745" s="27">
        <f>IF($A3745="","",TRIM(IF(ISERROR(FIND(",",$C3745)),$C3745,LEFT($C3745,FIND(",",$C3745)-1))))</f>
        <v/>
      </c>
      <c r="M3745" s="28">
        <f>IF($H3745="","",DATE(YEAR($H3745),MONTH($H3745),1))</f>
        <v/>
      </c>
      <c r="N3745" s="26">
        <f>IF($H3745="","",TODAY()-$H3745)</f>
        <v/>
      </c>
      <c r="O3745" s="15" t="n"/>
      <c r="P3745" s="15" t="n"/>
      <c r="Q3745" s="15" t="n"/>
      <c r="R3745" s="25" t="n"/>
      <c r="S3745" s="26">
        <f>IF($A3745="","",AND(OR('Assignment Builder'!$B$5="",$B3745='Assignment Builder'!$B$5),OR('Assignment Builder'!$B$6="",ISNUMBER(SEARCH('Assignment Builder'!$B$6,$C3745))),OR('Assignment Builder'!$B$7="",'Assignment Builder'!$B$7=IFERROR(INDEX('Category Dictionary'!$C$5:$C$135,MATCH($L3745,'Category Dictionary'!$D$5:$D$135,0)),"")),OR('Assignment Builder'!$B$8="",$D3745='Assignment Builder'!$B$8),OR('Assignment Builder'!$B$9="",$F3745='Assignment Builder'!$B$9),OR('Assignment Builder'!$B$10="",$O3745='Assignment Builder'!$B$10),OR('Assignment Builder'!$B$11="",$H3745&gt;='Assignment Builder'!$B$11),OR('Assignment Builder'!$B$12="",N($Q3745)&lt;='Assignment Builder'!$B$12)))</f>
        <v/>
      </c>
      <c r="T3745" s="23" t="n"/>
    </row>
    <row r="3746">
      <c r="A3746" s="23" t="n"/>
      <c r="B3746" s="23" t="n"/>
      <c r="C3746" s="24" t="n"/>
      <c r="D3746" s="15" t="n"/>
      <c r="E3746" s="23" t="n"/>
      <c r="F3746" s="15" t="n"/>
      <c r="G3746" s="23" t="n"/>
      <c r="H3746" s="25" t="n"/>
      <c r="I3746" s="15" t="n"/>
      <c r="J3746" s="26">
        <f>IF($A3746="","",LEN($C3746)-LEN(SUBSTITUTE($C3746,",",""))+1)</f>
        <v/>
      </c>
      <c r="K3746" s="26">
        <f>IF($A3746="","",SUMPRODUCT(--ISNUMBER(SEARCH('Category Dictionary'!$D$5:$D$135&amp;"",$C3746)),--('Category Dictionary'!$D$5:$D$135&lt;&gt;"")))</f>
        <v/>
      </c>
      <c r="L3746" s="27">
        <f>IF($A3746="","",TRIM(IF(ISERROR(FIND(",",$C3746)),$C3746,LEFT($C3746,FIND(",",$C3746)-1))))</f>
        <v/>
      </c>
      <c r="M3746" s="28">
        <f>IF($H3746="","",DATE(YEAR($H3746),MONTH($H3746),1))</f>
        <v/>
      </c>
      <c r="N3746" s="26">
        <f>IF($H3746="","",TODAY()-$H3746)</f>
        <v/>
      </c>
      <c r="O3746" s="15" t="n"/>
      <c r="P3746" s="15" t="n"/>
      <c r="Q3746" s="15" t="n"/>
      <c r="R3746" s="25" t="n"/>
      <c r="S3746" s="26">
        <f>IF($A3746="","",AND(OR('Assignment Builder'!$B$5="",$B3746='Assignment Builder'!$B$5),OR('Assignment Builder'!$B$6="",ISNUMBER(SEARCH('Assignment Builder'!$B$6,$C3746))),OR('Assignment Builder'!$B$7="",'Assignment Builder'!$B$7=IFERROR(INDEX('Category Dictionary'!$C$5:$C$135,MATCH($L3746,'Category Dictionary'!$D$5:$D$135,0)),"")),OR('Assignment Builder'!$B$8="",$D3746='Assignment Builder'!$B$8),OR('Assignment Builder'!$B$9="",$F3746='Assignment Builder'!$B$9),OR('Assignment Builder'!$B$10="",$O3746='Assignment Builder'!$B$10),OR('Assignment Builder'!$B$11="",$H3746&gt;='Assignment Builder'!$B$11),OR('Assignment Builder'!$B$12="",N($Q3746)&lt;='Assignment Builder'!$B$12)))</f>
        <v/>
      </c>
      <c r="T3746" s="23" t="n"/>
    </row>
    <row r="3747">
      <c r="A3747" s="23" t="n"/>
      <c r="B3747" s="23" t="n"/>
      <c r="C3747" s="24" t="n"/>
      <c r="D3747" s="15" t="n"/>
      <c r="E3747" s="23" t="n"/>
      <c r="F3747" s="15" t="n"/>
      <c r="G3747" s="23" t="n"/>
      <c r="H3747" s="25" t="n"/>
      <c r="I3747" s="15" t="n"/>
      <c r="J3747" s="26">
        <f>IF($A3747="","",LEN($C3747)-LEN(SUBSTITUTE($C3747,",",""))+1)</f>
        <v/>
      </c>
      <c r="K3747" s="26">
        <f>IF($A3747="","",SUMPRODUCT(--ISNUMBER(SEARCH('Category Dictionary'!$D$5:$D$135&amp;"",$C3747)),--('Category Dictionary'!$D$5:$D$135&lt;&gt;"")))</f>
        <v/>
      </c>
      <c r="L3747" s="27">
        <f>IF($A3747="","",TRIM(IF(ISERROR(FIND(",",$C3747)),$C3747,LEFT($C3747,FIND(",",$C3747)-1))))</f>
        <v/>
      </c>
      <c r="M3747" s="28">
        <f>IF($H3747="","",DATE(YEAR($H3747),MONTH($H3747),1))</f>
        <v/>
      </c>
      <c r="N3747" s="26">
        <f>IF($H3747="","",TODAY()-$H3747)</f>
        <v/>
      </c>
      <c r="O3747" s="15" t="n"/>
      <c r="P3747" s="15" t="n"/>
      <c r="Q3747" s="15" t="n"/>
      <c r="R3747" s="25" t="n"/>
      <c r="S3747" s="26">
        <f>IF($A3747="","",AND(OR('Assignment Builder'!$B$5="",$B3747='Assignment Builder'!$B$5),OR('Assignment Builder'!$B$6="",ISNUMBER(SEARCH('Assignment Builder'!$B$6,$C3747))),OR('Assignment Builder'!$B$7="",'Assignment Builder'!$B$7=IFERROR(INDEX('Category Dictionary'!$C$5:$C$135,MATCH($L3747,'Category Dictionary'!$D$5:$D$135,0)),"")),OR('Assignment Builder'!$B$8="",$D3747='Assignment Builder'!$B$8),OR('Assignment Builder'!$B$9="",$F3747='Assignment Builder'!$B$9),OR('Assignment Builder'!$B$10="",$O3747='Assignment Builder'!$B$10),OR('Assignment Builder'!$B$11="",$H3747&gt;='Assignment Builder'!$B$11),OR('Assignment Builder'!$B$12="",N($Q3747)&lt;='Assignment Builder'!$B$12)))</f>
        <v/>
      </c>
      <c r="T3747" s="23" t="n"/>
    </row>
    <row r="3748">
      <c r="A3748" s="23" t="n"/>
      <c r="B3748" s="23" t="n"/>
      <c r="C3748" s="24" t="n"/>
      <c r="D3748" s="15" t="n"/>
      <c r="E3748" s="23" t="n"/>
      <c r="F3748" s="15" t="n"/>
      <c r="G3748" s="23" t="n"/>
      <c r="H3748" s="25" t="n"/>
      <c r="I3748" s="15" t="n"/>
      <c r="J3748" s="26">
        <f>IF($A3748="","",LEN($C3748)-LEN(SUBSTITUTE($C3748,",",""))+1)</f>
        <v/>
      </c>
      <c r="K3748" s="26">
        <f>IF($A3748="","",SUMPRODUCT(--ISNUMBER(SEARCH('Category Dictionary'!$D$5:$D$135&amp;"",$C3748)),--('Category Dictionary'!$D$5:$D$135&lt;&gt;"")))</f>
        <v/>
      </c>
      <c r="L3748" s="27">
        <f>IF($A3748="","",TRIM(IF(ISERROR(FIND(",",$C3748)),$C3748,LEFT($C3748,FIND(",",$C3748)-1))))</f>
        <v/>
      </c>
      <c r="M3748" s="28">
        <f>IF($H3748="","",DATE(YEAR($H3748),MONTH($H3748),1))</f>
        <v/>
      </c>
      <c r="N3748" s="26">
        <f>IF($H3748="","",TODAY()-$H3748)</f>
        <v/>
      </c>
      <c r="O3748" s="15" t="n"/>
      <c r="P3748" s="15" t="n"/>
      <c r="Q3748" s="15" t="n"/>
      <c r="R3748" s="25" t="n"/>
      <c r="S3748" s="26">
        <f>IF($A3748="","",AND(OR('Assignment Builder'!$B$5="",$B3748='Assignment Builder'!$B$5),OR('Assignment Builder'!$B$6="",ISNUMBER(SEARCH('Assignment Builder'!$B$6,$C3748))),OR('Assignment Builder'!$B$7="",'Assignment Builder'!$B$7=IFERROR(INDEX('Category Dictionary'!$C$5:$C$135,MATCH($L3748,'Category Dictionary'!$D$5:$D$135,0)),"")),OR('Assignment Builder'!$B$8="",$D3748='Assignment Builder'!$B$8),OR('Assignment Builder'!$B$9="",$F3748='Assignment Builder'!$B$9),OR('Assignment Builder'!$B$10="",$O3748='Assignment Builder'!$B$10),OR('Assignment Builder'!$B$11="",$H3748&gt;='Assignment Builder'!$B$11),OR('Assignment Builder'!$B$12="",N($Q3748)&lt;='Assignment Builder'!$B$12)))</f>
        <v/>
      </c>
      <c r="T3748" s="23" t="n"/>
    </row>
    <row r="3749">
      <c r="A3749" s="23" t="n"/>
      <c r="B3749" s="23" t="n"/>
      <c r="C3749" s="24" t="n"/>
      <c r="D3749" s="15" t="n"/>
      <c r="E3749" s="23" t="n"/>
      <c r="F3749" s="15" t="n"/>
      <c r="G3749" s="23" t="n"/>
      <c r="H3749" s="25" t="n"/>
      <c r="I3749" s="15" t="n"/>
      <c r="J3749" s="26">
        <f>IF($A3749="","",LEN($C3749)-LEN(SUBSTITUTE($C3749,",",""))+1)</f>
        <v/>
      </c>
      <c r="K3749" s="26">
        <f>IF($A3749="","",SUMPRODUCT(--ISNUMBER(SEARCH('Category Dictionary'!$D$5:$D$135&amp;"",$C3749)),--('Category Dictionary'!$D$5:$D$135&lt;&gt;"")))</f>
        <v/>
      </c>
      <c r="L3749" s="27">
        <f>IF($A3749="","",TRIM(IF(ISERROR(FIND(",",$C3749)),$C3749,LEFT($C3749,FIND(",",$C3749)-1))))</f>
        <v/>
      </c>
      <c r="M3749" s="28">
        <f>IF($H3749="","",DATE(YEAR($H3749),MONTH($H3749),1))</f>
        <v/>
      </c>
      <c r="N3749" s="26">
        <f>IF($H3749="","",TODAY()-$H3749)</f>
        <v/>
      </c>
      <c r="O3749" s="15" t="n"/>
      <c r="P3749" s="15" t="n"/>
      <c r="Q3749" s="15" t="n"/>
      <c r="R3749" s="25" t="n"/>
      <c r="S3749" s="26">
        <f>IF($A3749="","",AND(OR('Assignment Builder'!$B$5="",$B3749='Assignment Builder'!$B$5),OR('Assignment Builder'!$B$6="",ISNUMBER(SEARCH('Assignment Builder'!$B$6,$C3749))),OR('Assignment Builder'!$B$7="",'Assignment Builder'!$B$7=IFERROR(INDEX('Category Dictionary'!$C$5:$C$135,MATCH($L3749,'Category Dictionary'!$D$5:$D$135,0)),"")),OR('Assignment Builder'!$B$8="",$D3749='Assignment Builder'!$B$8),OR('Assignment Builder'!$B$9="",$F3749='Assignment Builder'!$B$9),OR('Assignment Builder'!$B$10="",$O3749='Assignment Builder'!$B$10),OR('Assignment Builder'!$B$11="",$H3749&gt;='Assignment Builder'!$B$11),OR('Assignment Builder'!$B$12="",N($Q3749)&lt;='Assignment Builder'!$B$12)))</f>
        <v/>
      </c>
      <c r="T3749" s="23" t="n"/>
    </row>
    <row r="3750">
      <c r="A3750" s="23" t="n"/>
      <c r="B3750" s="23" t="n"/>
      <c r="C3750" s="24" t="n"/>
      <c r="D3750" s="15" t="n"/>
      <c r="E3750" s="23" t="n"/>
      <c r="F3750" s="15" t="n"/>
      <c r="G3750" s="23" t="n"/>
      <c r="H3750" s="25" t="n"/>
      <c r="I3750" s="15" t="n"/>
      <c r="J3750" s="26">
        <f>IF($A3750="","",LEN($C3750)-LEN(SUBSTITUTE($C3750,",",""))+1)</f>
        <v/>
      </c>
      <c r="K3750" s="26">
        <f>IF($A3750="","",SUMPRODUCT(--ISNUMBER(SEARCH('Category Dictionary'!$D$5:$D$135&amp;"",$C3750)),--('Category Dictionary'!$D$5:$D$135&lt;&gt;"")))</f>
        <v/>
      </c>
      <c r="L3750" s="27">
        <f>IF($A3750="","",TRIM(IF(ISERROR(FIND(",",$C3750)),$C3750,LEFT($C3750,FIND(",",$C3750)-1))))</f>
        <v/>
      </c>
      <c r="M3750" s="28">
        <f>IF($H3750="","",DATE(YEAR($H3750),MONTH($H3750),1))</f>
        <v/>
      </c>
      <c r="N3750" s="26">
        <f>IF($H3750="","",TODAY()-$H3750)</f>
        <v/>
      </c>
      <c r="O3750" s="15" t="n"/>
      <c r="P3750" s="15" t="n"/>
      <c r="Q3750" s="15" t="n"/>
      <c r="R3750" s="25" t="n"/>
      <c r="S3750" s="26">
        <f>IF($A3750="","",AND(OR('Assignment Builder'!$B$5="",$B3750='Assignment Builder'!$B$5),OR('Assignment Builder'!$B$6="",ISNUMBER(SEARCH('Assignment Builder'!$B$6,$C3750))),OR('Assignment Builder'!$B$7="",'Assignment Builder'!$B$7=IFERROR(INDEX('Category Dictionary'!$C$5:$C$135,MATCH($L3750,'Category Dictionary'!$D$5:$D$135,0)),"")),OR('Assignment Builder'!$B$8="",$D3750='Assignment Builder'!$B$8),OR('Assignment Builder'!$B$9="",$F3750='Assignment Builder'!$B$9),OR('Assignment Builder'!$B$10="",$O3750='Assignment Builder'!$B$10),OR('Assignment Builder'!$B$11="",$H3750&gt;='Assignment Builder'!$B$11),OR('Assignment Builder'!$B$12="",N($Q3750)&lt;='Assignment Builder'!$B$12)))</f>
        <v/>
      </c>
      <c r="T3750" s="23" t="n"/>
    </row>
    <row r="3751">
      <c r="A3751" s="23" t="n"/>
      <c r="B3751" s="23" t="n"/>
      <c r="C3751" s="24" t="n"/>
      <c r="D3751" s="15" t="n"/>
      <c r="E3751" s="23" t="n"/>
      <c r="F3751" s="15" t="n"/>
      <c r="G3751" s="23" t="n"/>
      <c r="H3751" s="25" t="n"/>
      <c r="I3751" s="15" t="n"/>
      <c r="J3751" s="26">
        <f>IF($A3751="","",LEN($C3751)-LEN(SUBSTITUTE($C3751,",",""))+1)</f>
        <v/>
      </c>
      <c r="K3751" s="26">
        <f>IF($A3751="","",SUMPRODUCT(--ISNUMBER(SEARCH('Category Dictionary'!$D$5:$D$135&amp;"",$C3751)),--('Category Dictionary'!$D$5:$D$135&lt;&gt;"")))</f>
        <v/>
      </c>
      <c r="L3751" s="27">
        <f>IF($A3751="","",TRIM(IF(ISERROR(FIND(",",$C3751)),$C3751,LEFT($C3751,FIND(",",$C3751)-1))))</f>
        <v/>
      </c>
      <c r="M3751" s="28">
        <f>IF($H3751="","",DATE(YEAR($H3751),MONTH($H3751),1))</f>
        <v/>
      </c>
      <c r="N3751" s="26">
        <f>IF($H3751="","",TODAY()-$H3751)</f>
        <v/>
      </c>
      <c r="O3751" s="15" t="n"/>
      <c r="P3751" s="15" t="n"/>
      <c r="Q3751" s="15" t="n"/>
      <c r="R3751" s="25" t="n"/>
      <c r="S3751" s="26">
        <f>IF($A3751="","",AND(OR('Assignment Builder'!$B$5="",$B3751='Assignment Builder'!$B$5),OR('Assignment Builder'!$B$6="",ISNUMBER(SEARCH('Assignment Builder'!$B$6,$C3751))),OR('Assignment Builder'!$B$7="",'Assignment Builder'!$B$7=IFERROR(INDEX('Category Dictionary'!$C$5:$C$135,MATCH($L3751,'Category Dictionary'!$D$5:$D$135,0)),"")),OR('Assignment Builder'!$B$8="",$D3751='Assignment Builder'!$B$8),OR('Assignment Builder'!$B$9="",$F3751='Assignment Builder'!$B$9),OR('Assignment Builder'!$B$10="",$O3751='Assignment Builder'!$B$10),OR('Assignment Builder'!$B$11="",$H3751&gt;='Assignment Builder'!$B$11),OR('Assignment Builder'!$B$12="",N($Q3751)&lt;='Assignment Builder'!$B$12)))</f>
        <v/>
      </c>
      <c r="T3751" s="23" t="n"/>
    </row>
    <row r="3752">
      <c r="A3752" s="23" t="n"/>
      <c r="B3752" s="23" t="n"/>
      <c r="C3752" s="24" t="n"/>
      <c r="D3752" s="15" t="n"/>
      <c r="E3752" s="23" t="n"/>
      <c r="F3752" s="15" t="n"/>
      <c r="G3752" s="23" t="n"/>
      <c r="H3752" s="25" t="n"/>
      <c r="I3752" s="15" t="n"/>
      <c r="J3752" s="26">
        <f>IF($A3752="","",LEN($C3752)-LEN(SUBSTITUTE($C3752,",",""))+1)</f>
        <v/>
      </c>
      <c r="K3752" s="26">
        <f>IF($A3752="","",SUMPRODUCT(--ISNUMBER(SEARCH('Category Dictionary'!$D$5:$D$135&amp;"",$C3752)),--('Category Dictionary'!$D$5:$D$135&lt;&gt;"")))</f>
        <v/>
      </c>
      <c r="L3752" s="27">
        <f>IF($A3752="","",TRIM(IF(ISERROR(FIND(",",$C3752)),$C3752,LEFT($C3752,FIND(",",$C3752)-1))))</f>
        <v/>
      </c>
      <c r="M3752" s="28">
        <f>IF($H3752="","",DATE(YEAR($H3752),MONTH($H3752),1))</f>
        <v/>
      </c>
      <c r="N3752" s="26">
        <f>IF($H3752="","",TODAY()-$H3752)</f>
        <v/>
      </c>
      <c r="O3752" s="15" t="n"/>
      <c r="P3752" s="15" t="n"/>
      <c r="Q3752" s="15" t="n"/>
      <c r="R3752" s="25" t="n"/>
      <c r="S3752" s="26">
        <f>IF($A3752="","",AND(OR('Assignment Builder'!$B$5="",$B3752='Assignment Builder'!$B$5),OR('Assignment Builder'!$B$6="",ISNUMBER(SEARCH('Assignment Builder'!$B$6,$C3752))),OR('Assignment Builder'!$B$7="",'Assignment Builder'!$B$7=IFERROR(INDEX('Category Dictionary'!$C$5:$C$135,MATCH($L3752,'Category Dictionary'!$D$5:$D$135,0)),"")),OR('Assignment Builder'!$B$8="",$D3752='Assignment Builder'!$B$8),OR('Assignment Builder'!$B$9="",$F3752='Assignment Builder'!$B$9),OR('Assignment Builder'!$B$10="",$O3752='Assignment Builder'!$B$10),OR('Assignment Builder'!$B$11="",$H3752&gt;='Assignment Builder'!$B$11),OR('Assignment Builder'!$B$12="",N($Q3752)&lt;='Assignment Builder'!$B$12)))</f>
        <v/>
      </c>
      <c r="T3752" s="23" t="n"/>
    </row>
    <row r="3753">
      <c r="A3753" s="23" t="n"/>
      <c r="B3753" s="23" t="n"/>
      <c r="C3753" s="24" t="n"/>
      <c r="D3753" s="15" t="n"/>
      <c r="E3753" s="23" t="n"/>
      <c r="F3753" s="15" t="n"/>
      <c r="G3753" s="23" t="n"/>
      <c r="H3753" s="25" t="n"/>
      <c r="I3753" s="15" t="n"/>
      <c r="J3753" s="26">
        <f>IF($A3753="","",LEN($C3753)-LEN(SUBSTITUTE($C3753,",",""))+1)</f>
        <v/>
      </c>
      <c r="K3753" s="26">
        <f>IF($A3753="","",SUMPRODUCT(--ISNUMBER(SEARCH('Category Dictionary'!$D$5:$D$135&amp;"",$C3753)),--('Category Dictionary'!$D$5:$D$135&lt;&gt;"")))</f>
        <v/>
      </c>
      <c r="L3753" s="27">
        <f>IF($A3753="","",TRIM(IF(ISERROR(FIND(",",$C3753)),$C3753,LEFT($C3753,FIND(",",$C3753)-1))))</f>
        <v/>
      </c>
      <c r="M3753" s="28">
        <f>IF($H3753="","",DATE(YEAR($H3753),MONTH($H3753),1))</f>
        <v/>
      </c>
      <c r="N3753" s="26">
        <f>IF($H3753="","",TODAY()-$H3753)</f>
        <v/>
      </c>
      <c r="O3753" s="15" t="n"/>
      <c r="P3753" s="15" t="n"/>
      <c r="Q3753" s="15" t="n"/>
      <c r="R3753" s="25" t="n"/>
      <c r="S3753" s="26">
        <f>IF($A3753="","",AND(OR('Assignment Builder'!$B$5="",$B3753='Assignment Builder'!$B$5),OR('Assignment Builder'!$B$6="",ISNUMBER(SEARCH('Assignment Builder'!$B$6,$C3753))),OR('Assignment Builder'!$B$7="",'Assignment Builder'!$B$7=IFERROR(INDEX('Category Dictionary'!$C$5:$C$135,MATCH($L3753,'Category Dictionary'!$D$5:$D$135,0)),"")),OR('Assignment Builder'!$B$8="",$D3753='Assignment Builder'!$B$8),OR('Assignment Builder'!$B$9="",$F3753='Assignment Builder'!$B$9),OR('Assignment Builder'!$B$10="",$O3753='Assignment Builder'!$B$10),OR('Assignment Builder'!$B$11="",$H3753&gt;='Assignment Builder'!$B$11),OR('Assignment Builder'!$B$12="",N($Q3753)&lt;='Assignment Builder'!$B$12)))</f>
        <v/>
      </c>
      <c r="T3753" s="23" t="n"/>
    </row>
    <row r="3754">
      <c r="A3754" s="23" t="n"/>
      <c r="B3754" s="23" t="n"/>
      <c r="C3754" s="24" t="n"/>
      <c r="D3754" s="15" t="n"/>
      <c r="E3754" s="23" t="n"/>
      <c r="F3754" s="15" t="n"/>
      <c r="G3754" s="23" t="n"/>
      <c r="H3754" s="25" t="n"/>
      <c r="I3754" s="15" t="n"/>
      <c r="J3754" s="26">
        <f>IF($A3754="","",LEN($C3754)-LEN(SUBSTITUTE($C3754,",",""))+1)</f>
        <v/>
      </c>
      <c r="K3754" s="26">
        <f>IF($A3754="","",SUMPRODUCT(--ISNUMBER(SEARCH('Category Dictionary'!$D$5:$D$135&amp;"",$C3754)),--('Category Dictionary'!$D$5:$D$135&lt;&gt;"")))</f>
        <v/>
      </c>
      <c r="L3754" s="27">
        <f>IF($A3754="","",TRIM(IF(ISERROR(FIND(",",$C3754)),$C3754,LEFT($C3754,FIND(",",$C3754)-1))))</f>
        <v/>
      </c>
      <c r="M3754" s="28">
        <f>IF($H3754="","",DATE(YEAR($H3754),MONTH($H3754),1))</f>
        <v/>
      </c>
      <c r="N3754" s="26">
        <f>IF($H3754="","",TODAY()-$H3754)</f>
        <v/>
      </c>
      <c r="O3754" s="15" t="n"/>
      <c r="P3754" s="15" t="n"/>
      <c r="Q3754" s="15" t="n"/>
      <c r="R3754" s="25" t="n"/>
      <c r="S3754" s="26">
        <f>IF($A3754="","",AND(OR('Assignment Builder'!$B$5="",$B3754='Assignment Builder'!$B$5),OR('Assignment Builder'!$B$6="",ISNUMBER(SEARCH('Assignment Builder'!$B$6,$C3754))),OR('Assignment Builder'!$B$7="",'Assignment Builder'!$B$7=IFERROR(INDEX('Category Dictionary'!$C$5:$C$135,MATCH($L3754,'Category Dictionary'!$D$5:$D$135,0)),"")),OR('Assignment Builder'!$B$8="",$D3754='Assignment Builder'!$B$8),OR('Assignment Builder'!$B$9="",$F3754='Assignment Builder'!$B$9),OR('Assignment Builder'!$B$10="",$O3754='Assignment Builder'!$B$10),OR('Assignment Builder'!$B$11="",$H3754&gt;='Assignment Builder'!$B$11),OR('Assignment Builder'!$B$12="",N($Q3754)&lt;='Assignment Builder'!$B$12)))</f>
        <v/>
      </c>
      <c r="T3754" s="23" t="n"/>
    </row>
    <row r="3755">
      <c r="A3755" s="23" t="n"/>
      <c r="B3755" s="23" t="n"/>
      <c r="C3755" s="24" t="n"/>
      <c r="D3755" s="15" t="n"/>
      <c r="E3755" s="23" t="n"/>
      <c r="F3755" s="15" t="n"/>
      <c r="G3755" s="23" t="n"/>
      <c r="H3755" s="25" t="n"/>
      <c r="I3755" s="15" t="n"/>
      <c r="J3755" s="26">
        <f>IF($A3755="","",LEN($C3755)-LEN(SUBSTITUTE($C3755,",",""))+1)</f>
        <v/>
      </c>
      <c r="K3755" s="26">
        <f>IF($A3755="","",SUMPRODUCT(--ISNUMBER(SEARCH('Category Dictionary'!$D$5:$D$135&amp;"",$C3755)),--('Category Dictionary'!$D$5:$D$135&lt;&gt;"")))</f>
        <v/>
      </c>
      <c r="L3755" s="27">
        <f>IF($A3755="","",TRIM(IF(ISERROR(FIND(",",$C3755)),$C3755,LEFT($C3755,FIND(",",$C3755)-1))))</f>
        <v/>
      </c>
      <c r="M3755" s="28">
        <f>IF($H3755="","",DATE(YEAR($H3755),MONTH($H3755),1))</f>
        <v/>
      </c>
      <c r="N3755" s="26">
        <f>IF($H3755="","",TODAY()-$H3755)</f>
        <v/>
      </c>
      <c r="O3755" s="15" t="n"/>
      <c r="P3755" s="15" t="n"/>
      <c r="Q3755" s="15" t="n"/>
      <c r="R3755" s="25" t="n"/>
      <c r="S3755" s="26">
        <f>IF($A3755="","",AND(OR('Assignment Builder'!$B$5="",$B3755='Assignment Builder'!$B$5),OR('Assignment Builder'!$B$6="",ISNUMBER(SEARCH('Assignment Builder'!$B$6,$C3755))),OR('Assignment Builder'!$B$7="",'Assignment Builder'!$B$7=IFERROR(INDEX('Category Dictionary'!$C$5:$C$135,MATCH($L3755,'Category Dictionary'!$D$5:$D$135,0)),"")),OR('Assignment Builder'!$B$8="",$D3755='Assignment Builder'!$B$8),OR('Assignment Builder'!$B$9="",$F3755='Assignment Builder'!$B$9),OR('Assignment Builder'!$B$10="",$O3755='Assignment Builder'!$B$10),OR('Assignment Builder'!$B$11="",$H3755&gt;='Assignment Builder'!$B$11),OR('Assignment Builder'!$B$12="",N($Q3755)&lt;='Assignment Builder'!$B$12)))</f>
        <v/>
      </c>
      <c r="T3755" s="23" t="n"/>
    </row>
    <row r="3756">
      <c r="A3756" s="23" t="n"/>
      <c r="B3756" s="23" t="n"/>
      <c r="C3756" s="24" t="n"/>
      <c r="D3756" s="15" t="n"/>
      <c r="E3756" s="23" t="n"/>
      <c r="F3756" s="15" t="n"/>
      <c r="G3756" s="23" t="n"/>
      <c r="H3756" s="25" t="n"/>
      <c r="I3756" s="15" t="n"/>
      <c r="J3756" s="26">
        <f>IF($A3756="","",LEN($C3756)-LEN(SUBSTITUTE($C3756,",",""))+1)</f>
        <v/>
      </c>
      <c r="K3756" s="26">
        <f>IF($A3756="","",SUMPRODUCT(--ISNUMBER(SEARCH('Category Dictionary'!$D$5:$D$135&amp;"",$C3756)),--('Category Dictionary'!$D$5:$D$135&lt;&gt;"")))</f>
        <v/>
      </c>
      <c r="L3756" s="27">
        <f>IF($A3756="","",TRIM(IF(ISERROR(FIND(",",$C3756)),$C3756,LEFT($C3756,FIND(",",$C3756)-1))))</f>
        <v/>
      </c>
      <c r="M3756" s="28">
        <f>IF($H3756="","",DATE(YEAR($H3756),MONTH($H3756),1))</f>
        <v/>
      </c>
      <c r="N3756" s="26">
        <f>IF($H3756="","",TODAY()-$H3756)</f>
        <v/>
      </c>
      <c r="O3756" s="15" t="n"/>
      <c r="P3756" s="15" t="n"/>
      <c r="Q3756" s="15" t="n"/>
      <c r="R3756" s="25" t="n"/>
      <c r="S3756" s="26">
        <f>IF($A3756="","",AND(OR('Assignment Builder'!$B$5="",$B3756='Assignment Builder'!$B$5),OR('Assignment Builder'!$B$6="",ISNUMBER(SEARCH('Assignment Builder'!$B$6,$C3756))),OR('Assignment Builder'!$B$7="",'Assignment Builder'!$B$7=IFERROR(INDEX('Category Dictionary'!$C$5:$C$135,MATCH($L3756,'Category Dictionary'!$D$5:$D$135,0)),"")),OR('Assignment Builder'!$B$8="",$D3756='Assignment Builder'!$B$8),OR('Assignment Builder'!$B$9="",$F3756='Assignment Builder'!$B$9),OR('Assignment Builder'!$B$10="",$O3756='Assignment Builder'!$B$10),OR('Assignment Builder'!$B$11="",$H3756&gt;='Assignment Builder'!$B$11),OR('Assignment Builder'!$B$12="",N($Q3756)&lt;='Assignment Builder'!$B$12)))</f>
        <v/>
      </c>
      <c r="T3756" s="23" t="n"/>
    </row>
    <row r="3757">
      <c r="A3757" s="23" t="n"/>
      <c r="B3757" s="23" t="n"/>
      <c r="C3757" s="24" t="n"/>
      <c r="D3757" s="15" t="n"/>
      <c r="E3757" s="23" t="n"/>
      <c r="F3757" s="15" t="n"/>
      <c r="G3757" s="23" t="n"/>
      <c r="H3757" s="25" t="n"/>
      <c r="I3757" s="15" t="n"/>
      <c r="J3757" s="26">
        <f>IF($A3757="","",LEN($C3757)-LEN(SUBSTITUTE($C3757,",",""))+1)</f>
        <v/>
      </c>
      <c r="K3757" s="26">
        <f>IF($A3757="","",SUMPRODUCT(--ISNUMBER(SEARCH('Category Dictionary'!$D$5:$D$135&amp;"",$C3757)),--('Category Dictionary'!$D$5:$D$135&lt;&gt;"")))</f>
        <v/>
      </c>
      <c r="L3757" s="27">
        <f>IF($A3757="","",TRIM(IF(ISERROR(FIND(",",$C3757)),$C3757,LEFT($C3757,FIND(",",$C3757)-1))))</f>
        <v/>
      </c>
      <c r="M3757" s="28">
        <f>IF($H3757="","",DATE(YEAR($H3757),MONTH($H3757),1))</f>
        <v/>
      </c>
      <c r="N3757" s="26">
        <f>IF($H3757="","",TODAY()-$H3757)</f>
        <v/>
      </c>
      <c r="O3757" s="15" t="n"/>
      <c r="P3757" s="15" t="n"/>
      <c r="Q3757" s="15" t="n"/>
      <c r="R3757" s="25" t="n"/>
      <c r="S3757" s="26">
        <f>IF($A3757="","",AND(OR('Assignment Builder'!$B$5="",$B3757='Assignment Builder'!$B$5),OR('Assignment Builder'!$B$6="",ISNUMBER(SEARCH('Assignment Builder'!$B$6,$C3757))),OR('Assignment Builder'!$B$7="",'Assignment Builder'!$B$7=IFERROR(INDEX('Category Dictionary'!$C$5:$C$135,MATCH($L3757,'Category Dictionary'!$D$5:$D$135,0)),"")),OR('Assignment Builder'!$B$8="",$D3757='Assignment Builder'!$B$8),OR('Assignment Builder'!$B$9="",$F3757='Assignment Builder'!$B$9),OR('Assignment Builder'!$B$10="",$O3757='Assignment Builder'!$B$10),OR('Assignment Builder'!$B$11="",$H3757&gt;='Assignment Builder'!$B$11),OR('Assignment Builder'!$B$12="",N($Q3757)&lt;='Assignment Builder'!$B$12)))</f>
        <v/>
      </c>
      <c r="T3757" s="23" t="n"/>
    </row>
    <row r="3758">
      <c r="A3758" s="23" t="n"/>
      <c r="B3758" s="23" t="n"/>
      <c r="C3758" s="24" t="n"/>
      <c r="D3758" s="15" t="n"/>
      <c r="E3758" s="23" t="n"/>
      <c r="F3758" s="15" t="n"/>
      <c r="G3758" s="23" t="n"/>
      <c r="H3758" s="25" t="n"/>
      <c r="I3758" s="15" t="n"/>
      <c r="J3758" s="26">
        <f>IF($A3758="","",LEN($C3758)-LEN(SUBSTITUTE($C3758,",",""))+1)</f>
        <v/>
      </c>
      <c r="K3758" s="26">
        <f>IF($A3758="","",SUMPRODUCT(--ISNUMBER(SEARCH('Category Dictionary'!$D$5:$D$135&amp;"",$C3758)),--('Category Dictionary'!$D$5:$D$135&lt;&gt;"")))</f>
        <v/>
      </c>
      <c r="L3758" s="27">
        <f>IF($A3758="","",TRIM(IF(ISERROR(FIND(",",$C3758)),$C3758,LEFT($C3758,FIND(",",$C3758)-1))))</f>
        <v/>
      </c>
      <c r="M3758" s="28">
        <f>IF($H3758="","",DATE(YEAR($H3758),MONTH($H3758),1))</f>
        <v/>
      </c>
      <c r="N3758" s="26">
        <f>IF($H3758="","",TODAY()-$H3758)</f>
        <v/>
      </c>
      <c r="O3758" s="15" t="n"/>
      <c r="P3758" s="15" t="n"/>
      <c r="Q3758" s="15" t="n"/>
      <c r="R3758" s="25" t="n"/>
      <c r="S3758" s="26">
        <f>IF($A3758="","",AND(OR('Assignment Builder'!$B$5="",$B3758='Assignment Builder'!$B$5),OR('Assignment Builder'!$B$6="",ISNUMBER(SEARCH('Assignment Builder'!$B$6,$C3758))),OR('Assignment Builder'!$B$7="",'Assignment Builder'!$B$7=IFERROR(INDEX('Category Dictionary'!$C$5:$C$135,MATCH($L3758,'Category Dictionary'!$D$5:$D$135,0)),"")),OR('Assignment Builder'!$B$8="",$D3758='Assignment Builder'!$B$8),OR('Assignment Builder'!$B$9="",$F3758='Assignment Builder'!$B$9),OR('Assignment Builder'!$B$10="",$O3758='Assignment Builder'!$B$10),OR('Assignment Builder'!$B$11="",$H3758&gt;='Assignment Builder'!$B$11),OR('Assignment Builder'!$B$12="",N($Q3758)&lt;='Assignment Builder'!$B$12)))</f>
        <v/>
      </c>
      <c r="T3758" s="23" t="n"/>
    </row>
    <row r="3759">
      <c r="A3759" s="23" t="n"/>
      <c r="B3759" s="23" t="n"/>
      <c r="C3759" s="24" t="n"/>
      <c r="D3759" s="15" t="n"/>
      <c r="E3759" s="23" t="n"/>
      <c r="F3759" s="15" t="n"/>
      <c r="G3759" s="23" t="n"/>
      <c r="H3759" s="25" t="n"/>
      <c r="I3759" s="15" t="n"/>
      <c r="J3759" s="26">
        <f>IF($A3759="","",LEN($C3759)-LEN(SUBSTITUTE($C3759,",",""))+1)</f>
        <v/>
      </c>
      <c r="K3759" s="26">
        <f>IF($A3759="","",SUMPRODUCT(--ISNUMBER(SEARCH('Category Dictionary'!$D$5:$D$135&amp;"",$C3759)),--('Category Dictionary'!$D$5:$D$135&lt;&gt;"")))</f>
        <v/>
      </c>
      <c r="L3759" s="27">
        <f>IF($A3759="","",TRIM(IF(ISERROR(FIND(",",$C3759)),$C3759,LEFT($C3759,FIND(",",$C3759)-1))))</f>
        <v/>
      </c>
      <c r="M3759" s="28">
        <f>IF($H3759="","",DATE(YEAR($H3759),MONTH($H3759),1))</f>
        <v/>
      </c>
      <c r="N3759" s="26">
        <f>IF($H3759="","",TODAY()-$H3759)</f>
        <v/>
      </c>
      <c r="O3759" s="15" t="n"/>
      <c r="P3759" s="15" t="n"/>
      <c r="Q3759" s="15" t="n"/>
      <c r="R3759" s="25" t="n"/>
      <c r="S3759" s="26">
        <f>IF($A3759="","",AND(OR('Assignment Builder'!$B$5="",$B3759='Assignment Builder'!$B$5),OR('Assignment Builder'!$B$6="",ISNUMBER(SEARCH('Assignment Builder'!$B$6,$C3759))),OR('Assignment Builder'!$B$7="",'Assignment Builder'!$B$7=IFERROR(INDEX('Category Dictionary'!$C$5:$C$135,MATCH($L3759,'Category Dictionary'!$D$5:$D$135,0)),"")),OR('Assignment Builder'!$B$8="",$D3759='Assignment Builder'!$B$8),OR('Assignment Builder'!$B$9="",$F3759='Assignment Builder'!$B$9),OR('Assignment Builder'!$B$10="",$O3759='Assignment Builder'!$B$10),OR('Assignment Builder'!$B$11="",$H3759&gt;='Assignment Builder'!$B$11),OR('Assignment Builder'!$B$12="",N($Q3759)&lt;='Assignment Builder'!$B$12)))</f>
        <v/>
      </c>
      <c r="T3759" s="23" t="n"/>
    </row>
    <row r="3760">
      <c r="A3760" s="23" t="n"/>
      <c r="B3760" s="23" t="n"/>
      <c r="C3760" s="24" t="n"/>
      <c r="D3760" s="15" t="n"/>
      <c r="E3760" s="23" t="n"/>
      <c r="F3760" s="15" t="n"/>
      <c r="G3760" s="23" t="n"/>
      <c r="H3760" s="25" t="n"/>
      <c r="I3760" s="15" t="n"/>
      <c r="J3760" s="26">
        <f>IF($A3760="","",LEN($C3760)-LEN(SUBSTITUTE($C3760,",",""))+1)</f>
        <v/>
      </c>
      <c r="K3760" s="26">
        <f>IF($A3760="","",SUMPRODUCT(--ISNUMBER(SEARCH('Category Dictionary'!$D$5:$D$135&amp;"",$C3760)),--('Category Dictionary'!$D$5:$D$135&lt;&gt;"")))</f>
        <v/>
      </c>
      <c r="L3760" s="27">
        <f>IF($A3760="","",TRIM(IF(ISERROR(FIND(",",$C3760)),$C3760,LEFT($C3760,FIND(",",$C3760)-1))))</f>
        <v/>
      </c>
      <c r="M3760" s="28">
        <f>IF($H3760="","",DATE(YEAR($H3760),MONTH($H3760),1))</f>
        <v/>
      </c>
      <c r="N3760" s="26">
        <f>IF($H3760="","",TODAY()-$H3760)</f>
        <v/>
      </c>
      <c r="O3760" s="15" t="n"/>
      <c r="P3760" s="15" t="n"/>
      <c r="Q3760" s="15" t="n"/>
      <c r="R3760" s="25" t="n"/>
      <c r="S3760" s="26">
        <f>IF($A3760="","",AND(OR('Assignment Builder'!$B$5="",$B3760='Assignment Builder'!$B$5),OR('Assignment Builder'!$B$6="",ISNUMBER(SEARCH('Assignment Builder'!$B$6,$C3760))),OR('Assignment Builder'!$B$7="",'Assignment Builder'!$B$7=IFERROR(INDEX('Category Dictionary'!$C$5:$C$135,MATCH($L3760,'Category Dictionary'!$D$5:$D$135,0)),"")),OR('Assignment Builder'!$B$8="",$D3760='Assignment Builder'!$B$8),OR('Assignment Builder'!$B$9="",$F3760='Assignment Builder'!$B$9),OR('Assignment Builder'!$B$10="",$O3760='Assignment Builder'!$B$10),OR('Assignment Builder'!$B$11="",$H3760&gt;='Assignment Builder'!$B$11),OR('Assignment Builder'!$B$12="",N($Q3760)&lt;='Assignment Builder'!$B$12)))</f>
        <v/>
      </c>
      <c r="T3760" s="23" t="n"/>
    </row>
    <row r="3761">
      <c r="A3761" s="23" t="n"/>
      <c r="B3761" s="23" t="n"/>
      <c r="C3761" s="24" t="n"/>
      <c r="D3761" s="15" t="n"/>
      <c r="E3761" s="23" t="n"/>
      <c r="F3761" s="15" t="n"/>
      <c r="G3761" s="23" t="n"/>
      <c r="H3761" s="25" t="n"/>
      <c r="I3761" s="15" t="n"/>
      <c r="J3761" s="26">
        <f>IF($A3761="","",LEN($C3761)-LEN(SUBSTITUTE($C3761,",",""))+1)</f>
        <v/>
      </c>
      <c r="K3761" s="26">
        <f>IF($A3761="","",SUMPRODUCT(--ISNUMBER(SEARCH('Category Dictionary'!$D$5:$D$135&amp;"",$C3761)),--('Category Dictionary'!$D$5:$D$135&lt;&gt;"")))</f>
        <v/>
      </c>
      <c r="L3761" s="27">
        <f>IF($A3761="","",TRIM(IF(ISERROR(FIND(",",$C3761)),$C3761,LEFT($C3761,FIND(",",$C3761)-1))))</f>
        <v/>
      </c>
      <c r="M3761" s="28">
        <f>IF($H3761="","",DATE(YEAR($H3761),MONTH($H3761),1))</f>
        <v/>
      </c>
      <c r="N3761" s="26">
        <f>IF($H3761="","",TODAY()-$H3761)</f>
        <v/>
      </c>
      <c r="O3761" s="15" t="n"/>
      <c r="P3761" s="15" t="n"/>
      <c r="Q3761" s="15" t="n"/>
      <c r="R3761" s="25" t="n"/>
      <c r="S3761" s="26">
        <f>IF($A3761="","",AND(OR('Assignment Builder'!$B$5="",$B3761='Assignment Builder'!$B$5),OR('Assignment Builder'!$B$6="",ISNUMBER(SEARCH('Assignment Builder'!$B$6,$C3761))),OR('Assignment Builder'!$B$7="",'Assignment Builder'!$B$7=IFERROR(INDEX('Category Dictionary'!$C$5:$C$135,MATCH($L3761,'Category Dictionary'!$D$5:$D$135,0)),"")),OR('Assignment Builder'!$B$8="",$D3761='Assignment Builder'!$B$8),OR('Assignment Builder'!$B$9="",$F3761='Assignment Builder'!$B$9),OR('Assignment Builder'!$B$10="",$O3761='Assignment Builder'!$B$10),OR('Assignment Builder'!$B$11="",$H3761&gt;='Assignment Builder'!$B$11),OR('Assignment Builder'!$B$12="",N($Q3761)&lt;='Assignment Builder'!$B$12)))</f>
        <v/>
      </c>
      <c r="T3761" s="23" t="n"/>
    </row>
    <row r="3762">
      <c r="A3762" s="23" t="n"/>
      <c r="B3762" s="23" t="n"/>
      <c r="C3762" s="24" t="n"/>
      <c r="D3762" s="15" t="n"/>
      <c r="E3762" s="23" t="n"/>
      <c r="F3762" s="15" t="n"/>
      <c r="G3762" s="23" t="n"/>
      <c r="H3762" s="25" t="n"/>
      <c r="I3762" s="15" t="n"/>
      <c r="J3762" s="26">
        <f>IF($A3762="","",LEN($C3762)-LEN(SUBSTITUTE($C3762,",",""))+1)</f>
        <v/>
      </c>
      <c r="K3762" s="26">
        <f>IF($A3762="","",SUMPRODUCT(--ISNUMBER(SEARCH('Category Dictionary'!$D$5:$D$135&amp;"",$C3762)),--('Category Dictionary'!$D$5:$D$135&lt;&gt;"")))</f>
        <v/>
      </c>
      <c r="L3762" s="27">
        <f>IF($A3762="","",TRIM(IF(ISERROR(FIND(",",$C3762)),$C3762,LEFT($C3762,FIND(",",$C3762)-1))))</f>
        <v/>
      </c>
      <c r="M3762" s="28">
        <f>IF($H3762="","",DATE(YEAR($H3762),MONTH($H3762),1))</f>
        <v/>
      </c>
      <c r="N3762" s="26">
        <f>IF($H3762="","",TODAY()-$H3762)</f>
        <v/>
      </c>
      <c r="O3762" s="15" t="n"/>
      <c r="P3762" s="15" t="n"/>
      <c r="Q3762" s="15" t="n"/>
      <c r="R3762" s="25" t="n"/>
      <c r="S3762" s="26">
        <f>IF($A3762="","",AND(OR('Assignment Builder'!$B$5="",$B3762='Assignment Builder'!$B$5),OR('Assignment Builder'!$B$6="",ISNUMBER(SEARCH('Assignment Builder'!$B$6,$C3762))),OR('Assignment Builder'!$B$7="",'Assignment Builder'!$B$7=IFERROR(INDEX('Category Dictionary'!$C$5:$C$135,MATCH($L3762,'Category Dictionary'!$D$5:$D$135,0)),"")),OR('Assignment Builder'!$B$8="",$D3762='Assignment Builder'!$B$8),OR('Assignment Builder'!$B$9="",$F3762='Assignment Builder'!$B$9),OR('Assignment Builder'!$B$10="",$O3762='Assignment Builder'!$B$10),OR('Assignment Builder'!$B$11="",$H3762&gt;='Assignment Builder'!$B$11),OR('Assignment Builder'!$B$12="",N($Q3762)&lt;='Assignment Builder'!$B$12)))</f>
        <v/>
      </c>
      <c r="T3762" s="23" t="n"/>
    </row>
    <row r="3763">
      <c r="A3763" s="23" t="n"/>
      <c r="B3763" s="23" t="n"/>
      <c r="C3763" s="24" t="n"/>
      <c r="D3763" s="15" t="n"/>
      <c r="E3763" s="23" t="n"/>
      <c r="F3763" s="15" t="n"/>
      <c r="G3763" s="23" t="n"/>
      <c r="H3763" s="25" t="n"/>
      <c r="I3763" s="15" t="n"/>
      <c r="J3763" s="26">
        <f>IF($A3763="","",LEN($C3763)-LEN(SUBSTITUTE($C3763,",",""))+1)</f>
        <v/>
      </c>
      <c r="K3763" s="26">
        <f>IF($A3763="","",SUMPRODUCT(--ISNUMBER(SEARCH('Category Dictionary'!$D$5:$D$135&amp;"",$C3763)),--('Category Dictionary'!$D$5:$D$135&lt;&gt;"")))</f>
        <v/>
      </c>
      <c r="L3763" s="27">
        <f>IF($A3763="","",TRIM(IF(ISERROR(FIND(",",$C3763)),$C3763,LEFT($C3763,FIND(",",$C3763)-1))))</f>
        <v/>
      </c>
      <c r="M3763" s="28">
        <f>IF($H3763="","",DATE(YEAR($H3763),MONTH($H3763),1))</f>
        <v/>
      </c>
      <c r="N3763" s="26">
        <f>IF($H3763="","",TODAY()-$H3763)</f>
        <v/>
      </c>
      <c r="O3763" s="15" t="n"/>
      <c r="P3763" s="15" t="n"/>
      <c r="Q3763" s="15" t="n"/>
      <c r="R3763" s="25" t="n"/>
      <c r="S3763" s="26">
        <f>IF($A3763="","",AND(OR('Assignment Builder'!$B$5="",$B3763='Assignment Builder'!$B$5),OR('Assignment Builder'!$B$6="",ISNUMBER(SEARCH('Assignment Builder'!$B$6,$C3763))),OR('Assignment Builder'!$B$7="",'Assignment Builder'!$B$7=IFERROR(INDEX('Category Dictionary'!$C$5:$C$135,MATCH($L3763,'Category Dictionary'!$D$5:$D$135,0)),"")),OR('Assignment Builder'!$B$8="",$D3763='Assignment Builder'!$B$8),OR('Assignment Builder'!$B$9="",$F3763='Assignment Builder'!$B$9),OR('Assignment Builder'!$B$10="",$O3763='Assignment Builder'!$B$10),OR('Assignment Builder'!$B$11="",$H3763&gt;='Assignment Builder'!$B$11),OR('Assignment Builder'!$B$12="",N($Q3763)&lt;='Assignment Builder'!$B$12)))</f>
        <v/>
      </c>
      <c r="T3763" s="23" t="n"/>
    </row>
    <row r="3764">
      <c r="A3764" s="23" t="n"/>
      <c r="B3764" s="23" t="n"/>
      <c r="C3764" s="24" t="n"/>
      <c r="D3764" s="15" t="n"/>
      <c r="E3764" s="23" t="n"/>
      <c r="F3764" s="15" t="n"/>
      <c r="G3764" s="23" t="n"/>
      <c r="H3764" s="25" t="n"/>
      <c r="I3764" s="15" t="n"/>
      <c r="J3764" s="26">
        <f>IF($A3764="","",LEN($C3764)-LEN(SUBSTITUTE($C3764,",",""))+1)</f>
        <v/>
      </c>
      <c r="K3764" s="26">
        <f>IF($A3764="","",SUMPRODUCT(--ISNUMBER(SEARCH('Category Dictionary'!$D$5:$D$135&amp;"",$C3764)),--('Category Dictionary'!$D$5:$D$135&lt;&gt;"")))</f>
        <v/>
      </c>
      <c r="L3764" s="27">
        <f>IF($A3764="","",TRIM(IF(ISERROR(FIND(",",$C3764)),$C3764,LEFT($C3764,FIND(",",$C3764)-1))))</f>
        <v/>
      </c>
      <c r="M3764" s="28">
        <f>IF($H3764="","",DATE(YEAR($H3764),MONTH($H3764),1))</f>
        <v/>
      </c>
      <c r="N3764" s="26">
        <f>IF($H3764="","",TODAY()-$H3764)</f>
        <v/>
      </c>
      <c r="O3764" s="15" t="n"/>
      <c r="P3764" s="15" t="n"/>
      <c r="Q3764" s="15" t="n"/>
      <c r="R3764" s="25" t="n"/>
      <c r="S3764" s="26">
        <f>IF($A3764="","",AND(OR('Assignment Builder'!$B$5="",$B3764='Assignment Builder'!$B$5),OR('Assignment Builder'!$B$6="",ISNUMBER(SEARCH('Assignment Builder'!$B$6,$C3764))),OR('Assignment Builder'!$B$7="",'Assignment Builder'!$B$7=IFERROR(INDEX('Category Dictionary'!$C$5:$C$135,MATCH($L3764,'Category Dictionary'!$D$5:$D$135,0)),"")),OR('Assignment Builder'!$B$8="",$D3764='Assignment Builder'!$B$8),OR('Assignment Builder'!$B$9="",$F3764='Assignment Builder'!$B$9),OR('Assignment Builder'!$B$10="",$O3764='Assignment Builder'!$B$10),OR('Assignment Builder'!$B$11="",$H3764&gt;='Assignment Builder'!$B$11),OR('Assignment Builder'!$B$12="",N($Q3764)&lt;='Assignment Builder'!$B$12)))</f>
        <v/>
      </c>
      <c r="T3764" s="23" t="n"/>
    </row>
    <row r="3765">
      <c r="A3765" s="23" t="n"/>
      <c r="B3765" s="23" t="n"/>
      <c r="C3765" s="24" t="n"/>
      <c r="D3765" s="15" t="n"/>
      <c r="E3765" s="23" t="n"/>
      <c r="F3765" s="15" t="n"/>
      <c r="G3765" s="23" t="n"/>
      <c r="H3765" s="25" t="n"/>
      <c r="I3765" s="15" t="n"/>
      <c r="J3765" s="26">
        <f>IF($A3765="","",LEN($C3765)-LEN(SUBSTITUTE($C3765,",",""))+1)</f>
        <v/>
      </c>
      <c r="K3765" s="26">
        <f>IF($A3765="","",SUMPRODUCT(--ISNUMBER(SEARCH('Category Dictionary'!$D$5:$D$135&amp;"",$C3765)),--('Category Dictionary'!$D$5:$D$135&lt;&gt;"")))</f>
        <v/>
      </c>
      <c r="L3765" s="27">
        <f>IF($A3765="","",TRIM(IF(ISERROR(FIND(",",$C3765)),$C3765,LEFT($C3765,FIND(",",$C3765)-1))))</f>
        <v/>
      </c>
      <c r="M3765" s="28">
        <f>IF($H3765="","",DATE(YEAR($H3765),MONTH($H3765),1))</f>
        <v/>
      </c>
      <c r="N3765" s="26">
        <f>IF($H3765="","",TODAY()-$H3765)</f>
        <v/>
      </c>
      <c r="O3765" s="15" t="n"/>
      <c r="P3765" s="15" t="n"/>
      <c r="Q3765" s="15" t="n"/>
      <c r="R3765" s="25" t="n"/>
      <c r="S3765" s="26">
        <f>IF($A3765="","",AND(OR('Assignment Builder'!$B$5="",$B3765='Assignment Builder'!$B$5),OR('Assignment Builder'!$B$6="",ISNUMBER(SEARCH('Assignment Builder'!$B$6,$C3765))),OR('Assignment Builder'!$B$7="",'Assignment Builder'!$B$7=IFERROR(INDEX('Category Dictionary'!$C$5:$C$135,MATCH($L3765,'Category Dictionary'!$D$5:$D$135,0)),"")),OR('Assignment Builder'!$B$8="",$D3765='Assignment Builder'!$B$8),OR('Assignment Builder'!$B$9="",$F3765='Assignment Builder'!$B$9),OR('Assignment Builder'!$B$10="",$O3765='Assignment Builder'!$B$10),OR('Assignment Builder'!$B$11="",$H3765&gt;='Assignment Builder'!$B$11),OR('Assignment Builder'!$B$12="",N($Q3765)&lt;='Assignment Builder'!$B$12)))</f>
        <v/>
      </c>
      <c r="T3765" s="23" t="n"/>
    </row>
    <row r="3766">
      <c r="A3766" s="23" t="n"/>
      <c r="B3766" s="23" t="n"/>
      <c r="C3766" s="24" t="n"/>
      <c r="D3766" s="15" t="n"/>
      <c r="E3766" s="23" t="n"/>
      <c r="F3766" s="15" t="n"/>
      <c r="G3766" s="23" t="n"/>
      <c r="H3766" s="25" t="n"/>
      <c r="I3766" s="15" t="n"/>
      <c r="J3766" s="26">
        <f>IF($A3766="","",LEN($C3766)-LEN(SUBSTITUTE($C3766,",",""))+1)</f>
        <v/>
      </c>
      <c r="K3766" s="26">
        <f>IF($A3766="","",SUMPRODUCT(--ISNUMBER(SEARCH('Category Dictionary'!$D$5:$D$135&amp;"",$C3766)),--('Category Dictionary'!$D$5:$D$135&lt;&gt;"")))</f>
        <v/>
      </c>
      <c r="L3766" s="27">
        <f>IF($A3766="","",TRIM(IF(ISERROR(FIND(",",$C3766)),$C3766,LEFT($C3766,FIND(",",$C3766)-1))))</f>
        <v/>
      </c>
      <c r="M3766" s="28">
        <f>IF($H3766="","",DATE(YEAR($H3766),MONTH($H3766),1))</f>
        <v/>
      </c>
      <c r="N3766" s="26">
        <f>IF($H3766="","",TODAY()-$H3766)</f>
        <v/>
      </c>
      <c r="O3766" s="15" t="n"/>
      <c r="P3766" s="15" t="n"/>
      <c r="Q3766" s="15" t="n"/>
      <c r="R3766" s="25" t="n"/>
      <c r="S3766" s="26">
        <f>IF($A3766="","",AND(OR('Assignment Builder'!$B$5="",$B3766='Assignment Builder'!$B$5),OR('Assignment Builder'!$B$6="",ISNUMBER(SEARCH('Assignment Builder'!$B$6,$C3766))),OR('Assignment Builder'!$B$7="",'Assignment Builder'!$B$7=IFERROR(INDEX('Category Dictionary'!$C$5:$C$135,MATCH($L3766,'Category Dictionary'!$D$5:$D$135,0)),"")),OR('Assignment Builder'!$B$8="",$D3766='Assignment Builder'!$B$8),OR('Assignment Builder'!$B$9="",$F3766='Assignment Builder'!$B$9),OR('Assignment Builder'!$B$10="",$O3766='Assignment Builder'!$B$10),OR('Assignment Builder'!$B$11="",$H3766&gt;='Assignment Builder'!$B$11),OR('Assignment Builder'!$B$12="",N($Q3766)&lt;='Assignment Builder'!$B$12)))</f>
        <v/>
      </c>
      <c r="T3766" s="23" t="n"/>
    </row>
    <row r="3767">
      <c r="A3767" s="23" t="n"/>
      <c r="B3767" s="23" t="n"/>
      <c r="C3767" s="24" t="n"/>
      <c r="D3767" s="15" t="n"/>
      <c r="E3767" s="23" t="n"/>
      <c r="F3767" s="15" t="n"/>
      <c r="G3767" s="23" t="n"/>
      <c r="H3767" s="25" t="n"/>
      <c r="I3767" s="15" t="n"/>
      <c r="J3767" s="26">
        <f>IF($A3767="","",LEN($C3767)-LEN(SUBSTITUTE($C3767,",",""))+1)</f>
        <v/>
      </c>
      <c r="K3767" s="26">
        <f>IF($A3767="","",SUMPRODUCT(--ISNUMBER(SEARCH('Category Dictionary'!$D$5:$D$135&amp;"",$C3767)),--('Category Dictionary'!$D$5:$D$135&lt;&gt;"")))</f>
        <v/>
      </c>
      <c r="L3767" s="27">
        <f>IF($A3767="","",TRIM(IF(ISERROR(FIND(",",$C3767)),$C3767,LEFT($C3767,FIND(",",$C3767)-1))))</f>
        <v/>
      </c>
      <c r="M3767" s="28">
        <f>IF($H3767="","",DATE(YEAR($H3767),MONTH($H3767),1))</f>
        <v/>
      </c>
      <c r="N3767" s="26">
        <f>IF($H3767="","",TODAY()-$H3767)</f>
        <v/>
      </c>
      <c r="O3767" s="15" t="n"/>
      <c r="P3767" s="15" t="n"/>
      <c r="Q3767" s="15" t="n"/>
      <c r="R3767" s="25" t="n"/>
      <c r="S3767" s="26">
        <f>IF($A3767="","",AND(OR('Assignment Builder'!$B$5="",$B3767='Assignment Builder'!$B$5),OR('Assignment Builder'!$B$6="",ISNUMBER(SEARCH('Assignment Builder'!$B$6,$C3767))),OR('Assignment Builder'!$B$7="",'Assignment Builder'!$B$7=IFERROR(INDEX('Category Dictionary'!$C$5:$C$135,MATCH($L3767,'Category Dictionary'!$D$5:$D$135,0)),"")),OR('Assignment Builder'!$B$8="",$D3767='Assignment Builder'!$B$8),OR('Assignment Builder'!$B$9="",$F3767='Assignment Builder'!$B$9),OR('Assignment Builder'!$B$10="",$O3767='Assignment Builder'!$B$10),OR('Assignment Builder'!$B$11="",$H3767&gt;='Assignment Builder'!$B$11),OR('Assignment Builder'!$B$12="",N($Q3767)&lt;='Assignment Builder'!$B$12)))</f>
        <v/>
      </c>
      <c r="T3767" s="23" t="n"/>
    </row>
    <row r="3768">
      <c r="A3768" s="23" t="n"/>
      <c r="B3768" s="23" t="n"/>
      <c r="C3768" s="24" t="n"/>
      <c r="D3768" s="15" t="n"/>
      <c r="E3768" s="23" t="n"/>
      <c r="F3768" s="15" t="n"/>
      <c r="G3768" s="23" t="n"/>
      <c r="H3768" s="25" t="n"/>
      <c r="I3768" s="15" t="n"/>
      <c r="J3768" s="26">
        <f>IF($A3768="","",LEN($C3768)-LEN(SUBSTITUTE($C3768,",",""))+1)</f>
        <v/>
      </c>
      <c r="K3768" s="26">
        <f>IF($A3768="","",SUMPRODUCT(--ISNUMBER(SEARCH('Category Dictionary'!$D$5:$D$135&amp;"",$C3768)),--('Category Dictionary'!$D$5:$D$135&lt;&gt;"")))</f>
        <v/>
      </c>
      <c r="L3768" s="27">
        <f>IF($A3768="","",TRIM(IF(ISERROR(FIND(",",$C3768)),$C3768,LEFT($C3768,FIND(",",$C3768)-1))))</f>
        <v/>
      </c>
      <c r="M3768" s="28">
        <f>IF($H3768="","",DATE(YEAR($H3768),MONTH($H3768),1))</f>
        <v/>
      </c>
      <c r="N3768" s="26">
        <f>IF($H3768="","",TODAY()-$H3768)</f>
        <v/>
      </c>
      <c r="O3768" s="15" t="n"/>
      <c r="P3768" s="15" t="n"/>
      <c r="Q3768" s="15" t="n"/>
      <c r="R3768" s="25" t="n"/>
      <c r="S3768" s="26">
        <f>IF($A3768="","",AND(OR('Assignment Builder'!$B$5="",$B3768='Assignment Builder'!$B$5),OR('Assignment Builder'!$B$6="",ISNUMBER(SEARCH('Assignment Builder'!$B$6,$C3768))),OR('Assignment Builder'!$B$7="",'Assignment Builder'!$B$7=IFERROR(INDEX('Category Dictionary'!$C$5:$C$135,MATCH($L3768,'Category Dictionary'!$D$5:$D$135,0)),"")),OR('Assignment Builder'!$B$8="",$D3768='Assignment Builder'!$B$8),OR('Assignment Builder'!$B$9="",$F3768='Assignment Builder'!$B$9),OR('Assignment Builder'!$B$10="",$O3768='Assignment Builder'!$B$10),OR('Assignment Builder'!$B$11="",$H3768&gt;='Assignment Builder'!$B$11),OR('Assignment Builder'!$B$12="",N($Q3768)&lt;='Assignment Builder'!$B$12)))</f>
        <v/>
      </c>
      <c r="T3768" s="23" t="n"/>
    </row>
    <row r="3769">
      <c r="A3769" s="23" t="n"/>
      <c r="B3769" s="23" t="n"/>
      <c r="C3769" s="24" t="n"/>
      <c r="D3769" s="15" t="n"/>
      <c r="E3769" s="23" t="n"/>
      <c r="F3769" s="15" t="n"/>
      <c r="G3769" s="23" t="n"/>
      <c r="H3769" s="25" t="n"/>
      <c r="I3769" s="15" t="n"/>
      <c r="J3769" s="26">
        <f>IF($A3769="","",LEN($C3769)-LEN(SUBSTITUTE($C3769,",",""))+1)</f>
        <v/>
      </c>
      <c r="K3769" s="26">
        <f>IF($A3769="","",SUMPRODUCT(--ISNUMBER(SEARCH('Category Dictionary'!$D$5:$D$135&amp;"",$C3769)),--('Category Dictionary'!$D$5:$D$135&lt;&gt;"")))</f>
        <v/>
      </c>
      <c r="L3769" s="27">
        <f>IF($A3769="","",TRIM(IF(ISERROR(FIND(",",$C3769)),$C3769,LEFT($C3769,FIND(",",$C3769)-1))))</f>
        <v/>
      </c>
      <c r="M3769" s="28">
        <f>IF($H3769="","",DATE(YEAR($H3769),MONTH($H3769),1))</f>
        <v/>
      </c>
      <c r="N3769" s="26">
        <f>IF($H3769="","",TODAY()-$H3769)</f>
        <v/>
      </c>
      <c r="O3769" s="15" t="n"/>
      <c r="P3769" s="15" t="n"/>
      <c r="Q3769" s="15" t="n"/>
      <c r="R3769" s="25" t="n"/>
      <c r="S3769" s="26">
        <f>IF($A3769="","",AND(OR('Assignment Builder'!$B$5="",$B3769='Assignment Builder'!$B$5),OR('Assignment Builder'!$B$6="",ISNUMBER(SEARCH('Assignment Builder'!$B$6,$C3769))),OR('Assignment Builder'!$B$7="",'Assignment Builder'!$B$7=IFERROR(INDEX('Category Dictionary'!$C$5:$C$135,MATCH($L3769,'Category Dictionary'!$D$5:$D$135,0)),"")),OR('Assignment Builder'!$B$8="",$D3769='Assignment Builder'!$B$8),OR('Assignment Builder'!$B$9="",$F3769='Assignment Builder'!$B$9),OR('Assignment Builder'!$B$10="",$O3769='Assignment Builder'!$B$10),OR('Assignment Builder'!$B$11="",$H3769&gt;='Assignment Builder'!$B$11),OR('Assignment Builder'!$B$12="",N($Q3769)&lt;='Assignment Builder'!$B$12)))</f>
        <v/>
      </c>
      <c r="T3769" s="23" t="n"/>
    </row>
    <row r="3770">
      <c r="A3770" s="23" t="n"/>
      <c r="B3770" s="23" t="n"/>
      <c r="C3770" s="24" t="n"/>
      <c r="D3770" s="15" t="n"/>
      <c r="E3770" s="23" t="n"/>
      <c r="F3770" s="15" t="n"/>
      <c r="G3770" s="23" t="n"/>
      <c r="H3770" s="25" t="n"/>
      <c r="I3770" s="15" t="n"/>
      <c r="J3770" s="26">
        <f>IF($A3770="","",LEN($C3770)-LEN(SUBSTITUTE($C3770,",",""))+1)</f>
        <v/>
      </c>
      <c r="K3770" s="26">
        <f>IF($A3770="","",SUMPRODUCT(--ISNUMBER(SEARCH('Category Dictionary'!$D$5:$D$135&amp;"",$C3770)),--('Category Dictionary'!$D$5:$D$135&lt;&gt;"")))</f>
        <v/>
      </c>
      <c r="L3770" s="27">
        <f>IF($A3770="","",TRIM(IF(ISERROR(FIND(",",$C3770)),$C3770,LEFT($C3770,FIND(",",$C3770)-1))))</f>
        <v/>
      </c>
      <c r="M3770" s="28">
        <f>IF($H3770="","",DATE(YEAR($H3770),MONTH($H3770),1))</f>
        <v/>
      </c>
      <c r="N3770" s="26">
        <f>IF($H3770="","",TODAY()-$H3770)</f>
        <v/>
      </c>
      <c r="O3770" s="15" t="n"/>
      <c r="P3770" s="15" t="n"/>
      <c r="Q3770" s="15" t="n"/>
      <c r="R3770" s="25" t="n"/>
      <c r="S3770" s="26">
        <f>IF($A3770="","",AND(OR('Assignment Builder'!$B$5="",$B3770='Assignment Builder'!$B$5),OR('Assignment Builder'!$B$6="",ISNUMBER(SEARCH('Assignment Builder'!$B$6,$C3770))),OR('Assignment Builder'!$B$7="",'Assignment Builder'!$B$7=IFERROR(INDEX('Category Dictionary'!$C$5:$C$135,MATCH($L3770,'Category Dictionary'!$D$5:$D$135,0)),"")),OR('Assignment Builder'!$B$8="",$D3770='Assignment Builder'!$B$8),OR('Assignment Builder'!$B$9="",$F3770='Assignment Builder'!$B$9),OR('Assignment Builder'!$B$10="",$O3770='Assignment Builder'!$B$10),OR('Assignment Builder'!$B$11="",$H3770&gt;='Assignment Builder'!$B$11),OR('Assignment Builder'!$B$12="",N($Q3770)&lt;='Assignment Builder'!$B$12)))</f>
        <v/>
      </c>
      <c r="T3770" s="23" t="n"/>
    </row>
    <row r="3771">
      <c r="A3771" s="23" t="n"/>
      <c r="B3771" s="23" t="n"/>
      <c r="C3771" s="24" t="n"/>
      <c r="D3771" s="15" t="n"/>
      <c r="E3771" s="23" t="n"/>
      <c r="F3771" s="15" t="n"/>
      <c r="G3771" s="23" t="n"/>
      <c r="H3771" s="25" t="n"/>
      <c r="I3771" s="15" t="n"/>
      <c r="J3771" s="26">
        <f>IF($A3771="","",LEN($C3771)-LEN(SUBSTITUTE($C3771,",",""))+1)</f>
        <v/>
      </c>
      <c r="K3771" s="26">
        <f>IF($A3771="","",SUMPRODUCT(--ISNUMBER(SEARCH('Category Dictionary'!$D$5:$D$135&amp;"",$C3771)),--('Category Dictionary'!$D$5:$D$135&lt;&gt;"")))</f>
        <v/>
      </c>
      <c r="L3771" s="27">
        <f>IF($A3771="","",TRIM(IF(ISERROR(FIND(",",$C3771)),$C3771,LEFT($C3771,FIND(",",$C3771)-1))))</f>
        <v/>
      </c>
      <c r="M3771" s="28">
        <f>IF($H3771="","",DATE(YEAR($H3771),MONTH($H3771),1))</f>
        <v/>
      </c>
      <c r="N3771" s="26">
        <f>IF($H3771="","",TODAY()-$H3771)</f>
        <v/>
      </c>
      <c r="O3771" s="15" t="n"/>
      <c r="P3771" s="15" t="n"/>
      <c r="Q3771" s="15" t="n"/>
      <c r="R3771" s="25" t="n"/>
      <c r="S3771" s="26">
        <f>IF($A3771="","",AND(OR('Assignment Builder'!$B$5="",$B3771='Assignment Builder'!$B$5),OR('Assignment Builder'!$B$6="",ISNUMBER(SEARCH('Assignment Builder'!$B$6,$C3771))),OR('Assignment Builder'!$B$7="",'Assignment Builder'!$B$7=IFERROR(INDEX('Category Dictionary'!$C$5:$C$135,MATCH($L3771,'Category Dictionary'!$D$5:$D$135,0)),"")),OR('Assignment Builder'!$B$8="",$D3771='Assignment Builder'!$B$8),OR('Assignment Builder'!$B$9="",$F3771='Assignment Builder'!$B$9),OR('Assignment Builder'!$B$10="",$O3771='Assignment Builder'!$B$10),OR('Assignment Builder'!$B$11="",$H3771&gt;='Assignment Builder'!$B$11),OR('Assignment Builder'!$B$12="",N($Q3771)&lt;='Assignment Builder'!$B$12)))</f>
        <v/>
      </c>
      <c r="T3771" s="23" t="n"/>
    </row>
    <row r="3772">
      <c r="A3772" s="23" t="n"/>
      <c r="B3772" s="23" t="n"/>
      <c r="C3772" s="24" t="n"/>
      <c r="D3772" s="15" t="n"/>
      <c r="E3772" s="23" t="n"/>
      <c r="F3772" s="15" t="n"/>
      <c r="G3772" s="23" t="n"/>
      <c r="H3772" s="25" t="n"/>
      <c r="I3772" s="15" t="n"/>
      <c r="J3772" s="26">
        <f>IF($A3772="","",LEN($C3772)-LEN(SUBSTITUTE($C3772,",",""))+1)</f>
        <v/>
      </c>
      <c r="K3772" s="26">
        <f>IF($A3772="","",SUMPRODUCT(--ISNUMBER(SEARCH('Category Dictionary'!$D$5:$D$135&amp;"",$C3772)),--('Category Dictionary'!$D$5:$D$135&lt;&gt;"")))</f>
        <v/>
      </c>
      <c r="L3772" s="27">
        <f>IF($A3772="","",TRIM(IF(ISERROR(FIND(",",$C3772)),$C3772,LEFT($C3772,FIND(",",$C3772)-1))))</f>
        <v/>
      </c>
      <c r="M3772" s="28">
        <f>IF($H3772="","",DATE(YEAR($H3772),MONTH($H3772),1))</f>
        <v/>
      </c>
      <c r="N3772" s="26">
        <f>IF($H3772="","",TODAY()-$H3772)</f>
        <v/>
      </c>
      <c r="O3772" s="15" t="n"/>
      <c r="P3772" s="15" t="n"/>
      <c r="Q3772" s="15" t="n"/>
      <c r="R3772" s="25" t="n"/>
      <c r="S3772" s="26">
        <f>IF($A3772="","",AND(OR('Assignment Builder'!$B$5="",$B3772='Assignment Builder'!$B$5),OR('Assignment Builder'!$B$6="",ISNUMBER(SEARCH('Assignment Builder'!$B$6,$C3772))),OR('Assignment Builder'!$B$7="",'Assignment Builder'!$B$7=IFERROR(INDEX('Category Dictionary'!$C$5:$C$135,MATCH($L3772,'Category Dictionary'!$D$5:$D$135,0)),"")),OR('Assignment Builder'!$B$8="",$D3772='Assignment Builder'!$B$8),OR('Assignment Builder'!$B$9="",$F3772='Assignment Builder'!$B$9),OR('Assignment Builder'!$B$10="",$O3772='Assignment Builder'!$B$10),OR('Assignment Builder'!$B$11="",$H3772&gt;='Assignment Builder'!$B$11),OR('Assignment Builder'!$B$12="",N($Q3772)&lt;='Assignment Builder'!$B$12)))</f>
        <v/>
      </c>
      <c r="T3772" s="23" t="n"/>
    </row>
    <row r="3773">
      <c r="A3773" s="23" t="n"/>
      <c r="B3773" s="23" t="n"/>
      <c r="C3773" s="24" t="n"/>
      <c r="D3773" s="15" t="n"/>
      <c r="E3773" s="23" t="n"/>
      <c r="F3773" s="15" t="n"/>
      <c r="G3773" s="23" t="n"/>
      <c r="H3773" s="25" t="n"/>
      <c r="I3773" s="15" t="n"/>
      <c r="J3773" s="26">
        <f>IF($A3773="","",LEN($C3773)-LEN(SUBSTITUTE($C3773,",",""))+1)</f>
        <v/>
      </c>
      <c r="K3773" s="26">
        <f>IF($A3773="","",SUMPRODUCT(--ISNUMBER(SEARCH('Category Dictionary'!$D$5:$D$135&amp;"",$C3773)),--('Category Dictionary'!$D$5:$D$135&lt;&gt;"")))</f>
        <v/>
      </c>
      <c r="L3773" s="27">
        <f>IF($A3773="","",TRIM(IF(ISERROR(FIND(",",$C3773)),$C3773,LEFT($C3773,FIND(",",$C3773)-1))))</f>
        <v/>
      </c>
      <c r="M3773" s="28">
        <f>IF($H3773="","",DATE(YEAR($H3773),MONTH($H3773),1))</f>
        <v/>
      </c>
      <c r="N3773" s="26">
        <f>IF($H3773="","",TODAY()-$H3773)</f>
        <v/>
      </c>
      <c r="O3773" s="15" t="n"/>
      <c r="P3773" s="15" t="n"/>
      <c r="Q3773" s="15" t="n"/>
      <c r="R3773" s="25" t="n"/>
      <c r="S3773" s="26">
        <f>IF($A3773="","",AND(OR('Assignment Builder'!$B$5="",$B3773='Assignment Builder'!$B$5),OR('Assignment Builder'!$B$6="",ISNUMBER(SEARCH('Assignment Builder'!$B$6,$C3773))),OR('Assignment Builder'!$B$7="",'Assignment Builder'!$B$7=IFERROR(INDEX('Category Dictionary'!$C$5:$C$135,MATCH($L3773,'Category Dictionary'!$D$5:$D$135,0)),"")),OR('Assignment Builder'!$B$8="",$D3773='Assignment Builder'!$B$8),OR('Assignment Builder'!$B$9="",$F3773='Assignment Builder'!$B$9),OR('Assignment Builder'!$B$10="",$O3773='Assignment Builder'!$B$10),OR('Assignment Builder'!$B$11="",$H3773&gt;='Assignment Builder'!$B$11),OR('Assignment Builder'!$B$12="",N($Q3773)&lt;='Assignment Builder'!$B$12)))</f>
        <v/>
      </c>
      <c r="T3773" s="23" t="n"/>
    </row>
    <row r="3774">
      <c r="A3774" s="23" t="n"/>
      <c r="B3774" s="23" t="n"/>
      <c r="C3774" s="24" t="n"/>
      <c r="D3774" s="15" t="n"/>
      <c r="E3774" s="23" t="n"/>
      <c r="F3774" s="15" t="n"/>
      <c r="G3774" s="23" t="n"/>
      <c r="H3774" s="25" t="n"/>
      <c r="I3774" s="15" t="n"/>
      <c r="J3774" s="26">
        <f>IF($A3774="","",LEN($C3774)-LEN(SUBSTITUTE($C3774,",",""))+1)</f>
        <v/>
      </c>
      <c r="K3774" s="26">
        <f>IF($A3774="","",SUMPRODUCT(--ISNUMBER(SEARCH('Category Dictionary'!$D$5:$D$135&amp;"",$C3774)),--('Category Dictionary'!$D$5:$D$135&lt;&gt;"")))</f>
        <v/>
      </c>
      <c r="L3774" s="27">
        <f>IF($A3774="","",TRIM(IF(ISERROR(FIND(",",$C3774)),$C3774,LEFT($C3774,FIND(",",$C3774)-1))))</f>
        <v/>
      </c>
      <c r="M3774" s="28">
        <f>IF($H3774="","",DATE(YEAR($H3774),MONTH($H3774),1))</f>
        <v/>
      </c>
      <c r="N3774" s="26">
        <f>IF($H3774="","",TODAY()-$H3774)</f>
        <v/>
      </c>
      <c r="O3774" s="15" t="n"/>
      <c r="P3774" s="15" t="n"/>
      <c r="Q3774" s="15" t="n"/>
      <c r="R3774" s="25" t="n"/>
      <c r="S3774" s="26">
        <f>IF($A3774="","",AND(OR('Assignment Builder'!$B$5="",$B3774='Assignment Builder'!$B$5),OR('Assignment Builder'!$B$6="",ISNUMBER(SEARCH('Assignment Builder'!$B$6,$C3774))),OR('Assignment Builder'!$B$7="",'Assignment Builder'!$B$7=IFERROR(INDEX('Category Dictionary'!$C$5:$C$135,MATCH($L3774,'Category Dictionary'!$D$5:$D$135,0)),"")),OR('Assignment Builder'!$B$8="",$D3774='Assignment Builder'!$B$8),OR('Assignment Builder'!$B$9="",$F3774='Assignment Builder'!$B$9),OR('Assignment Builder'!$B$10="",$O3774='Assignment Builder'!$B$10),OR('Assignment Builder'!$B$11="",$H3774&gt;='Assignment Builder'!$B$11),OR('Assignment Builder'!$B$12="",N($Q3774)&lt;='Assignment Builder'!$B$12)))</f>
        <v/>
      </c>
      <c r="T3774" s="23" t="n"/>
    </row>
    <row r="3775">
      <c r="A3775" s="23" t="n"/>
      <c r="B3775" s="23" t="n"/>
      <c r="C3775" s="24" t="n"/>
      <c r="D3775" s="15" t="n"/>
      <c r="E3775" s="23" t="n"/>
      <c r="F3775" s="15" t="n"/>
      <c r="G3775" s="23" t="n"/>
      <c r="H3775" s="25" t="n"/>
      <c r="I3775" s="15" t="n"/>
      <c r="J3775" s="26">
        <f>IF($A3775="","",LEN($C3775)-LEN(SUBSTITUTE($C3775,",",""))+1)</f>
        <v/>
      </c>
      <c r="K3775" s="26">
        <f>IF($A3775="","",SUMPRODUCT(--ISNUMBER(SEARCH('Category Dictionary'!$D$5:$D$135&amp;"",$C3775)),--('Category Dictionary'!$D$5:$D$135&lt;&gt;"")))</f>
        <v/>
      </c>
      <c r="L3775" s="27">
        <f>IF($A3775="","",TRIM(IF(ISERROR(FIND(",",$C3775)),$C3775,LEFT($C3775,FIND(",",$C3775)-1))))</f>
        <v/>
      </c>
      <c r="M3775" s="28">
        <f>IF($H3775="","",DATE(YEAR($H3775),MONTH($H3775),1))</f>
        <v/>
      </c>
      <c r="N3775" s="26">
        <f>IF($H3775="","",TODAY()-$H3775)</f>
        <v/>
      </c>
      <c r="O3775" s="15" t="n"/>
      <c r="P3775" s="15" t="n"/>
      <c r="Q3775" s="15" t="n"/>
      <c r="R3775" s="25" t="n"/>
      <c r="S3775" s="26">
        <f>IF($A3775="","",AND(OR('Assignment Builder'!$B$5="",$B3775='Assignment Builder'!$B$5),OR('Assignment Builder'!$B$6="",ISNUMBER(SEARCH('Assignment Builder'!$B$6,$C3775))),OR('Assignment Builder'!$B$7="",'Assignment Builder'!$B$7=IFERROR(INDEX('Category Dictionary'!$C$5:$C$135,MATCH($L3775,'Category Dictionary'!$D$5:$D$135,0)),"")),OR('Assignment Builder'!$B$8="",$D3775='Assignment Builder'!$B$8),OR('Assignment Builder'!$B$9="",$F3775='Assignment Builder'!$B$9),OR('Assignment Builder'!$B$10="",$O3775='Assignment Builder'!$B$10),OR('Assignment Builder'!$B$11="",$H3775&gt;='Assignment Builder'!$B$11),OR('Assignment Builder'!$B$12="",N($Q3775)&lt;='Assignment Builder'!$B$12)))</f>
        <v/>
      </c>
      <c r="T3775" s="23" t="n"/>
    </row>
    <row r="3776">
      <c r="A3776" s="23" t="n"/>
      <c r="B3776" s="23" t="n"/>
      <c r="C3776" s="24" t="n"/>
      <c r="D3776" s="15" t="n"/>
      <c r="E3776" s="23" t="n"/>
      <c r="F3776" s="15" t="n"/>
      <c r="G3776" s="23" t="n"/>
      <c r="H3776" s="25" t="n"/>
      <c r="I3776" s="15" t="n"/>
      <c r="J3776" s="26">
        <f>IF($A3776="","",LEN($C3776)-LEN(SUBSTITUTE($C3776,",",""))+1)</f>
        <v/>
      </c>
      <c r="K3776" s="26">
        <f>IF($A3776="","",SUMPRODUCT(--ISNUMBER(SEARCH('Category Dictionary'!$D$5:$D$135&amp;"",$C3776)),--('Category Dictionary'!$D$5:$D$135&lt;&gt;"")))</f>
        <v/>
      </c>
      <c r="L3776" s="27">
        <f>IF($A3776="","",TRIM(IF(ISERROR(FIND(",",$C3776)),$C3776,LEFT($C3776,FIND(",",$C3776)-1))))</f>
        <v/>
      </c>
      <c r="M3776" s="28">
        <f>IF($H3776="","",DATE(YEAR($H3776),MONTH($H3776),1))</f>
        <v/>
      </c>
      <c r="N3776" s="26">
        <f>IF($H3776="","",TODAY()-$H3776)</f>
        <v/>
      </c>
      <c r="O3776" s="15" t="n"/>
      <c r="P3776" s="15" t="n"/>
      <c r="Q3776" s="15" t="n"/>
      <c r="R3776" s="25" t="n"/>
      <c r="S3776" s="26">
        <f>IF($A3776="","",AND(OR('Assignment Builder'!$B$5="",$B3776='Assignment Builder'!$B$5),OR('Assignment Builder'!$B$6="",ISNUMBER(SEARCH('Assignment Builder'!$B$6,$C3776))),OR('Assignment Builder'!$B$7="",'Assignment Builder'!$B$7=IFERROR(INDEX('Category Dictionary'!$C$5:$C$135,MATCH($L3776,'Category Dictionary'!$D$5:$D$135,0)),"")),OR('Assignment Builder'!$B$8="",$D3776='Assignment Builder'!$B$8),OR('Assignment Builder'!$B$9="",$F3776='Assignment Builder'!$B$9),OR('Assignment Builder'!$B$10="",$O3776='Assignment Builder'!$B$10),OR('Assignment Builder'!$B$11="",$H3776&gt;='Assignment Builder'!$B$11),OR('Assignment Builder'!$B$12="",N($Q3776)&lt;='Assignment Builder'!$B$12)))</f>
        <v/>
      </c>
      <c r="T3776" s="23" t="n"/>
    </row>
    <row r="3777">
      <c r="A3777" s="23" t="n"/>
      <c r="B3777" s="23" t="n"/>
      <c r="C3777" s="24" t="n"/>
      <c r="D3777" s="15" t="n"/>
      <c r="E3777" s="23" t="n"/>
      <c r="F3777" s="15" t="n"/>
      <c r="G3777" s="23" t="n"/>
      <c r="H3777" s="25" t="n"/>
      <c r="I3777" s="15" t="n"/>
      <c r="J3777" s="26">
        <f>IF($A3777="","",LEN($C3777)-LEN(SUBSTITUTE($C3777,",",""))+1)</f>
        <v/>
      </c>
      <c r="K3777" s="26">
        <f>IF($A3777="","",SUMPRODUCT(--ISNUMBER(SEARCH('Category Dictionary'!$D$5:$D$135&amp;"",$C3777)),--('Category Dictionary'!$D$5:$D$135&lt;&gt;"")))</f>
        <v/>
      </c>
      <c r="L3777" s="27">
        <f>IF($A3777="","",TRIM(IF(ISERROR(FIND(",",$C3777)),$C3777,LEFT($C3777,FIND(",",$C3777)-1))))</f>
        <v/>
      </c>
      <c r="M3777" s="28">
        <f>IF($H3777="","",DATE(YEAR($H3777),MONTH($H3777),1))</f>
        <v/>
      </c>
      <c r="N3777" s="26">
        <f>IF($H3777="","",TODAY()-$H3777)</f>
        <v/>
      </c>
      <c r="O3777" s="15" t="n"/>
      <c r="P3777" s="15" t="n"/>
      <c r="Q3777" s="15" t="n"/>
      <c r="R3777" s="25" t="n"/>
      <c r="S3777" s="26">
        <f>IF($A3777="","",AND(OR('Assignment Builder'!$B$5="",$B3777='Assignment Builder'!$B$5),OR('Assignment Builder'!$B$6="",ISNUMBER(SEARCH('Assignment Builder'!$B$6,$C3777))),OR('Assignment Builder'!$B$7="",'Assignment Builder'!$B$7=IFERROR(INDEX('Category Dictionary'!$C$5:$C$135,MATCH($L3777,'Category Dictionary'!$D$5:$D$135,0)),"")),OR('Assignment Builder'!$B$8="",$D3777='Assignment Builder'!$B$8),OR('Assignment Builder'!$B$9="",$F3777='Assignment Builder'!$B$9),OR('Assignment Builder'!$B$10="",$O3777='Assignment Builder'!$B$10),OR('Assignment Builder'!$B$11="",$H3777&gt;='Assignment Builder'!$B$11),OR('Assignment Builder'!$B$12="",N($Q3777)&lt;='Assignment Builder'!$B$12)))</f>
        <v/>
      </c>
      <c r="T3777" s="23" t="n"/>
    </row>
    <row r="3778">
      <c r="A3778" s="23" t="n"/>
      <c r="B3778" s="23" t="n"/>
      <c r="C3778" s="24" t="n"/>
      <c r="D3778" s="15" t="n"/>
      <c r="E3778" s="23" t="n"/>
      <c r="F3778" s="15" t="n"/>
      <c r="G3778" s="23" t="n"/>
      <c r="H3778" s="25" t="n"/>
      <c r="I3778" s="15" t="n"/>
      <c r="J3778" s="26">
        <f>IF($A3778="","",LEN($C3778)-LEN(SUBSTITUTE($C3778,",",""))+1)</f>
        <v/>
      </c>
      <c r="K3778" s="26">
        <f>IF($A3778="","",SUMPRODUCT(--ISNUMBER(SEARCH('Category Dictionary'!$D$5:$D$135&amp;"",$C3778)),--('Category Dictionary'!$D$5:$D$135&lt;&gt;"")))</f>
        <v/>
      </c>
      <c r="L3778" s="27">
        <f>IF($A3778="","",TRIM(IF(ISERROR(FIND(",",$C3778)),$C3778,LEFT($C3778,FIND(",",$C3778)-1))))</f>
        <v/>
      </c>
      <c r="M3778" s="28">
        <f>IF($H3778="","",DATE(YEAR($H3778),MONTH($H3778),1))</f>
        <v/>
      </c>
      <c r="N3778" s="26">
        <f>IF($H3778="","",TODAY()-$H3778)</f>
        <v/>
      </c>
      <c r="O3778" s="15" t="n"/>
      <c r="P3778" s="15" t="n"/>
      <c r="Q3778" s="15" t="n"/>
      <c r="R3778" s="25" t="n"/>
      <c r="S3778" s="26">
        <f>IF($A3778="","",AND(OR('Assignment Builder'!$B$5="",$B3778='Assignment Builder'!$B$5),OR('Assignment Builder'!$B$6="",ISNUMBER(SEARCH('Assignment Builder'!$B$6,$C3778))),OR('Assignment Builder'!$B$7="",'Assignment Builder'!$B$7=IFERROR(INDEX('Category Dictionary'!$C$5:$C$135,MATCH($L3778,'Category Dictionary'!$D$5:$D$135,0)),"")),OR('Assignment Builder'!$B$8="",$D3778='Assignment Builder'!$B$8),OR('Assignment Builder'!$B$9="",$F3778='Assignment Builder'!$B$9),OR('Assignment Builder'!$B$10="",$O3778='Assignment Builder'!$B$10),OR('Assignment Builder'!$B$11="",$H3778&gt;='Assignment Builder'!$B$11),OR('Assignment Builder'!$B$12="",N($Q3778)&lt;='Assignment Builder'!$B$12)))</f>
        <v/>
      </c>
      <c r="T3778" s="23" t="n"/>
    </row>
    <row r="3779">
      <c r="A3779" s="23" t="n"/>
      <c r="B3779" s="23" t="n"/>
      <c r="C3779" s="24" t="n"/>
      <c r="D3779" s="15" t="n"/>
      <c r="E3779" s="23" t="n"/>
      <c r="F3779" s="15" t="n"/>
      <c r="G3779" s="23" t="n"/>
      <c r="H3779" s="25" t="n"/>
      <c r="I3779" s="15" t="n"/>
      <c r="J3779" s="26">
        <f>IF($A3779="","",LEN($C3779)-LEN(SUBSTITUTE($C3779,",",""))+1)</f>
        <v/>
      </c>
      <c r="K3779" s="26">
        <f>IF($A3779="","",SUMPRODUCT(--ISNUMBER(SEARCH('Category Dictionary'!$D$5:$D$135&amp;"",$C3779)),--('Category Dictionary'!$D$5:$D$135&lt;&gt;"")))</f>
        <v/>
      </c>
      <c r="L3779" s="27">
        <f>IF($A3779="","",TRIM(IF(ISERROR(FIND(",",$C3779)),$C3779,LEFT($C3779,FIND(",",$C3779)-1))))</f>
        <v/>
      </c>
      <c r="M3779" s="28">
        <f>IF($H3779="","",DATE(YEAR($H3779),MONTH($H3779),1))</f>
        <v/>
      </c>
      <c r="N3779" s="26">
        <f>IF($H3779="","",TODAY()-$H3779)</f>
        <v/>
      </c>
      <c r="O3779" s="15" t="n"/>
      <c r="P3779" s="15" t="n"/>
      <c r="Q3779" s="15" t="n"/>
      <c r="R3779" s="25" t="n"/>
      <c r="S3779" s="26">
        <f>IF($A3779="","",AND(OR('Assignment Builder'!$B$5="",$B3779='Assignment Builder'!$B$5),OR('Assignment Builder'!$B$6="",ISNUMBER(SEARCH('Assignment Builder'!$B$6,$C3779))),OR('Assignment Builder'!$B$7="",'Assignment Builder'!$B$7=IFERROR(INDEX('Category Dictionary'!$C$5:$C$135,MATCH($L3779,'Category Dictionary'!$D$5:$D$135,0)),"")),OR('Assignment Builder'!$B$8="",$D3779='Assignment Builder'!$B$8),OR('Assignment Builder'!$B$9="",$F3779='Assignment Builder'!$B$9),OR('Assignment Builder'!$B$10="",$O3779='Assignment Builder'!$B$10),OR('Assignment Builder'!$B$11="",$H3779&gt;='Assignment Builder'!$B$11),OR('Assignment Builder'!$B$12="",N($Q3779)&lt;='Assignment Builder'!$B$12)))</f>
        <v/>
      </c>
      <c r="T3779" s="23" t="n"/>
    </row>
    <row r="3780">
      <c r="A3780" s="23" t="n"/>
      <c r="B3780" s="23" t="n"/>
      <c r="C3780" s="24" t="n"/>
      <c r="D3780" s="15" t="n"/>
      <c r="E3780" s="23" t="n"/>
      <c r="F3780" s="15" t="n"/>
      <c r="G3780" s="23" t="n"/>
      <c r="H3780" s="25" t="n"/>
      <c r="I3780" s="15" t="n"/>
      <c r="J3780" s="26">
        <f>IF($A3780="","",LEN($C3780)-LEN(SUBSTITUTE($C3780,",",""))+1)</f>
        <v/>
      </c>
      <c r="K3780" s="26">
        <f>IF($A3780="","",SUMPRODUCT(--ISNUMBER(SEARCH('Category Dictionary'!$D$5:$D$135&amp;"",$C3780)),--('Category Dictionary'!$D$5:$D$135&lt;&gt;"")))</f>
        <v/>
      </c>
      <c r="L3780" s="27">
        <f>IF($A3780="","",TRIM(IF(ISERROR(FIND(",",$C3780)),$C3780,LEFT($C3780,FIND(",",$C3780)-1))))</f>
        <v/>
      </c>
      <c r="M3780" s="28">
        <f>IF($H3780="","",DATE(YEAR($H3780),MONTH($H3780),1))</f>
        <v/>
      </c>
      <c r="N3780" s="26">
        <f>IF($H3780="","",TODAY()-$H3780)</f>
        <v/>
      </c>
      <c r="O3780" s="15" t="n"/>
      <c r="P3780" s="15" t="n"/>
      <c r="Q3780" s="15" t="n"/>
      <c r="R3780" s="25" t="n"/>
      <c r="S3780" s="26">
        <f>IF($A3780="","",AND(OR('Assignment Builder'!$B$5="",$B3780='Assignment Builder'!$B$5),OR('Assignment Builder'!$B$6="",ISNUMBER(SEARCH('Assignment Builder'!$B$6,$C3780))),OR('Assignment Builder'!$B$7="",'Assignment Builder'!$B$7=IFERROR(INDEX('Category Dictionary'!$C$5:$C$135,MATCH($L3780,'Category Dictionary'!$D$5:$D$135,0)),"")),OR('Assignment Builder'!$B$8="",$D3780='Assignment Builder'!$B$8),OR('Assignment Builder'!$B$9="",$F3780='Assignment Builder'!$B$9),OR('Assignment Builder'!$B$10="",$O3780='Assignment Builder'!$B$10),OR('Assignment Builder'!$B$11="",$H3780&gt;='Assignment Builder'!$B$11),OR('Assignment Builder'!$B$12="",N($Q3780)&lt;='Assignment Builder'!$B$12)))</f>
        <v/>
      </c>
      <c r="T3780" s="23" t="n"/>
    </row>
    <row r="3781">
      <c r="A3781" s="23" t="n"/>
      <c r="B3781" s="23" t="n"/>
      <c r="C3781" s="24" t="n"/>
      <c r="D3781" s="15" t="n"/>
      <c r="E3781" s="23" t="n"/>
      <c r="F3781" s="15" t="n"/>
      <c r="G3781" s="23" t="n"/>
      <c r="H3781" s="25" t="n"/>
      <c r="I3781" s="15" t="n"/>
      <c r="J3781" s="26">
        <f>IF($A3781="","",LEN($C3781)-LEN(SUBSTITUTE($C3781,",",""))+1)</f>
        <v/>
      </c>
      <c r="K3781" s="26">
        <f>IF($A3781="","",SUMPRODUCT(--ISNUMBER(SEARCH('Category Dictionary'!$D$5:$D$135&amp;"",$C3781)),--('Category Dictionary'!$D$5:$D$135&lt;&gt;"")))</f>
        <v/>
      </c>
      <c r="L3781" s="27">
        <f>IF($A3781="","",TRIM(IF(ISERROR(FIND(",",$C3781)),$C3781,LEFT($C3781,FIND(",",$C3781)-1))))</f>
        <v/>
      </c>
      <c r="M3781" s="28">
        <f>IF($H3781="","",DATE(YEAR($H3781),MONTH($H3781),1))</f>
        <v/>
      </c>
      <c r="N3781" s="26">
        <f>IF($H3781="","",TODAY()-$H3781)</f>
        <v/>
      </c>
      <c r="O3781" s="15" t="n"/>
      <c r="P3781" s="15" t="n"/>
      <c r="Q3781" s="15" t="n"/>
      <c r="R3781" s="25" t="n"/>
      <c r="S3781" s="26">
        <f>IF($A3781="","",AND(OR('Assignment Builder'!$B$5="",$B3781='Assignment Builder'!$B$5),OR('Assignment Builder'!$B$6="",ISNUMBER(SEARCH('Assignment Builder'!$B$6,$C3781))),OR('Assignment Builder'!$B$7="",'Assignment Builder'!$B$7=IFERROR(INDEX('Category Dictionary'!$C$5:$C$135,MATCH($L3781,'Category Dictionary'!$D$5:$D$135,0)),"")),OR('Assignment Builder'!$B$8="",$D3781='Assignment Builder'!$B$8),OR('Assignment Builder'!$B$9="",$F3781='Assignment Builder'!$B$9),OR('Assignment Builder'!$B$10="",$O3781='Assignment Builder'!$B$10),OR('Assignment Builder'!$B$11="",$H3781&gt;='Assignment Builder'!$B$11),OR('Assignment Builder'!$B$12="",N($Q3781)&lt;='Assignment Builder'!$B$12)))</f>
        <v/>
      </c>
      <c r="T3781" s="23" t="n"/>
    </row>
    <row r="3782">
      <c r="A3782" s="23" t="n"/>
      <c r="B3782" s="23" t="n"/>
      <c r="C3782" s="24" t="n"/>
      <c r="D3782" s="15" t="n"/>
      <c r="E3782" s="23" t="n"/>
      <c r="F3782" s="15" t="n"/>
      <c r="G3782" s="23" t="n"/>
      <c r="H3782" s="25" t="n"/>
      <c r="I3782" s="15" t="n"/>
      <c r="J3782" s="26">
        <f>IF($A3782="","",LEN($C3782)-LEN(SUBSTITUTE($C3782,",",""))+1)</f>
        <v/>
      </c>
      <c r="K3782" s="26">
        <f>IF($A3782="","",SUMPRODUCT(--ISNUMBER(SEARCH('Category Dictionary'!$D$5:$D$135&amp;"",$C3782)),--('Category Dictionary'!$D$5:$D$135&lt;&gt;"")))</f>
        <v/>
      </c>
      <c r="L3782" s="27">
        <f>IF($A3782="","",TRIM(IF(ISERROR(FIND(",",$C3782)),$C3782,LEFT($C3782,FIND(",",$C3782)-1))))</f>
        <v/>
      </c>
      <c r="M3782" s="28">
        <f>IF($H3782="","",DATE(YEAR($H3782),MONTH($H3782),1))</f>
        <v/>
      </c>
      <c r="N3782" s="26">
        <f>IF($H3782="","",TODAY()-$H3782)</f>
        <v/>
      </c>
      <c r="O3782" s="15" t="n"/>
      <c r="P3782" s="15" t="n"/>
      <c r="Q3782" s="15" t="n"/>
      <c r="R3782" s="25" t="n"/>
      <c r="S3782" s="26">
        <f>IF($A3782="","",AND(OR('Assignment Builder'!$B$5="",$B3782='Assignment Builder'!$B$5),OR('Assignment Builder'!$B$6="",ISNUMBER(SEARCH('Assignment Builder'!$B$6,$C3782))),OR('Assignment Builder'!$B$7="",'Assignment Builder'!$B$7=IFERROR(INDEX('Category Dictionary'!$C$5:$C$135,MATCH($L3782,'Category Dictionary'!$D$5:$D$135,0)),"")),OR('Assignment Builder'!$B$8="",$D3782='Assignment Builder'!$B$8),OR('Assignment Builder'!$B$9="",$F3782='Assignment Builder'!$B$9),OR('Assignment Builder'!$B$10="",$O3782='Assignment Builder'!$B$10),OR('Assignment Builder'!$B$11="",$H3782&gt;='Assignment Builder'!$B$11),OR('Assignment Builder'!$B$12="",N($Q3782)&lt;='Assignment Builder'!$B$12)))</f>
        <v/>
      </c>
      <c r="T3782" s="23" t="n"/>
    </row>
    <row r="3783">
      <c r="A3783" s="23" t="n"/>
      <c r="B3783" s="23" t="n"/>
      <c r="C3783" s="24" t="n"/>
      <c r="D3783" s="15" t="n"/>
      <c r="E3783" s="23" t="n"/>
      <c r="F3783" s="15" t="n"/>
      <c r="G3783" s="23" t="n"/>
      <c r="H3783" s="25" t="n"/>
      <c r="I3783" s="15" t="n"/>
      <c r="J3783" s="26">
        <f>IF($A3783="","",LEN($C3783)-LEN(SUBSTITUTE($C3783,",",""))+1)</f>
        <v/>
      </c>
      <c r="K3783" s="26">
        <f>IF($A3783="","",SUMPRODUCT(--ISNUMBER(SEARCH('Category Dictionary'!$D$5:$D$135&amp;"",$C3783)),--('Category Dictionary'!$D$5:$D$135&lt;&gt;"")))</f>
        <v/>
      </c>
      <c r="L3783" s="27">
        <f>IF($A3783="","",TRIM(IF(ISERROR(FIND(",",$C3783)),$C3783,LEFT($C3783,FIND(",",$C3783)-1))))</f>
        <v/>
      </c>
      <c r="M3783" s="28">
        <f>IF($H3783="","",DATE(YEAR($H3783),MONTH($H3783),1))</f>
        <v/>
      </c>
      <c r="N3783" s="26">
        <f>IF($H3783="","",TODAY()-$H3783)</f>
        <v/>
      </c>
      <c r="O3783" s="15" t="n"/>
      <c r="P3783" s="15" t="n"/>
      <c r="Q3783" s="15" t="n"/>
      <c r="R3783" s="25" t="n"/>
      <c r="S3783" s="26">
        <f>IF($A3783="","",AND(OR('Assignment Builder'!$B$5="",$B3783='Assignment Builder'!$B$5),OR('Assignment Builder'!$B$6="",ISNUMBER(SEARCH('Assignment Builder'!$B$6,$C3783))),OR('Assignment Builder'!$B$7="",'Assignment Builder'!$B$7=IFERROR(INDEX('Category Dictionary'!$C$5:$C$135,MATCH($L3783,'Category Dictionary'!$D$5:$D$135,0)),"")),OR('Assignment Builder'!$B$8="",$D3783='Assignment Builder'!$B$8),OR('Assignment Builder'!$B$9="",$F3783='Assignment Builder'!$B$9),OR('Assignment Builder'!$B$10="",$O3783='Assignment Builder'!$B$10),OR('Assignment Builder'!$B$11="",$H3783&gt;='Assignment Builder'!$B$11),OR('Assignment Builder'!$B$12="",N($Q3783)&lt;='Assignment Builder'!$B$12)))</f>
        <v/>
      </c>
      <c r="T3783" s="23" t="n"/>
    </row>
    <row r="3784">
      <c r="A3784" s="23" t="n"/>
      <c r="B3784" s="23" t="n"/>
      <c r="C3784" s="24" t="n"/>
      <c r="D3784" s="15" t="n"/>
      <c r="E3784" s="23" t="n"/>
      <c r="F3784" s="15" t="n"/>
      <c r="G3784" s="23" t="n"/>
      <c r="H3784" s="25" t="n"/>
      <c r="I3784" s="15" t="n"/>
      <c r="J3784" s="26">
        <f>IF($A3784="","",LEN($C3784)-LEN(SUBSTITUTE($C3784,",",""))+1)</f>
        <v/>
      </c>
      <c r="K3784" s="26">
        <f>IF($A3784="","",SUMPRODUCT(--ISNUMBER(SEARCH('Category Dictionary'!$D$5:$D$135&amp;"",$C3784)),--('Category Dictionary'!$D$5:$D$135&lt;&gt;"")))</f>
        <v/>
      </c>
      <c r="L3784" s="27">
        <f>IF($A3784="","",TRIM(IF(ISERROR(FIND(",",$C3784)),$C3784,LEFT($C3784,FIND(",",$C3784)-1))))</f>
        <v/>
      </c>
      <c r="M3784" s="28">
        <f>IF($H3784="","",DATE(YEAR($H3784),MONTH($H3784),1))</f>
        <v/>
      </c>
      <c r="N3784" s="26">
        <f>IF($H3784="","",TODAY()-$H3784)</f>
        <v/>
      </c>
      <c r="O3784" s="15" t="n"/>
      <c r="P3784" s="15" t="n"/>
      <c r="Q3784" s="15" t="n"/>
      <c r="R3784" s="25" t="n"/>
      <c r="S3784" s="26">
        <f>IF($A3784="","",AND(OR('Assignment Builder'!$B$5="",$B3784='Assignment Builder'!$B$5),OR('Assignment Builder'!$B$6="",ISNUMBER(SEARCH('Assignment Builder'!$B$6,$C3784))),OR('Assignment Builder'!$B$7="",'Assignment Builder'!$B$7=IFERROR(INDEX('Category Dictionary'!$C$5:$C$135,MATCH($L3784,'Category Dictionary'!$D$5:$D$135,0)),"")),OR('Assignment Builder'!$B$8="",$D3784='Assignment Builder'!$B$8),OR('Assignment Builder'!$B$9="",$F3784='Assignment Builder'!$B$9),OR('Assignment Builder'!$B$10="",$O3784='Assignment Builder'!$B$10),OR('Assignment Builder'!$B$11="",$H3784&gt;='Assignment Builder'!$B$11),OR('Assignment Builder'!$B$12="",N($Q3784)&lt;='Assignment Builder'!$B$12)))</f>
        <v/>
      </c>
      <c r="T3784" s="23" t="n"/>
    </row>
    <row r="3785">
      <c r="A3785" s="23" t="n"/>
      <c r="B3785" s="23" t="n"/>
      <c r="C3785" s="24" t="n"/>
      <c r="D3785" s="15" t="n"/>
      <c r="E3785" s="23" t="n"/>
      <c r="F3785" s="15" t="n"/>
      <c r="G3785" s="23" t="n"/>
      <c r="H3785" s="25" t="n"/>
      <c r="I3785" s="15" t="n"/>
      <c r="J3785" s="26">
        <f>IF($A3785="","",LEN($C3785)-LEN(SUBSTITUTE($C3785,",",""))+1)</f>
        <v/>
      </c>
      <c r="K3785" s="26">
        <f>IF($A3785="","",SUMPRODUCT(--ISNUMBER(SEARCH('Category Dictionary'!$D$5:$D$135&amp;"",$C3785)),--('Category Dictionary'!$D$5:$D$135&lt;&gt;"")))</f>
        <v/>
      </c>
      <c r="L3785" s="27">
        <f>IF($A3785="","",TRIM(IF(ISERROR(FIND(",",$C3785)),$C3785,LEFT($C3785,FIND(",",$C3785)-1))))</f>
        <v/>
      </c>
      <c r="M3785" s="28">
        <f>IF($H3785="","",DATE(YEAR($H3785),MONTH($H3785),1))</f>
        <v/>
      </c>
      <c r="N3785" s="26">
        <f>IF($H3785="","",TODAY()-$H3785)</f>
        <v/>
      </c>
      <c r="O3785" s="15" t="n"/>
      <c r="P3785" s="15" t="n"/>
      <c r="Q3785" s="15" t="n"/>
      <c r="R3785" s="25" t="n"/>
      <c r="S3785" s="26">
        <f>IF($A3785="","",AND(OR('Assignment Builder'!$B$5="",$B3785='Assignment Builder'!$B$5),OR('Assignment Builder'!$B$6="",ISNUMBER(SEARCH('Assignment Builder'!$B$6,$C3785))),OR('Assignment Builder'!$B$7="",'Assignment Builder'!$B$7=IFERROR(INDEX('Category Dictionary'!$C$5:$C$135,MATCH($L3785,'Category Dictionary'!$D$5:$D$135,0)),"")),OR('Assignment Builder'!$B$8="",$D3785='Assignment Builder'!$B$8),OR('Assignment Builder'!$B$9="",$F3785='Assignment Builder'!$B$9),OR('Assignment Builder'!$B$10="",$O3785='Assignment Builder'!$B$10),OR('Assignment Builder'!$B$11="",$H3785&gt;='Assignment Builder'!$B$11),OR('Assignment Builder'!$B$12="",N($Q3785)&lt;='Assignment Builder'!$B$12)))</f>
        <v/>
      </c>
      <c r="T3785" s="23" t="n"/>
    </row>
    <row r="3786">
      <c r="A3786" s="23" t="n"/>
      <c r="B3786" s="23" t="n"/>
      <c r="C3786" s="24" t="n"/>
      <c r="D3786" s="15" t="n"/>
      <c r="E3786" s="23" t="n"/>
      <c r="F3786" s="15" t="n"/>
      <c r="G3786" s="23" t="n"/>
      <c r="H3786" s="25" t="n"/>
      <c r="I3786" s="15" t="n"/>
      <c r="J3786" s="26">
        <f>IF($A3786="","",LEN($C3786)-LEN(SUBSTITUTE($C3786,",",""))+1)</f>
        <v/>
      </c>
      <c r="K3786" s="26">
        <f>IF($A3786="","",SUMPRODUCT(--ISNUMBER(SEARCH('Category Dictionary'!$D$5:$D$135&amp;"",$C3786)),--('Category Dictionary'!$D$5:$D$135&lt;&gt;"")))</f>
        <v/>
      </c>
      <c r="L3786" s="27">
        <f>IF($A3786="","",TRIM(IF(ISERROR(FIND(",",$C3786)),$C3786,LEFT($C3786,FIND(",",$C3786)-1))))</f>
        <v/>
      </c>
      <c r="M3786" s="28">
        <f>IF($H3786="","",DATE(YEAR($H3786),MONTH($H3786),1))</f>
        <v/>
      </c>
      <c r="N3786" s="26">
        <f>IF($H3786="","",TODAY()-$H3786)</f>
        <v/>
      </c>
      <c r="O3786" s="15" t="n"/>
      <c r="P3786" s="15" t="n"/>
      <c r="Q3786" s="15" t="n"/>
      <c r="R3786" s="25" t="n"/>
      <c r="S3786" s="26">
        <f>IF($A3786="","",AND(OR('Assignment Builder'!$B$5="",$B3786='Assignment Builder'!$B$5),OR('Assignment Builder'!$B$6="",ISNUMBER(SEARCH('Assignment Builder'!$B$6,$C3786))),OR('Assignment Builder'!$B$7="",'Assignment Builder'!$B$7=IFERROR(INDEX('Category Dictionary'!$C$5:$C$135,MATCH($L3786,'Category Dictionary'!$D$5:$D$135,0)),"")),OR('Assignment Builder'!$B$8="",$D3786='Assignment Builder'!$B$8),OR('Assignment Builder'!$B$9="",$F3786='Assignment Builder'!$B$9),OR('Assignment Builder'!$B$10="",$O3786='Assignment Builder'!$B$10),OR('Assignment Builder'!$B$11="",$H3786&gt;='Assignment Builder'!$B$11),OR('Assignment Builder'!$B$12="",N($Q3786)&lt;='Assignment Builder'!$B$12)))</f>
        <v/>
      </c>
      <c r="T3786" s="23" t="n"/>
    </row>
    <row r="3787">
      <c r="A3787" s="23" t="n"/>
      <c r="B3787" s="23" t="n"/>
      <c r="C3787" s="24" t="n"/>
      <c r="D3787" s="15" t="n"/>
      <c r="E3787" s="23" t="n"/>
      <c r="F3787" s="15" t="n"/>
      <c r="G3787" s="23" t="n"/>
      <c r="H3787" s="25" t="n"/>
      <c r="I3787" s="15" t="n"/>
      <c r="J3787" s="26">
        <f>IF($A3787="","",LEN($C3787)-LEN(SUBSTITUTE($C3787,",",""))+1)</f>
        <v/>
      </c>
      <c r="K3787" s="26">
        <f>IF($A3787="","",SUMPRODUCT(--ISNUMBER(SEARCH('Category Dictionary'!$D$5:$D$135&amp;"",$C3787)),--('Category Dictionary'!$D$5:$D$135&lt;&gt;"")))</f>
        <v/>
      </c>
      <c r="L3787" s="27">
        <f>IF($A3787="","",TRIM(IF(ISERROR(FIND(",",$C3787)),$C3787,LEFT($C3787,FIND(",",$C3787)-1))))</f>
        <v/>
      </c>
      <c r="M3787" s="28">
        <f>IF($H3787="","",DATE(YEAR($H3787),MONTH($H3787),1))</f>
        <v/>
      </c>
      <c r="N3787" s="26">
        <f>IF($H3787="","",TODAY()-$H3787)</f>
        <v/>
      </c>
      <c r="O3787" s="15" t="n"/>
      <c r="P3787" s="15" t="n"/>
      <c r="Q3787" s="15" t="n"/>
      <c r="R3787" s="25" t="n"/>
      <c r="S3787" s="26">
        <f>IF($A3787="","",AND(OR('Assignment Builder'!$B$5="",$B3787='Assignment Builder'!$B$5),OR('Assignment Builder'!$B$6="",ISNUMBER(SEARCH('Assignment Builder'!$B$6,$C3787))),OR('Assignment Builder'!$B$7="",'Assignment Builder'!$B$7=IFERROR(INDEX('Category Dictionary'!$C$5:$C$135,MATCH($L3787,'Category Dictionary'!$D$5:$D$135,0)),"")),OR('Assignment Builder'!$B$8="",$D3787='Assignment Builder'!$B$8),OR('Assignment Builder'!$B$9="",$F3787='Assignment Builder'!$B$9),OR('Assignment Builder'!$B$10="",$O3787='Assignment Builder'!$B$10),OR('Assignment Builder'!$B$11="",$H3787&gt;='Assignment Builder'!$B$11),OR('Assignment Builder'!$B$12="",N($Q3787)&lt;='Assignment Builder'!$B$12)))</f>
        <v/>
      </c>
      <c r="T3787" s="23" t="n"/>
    </row>
    <row r="3788">
      <c r="A3788" s="23" t="n"/>
      <c r="B3788" s="23" t="n"/>
      <c r="C3788" s="24" t="n"/>
      <c r="D3788" s="15" t="n"/>
      <c r="E3788" s="23" t="n"/>
      <c r="F3788" s="15" t="n"/>
      <c r="G3788" s="23" t="n"/>
      <c r="H3788" s="25" t="n"/>
      <c r="I3788" s="15" t="n"/>
      <c r="J3788" s="26">
        <f>IF($A3788="","",LEN($C3788)-LEN(SUBSTITUTE($C3788,",",""))+1)</f>
        <v/>
      </c>
      <c r="K3788" s="26">
        <f>IF($A3788="","",SUMPRODUCT(--ISNUMBER(SEARCH('Category Dictionary'!$D$5:$D$135&amp;"",$C3788)),--('Category Dictionary'!$D$5:$D$135&lt;&gt;"")))</f>
        <v/>
      </c>
      <c r="L3788" s="27">
        <f>IF($A3788="","",TRIM(IF(ISERROR(FIND(",",$C3788)),$C3788,LEFT($C3788,FIND(",",$C3788)-1))))</f>
        <v/>
      </c>
      <c r="M3788" s="28">
        <f>IF($H3788="","",DATE(YEAR($H3788),MONTH($H3788),1))</f>
        <v/>
      </c>
      <c r="N3788" s="26">
        <f>IF($H3788="","",TODAY()-$H3788)</f>
        <v/>
      </c>
      <c r="O3788" s="15" t="n"/>
      <c r="P3788" s="15" t="n"/>
      <c r="Q3788" s="15" t="n"/>
      <c r="R3788" s="25" t="n"/>
      <c r="S3788" s="26">
        <f>IF($A3788="","",AND(OR('Assignment Builder'!$B$5="",$B3788='Assignment Builder'!$B$5),OR('Assignment Builder'!$B$6="",ISNUMBER(SEARCH('Assignment Builder'!$B$6,$C3788))),OR('Assignment Builder'!$B$7="",'Assignment Builder'!$B$7=IFERROR(INDEX('Category Dictionary'!$C$5:$C$135,MATCH($L3788,'Category Dictionary'!$D$5:$D$135,0)),"")),OR('Assignment Builder'!$B$8="",$D3788='Assignment Builder'!$B$8),OR('Assignment Builder'!$B$9="",$F3788='Assignment Builder'!$B$9),OR('Assignment Builder'!$B$10="",$O3788='Assignment Builder'!$B$10),OR('Assignment Builder'!$B$11="",$H3788&gt;='Assignment Builder'!$B$11),OR('Assignment Builder'!$B$12="",N($Q3788)&lt;='Assignment Builder'!$B$12)))</f>
        <v/>
      </c>
      <c r="T3788" s="23" t="n"/>
    </row>
    <row r="3789">
      <c r="A3789" s="23" t="n"/>
      <c r="B3789" s="23" t="n"/>
      <c r="C3789" s="24" t="n"/>
      <c r="D3789" s="15" t="n"/>
      <c r="E3789" s="23" t="n"/>
      <c r="F3789" s="15" t="n"/>
      <c r="G3789" s="23" t="n"/>
      <c r="H3789" s="25" t="n"/>
      <c r="I3789" s="15" t="n"/>
      <c r="J3789" s="26">
        <f>IF($A3789="","",LEN($C3789)-LEN(SUBSTITUTE($C3789,",",""))+1)</f>
        <v/>
      </c>
      <c r="K3789" s="26">
        <f>IF($A3789="","",SUMPRODUCT(--ISNUMBER(SEARCH('Category Dictionary'!$D$5:$D$135&amp;"",$C3789)),--('Category Dictionary'!$D$5:$D$135&lt;&gt;"")))</f>
        <v/>
      </c>
      <c r="L3789" s="27">
        <f>IF($A3789="","",TRIM(IF(ISERROR(FIND(",",$C3789)),$C3789,LEFT($C3789,FIND(",",$C3789)-1))))</f>
        <v/>
      </c>
      <c r="M3789" s="28">
        <f>IF($H3789="","",DATE(YEAR($H3789),MONTH($H3789),1))</f>
        <v/>
      </c>
      <c r="N3789" s="26">
        <f>IF($H3789="","",TODAY()-$H3789)</f>
        <v/>
      </c>
      <c r="O3789" s="15" t="n"/>
      <c r="P3789" s="15" t="n"/>
      <c r="Q3789" s="15" t="n"/>
      <c r="R3789" s="25" t="n"/>
      <c r="S3789" s="26">
        <f>IF($A3789="","",AND(OR('Assignment Builder'!$B$5="",$B3789='Assignment Builder'!$B$5),OR('Assignment Builder'!$B$6="",ISNUMBER(SEARCH('Assignment Builder'!$B$6,$C3789))),OR('Assignment Builder'!$B$7="",'Assignment Builder'!$B$7=IFERROR(INDEX('Category Dictionary'!$C$5:$C$135,MATCH($L3789,'Category Dictionary'!$D$5:$D$135,0)),"")),OR('Assignment Builder'!$B$8="",$D3789='Assignment Builder'!$B$8),OR('Assignment Builder'!$B$9="",$F3789='Assignment Builder'!$B$9),OR('Assignment Builder'!$B$10="",$O3789='Assignment Builder'!$B$10),OR('Assignment Builder'!$B$11="",$H3789&gt;='Assignment Builder'!$B$11),OR('Assignment Builder'!$B$12="",N($Q3789)&lt;='Assignment Builder'!$B$12)))</f>
        <v/>
      </c>
      <c r="T3789" s="23" t="n"/>
    </row>
    <row r="3790">
      <c r="A3790" s="23" t="n"/>
      <c r="B3790" s="23" t="n"/>
      <c r="C3790" s="24" t="n"/>
      <c r="D3790" s="15" t="n"/>
      <c r="E3790" s="23" t="n"/>
      <c r="F3790" s="15" t="n"/>
      <c r="G3790" s="23" t="n"/>
      <c r="H3790" s="25" t="n"/>
      <c r="I3790" s="15" t="n"/>
      <c r="J3790" s="26">
        <f>IF($A3790="","",LEN($C3790)-LEN(SUBSTITUTE($C3790,",",""))+1)</f>
        <v/>
      </c>
      <c r="K3790" s="26">
        <f>IF($A3790="","",SUMPRODUCT(--ISNUMBER(SEARCH('Category Dictionary'!$D$5:$D$135&amp;"",$C3790)),--('Category Dictionary'!$D$5:$D$135&lt;&gt;"")))</f>
        <v/>
      </c>
      <c r="L3790" s="27">
        <f>IF($A3790="","",TRIM(IF(ISERROR(FIND(",",$C3790)),$C3790,LEFT($C3790,FIND(",",$C3790)-1))))</f>
        <v/>
      </c>
      <c r="M3790" s="28">
        <f>IF($H3790="","",DATE(YEAR($H3790),MONTH($H3790),1))</f>
        <v/>
      </c>
      <c r="N3790" s="26">
        <f>IF($H3790="","",TODAY()-$H3790)</f>
        <v/>
      </c>
      <c r="O3790" s="15" t="n"/>
      <c r="P3790" s="15" t="n"/>
      <c r="Q3790" s="15" t="n"/>
      <c r="R3790" s="25" t="n"/>
      <c r="S3790" s="26">
        <f>IF($A3790="","",AND(OR('Assignment Builder'!$B$5="",$B3790='Assignment Builder'!$B$5),OR('Assignment Builder'!$B$6="",ISNUMBER(SEARCH('Assignment Builder'!$B$6,$C3790))),OR('Assignment Builder'!$B$7="",'Assignment Builder'!$B$7=IFERROR(INDEX('Category Dictionary'!$C$5:$C$135,MATCH($L3790,'Category Dictionary'!$D$5:$D$135,0)),"")),OR('Assignment Builder'!$B$8="",$D3790='Assignment Builder'!$B$8),OR('Assignment Builder'!$B$9="",$F3790='Assignment Builder'!$B$9),OR('Assignment Builder'!$B$10="",$O3790='Assignment Builder'!$B$10),OR('Assignment Builder'!$B$11="",$H3790&gt;='Assignment Builder'!$B$11),OR('Assignment Builder'!$B$12="",N($Q3790)&lt;='Assignment Builder'!$B$12)))</f>
        <v/>
      </c>
      <c r="T3790" s="23" t="n"/>
    </row>
    <row r="3791">
      <c r="A3791" s="23" t="n"/>
      <c r="B3791" s="23" t="n"/>
      <c r="C3791" s="24" t="n"/>
      <c r="D3791" s="15" t="n"/>
      <c r="E3791" s="23" t="n"/>
      <c r="F3791" s="15" t="n"/>
      <c r="G3791" s="23" t="n"/>
      <c r="H3791" s="25" t="n"/>
      <c r="I3791" s="15" t="n"/>
      <c r="J3791" s="26">
        <f>IF($A3791="","",LEN($C3791)-LEN(SUBSTITUTE($C3791,",",""))+1)</f>
        <v/>
      </c>
      <c r="K3791" s="26">
        <f>IF($A3791="","",SUMPRODUCT(--ISNUMBER(SEARCH('Category Dictionary'!$D$5:$D$135&amp;"",$C3791)),--('Category Dictionary'!$D$5:$D$135&lt;&gt;"")))</f>
        <v/>
      </c>
      <c r="L3791" s="27">
        <f>IF($A3791="","",TRIM(IF(ISERROR(FIND(",",$C3791)),$C3791,LEFT($C3791,FIND(",",$C3791)-1))))</f>
        <v/>
      </c>
      <c r="M3791" s="28">
        <f>IF($H3791="","",DATE(YEAR($H3791),MONTH($H3791),1))</f>
        <v/>
      </c>
      <c r="N3791" s="26">
        <f>IF($H3791="","",TODAY()-$H3791)</f>
        <v/>
      </c>
      <c r="O3791" s="15" t="n"/>
      <c r="P3791" s="15" t="n"/>
      <c r="Q3791" s="15" t="n"/>
      <c r="R3791" s="25" t="n"/>
      <c r="S3791" s="26">
        <f>IF($A3791="","",AND(OR('Assignment Builder'!$B$5="",$B3791='Assignment Builder'!$B$5),OR('Assignment Builder'!$B$6="",ISNUMBER(SEARCH('Assignment Builder'!$B$6,$C3791))),OR('Assignment Builder'!$B$7="",'Assignment Builder'!$B$7=IFERROR(INDEX('Category Dictionary'!$C$5:$C$135,MATCH($L3791,'Category Dictionary'!$D$5:$D$135,0)),"")),OR('Assignment Builder'!$B$8="",$D3791='Assignment Builder'!$B$8),OR('Assignment Builder'!$B$9="",$F3791='Assignment Builder'!$B$9),OR('Assignment Builder'!$B$10="",$O3791='Assignment Builder'!$B$10),OR('Assignment Builder'!$B$11="",$H3791&gt;='Assignment Builder'!$B$11),OR('Assignment Builder'!$B$12="",N($Q3791)&lt;='Assignment Builder'!$B$12)))</f>
        <v/>
      </c>
      <c r="T3791" s="23" t="n"/>
    </row>
    <row r="3792">
      <c r="A3792" s="23" t="n"/>
      <c r="B3792" s="23" t="n"/>
      <c r="C3792" s="24" t="n"/>
      <c r="D3792" s="15" t="n"/>
      <c r="E3792" s="23" t="n"/>
      <c r="F3792" s="15" t="n"/>
      <c r="G3792" s="23" t="n"/>
      <c r="H3792" s="25" t="n"/>
      <c r="I3792" s="15" t="n"/>
      <c r="J3792" s="26">
        <f>IF($A3792="","",LEN($C3792)-LEN(SUBSTITUTE($C3792,",",""))+1)</f>
        <v/>
      </c>
      <c r="K3792" s="26">
        <f>IF($A3792="","",SUMPRODUCT(--ISNUMBER(SEARCH('Category Dictionary'!$D$5:$D$135&amp;"",$C3792)),--('Category Dictionary'!$D$5:$D$135&lt;&gt;"")))</f>
        <v/>
      </c>
      <c r="L3792" s="27">
        <f>IF($A3792="","",TRIM(IF(ISERROR(FIND(",",$C3792)),$C3792,LEFT($C3792,FIND(",",$C3792)-1))))</f>
        <v/>
      </c>
      <c r="M3792" s="28">
        <f>IF($H3792="","",DATE(YEAR($H3792),MONTH($H3792),1))</f>
        <v/>
      </c>
      <c r="N3792" s="26">
        <f>IF($H3792="","",TODAY()-$H3792)</f>
        <v/>
      </c>
      <c r="O3792" s="15" t="n"/>
      <c r="P3792" s="15" t="n"/>
      <c r="Q3792" s="15" t="n"/>
      <c r="R3792" s="25" t="n"/>
      <c r="S3792" s="26">
        <f>IF($A3792="","",AND(OR('Assignment Builder'!$B$5="",$B3792='Assignment Builder'!$B$5),OR('Assignment Builder'!$B$6="",ISNUMBER(SEARCH('Assignment Builder'!$B$6,$C3792))),OR('Assignment Builder'!$B$7="",'Assignment Builder'!$B$7=IFERROR(INDEX('Category Dictionary'!$C$5:$C$135,MATCH($L3792,'Category Dictionary'!$D$5:$D$135,0)),"")),OR('Assignment Builder'!$B$8="",$D3792='Assignment Builder'!$B$8),OR('Assignment Builder'!$B$9="",$F3792='Assignment Builder'!$B$9),OR('Assignment Builder'!$B$10="",$O3792='Assignment Builder'!$B$10),OR('Assignment Builder'!$B$11="",$H3792&gt;='Assignment Builder'!$B$11),OR('Assignment Builder'!$B$12="",N($Q3792)&lt;='Assignment Builder'!$B$12)))</f>
        <v/>
      </c>
      <c r="T3792" s="23" t="n"/>
    </row>
    <row r="3793">
      <c r="A3793" s="23" t="n"/>
      <c r="B3793" s="23" t="n"/>
      <c r="C3793" s="24" t="n"/>
      <c r="D3793" s="15" t="n"/>
      <c r="E3793" s="23" t="n"/>
      <c r="F3793" s="15" t="n"/>
      <c r="G3793" s="23" t="n"/>
      <c r="H3793" s="25" t="n"/>
      <c r="I3793" s="15" t="n"/>
      <c r="J3793" s="26">
        <f>IF($A3793="","",LEN($C3793)-LEN(SUBSTITUTE($C3793,",",""))+1)</f>
        <v/>
      </c>
      <c r="K3793" s="26">
        <f>IF($A3793="","",SUMPRODUCT(--ISNUMBER(SEARCH('Category Dictionary'!$D$5:$D$135&amp;"",$C3793)),--('Category Dictionary'!$D$5:$D$135&lt;&gt;"")))</f>
        <v/>
      </c>
      <c r="L3793" s="27">
        <f>IF($A3793="","",TRIM(IF(ISERROR(FIND(",",$C3793)),$C3793,LEFT($C3793,FIND(",",$C3793)-1))))</f>
        <v/>
      </c>
      <c r="M3793" s="28">
        <f>IF($H3793="","",DATE(YEAR($H3793),MONTH($H3793),1))</f>
        <v/>
      </c>
      <c r="N3793" s="26">
        <f>IF($H3793="","",TODAY()-$H3793)</f>
        <v/>
      </c>
      <c r="O3793" s="15" t="n"/>
      <c r="P3793" s="15" t="n"/>
      <c r="Q3793" s="15" t="n"/>
      <c r="R3793" s="25" t="n"/>
      <c r="S3793" s="26">
        <f>IF($A3793="","",AND(OR('Assignment Builder'!$B$5="",$B3793='Assignment Builder'!$B$5),OR('Assignment Builder'!$B$6="",ISNUMBER(SEARCH('Assignment Builder'!$B$6,$C3793))),OR('Assignment Builder'!$B$7="",'Assignment Builder'!$B$7=IFERROR(INDEX('Category Dictionary'!$C$5:$C$135,MATCH($L3793,'Category Dictionary'!$D$5:$D$135,0)),"")),OR('Assignment Builder'!$B$8="",$D3793='Assignment Builder'!$B$8),OR('Assignment Builder'!$B$9="",$F3793='Assignment Builder'!$B$9),OR('Assignment Builder'!$B$10="",$O3793='Assignment Builder'!$B$10),OR('Assignment Builder'!$B$11="",$H3793&gt;='Assignment Builder'!$B$11),OR('Assignment Builder'!$B$12="",N($Q3793)&lt;='Assignment Builder'!$B$12)))</f>
        <v/>
      </c>
      <c r="T3793" s="23" t="n"/>
    </row>
    <row r="3794">
      <c r="A3794" s="23" t="n"/>
      <c r="B3794" s="23" t="n"/>
      <c r="C3794" s="24" t="n"/>
      <c r="D3794" s="15" t="n"/>
      <c r="E3794" s="23" t="n"/>
      <c r="F3794" s="15" t="n"/>
      <c r="G3794" s="23" t="n"/>
      <c r="H3794" s="25" t="n"/>
      <c r="I3794" s="15" t="n"/>
      <c r="J3794" s="26">
        <f>IF($A3794="","",LEN($C3794)-LEN(SUBSTITUTE($C3794,",",""))+1)</f>
        <v/>
      </c>
      <c r="K3794" s="26">
        <f>IF($A3794="","",SUMPRODUCT(--ISNUMBER(SEARCH('Category Dictionary'!$D$5:$D$135&amp;"",$C3794)),--('Category Dictionary'!$D$5:$D$135&lt;&gt;"")))</f>
        <v/>
      </c>
      <c r="L3794" s="27">
        <f>IF($A3794="","",TRIM(IF(ISERROR(FIND(",",$C3794)),$C3794,LEFT($C3794,FIND(",",$C3794)-1))))</f>
        <v/>
      </c>
      <c r="M3794" s="28">
        <f>IF($H3794="","",DATE(YEAR($H3794),MONTH($H3794),1))</f>
        <v/>
      </c>
      <c r="N3794" s="26">
        <f>IF($H3794="","",TODAY()-$H3794)</f>
        <v/>
      </c>
      <c r="O3794" s="15" t="n"/>
      <c r="P3794" s="15" t="n"/>
      <c r="Q3794" s="15" t="n"/>
      <c r="R3794" s="25" t="n"/>
      <c r="S3794" s="26">
        <f>IF($A3794="","",AND(OR('Assignment Builder'!$B$5="",$B3794='Assignment Builder'!$B$5),OR('Assignment Builder'!$B$6="",ISNUMBER(SEARCH('Assignment Builder'!$B$6,$C3794))),OR('Assignment Builder'!$B$7="",'Assignment Builder'!$B$7=IFERROR(INDEX('Category Dictionary'!$C$5:$C$135,MATCH($L3794,'Category Dictionary'!$D$5:$D$135,0)),"")),OR('Assignment Builder'!$B$8="",$D3794='Assignment Builder'!$B$8),OR('Assignment Builder'!$B$9="",$F3794='Assignment Builder'!$B$9),OR('Assignment Builder'!$B$10="",$O3794='Assignment Builder'!$B$10),OR('Assignment Builder'!$B$11="",$H3794&gt;='Assignment Builder'!$B$11),OR('Assignment Builder'!$B$12="",N($Q3794)&lt;='Assignment Builder'!$B$12)))</f>
        <v/>
      </c>
      <c r="T3794" s="23" t="n"/>
    </row>
    <row r="3795">
      <c r="A3795" s="23" t="n"/>
      <c r="B3795" s="23" t="n"/>
      <c r="C3795" s="24" t="n"/>
      <c r="D3795" s="15" t="n"/>
      <c r="E3795" s="23" t="n"/>
      <c r="F3795" s="15" t="n"/>
      <c r="G3795" s="23" t="n"/>
      <c r="H3795" s="25" t="n"/>
      <c r="I3795" s="15" t="n"/>
      <c r="J3795" s="26">
        <f>IF($A3795="","",LEN($C3795)-LEN(SUBSTITUTE($C3795,",",""))+1)</f>
        <v/>
      </c>
      <c r="K3795" s="26">
        <f>IF($A3795="","",SUMPRODUCT(--ISNUMBER(SEARCH('Category Dictionary'!$D$5:$D$135&amp;"",$C3795)),--('Category Dictionary'!$D$5:$D$135&lt;&gt;"")))</f>
        <v/>
      </c>
      <c r="L3795" s="27">
        <f>IF($A3795="","",TRIM(IF(ISERROR(FIND(",",$C3795)),$C3795,LEFT($C3795,FIND(",",$C3795)-1))))</f>
        <v/>
      </c>
      <c r="M3795" s="28">
        <f>IF($H3795="","",DATE(YEAR($H3795),MONTH($H3795),1))</f>
        <v/>
      </c>
      <c r="N3795" s="26">
        <f>IF($H3795="","",TODAY()-$H3795)</f>
        <v/>
      </c>
      <c r="O3795" s="15" t="n"/>
      <c r="P3795" s="15" t="n"/>
      <c r="Q3795" s="15" t="n"/>
      <c r="R3795" s="25" t="n"/>
      <c r="S3795" s="26">
        <f>IF($A3795="","",AND(OR('Assignment Builder'!$B$5="",$B3795='Assignment Builder'!$B$5),OR('Assignment Builder'!$B$6="",ISNUMBER(SEARCH('Assignment Builder'!$B$6,$C3795))),OR('Assignment Builder'!$B$7="",'Assignment Builder'!$B$7=IFERROR(INDEX('Category Dictionary'!$C$5:$C$135,MATCH($L3795,'Category Dictionary'!$D$5:$D$135,0)),"")),OR('Assignment Builder'!$B$8="",$D3795='Assignment Builder'!$B$8),OR('Assignment Builder'!$B$9="",$F3795='Assignment Builder'!$B$9),OR('Assignment Builder'!$B$10="",$O3795='Assignment Builder'!$B$10),OR('Assignment Builder'!$B$11="",$H3795&gt;='Assignment Builder'!$B$11),OR('Assignment Builder'!$B$12="",N($Q3795)&lt;='Assignment Builder'!$B$12)))</f>
        <v/>
      </c>
      <c r="T3795" s="23" t="n"/>
    </row>
    <row r="3796">
      <c r="A3796" s="23" t="n"/>
      <c r="B3796" s="23" t="n"/>
      <c r="C3796" s="24" t="n"/>
      <c r="D3796" s="15" t="n"/>
      <c r="E3796" s="23" t="n"/>
      <c r="F3796" s="15" t="n"/>
      <c r="G3796" s="23" t="n"/>
      <c r="H3796" s="25" t="n"/>
      <c r="I3796" s="15" t="n"/>
      <c r="J3796" s="26">
        <f>IF($A3796="","",LEN($C3796)-LEN(SUBSTITUTE($C3796,",",""))+1)</f>
        <v/>
      </c>
      <c r="K3796" s="26">
        <f>IF($A3796="","",SUMPRODUCT(--ISNUMBER(SEARCH('Category Dictionary'!$D$5:$D$135&amp;"",$C3796)),--('Category Dictionary'!$D$5:$D$135&lt;&gt;"")))</f>
        <v/>
      </c>
      <c r="L3796" s="27">
        <f>IF($A3796="","",TRIM(IF(ISERROR(FIND(",",$C3796)),$C3796,LEFT($C3796,FIND(",",$C3796)-1))))</f>
        <v/>
      </c>
      <c r="M3796" s="28">
        <f>IF($H3796="","",DATE(YEAR($H3796),MONTH($H3796),1))</f>
        <v/>
      </c>
      <c r="N3796" s="26">
        <f>IF($H3796="","",TODAY()-$H3796)</f>
        <v/>
      </c>
      <c r="O3796" s="15" t="n"/>
      <c r="P3796" s="15" t="n"/>
      <c r="Q3796" s="15" t="n"/>
      <c r="R3796" s="25" t="n"/>
      <c r="S3796" s="26">
        <f>IF($A3796="","",AND(OR('Assignment Builder'!$B$5="",$B3796='Assignment Builder'!$B$5),OR('Assignment Builder'!$B$6="",ISNUMBER(SEARCH('Assignment Builder'!$B$6,$C3796))),OR('Assignment Builder'!$B$7="",'Assignment Builder'!$B$7=IFERROR(INDEX('Category Dictionary'!$C$5:$C$135,MATCH($L3796,'Category Dictionary'!$D$5:$D$135,0)),"")),OR('Assignment Builder'!$B$8="",$D3796='Assignment Builder'!$B$8),OR('Assignment Builder'!$B$9="",$F3796='Assignment Builder'!$B$9),OR('Assignment Builder'!$B$10="",$O3796='Assignment Builder'!$B$10),OR('Assignment Builder'!$B$11="",$H3796&gt;='Assignment Builder'!$B$11),OR('Assignment Builder'!$B$12="",N($Q3796)&lt;='Assignment Builder'!$B$12)))</f>
        <v/>
      </c>
      <c r="T3796" s="23" t="n"/>
    </row>
    <row r="3797">
      <c r="A3797" s="23" t="n"/>
      <c r="B3797" s="23" t="n"/>
      <c r="C3797" s="24" t="n"/>
      <c r="D3797" s="15" t="n"/>
      <c r="E3797" s="23" t="n"/>
      <c r="F3797" s="15" t="n"/>
      <c r="G3797" s="23" t="n"/>
      <c r="H3797" s="25" t="n"/>
      <c r="I3797" s="15" t="n"/>
      <c r="J3797" s="26">
        <f>IF($A3797="","",LEN($C3797)-LEN(SUBSTITUTE($C3797,",",""))+1)</f>
        <v/>
      </c>
      <c r="K3797" s="26">
        <f>IF($A3797="","",SUMPRODUCT(--ISNUMBER(SEARCH('Category Dictionary'!$D$5:$D$135&amp;"",$C3797)),--('Category Dictionary'!$D$5:$D$135&lt;&gt;"")))</f>
        <v/>
      </c>
      <c r="L3797" s="27">
        <f>IF($A3797="","",TRIM(IF(ISERROR(FIND(",",$C3797)),$C3797,LEFT($C3797,FIND(",",$C3797)-1))))</f>
        <v/>
      </c>
      <c r="M3797" s="28">
        <f>IF($H3797="","",DATE(YEAR($H3797),MONTH($H3797),1))</f>
        <v/>
      </c>
      <c r="N3797" s="26">
        <f>IF($H3797="","",TODAY()-$H3797)</f>
        <v/>
      </c>
      <c r="O3797" s="15" t="n"/>
      <c r="P3797" s="15" t="n"/>
      <c r="Q3797" s="15" t="n"/>
      <c r="R3797" s="25" t="n"/>
      <c r="S3797" s="26">
        <f>IF($A3797="","",AND(OR('Assignment Builder'!$B$5="",$B3797='Assignment Builder'!$B$5),OR('Assignment Builder'!$B$6="",ISNUMBER(SEARCH('Assignment Builder'!$B$6,$C3797))),OR('Assignment Builder'!$B$7="",'Assignment Builder'!$B$7=IFERROR(INDEX('Category Dictionary'!$C$5:$C$135,MATCH($L3797,'Category Dictionary'!$D$5:$D$135,0)),"")),OR('Assignment Builder'!$B$8="",$D3797='Assignment Builder'!$B$8),OR('Assignment Builder'!$B$9="",$F3797='Assignment Builder'!$B$9),OR('Assignment Builder'!$B$10="",$O3797='Assignment Builder'!$B$10),OR('Assignment Builder'!$B$11="",$H3797&gt;='Assignment Builder'!$B$11),OR('Assignment Builder'!$B$12="",N($Q3797)&lt;='Assignment Builder'!$B$12)))</f>
        <v/>
      </c>
      <c r="T3797" s="23" t="n"/>
    </row>
    <row r="3798">
      <c r="A3798" s="23" t="n"/>
      <c r="B3798" s="23" t="n"/>
      <c r="C3798" s="24" t="n"/>
      <c r="D3798" s="15" t="n"/>
      <c r="E3798" s="23" t="n"/>
      <c r="F3798" s="15" t="n"/>
      <c r="G3798" s="23" t="n"/>
      <c r="H3798" s="25" t="n"/>
      <c r="I3798" s="15" t="n"/>
      <c r="J3798" s="26">
        <f>IF($A3798="","",LEN($C3798)-LEN(SUBSTITUTE($C3798,",",""))+1)</f>
        <v/>
      </c>
      <c r="K3798" s="26">
        <f>IF($A3798="","",SUMPRODUCT(--ISNUMBER(SEARCH('Category Dictionary'!$D$5:$D$135&amp;"",$C3798)),--('Category Dictionary'!$D$5:$D$135&lt;&gt;"")))</f>
        <v/>
      </c>
      <c r="L3798" s="27">
        <f>IF($A3798="","",TRIM(IF(ISERROR(FIND(",",$C3798)),$C3798,LEFT($C3798,FIND(",",$C3798)-1))))</f>
        <v/>
      </c>
      <c r="M3798" s="28">
        <f>IF($H3798="","",DATE(YEAR($H3798),MONTH($H3798),1))</f>
        <v/>
      </c>
      <c r="N3798" s="26">
        <f>IF($H3798="","",TODAY()-$H3798)</f>
        <v/>
      </c>
      <c r="O3798" s="15" t="n"/>
      <c r="P3798" s="15" t="n"/>
      <c r="Q3798" s="15" t="n"/>
      <c r="R3798" s="25" t="n"/>
      <c r="S3798" s="26">
        <f>IF($A3798="","",AND(OR('Assignment Builder'!$B$5="",$B3798='Assignment Builder'!$B$5),OR('Assignment Builder'!$B$6="",ISNUMBER(SEARCH('Assignment Builder'!$B$6,$C3798))),OR('Assignment Builder'!$B$7="",'Assignment Builder'!$B$7=IFERROR(INDEX('Category Dictionary'!$C$5:$C$135,MATCH($L3798,'Category Dictionary'!$D$5:$D$135,0)),"")),OR('Assignment Builder'!$B$8="",$D3798='Assignment Builder'!$B$8),OR('Assignment Builder'!$B$9="",$F3798='Assignment Builder'!$B$9),OR('Assignment Builder'!$B$10="",$O3798='Assignment Builder'!$B$10),OR('Assignment Builder'!$B$11="",$H3798&gt;='Assignment Builder'!$B$11),OR('Assignment Builder'!$B$12="",N($Q3798)&lt;='Assignment Builder'!$B$12)))</f>
        <v/>
      </c>
      <c r="T3798" s="23" t="n"/>
    </row>
    <row r="3799">
      <c r="A3799" s="23" t="n"/>
      <c r="B3799" s="23" t="n"/>
      <c r="C3799" s="24" t="n"/>
      <c r="D3799" s="15" t="n"/>
      <c r="E3799" s="23" t="n"/>
      <c r="F3799" s="15" t="n"/>
      <c r="G3799" s="23" t="n"/>
      <c r="H3799" s="25" t="n"/>
      <c r="I3799" s="15" t="n"/>
      <c r="J3799" s="26">
        <f>IF($A3799="","",LEN($C3799)-LEN(SUBSTITUTE($C3799,",",""))+1)</f>
        <v/>
      </c>
      <c r="K3799" s="26">
        <f>IF($A3799="","",SUMPRODUCT(--ISNUMBER(SEARCH('Category Dictionary'!$D$5:$D$135&amp;"",$C3799)),--('Category Dictionary'!$D$5:$D$135&lt;&gt;"")))</f>
        <v/>
      </c>
      <c r="L3799" s="27">
        <f>IF($A3799="","",TRIM(IF(ISERROR(FIND(",",$C3799)),$C3799,LEFT($C3799,FIND(",",$C3799)-1))))</f>
        <v/>
      </c>
      <c r="M3799" s="28">
        <f>IF($H3799="","",DATE(YEAR($H3799),MONTH($H3799),1))</f>
        <v/>
      </c>
      <c r="N3799" s="26">
        <f>IF($H3799="","",TODAY()-$H3799)</f>
        <v/>
      </c>
      <c r="O3799" s="15" t="n"/>
      <c r="P3799" s="15" t="n"/>
      <c r="Q3799" s="15" t="n"/>
      <c r="R3799" s="25" t="n"/>
      <c r="S3799" s="26">
        <f>IF($A3799="","",AND(OR('Assignment Builder'!$B$5="",$B3799='Assignment Builder'!$B$5),OR('Assignment Builder'!$B$6="",ISNUMBER(SEARCH('Assignment Builder'!$B$6,$C3799))),OR('Assignment Builder'!$B$7="",'Assignment Builder'!$B$7=IFERROR(INDEX('Category Dictionary'!$C$5:$C$135,MATCH($L3799,'Category Dictionary'!$D$5:$D$135,0)),"")),OR('Assignment Builder'!$B$8="",$D3799='Assignment Builder'!$B$8),OR('Assignment Builder'!$B$9="",$F3799='Assignment Builder'!$B$9),OR('Assignment Builder'!$B$10="",$O3799='Assignment Builder'!$B$10),OR('Assignment Builder'!$B$11="",$H3799&gt;='Assignment Builder'!$B$11),OR('Assignment Builder'!$B$12="",N($Q3799)&lt;='Assignment Builder'!$B$12)))</f>
        <v/>
      </c>
      <c r="T3799" s="23" t="n"/>
    </row>
    <row r="3800">
      <c r="A3800" s="23" t="n"/>
      <c r="B3800" s="23" t="n"/>
      <c r="C3800" s="24" t="n"/>
      <c r="D3800" s="15" t="n"/>
      <c r="E3800" s="23" t="n"/>
      <c r="F3800" s="15" t="n"/>
      <c r="G3800" s="23" t="n"/>
      <c r="H3800" s="25" t="n"/>
      <c r="I3800" s="15" t="n"/>
      <c r="J3800" s="26">
        <f>IF($A3800="","",LEN($C3800)-LEN(SUBSTITUTE($C3800,",",""))+1)</f>
        <v/>
      </c>
      <c r="K3800" s="26">
        <f>IF($A3800="","",SUMPRODUCT(--ISNUMBER(SEARCH('Category Dictionary'!$D$5:$D$135&amp;"",$C3800)),--('Category Dictionary'!$D$5:$D$135&lt;&gt;"")))</f>
        <v/>
      </c>
      <c r="L3800" s="27">
        <f>IF($A3800="","",TRIM(IF(ISERROR(FIND(",",$C3800)),$C3800,LEFT($C3800,FIND(",",$C3800)-1))))</f>
        <v/>
      </c>
      <c r="M3800" s="28">
        <f>IF($H3800="","",DATE(YEAR($H3800),MONTH($H3800),1))</f>
        <v/>
      </c>
      <c r="N3800" s="26">
        <f>IF($H3800="","",TODAY()-$H3800)</f>
        <v/>
      </c>
      <c r="O3800" s="15" t="n"/>
      <c r="P3800" s="15" t="n"/>
      <c r="Q3800" s="15" t="n"/>
      <c r="R3800" s="25" t="n"/>
      <c r="S3800" s="26">
        <f>IF($A3800="","",AND(OR('Assignment Builder'!$B$5="",$B3800='Assignment Builder'!$B$5),OR('Assignment Builder'!$B$6="",ISNUMBER(SEARCH('Assignment Builder'!$B$6,$C3800))),OR('Assignment Builder'!$B$7="",'Assignment Builder'!$B$7=IFERROR(INDEX('Category Dictionary'!$C$5:$C$135,MATCH($L3800,'Category Dictionary'!$D$5:$D$135,0)),"")),OR('Assignment Builder'!$B$8="",$D3800='Assignment Builder'!$B$8),OR('Assignment Builder'!$B$9="",$F3800='Assignment Builder'!$B$9),OR('Assignment Builder'!$B$10="",$O3800='Assignment Builder'!$B$10),OR('Assignment Builder'!$B$11="",$H3800&gt;='Assignment Builder'!$B$11),OR('Assignment Builder'!$B$12="",N($Q3800)&lt;='Assignment Builder'!$B$12)))</f>
        <v/>
      </c>
      <c r="T3800" s="23" t="n"/>
    </row>
    <row r="3801">
      <c r="A3801" s="23" t="n"/>
      <c r="B3801" s="23" t="n"/>
      <c r="C3801" s="24" t="n"/>
      <c r="D3801" s="15" t="n"/>
      <c r="E3801" s="23" t="n"/>
      <c r="F3801" s="15" t="n"/>
      <c r="G3801" s="23" t="n"/>
      <c r="H3801" s="25" t="n"/>
      <c r="I3801" s="15" t="n"/>
      <c r="J3801" s="26">
        <f>IF($A3801="","",LEN($C3801)-LEN(SUBSTITUTE($C3801,",",""))+1)</f>
        <v/>
      </c>
      <c r="K3801" s="26">
        <f>IF($A3801="","",SUMPRODUCT(--ISNUMBER(SEARCH('Category Dictionary'!$D$5:$D$135&amp;"",$C3801)),--('Category Dictionary'!$D$5:$D$135&lt;&gt;"")))</f>
        <v/>
      </c>
      <c r="L3801" s="27">
        <f>IF($A3801="","",TRIM(IF(ISERROR(FIND(",",$C3801)),$C3801,LEFT($C3801,FIND(",",$C3801)-1))))</f>
        <v/>
      </c>
      <c r="M3801" s="28">
        <f>IF($H3801="","",DATE(YEAR($H3801),MONTH($H3801),1))</f>
        <v/>
      </c>
      <c r="N3801" s="26">
        <f>IF($H3801="","",TODAY()-$H3801)</f>
        <v/>
      </c>
      <c r="O3801" s="15" t="n"/>
      <c r="P3801" s="15" t="n"/>
      <c r="Q3801" s="15" t="n"/>
      <c r="R3801" s="25" t="n"/>
      <c r="S3801" s="26">
        <f>IF($A3801="","",AND(OR('Assignment Builder'!$B$5="",$B3801='Assignment Builder'!$B$5),OR('Assignment Builder'!$B$6="",ISNUMBER(SEARCH('Assignment Builder'!$B$6,$C3801))),OR('Assignment Builder'!$B$7="",'Assignment Builder'!$B$7=IFERROR(INDEX('Category Dictionary'!$C$5:$C$135,MATCH($L3801,'Category Dictionary'!$D$5:$D$135,0)),"")),OR('Assignment Builder'!$B$8="",$D3801='Assignment Builder'!$B$8),OR('Assignment Builder'!$B$9="",$F3801='Assignment Builder'!$B$9),OR('Assignment Builder'!$B$10="",$O3801='Assignment Builder'!$B$10),OR('Assignment Builder'!$B$11="",$H3801&gt;='Assignment Builder'!$B$11),OR('Assignment Builder'!$B$12="",N($Q3801)&lt;='Assignment Builder'!$B$12)))</f>
        <v/>
      </c>
      <c r="T3801" s="23" t="n"/>
    </row>
    <row r="3802">
      <c r="A3802" s="23" t="n"/>
      <c r="B3802" s="23" t="n"/>
      <c r="C3802" s="24" t="n"/>
      <c r="D3802" s="15" t="n"/>
      <c r="E3802" s="23" t="n"/>
      <c r="F3802" s="15" t="n"/>
      <c r="G3802" s="23" t="n"/>
      <c r="H3802" s="25" t="n"/>
      <c r="I3802" s="15" t="n"/>
      <c r="J3802" s="26">
        <f>IF($A3802="","",LEN($C3802)-LEN(SUBSTITUTE($C3802,",",""))+1)</f>
        <v/>
      </c>
      <c r="K3802" s="26">
        <f>IF($A3802="","",SUMPRODUCT(--ISNUMBER(SEARCH('Category Dictionary'!$D$5:$D$135&amp;"",$C3802)),--('Category Dictionary'!$D$5:$D$135&lt;&gt;"")))</f>
        <v/>
      </c>
      <c r="L3802" s="27">
        <f>IF($A3802="","",TRIM(IF(ISERROR(FIND(",",$C3802)),$C3802,LEFT($C3802,FIND(",",$C3802)-1))))</f>
        <v/>
      </c>
      <c r="M3802" s="28">
        <f>IF($H3802="","",DATE(YEAR($H3802),MONTH($H3802),1))</f>
        <v/>
      </c>
      <c r="N3802" s="26">
        <f>IF($H3802="","",TODAY()-$H3802)</f>
        <v/>
      </c>
      <c r="O3802" s="15" t="n"/>
      <c r="P3802" s="15" t="n"/>
      <c r="Q3802" s="15" t="n"/>
      <c r="R3802" s="25" t="n"/>
      <c r="S3802" s="26">
        <f>IF($A3802="","",AND(OR('Assignment Builder'!$B$5="",$B3802='Assignment Builder'!$B$5),OR('Assignment Builder'!$B$6="",ISNUMBER(SEARCH('Assignment Builder'!$B$6,$C3802))),OR('Assignment Builder'!$B$7="",'Assignment Builder'!$B$7=IFERROR(INDEX('Category Dictionary'!$C$5:$C$135,MATCH($L3802,'Category Dictionary'!$D$5:$D$135,0)),"")),OR('Assignment Builder'!$B$8="",$D3802='Assignment Builder'!$B$8),OR('Assignment Builder'!$B$9="",$F3802='Assignment Builder'!$B$9),OR('Assignment Builder'!$B$10="",$O3802='Assignment Builder'!$B$10),OR('Assignment Builder'!$B$11="",$H3802&gt;='Assignment Builder'!$B$11),OR('Assignment Builder'!$B$12="",N($Q3802)&lt;='Assignment Builder'!$B$12)))</f>
        <v/>
      </c>
      <c r="T3802" s="23" t="n"/>
    </row>
    <row r="3803">
      <c r="A3803" s="23" t="n"/>
      <c r="B3803" s="23" t="n"/>
      <c r="C3803" s="24" t="n"/>
      <c r="D3803" s="15" t="n"/>
      <c r="E3803" s="23" t="n"/>
      <c r="F3803" s="15" t="n"/>
      <c r="G3803" s="23" t="n"/>
      <c r="H3803" s="25" t="n"/>
      <c r="I3803" s="15" t="n"/>
      <c r="J3803" s="26">
        <f>IF($A3803="","",LEN($C3803)-LEN(SUBSTITUTE($C3803,",",""))+1)</f>
        <v/>
      </c>
      <c r="K3803" s="26">
        <f>IF($A3803="","",SUMPRODUCT(--ISNUMBER(SEARCH('Category Dictionary'!$D$5:$D$135&amp;"",$C3803)),--('Category Dictionary'!$D$5:$D$135&lt;&gt;"")))</f>
        <v/>
      </c>
      <c r="L3803" s="27">
        <f>IF($A3803="","",TRIM(IF(ISERROR(FIND(",",$C3803)),$C3803,LEFT($C3803,FIND(",",$C3803)-1))))</f>
        <v/>
      </c>
      <c r="M3803" s="28">
        <f>IF($H3803="","",DATE(YEAR($H3803),MONTH($H3803),1))</f>
        <v/>
      </c>
      <c r="N3803" s="26">
        <f>IF($H3803="","",TODAY()-$H3803)</f>
        <v/>
      </c>
      <c r="O3803" s="15" t="n"/>
      <c r="P3803" s="15" t="n"/>
      <c r="Q3803" s="15" t="n"/>
      <c r="R3803" s="25" t="n"/>
      <c r="S3803" s="26">
        <f>IF($A3803="","",AND(OR('Assignment Builder'!$B$5="",$B3803='Assignment Builder'!$B$5),OR('Assignment Builder'!$B$6="",ISNUMBER(SEARCH('Assignment Builder'!$B$6,$C3803))),OR('Assignment Builder'!$B$7="",'Assignment Builder'!$B$7=IFERROR(INDEX('Category Dictionary'!$C$5:$C$135,MATCH($L3803,'Category Dictionary'!$D$5:$D$135,0)),"")),OR('Assignment Builder'!$B$8="",$D3803='Assignment Builder'!$B$8),OR('Assignment Builder'!$B$9="",$F3803='Assignment Builder'!$B$9),OR('Assignment Builder'!$B$10="",$O3803='Assignment Builder'!$B$10),OR('Assignment Builder'!$B$11="",$H3803&gt;='Assignment Builder'!$B$11),OR('Assignment Builder'!$B$12="",N($Q3803)&lt;='Assignment Builder'!$B$12)))</f>
        <v/>
      </c>
      <c r="T3803" s="23" t="n"/>
    </row>
    <row r="3804">
      <c r="A3804" s="23" t="n"/>
      <c r="B3804" s="23" t="n"/>
      <c r="C3804" s="24" t="n"/>
      <c r="D3804" s="15" t="n"/>
      <c r="E3804" s="23" t="n"/>
      <c r="F3804" s="15" t="n"/>
      <c r="G3804" s="23" t="n"/>
      <c r="H3804" s="25" t="n"/>
      <c r="I3804" s="15" t="n"/>
      <c r="J3804" s="26">
        <f>IF($A3804="","",LEN($C3804)-LEN(SUBSTITUTE($C3804,",",""))+1)</f>
        <v/>
      </c>
      <c r="K3804" s="26">
        <f>IF($A3804="","",SUMPRODUCT(--ISNUMBER(SEARCH('Category Dictionary'!$D$5:$D$135&amp;"",$C3804)),--('Category Dictionary'!$D$5:$D$135&lt;&gt;"")))</f>
        <v/>
      </c>
      <c r="L3804" s="27">
        <f>IF($A3804="","",TRIM(IF(ISERROR(FIND(",",$C3804)),$C3804,LEFT($C3804,FIND(",",$C3804)-1))))</f>
        <v/>
      </c>
      <c r="M3804" s="28">
        <f>IF($H3804="","",DATE(YEAR($H3804),MONTH($H3804),1))</f>
        <v/>
      </c>
      <c r="N3804" s="26">
        <f>IF($H3804="","",TODAY()-$H3804)</f>
        <v/>
      </c>
      <c r="O3804" s="15" t="n"/>
      <c r="P3804" s="15" t="n"/>
      <c r="Q3804" s="15" t="n"/>
      <c r="R3804" s="25" t="n"/>
      <c r="S3804" s="26">
        <f>IF($A3804="","",AND(OR('Assignment Builder'!$B$5="",$B3804='Assignment Builder'!$B$5),OR('Assignment Builder'!$B$6="",ISNUMBER(SEARCH('Assignment Builder'!$B$6,$C3804))),OR('Assignment Builder'!$B$7="",'Assignment Builder'!$B$7=IFERROR(INDEX('Category Dictionary'!$C$5:$C$135,MATCH($L3804,'Category Dictionary'!$D$5:$D$135,0)),"")),OR('Assignment Builder'!$B$8="",$D3804='Assignment Builder'!$B$8),OR('Assignment Builder'!$B$9="",$F3804='Assignment Builder'!$B$9),OR('Assignment Builder'!$B$10="",$O3804='Assignment Builder'!$B$10),OR('Assignment Builder'!$B$11="",$H3804&gt;='Assignment Builder'!$B$11),OR('Assignment Builder'!$B$12="",N($Q3804)&lt;='Assignment Builder'!$B$12)))</f>
        <v/>
      </c>
      <c r="T3804" s="23" t="n"/>
    </row>
    <row r="3805">
      <c r="A3805" s="23" t="n"/>
      <c r="B3805" s="23" t="n"/>
      <c r="C3805" s="24" t="n"/>
      <c r="D3805" s="15" t="n"/>
      <c r="E3805" s="23" t="n"/>
      <c r="F3805" s="15" t="n"/>
      <c r="G3805" s="23" t="n"/>
      <c r="H3805" s="25" t="n"/>
      <c r="I3805" s="15" t="n"/>
      <c r="J3805" s="26">
        <f>IF($A3805="","",LEN($C3805)-LEN(SUBSTITUTE($C3805,",",""))+1)</f>
        <v/>
      </c>
      <c r="K3805" s="26">
        <f>IF($A3805="","",SUMPRODUCT(--ISNUMBER(SEARCH('Category Dictionary'!$D$5:$D$135&amp;"",$C3805)),--('Category Dictionary'!$D$5:$D$135&lt;&gt;"")))</f>
        <v/>
      </c>
      <c r="L3805" s="27">
        <f>IF($A3805="","",TRIM(IF(ISERROR(FIND(",",$C3805)),$C3805,LEFT($C3805,FIND(",",$C3805)-1))))</f>
        <v/>
      </c>
      <c r="M3805" s="28">
        <f>IF($H3805="","",DATE(YEAR($H3805),MONTH($H3805),1))</f>
        <v/>
      </c>
      <c r="N3805" s="26">
        <f>IF($H3805="","",TODAY()-$H3805)</f>
        <v/>
      </c>
      <c r="O3805" s="15" t="n"/>
      <c r="P3805" s="15" t="n"/>
      <c r="Q3805" s="15" t="n"/>
      <c r="R3805" s="25" t="n"/>
      <c r="S3805" s="26">
        <f>IF($A3805="","",AND(OR('Assignment Builder'!$B$5="",$B3805='Assignment Builder'!$B$5),OR('Assignment Builder'!$B$6="",ISNUMBER(SEARCH('Assignment Builder'!$B$6,$C3805))),OR('Assignment Builder'!$B$7="",'Assignment Builder'!$B$7=IFERROR(INDEX('Category Dictionary'!$C$5:$C$135,MATCH($L3805,'Category Dictionary'!$D$5:$D$135,0)),"")),OR('Assignment Builder'!$B$8="",$D3805='Assignment Builder'!$B$8),OR('Assignment Builder'!$B$9="",$F3805='Assignment Builder'!$B$9),OR('Assignment Builder'!$B$10="",$O3805='Assignment Builder'!$B$10),OR('Assignment Builder'!$B$11="",$H3805&gt;='Assignment Builder'!$B$11),OR('Assignment Builder'!$B$12="",N($Q3805)&lt;='Assignment Builder'!$B$12)))</f>
        <v/>
      </c>
      <c r="T3805" s="23" t="n"/>
    </row>
    <row r="3806">
      <c r="A3806" s="23" t="n"/>
      <c r="B3806" s="23" t="n"/>
      <c r="C3806" s="24" t="n"/>
      <c r="D3806" s="15" t="n"/>
      <c r="E3806" s="23" t="n"/>
      <c r="F3806" s="15" t="n"/>
      <c r="G3806" s="23" t="n"/>
      <c r="H3806" s="25" t="n"/>
      <c r="I3806" s="15" t="n"/>
      <c r="J3806" s="26">
        <f>IF($A3806="","",LEN($C3806)-LEN(SUBSTITUTE($C3806,",",""))+1)</f>
        <v/>
      </c>
      <c r="K3806" s="26">
        <f>IF($A3806="","",SUMPRODUCT(--ISNUMBER(SEARCH('Category Dictionary'!$D$5:$D$135&amp;"",$C3806)),--('Category Dictionary'!$D$5:$D$135&lt;&gt;"")))</f>
        <v/>
      </c>
      <c r="L3806" s="27">
        <f>IF($A3806="","",TRIM(IF(ISERROR(FIND(",",$C3806)),$C3806,LEFT($C3806,FIND(",",$C3806)-1))))</f>
        <v/>
      </c>
      <c r="M3806" s="28">
        <f>IF($H3806="","",DATE(YEAR($H3806),MONTH($H3806),1))</f>
        <v/>
      </c>
      <c r="N3806" s="26">
        <f>IF($H3806="","",TODAY()-$H3806)</f>
        <v/>
      </c>
      <c r="O3806" s="15" t="n"/>
      <c r="P3806" s="15" t="n"/>
      <c r="Q3806" s="15" t="n"/>
      <c r="R3806" s="25" t="n"/>
      <c r="S3806" s="26">
        <f>IF($A3806="","",AND(OR('Assignment Builder'!$B$5="",$B3806='Assignment Builder'!$B$5),OR('Assignment Builder'!$B$6="",ISNUMBER(SEARCH('Assignment Builder'!$B$6,$C3806))),OR('Assignment Builder'!$B$7="",'Assignment Builder'!$B$7=IFERROR(INDEX('Category Dictionary'!$C$5:$C$135,MATCH($L3806,'Category Dictionary'!$D$5:$D$135,0)),"")),OR('Assignment Builder'!$B$8="",$D3806='Assignment Builder'!$B$8),OR('Assignment Builder'!$B$9="",$F3806='Assignment Builder'!$B$9),OR('Assignment Builder'!$B$10="",$O3806='Assignment Builder'!$B$10),OR('Assignment Builder'!$B$11="",$H3806&gt;='Assignment Builder'!$B$11),OR('Assignment Builder'!$B$12="",N($Q3806)&lt;='Assignment Builder'!$B$12)))</f>
        <v/>
      </c>
      <c r="T3806" s="23" t="n"/>
    </row>
    <row r="3807">
      <c r="A3807" s="23" t="n"/>
      <c r="B3807" s="23" t="n"/>
      <c r="C3807" s="24" t="n"/>
      <c r="D3807" s="15" t="n"/>
      <c r="E3807" s="23" t="n"/>
      <c r="F3807" s="15" t="n"/>
      <c r="G3807" s="23" t="n"/>
      <c r="H3807" s="25" t="n"/>
      <c r="I3807" s="15" t="n"/>
      <c r="J3807" s="26">
        <f>IF($A3807="","",LEN($C3807)-LEN(SUBSTITUTE($C3807,",",""))+1)</f>
        <v/>
      </c>
      <c r="K3807" s="26">
        <f>IF($A3807="","",SUMPRODUCT(--ISNUMBER(SEARCH('Category Dictionary'!$D$5:$D$135&amp;"",$C3807)),--('Category Dictionary'!$D$5:$D$135&lt;&gt;"")))</f>
        <v/>
      </c>
      <c r="L3807" s="27">
        <f>IF($A3807="","",TRIM(IF(ISERROR(FIND(",",$C3807)),$C3807,LEFT($C3807,FIND(",",$C3807)-1))))</f>
        <v/>
      </c>
      <c r="M3807" s="28">
        <f>IF($H3807="","",DATE(YEAR($H3807),MONTH($H3807),1))</f>
        <v/>
      </c>
      <c r="N3807" s="26">
        <f>IF($H3807="","",TODAY()-$H3807)</f>
        <v/>
      </c>
      <c r="O3807" s="15" t="n"/>
      <c r="P3807" s="15" t="n"/>
      <c r="Q3807" s="15" t="n"/>
      <c r="R3807" s="25" t="n"/>
      <c r="S3807" s="26">
        <f>IF($A3807="","",AND(OR('Assignment Builder'!$B$5="",$B3807='Assignment Builder'!$B$5),OR('Assignment Builder'!$B$6="",ISNUMBER(SEARCH('Assignment Builder'!$B$6,$C3807))),OR('Assignment Builder'!$B$7="",'Assignment Builder'!$B$7=IFERROR(INDEX('Category Dictionary'!$C$5:$C$135,MATCH($L3807,'Category Dictionary'!$D$5:$D$135,0)),"")),OR('Assignment Builder'!$B$8="",$D3807='Assignment Builder'!$B$8),OR('Assignment Builder'!$B$9="",$F3807='Assignment Builder'!$B$9),OR('Assignment Builder'!$B$10="",$O3807='Assignment Builder'!$B$10),OR('Assignment Builder'!$B$11="",$H3807&gt;='Assignment Builder'!$B$11),OR('Assignment Builder'!$B$12="",N($Q3807)&lt;='Assignment Builder'!$B$12)))</f>
        <v/>
      </c>
      <c r="T3807" s="23" t="n"/>
    </row>
    <row r="3808">
      <c r="A3808" s="23" t="n"/>
      <c r="B3808" s="23" t="n"/>
      <c r="C3808" s="24" t="n"/>
      <c r="D3808" s="15" t="n"/>
      <c r="E3808" s="23" t="n"/>
      <c r="F3808" s="15" t="n"/>
      <c r="G3808" s="23" t="n"/>
      <c r="H3808" s="25" t="n"/>
      <c r="I3808" s="15" t="n"/>
      <c r="J3808" s="26">
        <f>IF($A3808="","",LEN($C3808)-LEN(SUBSTITUTE($C3808,",",""))+1)</f>
        <v/>
      </c>
      <c r="K3808" s="26">
        <f>IF($A3808="","",SUMPRODUCT(--ISNUMBER(SEARCH('Category Dictionary'!$D$5:$D$135&amp;"",$C3808)),--('Category Dictionary'!$D$5:$D$135&lt;&gt;"")))</f>
        <v/>
      </c>
      <c r="L3808" s="27">
        <f>IF($A3808="","",TRIM(IF(ISERROR(FIND(",",$C3808)),$C3808,LEFT($C3808,FIND(",",$C3808)-1))))</f>
        <v/>
      </c>
      <c r="M3808" s="28">
        <f>IF($H3808="","",DATE(YEAR($H3808),MONTH($H3808),1))</f>
        <v/>
      </c>
      <c r="N3808" s="26">
        <f>IF($H3808="","",TODAY()-$H3808)</f>
        <v/>
      </c>
      <c r="O3808" s="15" t="n"/>
      <c r="P3808" s="15" t="n"/>
      <c r="Q3808" s="15" t="n"/>
      <c r="R3808" s="25" t="n"/>
      <c r="S3808" s="26">
        <f>IF($A3808="","",AND(OR('Assignment Builder'!$B$5="",$B3808='Assignment Builder'!$B$5),OR('Assignment Builder'!$B$6="",ISNUMBER(SEARCH('Assignment Builder'!$B$6,$C3808))),OR('Assignment Builder'!$B$7="",'Assignment Builder'!$B$7=IFERROR(INDEX('Category Dictionary'!$C$5:$C$135,MATCH($L3808,'Category Dictionary'!$D$5:$D$135,0)),"")),OR('Assignment Builder'!$B$8="",$D3808='Assignment Builder'!$B$8),OR('Assignment Builder'!$B$9="",$F3808='Assignment Builder'!$B$9),OR('Assignment Builder'!$B$10="",$O3808='Assignment Builder'!$B$10),OR('Assignment Builder'!$B$11="",$H3808&gt;='Assignment Builder'!$B$11),OR('Assignment Builder'!$B$12="",N($Q3808)&lt;='Assignment Builder'!$B$12)))</f>
        <v/>
      </c>
      <c r="T3808" s="23" t="n"/>
    </row>
    <row r="3809">
      <c r="A3809" s="23" t="n"/>
      <c r="B3809" s="23" t="n"/>
      <c r="C3809" s="24" t="n"/>
      <c r="D3809" s="15" t="n"/>
      <c r="E3809" s="23" t="n"/>
      <c r="F3809" s="15" t="n"/>
      <c r="G3809" s="23" t="n"/>
      <c r="H3809" s="25" t="n"/>
      <c r="I3809" s="15" t="n"/>
      <c r="J3809" s="26">
        <f>IF($A3809="","",LEN($C3809)-LEN(SUBSTITUTE($C3809,",",""))+1)</f>
        <v/>
      </c>
      <c r="K3809" s="26">
        <f>IF($A3809="","",SUMPRODUCT(--ISNUMBER(SEARCH('Category Dictionary'!$D$5:$D$135&amp;"",$C3809)),--('Category Dictionary'!$D$5:$D$135&lt;&gt;"")))</f>
        <v/>
      </c>
      <c r="L3809" s="27">
        <f>IF($A3809="","",TRIM(IF(ISERROR(FIND(",",$C3809)),$C3809,LEFT($C3809,FIND(",",$C3809)-1))))</f>
        <v/>
      </c>
      <c r="M3809" s="28">
        <f>IF($H3809="","",DATE(YEAR($H3809),MONTH($H3809),1))</f>
        <v/>
      </c>
      <c r="N3809" s="26">
        <f>IF($H3809="","",TODAY()-$H3809)</f>
        <v/>
      </c>
      <c r="O3809" s="15" t="n"/>
      <c r="P3809" s="15" t="n"/>
      <c r="Q3809" s="15" t="n"/>
      <c r="R3809" s="25" t="n"/>
      <c r="S3809" s="26">
        <f>IF($A3809="","",AND(OR('Assignment Builder'!$B$5="",$B3809='Assignment Builder'!$B$5),OR('Assignment Builder'!$B$6="",ISNUMBER(SEARCH('Assignment Builder'!$B$6,$C3809))),OR('Assignment Builder'!$B$7="",'Assignment Builder'!$B$7=IFERROR(INDEX('Category Dictionary'!$C$5:$C$135,MATCH($L3809,'Category Dictionary'!$D$5:$D$135,0)),"")),OR('Assignment Builder'!$B$8="",$D3809='Assignment Builder'!$B$8),OR('Assignment Builder'!$B$9="",$F3809='Assignment Builder'!$B$9),OR('Assignment Builder'!$B$10="",$O3809='Assignment Builder'!$B$10),OR('Assignment Builder'!$B$11="",$H3809&gt;='Assignment Builder'!$B$11),OR('Assignment Builder'!$B$12="",N($Q3809)&lt;='Assignment Builder'!$B$12)))</f>
        <v/>
      </c>
      <c r="T3809" s="23" t="n"/>
    </row>
    <row r="3810">
      <c r="A3810" s="23" t="n"/>
      <c r="B3810" s="23" t="n"/>
      <c r="C3810" s="24" t="n"/>
      <c r="D3810" s="15" t="n"/>
      <c r="E3810" s="23" t="n"/>
      <c r="F3810" s="15" t="n"/>
      <c r="G3810" s="23" t="n"/>
      <c r="H3810" s="25" t="n"/>
      <c r="I3810" s="15" t="n"/>
      <c r="J3810" s="26">
        <f>IF($A3810="","",LEN($C3810)-LEN(SUBSTITUTE($C3810,",",""))+1)</f>
        <v/>
      </c>
      <c r="K3810" s="26">
        <f>IF($A3810="","",SUMPRODUCT(--ISNUMBER(SEARCH('Category Dictionary'!$D$5:$D$135&amp;"",$C3810)),--('Category Dictionary'!$D$5:$D$135&lt;&gt;"")))</f>
        <v/>
      </c>
      <c r="L3810" s="27">
        <f>IF($A3810="","",TRIM(IF(ISERROR(FIND(",",$C3810)),$C3810,LEFT($C3810,FIND(",",$C3810)-1))))</f>
        <v/>
      </c>
      <c r="M3810" s="28">
        <f>IF($H3810="","",DATE(YEAR($H3810),MONTH($H3810),1))</f>
        <v/>
      </c>
      <c r="N3810" s="26">
        <f>IF($H3810="","",TODAY()-$H3810)</f>
        <v/>
      </c>
      <c r="O3810" s="15" t="n"/>
      <c r="P3810" s="15" t="n"/>
      <c r="Q3810" s="15" t="n"/>
      <c r="R3810" s="25" t="n"/>
      <c r="S3810" s="26">
        <f>IF($A3810="","",AND(OR('Assignment Builder'!$B$5="",$B3810='Assignment Builder'!$B$5),OR('Assignment Builder'!$B$6="",ISNUMBER(SEARCH('Assignment Builder'!$B$6,$C3810))),OR('Assignment Builder'!$B$7="",'Assignment Builder'!$B$7=IFERROR(INDEX('Category Dictionary'!$C$5:$C$135,MATCH($L3810,'Category Dictionary'!$D$5:$D$135,0)),"")),OR('Assignment Builder'!$B$8="",$D3810='Assignment Builder'!$B$8),OR('Assignment Builder'!$B$9="",$F3810='Assignment Builder'!$B$9),OR('Assignment Builder'!$B$10="",$O3810='Assignment Builder'!$B$10),OR('Assignment Builder'!$B$11="",$H3810&gt;='Assignment Builder'!$B$11),OR('Assignment Builder'!$B$12="",N($Q3810)&lt;='Assignment Builder'!$B$12)))</f>
        <v/>
      </c>
      <c r="T3810" s="23" t="n"/>
    </row>
    <row r="3811">
      <c r="A3811" s="23" t="n"/>
      <c r="B3811" s="23" t="n"/>
      <c r="C3811" s="24" t="n"/>
      <c r="D3811" s="15" t="n"/>
      <c r="E3811" s="23" t="n"/>
      <c r="F3811" s="15" t="n"/>
      <c r="G3811" s="23" t="n"/>
      <c r="H3811" s="25" t="n"/>
      <c r="I3811" s="15" t="n"/>
      <c r="J3811" s="26">
        <f>IF($A3811="","",LEN($C3811)-LEN(SUBSTITUTE($C3811,",",""))+1)</f>
        <v/>
      </c>
      <c r="K3811" s="26">
        <f>IF($A3811="","",SUMPRODUCT(--ISNUMBER(SEARCH('Category Dictionary'!$D$5:$D$135&amp;"",$C3811)),--('Category Dictionary'!$D$5:$D$135&lt;&gt;"")))</f>
        <v/>
      </c>
      <c r="L3811" s="27">
        <f>IF($A3811="","",TRIM(IF(ISERROR(FIND(",",$C3811)),$C3811,LEFT($C3811,FIND(",",$C3811)-1))))</f>
        <v/>
      </c>
      <c r="M3811" s="28">
        <f>IF($H3811="","",DATE(YEAR($H3811),MONTH($H3811),1))</f>
        <v/>
      </c>
      <c r="N3811" s="26">
        <f>IF($H3811="","",TODAY()-$H3811)</f>
        <v/>
      </c>
      <c r="O3811" s="15" t="n"/>
      <c r="P3811" s="15" t="n"/>
      <c r="Q3811" s="15" t="n"/>
      <c r="R3811" s="25" t="n"/>
      <c r="S3811" s="26">
        <f>IF($A3811="","",AND(OR('Assignment Builder'!$B$5="",$B3811='Assignment Builder'!$B$5),OR('Assignment Builder'!$B$6="",ISNUMBER(SEARCH('Assignment Builder'!$B$6,$C3811))),OR('Assignment Builder'!$B$7="",'Assignment Builder'!$B$7=IFERROR(INDEX('Category Dictionary'!$C$5:$C$135,MATCH($L3811,'Category Dictionary'!$D$5:$D$135,0)),"")),OR('Assignment Builder'!$B$8="",$D3811='Assignment Builder'!$B$8),OR('Assignment Builder'!$B$9="",$F3811='Assignment Builder'!$B$9),OR('Assignment Builder'!$B$10="",$O3811='Assignment Builder'!$B$10),OR('Assignment Builder'!$B$11="",$H3811&gt;='Assignment Builder'!$B$11),OR('Assignment Builder'!$B$12="",N($Q3811)&lt;='Assignment Builder'!$B$12)))</f>
        <v/>
      </c>
      <c r="T3811" s="23" t="n"/>
    </row>
    <row r="3812">
      <c r="A3812" s="23" t="n"/>
      <c r="B3812" s="23" t="n"/>
      <c r="C3812" s="24" t="n"/>
      <c r="D3812" s="15" t="n"/>
      <c r="E3812" s="23" t="n"/>
      <c r="F3812" s="15" t="n"/>
      <c r="G3812" s="23" t="n"/>
      <c r="H3812" s="25" t="n"/>
      <c r="I3812" s="15" t="n"/>
      <c r="J3812" s="26">
        <f>IF($A3812="","",LEN($C3812)-LEN(SUBSTITUTE($C3812,",",""))+1)</f>
        <v/>
      </c>
      <c r="K3812" s="26">
        <f>IF($A3812="","",SUMPRODUCT(--ISNUMBER(SEARCH('Category Dictionary'!$D$5:$D$135&amp;"",$C3812)),--('Category Dictionary'!$D$5:$D$135&lt;&gt;"")))</f>
        <v/>
      </c>
      <c r="L3812" s="27">
        <f>IF($A3812="","",TRIM(IF(ISERROR(FIND(",",$C3812)),$C3812,LEFT($C3812,FIND(",",$C3812)-1))))</f>
        <v/>
      </c>
      <c r="M3812" s="28">
        <f>IF($H3812="","",DATE(YEAR($H3812),MONTH($H3812),1))</f>
        <v/>
      </c>
      <c r="N3812" s="26">
        <f>IF($H3812="","",TODAY()-$H3812)</f>
        <v/>
      </c>
      <c r="O3812" s="15" t="n"/>
      <c r="P3812" s="15" t="n"/>
      <c r="Q3812" s="15" t="n"/>
      <c r="R3812" s="25" t="n"/>
      <c r="S3812" s="26">
        <f>IF($A3812="","",AND(OR('Assignment Builder'!$B$5="",$B3812='Assignment Builder'!$B$5),OR('Assignment Builder'!$B$6="",ISNUMBER(SEARCH('Assignment Builder'!$B$6,$C3812))),OR('Assignment Builder'!$B$7="",'Assignment Builder'!$B$7=IFERROR(INDEX('Category Dictionary'!$C$5:$C$135,MATCH($L3812,'Category Dictionary'!$D$5:$D$135,0)),"")),OR('Assignment Builder'!$B$8="",$D3812='Assignment Builder'!$B$8),OR('Assignment Builder'!$B$9="",$F3812='Assignment Builder'!$B$9),OR('Assignment Builder'!$B$10="",$O3812='Assignment Builder'!$B$10),OR('Assignment Builder'!$B$11="",$H3812&gt;='Assignment Builder'!$B$11),OR('Assignment Builder'!$B$12="",N($Q3812)&lt;='Assignment Builder'!$B$12)))</f>
        <v/>
      </c>
      <c r="T3812" s="23" t="n"/>
    </row>
    <row r="3813">
      <c r="A3813" s="23" t="n"/>
      <c r="B3813" s="23" t="n"/>
      <c r="C3813" s="24" t="n"/>
      <c r="D3813" s="15" t="n"/>
      <c r="E3813" s="23" t="n"/>
      <c r="F3813" s="15" t="n"/>
      <c r="G3813" s="23" t="n"/>
      <c r="H3813" s="25" t="n"/>
      <c r="I3813" s="15" t="n"/>
      <c r="J3813" s="26">
        <f>IF($A3813="","",LEN($C3813)-LEN(SUBSTITUTE($C3813,",",""))+1)</f>
        <v/>
      </c>
      <c r="K3813" s="26">
        <f>IF($A3813="","",SUMPRODUCT(--ISNUMBER(SEARCH('Category Dictionary'!$D$5:$D$135&amp;"",$C3813)),--('Category Dictionary'!$D$5:$D$135&lt;&gt;"")))</f>
        <v/>
      </c>
      <c r="L3813" s="27">
        <f>IF($A3813="","",TRIM(IF(ISERROR(FIND(",",$C3813)),$C3813,LEFT($C3813,FIND(",",$C3813)-1))))</f>
        <v/>
      </c>
      <c r="M3813" s="28">
        <f>IF($H3813="","",DATE(YEAR($H3813),MONTH($H3813),1))</f>
        <v/>
      </c>
      <c r="N3813" s="26">
        <f>IF($H3813="","",TODAY()-$H3813)</f>
        <v/>
      </c>
      <c r="O3813" s="15" t="n"/>
      <c r="P3813" s="15" t="n"/>
      <c r="Q3813" s="15" t="n"/>
      <c r="R3813" s="25" t="n"/>
      <c r="S3813" s="26">
        <f>IF($A3813="","",AND(OR('Assignment Builder'!$B$5="",$B3813='Assignment Builder'!$B$5),OR('Assignment Builder'!$B$6="",ISNUMBER(SEARCH('Assignment Builder'!$B$6,$C3813))),OR('Assignment Builder'!$B$7="",'Assignment Builder'!$B$7=IFERROR(INDEX('Category Dictionary'!$C$5:$C$135,MATCH($L3813,'Category Dictionary'!$D$5:$D$135,0)),"")),OR('Assignment Builder'!$B$8="",$D3813='Assignment Builder'!$B$8),OR('Assignment Builder'!$B$9="",$F3813='Assignment Builder'!$B$9),OR('Assignment Builder'!$B$10="",$O3813='Assignment Builder'!$B$10),OR('Assignment Builder'!$B$11="",$H3813&gt;='Assignment Builder'!$B$11),OR('Assignment Builder'!$B$12="",N($Q3813)&lt;='Assignment Builder'!$B$12)))</f>
        <v/>
      </c>
      <c r="T3813" s="23" t="n"/>
    </row>
    <row r="3814">
      <c r="A3814" s="23" t="n"/>
      <c r="B3814" s="23" t="n"/>
      <c r="C3814" s="24" t="n"/>
      <c r="D3814" s="15" t="n"/>
      <c r="E3814" s="23" t="n"/>
      <c r="F3814" s="15" t="n"/>
      <c r="G3814" s="23" t="n"/>
      <c r="H3814" s="25" t="n"/>
      <c r="I3814" s="15" t="n"/>
      <c r="J3814" s="26">
        <f>IF($A3814="","",LEN($C3814)-LEN(SUBSTITUTE($C3814,",",""))+1)</f>
        <v/>
      </c>
      <c r="K3814" s="26">
        <f>IF($A3814="","",SUMPRODUCT(--ISNUMBER(SEARCH('Category Dictionary'!$D$5:$D$135&amp;"",$C3814)),--('Category Dictionary'!$D$5:$D$135&lt;&gt;"")))</f>
        <v/>
      </c>
      <c r="L3814" s="27">
        <f>IF($A3814="","",TRIM(IF(ISERROR(FIND(",",$C3814)),$C3814,LEFT($C3814,FIND(",",$C3814)-1))))</f>
        <v/>
      </c>
      <c r="M3814" s="28">
        <f>IF($H3814="","",DATE(YEAR($H3814),MONTH($H3814),1))</f>
        <v/>
      </c>
      <c r="N3814" s="26">
        <f>IF($H3814="","",TODAY()-$H3814)</f>
        <v/>
      </c>
      <c r="O3814" s="15" t="n"/>
      <c r="P3814" s="15" t="n"/>
      <c r="Q3814" s="15" t="n"/>
      <c r="R3814" s="25" t="n"/>
      <c r="S3814" s="26">
        <f>IF($A3814="","",AND(OR('Assignment Builder'!$B$5="",$B3814='Assignment Builder'!$B$5),OR('Assignment Builder'!$B$6="",ISNUMBER(SEARCH('Assignment Builder'!$B$6,$C3814))),OR('Assignment Builder'!$B$7="",'Assignment Builder'!$B$7=IFERROR(INDEX('Category Dictionary'!$C$5:$C$135,MATCH($L3814,'Category Dictionary'!$D$5:$D$135,0)),"")),OR('Assignment Builder'!$B$8="",$D3814='Assignment Builder'!$B$8),OR('Assignment Builder'!$B$9="",$F3814='Assignment Builder'!$B$9),OR('Assignment Builder'!$B$10="",$O3814='Assignment Builder'!$B$10),OR('Assignment Builder'!$B$11="",$H3814&gt;='Assignment Builder'!$B$11),OR('Assignment Builder'!$B$12="",N($Q3814)&lt;='Assignment Builder'!$B$12)))</f>
        <v/>
      </c>
      <c r="T3814" s="23" t="n"/>
    </row>
    <row r="3815">
      <c r="A3815" s="23" t="n"/>
      <c r="B3815" s="23" t="n"/>
      <c r="C3815" s="24" t="n"/>
      <c r="D3815" s="15" t="n"/>
      <c r="E3815" s="23" t="n"/>
      <c r="F3815" s="15" t="n"/>
      <c r="G3815" s="23" t="n"/>
      <c r="H3815" s="25" t="n"/>
      <c r="I3815" s="15" t="n"/>
      <c r="J3815" s="26">
        <f>IF($A3815="","",LEN($C3815)-LEN(SUBSTITUTE($C3815,",",""))+1)</f>
        <v/>
      </c>
      <c r="K3815" s="26">
        <f>IF($A3815="","",SUMPRODUCT(--ISNUMBER(SEARCH('Category Dictionary'!$D$5:$D$135&amp;"",$C3815)),--('Category Dictionary'!$D$5:$D$135&lt;&gt;"")))</f>
        <v/>
      </c>
      <c r="L3815" s="27">
        <f>IF($A3815="","",TRIM(IF(ISERROR(FIND(",",$C3815)),$C3815,LEFT($C3815,FIND(",",$C3815)-1))))</f>
        <v/>
      </c>
      <c r="M3815" s="28">
        <f>IF($H3815="","",DATE(YEAR($H3815),MONTH($H3815),1))</f>
        <v/>
      </c>
      <c r="N3815" s="26">
        <f>IF($H3815="","",TODAY()-$H3815)</f>
        <v/>
      </c>
      <c r="O3815" s="15" t="n"/>
      <c r="P3815" s="15" t="n"/>
      <c r="Q3815" s="15" t="n"/>
      <c r="R3815" s="25" t="n"/>
      <c r="S3815" s="26">
        <f>IF($A3815="","",AND(OR('Assignment Builder'!$B$5="",$B3815='Assignment Builder'!$B$5),OR('Assignment Builder'!$B$6="",ISNUMBER(SEARCH('Assignment Builder'!$B$6,$C3815))),OR('Assignment Builder'!$B$7="",'Assignment Builder'!$B$7=IFERROR(INDEX('Category Dictionary'!$C$5:$C$135,MATCH($L3815,'Category Dictionary'!$D$5:$D$135,0)),"")),OR('Assignment Builder'!$B$8="",$D3815='Assignment Builder'!$B$8),OR('Assignment Builder'!$B$9="",$F3815='Assignment Builder'!$B$9),OR('Assignment Builder'!$B$10="",$O3815='Assignment Builder'!$B$10),OR('Assignment Builder'!$B$11="",$H3815&gt;='Assignment Builder'!$B$11),OR('Assignment Builder'!$B$12="",N($Q3815)&lt;='Assignment Builder'!$B$12)))</f>
        <v/>
      </c>
      <c r="T3815" s="23" t="n"/>
    </row>
    <row r="3816">
      <c r="A3816" s="23" t="n"/>
      <c r="B3816" s="23" t="n"/>
      <c r="C3816" s="24" t="n"/>
      <c r="D3816" s="15" t="n"/>
      <c r="E3816" s="23" t="n"/>
      <c r="F3816" s="15" t="n"/>
      <c r="G3816" s="23" t="n"/>
      <c r="H3816" s="25" t="n"/>
      <c r="I3816" s="15" t="n"/>
      <c r="J3816" s="26">
        <f>IF($A3816="","",LEN($C3816)-LEN(SUBSTITUTE($C3816,",",""))+1)</f>
        <v/>
      </c>
      <c r="K3816" s="26">
        <f>IF($A3816="","",SUMPRODUCT(--ISNUMBER(SEARCH('Category Dictionary'!$D$5:$D$135&amp;"",$C3816)),--('Category Dictionary'!$D$5:$D$135&lt;&gt;"")))</f>
        <v/>
      </c>
      <c r="L3816" s="27">
        <f>IF($A3816="","",TRIM(IF(ISERROR(FIND(",",$C3816)),$C3816,LEFT($C3816,FIND(",",$C3816)-1))))</f>
        <v/>
      </c>
      <c r="M3816" s="28">
        <f>IF($H3816="","",DATE(YEAR($H3816),MONTH($H3816),1))</f>
        <v/>
      </c>
      <c r="N3816" s="26">
        <f>IF($H3816="","",TODAY()-$H3816)</f>
        <v/>
      </c>
      <c r="O3816" s="15" t="n"/>
      <c r="P3816" s="15" t="n"/>
      <c r="Q3816" s="15" t="n"/>
      <c r="R3816" s="25" t="n"/>
      <c r="S3816" s="26">
        <f>IF($A3816="","",AND(OR('Assignment Builder'!$B$5="",$B3816='Assignment Builder'!$B$5),OR('Assignment Builder'!$B$6="",ISNUMBER(SEARCH('Assignment Builder'!$B$6,$C3816))),OR('Assignment Builder'!$B$7="",'Assignment Builder'!$B$7=IFERROR(INDEX('Category Dictionary'!$C$5:$C$135,MATCH($L3816,'Category Dictionary'!$D$5:$D$135,0)),"")),OR('Assignment Builder'!$B$8="",$D3816='Assignment Builder'!$B$8),OR('Assignment Builder'!$B$9="",$F3816='Assignment Builder'!$B$9),OR('Assignment Builder'!$B$10="",$O3816='Assignment Builder'!$B$10),OR('Assignment Builder'!$B$11="",$H3816&gt;='Assignment Builder'!$B$11),OR('Assignment Builder'!$B$12="",N($Q3816)&lt;='Assignment Builder'!$B$12)))</f>
        <v/>
      </c>
      <c r="T3816" s="23" t="n"/>
    </row>
    <row r="3817">
      <c r="A3817" s="23" t="n"/>
      <c r="B3817" s="23" t="n"/>
      <c r="C3817" s="24" t="n"/>
      <c r="D3817" s="15" t="n"/>
      <c r="E3817" s="23" t="n"/>
      <c r="F3817" s="15" t="n"/>
      <c r="G3817" s="23" t="n"/>
      <c r="H3817" s="25" t="n"/>
      <c r="I3817" s="15" t="n"/>
      <c r="J3817" s="26">
        <f>IF($A3817="","",LEN($C3817)-LEN(SUBSTITUTE($C3817,",",""))+1)</f>
        <v/>
      </c>
      <c r="K3817" s="26">
        <f>IF($A3817="","",SUMPRODUCT(--ISNUMBER(SEARCH('Category Dictionary'!$D$5:$D$135&amp;"",$C3817)),--('Category Dictionary'!$D$5:$D$135&lt;&gt;"")))</f>
        <v/>
      </c>
      <c r="L3817" s="27">
        <f>IF($A3817="","",TRIM(IF(ISERROR(FIND(",",$C3817)),$C3817,LEFT($C3817,FIND(",",$C3817)-1))))</f>
        <v/>
      </c>
      <c r="M3817" s="28">
        <f>IF($H3817="","",DATE(YEAR($H3817),MONTH($H3817),1))</f>
        <v/>
      </c>
      <c r="N3817" s="26">
        <f>IF($H3817="","",TODAY()-$H3817)</f>
        <v/>
      </c>
      <c r="O3817" s="15" t="n"/>
      <c r="P3817" s="15" t="n"/>
      <c r="Q3817" s="15" t="n"/>
      <c r="R3817" s="25" t="n"/>
      <c r="S3817" s="26">
        <f>IF($A3817="","",AND(OR('Assignment Builder'!$B$5="",$B3817='Assignment Builder'!$B$5),OR('Assignment Builder'!$B$6="",ISNUMBER(SEARCH('Assignment Builder'!$B$6,$C3817))),OR('Assignment Builder'!$B$7="",'Assignment Builder'!$B$7=IFERROR(INDEX('Category Dictionary'!$C$5:$C$135,MATCH($L3817,'Category Dictionary'!$D$5:$D$135,0)),"")),OR('Assignment Builder'!$B$8="",$D3817='Assignment Builder'!$B$8),OR('Assignment Builder'!$B$9="",$F3817='Assignment Builder'!$B$9),OR('Assignment Builder'!$B$10="",$O3817='Assignment Builder'!$B$10),OR('Assignment Builder'!$B$11="",$H3817&gt;='Assignment Builder'!$B$11),OR('Assignment Builder'!$B$12="",N($Q3817)&lt;='Assignment Builder'!$B$12)))</f>
        <v/>
      </c>
      <c r="T3817" s="23" t="n"/>
    </row>
    <row r="3818">
      <c r="A3818" s="23" t="n"/>
      <c r="B3818" s="23" t="n"/>
      <c r="C3818" s="24" t="n"/>
      <c r="D3818" s="15" t="n"/>
      <c r="E3818" s="23" t="n"/>
      <c r="F3818" s="15" t="n"/>
      <c r="G3818" s="23" t="n"/>
      <c r="H3818" s="25" t="n"/>
      <c r="I3818" s="15" t="n"/>
      <c r="J3818" s="26">
        <f>IF($A3818="","",LEN($C3818)-LEN(SUBSTITUTE($C3818,",",""))+1)</f>
        <v/>
      </c>
      <c r="K3818" s="26">
        <f>IF($A3818="","",SUMPRODUCT(--ISNUMBER(SEARCH('Category Dictionary'!$D$5:$D$135&amp;"",$C3818)),--('Category Dictionary'!$D$5:$D$135&lt;&gt;"")))</f>
        <v/>
      </c>
      <c r="L3818" s="27">
        <f>IF($A3818="","",TRIM(IF(ISERROR(FIND(",",$C3818)),$C3818,LEFT($C3818,FIND(",",$C3818)-1))))</f>
        <v/>
      </c>
      <c r="M3818" s="28">
        <f>IF($H3818="","",DATE(YEAR($H3818),MONTH($H3818),1))</f>
        <v/>
      </c>
      <c r="N3818" s="26">
        <f>IF($H3818="","",TODAY()-$H3818)</f>
        <v/>
      </c>
      <c r="O3818" s="15" t="n"/>
      <c r="P3818" s="15" t="n"/>
      <c r="Q3818" s="15" t="n"/>
      <c r="R3818" s="25" t="n"/>
      <c r="S3818" s="26">
        <f>IF($A3818="","",AND(OR('Assignment Builder'!$B$5="",$B3818='Assignment Builder'!$B$5),OR('Assignment Builder'!$B$6="",ISNUMBER(SEARCH('Assignment Builder'!$B$6,$C3818))),OR('Assignment Builder'!$B$7="",'Assignment Builder'!$B$7=IFERROR(INDEX('Category Dictionary'!$C$5:$C$135,MATCH($L3818,'Category Dictionary'!$D$5:$D$135,0)),"")),OR('Assignment Builder'!$B$8="",$D3818='Assignment Builder'!$B$8),OR('Assignment Builder'!$B$9="",$F3818='Assignment Builder'!$B$9),OR('Assignment Builder'!$B$10="",$O3818='Assignment Builder'!$B$10),OR('Assignment Builder'!$B$11="",$H3818&gt;='Assignment Builder'!$B$11),OR('Assignment Builder'!$B$12="",N($Q3818)&lt;='Assignment Builder'!$B$12)))</f>
        <v/>
      </c>
      <c r="T3818" s="23" t="n"/>
    </row>
    <row r="3819">
      <c r="A3819" s="23" t="n"/>
      <c r="B3819" s="23" t="n"/>
      <c r="C3819" s="24" t="n"/>
      <c r="D3819" s="15" t="n"/>
      <c r="E3819" s="23" t="n"/>
      <c r="F3819" s="15" t="n"/>
      <c r="G3819" s="23" t="n"/>
      <c r="H3819" s="25" t="n"/>
      <c r="I3819" s="15" t="n"/>
      <c r="J3819" s="26">
        <f>IF($A3819="","",LEN($C3819)-LEN(SUBSTITUTE($C3819,",",""))+1)</f>
        <v/>
      </c>
      <c r="K3819" s="26">
        <f>IF($A3819="","",SUMPRODUCT(--ISNUMBER(SEARCH('Category Dictionary'!$D$5:$D$135&amp;"",$C3819)),--('Category Dictionary'!$D$5:$D$135&lt;&gt;"")))</f>
        <v/>
      </c>
      <c r="L3819" s="27">
        <f>IF($A3819="","",TRIM(IF(ISERROR(FIND(",",$C3819)),$C3819,LEFT($C3819,FIND(",",$C3819)-1))))</f>
        <v/>
      </c>
      <c r="M3819" s="28">
        <f>IF($H3819="","",DATE(YEAR($H3819),MONTH($H3819),1))</f>
        <v/>
      </c>
      <c r="N3819" s="26">
        <f>IF($H3819="","",TODAY()-$H3819)</f>
        <v/>
      </c>
      <c r="O3819" s="15" t="n"/>
      <c r="P3819" s="15" t="n"/>
      <c r="Q3819" s="15" t="n"/>
      <c r="R3819" s="25" t="n"/>
      <c r="S3819" s="26">
        <f>IF($A3819="","",AND(OR('Assignment Builder'!$B$5="",$B3819='Assignment Builder'!$B$5),OR('Assignment Builder'!$B$6="",ISNUMBER(SEARCH('Assignment Builder'!$B$6,$C3819))),OR('Assignment Builder'!$B$7="",'Assignment Builder'!$B$7=IFERROR(INDEX('Category Dictionary'!$C$5:$C$135,MATCH($L3819,'Category Dictionary'!$D$5:$D$135,0)),"")),OR('Assignment Builder'!$B$8="",$D3819='Assignment Builder'!$B$8),OR('Assignment Builder'!$B$9="",$F3819='Assignment Builder'!$B$9),OR('Assignment Builder'!$B$10="",$O3819='Assignment Builder'!$B$10),OR('Assignment Builder'!$B$11="",$H3819&gt;='Assignment Builder'!$B$11),OR('Assignment Builder'!$B$12="",N($Q3819)&lt;='Assignment Builder'!$B$12)))</f>
        <v/>
      </c>
      <c r="T3819" s="23" t="n"/>
    </row>
    <row r="3820">
      <c r="A3820" s="23" t="n"/>
      <c r="B3820" s="23" t="n"/>
      <c r="C3820" s="24" t="n"/>
      <c r="D3820" s="15" t="n"/>
      <c r="E3820" s="23" t="n"/>
      <c r="F3820" s="15" t="n"/>
      <c r="G3820" s="23" t="n"/>
      <c r="H3820" s="25" t="n"/>
      <c r="I3820" s="15" t="n"/>
      <c r="J3820" s="26">
        <f>IF($A3820="","",LEN($C3820)-LEN(SUBSTITUTE($C3820,",",""))+1)</f>
        <v/>
      </c>
      <c r="K3820" s="26">
        <f>IF($A3820="","",SUMPRODUCT(--ISNUMBER(SEARCH('Category Dictionary'!$D$5:$D$135&amp;"",$C3820)),--('Category Dictionary'!$D$5:$D$135&lt;&gt;"")))</f>
        <v/>
      </c>
      <c r="L3820" s="27">
        <f>IF($A3820="","",TRIM(IF(ISERROR(FIND(",",$C3820)),$C3820,LEFT($C3820,FIND(",",$C3820)-1))))</f>
        <v/>
      </c>
      <c r="M3820" s="28">
        <f>IF($H3820="","",DATE(YEAR($H3820),MONTH($H3820),1))</f>
        <v/>
      </c>
      <c r="N3820" s="26">
        <f>IF($H3820="","",TODAY()-$H3820)</f>
        <v/>
      </c>
      <c r="O3820" s="15" t="n"/>
      <c r="P3820" s="15" t="n"/>
      <c r="Q3820" s="15" t="n"/>
      <c r="R3820" s="25" t="n"/>
      <c r="S3820" s="26">
        <f>IF($A3820="","",AND(OR('Assignment Builder'!$B$5="",$B3820='Assignment Builder'!$B$5),OR('Assignment Builder'!$B$6="",ISNUMBER(SEARCH('Assignment Builder'!$B$6,$C3820))),OR('Assignment Builder'!$B$7="",'Assignment Builder'!$B$7=IFERROR(INDEX('Category Dictionary'!$C$5:$C$135,MATCH($L3820,'Category Dictionary'!$D$5:$D$135,0)),"")),OR('Assignment Builder'!$B$8="",$D3820='Assignment Builder'!$B$8),OR('Assignment Builder'!$B$9="",$F3820='Assignment Builder'!$B$9),OR('Assignment Builder'!$B$10="",$O3820='Assignment Builder'!$B$10),OR('Assignment Builder'!$B$11="",$H3820&gt;='Assignment Builder'!$B$11),OR('Assignment Builder'!$B$12="",N($Q3820)&lt;='Assignment Builder'!$B$12)))</f>
        <v/>
      </c>
      <c r="T3820" s="23" t="n"/>
    </row>
    <row r="3821">
      <c r="A3821" s="23" t="n"/>
      <c r="B3821" s="23" t="n"/>
      <c r="C3821" s="24" t="n"/>
      <c r="D3821" s="15" t="n"/>
      <c r="E3821" s="23" t="n"/>
      <c r="F3821" s="15" t="n"/>
      <c r="G3821" s="23" t="n"/>
      <c r="H3821" s="25" t="n"/>
      <c r="I3821" s="15" t="n"/>
      <c r="J3821" s="26">
        <f>IF($A3821="","",LEN($C3821)-LEN(SUBSTITUTE($C3821,",",""))+1)</f>
        <v/>
      </c>
      <c r="K3821" s="26">
        <f>IF($A3821="","",SUMPRODUCT(--ISNUMBER(SEARCH('Category Dictionary'!$D$5:$D$135&amp;"",$C3821)),--('Category Dictionary'!$D$5:$D$135&lt;&gt;"")))</f>
        <v/>
      </c>
      <c r="L3821" s="27">
        <f>IF($A3821="","",TRIM(IF(ISERROR(FIND(",",$C3821)),$C3821,LEFT($C3821,FIND(",",$C3821)-1))))</f>
        <v/>
      </c>
      <c r="M3821" s="28">
        <f>IF($H3821="","",DATE(YEAR($H3821),MONTH($H3821),1))</f>
        <v/>
      </c>
      <c r="N3821" s="26">
        <f>IF($H3821="","",TODAY()-$H3821)</f>
        <v/>
      </c>
      <c r="O3821" s="15" t="n"/>
      <c r="P3821" s="15" t="n"/>
      <c r="Q3821" s="15" t="n"/>
      <c r="R3821" s="25" t="n"/>
      <c r="S3821" s="26">
        <f>IF($A3821="","",AND(OR('Assignment Builder'!$B$5="",$B3821='Assignment Builder'!$B$5),OR('Assignment Builder'!$B$6="",ISNUMBER(SEARCH('Assignment Builder'!$B$6,$C3821))),OR('Assignment Builder'!$B$7="",'Assignment Builder'!$B$7=IFERROR(INDEX('Category Dictionary'!$C$5:$C$135,MATCH($L3821,'Category Dictionary'!$D$5:$D$135,0)),"")),OR('Assignment Builder'!$B$8="",$D3821='Assignment Builder'!$B$8),OR('Assignment Builder'!$B$9="",$F3821='Assignment Builder'!$B$9),OR('Assignment Builder'!$B$10="",$O3821='Assignment Builder'!$B$10),OR('Assignment Builder'!$B$11="",$H3821&gt;='Assignment Builder'!$B$11),OR('Assignment Builder'!$B$12="",N($Q3821)&lt;='Assignment Builder'!$B$12)))</f>
        <v/>
      </c>
      <c r="T3821" s="23" t="n"/>
    </row>
    <row r="3822">
      <c r="A3822" s="23" t="n"/>
      <c r="B3822" s="23" t="n"/>
      <c r="C3822" s="24" t="n"/>
      <c r="D3822" s="15" t="n"/>
      <c r="E3822" s="23" t="n"/>
      <c r="F3822" s="15" t="n"/>
      <c r="G3822" s="23" t="n"/>
      <c r="H3822" s="25" t="n"/>
      <c r="I3822" s="15" t="n"/>
      <c r="J3822" s="26">
        <f>IF($A3822="","",LEN($C3822)-LEN(SUBSTITUTE($C3822,",",""))+1)</f>
        <v/>
      </c>
      <c r="K3822" s="26">
        <f>IF($A3822="","",SUMPRODUCT(--ISNUMBER(SEARCH('Category Dictionary'!$D$5:$D$135&amp;"",$C3822)),--('Category Dictionary'!$D$5:$D$135&lt;&gt;"")))</f>
        <v/>
      </c>
      <c r="L3822" s="27">
        <f>IF($A3822="","",TRIM(IF(ISERROR(FIND(",",$C3822)),$C3822,LEFT($C3822,FIND(",",$C3822)-1))))</f>
        <v/>
      </c>
      <c r="M3822" s="28">
        <f>IF($H3822="","",DATE(YEAR($H3822),MONTH($H3822),1))</f>
        <v/>
      </c>
      <c r="N3822" s="26">
        <f>IF($H3822="","",TODAY()-$H3822)</f>
        <v/>
      </c>
      <c r="O3822" s="15" t="n"/>
      <c r="P3822" s="15" t="n"/>
      <c r="Q3822" s="15" t="n"/>
      <c r="R3822" s="25" t="n"/>
      <c r="S3822" s="26">
        <f>IF($A3822="","",AND(OR('Assignment Builder'!$B$5="",$B3822='Assignment Builder'!$B$5),OR('Assignment Builder'!$B$6="",ISNUMBER(SEARCH('Assignment Builder'!$B$6,$C3822))),OR('Assignment Builder'!$B$7="",'Assignment Builder'!$B$7=IFERROR(INDEX('Category Dictionary'!$C$5:$C$135,MATCH($L3822,'Category Dictionary'!$D$5:$D$135,0)),"")),OR('Assignment Builder'!$B$8="",$D3822='Assignment Builder'!$B$8),OR('Assignment Builder'!$B$9="",$F3822='Assignment Builder'!$B$9),OR('Assignment Builder'!$B$10="",$O3822='Assignment Builder'!$B$10),OR('Assignment Builder'!$B$11="",$H3822&gt;='Assignment Builder'!$B$11),OR('Assignment Builder'!$B$12="",N($Q3822)&lt;='Assignment Builder'!$B$12)))</f>
        <v/>
      </c>
      <c r="T3822" s="23" t="n"/>
    </row>
    <row r="3823">
      <c r="A3823" s="23" t="n"/>
      <c r="B3823" s="23" t="n"/>
      <c r="C3823" s="24" t="n"/>
      <c r="D3823" s="15" t="n"/>
      <c r="E3823" s="23" t="n"/>
      <c r="F3823" s="15" t="n"/>
      <c r="G3823" s="23" t="n"/>
      <c r="H3823" s="25" t="n"/>
      <c r="I3823" s="15" t="n"/>
      <c r="J3823" s="26">
        <f>IF($A3823="","",LEN($C3823)-LEN(SUBSTITUTE($C3823,",",""))+1)</f>
        <v/>
      </c>
      <c r="K3823" s="26">
        <f>IF($A3823="","",SUMPRODUCT(--ISNUMBER(SEARCH('Category Dictionary'!$D$5:$D$135&amp;"",$C3823)),--('Category Dictionary'!$D$5:$D$135&lt;&gt;"")))</f>
        <v/>
      </c>
      <c r="L3823" s="27">
        <f>IF($A3823="","",TRIM(IF(ISERROR(FIND(",",$C3823)),$C3823,LEFT($C3823,FIND(",",$C3823)-1))))</f>
        <v/>
      </c>
      <c r="M3823" s="28">
        <f>IF($H3823="","",DATE(YEAR($H3823),MONTH($H3823),1))</f>
        <v/>
      </c>
      <c r="N3823" s="26">
        <f>IF($H3823="","",TODAY()-$H3823)</f>
        <v/>
      </c>
      <c r="O3823" s="15" t="n"/>
      <c r="P3823" s="15" t="n"/>
      <c r="Q3823" s="15" t="n"/>
      <c r="R3823" s="25" t="n"/>
      <c r="S3823" s="26">
        <f>IF($A3823="","",AND(OR('Assignment Builder'!$B$5="",$B3823='Assignment Builder'!$B$5),OR('Assignment Builder'!$B$6="",ISNUMBER(SEARCH('Assignment Builder'!$B$6,$C3823))),OR('Assignment Builder'!$B$7="",'Assignment Builder'!$B$7=IFERROR(INDEX('Category Dictionary'!$C$5:$C$135,MATCH($L3823,'Category Dictionary'!$D$5:$D$135,0)),"")),OR('Assignment Builder'!$B$8="",$D3823='Assignment Builder'!$B$8),OR('Assignment Builder'!$B$9="",$F3823='Assignment Builder'!$B$9),OR('Assignment Builder'!$B$10="",$O3823='Assignment Builder'!$B$10),OR('Assignment Builder'!$B$11="",$H3823&gt;='Assignment Builder'!$B$11),OR('Assignment Builder'!$B$12="",N($Q3823)&lt;='Assignment Builder'!$B$12)))</f>
        <v/>
      </c>
      <c r="T3823" s="23" t="n"/>
    </row>
    <row r="3824">
      <c r="A3824" s="23" t="n"/>
      <c r="B3824" s="23" t="n"/>
      <c r="C3824" s="24" t="n"/>
      <c r="D3824" s="15" t="n"/>
      <c r="E3824" s="23" t="n"/>
      <c r="F3824" s="15" t="n"/>
      <c r="G3824" s="23" t="n"/>
      <c r="H3824" s="25" t="n"/>
      <c r="I3824" s="15" t="n"/>
      <c r="J3824" s="26">
        <f>IF($A3824="","",LEN($C3824)-LEN(SUBSTITUTE($C3824,",",""))+1)</f>
        <v/>
      </c>
      <c r="K3824" s="26">
        <f>IF($A3824="","",SUMPRODUCT(--ISNUMBER(SEARCH('Category Dictionary'!$D$5:$D$135&amp;"",$C3824)),--('Category Dictionary'!$D$5:$D$135&lt;&gt;"")))</f>
        <v/>
      </c>
      <c r="L3824" s="27">
        <f>IF($A3824="","",TRIM(IF(ISERROR(FIND(",",$C3824)),$C3824,LEFT($C3824,FIND(",",$C3824)-1))))</f>
        <v/>
      </c>
      <c r="M3824" s="28">
        <f>IF($H3824="","",DATE(YEAR($H3824),MONTH($H3824),1))</f>
        <v/>
      </c>
      <c r="N3824" s="26">
        <f>IF($H3824="","",TODAY()-$H3824)</f>
        <v/>
      </c>
      <c r="O3824" s="15" t="n"/>
      <c r="P3824" s="15" t="n"/>
      <c r="Q3824" s="15" t="n"/>
      <c r="R3824" s="25" t="n"/>
      <c r="S3824" s="26">
        <f>IF($A3824="","",AND(OR('Assignment Builder'!$B$5="",$B3824='Assignment Builder'!$B$5),OR('Assignment Builder'!$B$6="",ISNUMBER(SEARCH('Assignment Builder'!$B$6,$C3824))),OR('Assignment Builder'!$B$7="",'Assignment Builder'!$B$7=IFERROR(INDEX('Category Dictionary'!$C$5:$C$135,MATCH($L3824,'Category Dictionary'!$D$5:$D$135,0)),"")),OR('Assignment Builder'!$B$8="",$D3824='Assignment Builder'!$B$8),OR('Assignment Builder'!$B$9="",$F3824='Assignment Builder'!$B$9),OR('Assignment Builder'!$B$10="",$O3824='Assignment Builder'!$B$10),OR('Assignment Builder'!$B$11="",$H3824&gt;='Assignment Builder'!$B$11),OR('Assignment Builder'!$B$12="",N($Q3824)&lt;='Assignment Builder'!$B$12)))</f>
        <v/>
      </c>
      <c r="T3824" s="23" t="n"/>
    </row>
    <row r="3825">
      <c r="A3825" s="23" t="n"/>
      <c r="B3825" s="23" t="n"/>
      <c r="C3825" s="24" t="n"/>
      <c r="D3825" s="15" t="n"/>
      <c r="E3825" s="23" t="n"/>
      <c r="F3825" s="15" t="n"/>
      <c r="G3825" s="23" t="n"/>
      <c r="H3825" s="25" t="n"/>
      <c r="I3825" s="15" t="n"/>
      <c r="J3825" s="26">
        <f>IF($A3825="","",LEN($C3825)-LEN(SUBSTITUTE($C3825,",",""))+1)</f>
        <v/>
      </c>
      <c r="K3825" s="26">
        <f>IF($A3825="","",SUMPRODUCT(--ISNUMBER(SEARCH('Category Dictionary'!$D$5:$D$135&amp;"",$C3825)),--('Category Dictionary'!$D$5:$D$135&lt;&gt;"")))</f>
        <v/>
      </c>
      <c r="L3825" s="27">
        <f>IF($A3825="","",TRIM(IF(ISERROR(FIND(",",$C3825)),$C3825,LEFT($C3825,FIND(",",$C3825)-1))))</f>
        <v/>
      </c>
      <c r="M3825" s="28">
        <f>IF($H3825="","",DATE(YEAR($H3825),MONTH($H3825),1))</f>
        <v/>
      </c>
      <c r="N3825" s="26">
        <f>IF($H3825="","",TODAY()-$H3825)</f>
        <v/>
      </c>
      <c r="O3825" s="15" t="n"/>
      <c r="P3825" s="15" t="n"/>
      <c r="Q3825" s="15" t="n"/>
      <c r="R3825" s="25" t="n"/>
      <c r="S3825" s="26">
        <f>IF($A3825="","",AND(OR('Assignment Builder'!$B$5="",$B3825='Assignment Builder'!$B$5),OR('Assignment Builder'!$B$6="",ISNUMBER(SEARCH('Assignment Builder'!$B$6,$C3825))),OR('Assignment Builder'!$B$7="",'Assignment Builder'!$B$7=IFERROR(INDEX('Category Dictionary'!$C$5:$C$135,MATCH($L3825,'Category Dictionary'!$D$5:$D$135,0)),"")),OR('Assignment Builder'!$B$8="",$D3825='Assignment Builder'!$B$8),OR('Assignment Builder'!$B$9="",$F3825='Assignment Builder'!$B$9),OR('Assignment Builder'!$B$10="",$O3825='Assignment Builder'!$B$10),OR('Assignment Builder'!$B$11="",$H3825&gt;='Assignment Builder'!$B$11),OR('Assignment Builder'!$B$12="",N($Q3825)&lt;='Assignment Builder'!$B$12)))</f>
        <v/>
      </c>
      <c r="T3825" s="23" t="n"/>
    </row>
    <row r="3826">
      <c r="A3826" s="23" t="n"/>
      <c r="B3826" s="23" t="n"/>
      <c r="C3826" s="24" t="n"/>
      <c r="D3826" s="15" t="n"/>
      <c r="E3826" s="23" t="n"/>
      <c r="F3826" s="15" t="n"/>
      <c r="G3826" s="23" t="n"/>
      <c r="H3826" s="25" t="n"/>
      <c r="I3826" s="15" t="n"/>
      <c r="J3826" s="26">
        <f>IF($A3826="","",LEN($C3826)-LEN(SUBSTITUTE($C3826,",",""))+1)</f>
        <v/>
      </c>
      <c r="K3826" s="26">
        <f>IF($A3826="","",SUMPRODUCT(--ISNUMBER(SEARCH('Category Dictionary'!$D$5:$D$135&amp;"",$C3826)),--('Category Dictionary'!$D$5:$D$135&lt;&gt;"")))</f>
        <v/>
      </c>
      <c r="L3826" s="27">
        <f>IF($A3826="","",TRIM(IF(ISERROR(FIND(",",$C3826)),$C3826,LEFT($C3826,FIND(",",$C3826)-1))))</f>
        <v/>
      </c>
      <c r="M3826" s="28">
        <f>IF($H3826="","",DATE(YEAR($H3826),MONTH($H3826),1))</f>
        <v/>
      </c>
      <c r="N3826" s="26">
        <f>IF($H3826="","",TODAY()-$H3826)</f>
        <v/>
      </c>
      <c r="O3826" s="15" t="n"/>
      <c r="P3826" s="15" t="n"/>
      <c r="Q3826" s="15" t="n"/>
      <c r="R3826" s="25" t="n"/>
      <c r="S3826" s="26">
        <f>IF($A3826="","",AND(OR('Assignment Builder'!$B$5="",$B3826='Assignment Builder'!$B$5),OR('Assignment Builder'!$B$6="",ISNUMBER(SEARCH('Assignment Builder'!$B$6,$C3826))),OR('Assignment Builder'!$B$7="",'Assignment Builder'!$B$7=IFERROR(INDEX('Category Dictionary'!$C$5:$C$135,MATCH($L3826,'Category Dictionary'!$D$5:$D$135,0)),"")),OR('Assignment Builder'!$B$8="",$D3826='Assignment Builder'!$B$8),OR('Assignment Builder'!$B$9="",$F3826='Assignment Builder'!$B$9),OR('Assignment Builder'!$B$10="",$O3826='Assignment Builder'!$B$10),OR('Assignment Builder'!$B$11="",$H3826&gt;='Assignment Builder'!$B$11),OR('Assignment Builder'!$B$12="",N($Q3826)&lt;='Assignment Builder'!$B$12)))</f>
        <v/>
      </c>
      <c r="T3826" s="23" t="n"/>
    </row>
    <row r="3827">
      <c r="A3827" s="23" t="n"/>
      <c r="B3827" s="23" t="n"/>
      <c r="C3827" s="24" t="n"/>
      <c r="D3827" s="15" t="n"/>
      <c r="E3827" s="23" t="n"/>
      <c r="F3827" s="15" t="n"/>
      <c r="G3827" s="23" t="n"/>
      <c r="H3827" s="25" t="n"/>
      <c r="I3827" s="15" t="n"/>
      <c r="J3827" s="26">
        <f>IF($A3827="","",LEN($C3827)-LEN(SUBSTITUTE($C3827,",",""))+1)</f>
        <v/>
      </c>
      <c r="K3827" s="26">
        <f>IF($A3827="","",SUMPRODUCT(--ISNUMBER(SEARCH('Category Dictionary'!$D$5:$D$135&amp;"",$C3827)),--('Category Dictionary'!$D$5:$D$135&lt;&gt;"")))</f>
        <v/>
      </c>
      <c r="L3827" s="27">
        <f>IF($A3827="","",TRIM(IF(ISERROR(FIND(",",$C3827)),$C3827,LEFT($C3827,FIND(",",$C3827)-1))))</f>
        <v/>
      </c>
      <c r="M3827" s="28">
        <f>IF($H3827="","",DATE(YEAR($H3827),MONTH($H3827),1))</f>
        <v/>
      </c>
      <c r="N3827" s="26">
        <f>IF($H3827="","",TODAY()-$H3827)</f>
        <v/>
      </c>
      <c r="O3827" s="15" t="n"/>
      <c r="P3827" s="15" t="n"/>
      <c r="Q3827" s="15" t="n"/>
      <c r="R3827" s="25" t="n"/>
      <c r="S3827" s="26">
        <f>IF($A3827="","",AND(OR('Assignment Builder'!$B$5="",$B3827='Assignment Builder'!$B$5),OR('Assignment Builder'!$B$6="",ISNUMBER(SEARCH('Assignment Builder'!$B$6,$C3827))),OR('Assignment Builder'!$B$7="",'Assignment Builder'!$B$7=IFERROR(INDEX('Category Dictionary'!$C$5:$C$135,MATCH($L3827,'Category Dictionary'!$D$5:$D$135,0)),"")),OR('Assignment Builder'!$B$8="",$D3827='Assignment Builder'!$B$8),OR('Assignment Builder'!$B$9="",$F3827='Assignment Builder'!$B$9),OR('Assignment Builder'!$B$10="",$O3827='Assignment Builder'!$B$10),OR('Assignment Builder'!$B$11="",$H3827&gt;='Assignment Builder'!$B$11),OR('Assignment Builder'!$B$12="",N($Q3827)&lt;='Assignment Builder'!$B$12)))</f>
        <v/>
      </c>
      <c r="T3827" s="23" t="n"/>
    </row>
    <row r="3828">
      <c r="A3828" s="23" t="n"/>
      <c r="B3828" s="23" t="n"/>
      <c r="C3828" s="24" t="n"/>
      <c r="D3828" s="15" t="n"/>
      <c r="E3828" s="23" t="n"/>
      <c r="F3828" s="15" t="n"/>
      <c r="G3828" s="23" t="n"/>
      <c r="H3828" s="25" t="n"/>
      <c r="I3828" s="15" t="n"/>
      <c r="J3828" s="26">
        <f>IF($A3828="","",LEN($C3828)-LEN(SUBSTITUTE($C3828,",",""))+1)</f>
        <v/>
      </c>
      <c r="K3828" s="26">
        <f>IF($A3828="","",SUMPRODUCT(--ISNUMBER(SEARCH('Category Dictionary'!$D$5:$D$135&amp;"",$C3828)),--('Category Dictionary'!$D$5:$D$135&lt;&gt;"")))</f>
        <v/>
      </c>
      <c r="L3828" s="27">
        <f>IF($A3828="","",TRIM(IF(ISERROR(FIND(",",$C3828)),$C3828,LEFT($C3828,FIND(",",$C3828)-1))))</f>
        <v/>
      </c>
      <c r="M3828" s="28">
        <f>IF($H3828="","",DATE(YEAR($H3828),MONTH($H3828),1))</f>
        <v/>
      </c>
      <c r="N3828" s="26">
        <f>IF($H3828="","",TODAY()-$H3828)</f>
        <v/>
      </c>
      <c r="O3828" s="15" t="n"/>
      <c r="P3828" s="15" t="n"/>
      <c r="Q3828" s="15" t="n"/>
      <c r="R3828" s="25" t="n"/>
      <c r="S3828" s="26">
        <f>IF($A3828="","",AND(OR('Assignment Builder'!$B$5="",$B3828='Assignment Builder'!$B$5),OR('Assignment Builder'!$B$6="",ISNUMBER(SEARCH('Assignment Builder'!$B$6,$C3828))),OR('Assignment Builder'!$B$7="",'Assignment Builder'!$B$7=IFERROR(INDEX('Category Dictionary'!$C$5:$C$135,MATCH($L3828,'Category Dictionary'!$D$5:$D$135,0)),"")),OR('Assignment Builder'!$B$8="",$D3828='Assignment Builder'!$B$8),OR('Assignment Builder'!$B$9="",$F3828='Assignment Builder'!$B$9),OR('Assignment Builder'!$B$10="",$O3828='Assignment Builder'!$B$10),OR('Assignment Builder'!$B$11="",$H3828&gt;='Assignment Builder'!$B$11),OR('Assignment Builder'!$B$12="",N($Q3828)&lt;='Assignment Builder'!$B$12)))</f>
        <v/>
      </c>
      <c r="T3828" s="23" t="n"/>
    </row>
    <row r="3829">
      <c r="A3829" s="23" t="n"/>
      <c r="B3829" s="23" t="n"/>
      <c r="C3829" s="24" t="n"/>
      <c r="D3829" s="15" t="n"/>
      <c r="E3829" s="23" t="n"/>
      <c r="F3829" s="15" t="n"/>
      <c r="G3829" s="23" t="n"/>
      <c r="H3829" s="25" t="n"/>
      <c r="I3829" s="15" t="n"/>
      <c r="J3829" s="26">
        <f>IF($A3829="","",LEN($C3829)-LEN(SUBSTITUTE($C3829,",",""))+1)</f>
        <v/>
      </c>
      <c r="K3829" s="26">
        <f>IF($A3829="","",SUMPRODUCT(--ISNUMBER(SEARCH('Category Dictionary'!$D$5:$D$135&amp;"",$C3829)),--('Category Dictionary'!$D$5:$D$135&lt;&gt;"")))</f>
        <v/>
      </c>
      <c r="L3829" s="27">
        <f>IF($A3829="","",TRIM(IF(ISERROR(FIND(",",$C3829)),$C3829,LEFT($C3829,FIND(",",$C3829)-1))))</f>
        <v/>
      </c>
      <c r="M3829" s="28">
        <f>IF($H3829="","",DATE(YEAR($H3829),MONTH($H3829),1))</f>
        <v/>
      </c>
      <c r="N3829" s="26">
        <f>IF($H3829="","",TODAY()-$H3829)</f>
        <v/>
      </c>
      <c r="O3829" s="15" t="n"/>
      <c r="P3829" s="15" t="n"/>
      <c r="Q3829" s="15" t="n"/>
      <c r="R3829" s="25" t="n"/>
      <c r="S3829" s="26">
        <f>IF($A3829="","",AND(OR('Assignment Builder'!$B$5="",$B3829='Assignment Builder'!$B$5),OR('Assignment Builder'!$B$6="",ISNUMBER(SEARCH('Assignment Builder'!$B$6,$C3829))),OR('Assignment Builder'!$B$7="",'Assignment Builder'!$B$7=IFERROR(INDEX('Category Dictionary'!$C$5:$C$135,MATCH($L3829,'Category Dictionary'!$D$5:$D$135,0)),"")),OR('Assignment Builder'!$B$8="",$D3829='Assignment Builder'!$B$8),OR('Assignment Builder'!$B$9="",$F3829='Assignment Builder'!$B$9),OR('Assignment Builder'!$B$10="",$O3829='Assignment Builder'!$B$10),OR('Assignment Builder'!$B$11="",$H3829&gt;='Assignment Builder'!$B$11),OR('Assignment Builder'!$B$12="",N($Q3829)&lt;='Assignment Builder'!$B$12)))</f>
        <v/>
      </c>
      <c r="T3829" s="23" t="n"/>
    </row>
    <row r="3830">
      <c r="A3830" s="23" t="n"/>
      <c r="B3830" s="23" t="n"/>
      <c r="C3830" s="24" t="n"/>
      <c r="D3830" s="15" t="n"/>
      <c r="E3830" s="23" t="n"/>
      <c r="F3830" s="15" t="n"/>
      <c r="G3830" s="23" t="n"/>
      <c r="H3830" s="25" t="n"/>
      <c r="I3830" s="15" t="n"/>
      <c r="J3830" s="26">
        <f>IF($A3830="","",LEN($C3830)-LEN(SUBSTITUTE($C3830,",",""))+1)</f>
        <v/>
      </c>
      <c r="K3830" s="26">
        <f>IF($A3830="","",SUMPRODUCT(--ISNUMBER(SEARCH('Category Dictionary'!$D$5:$D$135&amp;"",$C3830)),--('Category Dictionary'!$D$5:$D$135&lt;&gt;"")))</f>
        <v/>
      </c>
      <c r="L3830" s="27">
        <f>IF($A3830="","",TRIM(IF(ISERROR(FIND(",",$C3830)),$C3830,LEFT($C3830,FIND(",",$C3830)-1))))</f>
        <v/>
      </c>
      <c r="M3830" s="28">
        <f>IF($H3830="","",DATE(YEAR($H3830),MONTH($H3830),1))</f>
        <v/>
      </c>
      <c r="N3830" s="26">
        <f>IF($H3830="","",TODAY()-$H3830)</f>
        <v/>
      </c>
      <c r="O3830" s="15" t="n"/>
      <c r="P3830" s="15" t="n"/>
      <c r="Q3830" s="15" t="n"/>
      <c r="R3830" s="25" t="n"/>
      <c r="S3830" s="26">
        <f>IF($A3830="","",AND(OR('Assignment Builder'!$B$5="",$B3830='Assignment Builder'!$B$5),OR('Assignment Builder'!$B$6="",ISNUMBER(SEARCH('Assignment Builder'!$B$6,$C3830))),OR('Assignment Builder'!$B$7="",'Assignment Builder'!$B$7=IFERROR(INDEX('Category Dictionary'!$C$5:$C$135,MATCH($L3830,'Category Dictionary'!$D$5:$D$135,0)),"")),OR('Assignment Builder'!$B$8="",$D3830='Assignment Builder'!$B$8),OR('Assignment Builder'!$B$9="",$F3830='Assignment Builder'!$B$9),OR('Assignment Builder'!$B$10="",$O3830='Assignment Builder'!$B$10),OR('Assignment Builder'!$B$11="",$H3830&gt;='Assignment Builder'!$B$11),OR('Assignment Builder'!$B$12="",N($Q3830)&lt;='Assignment Builder'!$B$12)))</f>
        <v/>
      </c>
      <c r="T3830" s="23" t="n"/>
    </row>
    <row r="3831">
      <c r="A3831" s="23" t="n"/>
      <c r="B3831" s="23" t="n"/>
      <c r="C3831" s="24" t="n"/>
      <c r="D3831" s="15" t="n"/>
      <c r="E3831" s="23" t="n"/>
      <c r="F3831" s="15" t="n"/>
      <c r="G3831" s="23" t="n"/>
      <c r="H3831" s="25" t="n"/>
      <c r="I3831" s="15" t="n"/>
      <c r="J3831" s="26">
        <f>IF($A3831="","",LEN($C3831)-LEN(SUBSTITUTE($C3831,",",""))+1)</f>
        <v/>
      </c>
      <c r="K3831" s="26">
        <f>IF($A3831="","",SUMPRODUCT(--ISNUMBER(SEARCH('Category Dictionary'!$D$5:$D$135&amp;"",$C3831)),--('Category Dictionary'!$D$5:$D$135&lt;&gt;"")))</f>
        <v/>
      </c>
      <c r="L3831" s="27">
        <f>IF($A3831="","",TRIM(IF(ISERROR(FIND(",",$C3831)),$C3831,LEFT($C3831,FIND(",",$C3831)-1))))</f>
        <v/>
      </c>
      <c r="M3831" s="28">
        <f>IF($H3831="","",DATE(YEAR($H3831),MONTH($H3831),1))</f>
        <v/>
      </c>
      <c r="N3831" s="26">
        <f>IF($H3831="","",TODAY()-$H3831)</f>
        <v/>
      </c>
      <c r="O3831" s="15" t="n"/>
      <c r="P3831" s="15" t="n"/>
      <c r="Q3831" s="15" t="n"/>
      <c r="R3831" s="25" t="n"/>
      <c r="S3831" s="26">
        <f>IF($A3831="","",AND(OR('Assignment Builder'!$B$5="",$B3831='Assignment Builder'!$B$5),OR('Assignment Builder'!$B$6="",ISNUMBER(SEARCH('Assignment Builder'!$B$6,$C3831))),OR('Assignment Builder'!$B$7="",'Assignment Builder'!$B$7=IFERROR(INDEX('Category Dictionary'!$C$5:$C$135,MATCH($L3831,'Category Dictionary'!$D$5:$D$135,0)),"")),OR('Assignment Builder'!$B$8="",$D3831='Assignment Builder'!$B$8),OR('Assignment Builder'!$B$9="",$F3831='Assignment Builder'!$B$9),OR('Assignment Builder'!$B$10="",$O3831='Assignment Builder'!$B$10),OR('Assignment Builder'!$B$11="",$H3831&gt;='Assignment Builder'!$B$11),OR('Assignment Builder'!$B$12="",N($Q3831)&lt;='Assignment Builder'!$B$12)))</f>
        <v/>
      </c>
      <c r="T3831" s="23" t="n"/>
    </row>
    <row r="3832">
      <c r="A3832" s="23" t="n"/>
      <c r="B3832" s="23" t="n"/>
      <c r="C3832" s="24" t="n"/>
      <c r="D3832" s="15" t="n"/>
      <c r="E3832" s="23" t="n"/>
      <c r="F3832" s="15" t="n"/>
      <c r="G3832" s="23" t="n"/>
      <c r="H3832" s="25" t="n"/>
      <c r="I3832" s="15" t="n"/>
      <c r="J3832" s="26">
        <f>IF($A3832="","",LEN($C3832)-LEN(SUBSTITUTE($C3832,",",""))+1)</f>
        <v/>
      </c>
      <c r="K3832" s="26">
        <f>IF($A3832="","",SUMPRODUCT(--ISNUMBER(SEARCH('Category Dictionary'!$D$5:$D$135&amp;"",$C3832)),--('Category Dictionary'!$D$5:$D$135&lt;&gt;"")))</f>
        <v/>
      </c>
      <c r="L3832" s="27">
        <f>IF($A3832="","",TRIM(IF(ISERROR(FIND(",",$C3832)),$C3832,LEFT($C3832,FIND(",",$C3832)-1))))</f>
        <v/>
      </c>
      <c r="M3832" s="28">
        <f>IF($H3832="","",DATE(YEAR($H3832),MONTH($H3832),1))</f>
        <v/>
      </c>
      <c r="N3832" s="26">
        <f>IF($H3832="","",TODAY()-$H3832)</f>
        <v/>
      </c>
      <c r="O3832" s="15" t="n"/>
      <c r="P3832" s="15" t="n"/>
      <c r="Q3832" s="15" t="n"/>
      <c r="R3832" s="25" t="n"/>
      <c r="S3832" s="26">
        <f>IF($A3832="","",AND(OR('Assignment Builder'!$B$5="",$B3832='Assignment Builder'!$B$5),OR('Assignment Builder'!$B$6="",ISNUMBER(SEARCH('Assignment Builder'!$B$6,$C3832))),OR('Assignment Builder'!$B$7="",'Assignment Builder'!$B$7=IFERROR(INDEX('Category Dictionary'!$C$5:$C$135,MATCH($L3832,'Category Dictionary'!$D$5:$D$135,0)),"")),OR('Assignment Builder'!$B$8="",$D3832='Assignment Builder'!$B$8),OR('Assignment Builder'!$B$9="",$F3832='Assignment Builder'!$B$9),OR('Assignment Builder'!$B$10="",$O3832='Assignment Builder'!$B$10),OR('Assignment Builder'!$B$11="",$H3832&gt;='Assignment Builder'!$B$11),OR('Assignment Builder'!$B$12="",N($Q3832)&lt;='Assignment Builder'!$B$12)))</f>
        <v/>
      </c>
      <c r="T3832" s="23" t="n"/>
    </row>
    <row r="3833">
      <c r="A3833" s="23" t="n"/>
      <c r="B3833" s="23" t="n"/>
      <c r="C3833" s="24" t="n"/>
      <c r="D3833" s="15" t="n"/>
      <c r="E3833" s="23" t="n"/>
      <c r="F3833" s="15" t="n"/>
      <c r="G3833" s="23" t="n"/>
      <c r="H3833" s="25" t="n"/>
      <c r="I3833" s="15" t="n"/>
      <c r="J3833" s="26">
        <f>IF($A3833="","",LEN($C3833)-LEN(SUBSTITUTE($C3833,",",""))+1)</f>
        <v/>
      </c>
      <c r="K3833" s="26">
        <f>IF($A3833="","",SUMPRODUCT(--ISNUMBER(SEARCH('Category Dictionary'!$D$5:$D$135&amp;"",$C3833)),--('Category Dictionary'!$D$5:$D$135&lt;&gt;"")))</f>
        <v/>
      </c>
      <c r="L3833" s="27">
        <f>IF($A3833="","",TRIM(IF(ISERROR(FIND(",",$C3833)),$C3833,LEFT($C3833,FIND(",",$C3833)-1))))</f>
        <v/>
      </c>
      <c r="M3833" s="28">
        <f>IF($H3833="","",DATE(YEAR($H3833),MONTH($H3833),1))</f>
        <v/>
      </c>
      <c r="N3833" s="26">
        <f>IF($H3833="","",TODAY()-$H3833)</f>
        <v/>
      </c>
      <c r="O3833" s="15" t="n"/>
      <c r="P3833" s="15" t="n"/>
      <c r="Q3833" s="15" t="n"/>
      <c r="R3833" s="25" t="n"/>
      <c r="S3833" s="26">
        <f>IF($A3833="","",AND(OR('Assignment Builder'!$B$5="",$B3833='Assignment Builder'!$B$5),OR('Assignment Builder'!$B$6="",ISNUMBER(SEARCH('Assignment Builder'!$B$6,$C3833))),OR('Assignment Builder'!$B$7="",'Assignment Builder'!$B$7=IFERROR(INDEX('Category Dictionary'!$C$5:$C$135,MATCH($L3833,'Category Dictionary'!$D$5:$D$135,0)),"")),OR('Assignment Builder'!$B$8="",$D3833='Assignment Builder'!$B$8),OR('Assignment Builder'!$B$9="",$F3833='Assignment Builder'!$B$9),OR('Assignment Builder'!$B$10="",$O3833='Assignment Builder'!$B$10),OR('Assignment Builder'!$B$11="",$H3833&gt;='Assignment Builder'!$B$11),OR('Assignment Builder'!$B$12="",N($Q3833)&lt;='Assignment Builder'!$B$12)))</f>
        <v/>
      </c>
      <c r="T3833" s="23" t="n"/>
    </row>
    <row r="3834">
      <c r="A3834" s="23" t="n"/>
      <c r="B3834" s="23" t="n"/>
      <c r="C3834" s="24" t="n"/>
      <c r="D3834" s="15" t="n"/>
      <c r="E3834" s="23" t="n"/>
      <c r="F3834" s="15" t="n"/>
      <c r="G3834" s="23" t="n"/>
      <c r="H3834" s="25" t="n"/>
      <c r="I3834" s="15" t="n"/>
      <c r="J3834" s="26">
        <f>IF($A3834="","",LEN($C3834)-LEN(SUBSTITUTE($C3834,",",""))+1)</f>
        <v/>
      </c>
      <c r="K3834" s="26">
        <f>IF($A3834="","",SUMPRODUCT(--ISNUMBER(SEARCH('Category Dictionary'!$D$5:$D$135&amp;"",$C3834)),--('Category Dictionary'!$D$5:$D$135&lt;&gt;"")))</f>
        <v/>
      </c>
      <c r="L3834" s="27">
        <f>IF($A3834="","",TRIM(IF(ISERROR(FIND(",",$C3834)),$C3834,LEFT($C3834,FIND(",",$C3834)-1))))</f>
        <v/>
      </c>
      <c r="M3834" s="28">
        <f>IF($H3834="","",DATE(YEAR($H3834),MONTH($H3834),1))</f>
        <v/>
      </c>
      <c r="N3834" s="26">
        <f>IF($H3834="","",TODAY()-$H3834)</f>
        <v/>
      </c>
      <c r="O3834" s="15" t="n"/>
      <c r="P3834" s="15" t="n"/>
      <c r="Q3834" s="15" t="n"/>
      <c r="R3834" s="25" t="n"/>
      <c r="S3834" s="26">
        <f>IF($A3834="","",AND(OR('Assignment Builder'!$B$5="",$B3834='Assignment Builder'!$B$5),OR('Assignment Builder'!$B$6="",ISNUMBER(SEARCH('Assignment Builder'!$B$6,$C3834))),OR('Assignment Builder'!$B$7="",'Assignment Builder'!$B$7=IFERROR(INDEX('Category Dictionary'!$C$5:$C$135,MATCH($L3834,'Category Dictionary'!$D$5:$D$135,0)),"")),OR('Assignment Builder'!$B$8="",$D3834='Assignment Builder'!$B$8),OR('Assignment Builder'!$B$9="",$F3834='Assignment Builder'!$B$9),OR('Assignment Builder'!$B$10="",$O3834='Assignment Builder'!$B$10),OR('Assignment Builder'!$B$11="",$H3834&gt;='Assignment Builder'!$B$11),OR('Assignment Builder'!$B$12="",N($Q3834)&lt;='Assignment Builder'!$B$12)))</f>
        <v/>
      </c>
      <c r="T3834" s="23" t="n"/>
    </row>
    <row r="3835">
      <c r="A3835" s="23" t="n"/>
      <c r="B3835" s="23" t="n"/>
      <c r="C3835" s="24" t="n"/>
      <c r="D3835" s="15" t="n"/>
      <c r="E3835" s="23" t="n"/>
      <c r="F3835" s="15" t="n"/>
      <c r="G3835" s="23" t="n"/>
      <c r="H3835" s="25" t="n"/>
      <c r="I3835" s="15" t="n"/>
      <c r="J3835" s="26">
        <f>IF($A3835="","",LEN($C3835)-LEN(SUBSTITUTE($C3835,",",""))+1)</f>
        <v/>
      </c>
      <c r="K3835" s="26">
        <f>IF($A3835="","",SUMPRODUCT(--ISNUMBER(SEARCH('Category Dictionary'!$D$5:$D$135&amp;"",$C3835)),--('Category Dictionary'!$D$5:$D$135&lt;&gt;"")))</f>
        <v/>
      </c>
      <c r="L3835" s="27">
        <f>IF($A3835="","",TRIM(IF(ISERROR(FIND(",",$C3835)),$C3835,LEFT($C3835,FIND(",",$C3835)-1))))</f>
        <v/>
      </c>
      <c r="M3835" s="28">
        <f>IF($H3835="","",DATE(YEAR($H3835),MONTH($H3835),1))</f>
        <v/>
      </c>
      <c r="N3835" s="26">
        <f>IF($H3835="","",TODAY()-$H3835)</f>
        <v/>
      </c>
      <c r="O3835" s="15" t="n"/>
      <c r="P3835" s="15" t="n"/>
      <c r="Q3835" s="15" t="n"/>
      <c r="R3835" s="25" t="n"/>
      <c r="S3835" s="26">
        <f>IF($A3835="","",AND(OR('Assignment Builder'!$B$5="",$B3835='Assignment Builder'!$B$5),OR('Assignment Builder'!$B$6="",ISNUMBER(SEARCH('Assignment Builder'!$B$6,$C3835))),OR('Assignment Builder'!$B$7="",'Assignment Builder'!$B$7=IFERROR(INDEX('Category Dictionary'!$C$5:$C$135,MATCH($L3835,'Category Dictionary'!$D$5:$D$135,0)),"")),OR('Assignment Builder'!$B$8="",$D3835='Assignment Builder'!$B$8),OR('Assignment Builder'!$B$9="",$F3835='Assignment Builder'!$B$9),OR('Assignment Builder'!$B$10="",$O3835='Assignment Builder'!$B$10),OR('Assignment Builder'!$B$11="",$H3835&gt;='Assignment Builder'!$B$11),OR('Assignment Builder'!$B$12="",N($Q3835)&lt;='Assignment Builder'!$B$12)))</f>
        <v/>
      </c>
      <c r="T3835" s="23" t="n"/>
    </row>
    <row r="3836">
      <c r="A3836" s="23" t="n"/>
      <c r="B3836" s="23" t="n"/>
      <c r="C3836" s="24" t="n"/>
      <c r="D3836" s="15" t="n"/>
      <c r="E3836" s="23" t="n"/>
      <c r="F3836" s="15" t="n"/>
      <c r="G3836" s="23" t="n"/>
      <c r="H3836" s="25" t="n"/>
      <c r="I3836" s="15" t="n"/>
      <c r="J3836" s="26">
        <f>IF($A3836="","",LEN($C3836)-LEN(SUBSTITUTE($C3836,",",""))+1)</f>
        <v/>
      </c>
      <c r="K3836" s="26">
        <f>IF($A3836="","",SUMPRODUCT(--ISNUMBER(SEARCH('Category Dictionary'!$D$5:$D$135&amp;"",$C3836)),--('Category Dictionary'!$D$5:$D$135&lt;&gt;"")))</f>
        <v/>
      </c>
      <c r="L3836" s="27">
        <f>IF($A3836="","",TRIM(IF(ISERROR(FIND(",",$C3836)),$C3836,LEFT($C3836,FIND(",",$C3836)-1))))</f>
        <v/>
      </c>
      <c r="M3836" s="28">
        <f>IF($H3836="","",DATE(YEAR($H3836),MONTH($H3836),1))</f>
        <v/>
      </c>
      <c r="N3836" s="26">
        <f>IF($H3836="","",TODAY()-$H3836)</f>
        <v/>
      </c>
      <c r="O3836" s="15" t="n"/>
      <c r="P3836" s="15" t="n"/>
      <c r="Q3836" s="15" t="n"/>
      <c r="R3836" s="25" t="n"/>
      <c r="S3836" s="26">
        <f>IF($A3836="","",AND(OR('Assignment Builder'!$B$5="",$B3836='Assignment Builder'!$B$5),OR('Assignment Builder'!$B$6="",ISNUMBER(SEARCH('Assignment Builder'!$B$6,$C3836))),OR('Assignment Builder'!$B$7="",'Assignment Builder'!$B$7=IFERROR(INDEX('Category Dictionary'!$C$5:$C$135,MATCH($L3836,'Category Dictionary'!$D$5:$D$135,0)),"")),OR('Assignment Builder'!$B$8="",$D3836='Assignment Builder'!$B$8),OR('Assignment Builder'!$B$9="",$F3836='Assignment Builder'!$B$9),OR('Assignment Builder'!$B$10="",$O3836='Assignment Builder'!$B$10),OR('Assignment Builder'!$B$11="",$H3836&gt;='Assignment Builder'!$B$11),OR('Assignment Builder'!$B$12="",N($Q3836)&lt;='Assignment Builder'!$B$12)))</f>
        <v/>
      </c>
      <c r="T3836" s="23" t="n"/>
    </row>
    <row r="3837">
      <c r="A3837" s="23" t="n"/>
      <c r="B3837" s="23" t="n"/>
      <c r="C3837" s="24" t="n"/>
      <c r="D3837" s="15" t="n"/>
      <c r="E3837" s="23" t="n"/>
      <c r="F3837" s="15" t="n"/>
      <c r="G3837" s="23" t="n"/>
      <c r="H3837" s="25" t="n"/>
      <c r="I3837" s="15" t="n"/>
      <c r="J3837" s="26">
        <f>IF($A3837="","",LEN($C3837)-LEN(SUBSTITUTE($C3837,",",""))+1)</f>
        <v/>
      </c>
      <c r="K3837" s="26">
        <f>IF($A3837="","",SUMPRODUCT(--ISNUMBER(SEARCH('Category Dictionary'!$D$5:$D$135&amp;"",$C3837)),--('Category Dictionary'!$D$5:$D$135&lt;&gt;"")))</f>
        <v/>
      </c>
      <c r="L3837" s="27">
        <f>IF($A3837="","",TRIM(IF(ISERROR(FIND(",",$C3837)),$C3837,LEFT($C3837,FIND(",",$C3837)-1))))</f>
        <v/>
      </c>
      <c r="M3837" s="28">
        <f>IF($H3837="","",DATE(YEAR($H3837),MONTH($H3837),1))</f>
        <v/>
      </c>
      <c r="N3837" s="26">
        <f>IF($H3837="","",TODAY()-$H3837)</f>
        <v/>
      </c>
      <c r="O3837" s="15" t="n"/>
      <c r="P3837" s="15" t="n"/>
      <c r="Q3837" s="15" t="n"/>
      <c r="R3837" s="25" t="n"/>
      <c r="S3837" s="26">
        <f>IF($A3837="","",AND(OR('Assignment Builder'!$B$5="",$B3837='Assignment Builder'!$B$5),OR('Assignment Builder'!$B$6="",ISNUMBER(SEARCH('Assignment Builder'!$B$6,$C3837))),OR('Assignment Builder'!$B$7="",'Assignment Builder'!$B$7=IFERROR(INDEX('Category Dictionary'!$C$5:$C$135,MATCH($L3837,'Category Dictionary'!$D$5:$D$135,0)),"")),OR('Assignment Builder'!$B$8="",$D3837='Assignment Builder'!$B$8),OR('Assignment Builder'!$B$9="",$F3837='Assignment Builder'!$B$9),OR('Assignment Builder'!$B$10="",$O3837='Assignment Builder'!$B$10),OR('Assignment Builder'!$B$11="",$H3837&gt;='Assignment Builder'!$B$11),OR('Assignment Builder'!$B$12="",N($Q3837)&lt;='Assignment Builder'!$B$12)))</f>
        <v/>
      </c>
      <c r="T3837" s="23" t="n"/>
    </row>
    <row r="3838">
      <c r="A3838" s="23" t="n"/>
      <c r="B3838" s="23" t="n"/>
      <c r="C3838" s="24" t="n"/>
      <c r="D3838" s="15" t="n"/>
      <c r="E3838" s="23" t="n"/>
      <c r="F3838" s="15" t="n"/>
      <c r="G3838" s="23" t="n"/>
      <c r="H3838" s="25" t="n"/>
      <c r="I3838" s="15" t="n"/>
      <c r="J3838" s="26">
        <f>IF($A3838="","",LEN($C3838)-LEN(SUBSTITUTE($C3838,",",""))+1)</f>
        <v/>
      </c>
      <c r="K3838" s="26">
        <f>IF($A3838="","",SUMPRODUCT(--ISNUMBER(SEARCH('Category Dictionary'!$D$5:$D$135&amp;"",$C3838)),--('Category Dictionary'!$D$5:$D$135&lt;&gt;"")))</f>
        <v/>
      </c>
      <c r="L3838" s="27">
        <f>IF($A3838="","",TRIM(IF(ISERROR(FIND(",",$C3838)),$C3838,LEFT($C3838,FIND(",",$C3838)-1))))</f>
        <v/>
      </c>
      <c r="M3838" s="28">
        <f>IF($H3838="","",DATE(YEAR($H3838),MONTH($H3838),1))</f>
        <v/>
      </c>
      <c r="N3838" s="26">
        <f>IF($H3838="","",TODAY()-$H3838)</f>
        <v/>
      </c>
      <c r="O3838" s="15" t="n"/>
      <c r="P3838" s="15" t="n"/>
      <c r="Q3838" s="15" t="n"/>
      <c r="R3838" s="25" t="n"/>
      <c r="S3838" s="26">
        <f>IF($A3838="","",AND(OR('Assignment Builder'!$B$5="",$B3838='Assignment Builder'!$B$5),OR('Assignment Builder'!$B$6="",ISNUMBER(SEARCH('Assignment Builder'!$B$6,$C3838))),OR('Assignment Builder'!$B$7="",'Assignment Builder'!$B$7=IFERROR(INDEX('Category Dictionary'!$C$5:$C$135,MATCH($L3838,'Category Dictionary'!$D$5:$D$135,0)),"")),OR('Assignment Builder'!$B$8="",$D3838='Assignment Builder'!$B$8),OR('Assignment Builder'!$B$9="",$F3838='Assignment Builder'!$B$9),OR('Assignment Builder'!$B$10="",$O3838='Assignment Builder'!$B$10),OR('Assignment Builder'!$B$11="",$H3838&gt;='Assignment Builder'!$B$11),OR('Assignment Builder'!$B$12="",N($Q3838)&lt;='Assignment Builder'!$B$12)))</f>
        <v/>
      </c>
      <c r="T3838" s="23" t="n"/>
    </row>
    <row r="3839">
      <c r="A3839" s="23" t="n"/>
      <c r="B3839" s="23" t="n"/>
      <c r="C3839" s="24" t="n"/>
      <c r="D3839" s="15" t="n"/>
      <c r="E3839" s="23" t="n"/>
      <c r="F3839" s="15" t="n"/>
      <c r="G3839" s="23" t="n"/>
      <c r="H3839" s="25" t="n"/>
      <c r="I3839" s="15" t="n"/>
      <c r="J3839" s="26">
        <f>IF($A3839="","",LEN($C3839)-LEN(SUBSTITUTE($C3839,",",""))+1)</f>
        <v/>
      </c>
      <c r="K3839" s="26">
        <f>IF($A3839="","",SUMPRODUCT(--ISNUMBER(SEARCH('Category Dictionary'!$D$5:$D$135&amp;"",$C3839)),--('Category Dictionary'!$D$5:$D$135&lt;&gt;"")))</f>
        <v/>
      </c>
      <c r="L3839" s="27">
        <f>IF($A3839="","",TRIM(IF(ISERROR(FIND(",",$C3839)),$C3839,LEFT($C3839,FIND(",",$C3839)-1))))</f>
        <v/>
      </c>
      <c r="M3839" s="28">
        <f>IF($H3839="","",DATE(YEAR($H3839),MONTH($H3839),1))</f>
        <v/>
      </c>
      <c r="N3839" s="26">
        <f>IF($H3839="","",TODAY()-$H3839)</f>
        <v/>
      </c>
      <c r="O3839" s="15" t="n"/>
      <c r="P3839" s="15" t="n"/>
      <c r="Q3839" s="15" t="n"/>
      <c r="R3839" s="25" t="n"/>
      <c r="S3839" s="26">
        <f>IF($A3839="","",AND(OR('Assignment Builder'!$B$5="",$B3839='Assignment Builder'!$B$5),OR('Assignment Builder'!$B$6="",ISNUMBER(SEARCH('Assignment Builder'!$B$6,$C3839))),OR('Assignment Builder'!$B$7="",'Assignment Builder'!$B$7=IFERROR(INDEX('Category Dictionary'!$C$5:$C$135,MATCH($L3839,'Category Dictionary'!$D$5:$D$135,0)),"")),OR('Assignment Builder'!$B$8="",$D3839='Assignment Builder'!$B$8),OR('Assignment Builder'!$B$9="",$F3839='Assignment Builder'!$B$9),OR('Assignment Builder'!$B$10="",$O3839='Assignment Builder'!$B$10),OR('Assignment Builder'!$B$11="",$H3839&gt;='Assignment Builder'!$B$11),OR('Assignment Builder'!$B$12="",N($Q3839)&lt;='Assignment Builder'!$B$12)))</f>
        <v/>
      </c>
      <c r="T3839" s="23" t="n"/>
    </row>
    <row r="3840">
      <c r="A3840" s="23" t="n"/>
      <c r="B3840" s="23" t="n"/>
      <c r="C3840" s="24" t="n"/>
      <c r="D3840" s="15" t="n"/>
      <c r="E3840" s="23" t="n"/>
      <c r="F3840" s="15" t="n"/>
      <c r="G3840" s="23" t="n"/>
      <c r="H3840" s="25" t="n"/>
      <c r="I3840" s="15" t="n"/>
      <c r="J3840" s="26">
        <f>IF($A3840="","",LEN($C3840)-LEN(SUBSTITUTE($C3840,",",""))+1)</f>
        <v/>
      </c>
      <c r="K3840" s="26">
        <f>IF($A3840="","",SUMPRODUCT(--ISNUMBER(SEARCH('Category Dictionary'!$D$5:$D$135&amp;"",$C3840)),--('Category Dictionary'!$D$5:$D$135&lt;&gt;"")))</f>
        <v/>
      </c>
      <c r="L3840" s="27">
        <f>IF($A3840="","",TRIM(IF(ISERROR(FIND(",",$C3840)),$C3840,LEFT($C3840,FIND(",",$C3840)-1))))</f>
        <v/>
      </c>
      <c r="M3840" s="28">
        <f>IF($H3840="","",DATE(YEAR($H3840),MONTH($H3840),1))</f>
        <v/>
      </c>
      <c r="N3840" s="26">
        <f>IF($H3840="","",TODAY()-$H3840)</f>
        <v/>
      </c>
      <c r="O3840" s="15" t="n"/>
      <c r="P3840" s="15" t="n"/>
      <c r="Q3840" s="15" t="n"/>
      <c r="R3840" s="25" t="n"/>
      <c r="S3840" s="26">
        <f>IF($A3840="","",AND(OR('Assignment Builder'!$B$5="",$B3840='Assignment Builder'!$B$5),OR('Assignment Builder'!$B$6="",ISNUMBER(SEARCH('Assignment Builder'!$B$6,$C3840))),OR('Assignment Builder'!$B$7="",'Assignment Builder'!$B$7=IFERROR(INDEX('Category Dictionary'!$C$5:$C$135,MATCH($L3840,'Category Dictionary'!$D$5:$D$135,0)),"")),OR('Assignment Builder'!$B$8="",$D3840='Assignment Builder'!$B$8),OR('Assignment Builder'!$B$9="",$F3840='Assignment Builder'!$B$9),OR('Assignment Builder'!$B$10="",$O3840='Assignment Builder'!$B$10),OR('Assignment Builder'!$B$11="",$H3840&gt;='Assignment Builder'!$B$11),OR('Assignment Builder'!$B$12="",N($Q3840)&lt;='Assignment Builder'!$B$12)))</f>
        <v/>
      </c>
      <c r="T3840" s="23" t="n"/>
    </row>
    <row r="3841">
      <c r="A3841" s="23" t="n"/>
      <c r="B3841" s="23" t="n"/>
      <c r="C3841" s="24" t="n"/>
      <c r="D3841" s="15" t="n"/>
      <c r="E3841" s="23" t="n"/>
      <c r="F3841" s="15" t="n"/>
      <c r="G3841" s="23" t="n"/>
      <c r="H3841" s="25" t="n"/>
      <c r="I3841" s="15" t="n"/>
      <c r="J3841" s="26">
        <f>IF($A3841="","",LEN($C3841)-LEN(SUBSTITUTE($C3841,",",""))+1)</f>
        <v/>
      </c>
      <c r="K3841" s="26">
        <f>IF($A3841="","",SUMPRODUCT(--ISNUMBER(SEARCH('Category Dictionary'!$D$5:$D$135&amp;"",$C3841)),--('Category Dictionary'!$D$5:$D$135&lt;&gt;"")))</f>
        <v/>
      </c>
      <c r="L3841" s="27">
        <f>IF($A3841="","",TRIM(IF(ISERROR(FIND(",",$C3841)),$C3841,LEFT($C3841,FIND(",",$C3841)-1))))</f>
        <v/>
      </c>
      <c r="M3841" s="28">
        <f>IF($H3841="","",DATE(YEAR($H3841),MONTH($H3841),1))</f>
        <v/>
      </c>
      <c r="N3841" s="26">
        <f>IF($H3841="","",TODAY()-$H3841)</f>
        <v/>
      </c>
      <c r="O3841" s="15" t="n"/>
      <c r="P3841" s="15" t="n"/>
      <c r="Q3841" s="15" t="n"/>
      <c r="R3841" s="25" t="n"/>
      <c r="S3841" s="26">
        <f>IF($A3841="","",AND(OR('Assignment Builder'!$B$5="",$B3841='Assignment Builder'!$B$5),OR('Assignment Builder'!$B$6="",ISNUMBER(SEARCH('Assignment Builder'!$B$6,$C3841))),OR('Assignment Builder'!$B$7="",'Assignment Builder'!$B$7=IFERROR(INDEX('Category Dictionary'!$C$5:$C$135,MATCH($L3841,'Category Dictionary'!$D$5:$D$135,0)),"")),OR('Assignment Builder'!$B$8="",$D3841='Assignment Builder'!$B$8),OR('Assignment Builder'!$B$9="",$F3841='Assignment Builder'!$B$9),OR('Assignment Builder'!$B$10="",$O3841='Assignment Builder'!$B$10),OR('Assignment Builder'!$B$11="",$H3841&gt;='Assignment Builder'!$B$11),OR('Assignment Builder'!$B$12="",N($Q3841)&lt;='Assignment Builder'!$B$12)))</f>
        <v/>
      </c>
      <c r="T3841" s="23" t="n"/>
    </row>
    <row r="3842">
      <c r="A3842" s="23" t="n"/>
      <c r="B3842" s="23" t="n"/>
      <c r="C3842" s="24" t="n"/>
      <c r="D3842" s="15" t="n"/>
      <c r="E3842" s="23" t="n"/>
      <c r="F3842" s="15" t="n"/>
      <c r="G3842" s="23" t="n"/>
      <c r="H3842" s="25" t="n"/>
      <c r="I3842" s="15" t="n"/>
      <c r="J3842" s="26">
        <f>IF($A3842="","",LEN($C3842)-LEN(SUBSTITUTE($C3842,",",""))+1)</f>
        <v/>
      </c>
      <c r="K3842" s="26">
        <f>IF($A3842="","",SUMPRODUCT(--ISNUMBER(SEARCH('Category Dictionary'!$D$5:$D$135&amp;"",$C3842)),--('Category Dictionary'!$D$5:$D$135&lt;&gt;"")))</f>
        <v/>
      </c>
      <c r="L3842" s="27">
        <f>IF($A3842="","",TRIM(IF(ISERROR(FIND(",",$C3842)),$C3842,LEFT($C3842,FIND(",",$C3842)-1))))</f>
        <v/>
      </c>
      <c r="M3842" s="28">
        <f>IF($H3842="","",DATE(YEAR($H3842),MONTH($H3842),1))</f>
        <v/>
      </c>
      <c r="N3842" s="26">
        <f>IF($H3842="","",TODAY()-$H3842)</f>
        <v/>
      </c>
      <c r="O3842" s="15" t="n"/>
      <c r="P3842" s="15" t="n"/>
      <c r="Q3842" s="15" t="n"/>
      <c r="R3842" s="25" t="n"/>
      <c r="S3842" s="26">
        <f>IF($A3842="","",AND(OR('Assignment Builder'!$B$5="",$B3842='Assignment Builder'!$B$5),OR('Assignment Builder'!$B$6="",ISNUMBER(SEARCH('Assignment Builder'!$B$6,$C3842))),OR('Assignment Builder'!$B$7="",'Assignment Builder'!$B$7=IFERROR(INDEX('Category Dictionary'!$C$5:$C$135,MATCH($L3842,'Category Dictionary'!$D$5:$D$135,0)),"")),OR('Assignment Builder'!$B$8="",$D3842='Assignment Builder'!$B$8),OR('Assignment Builder'!$B$9="",$F3842='Assignment Builder'!$B$9),OR('Assignment Builder'!$B$10="",$O3842='Assignment Builder'!$B$10),OR('Assignment Builder'!$B$11="",$H3842&gt;='Assignment Builder'!$B$11),OR('Assignment Builder'!$B$12="",N($Q3842)&lt;='Assignment Builder'!$B$12)))</f>
        <v/>
      </c>
      <c r="T3842" s="23" t="n"/>
    </row>
    <row r="3843">
      <c r="A3843" s="23" t="n"/>
      <c r="B3843" s="23" t="n"/>
      <c r="C3843" s="24" t="n"/>
      <c r="D3843" s="15" t="n"/>
      <c r="E3843" s="23" t="n"/>
      <c r="F3843" s="15" t="n"/>
      <c r="G3843" s="23" t="n"/>
      <c r="H3843" s="25" t="n"/>
      <c r="I3843" s="15" t="n"/>
      <c r="J3843" s="26">
        <f>IF($A3843="","",LEN($C3843)-LEN(SUBSTITUTE($C3843,",",""))+1)</f>
        <v/>
      </c>
      <c r="K3843" s="26">
        <f>IF($A3843="","",SUMPRODUCT(--ISNUMBER(SEARCH('Category Dictionary'!$D$5:$D$135&amp;"",$C3843)),--('Category Dictionary'!$D$5:$D$135&lt;&gt;"")))</f>
        <v/>
      </c>
      <c r="L3843" s="27">
        <f>IF($A3843="","",TRIM(IF(ISERROR(FIND(",",$C3843)),$C3843,LEFT($C3843,FIND(",",$C3843)-1))))</f>
        <v/>
      </c>
      <c r="M3843" s="28">
        <f>IF($H3843="","",DATE(YEAR($H3843),MONTH($H3843),1))</f>
        <v/>
      </c>
      <c r="N3843" s="26">
        <f>IF($H3843="","",TODAY()-$H3843)</f>
        <v/>
      </c>
      <c r="O3843" s="15" t="n"/>
      <c r="P3843" s="15" t="n"/>
      <c r="Q3843" s="15" t="n"/>
      <c r="R3843" s="25" t="n"/>
      <c r="S3843" s="26">
        <f>IF($A3843="","",AND(OR('Assignment Builder'!$B$5="",$B3843='Assignment Builder'!$B$5),OR('Assignment Builder'!$B$6="",ISNUMBER(SEARCH('Assignment Builder'!$B$6,$C3843))),OR('Assignment Builder'!$B$7="",'Assignment Builder'!$B$7=IFERROR(INDEX('Category Dictionary'!$C$5:$C$135,MATCH($L3843,'Category Dictionary'!$D$5:$D$135,0)),"")),OR('Assignment Builder'!$B$8="",$D3843='Assignment Builder'!$B$8),OR('Assignment Builder'!$B$9="",$F3843='Assignment Builder'!$B$9),OR('Assignment Builder'!$B$10="",$O3843='Assignment Builder'!$B$10),OR('Assignment Builder'!$B$11="",$H3843&gt;='Assignment Builder'!$B$11),OR('Assignment Builder'!$B$12="",N($Q3843)&lt;='Assignment Builder'!$B$12)))</f>
        <v/>
      </c>
      <c r="T3843" s="23" t="n"/>
    </row>
    <row r="3844">
      <c r="A3844" s="23" t="n"/>
      <c r="B3844" s="23" t="n"/>
      <c r="C3844" s="24" t="n"/>
      <c r="D3844" s="15" t="n"/>
      <c r="E3844" s="23" t="n"/>
      <c r="F3844" s="15" t="n"/>
      <c r="G3844" s="23" t="n"/>
      <c r="H3844" s="25" t="n"/>
      <c r="I3844" s="15" t="n"/>
      <c r="J3844" s="26">
        <f>IF($A3844="","",LEN($C3844)-LEN(SUBSTITUTE($C3844,",",""))+1)</f>
        <v/>
      </c>
      <c r="K3844" s="26">
        <f>IF($A3844="","",SUMPRODUCT(--ISNUMBER(SEARCH('Category Dictionary'!$D$5:$D$135&amp;"",$C3844)),--('Category Dictionary'!$D$5:$D$135&lt;&gt;"")))</f>
        <v/>
      </c>
      <c r="L3844" s="27">
        <f>IF($A3844="","",TRIM(IF(ISERROR(FIND(",",$C3844)),$C3844,LEFT($C3844,FIND(",",$C3844)-1))))</f>
        <v/>
      </c>
      <c r="M3844" s="28">
        <f>IF($H3844="","",DATE(YEAR($H3844),MONTH($H3844),1))</f>
        <v/>
      </c>
      <c r="N3844" s="26">
        <f>IF($H3844="","",TODAY()-$H3844)</f>
        <v/>
      </c>
      <c r="O3844" s="15" t="n"/>
      <c r="P3844" s="15" t="n"/>
      <c r="Q3844" s="15" t="n"/>
      <c r="R3844" s="25" t="n"/>
      <c r="S3844" s="26">
        <f>IF($A3844="","",AND(OR('Assignment Builder'!$B$5="",$B3844='Assignment Builder'!$B$5),OR('Assignment Builder'!$B$6="",ISNUMBER(SEARCH('Assignment Builder'!$B$6,$C3844))),OR('Assignment Builder'!$B$7="",'Assignment Builder'!$B$7=IFERROR(INDEX('Category Dictionary'!$C$5:$C$135,MATCH($L3844,'Category Dictionary'!$D$5:$D$135,0)),"")),OR('Assignment Builder'!$B$8="",$D3844='Assignment Builder'!$B$8),OR('Assignment Builder'!$B$9="",$F3844='Assignment Builder'!$B$9),OR('Assignment Builder'!$B$10="",$O3844='Assignment Builder'!$B$10),OR('Assignment Builder'!$B$11="",$H3844&gt;='Assignment Builder'!$B$11),OR('Assignment Builder'!$B$12="",N($Q3844)&lt;='Assignment Builder'!$B$12)))</f>
        <v/>
      </c>
      <c r="T3844" s="23" t="n"/>
    </row>
    <row r="3845">
      <c r="A3845" s="23" t="n"/>
      <c r="B3845" s="23" t="n"/>
      <c r="C3845" s="24" t="n"/>
      <c r="D3845" s="15" t="n"/>
      <c r="E3845" s="23" t="n"/>
      <c r="F3845" s="15" t="n"/>
      <c r="G3845" s="23" t="n"/>
      <c r="H3845" s="25" t="n"/>
      <c r="I3845" s="15" t="n"/>
      <c r="J3845" s="26">
        <f>IF($A3845="","",LEN($C3845)-LEN(SUBSTITUTE($C3845,",",""))+1)</f>
        <v/>
      </c>
      <c r="K3845" s="26">
        <f>IF($A3845="","",SUMPRODUCT(--ISNUMBER(SEARCH('Category Dictionary'!$D$5:$D$135&amp;"",$C3845)),--('Category Dictionary'!$D$5:$D$135&lt;&gt;"")))</f>
        <v/>
      </c>
      <c r="L3845" s="27">
        <f>IF($A3845="","",TRIM(IF(ISERROR(FIND(",",$C3845)),$C3845,LEFT($C3845,FIND(",",$C3845)-1))))</f>
        <v/>
      </c>
      <c r="M3845" s="28">
        <f>IF($H3845="","",DATE(YEAR($H3845),MONTH($H3845),1))</f>
        <v/>
      </c>
      <c r="N3845" s="26">
        <f>IF($H3845="","",TODAY()-$H3845)</f>
        <v/>
      </c>
      <c r="O3845" s="15" t="n"/>
      <c r="P3845" s="15" t="n"/>
      <c r="Q3845" s="15" t="n"/>
      <c r="R3845" s="25" t="n"/>
      <c r="S3845" s="26">
        <f>IF($A3845="","",AND(OR('Assignment Builder'!$B$5="",$B3845='Assignment Builder'!$B$5),OR('Assignment Builder'!$B$6="",ISNUMBER(SEARCH('Assignment Builder'!$B$6,$C3845))),OR('Assignment Builder'!$B$7="",'Assignment Builder'!$B$7=IFERROR(INDEX('Category Dictionary'!$C$5:$C$135,MATCH($L3845,'Category Dictionary'!$D$5:$D$135,0)),"")),OR('Assignment Builder'!$B$8="",$D3845='Assignment Builder'!$B$8),OR('Assignment Builder'!$B$9="",$F3845='Assignment Builder'!$B$9),OR('Assignment Builder'!$B$10="",$O3845='Assignment Builder'!$B$10),OR('Assignment Builder'!$B$11="",$H3845&gt;='Assignment Builder'!$B$11),OR('Assignment Builder'!$B$12="",N($Q3845)&lt;='Assignment Builder'!$B$12)))</f>
        <v/>
      </c>
      <c r="T3845" s="23" t="n"/>
    </row>
    <row r="3846">
      <c r="A3846" s="23" t="n"/>
      <c r="B3846" s="23" t="n"/>
      <c r="C3846" s="24" t="n"/>
      <c r="D3846" s="15" t="n"/>
      <c r="E3846" s="23" t="n"/>
      <c r="F3846" s="15" t="n"/>
      <c r="G3846" s="23" t="n"/>
      <c r="H3846" s="25" t="n"/>
      <c r="I3846" s="15" t="n"/>
      <c r="J3846" s="26">
        <f>IF($A3846="","",LEN($C3846)-LEN(SUBSTITUTE($C3846,",",""))+1)</f>
        <v/>
      </c>
      <c r="K3846" s="26">
        <f>IF($A3846="","",SUMPRODUCT(--ISNUMBER(SEARCH('Category Dictionary'!$D$5:$D$135&amp;"",$C3846)),--('Category Dictionary'!$D$5:$D$135&lt;&gt;"")))</f>
        <v/>
      </c>
      <c r="L3846" s="27">
        <f>IF($A3846="","",TRIM(IF(ISERROR(FIND(",",$C3846)),$C3846,LEFT($C3846,FIND(",",$C3846)-1))))</f>
        <v/>
      </c>
      <c r="M3846" s="28">
        <f>IF($H3846="","",DATE(YEAR($H3846),MONTH($H3846),1))</f>
        <v/>
      </c>
      <c r="N3846" s="26">
        <f>IF($H3846="","",TODAY()-$H3846)</f>
        <v/>
      </c>
      <c r="O3846" s="15" t="n"/>
      <c r="P3846" s="15" t="n"/>
      <c r="Q3846" s="15" t="n"/>
      <c r="R3846" s="25" t="n"/>
      <c r="S3846" s="26">
        <f>IF($A3846="","",AND(OR('Assignment Builder'!$B$5="",$B3846='Assignment Builder'!$B$5),OR('Assignment Builder'!$B$6="",ISNUMBER(SEARCH('Assignment Builder'!$B$6,$C3846))),OR('Assignment Builder'!$B$7="",'Assignment Builder'!$B$7=IFERROR(INDEX('Category Dictionary'!$C$5:$C$135,MATCH($L3846,'Category Dictionary'!$D$5:$D$135,0)),"")),OR('Assignment Builder'!$B$8="",$D3846='Assignment Builder'!$B$8),OR('Assignment Builder'!$B$9="",$F3846='Assignment Builder'!$B$9),OR('Assignment Builder'!$B$10="",$O3846='Assignment Builder'!$B$10),OR('Assignment Builder'!$B$11="",$H3846&gt;='Assignment Builder'!$B$11),OR('Assignment Builder'!$B$12="",N($Q3846)&lt;='Assignment Builder'!$B$12)))</f>
        <v/>
      </c>
      <c r="T3846" s="23" t="n"/>
    </row>
    <row r="3847">
      <c r="A3847" s="23" t="n"/>
      <c r="B3847" s="23" t="n"/>
      <c r="C3847" s="24" t="n"/>
      <c r="D3847" s="15" t="n"/>
      <c r="E3847" s="23" t="n"/>
      <c r="F3847" s="15" t="n"/>
      <c r="G3847" s="23" t="n"/>
      <c r="H3847" s="25" t="n"/>
      <c r="I3847" s="15" t="n"/>
      <c r="J3847" s="26">
        <f>IF($A3847="","",LEN($C3847)-LEN(SUBSTITUTE($C3847,",",""))+1)</f>
        <v/>
      </c>
      <c r="K3847" s="26">
        <f>IF($A3847="","",SUMPRODUCT(--ISNUMBER(SEARCH('Category Dictionary'!$D$5:$D$135&amp;"",$C3847)),--('Category Dictionary'!$D$5:$D$135&lt;&gt;"")))</f>
        <v/>
      </c>
      <c r="L3847" s="27">
        <f>IF($A3847="","",TRIM(IF(ISERROR(FIND(",",$C3847)),$C3847,LEFT($C3847,FIND(",",$C3847)-1))))</f>
        <v/>
      </c>
      <c r="M3847" s="28">
        <f>IF($H3847="","",DATE(YEAR($H3847),MONTH($H3847),1))</f>
        <v/>
      </c>
      <c r="N3847" s="26">
        <f>IF($H3847="","",TODAY()-$H3847)</f>
        <v/>
      </c>
      <c r="O3847" s="15" t="n"/>
      <c r="P3847" s="15" t="n"/>
      <c r="Q3847" s="15" t="n"/>
      <c r="R3847" s="25" t="n"/>
      <c r="S3847" s="26">
        <f>IF($A3847="","",AND(OR('Assignment Builder'!$B$5="",$B3847='Assignment Builder'!$B$5),OR('Assignment Builder'!$B$6="",ISNUMBER(SEARCH('Assignment Builder'!$B$6,$C3847))),OR('Assignment Builder'!$B$7="",'Assignment Builder'!$B$7=IFERROR(INDEX('Category Dictionary'!$C$5:$C$135,MATCH($L3847,'Category Dictionary'!$D$5:$D$135,0)),"")),OR('Assignment Builder'!$B$8="",$D3847='Assignment Builder'!$B$8),OR('Assignment Builder'!$B$9="",$F3847='Assignment Builder'!$B$9),OR('Assignment Builder'!$B$10="",$O3847='Assignment Builder'!$B$10),OR('Assignment Builder'!$B$11="",$H3847&gt;='Assignment Builder'!$B$11),OR('Assignment Builder'!$B$12="",N($Q3847)&lt;='Assignment Builder'!$B$12)))</f>
        <v/>
      </c>
      <c r="T3847" s="23" t="n"/>
    </row>
    <row r="3848">
      <c r="A3848" s="23" t="n"/>
      <c r="B3848" s="23" t="n"/>
      <c r="C3848" s="24" t="n"/>
      <c r="D3848" s="15" t="n"/>
      <c r="E3848" s="23" t="n"/>
      <c r="F3848" s="15" t="n"/>
      <c r="G3848" s="23" t="n"/>
      <c r="H3848" s="25" t="n"/>
      <c r="I3848" s="15" t="n"/>
      <c r="J3848" s="26">
        <f>IF($A3848="","",LEN($C3848)-LEN(SUBSTITUTE($C3848,",",""))+1)</f>
        <v/>
      </c>
      <c r="K3848" s="26">
        <f>IF($A3848="","",SUMPRODUCT(--ISNUMBER(SEARCH('Category Dictionary'!$D$5:$D$135&amp;"",$C3848)),--('Category Dictionary'!$D$5:$D$135&lt;&gt;"")))</f>
        <v/>
      </c>
      <c r="L3848" s="27">
        <f>IF($A3848="","",TRIM(IF(ISERROR(FIND(",",$C3848)),$C3848,LEFT($C3848,FIND(",",$C3848)-1))))</f>
        <v/>
      </c>
      <c r="M3848" s="28">
        <f>IF($H3848="","",DATE(YEAR($H3848),MONTH($H3848),1))</f>
        <v/>
      </c>
      <c r="N3848" s="26">
        <f>IF($H3848="","",TODAY()-$H3848)</f>
        <v/>
      </c>
      <c r="O3848" s="15" t="n"/>
      <c r="P3848" s="15" t="n"/>
      <c r="Q3848" s="15" t="n"/>
      <c r="R3848" s="25" t="n"/>
      <c r="S3848" s="26">
        <f>IF($A3848="","",AND(OR('Assignment Builder'!$B$5="",$B3848='Assignment Builder'!$B$5),OR('Assignment Builder'!$B$6="",ISNUMBER(SEARCH('Assignment Builder'!$B$6,$C3848))),OR('Assignment Builder'!$B$7="",'Assignment Builder'!$B$7=IFERROR(INDEX('Category Dictionary'!$C$5:$C$135,MATCH($L3848,'Category Dictionary'!$D$5:$D$135,0)),"")),OR('Assignment Builder'!$B$8="",$D3848='Assignment Builder'!$B$8),OR('Assignment Builder'!$B$9="",$F3848='Assignment Builder'!$B$9),OR('Assignment Builder'!$B$10="",$O3848='Assignment Builder'!$B$10),OR('Assignment Builder'!$B$11="",$H3848&gt;='Assignment Builder'!$B$11),OR('Assignment Builder'!$B$12="",N($Q3848)&lt;='Assignment Builder'!$B$12)))</f>
        <v/>
      </c>
      <c r="T3848" s="23" t="n"/>
    </row>
    <row r="3849">
      <c r="A3849" s="23" t="n"/>
      <c r="B3849" s="23" t="n"/>
      <c r="C3849" s="24" t="n"/>
      <c r="D3849" s="15" t="n"/>
      <c r="E3849" s="23" t="n"/>
      <c r="F3849" s="15" t="n"/>
      <c r="G3849" s="23" t="n"/>
      <c r="H3849" s="25" t="n"/>
      <c r="I3849" s="15" t="n"/>
      <c r="J3849" s="26">
        <f>IF($A3849="","",LEN($C3849)-LEN(SUBSTITUTE($C3849,",",""))+1)</f>
        <v/>
      </c>
      <c r="K3849" s="26">
        <f>IF($A3849="","",SUMPRODUCT(--ISNUMBER(SEARCH('Category Dictionary'!$D$5:$D$135&amp;"",$C3849)),--('Category Dictionary'!$D$5:$D$135&lt;&gt;"")))</f>
        <v/>
      </c>
      <c r="L3849" s="27">
        <f>IF($A3849="","",TRIM(IF(ISERROR(FIND(",",$C3849)),$C3849,LEFT($C3849,FIND(",",$C3849)-1))))</f>
        <v/>
      </c>
      <c r="M3849" s="28">
        <f>IF($H3849="","",DATE(YEAR($H3849),MONTH($H3849),1))</f>
        <v/>
      </c>
      <c r="N3849" s="26">
        <f>IF($H3849="","",TODAY()-$H3849)</f>
        <v/>
      </c>
      <c r="O3849" s="15" t="n"/>
      <c r="P3849" s="15" t="n"/>
      <c r="Q3849" s="15" t="n"/>
      <c r="R3849" s="25" t="n"/>
      <c r="S3849" s="26">
        <f>IF($A3849="","",AND(OR('Assignment Builder'!$B$5="",$B3849='Assignment Builder'!$B$5),OR('Assignment Builder'!$B$6="",ISNUMBER(SEARCH('Assignment Builder'!$B$6,$C3849))),OR('Assignment Builder'!$B$7="",'Assignment Builder'!$B$7=IFERROR(INDEX('Category Dictionary'!$C$5:$C$135,MATCH($L3849,'Category Dictionary'!$D$5:$D$135,0)),"")),OR('Assignment Builder'!$B$8="",$D3849='Assignment Builder'!$B$8),OR('Assignment Builder'!$B$9="",$F3849='Assignment Builder'!$B$9),OR('Assignment Builder'!$B$10="",$O3849='Assignment Builder'!$B$10),OR('Assignment Builder'!$B$11="",$H3849&gt;='Assignment Builder'!$B$11),OR('Assignment Builder'!$B$12="",N($Q3849)&lt;='Assignment Builder'!$B$12)))</f>
        <v/>
      </c>
      <c r="T3849" s="23" t="n"/>
    </row>
    <row r="3850">
      <c r="A3850" s="23" t="n"/>
      <c r="B3850" s="23" t="n"/>
      <c r="C3850" s="24" t="n"/>
      <c r="D3850" s="15" t="n"/>
      <c r="E3850" s="23" t="n"/>
      <c r="F3850" s="15" t="n"/>
      <c r="G3850" s="23" t="n"/>
      <c r="H3850" s="25" t="n"/>
      <c r="I3850" s="15" t="n"/>
      <c r="J3850" s="26">
        <f>IF($A3850="","",LEN($C3850)-LEN(SUBSTITUTE($C3850,",",""))+1)</f>
        <v/>
      </c>
      <c r="K3850" s="26">
        <f>IF($A3850="","",SUMPRODUCT(--ISNUMBER(SEARCH('Category Dictionary'!$D$5:$D$135&amp;"",$C3850)),--('Category Dictionary'!$D$5:$D$135&lt;&gt;"")))</f>
        <v/>
      </c>
      <c r="L3850" s="27">
        <f>IF($A3850="","",TRIM(IF(ISERROR(FIND(",",$C3850)),$C3850,LEFT($C3850,FIND(",",$C3850)-1))))</f>
        <v/>
      </c>
      <c r="M3850" s="28">
        <f>IF($H3850="","",DATE(YEAR($H3850),MONTH($H3850),1))</f>
        <v/>
      </c>
      <c r="N3850" s="26">
        <f>IF($H3850="","",TODAY()-$H3850)</f>
        <v/>
      </c>
      <c r="O3850" s="15" t="n"/>
      <c r="P3850" s="15" t="n"/>
      <c r="Q3850" s="15" t="n"/>
      <c r="R3850" s="25" t="n"/>
      <c r="S3850" s="26">
        <f>IF($A3850="","",AND(OR('Assignment Builder'!$B$5="",$B3850='Assignment Builder'!$B$5),OR('Assignment Builder'!$B$6="",ISNUMBER(SEARCH('Assignment Builder'!$B$6,$C3850))),OR('Assignment Builder'!$B$7="",'Assignment Builder'!$B$7=IFERROR(INDEX('Category Dictionary'!$C$5:$C$135,MATCH($L3850,'Category Dictionary'!$D$5:$D$135,0)),"")),OR('Assignment Builder'!$B$8="",$D3850='Assignment Builder'!$B$8),OR('Assignment Builder'!$B$9="",$F3850='Assignment Builder'!$B$9),OR('Assignment Builder'!$B$10="",$O3850='Assignment Builder'!$B$10),OR('Assignment Builder'!$B$11="",$H3850&gt;='Assignment Builder'!$B$11),OR('Assignment Builder'!$B$12="",N($Q3850)&lt;='Assignment Builder'!$B$12)))</f>
        <v/>
      </c>
      <c r="T3850" s="23" t="n"/>
    </row>
    <row r="3851">
      <c r="A3851" s="23" t="n"/>
      <c r="B3851" s="23" t="n"/>
      <c r="C3851" s="24" t="n"/>
      <c r="D3851" s="15" t="n"/>
      <c r="E3851" s="23" t="n"/>
      <c r="F3851" s="15" t="n"/>
      <c r="G3851" s="23" t="n"/>
      <c r="H3851" s="25" t="n"/>
      <c r="I3851" s="15" t="n"/>
      <c r="J3851" s="26">
        <f>IF($A3851="","",LEN($C3851)-LEN(SUBSTITUTE($C3851,",",""))+1)</f>
        <v/>
      </c>
      <c r="K3851" s="26">
        <f>IF($A3851="","",SUMPRODUCT(--ISNUMBER(SEARCH('Category Dictionary'!$D$5:$D$135&amp;"",$C3851)),--('Category Dictionary'!$D$5:$D$135&lt;&gt;"")))</f>
        <v/>
      </c>
      <c r="L3851" s="27">
        <f>IF($A3851="","",TRIM(IF(ISERROR(FIND(",",$C3851)),$C3851,LEFT($C3851,FIND(",",$C3851)-1))))</f>
        <v/>
      </c>
      <c r="M3851" s="28">
        <f>IF($H3851="","",DATE(YEAR($H3851),MONTH($H3851),1))</f>
        <v/>
      </c>
      <c r="N3851" s="26">
        <f>IF($H3851="","",TODAY()-$H3851)</f>
        <v/>
      </c>
      <c r="O3851" s="15" t="n"/>
      <c r="P3851" s="15" t="n"/>
      <c r="Q3851" s="15" t="n"/>
      <c r="R3851" s="25" t="n"/>
      <c r="S3851" s="26">
        <f>IF($A3851="","",AND(OR('Assignment Builder'!$B$5="",$B3851='Assignment Builder'!$B$5),OR('Assignment Builder'!$B$6="",ISNUMBER(SEARCH('Assignment Builder'!$B$6,$C3851))),OR('Assignment Builder'!$B$7="",'Assignment Builder'!$B$7=IFERROR(INDEX('Category Dictionary'!$C$5:$C$135,MATCH($L3851,'Category Dictionary'!$D$5:$D$135,0)),"")),OR('Assignment Builder'!$B$8="",$D3851='Assignment Builder'!$B$8),OR('Assignment Builder'!$B$9="",$F3851='Assignment Builder'!$B$9),OR('Assignment Builder'!$B$10="",$O3851='Assignment Builder'!$B$10),OR('Assignment Builder'!$B$11="",$H3851&gt;='Assignment Builder'!$B$11),OR('Assignment Builder'!$B$12="",N($Q3851)&lt;='Assignment Builder'!$B$12)))</f>
        <v/>
      </c>
      <c r="T3851" s="23" t="n"/>
    </row>
    <row r="3852">
      <c r="A3852" s="23" t="n"/>
      <c r="B3852" s="23" t="n"/>
      <c r="C3852" s="24" t="n"/>
      <c r="D3852" s="15" t="n"/>
      <c r="E3852" s="23" t="n"/>
      <c r="F3852" s="15" t="n"/>
      <c r="G3852" s="23" t="n"/>
      <c r="H3852" s="25" t="n"/>
      <c r="I3852" s="15" t="n"/>
      <c r="J3852" s="26">
        <f>IF($A3852="","",LEN($C3852)-LEN(SUBSTITUTE($C3852,",",""))+1)</f>
        <v/>
      </c>
      <c r="K3852" s="26">
        <f>IF($A3852="","",SUMPRODUCT(--ISNUMBER(SEARCH('Category Dictionary'!$D$5:$D$135&amp;"",$C3852)),--('Category Dictionary'!$D$5:$D$135&lt;&gt;"")))</f>
        <v/>
      </c>
      <c r="L3852" s="27">
        <f>IF($A3852="","",TRIM(IF(ISERROR(FIND(",",$C3852)),$C3852,LEFT($C3852,FIND(",",$C3852)-1))))</f>
        <v/>
      </c>
      <c r="M3852" s="28">
        <f>IF($H3852="","",DATE(YEAR($H3852),MONTH($H3852),1))</f>
        <v/>
      </c>
      <c r="N3852" s="26">
        <f>IF($H3852="","",TODAY()-$H3852)</f>
        <v/>
      </c>
      <c r="O3852" s="15" t="n"/>
      <c r="P3852" s="15" t="n"/>
      <c r="Q3852" s="15" t="n"/>
      <c r="R3852" s="25" t="n"/>
      <c r="S3852" s="26">
        <f>IF($A3852="","",AND(OR('Assignment Builder'!$B$5="",$B3852='Assignment Builder'!$B$5),OR('Assignment Builder'!$B$6="",ISNUMBER(SEARCH('Assignment Builder'!$B$6,$C3852))),OR('Assignment Builder'!$B$7="",'Assignment Builder'!$B$7=IFERROR(INDEX('Category Dictionary'!$C$5:$C$135,MATCH($L3852,'Category Dictionary'!$D$5:$D$135,0)),"")),OR('Assignment Builder'!$B$8="",$D3852='Assignment Builder'!$B$8),OR('Assignment Builder'!$B$9="",$F3852='Assignment Builder'!$B$9),OR('Assignment Builder'!$B$10="",$O3852='Assignment Builder'!$B$10),OR('Assignment Builder'!$B$11="",$H3852&gt;='Assignment Builder'!$B$11),OR('Assignment Builder'!$B$12="",N($Q3852)&lt;='Assignment Builder'!$B$12)))</f>
        <v/>
      </c>
      <c r="T3852" s="23" t="n"/>
    </row>
    <row r="3853">
      <c r="A3853" s="23" t="n"/>
      <c r="B3853" s="23" t="n"/>
      <c r="C3853" s="24" t="n"/>
      <c r="D3853" s="15" t="n"/>
      <c r="E3853" s="23" t="n"/>
      <c r="F3853" s="15" t="n"/>
      <c r="G3853" s="23" t="n"/>
      <c r="H3853" s="25" t="n"/>
      <c r="I3853" s="15" t="n"/>
      <c r="J3853" s="26">
        <f>IF($A3853="","",LEN($C3853)-LEN(SUBSTITUTE($C3853,",",""))+1)</f>
        <v/>
      </c>
      <c r="K3853" s="26">
        <f>IF($A3853="","",SUMPRODUCT(--ISNUMBER(SEARCH('Category Dictionary'!$D$5:$D$135&amp;"",$C3853)),--('Category Dictionary'!$D$5:$D$135&lt;&gt;"")))</f>
        <v/>
      </c>
      <c r="L3853" s="27">
        <f>IF($A3853="","",TRIM(IF(ISERROR(FIND(",",$C3853)),$C3853,LEFT($C3853,FIND(",",$C3853)-1))))</f>
        <v/>
      </c>
      <c r="M3853" s="28">
        <f>IF($H3853="","",DATE(YEAR($H3853),MONTH($H3853),1))</f>
        <v/>
      </c>
      <c r="N3853" s="26">
        <f>IF($H3853="","",TODAY()-$H3853)</f>
        <v/>
      </c>
      <c r="O3853" s="15" t="n"/>
      <c r="P3853" s="15" t="n"/>
      <c r="Q3853" s="15" t="n"/>
      <c r="R3853" s="25" t="n"/>
      <c r="S3853" s="26">
        <f>IF($A3853="","",AND(OR('Assignment Builder'!$B$5="",$B3853='Assignment Builder'!$B$5),OR('Assignment Builder'!$B$6="",ISNUMBER(SEARCH('Assignment Builder'!$B$6,$C3853))),OR('Assignment Builder'!$B$7="",'Assignment Builder'!$B$7=IFERROR(INDEX('Category Dictionary'!$C$5:$C$135,MATCH($L3853,'Category Dictionary'!$D$5:$D$135,0)),"")),OR('Assignment Builder'!$B$8="",$D3853='Assignment Builder'!$B$8),OR('Assignment Builder'!$B$9="",$F3853='Assignment Builder'!$B$9),OR('Assignment Builder'!$B$10="",$O3853='Assignment Builder'!$B$10),OR('Assignment Builder'!$B$11="",$H3853&gt;='Assignment Builder'!$B$11),OR('Assignment Builder'!$B$12="",N($Q3853)&lt;='Assignment Builder'!$B$12)))</f>
        <v/>
      </c>
      <c r="T3853" s="23" t="n"/>
    </row>
    <row r="3854">
      <c r="A3854" s="23" t="n"/>
      <c r="B3854" s="23" t="n"/>
      <c r="C3854" s="24" t="n"/>
      <c r="D3854" s="15" t="n"/>
      <c r="E3854" s="23" t="n"/>
      <c r="F3854" s="15" t="n"/>
      <c r="G3854" s="23" t="n"/>
      <c r="H3854" s="25" t="n"/>
      <c r="I3854" s="15" t="n"/>
      <c r="J3854" s="26">
        <f>IF($A3854="","",LEN($C3854)-LEN(SUBSTITUTE($C3854,",",""))+1)</f>
        <v/>
      </c>
      <c r="K3854" s="26">
        <f>IF($A3854="","",SUMPRODUCT(--ISNUMBER(SEARCH('Category Dictionary'!$D$5:$D$135&amp;"",$C3854)),--('Category Dictionary'!$D$5:$D$135&lt;&gt;"")))</f>
        <v/>
      </c>
      <c r="L3854" s="27">
        <f>IF($A3854="","",TRIM(IF(ISERROR(FIND(",",$C3854)),$C3854,LEFT($C3854,FIND(",",$C3854)-1))))</f>
        <v/>
      </c>
      <c r="M3854" s="28">
        <f>IF($H3854="","",DATE(YEAR($H3854),MONTH($H3854),1))</f>
        <v/>
      </c>
      <c r="N3854" s="26">
        <f>IF($H3854="","",TODAY()-$H3854)</f>
        <v/>
      </c>
      <c r="O3854" s="15" t="n"/>
      <c r="P3854" s="15" t="n"/>
      <c r="Q3854" s="15" t="n"/>
      <c r="R3854" s="25" t="n"/>
      <c r="S3854" s="26">
        <f>IF($A3854="","",AND(OR('Assignment Builder'!$B$5="",$B3854='Assignment Builder'!$B$5),OR('Assignment Builder'!$B$6="",ISNUMBER(SEARCH('Assignment Builder'!$B$6,$C3854))),OR('Assignment Builder'!$B$7="",'Assignment Builder'!$B$7=IFERROR(INDEX('Category Dictionary'!$C$5:$C$135,MATCH($L3854,'Category Dictionary'!$D$5:$D$135,0)),"")),OR('Assignment Builder'!$B$8="",$D3854='Assignment Builder'!$B$8),OR('Assignment Builder'!$B$9="",$F3854='Assignment Builder'!$B$9),OR('Assignment Builder'!$B$10="",$O3854='Assignment Builder'!$B$10),OR('Assignment Builder'!$B$11="",$H3854&gt;='Assignment Builder'!$B$11),OR('Assignment Builder'!$B$12="",N($Q3854)&lt;='Assignment Builder'!$B$12)))</f>
        <v/>
      </c>
      <c r="T3854" s="23" t="n"/>
    </row>
    <row r="3855">
      <c r="A3855" s="23" t="n"/>
      <c r="B3855" s="23" t="n"/>
      <c r="C3855" s="24" t="n"/>
      <c r="D3855" s="15" t="n"/>
      <c r="E3855" s="23" t="n"/>
      <c r="F3855" s="15" t="n"/>
      <c r="G3855" s="23" t="n"/>
      <c r="H3855" s="25" t="n"/>
      <c r="I3855" s="15" t="n"/>
      <c r="J3855" s="26">
        <f>IF($A3855="","",LEN($C3855)-LEN(SUBSTITUTE($C3855,",",""))+1)</f>
        <v/>
      </c>
      <c r="K3855" s="26">
        <f>IF($A3855="","",SUMPRODUCT(--ISNUMBER(SEARCH('Category Dictionary'!$D$5:$D$135&amp;"",$C3855)),--('Category Dictionary'!$D$5:$D$135&lt;&gt;"")))</f>
        <v/>
      </c>
      <c r="L3855" s="27">
        <f>IF($A3855="","",TRIM(IF(ISERROR(FIND(",",$C3855)),$C3855,LEFT($C3855,FIND(",",$C3855)-1))))</f>
        <v/>
      </c>
      <c r="M3855" s="28">
        <f>IF($H3855="","",DATE(YEAR($H3855),MONTH($H3855),1))</f>
        <v/>
      </c>
      <c r="N3855" s="26">
        <f>IF($H3855="","",TODAY()-$H3855)</f>
        <v/>
      </c>
      <c r="O3855" s="15" t="n"/>
      <c r="P3855" s="15" t="n"/>
      <c r="Q3855" s="15" t="n"/>
      <c r="R3855" s="25" t="n"/>
      <c r="S3855" s="26">
        <f>IF($A3855="","",AND(OR('Assignment Builder'!$B$5="",$B3855='Assignment Builder'!$B$5),OR('Assignment Builder'!$B$6="",ISNUMBER(SEARCH('Assignment Builder'!$B$6,$C3855))),OR('Assignment Builder'!$B$7="",'Assignment Builder'!$B$7=IFERROR(INDEX('Category Dictionary'!$C$5:$C$135,MATCH($L3855,'Category Dictionary'!$D$5:$D$135,0)),"")),OR('Assignment Builder'!$B$8="",$D3855='Assignment Builder'!$B$8),OR('Assignment Builder'!$B$9="",$F3855='Assignment Builder'!$B$9),OR('Assignment Builder'!$B$10="",$O3855='Assignment Builder'!$B$10),OR('Assignment Builder'!$B$11="",$H3855&gt;='Assignment Builder'!$B$11),OR('Assignment Builder'!$B$12="",N($Q3855)&lt;='Assignment Builder'!$B$12)))</f>
        <v/>
      </c>
      <c r="T3855" s="23" t="n"/>
    </row>
    <row r="3856">
      <c r="A3856" s="23" t="n"/>
      <c r="B3856" s="23" t="n"/>
      <c r="C3856" s="24" t="n"/>
      <c r="D3856" s="15" t="n"/>
      <c r="E3856" s="23" t="n"/>
      <c r="F3856" s="15" t="n"/>
      <c r="G3856" s="23" t="n"/>
      <c r="H3856" s="25" t="n"/>
      <c r="I3856" s="15" t="n"/>
      <c r="J3856" s="26">
        <f>IF($A3856="","",LEN($C3856)-LEN(SUBSTITUTE($C3856,",",""))+1)</f>
        <v/>
      </c>
      <c r="K3856" s="26">
        <f>IF($A3856="","",SUMPRODUCT(--ISNUMBER(SEARCH('Category Dictionary'!$D$5:$D$135&amp;"",$C3856)),--('Category Dictionary'!$D$5:$D$135&lt;&gt;"")))</f>
        <v/>
      </c>
      <c r="L3856" s="27">
        <f>IF($A3856="","",TRIM(IF(ISERROR(FIND(",",$C3856)),$C3856,LEFT($C3856,FIND(",",$C3856)-1))))</f>
        <v/>
      </c>
      <c r="M3856" s="28">
        <f>IF($H3856="","",DATE(YEAR($H3856),MONTH($H3856),1))</f>
        <v/>
      </c>
      <c r="N3856" s="26">
        <f>IF($H3856="","",TODAY()-$H3856)</f>
        <v/>
      </c>
      <c r="O3856" s="15" t="n"/>
      <c r="P3856" s="15" t="n"/>
      <c r="Q3856" s="15" t="n"/>
      <c r="R3856" s="25" t="n"/>
      <c r="S3856" s="26">
        <f>IF($A3856="","",AND(OR('Assignment Builder'!$B$5="",$B3856='Assignment Builder'!$B$5),OR('Assignment Builder'!$B$6="",ISNUMBER(SEARCH('Assignment Builder'!$B$6,$C3856))),OR('Assignment Builder'!$B$7="",'Assignment Builder'!$B$7=IFERROR(INDEX('Category Dictionary'!$C$5:$C$135,MATCH($L3856,'Category Dictionary'!$D$5:$D$135,0)),"")),OR('Assignment Builder'!$B$8="",$D3856='Assignment Builder'!$B$8),OR('Assignment Builder'!$B$9="",$F3856='Assignment Builder'!$B$9),OR('Assignment Builder'!$B$10="",$O3856='Assignment Builder'!$B$10),OR('Assignment Builder'!$B$11="",$H3856&gt;='Assignment Builder'!$B$11),OR('Assignment Builder'!$B$12="",N($Q3856)&lt;='Assignment Builder'!$B$12)))</f>
        <v/>
      </c>
      <c r="T3856" s="23" t="n"/>
    </row>
    <row r="3857">
      <c r="A3857" s="23" t="n"/>
      <c r="B3857" s="23" t="n"/>
      <c r="C3857" s="24" t="n"/>
      <c r="D3857" s="15" t="n"/>
      <c r="E3857" s="23" t="n"/>
      <c r="F3857" s="15" t="n"/>
      <c r="G3857" s="23" t="n"/>
      <c r="H3857" s="25" t="n"/>
      <c r="I3857" s="15" t="n"/>
      <c r="J3857" s="26">
        <f>IF($A3857="","",LEN($C3857)-LEN(SUBSTITUTE($C3857,",",""))+1)</f>
        <v/>
      </c>
      <c r="K3857" s="26">
        <f>IF($A3857="","",SUMPRODUCT(--ISNUMBER(SEARCH('Category Dictionary'!$D$5:$D$135&amp;"",$C3857)),--('Category Dictionary'!$D$5:$D$135&lt;&gt;"")))</f>
        <v/>
      </c>
      <c r="L3857" s="27">
        <f>IF($A3857="","",TRIM(IF(ISERROR(FIND(",",$C3857)),$C3857,LEFT($C3857,FIND(",",$C3857)-1))))</f>
        <v/>
      </c>
      <c r="M3857" s="28">
        <f>IF($H3857="","",DATE(YEAR($H3857),MONTH($H3857),1))</f>
        <v/>
      </c>
      <c r="N3857" s="26">
        <f>IF($H3857="","",TODAY()-$H3857)</f>
        <v/>
      </c>
      <c r="O3857" s="15" t="n"/>
      <c r="P3857" s="15" t="n"/>
      <c r="Q3857" s="15" t="n"/>
      <c r="R3857" s="25" t="n"/>
      <c r="S3857" s="26">
        <f>IF($A3857="","",AND(OR('Assignment Builder'!$B$5="",$B3857='Assignment Builder'!$B$5),OR('Assignment Builder'!$B$6="",ISNUMBER(SEARCH('Assignment Builder'!$B$6,$C3857))),OR('Assignment Builder'!$B$7="",'Assignment Builder'!$B$7=IFERROR(INDEX('Category Dictionary'!$C$5:$C$135,MATCH($L3857,'Category Dictionary'!$D$5:$D$135,0)),"")),OR('Assignment Builder'!$B$8="",$D3857='Assignment Builder'!$B$8),OR('Assignment Builder'!$B$9="",$F3857='Assignment Builder'!$B$9),OR('Assignment Builder'!$B$10="",$O3857='Assignment Builder'!$B$10),OR('Assignment Builder'!$B$11="",$H3857&gt;='Assignment Builder'!$B$11),OR('Assignment Builder'!$B$12="",N($Q3857)&lt;='Assignment Builder'!$B$12)))</f>
        <v/>
      </c>
      <c r="T3857" s="23" t="n"/>
    </row>
    <row r="3858">
      <c r="A3858" s="23" t="n"/>
      <c r="B3858" s="23" t="n"/>
      <c r="C3858" s="24" t="n"/>
      <c r="D3858" s="15" t="n"/>
      <c r="E3858" s="23" t="n"/>
      <c r="F3858" s="15" t="n"/>
      <c r="G3858" s="23" t="n"/>
      <c r="H3858" s="25" t="n"/>
      <c r="I3858" s="15" t="n"/>
      <c r="J3858" s="26">
        <f>IF($A3858="","",LEN($C3858)-LEN(SUBSTITUTE($C3858,",",""))+1)</f>
        <v/>
      </c>
      <c r="K3858" s="26">
        <f>IF($A3858="","",SUMPRODUCT(--ISNUMBER(SEARCH('Category Dictionary'!$D$5:$D$135&amp;"",$C3858)),--('Category Dictionary'!$D$5:$D$135&lt;&gt;"")))</f>
        <v/>
      </c>
      <c r="L3858" s="27">
        <f>IF($A3858="","",TRIM(IF(ISERROR(FIND(",",$C3858)),$C3858,LEFT($C3858,FIND(",",$C3858)-1))))</f>
        <v/>
      </c>
      <c r="M3858" s="28">
        <f>IF($H3858="","",DATE(YEAR($H3858),MONTH($H3858),1))</f>
        <v/>
      </c>
      <c r="N3858" s="26">
        <f>IF($H3858="","",TODAY()-$H3858)</f>
        <v/>
      </c>
      <c r="O3858" s="15" t="n"/>
      <c r="P3858" s="15" t="n"/>
      <c r="Q3858" s="15" t="n"/>
      <c r="R3858" s="25" t="n"/>
      <c r="S3858" s="26">
        <f>IF($A3858="","",AND(OR('Assignment Builder'!$B$5="",$B3858='Assignment Builder'!$B$5),OR('Assignment Builder'!$B$6="",ISNUMBER(SEARCH('Assignment Builder'!$B$6,$C3858))),OR('Assignment Builder'!$B$7="",'Assignment Builder'!$B$7=IFERROR(INDEX('Category Dictionary'!$C$5:$C$135,MATCH($L3858,'Category Dictionary'!$D$5:$D$135,0)),"")),OR('Assignment Builder'!$B$8="",$D3858='Assignment Builder'!$B$8),OR('Assignment Builder'!$B$9="",$F3858='Assignment Builder'!$B$9),OR('Assignment Builder'!$B$10="",$O3858='Assignment Builder'!$B$10),OR('Assignment Builder'!$B$11="",$H3858&gt;='Assignment Builder'!$B$11),OR('Assignment Builder'!$B$12="",N($Q3858)&lt;='Assignment Builder'!$B$12)))</f>
        <v/>
      </c>
      <c r="T3858" s="23" t="n"/>
    </row>
    <row r="3859">
      <c r="A3859" s="23" t="n"/>
      <c r="B3859" s="23" t="n"/>
      <c r="C3859" s="24" t="n"/>
      <c r="D3859" s="15" t="n"/>
      <c r="E3859" s="23" t="n"/>
      <c r="F3859" s="15" t="n"/>
      <c r="G3859" s="23" t="n"/>
      <c r="H3859" s="25" t="n"/>
      <c r="I3859" s="15" t="n"/>
      <c r="J3859" s="26">
        <f>IF($A3859="","",LEN($C3859)-LEN(SUBSTITUTE($C3859,",",""))+1)</f>
        <v/>
      </c>
      <c r="K3859" s="26">
        <f>IF($A3859="","",SUMPRODUCT(--ISNUMBER(SEARCH('Category Dictionary'!$D$5:$D$135&amp;"",$C3859)),--('Category Dictionary'!$D$5:$D$135&lt;&gt;"")))</f>
        <v/>
      </c>
      <c r="L3859" s="27">
        <f>IF($A3859="","",TRIM(IF(ISERROR(FIND(",",$C3859)),$C3859,LEFT($C3859,FIND(",",$C3859)-1))))</f>
        <v/>
      </c>
      <c r="M3859" s="28">
        <f>IF($H3859="","",DATE(YEAR($H3859),MONTH($H3859),1))</f>
        <v/>
      </c>
      <c r="N3859" s="26">
        <f>IF($H3859="","",TODAY()-$H3859)</f>
        <v/>
      </c>
      <c r="O3859" s="15" t="n"/>
      <c r="P3859" s="15" t="n"/>
      <c r="Q3859" s="15" t="n"/>
      <c r="R3859" s="25" t="n"/>
      <c r="S3859" s="26">
        <f>IF($A3859="","",AND(OR('Assignment Builder'!$B$5="",$B3859='Assignment Builder'!$B$5),OR('Assignment Builder'!$B$6="",ISNUMBER(SEARCH('Assignment Builder'!$B$6,$C3859))),OR('Assignment Builder'!$B$7="",'Assignment Builder'!$B$7=IFERROR(INDEX('Category Dictionary'!$C$5:$C$135,MATCH($L3859,'Category Dictionary'!$D$5:$D$135,0)),"")),OR('Assignment Builder'!$B$8="",$D3859='Assignment Builder'!$B$8),OR('Assignment Builder'!$B$9="",$F3859='Assignment Builder'!$B$9),OR('Assignment Builder'!$B$10="",$O3859='Assignment Builder'!$B$10),OR('Assignment Builder'!$B$11="",$H3859&gt;='Assignment Builder'!$B$11),OR('Assignment Builder'!$B$12="",N($Q3859)&lt;='Assignment Builder'!$B$12)))</f>
        <v/>
      </c>
      <c r="T3859" s="23" t="n"/>
    </row>
    <row r="3860">
      <c r="A3860" s="23" t="n"/>
      <c r="B3860" s="23" t="n"/>
      <c r="C3860" s="24" t="n"/>
      <c r="D3860" s="15" t="n"/>
      <c r="E3860" s="23" t="n"/>
      <c r="F3860" s="15" t="n"/>
      <c r="G3860" s="23" t="n"/>
      <c r="H3860" s="25" t="n"/>
      <c r="I3860" s="15" t="n"/>
      <c r="J3860" s="26">
        <f>IF($A3860="","",LEN($C3860)-LEN(SUBSTITUTE($C3860,",",""))+1)</f>
        <v/>
      </c>
      <c r="K3860" s="26">
        <f>IF($A3860="","",SUMPRODUCT(--ISNUMBER(SEARCH('Category Dictionary'!$D$5:$D$135&amp;"",$C3860)),--('Category Dictionary'!$D$5:$D$135&lt;&gt;"")))</f>
        <v/>
      </c>
      <c r="L3860" s="27">
        <f>IF($A3860="","",TRIM(IF(ISERROR(FIND(",",$C3860)),$C3860,LEFT($C3860,FIND(",",$C3860)-1))))</f>
        <v/>
      </c>
      <c r="M3860" s="28">
        <f>IF($H3860="","",DATE(YEAR($H3860),MONTH($H3860),1))</f>
        <v/>
      </c>
      <c r="N3860" s="26">
        <f>IF($H3860="","",TODAY()-$H3860)</f>
        <v/>
      </c>
      <c r="O3860" s="15" t="n"/>
      <c r="P3860" s="15" t="n"/>
      <c r="Q3860" s="15" t="n"/>
      <c r="R3860" s="25" t="n"/>
      <c r="S3860" s="26">
        <f>IF($A3860="","",AND(OR('Assignment Builder'!$B$5="",$B3860='Assignment Builder'!$B$5),OR('Assignment Builder'!$B$6="",ISNUMBER(SEARCH('Assignment Builder'!$B$6,$C3860))),OR('Assignment Builder'!$B$7="",'Assignment Builder'!$B$7=IFERROR(INDEX('Category Dictionary'!$C$5:$C$135,MATCH($L3860,'Category Dictionary'!$D$5:$D$135,0)),"")),OR('Assignment Builder'!$B$8="",$D3860='Assignment Builder'!$B$8),OR('Assignment Builder'!$B$9="",$F3860='Assignment Builder'!$B$9),OR('Assignment Builder'!$B$10="",$O3860='Assignment Builder'!$B$10),OR('Assignment Builder'!$B$11="",$H3860&gt;='Assignment Builder'!$B$11),OR('Assignment Builder'!$B$12="",N($Q3860)&lt;='Assignment Builder'!$B$12)))</f>
        <v/>
      </c>
      <c r="T3860" s="23" t="n"/>
    </row>
    <row r="3861">
      <c r="A3861" s="23" t="n"/>
      <c r="B3861" s="23" t="n"/>
      <c r="C3861" s="24" t="n"/>
      <c r="D3861" s="15" t="n"/>
      <c r="E3861" s="23" t="n"/>
      <c r="F3861" s="15" t="n"/>
      <c r="G3861" s="23" t="n"/>
      <c r="H3861" s="25" t="n"/>
      <c r="I3861" s="15" t="n"/>
      <c r="J3861" s="26">
        <f>IF($A3861="","",LEN($C3861)-LEN(SUBSTITUTE($C3861,",",""))+1)</f>
        <v/>
      </c>
      <c r="K3861" s="26">
        <f>IF($A3861="","",SUMPRODUCT(--ISNUMBER(SEARCH('Category Dictionary'!$D$5:$D$135&amp;"",$C3861)),--('Category Dictionary'!$D$5:$D$135&lt;&gt;"")))</f>
        <v/>
      </c>
      <c r="L3861" s="27">
        <f>IF($A3861="","",TRIM(IF(ISERROR(FIND(",",$C3861)),$C3861,LEFT($C3861,FIND(",",$C3861)-1))))</f>
        <v/>
      </c>
      <c r="M3861" s="28">
        <f>IF($H3861="","",DATE(YEAR($H3861),MONTH($H3861),1))</f>
        <v/>
      </c>
      <c r="N3861" s="26">
        <f>IF($H3861="","",TODAY()-$H3861)</f>
        <v/>
      </c>
      <c r="O3861" s="15" t="n"/>
      <c r="P3861" s="15" t="n"/>
      <c r="Q3861" s="15" t="n"/>
      <c r="R3861" s="25" t="n"/>
      <c r="S3861" s="26">
        <f>IF($A3861="","",AND(OR('Assignment Builder'!$B$5="",$B3861='Assignment Builder'!$B$5),OR('Assignment Builder'!$B$6="",ISNUMBER(SEARCH('Assignment Builder'!$B$6,$C3861))),OR('Assignment Builder'!$B$7="",'Assignment Builder'!$B$7=IFERROR(INDEX('Category Dictionary'!$C$5:$C$135,MATCH($L3861,'Category Dictionary'!$D$5:$D$135,0)),"")),OR('Assignment Builder'!$B$8="",$D3861='Assignment Builder'!$B$8),OR('Assignment Builder'!$B$9="",$F3861='Assignment Builder'!$B$9),OR('Assignment Builder'!$B$10="",$O3861='Assignment Builder'!$B$10),OR('Assignment Builder'!$B$11="",$H3861&gt;='Assignment Builder'!$B$11),OR('Assignment Builder'!$B$12="",N($Q3861)&lt;='Assignment Builder'!$B$12)))</f>
        <v/>
      </c>
      <c r="T3861" s="23" t="n"/>
    </row>
    <row r="3862">
      <c r="A3862" s="23" t="n"/>
      <c r="B3862" s="23" t="n"/>
      <c r="C3862" s="24" t="n"/>
      <c r="D3862" s="15" t="n"/>
      <c r="E3862" s="23" t="n"/>
      <c r="F3862" s="15" t="n"/>
      <c r="G3862" s="23" t="n"/>
      <c r="H3862" s="25" t="n"/>
      <c r="I3862" s="15" t="n"/>
      <c r="J3862" s="26">
        <f>IF($A3862="","",LEN($C3862)-LEN(SUBSTITUTE($C3862,",",""))+1)</f>
        <v/>
      </c>
      <c r="K3862" s="26">
        <f>IF($A3862="","",SUMPRODUCT(--ISNUMBER(SEARCH('Category Dictionary'!$D$5:$D$135&amp;"",$C3862)),--('Category Dictionary'!$D$5:$D$135&lt;&gt;"")))</f>
        <v/>
      </c>
      <c r="L3862" s="27">
        <f>IF($A3862="","",TRIM(IF(ISERROR(FIND(",",$C3862)),$C3862,LEFT($C3862,FIND(",",$C3862)-1))))</f>
        <v/>
      </c>
      <c r="M3862" s="28">
        <f>IF($H3862="","",DATE(YEAR($H3862),MONTH($H3862),1))</f>
        <v/>
      </c>
      <c r="N3862" s="26">
        <f>IF($H3862="","",TODAY()-$H3862)</f>
        <v/>
      </c>
      <c r="O3862" s="15" t="n"/>
      <c r="P3862" s="15" t="n"/>
      <c r="Q3862" s="15" t="n"/>
      <c r="R3862" s="25" t="n"/>
      <c r="S3862" s="26">
        <f>IF($A3862="","",AND(OR('Assignment Builder'!$B$5="",$B3862='Assignment Builder'!$B$5),OR('Assignment Builder'!$B$6="",ISNUMBER(SEARCH('Assignment Builder'!$B$6,$C3862))),OR('Assignment Builder'!$B$7="",'Assignment Builder'!$B$7=IFERROR(INDEX('Category Dictionary'!$C$5:$C$135,MATCH($L3862,'Category Dictionary'!$D$5:$D$135,0)),"")),OR('Assignment Builder'!$B$8="",$D3862='Assignment Builder'!$B$8),OR('Assignment Builder'!$B$9="",$F3862='Assignment Builder'!$B$9),OR('Assignment Builder'!$B$10="",$O3862='Assignment Builder'!$B$10),OR('Assignment Builder'!$B$11="",$H3862&gt;='Assignment Builder'!$B$11),OR('Assignment Builder'!$B$12="",N($Q3862)&lt;='Assignment Builder'!$B$12)))</f>
        <v/>
      </c>
      <c r="T3862" s="23" t="n"/>
    </row>
    <row r="3863">
      <c r="A3863" s="23" t="n"/>
      <c r="B3863" s="23" t="n"/>
      <c r="C3863" s="24" t="n"/>
      <c r="D3863" s="15" t="n"/>
      <c r="E3863" s="23" t="n"/>
      <c r="F3863" s="15" t="n"/>
      <c r="G3863" s="23" t="n"/>
      <c r="H3863" s="25" t="n"/>
      <c r="I3863" s="15" t="n"/>
      <c r="J3863" s="26">
        <f>IF($A3863="","",LEN($C3863)-LEN(SUBSTITUTE($C3863,",",""))+1)</f>
        <v/>
      </c>
      <c r="K3863" s="26">
        <f>IF($A3863="","",SUMPRODUCT(--ISNUMBER(SEARCH('Category Dictionary'!$D$5:$D$135&amp;"",$C3863)),--('Category Dictionary'!$D$5:$D$135&lt;&gt;"")))</f>
        <v/>
      </c>
      <c r="L3863" s="27">
        <f>IF($A3863="","",TRIM(IF(ISERROR(FIND(",",$C3863)),$C3863,LEFT($C3863,FIND(",",$C3863)-1))))</f>
        <v/>
      </c>
      <c r="M3863" s="28">
        <f>IF($H3863="","",DATE(YEAR($H3863),MONTH($H3863),1))</f>
        <v/>
      </c>
      <c r="N3863" s="26">
        <f>IF($H3863="","",TODAY()-$H3863)</f>
        <v/>
      </c>
      <c r="O3863" s="15" t="n"/>
      <c r="P3863" s="15" t="n"/>
      <c r="Q3863" s="15" t="n"/>
      <c r="R3863" s="25" t="n"/>
      <c r="S3863" s="26">
        <f>IF($A3863="","",AND(OR('Assignment Builder'!$B$5="",$B3863='Assignment Builder'!$B$5),OR('Assignment Builder'!$B$6="",ISNUMBER(SEARCH('Assignment Builder'!$B$6,$C3863))),OR('Assignment Builder'!$B$7="",'Assignment Builder'!$B$7=IFERROR(INDEX('Category Dictionary'!$C$5:$C$135,MATCH($L3863,'Category Dictionary'!$D$5:$D$135,0)),"")),OR('Assignment Builder'!$B$8="",$D3863='Assignment Builder'!$B$8),OR('Assignment Builder'!$B$9="",$F3863='Assignment Builder'!$B$9),OR('Assignment Builder'!$B$10="",$O3863='Assignment Builder'!$B$10),OR('Assignment Builder'!$B$11="",$H3863&gt;='Assignment Builder'!$B$11),OR('Assignment Builder'!$B$12="",N($Q3863)&lt;='Assignment Builder'!$B$12)))</f>
        <v/>
      </c>
      <c r="T3863" s="23" t="n"/>
    </row>
    <row r="3864">
      <c r="A3864" s="23" t="n"/>
      <c r="B3864" s="23" t="n"/>
      <c r="C3864" s="24" t="n"/>
      <c r="D3864" s="15" t="n"/>
      <c r="E3864" s="23" t="n"/>
      <c r="F3864" s="15" t="n"/>
      <c r="G3864" s="23" t="n"/>
      <c r="H3864" s="25" t="n"/>
      <c r="I3864" s="15" t="n"/>
      <c r="J3864" s="26">
        <f>IF($A3864="","",LEN($C3864)-LEN(SUBSTITUTE($C3864,",",""))+1)</f>
        <v/>
      </c>
      <c r="K3864" s="26">
        <f>IF($A3864="","",SUMPRODUCT(--ISNUMBER(SEARCH('Category Dictionary'!$D$5:$D$135&amp;"",$C3864)),--('Category Dictionary'!$D$5:$D$135&lt;&gt;"")))</f>
        <v/>
      </c>
      <c r="L3864" s="27">
        <f>IF($A3864="","",TRIM(IF(ISERROR(FIND(",",$C3864)),$C3864,LEFT($C3864,FIND(",",$C3864)-1))))</f>
        <v/>
      </c>
      <c r="M3864" s="28">
        <f>IF($H3864="","",DATE(YEAR($H3864),MONTH($H3864),1))</f>
        <v/>
      </c>
      <c r="N3864" s="26">
        <f>IF($H3864="","",TODAY()-$H3864)</f>
        <v/>
      </c>
      <c r="O3864" s="15" t="n"/>
      <c r="P3864" s="15" t="n"/>
      <c r="Q3864" s="15" t="n"/>
      <c r="R3864" s="25" t="n"/>
      <c r="S3864" s="26">
        <f>IF($A3864="","",AND(OR('Assignment Builder'!$B$5="",$B3864='Assignment Builder'!$B$5),OR('Assignment Builder'!$B$6="",ISNUMBER(SEARCH('Assignment Builder'!$B$6,$C3864))),OR('Assignment Builder'!$B$7="",'Assignment Builder'!$B$7=IFERROR(INDEX('Category Dictionary'!$C$5:$C$135,MATCH($L3864,'Category Dictionary'!$D$5:$D$135,0)),"")),OR('Assignment Builder'!$B$8="",$D3864='Assignment Builder'!$B$8),OR('Assignment Builder'!$B$9="",$F3864='Assignment Builder'!$B$9),OR('Assignment Builder'!$B$10="",$O3864='Assignment Builder'!$B$10),OR('Assignment Builder'!$B$11="",$H3864&gt;='Assignment Builder'!$B$11),OR('Assignment Builder'!$B$12="",N($Q3864)&lt;='Assignment Builder'!$B$12)))</f>
        <v/>
      </c>
      <c r="T3864" s="23" t="n"/>
    </row>
    <row r="3865">
      <c r="A3865" s="23" t="n"/>
      <c r="B3865" s="23" t="n"/>
      <c r="C3865" s="24" t="n"/>
      <c r="D3865" s="15" t="n"/>
      <c r="E3865" s="23" t="n"/>
      <c r="F3865" s="15" t="n"/>
      <c r="G3865" s="23" t="n"/>
      <c r="H3865" s="25" t="n"/>
      <c r="I3865" s="15" t="n"/>
      <c r="J3865" s="26">
        <f>IF($A3865="","",LEN($C3865)-LEN(SUBSTITUTE($C3865,",",""))+1)</f>
        <v/>
      </c>
      <c r="K3865" s="26">
        <f>IF($A3865="","",SUMPRODUCT(--ISNUMBER(SEARCH('Category Dictionary'!$D$5:$D$135&amp;"",$C3865)),--('Category Dictionary'!$D$5:$D$135&lt;&gt;"")))</f>
        <v/>
      </c>
      <c r="L3865" s="27">
        <f>IF($A3865="","",TRIM(IF(ISERROR(FIND(",",$C3865)),$C3865,LEFT($C3865,FIND(",",$C3865)-1))))</f>
        <v/>
      </c>
      <c r="M3865" s="28">
        <f>IF($H3865="","",DATE(YEAR($H3865),MONTH($H3865),1))</f>
        <v/>
      </c>
      <c r="N3865" s="26">
        <f>IF($H3865="","",TODAY()-$H3865)</f>
        <v/>
      </c>
      <c r="O3865" s="15" t="n"/>
      <c r="P3865" s="15" t="n"/>
      <c r="Q3865" s="15" t="n"/>
      <c r="R3865" s="25" t="n"/>
      <c r="S3865" s="26">
        <f>IF($A3865="","",AND(OR('Assignment Builder'!$B$5="",$B3865='Assignment Builder'!$B$5),OR('Assignment Builder'!$B$6="",ISNUMBER(SEARCH('Assignment Builder'!$B$6,$C3865))),OR('Assignment Builder'!$B$7="",'Assignment Builder'!$B$7=IFERROR(INDEX('Category Dictionary'!$C$5:$C$135,MATCH($L3865,'Category Dictionary'!$D$5:$D$135,0)),"")),OR('Assignment Builder'!$B$8="",$D3865='Assignment Builder'!$B$8),OR('Assignment Builder'!$B$9="",$F3865='Assignment Builder'!$B$9),OR('Assignment Builder'!$B$10="",$O3865='Assignment Builder'!$B$10),OR('Assignment Builder'!$B$11="",$H3865&gt;='Assignment Builder'!$B$11),OR('Assignment Builder'!$B$12="",N($Q3865)&lt;='Assignment Builder'!$B$12)))</f>
        <v/>
      </c>
      <c r="T3865" s="23" t="n"/>
    </row>
    <row r="3866">
      <c r="A3866" s="23" t="n"/>
      <c r="B3866" s="23" t="n"/>
      <c r="C3866" s="24" t="n"/>
      <c r="D3866" s="15" t="n"/>
      <c r="E3866" s="23" t="n"/>
      <c r="F3866" s="15" t="n"/>
      <c r="G3866" s="23" t="n"/>
      <c r="H3866" s="25" t="n"/>
      <c r="I3866" s="15" t="n"/>
      <c r="J3866" s="26">
        <f>IF($A3866="","",LEN($C3866)-LEN(SUBSTITUTE($C3866,",",""))+1)</f>
        <v/>
      </c>
      <c r="K3866" s="26">
        <f>IF($A3866="","",SUMPRODUCT(--ISNUMBER(SEARCH('Category Dictionary'!$D$5:$D$135&amp;"",$C3866)),--('Category Dictionary'!$D$5:$D$135&lt;&gt;"")))</f>
        <v/>
      </c>
      <c r="L3866" s="27">
        <f>IF($A3866="","",TRIM(IF(ISERROR(FIND(",",$C3866)),$C3866,LEFT($C3866,FIND(",",$C3866)-1))))</f>
        <v/>
      </c>
      <c r="M3866" s="28">
        <f>IF($H3866="","",DATE(YEAR($H3866),MONTH($H3866),1))</f>
        <v/>
      </c>
      <c r="N3866" s="26">
        <f>IF($H3866="","",TODAY()-$H3866)</f>
        <v/>
      </c>
      <c r="O3866" s="15" t="n"/>
      <c r="P3866" s="15" t="n"/>
      <c r="Q3866" s="15" t="n"/>
      <c r="R3866" s="25" t="n"/>
      <c r="S3866" s="26">
        <f>IF($A3866="","",AND(OR('Assignment Builder'!$B$5="",$B3866='Assignment Builder'!$B$5),OR('Assignment Builder'!$B$6="",ISNUMBER(SEARCH('Assignment Builder'!$B$6,$C3866))),OR('Assignment Builder'!$B$7="",'Assignment Builder'!$B$7=IFERROR(INDEX('Category Dictionary'!$C$5:$C$135,MATCH($L3866,'Category Dictionary'!$D$5:$D$135,0)),"")),OR('Assignment Builder'!$B$8="",$D3866='Assignment Builder'!$B$8),OR('Assignment Builder'!$B$9="",$F3866='Assignment Builder'!$B$9),OR('Assignment Builder'!$B$10="",$O3866='Assignment Builder'!$B$10),OR('Assignment Builder'!$B$11="",$H3866&gt;='Assignment Builder'!$B$11),OR('Assignment Builder'!$B$12="",N($Q3866)&lt;='Assignment Builder'!$B$12)))</f>
        <v/>
      </c>
      <c r="T3866" s="23" t="n"/>
    </row>
    <row r="3867">
      <c r="A3867" s="23" t="n"/>
      <c r="B3867" s="23" t="n"/>
      <c r="C3867" s="24" t="n"/>
      <c r="D3867" s="15" t="n"/>
      <c r="E3867" s="23" t="n"/>
      <c r="F3867" s="15" t="n"/>
      <c r="G3867" s="23" t="n"/>
      <c r="H3867" s="25" t="n"/>
      <c r="I3867" s="15" t="n"/>
      <c r="J3867" s="26">
        <f>IF($A3867="","",LEN($C3867)-LEN(SUBSTITUTE($C3867,",",""))+1)</f>
        <v/>
      </c>
      <c r="K3867" s="26">
        <f>IF($A3867="","",SUMPRODUCT(--ISNUMBER(SEARCH('Category Dictionary'!$D$5:$D$135&amp;"",$C3867)),--('Category Dictionary'!$D$5:$D$135&lt;&gt;"")))</f>
        <v/>
      </c>
      <c r="L3867" s="27">
        <f>IF($A3867="","",TRIM(IF(ISERROR(FIND(",",$C3867)),$C3867,LEFT($C3867,FIND(",",$C3867)-1))))</f>
        <v/>
      </c>
      <c r="M3867" s="28">
        <f>IF($H3867="","",DATE(YEAR($H3867),MONTH($H3867),1))</f>
        <v/>
      </c>
      <c r="N3867" s="26">
        <f>IF($H3867="","",TODAY()-$H3867)</f>
        <v/>
      </c>
      <c r="O3867" s="15" t="n"/>
      <c r="P3867" s="15" t="n"/>
      <c r="Q3867" s="15" t="n"/>
      <c r="R3867" s="25" t="n"/>
      <c r="S3867" s="26">
        <f>IF($A3867="","",AND(OR('Assignment Builder'!$B$5="",$B3867='Assignment Builder'!$B$5),OR('Assignment Builder'!$B$6="",ISNUMBER(SEARCH('Assignment Builder'!$B$6,$C3867))),OR('Assignment Builder'!$B$7="",'Assignment Builder'!$B$7=IFERROR(INDEX('Category Dictionary'!$C$5:$C$135,MATCH($L3867,'Category Dictionary'!$D$5:$D$135,0)),"")),OR('Assignment Builder'!$B$8="",$D3867='Assignment Builder'!$B$8),OR('Assignment Builder'!$B$9="",$F3867='Assignment Builder'!$B$9),OR('Assignment Builder'!$B$10="",$O3867='Assignment Builder'!$B$10),OR('Assignment Builder'!$B$11="",$H3867&gt;='Assignment Builder'!$B$11),OR('Assignment Builder'!$B$12="",N($Q3867)&lt;='Assignment Builder'!$B$12)))</f>
        <v/>
      </c>
      <c r="T3867" s="23" t="n"/>
    </row>
    <row r="3868">
      <c r="A3868" s="23" t="n"/>
      <c r="B3868" s="23" t="n"/>
      <c r="C3868" s="24" t="n"/>
      <c r="D3868" s="15" t="n"/>
      <c r="E3868" s="23" t="n"/>
      <c r="F3868" s="15" t="n"/>
      <c r="G3868" s="23" t="n"/>
      <c r="H3868" s="25" t="n"/>
      <c r="I3868" s="15" t="n"/>
      <c r="J3868" s="26">
        <f>IF($A3868="","",LEN($C3868)-LEN(SUBSTITUTE($C3868,",",""))+1)</f>
        <v/>
      </c>
      <c r="K3868" s="26">
        <f>IF($A3868="","",SUMPRODUCT(--ISNUMBER(SEARCH('Category Dictionary'!$D$5:$D$135&amp;"",$C3868)),--('Category Dictionary'!$D$5:$D$135&lt;&gt;"")))</f>
        <v/>
      </c>
      <c r="L3868" s="27">
        <f>IF($A3868="","",TRIM(IF(ISERROR(FIND(",",$C3868)),$C3868,LEFT($C3868,FIND(",",$C3868)-1))))</f>
        <v/>
      </c>
      <c r="M3868" s="28">
        <f>IF($H3868="","",DATE(YEAR($H3868),MONTH($H3868),1))</f>
        <v/>
      </c>
      <c r="N3868" s="26">
        <f>IF($H3868="","",TODAY()-$H3868)</f>
        <v/>
      </c>
      <c r="O3868" s="15" t="n"/>
      <c r="P3868" s="15" t="n"/>
      <c r="Q3868" s="15" t="n"/>
      <c r="R3868" s="25" t="n"/>
      <c r="S3868" s="26">
        <f>IF($A3868="","",AND(OR('Assignment Builder'!$B$5="",$B3868='Assignment Builder'!$B$5),OR('Assignment Builder'!$B$6="",ISNUMBER(SEARCH('Assignment Builder'!$B$6,$C3868))),OR('Assignment Builder'!$B$7="",'Assignment Builder'!$B$7=IFERROR(INDEX('Category Dictionary'!$C$5:$C$135,MATCH($L3868,'Category Dictionary'!$D$5:$D$135,0)),"")),OR('Assignment Builder'!$B$8="",$D3868='Assignment Builder'!$B$8),OR('Assignment Builder'!$B$9="",$F3868='Assignment Builder'!$B$9),OR('Assignment Builder'!$B$10="",$O3868='Assignment Builder'!$B$10),OR('Assignment Builder'!$B$11="",$H3868&gt;='Assignment Builder'!$B$11),OR('Assignment Builder'!$B$12="",N($Q3868)&lt;='Assignment Builder'!$B$12)))</f>
        <v/>
      </c>
      <c r="T3868" s="23" t="n"/>
    </row>
    <row r="3869">
      <c r="A3869" s="23" t="n"/>
      <c r="B3869" s="23" t="n"/>
      <c r="C3869" s="24" t="n"/>
      <c r="D3869" s="15" t="n"/>
      <c r="E3869" s="23" t="n"/>
      <c r="F3869" s="15" t="n"/>
      <c r="G3869" s="23" t="n"/>
      <c r="H3869" s="25" t="n"/>
      <c r="I3869" s="15" t="n"/>
      <c r="J3869" s="26">
        <f>IF($A3869="","",LEN($C3869)-LEN(SUBSTITUTE($C3869,",",""))+1)</f>
        <v/>
      </c>
      <c r="K3869" s="26">
        <f>IF($A3869="","",SUMPRODUCT(--ISNUMBER(SEARCH('Category Dictionary'!$D$5:$D$135&amp;"",$C3869)),--('Category Dictionary'!$D$5:$D$135&lt;&gt;"")))</f>
        <v/>
      </c>
      <c r="L3869" s="27">
        <f>IF($A3869="","",TRIM(IF(ISERROR(FIND(",",$C3869)),$C3869,LEFT($C3869,FIND(",",$C3869)-1))))</f>
        <v/>
      </c>
      <c r="M3869" s="28">
        <f>IF($H3869="","",DATE(YEAR($H3869),MONTH($H3869),1))</f>
        <v/>
      </c>
      <c r="N3869" s="26">
        <f>IF($H3869="","",TODAY()-$H3869)</f>
        <v/>
      </c>
      <c r="O3869" s="15" t="n"/>
      <c r="P3869" s="15" t="n"/>
      <c r="Q3869" s="15" t="n"/>
      <c r="R3869" s="25" t="n"/>
      <c r="S3869" s="26">
        <f>IF($A3869="","",AND(OR('Assignment Builder'!$B$5="",$B3869='Assignment Builder'!$B$5),OR('Assignment Builder'!$B$6="",ISNUMBER(SEARCH('Assignment Builder'!$B$6,$C3869))),OR('Assignment Builder'!$B$7="",'Assignment Builder'!$B$7=IFERROR(INDEX('Category Dictionary'!$C$5:$C$135,MATCH($L3869,'Category Dictionary'!$D$5:$D$135,0)),"")),OR('Assignment Builder'!$B$8="",$D3869='Assignment Builder'!$B$8),OR('Assignment Builder'!$B$9="",$F3869='Assignment Builder'!$B$9),OR('Assignment Builder'!$B$10="",$O3869='Assignment Builder'!$B$10),OR('Assignment Builder'!$B$11="",$H3869&gt;='Assignment Builder'!$B$11),OR('Assignment Builder'!$B$12="",N($Q3869)&lt;='Assignment Builder'!$B$12)))</f>
        <v/>
      </c>
      <c r="T3869" s="23" t="n"/>
    </row>
    <row r="3870">
      <c r="A3870" s="23" t="n"/>
      <c r="B3870" s="23" t="n"/>
      <c r="C3870" s="24" t="n"/>
      <c r="D3870" s="15" t="n"/>
      <c r="E3870" s="23" t="n"/>
      <c r="F3870" s="15" t="n"/>
      <c r="G3870" s="23" t="n"/>
      <c r="H3870" s="25" t="n"/>
      <c r="I3870" s="15" t="n"/>
      <c r="J3870" s="26">
        <f>IF($A3870="","",LEN($C3870)-LEN(SUBSTITUTE($C3870,",",""))+1)</f>
        <v/>
      </c>
      <c r="K3870" s="26">
        <f>IF($A3870="","",SUMPRODUCT(--ISNUMBER(SEARCH('Category Dictionary'!$D$5:$D$135&amp;"",$C3870)),--('Category Dictionary'!$D$5:$D$135&lt;&gt;"")))</f>
        <v/>
      </c>
      <c r="L3870" s="27">
        <f>IF($A3870="","",TRIM(IF(ISERROR(FIND(",",$C3870)),$C3870,LEFT($C3870,FIND(",",$C3870)-1))))</f>
        <v/>
      </c>
      <c r="M3870" s="28">
        <f>IF($H3870="","",DATE(YEAR($H3870),MONTH($H3870),1))</f>
        <v/>
      </c>
      <c r="N3870" s="26">
        <f>IF($H3870="","",TODAY()-$H3870)</f>
        <v/>
      </c>
      <c r="O3870" s="15" t="n"/>
      <c r="P3870" s="15" t="n"/>
      <c r="Q3870" s="15" t="n"/>
      <c r="R3870" s="25" t="n"/>
      <c r="S3870" s="26">
        <f>IF($A3870="","",AND(OR('Assignment Builder'!$B$5="",$B3870='Assignment Builder'!$B$5),OR('Assignment Builder'!$B$6="",ISNUMBER(SEARCH('Assignment Builder'!$B$6,$C3870))),OR('Assignment Builder'!$B$7="",'Assignment Builder'!$B$7=IFERROR(INDEX('Category Dictionary'!$C$5:$C$135,MATCH($L3870,'Category Dictionary'!$D$5:$D$135,0)),"")),OR('Assignment Builder'!$B$8="",$D3870='Assignment Builder'!$B$8),OR('Assignment Builder'!$B$9="",$F3870='Assignment Builder'!$B$9),OR('Assignment Builder'!$B$10="",$O3870='Assignment Builder'!$B$10),OR('Assignment Builder'!$B$11="",$H3870&gt;='Assignment Builder'!$B$11),OR('Assignment Builder'!$B$12="",N($Q3870)&lt;='Assignment Builder'!$B$12)))</f>
        <v/>
      </c>
      <c r="T3870" s="23" t="n"/>
    </row>
    <row r="3871">
      <c r="A3871" s="23" t="n"/>
      <c r="B3871" s="23" t="n"/>
      <c r="C3871" s="24" t="n"/>
      <c r="D3871" s="15" t="n"/>
      <c r="E3871" s="23" t="n"/>
      <c r="F3871" s="15" t="n"/>
      <c r="G3871" s="23" t="n"/>
      <c r="H3871" s="25" t="n"/>
      <c r="I3871" s="15" t="n"/>
      <c r="J3871" s="26">
        <f>IF($A3871="","",LEN($C3871)-LEN(SUBSTITUTE($C3871,",",""))+1)</f>
        <v/>
      </c>
      <c r="K3871" s="26">
        <f>IF($A3871="","",SUMPRODUCT(--ISNUMBER(SEARCH('Category Dictionary'!$D$5:$D$135&amp;"",$C3871)),--('Category Dictionary'!$D$5:$D$135&lt;&gt;"")))</f>
        <v/>
      </c>
      <c r="L3871" s="27">
        <f>IF($A3871="","",TRIM(IF(ISERROR(FIND(",",$C3871)),$C3871,LEFT($C3871,FIND(",",$C3871)-1))))</f>
        <v/>
      </c>
      <c r="M3871" s="28">
        <f>IF($H3871="","",DATE(YEAR($H3871),MONTH($H3871),1))</f>
        <v/>
      </c>
      <c r="N3871" s="26">
        <f>IF($H3871="","",TODAY()-$H3871)</f>
        <v/>
      </c>
      <c r="O3871" s="15" t="n"/>
      <c r="P3871" s="15" t="n"/>
      <c r="Q3871" s="15" t="n"/>
      <c r="R3871" s="25" t="n"/>
      <c r="S3871" s="26">
        <f>IF($A3871="","",AND(OR('Assignment Builder'!$B$5="",$B3871='Assignment Builder'!$B$5),OR('Assignment Builder'!$B$6="",ISNUMBER(SEARCH('Assignment Builder'!$B$6,$C3871))),OR('Assignment Builder'!$B$7="",'Assignment Builder'!$B$7=IFERROR(INDEX('Category Dictionary'!$C$5:$C$135,MATCH($L3871,'Category Dictionary'!$D$5:$D$135,0)),"")),OR('Assignment Builder'!$B$8="",$D3871='Assignment Builder'!$B$8),OR('Assignment Builder'!$B$9="",$F3871='Assignment Builder'!$B$9),OR('Assignment Builder'!$B$10="",$O3871='Assignment Builder'!$B$10),OR('Assignment Builder'!$B$11="",$H3871&gt;='Assignment Builder'!$B$11),OR('Assignment Builder'!$B$12="",N($Q3871)&lt;='Assignment Builder'!$B$12)))</f>
        <v/>
      </c>
      <c r="T3871" s="23" t="n"/>
    </row>
    <row r="3872">
      <c r="A3872" s="23" t="n"/>
      <c r="B3872" s="23" t="n"/>
      <c r="C3872" s="24" t="n"/>
      <c r="D3872" s="15" t="n"/>
      <c r="E3872" s="23" t="n"/>
      <c r="F3872" s="15" t="n"/>
      <c r="G3872" s="23" t="n"/>
      <c r="H3872" s="25" t="n"/>
      <c r="I3872" s="15" t="n"/>
      <c r="J3872" s="26">
        <f>IF($A3872="","",LEN($C3872)-LEN(SUBSTITUTE($C3872,",",""))+1)</f>
        <v/>
      </c>
      <c r="K3872" s="26">
        <f>IF($A3872="","",SUMPRODUCT(--ISNUMBER(SEARCH('Category Dictionary'!$D$5:$D$135&amp;"",$C3872)),--('Category Dictionary'!$D$5:$D$135&lt;&gt;"")))</f>
        <v/>
      </c>
      <c r="L3872" s="27">
        <f>IF($A3872="","",TRIM(IF(ISERROR(FIND(",",$C3872)),$C3872,LEFT($C3872,FIND(",",$C3872)-1))))</f>
        <v/>
      </c>
      <c r="M3872" s="28">
        <f>IF($H3872="","",DATE(YEAR($H3872),MONTH($H3872),1))</f>
        <v/>
      </c>
      <c r="N3872" s="26">
        <f>IF($H3872="","",TODAY()-$H3872)</f>
        <v/>
      </c>
      <c r="O3872" s="15" t="n"/>
      <c r="P3872" s="15" t="n"/>
      <c r="Q3872" s="15" t="n"/>
      <c r="R3872" s="25" t="n"/>
      <c r="S3872" s="26">
        <f>IF($A3872="","",AND(OR('Assignment Builder'!$B$5="",$B3872='Assignment Builder'!$B$5),OR('Assignment Builder'!$B$6="",ISNUMBER(SEARCH('Assignment Builder'!$B$6,$C3872))),OR('Assignment Builder'!$B$7="",'Assignment Builder'!$B$7=IFERROR(INDEX('Category Dictionary'!$C$5:$C$135,MATCH($L3872,'Category Dictionary'!$D$5:$D$135,0)),"")),OR('Assignment Builder'!$B$8="",$D3872='Assignment Builder'!$B$8),OR('Assignment Builder'!$B$9="",$F3872='Assignment Builder'!$B$9),OR('Assignment Builder'!$B$10="",$O3872='Assignment Builder'!$B$10),OR('Assignment Builder'!$B$11="",$H3872&gt;='Assignment Builder'!$B$11),OR('Assignment Builder'!$B$12="",N($Q3872)&lt;='Assignment Builder'!$B$12)))</f>
        <v/>
      </c>
      <c r="T3872" s="23" t="n"/>
    </row>
    <row r="3873">
      <c r="A3873" s="23" t="n"/>
      <c r="B3873" s="23" t="n"/>
      <c r="C3873" s="24" t="n"/>
      <c r="D3873" s="15" t="n"/>
      <c r="E3873" s="23" t="n"/>
      <c r="F3873" s="15" t="n"/>
      <c r="G3873" s="23" t="n"/>
      <c r="H3873" s="25" t="n"/>
      <c r="I3873" s="15" t="n"/>
      <c r="J3873" s="26">
        <f>IF($A3873="","",LEN($C3873)-LEN(SUBSTITUTE($C3873,",",""))+1)</f>
        <v/>
      </c>
      <c r="K3873" s="26">
        <f>IF($A3873="","",SUMPRODUCT(--ISNUMBER(SEARCH('Category Dictionary'!$D$5:$D$135&amp;"",$C3873)),--('Category Dictionary'!$D$5:$D$135&lt;&gt;"")))</f>
        <v/>
      </c>
      <c r="L3873" s="27">
        <f>IF($A3873="","",TRIM(IF(ISERROR(FIND(",",$C3873)),$C3873,LEFT($C3873,FIND(",",$C3873)-1))))</f>
        <v/>
      </c>
      <c r="M3873" s="28">
        <f>IF($H3873="","",DATE(YEAR($H3873),MONTH($H3873),1))</f>
        <v/>
      </c>
      <c r="N3873" s="26">
        <f>IF($H3873="","",TODAY()-$H3873)</f>
        <v/>
      </c>
      <c r="O3873" s="15" t="n"/>
      <c r="P3873" s="15" t="n"/>
      <c r="Q3873" s="15" t="n"/>
      <c r="R3873" s="25" t="n"/>
      <c r="S3873" s="26">
        <f>IF($A3873="","",AND(OR('Assignment Builder'!$B$5="",$B3873='Assignment Builder'!$B$5),OR('Assignment Builder'!$B$6="",ISNUMBER(SEARCH('Assignment Builder'!$B$6,$C3873))),OR('Assignment Builder'!$B$7="",'Assignment Builder'!$B$7=IFERROR(INDEX('Category Dictionary'!$C$5:$C$135,MATCH($L3873,'Category Dictionary'!$D$5:$D$135,0)),"")),OR('Assignment Builder'!$B$8="",$D3873='Assignment Builder'!$B$8),OR('Assignment Builder'!$B$9="",$F3873='Assignment Builder'!$B$9),OR('Assignment Builder'!$B$10="",$O3873='Assignment Builder'!$B$10),OR('Assignment Builder'!$B$11="",$H3873&gt;='Assignment Builder'!$B$11),OR('Assignment Builder'!$B$12="",N($Q3873)&lt;='Assignment Builder'!$B$12)))</f>
        <v/>
      </c>
      <c r="T3873" s="23" t="n"/>
    </row>
    <row r="3874">
      <c r="A3874" s="23" t="n"/>
      <c r="B3874" s="23" t="n"/>
      <c r="C3874" s="24" t="n"/>
      <c r="D3874" s="15" t="n"/>
      <c r="E3874" s="23" t="n"/>
      <c r="F3874" s="15" t="n"/>
      <c r="G3874" s="23" t="n"/>
      <c r="H3874" s="25" t="n"/>
      <c r="I3874" s="15" t="n"/>
      <c r="J3874" s="26">
        <f>IF($A3874="","",LEN($C3874)-LEN(SUBSTITUTE($C3874,",",""))+1)</f>
        <v/>
      </c>
      <c r="K3874" s="26">
        <f>IF($A3874="","",SUMPRODUCT(--ISNUMBER(SEARCH('Category Dictionary'!$D$5:$D$135&amp;"",$C3874)),--('Category Dictionary'!$D$5:$D$135&lt;&gt;"")))</f>
        <v/>
      </c>
      <c r="L3874" s="27">
        <f>IF($A3874="","",TRIM(IF(ISERROR(FIND(",",$C3874)),$C3874,LEFT($C3874,FIND(",",$C3874)-1))))</f>
        <v/>
      </c>
      <c r="M3874" s="28">
        <f>IF($H3874="","",DATE(YEAR($H3874),MONTH($H3874),1))</f>
        <v/>
      </c>
      <c r="N3874" s="26">
        <f>IF($H3874="","",TODAY()-$H3874)</f>
        <v/>
      </c>
      <c r="O3874" s="15" t="n"/>
      <c r="P3874" s="15" t="n"/>
      <c r="Q3874" s="15" t="n"/>
      <c r="R3874" s="25" t="n"/>
      <c r="S3874" s="26">
        <f>IF($A3874="","",AND(OR('Assignment Builder'!$B$5="",$B3874='Assignment Builder'!$B$5),OR('Assignment Builder'!$B$6="",ISNUMBER(SEARCH('Assignment Builder'!$B$6,$C3874))),OR('Assignment Builder'!$B$7="",'Assignment Builder'!$B$7=IFERROR(INDEX('Category Dictionary'!$C$5:$C$135,MATCH($L3874,'Category Dictionary'!$D$5:$D$135,0)),"")),OR('Assignment Builder'!$B$8="",$D3874='Assignment Builder'!$B$8),OR('Assignment Builder'!$B$9="",$F3874='Assignment Builder'!$B$9),OR('Assignment Builder'!$B$10="",$O3874='Assignment Builder'!$B$10),OR('Assignment Builder'!$B$11="",$H3874&gt;='Assignment Builder'!$B$11),OR('Assignment Builder'!$B$12="",N($Q3874)&lt;='Assignment Builder'!$B$12)))</f>
        <v/>
      </c>
      <c r="T3874" s="23" t="n"/>
    </row>
    <row r="3875">
      <c r="A3875" s="23" t="n"/>
      <c r="B3875" s="23" t="n"/>
      <c r="C3875" s="24" t="n"/>
      <c r="D3875" s="15" t="n"/>
      <c r="E3875" s="23" t="n"/>
      <c r="F3875" s="15" t="n"/>
      <c r="G3875" s="23" t="n"/>
      <c r="H3875" s="25" t="n"/>
      <c r="I3875" s="15" t="n"/>
      <c r="J3875" s="26">
        <f>IF($A3875="","",LEN($C3875)-LEN(SUBSTITUTE($C3875,",",""))+1)</f>
        <v/>
      </c>
      <c r="K3875" s="26">
        <f>IF($A3875="","",SUMPRODUCT(--ISNUMBER(SEARCH('Category Dictionary'!$D$5:$D$135&amp;"",$C3875)),--('Category Dictionary'!$D$5:$D$135&lt;&gt;"")))</f>
        <v/>
      </c>
      <c r="L3875" s="27">
        <f>IF($A3875="","",TRIM(IF(ISERROR(FIND(",",$C3875)),$C3875,LEFT($C3875,FIND(",",$C3875)-1))))</f>
        <v/>
      </c>
      <c r="M3875" s="28">
        <f>IF($H3875="","",DATE(YEAR($H3875),MONTH($H3875),1))</f>
        <v/>
      </c>
      <c r="N3875" s="26">
        <f>IF($H3875="","",TODAY()-$H3875)</f>
        <v/>
      </c>
      <c r="O3875" s="15" t="n"/>
      <c r="P3875" s="15" t="n"/>
      <c r="Q3875" s="15" t="n"/>
      <c r="R3875" s="25" t="n"/>
      <c r="S3875" s="26">
        <f>IF($A3875="","",AND(OR('Assignment Builder'!$B$5="",$B3875='Assignment Builder'!$B$5),OR('Assignment Builder'!$B$6="",ISNUMBER(SEARCH('Assignment Builder'!$B$6,$C3875))),OR('Assignment Builder'!$B$7="",'Assignment Builder'!$B$7=IFERROR(INDEX('Category Dictionary'!$C$5:$C$135,MATCH($L3875,'Category Dictionary'!$D$5:$D$135,0)),"")),OR('Assignment Builder'!$B$8="",$D3875='Assignment Builder'!$B$8),OR('Assignment Builder'!$B$9="",$F3875='Assignment Builder'!$B$9),OR('Assignment Builder'!$B$10="",$O3875='Assignment Builder'!$B$10),OR('Assignment Builder'!$B$11="",$H3875&gt;='Assignment Builder'!$B$11),OR('Assignment Builder'!$B$12="",N($Q3875)&lt;='Assignment Builder'!$B$12)))</f>
        <v/>
      </c>
      <c r="T3875" s="23" t="n"/>
    </row>
    <row r="3876">
      <c r="A3876" s="23" t="n"/>
      <c r="B3876" s="23" t="n"/>
      <c r="C3876" s="24" t="n"/>
      <c r="D3876" s="15" t="n"/>
      <c r="E3876" s="23" t="n"/>
      <c r="F3876" s="15" t="n"/>
      <c r="G3876" s="23" t="n"/>
      <c r="H3876" s="25" t="n"/>
      <c r="I3876" s="15" t="n"/>
      <c r="J3876" s="26">
        <f>IF($A3876="","",LEN($C3876)-LEN(SUBSTITUTE($C3876,",",""))+1)</f>
        <v/>
      </c>
      <c r="K3876" s="26">
        <f>IF($A3876="","",SUMPRODUCT(--ISNUMBER(SEARCH('Category Dictionary'!$D$5:$D$135&amp;"",$C3876)),--('Category Dictionary'!$D$5:$D$135&lt;&gt;"")))</f>
        <v/>
      </c>
      <c r="L3876" s="27">
        <f>IF($A3876="","",TRIM(IF(ISERROR(FIND(",",$C3876)),$C3876,LEFT($C3876,FIND(",",$C3876)-1))))</f>
        <v/>
      </c>
      <c r="M3876" s="28">
        <f>IF($H3876="","",DATE(YEAR($H3876),MONTH($H3876),1))</f>
        <v/>
      </c>
      <c r="N3876" s="26">
        <f>IF($H3876="","",TODAY()-$H3876)</f>
        <v/>
      </c>
      <c r="O3876" s="15" t="n"/>
      <c r="P3876" s="15" t="n"/>
      <c r="Q3876" s="15" t="n"/>
      <c r="R3876" s="25" t="n"/>
      <c r="S3876" s="26">
        <f>IF($A3876="","",AND(OR('Assignment Builder'!$B$5="",$B3876='Assignment Builder'!$B$5),OR('Assignment Builder'!$B$6="",ISNUMBER(SEARCH('Assignment Builder'!$B$6,$C3876))),OR('Assignment Builder'!$B$7="",'Assignment Builder'!$B$7=IFERROR(INDEX('Category Dictionary'!$C$5:$C$135,MATCH($L3876,'Category Dictionary'!$D$5:$D$135,0)),"")),OR('Assignment Builder'!$B$8="",$D3876='Assignment Builder'!$B$8),OR('Assignment Builder'!$B$9="",$F3876='Assignment Builder'!$B$9),OR('Assignment Builder'!$B$10="",$O3876='Assignment Builder'!$B$10),OR('Assignment Builder'!$B$11="",$H3876&gt;='Assignment Builder'!$B$11),OR('Assignment Builder'!$B$12="",N($Q3876)&lt;='Assignment Builder'!$B$12)))</f>
        <v/>
      </c>
      <c r="T3876" s="23" t="n"/>
    </row>
    <row r="3877">
      <c r="A3877" s="23" t="n"/>
      <c r="B3877" s="23" t="n"/>
      <c r="C3877" s="24" t="n"/>
      <c r="D3877" s="15" t="n"/>
      <c r="E3877" s="23" t="n"/>
      <c r="F3877" s="15" t="n"/>
      <c r="G3877" s="23" t="n"/>
      <c r="H3877" s="25" t="n"/>
      <c r="I3877" s="15" t="n"/>
      <c r="J3877" s="26">
        <f>IF($A3877="","",LEN($C3877)-LEN(SUBSTITUTE($C3877,",",""))+1)</f>
        <v/>
      </c>
      <c r="K3877" s="26">
        <f>IF($A3877="","",SUMPRODUCT(--ISNUMBER(SEARCH('Category Dictionary'!$D$5:$D$135&amp;"",$C3877)),--('Category Dictionary'!$D$5:$D$135&lt;&gt;"")))</f>
        <v/>
      </c>
      <c r="L3877" s="27">
        <f>IF($A3877="","",TRIM(IF(ISERROR(FIND(",",$C3877)),$C3877,LEFT($C3877,FIND(",",$C3877)-1))))</f>
        <v/>
      </c>
      <c r="M3877" s="28">
        <f>IF($H3877="","",DATE(YEAR($H3877),MONTH($H3877),1))</f>
        <v/>
      </c>
      <c r="N3877" s="26">
        <f>IF($H3877="","",TODAY()-$H3877)</f>
        <v/>
      </c>
      <c r="O3877" s="15" t="n"/>
      <c r="P3877" s="15" t="n"/>
      <c r="Q3877" s="15" t="n"/>
      <c r="R3877" s="25" t="n"/>
      <c r="S3877" s="26">
        <f>IF($A3877="","",AND(OR('Assignment Builder'!$B$5="",$B3877='Assignment Builder'!$B$5),OR('Assignment Builder'!$B$6="",ISNUMBER(SEARCH('Assignment Builder'!$B$6,$C3877))),OR('Assignment Builder'!$B$7="",'Assignment Builder'!$B$7=IFERROR(INDEX('Category Dictionary'!$C$5:$C$135,MATCH($L3877,'Category Dictionary'!$D$5:$D$135,0)),"")),OR('Assignment Builder'!$B$8="",$D3877='Assignment Builder'!$B$8),OR('Assignment Builder'!$B$9="",$F3877='Assignment Builder'!$B$9),OR('Assignment Builder'!$B$10="",$O3877='Assignment Builder'!$B$10),OR('Assignment Builder'!$B$11="",$H3877&gt;='Assignment Builder'!$B$11),OR('Assignment Builder'!$B$12="",N($Q3877)&lt;='Assignment Builder'!$B$12)))</f>
        <v/>
      </c>
      <c r="T3877" s="23" t="n"/>
    </row>
    <row r="3878">
      <c r="A3878" s="23" t="n"/>
      <c r="B3878" s="23" t="n"/>
      <c r="C3878" s="24" t="n"/>
      <c r="D3878" s="15" t="n"/>
      <c r="E3878" s="23" t="n"/>
      <c r="F3878" s="15" t="n"/>
      <c r="G3878" s="23" t="n"/>
      <c r="H3878" s="25" t="n"/>
      <c r="I3878" s="15" t="n"/>
      <c r="J3878" s="26">
        <f>IF($A3878="","",LEN($C3878)-LEN(SUBSTITUTE($C3878,",",""))+1)</f>
        <v/>
      </c>
      <c r="K3878" s="26">
        <f>IF($A3878="","",SUMPRODUCT(--ISNUMBER(SEARCH('Category Dictionary'!$D$5:$D$135&amp;"",$C3878)),--('Category Dictionary'!$D$5:$D$135&lt;&gt;"")))</f>
        <v/>
      </c>
      <c r="L3878" s="27">
        <f>IF($A3878="","",TRIM(IF(ISERROR(FIND(",",$C3878)),$C3878,LEFT($C3878,FIND(",",$C3878)-1))))</f>
        <v/>
      </c>
      <c r="M3878" s="28">
        <f>IF($H3878="","",DATE(YEAR($H3878),MONTH($H3878),1))</f>
        <v/>
      </c>
      <c r="N3878" s="26">
        <f>IF($H3878="","",TODAY()-$H3878)</f>
        <v/>
      </c>
      <c r="O3878" s="15" t="n"/>
      <c r="P3878" s="15" t="n"/>
      <c r="Q3878" s="15" t="n"/>
      <c r="R3878" s="25" t="n"/>
      <c r="S3878" s="26">
        <f>IF($A3878="","",AND(OR('Assignment Builder'!$B$5="",$B3878='Assignment Builder'!$B$5),OR('Assignment Builder'!$B$6="",ISNUMBER(SEARCH('Assignment Builder'!$B$6,$C3878))),OR('Assignment Builder'!$B$7="",'Assignment Builder'!$B$7=IFERROR(INDEX('Category Dictionary'!$C$5:$C$135,MATCH($L3878,'Category Dictionary'!$D$5:$D$135,0)),"")),OR('Assignment Builder'!$B$8="",$D3878='Assignment Builder'!$B$8),OR('Assignment Builder'!$B$9="",$F3878='Assignment Builder'!$B$9),OR('Assignment Builder'!$B$10="",$O3878='Assignment Builder'!$B$10),OR('Assignment Builder'!$B$11="",$H3878&gt;='Assignment Builder'!$B$11),OR('Assignment Builder'!$B$12="",N($Q3878)&lt;='Assignment Builder'!$B$12)))</f>
        <v/>
      </c>
      <c r="T3878" s="23" t="n"/>
    </row>
    <row r="3879">
      <c r="A3879" s="23" t="n"/>
      <c r="B3879" s="23" t="n"/>
      <c r="C3879" s="24" t="n"/>
      <c r="D3879" s="15" t="n"/>
      <c r="E3879" s="23" t="n"/>
      <c r="F3879" s="15" t="n"/>
      <c r="G3879" s="23" t="n"/>
      <c r="H3879" s="25" t="n"/>
      <c r="I3879" s="15" t="n"/>
      <c r="J3879" s="26">
        <f>IF($A3879="","",LEN($C3879)-LEN(SUBSTITUTE($C3879,",",""))+1)</f>
        <v/>
      </c>
      <c r="K3879" s="26">
        <f>IF($A3879="","",SUMPRODUCT(--ISNUMBER(SEARCH('Category Dictionary'!$D$5:$D$135&amp;"",$C3879)),--('Category Dictionary'!$D$5:$D$135&lt;&gt;"")))</f>
        <v/>
      </c>
      <c r="L3879" s="27">
        <f>IF($A3879="","",TRIM(IF(ISERROR(FIND(",",$C3879)),$C3879,LEFT($C3879,FIND(",",$C3879)-1))))</f>
        <v/>
      </c>
      <c r="M3879" s="28">
        <f>IF($H3879="","",DATE(YEAR($H3879),MONTH($H3879),1))</f>
        <v/>
      </c>
      <c r="N3879" s="26">
        <f>IF($H3879="","",TODAY()-$H3879)</f>
        <v/>
      </c>
      <c r="O3879" s="15" t="n"/>
      <c r="P3879" s="15" t="n"/>
      <c r="Q3879" s="15" t="n"/>
      <c r="R3879" s="25" t="n"/>
      <c r="S3879" s="26">
        <f>IF($A3879="","",AND(OR('Assignment Builder'!$B$5="",$B3879='Assignment Builder'!$B$5),OR('Assignment Builder'!$B$6="",ISNUMBER(SEARCH('Assignment Builder'!$B$6,$C3879))),OR('Assignment Builder'!$B$7="",'Assignment Builder'!$B$7=IFERROR(INDEX('Category Dictionary'!$C$5:$C$135,MATCH($L3879,'Category Dictionary'!$D$5:$D$135,0)),"")),OR('Assignment Builder'!$B$8="",$D3879='Assignment Builder'!$B$8),OR('Assignment Builder'!$B$9="",$F3879='Assignment Builder'!$B$9),OR('Assignment Builder'!$B$10="",$O3879='Assignment Builder'!$B$10),OR('Assignment Builder'!$B$11="",$H3879&gt;='Assignment Builder'!$B$11),OR('Assignment Builder'!$B$12="",N($Q3879)&lt;='Assignment Builder'!$B$12)))</f>
        <v/>
      </c>
      <c r="T3879" s="23" t="n"/>
    </row>
    <row r="3880">
      <c r="A3880" s="23" t="n"/>
      <c r="B3880" s="23" t="n"/>
      <c r="C3880" s="24" t="n"/>
      <c r="D3880" s="15" t="n"/>
      <c r="E3880" s="23" t="n"/>
      <c r="F3880" s="15" t="n"/>
      <c r="G3880" s="23" t="n"/>
      <c r="H3880" s="25" t="n"/>
      <c r="I3880" s="15" t="n"/>
      <c r="J3880" s="26">
        <f>IF($A3880="","",LEN($C3880)-LEN(SUBSTITUTE($C3880,",",""))+1)</f>
        <v/>
      </c>
      <c r="K3880" s="26">
        <f>IF($A3880="","",SUMPRODUCT(--ISNUMBER(SEARCH('Category Dictionary'!$D$5:$D$135&amp;"",$C3880)),--('Category Dictionary'!$D$5:$D$135&lt;&gt;"")))</f>
        <v/>
      </c>
      <c r="L3880" s="27">
        <f>IF($A3880="","",TRIM(IF(ISERROR(FIND(",",$C3880)),$C3880,LEFT($C3880,FIND(",",$C3880)-1))))</f>
        <v/>
      </c>
      <c r="M3880" s="28">
        <f>IF($H3880="","",DATE(YEAR($H3880),MONTH($H3880),1))</f>
        <v/>
      </c>
      <c r="N3880" s="26">
        <f>IF($H3880="","",TODAY()-$H3880)</f>
        <v/>
      </c>
      <c r="O3880" s="15" t="n"/>
      <c r="P3880" s="15" t="n"/>
      <c r="Q3880" s="15" t="n"/>
      <c r="R3880" s="25" t="n"/>
      <c r="S3880" s="26">
        <f>IF($A3880="","",AND(OR('Assignment Builder'!$B$5="",$B3880='Assignment Builder'!$B$5),OR('Assignment Builder'!$B$6="",ISNUMBER(SEARCH('Assignment Builder'!$B$6,$C3880))),OR('Assignment Builder'!$B$7="",'Assignment Builder'!$B$7=IFERROR(INDEX('Category Dictionary'!$C$5:$C$135,MATCH($L3880,'Category Dictionary'!$D$5:$D$135,0)),"")),OR('Assignment Builder'!$B$8="",$D3880='Assignment Builder'!$B$8),OR('Assignment Builder'!$B$9="",$F3880='Assignment Builder'!$B$9),OR('Assignment Builder'!$B$10="",$O3880='Assignment Builder'!$B$10),OR('Assignment Builder'!$B$11="",$H3880&gt;='Assignment Builder'!$B$11),OR('Assignment Builder'!$B$12="",N($Q3880)&lt;='Assignment Builder'!$B$12)))</f>
        <v/>
      </c>
      <c r="T3880" s="23" t="n"/>
    </row>
    <row r="3881">
      <c r="A3881" s="23" t="n"/>
      <c r="B3881" s="23" t="n"/>
      <c r="C3881" s="24" t="n"/>
      <c r="D3881" s="15" t="n"/>
      <c r="E3881" s="23" t="n"/>
      <c r="F3881" s="15" t="n"/>
      <c r="G3881" s="23" t="n"/>
      <c r="H3881" s="25" t="n"/>
      <c r="I3881" s="15" t="n"/>
      <c r="J3881" s="26">
        <f>IF($A3881="","",LEN($C3881)-LEN(SUBSTITUTE($C3881,",",""))+1)</f>
        <v/>
      </c>
      <c r="K3881" s="26">
        <f>IF($A3881="","",SUMPRODUCT(--ISNUMBER(SEARCH('Category Dictionary'!$D$5:$D$135&amp;"",$C3881)),--('Category Dictionary'!$D$5:$D$135&lt;&gt;"")))</f>
        <v/>
      </c>
      <c r="L3881" s="27">
        <f>IF($A3881="","",TRIM(IF(ISERROR(FIND(",",$C3881)),$C3881,LEFT($C3881,FIND(",",$C3881)-1))))</f>
        <v/>
      </c>
      <c r="M3881" s="28">
        <f>IF($H3881="","",DATE(YEAR($H3881),MONTH($H3881),1))</f>
        <v/>
      </c>
      <c r="N3881" s="26">
        <f>IF($H3881="","",TODAY()-$H3881)</f>
        <v/>
      </c>
      <c r="O3881" s="15" t="n"/>
      <c r="P3881" s="15" t="n"/>
      <c r="Q3881" s="15" t="n"/>
      <c r="R3881" s="25" t="n"/>
      <c r="S3881" s="26">
        <f>IF($A3881="","",AND(OR('Assignment Builder'!$B$5="",$B3881='Assignment Builder'!$B$5),OR('Assignment Builder'!$B$6="",ISNUMBER(SEARCH('Assignment Builder'!$B$6,$C3881))),OR('Assignment Builder'!$B$7="",'Assignment Builder'!$B$7=IFERROR(INDEX('Category Dictionary'!$C$5:$C$135,MATCH($L3881,'Category Dictionary'!$D$5:$D$135,0)),"")),OR('Assignment Builder'!$B$8="",$D3881='Assignment Builder'!$B$8),OR('Assignment Builder'!$B$9="",$F3881='Assignment Builder'!$B$9),OR('Assignment Builder'!$B$10="",$O3881='Assignment Builder'!$B$10),OR('Assignment Builder'!$B$11="",$H3881&gt;='Assignment Builder'!$B$11),OR('Assignment Builder'!$B$12="",N($Q3881)&lt;='Assignment Builder'!$B$12)))</f>
        <v/>
      </c>
      <c r="T3881" s="23" t="n"/>
    </row>
    <row r="3882">
      <c r="A3882" s="23" t="n"/>
      <c r="B3882" s="23" t="n"/>
      <c r="C3882" s="24" t="n"/>
      <c r="D3882" s="15" t="n"/>
      <c r="E3882" s="23" t="n"/>
      <c r="F3882" s="15" t="n"/>
      <c r="G3882" s="23" t="n"/>
      <c r="H3882" s="25" t="n"/>
      <c r="I3882" s="15" t="n"/>
      <c r="J3882" s="26">
        <f>IF($A3882="","",LEN($C3882)-LEN(SUBSTITUTE($C3882,",",""))+1)</f>
        <v/>
      </c>
      <c r="K3882" s="26">
        <f>IF($A3882="","",SUMPRODUCT(--ISNUMBER(SEARCH('Category Dictionary'!$D$5:$D$135&amp;"",$C3882)),--('Category Dictionary'!$D$5:$D$135&lt;&gt;"")))</f>
        <v/>
      </c>
      <c r="L3882" s="27">
        <f>IF($A3882="","",TRIM(IF(ISERROR(FIND(",",$C3882)),$C3882,LEFT($C3882,FIND(",",$C3882)-1))))</f>
        <v/>
      </c>
      <c r="M3882" s="28">
        <f>IF($H3882="","",DATE(YEAR($H3882),MONTH($H3882),1))</f>
        <v/>
      </c>
      <c r="N3882" s="26">
        <f>IF($H3882="","",TODAY()-$H3882)</f>
        <v/>
      </c>
      <c r="O3882" s="15" t="n"/>
      <c r="P3882" s="15" t="n"/>
      <c r="Q3882" s="15" t="n"/>
      <c r="R3882" s="25" t="n"/>
      <c r="S3882" s="26">
        <f>IF($A3882="","",AND(OR('Assignment Builder'!$B$5="",$B3882='Assignment Builder'!$B$5),OR('Assignment Builder'!$B$6="",ISNUMBER(SEARCH('Assignment Builder'!$B$6,$C3882))),OR('Assignment Builder'!$B$7="",'Assignment Builder'!$B$7=IFERROR(INDEX('Category Dictionary'!$C$5:$C$135,MATCH($L3882,'Category Dictionary'!$D$5:$D$135,0)),"")),OR('Assignment Builder'!$B$8="",$D3882='Assignment Builder'!$B$8),OR('Assignment Builder'!$B$9="",$F3882='Assignment Builder'!$B$9),OR('Assignment Builder'!$B$10="",$O3882='Assignment Builder'!$B$10),OR('Assignment Builder'!$B$11="",$H3882&gt;='Assignment Builder'!$B$11),OR('Assignment Builder'!$B$12="",N($Q3882)&lt;='Assignment Builder'!$B$12)))</f>
        <v/>
      </c>
      <c r="T3882" s="23" t="n"/>
    </row>
    <row r="3883">
      <c r="A3883" s="23" t="n"/>
      <c r="B3883" s="23" t="n"/>
      <c r="C3883" s="24" t="n"/>
      <c r="D3883" s="15" t="n"/>
      <c r="E3883" s="23" t="n"/>
      <c r="F3883" s="15" t="n"/>
      <c r="G3883" s="23" t="n"/>
      <c r="H3883" s="25" t="n"/>
      <c r="I3883" s="15" t="n"/>
      <c r="J3883" s="26">
        <f>IF($A3883="","",LEN($C3883)-LEN(SUBSTITUTE($C3883,",",""))+1)</f>
        <v/>
      </c>
      <c r="K3883" s="26">
        <f>IF($A3883="","",SUMPRODUCT(--ISNUMBER(SEARCH('Category Dictionary'!$D$5:$D$135&amp;"",$C3883)),--('Category Dictionary'!$D$5:$D$135&lt;&gt;"")))</f>
        <v/>
      </c>
      <c r="L3883" s="27">
        <f>IF($A3883="","",TRIM(IF(ISERROR(FIND(",",$C3883)),$C3883,LEFT($C3883,FIND(",",$C3883)-1))))</f>
        <v/>
      </c>
      <c r="M3883" s="28">
        <f>IF($H3883="","",DATE(YEAR($H3883),MONTH($H3883),1))</f>
        <v/>
      </c>
      <c r="N3883" s="26">
        <f>IF($H3883="","",TODAY()-$H3883)</f>
        <v/>
      </c>
      <c r="O3883" s="15" t="n"/>
      <c r="P3883" s="15" t="n"/>
      <c r="Q3883" s="15" t="n"/>
      <c r="R3883" s="25" t="n"/>
      <c r="S3883" s="26">
        <f>IF($A3883="","",AND(OR('Assignment Builder'!$B$5="",$B3883='Assignment Builder'!$B$5),OR('Assignment Builder'!$B$6="",ISNUMBER(SEARCH('Assignment Builder'!$B$6,$C3883))),OR('Assignment Builder'!$B$7="",'Assignment Builder'!$B$7=IFERROR(INDEX('Category Dictionary'!$C$5:$C$135,MATCH($L3883,'Category Dictionary'!$D$5:$D$135,0)),"")),OR('Assignment Builder'!$B$8="",$D3883='Assignment Builder'!$B$8),OR('Assignment Builder'!$B$9="",$F3883='Assignment Builder'!$B$9),OR('Assignment Builder'!$B$10="",$O3883='Assignment Builder'!$B$10),OR('Assignment Builder'!$B$11="",$H3883&gt;='Assignment Builder'!$B$11),OR('Assignment Builder'!$B$12="",N($Q3883)&lt;='Assignment Builder'!$B$12)))</f>
        <v/>
      </c>
      <c r="T3883" s="23" t="n"/>
    </row>
    <row r="3884">
      <c r="A3884" s="23" t="n"/>
      <c r="B3884" s="23" t="n"/>
      <c r="C3884" s="24" t="n"/>
      <c r="D3884" s="15" t="n"/>
      <c r="E3884" s="23" t="n"/>
      <c r="F3884" s="15" t="n"/>
      <c r="G3884" s="23" t="n"/>
      <c r="H3884" s="25" t="n"/>
      <c r="I3884" s="15" t="n"/>
      <c r="J3884" s="26">
        <f>IF($A3884="","",LEN($C3884)-LEN(SUBSTITUTE($C3884,",",""))+1)</f>
        <v/>
      </c>
      <c r="K3884" s="26">
        <f>IF($A3884="","",SUMPRODUCT(--ISNUMBER(SEARCH('Category Dictionary'!$D$5:$D$135&amp;"",$C3884)),--('Category Dictionary'!$D$5:$D$135&lt;&gt;"")))</f>
        <v/>
      </c>
      <c r="L3884" s="27">
        <f>IF($A3884="","",TRIM(IF(ISERROR(FIND(",",$C3884)),$C3884,LEFT($C3884,FIND(",",$C3884)-1))))</f>
        <v/>
      </c>
      <c r="M3884" s="28">
        <f>IF($H3884="","",DATE(YEAR($H3884),MONTH($H3884),1))</f>
        <v/>
      </c>
      <c r="N3884" s="26">
        <f>IF($H3884="","",TODAY()-$H3884)</f>
        <v/>
      </c>
      <c r="O3884" s="15" t="n"/>
      <c r="P3884" s="15" t="n"/>
      <c r="Q3884" s="15" t="n"/>
      <c r="R3884" s="25" t="n"/>
      <c r="S3884" s="26">
        <f>IF($A3884="","",AND(OR('Assignment Builder'!$B$5="",$B3884='Assignment Builder'!$B$5),OR('Assignment Builder'!$B$6="",ISNUMBER(SEARCH('Assignment Builder'!$B$6,$C3884))),OR('Assignment Builder'!$B$7="",'Assignment Builder'!$B$7=IFERROR(INDEX('Category Dictionary'!$C$5:$C$135,MATCH($L3884,'Category Dictionary'!$D$5:$D$135,0)),"")),OR('Assignment Builder'!$B$8="",$D3884='Assignment Builder'!$B$8),OR('Assignment Builder'!$B$9="",$F3884='Assignment Builder'!$B$9),OR('Assignment Builder'!$B$10="",$O3884='Assignment Builder'!$B$10),OR('Assignment Builder'!$B$11="",$H3884&gt;='Assignment Builder'!$B$11),OR('Assignment Builder'!$B$12="",N($Q3884)&lt;='Assignment Builder'!$B$12)))</f>
        <v/>
      </c>
      <c r="T3884" s="23" t="n"/>
    </row>
    <row r="3885">
      <c r="A3885" s="23" t="n"/>
      <c r="B3885" s="23" t="n"/>
      <c r="C3885" s="24" t="n"/>
      <c r="D3885" s="15" t="n"/>
      <c r="E3885" s="23" t="n"/>
      <c r="F3885" s="15" t="n"/>
      <c r="G3885" s="23" t="n"/>
      <c r="H3885" s="25" t="n"/>
      <c r="I3885" s="15" t="n"/>
      <c r="J3885" s="26">
        <f>IF($A3885="","",LEN($C3885)-LEN(SUBSTITUTE($C3885,",",""))+1)</f>
        <v/>
      </c>
      <c r="K3885" s="26">
        <f>IF($A3885="","",SUMPRODUCT(--ISNUMBER(SEARCH('Category Dictionary'!$D$5:$D$135&amp;"",$C3885)),--('Category Dictionary'!$D$5:$D$135&lt;&gt;"")))</f>
        <v/>
      </c>
      <c r="L3885" s="27">
        <f>IF($A3885="","",TRIM(IF(ISERROR(FIND(",",$C3885)),$C3885,LEFT($C3885,FIND(",",$C3885)-1))))</f>
        <v/>
      </c>
      <c r="M3885" s="28">
        <f>IF($H3885="","",DATE(YEAR($H3885),MONTH($H3885),1))</f>
        <v/>
      </c>
      <c r="N3885" s="26">
        <f>IF($H3885="","",TODAY()-$H3885)</f>
        <v/>
      </c>
      <c r="O3885" s="15" t="n"/>
      <c r="P3885" s="15" t="n"/>
      <c r="Q3885" s="15" t="n"/>
      <c r="R3885" s="25" t="n"/>
      <c r="S3885" s="26">
        <f>IF($A3885="","",AND(OR('Assignment Builder'!$B$5="",$B3885='Assignment Builder'!$B$5),OR('Assignment Builder'!$B$6="",ISNUMBER(SEARCH('Assignment Builder'!$B$6,$C3885))),OR('Assignment Builder'!$B$7="",'Assignment Builder'!$B$7=IFERROR(INDEX('Category Dictionary'!$C$5:$C$135,MATCH($L3885,'Category Dictionary'!$D$5:$D$135,0)),"")),OR('Assignment Builder'!$B$8="",$D3885='Assignment Builder'!$B$8),OR('Assignment Builder'!$B$9="",$F3885='Assignment Builder'!$B$9),OR('Assignment Builder'!$B$10="",$O3885='Assignment Builder'!$B$10),OR('Assignment Builder'!$B$11="",$H3885&gt;='Assignment Builder'!$B$11),OR('Assignment Builder'!$B$12="",N($Q3885)&lt;='Assignment Builder'!$B$12)))</f>
        <v/>
      </c>
      <c r="T3885" s="23" t="n"/>
    </row>
    <row r="3886">
      <c r="A3886" s="23" t="n"/>
      <c r="B3886" s="23" t="n"/>
      <c r="C3886" s="24" t="n"/>
      <c r="D3886" s="15" t="n"/>
      <c r="E3886" s="23" t="n"/>
      <c r="F3886" s="15" t="n"/>
      <c r="G3886" s="23" t="n"/>
      <c r="H3886" s="25" t="n"/>
      <c r="I3886" s="15" t="n"/>
      <c r="J3886" s="26">
        <f>IF($A3886="","",LEN($C3886)-LEN(SUBSTITUTE($C3886,",",""))+1)</f>
        <v/>
      </c>
      <c r="K3886" s="26">
        <f>IF($A3886="","",SUMPRODUCT(--ISNUMBER(SEARCH('Category Dictionary'!$D$5:$D$135&amp;"",$C3886)),--('Category Dictionary'!$D$5:$D$135&lt;&gt;"")))</f>
        <v/>
      </c>
      <c r="L3886" s="27">
        <f>IF($A3886="","",TRIM(IF(ISERROR(FIND(",",$C3886)),$C3886,LEFT($C3886,FIND(",",$C3886)-1))))</f>
        <v/>
      </c>
      <c r="M3886" s="28">
        <f>IF($H3886="","",DATE(YEAR($H3886),MONTH($H3886),1))</f>
        <v/>
      </c>
      <c r="N3886" s="26">
        <f>IF($H3886="","",TODAY()-$H3886)</f>
        <v/>
      </c>
      <c r="O3886" s="15" t="n"/>
      <c r="P3886" s="15" t="n"/>
      <c r="Q3886" s="15" t="n"/>
      <c r="R3886" s="25" t="n"/>
      <c r="S3886" s="26">
        <f>IF($A3886="","",AND(OR('Assignment Builder'!$B$5="",$B3886='Assignment Builder'!$B$5),OR('Assignment Builder'!$B$6="",ISNUMBER(SEARCH('Assignment Builder'!$B$6,$C3886))),OR('Assignment Builder'!$B$7="",'Assignment Builder'!$B$7=IFERROR(INDEX('Category Dictionary'!$C$5:$C$135,MATCH($L3886,'Category Dictionary'!$D$5:$D$135,0)),"")),OR('Assignment Builder'!$B$8="",$D3886='Assignment Builder'!$B$8),OR('Assignment Builder'!$B$9="",$F3886='Assignment Builder'!$B$9),OR('Assignment Builder'!$B$10="",$O3886='Assignment Builder'!$B$10),OR('Assignment Builder'!$B$11="",$H3886&gt;='Assignment Builder'!$B$11),OR('Assignment Builder'!$B$12="",N($Q3886)&lt;='Assignment Builder'!$B$12)))</f>
        <v/>
      </c>
      <c r="T3886" s="23" t="n"/>
    </row>
    <row r="3887">
      <c r="A3887" s="23" t="n"/>
      <c r="B3887" s="23" t="n"/>
      <c r="C3887" s="24" t="n"/>
      <c r="D3887" s="15" t="n"/>
      <c r="E3887" s="23" t="n"/>
      <c r="F3887" s="15" t="n"/>
      <c r="G3887" s="23" t="n"/>
      <c r="H3887" s="25" t="n"/>
      <c r="I3887" s="15" t="n"/>
      <c r="J3887" s="26">
        <f>IF($A3887="","",LEN($C3887)-LEN(SUBSTITUTE($C3887,",",""))+1)</f>
        <v/>
      </c>
      <c r="K3887" s="26">
        <f>IF($A3887="","",SUMPRODUCT(--ISNUMBER(SEARCH('Category Dictionary'!$D$5:$D$135&amp;"",$C3887)),--('Category Dictionary'!$D$5:$D$135&lt;&gt;"")))</f>
        <v/>
      </c>
      <c r="L3887" s="27">
        <f>IF($A3887="","",TRIM(IF(ISERROR(FIND(",",$C3887)),$C3887,LEFT($C3887,FIND(",",$C3887)-1))))</f>
        <v/>
      </c>
      <c r="M3887" s="28">
        <f>IF($H3887="","",DATE(YEAR($H3887),MONTH($H3887),1))</f>
        <v/>
      </c>
      <c r="N3887" s="26">
        <f>IF($H3887="","",TODAY()-$H3887)</f>
        <v/>
      </c>
      <c r="O3887" s="15" t="n"/>
      <c r="P3887" s="15" t="n"/>
      <c r="Q3887" s="15" t="n"/>
      <c r="R3887" s="25" t="n"/>
      <c r="S3887" s="26">
        <f>IF($A3887="","",AND(OR('Assignment Builder'!$B$5="",$B3887='Assignment Builder'!$B$5),OR('Assignment Builder'!$B$6="",ISNUMBER(SEARCH('Assignment Builder'!$B$6,$C3887))),OR('Assignment Builder'!$B$7="",'Assignment Builder'!$B$7=IFERROR(INDEX('Category Dictionary'!$C$5:$C$135,MATCH($L3887,'Category Dictionary'!$D$5:$D$135,0)),"")),OR('Assignment Builder'!$B$8="",$D3887='Assignment Builder'!$B$8),OR('Assignment Builder'!$B$9="",$F3887='Assignment Builder'!$B$9),OR('Assignment Builder'!$B$10="",$O3887='Assignment Builder'!$B$10),OR('Assignment Builder'!$B$11="",$H3887&gt;='Assignment Builder'!$B$11),OR('Assignment Builder'!$B$12="",N($Q3887)&lt;='Assignment Builder'!$B$12)))</f>
        <v/>
      </c>
      <c r="T3887" s="23" t="n"/>
    </row>
    <row r="3888">
      <c r="A3888" s="23" t="n"/>
      <c r="B3888" s="23" t="n"/>
      <c r="C3888" s="24" t="n"/>
      <c r="D3888" s="15" t="n"/>
      <c r="E3888" s="23" t="n"/>
      <c r="F3888" s="15" t="n"/>
      <c r="G3888" s="23" t="n"/>
      <c r="H3888" s="25" t="n"/>
      <c r="I3888" s="15" t="n"/>
      <c r="J3888" s="26">
        <f>IF($A3888="","",LEN($C3888)-LEN(SUBSTITUTE($C3888,",",""))+1)</f>
        <v/>
      </c>
      <c r="K3888" s="26">
        <f>IF($A3888="","",SUMPRODUCT(--ISNUMBER(SEARCH('Category Dictionary'!$D$5:$D$135&amp;"",$C3888)),--('Category Dictionary'!$D$5:$D$135&lt;&gt;"")))</f>
        <v/>
      </c>
      <c r="L3888" s="27">
        <f>IF($A3888="","",TRIM(IF(ISERROR(FIND(",",$C3888)),$C3888,LEFT($C3888,FIND(",",$C3888)-1))))</f>
        <v/>
      </c>
      <c r="M3888" s="28">
        <f>IF($H3888="","",DATE(YEAR($H3888),MONTH($H3888),1))</f>
        <v/>
      </c>
      <c r="N3888" s="26">
        <f>IF($H3888="","",TODAY()-$H3888)</f>
        <v/>
      </c>
      <c r="O3888" s="15" t="n"/>
      <c r="P3888" s="15" t="n"/>
      <c r="Q3888" s="15" t="n"/>
      <c r="R3888" s="25" t="n"/>
      <c r="S3888" s="26">
        <f>IF($A3888="","",AND(OR('Assignment Builder'!$B$5="",$B3888='Assignment Builder'!$B$5),OR('Assignment Builder'!$B$6="",ISNUMBER(SEARCH('Assignment Builder'!$B$6,$C3888))),OR('Assignment Builder'!$B$7="",'Assignment Builder'!$B$7=IFERROR(INDEX('Category Dictionary'!$C$5:$C$135,MATCH($L3888,'Category Dictionary'!$D$5:$D$135,0)),"")),OR('Assignment Builder'!$B$8="",$D3888='Assignment Builder'!$B$8),OR('Assignment Builder'!$B$9="",$F3888='Assignment Builder'!$B$9),OR('Assignment Builder'!$B$10="",$O3888='Assignment Builder'!$B$10),OR('Assignment Builder'!$B$11="",$H3888&gt;='Assignment Builder'!$B$11),OR('Assignment Builder'!$B$12="",N($Q3888)&lt;='Assignment Builder'!$B$12)))</f>
        <v/>
      </c>
      <c r="T3888" s="23" t="n"/>
    </row>
    <row r="3889">
      <c r="A3889" s="23" t="n"/>
      <c r="B3889" s="23" t="n"/>
      <c r="C3889" s="24" t="n"/>
      <c r="D3889" s="15" t="n"/>
      <c r="E3889" s="23" t="n"/>
      <c r="F3889" s="15" t="n"/>
      <c r="G3889" s="23" t="n"/>
      <c r="H3889" s="25" t="n"/>
      <c r="I3889" s="15" t="n"/>
      <c r="J3889" s="26">
        <f>IF($A3889="","",LEN($C3889)-LEN(SUBSTITUTE($C3889,",",""))+1)</f>
        <v/>
      </c>
      <c r="K3889" s="26">
        <f>IF($A3889="","",SUMPRODUCT(--ISNUMBER(SEARCH('Category Dictionary'!$D$5:$D$135&amp;"",$C3889)),--('Category Dictionary'!$D$5:$D$135&lt;&gt;"")))</f>
        <v/>
      </c>
      <c r="L3889" s="27">
        <f>IF($A3889="","",TRIM(IF(ISERROR(FIND(",",$C3889)),$C3889,LEFT($C3889,FIND(",",$C3889)-1))))</f>
        <v/>
      </c>
      <c r="M3889" s="28">
        <f>IF($H3889="","",DATE(YEAR($H3889),MONTH($H3889),1))</f>
        <v/>
      </c>
      <c r="N3889" s="26">
        <f>IF($H3889="","",TODAY()-$H3889)</f>
        <v/>
      </c>
      <c r="O3889" s="15" t="n"/>
      <c r="P3889" s="15" t="n"/>
      <c r="Q3889" s="15" t="n"/>
      <c r="R3889" s="25" t="n"/>
      <c r="S3889" s="26">
        <f>IF($A3889="","",AND(OR('Assignment Builder'!$B$5="",$B3889='Assignment Builder'!$B$5),OR('Assignment Builder'!$B$6="",ISNUMBER(SEARCH('Assignment Builder'!$B$6,$C3889))),OR('Assignment Builder'!$B$7="",'Assignment Builder'!$B$7=IFERROR(INDEX('Category Dictionary'!$C$5:$C$135,MATCH($L3889,'Category Dictionary'!$D$5:$D$135,0)),"")),OR('Assignment Builder'!$B$8="",$D3889='Assignment Builder'!$B$8),OR('Assignment Builder'!$B$9="",$F3889='Assignment Builder'!$B$9),OR('Assignment Builder'!$B$10="",$O3889='Assignment Builder'!$B$10),OR('Assignment Builder'!$B$11="",$H3889&gt;='Assignment Builder'!$B$11),OR('Assignment Builder'!$B$12="",N($Q3889)&lt;='Assignment Builder'!$B$12)))</f>
        <v/>
      </c>
      <c r="T3889" s="23" t="n"/>
    </row>
    <row r="3890">
      <c r="A3890" s="23" t="n"/>
      <c r="B3890" s="23" t="n"/>
      <c r="C3890" s="24" t="n"/>
      <c r="D3890" s="15" t="n"/>
      <c r="E3890" s="23" t="n"/>
      <c r="F3890" s="15" t="n"/>
      <c r="G3890" s="23" t="n"/>
      <c r="H3890" s="25" t="n"/>
      <c r="I3890" s="15" t="n"/>
      <c r="J3890" s="26">
        <f>IF($A3890="","",LEN($C3890)-LEN(SUBSTITUTE($C3890,",",""))+1)</f>
        <v/>
      </c>
      <c r="K3890" s="26">
        <f>IF($A3890="","",SUMPRODUCT(--ISNUMBER(SEARCH('Category Dictionary'!$D$5:$D$135&amp;"",$C3890)),--('Category Dictionary'!$D$5:$D$135&lt;&gt;"")))</f>
        <v/>
      </c>
      <c r="L3890" s="27">
        <f>IF($A3890="","",TRIM(IF(ISERROR(FIND(",",$C3890)),$C3890,LEFT($C3890,FIND(",",$C3890)-1))))</f>
        <v/>
      </c>
      <c r="M3890" s="28">
        <f>IF($H3890="","",DATE(YEAR($H3890),MONTH($H3890),1))</f>
        <v/>
      </c>
      <c r="N3890" s="26">
        <f>IF($H3890="","",TODAY()-$H3890)</f>
        <v/>
      </c>
      <c r="O3890" s="15" t="n"/>
      <c r="P3890" s="15" t="n"/>
      <c r="Q3890" s="15" t="n"/>
      <c r="R3890" s="25" t="n"/>
      <c r="S3890" s="26">
        <f>IF($A3890="","",AND(OR('Assignment Builder'!$B$5="",$B3890='Assignment Builder'!$B$5),OR('Assignment Builder'!$B$6="",ISNUMBER(SEARCH('Assignment Builder'!$B$6,$C3890))),OR('Assignment Builder'!$B$7="",'Assignment Builder'!$B$7=IFERROR(INDEX('Category Dictionary'!$C$5:$C$135,MATCH($L3890,'Category Dictionary'!$D$5:$D$135,0)),"")),OR('Assignment Builder'!$B$8="",$D3890='Assignment Builder'!$B$8),OR('Assignment Builder'!$B$9="",$F3890='Assignment Builder'!$B$9),OR('Assignment Builder'!$B$10="",$O3890='Assignment Builder'!$B$10),OR('Assignment Builder'!$B$11="",$H3890&gt;='Assignment Builder'!$B$11),OR('Assignment Builder'!$B$12="",N($Q3890)&lt;='Assignment Builder'!$B$12)))</f>
        <v/>
      </c>
      <c r="T3890" s="23" t="n"/>
    </row>
    <row r="3891">
      <c r="A3891" s="23" t="n"/>
      <c r="B3891" s="23" t="n"/>
      <c r="C3891" s="24" t="n"/>
      <c r="D3891" s="15" t="n"/>
      <c r="E3891" s="23" t="n"/>
      <c r="F3891" s="15" t="n"/>
      <c r="G3891" s="23" t="n"/>
      <c r="H3891" s="25" t="n"/>
      <c r="I3891" s="15" t="n"/>
      <c r="J3891" s="26">
        <f>IF($A3891="","",LEN($C3891)-LEN(SUBSTITUTE($C3891,",",""))+1)</f>
        <v/>
      </c>
      <c r="K3891" s="26">
        <f>IF($A3891="","",SUMPRODUCT(--ISNUMBER(SEARCH('Category Dictionary'!$D$5:$D$135&amp;"",$C3891)),--('Category Dictionary'!$D$5:$D$135&lt;&gt;"")))</f>
        <v/>
      </c>
      <c r="L3891" s="27">
        <f>IF($A3891="","",TRIM(IF(ISERROR(FIND(",",$C3891)),$C3891,LEFT($C3891,FIND(",",$C3891)-1))))</f>
        <v/>
      </c>
      <c r="M3891" s="28">
        <f>IF($H3891="","",DATE(YEAR($H3891),MONTH($H3891),1))</f>
        <v/>
      </c>
      <c r="N3891" s="26">
        <f>IF($H3891="","",TODAY()-$H3891)</f>
        <v/>
      </c>
      <c r="O3891" s="15" t="n"/>
      <c r="P3891" s="15" t="n"/>
      <c r="Q3891" s="15" t="n"/>
      <c r="R3891" s="25" t="n"/>
      <c r="S3891" s="26">
        <f>IF($A3891="","",AND(OR('Assignment Builder'!$B$5="",$B3891='Assignment Builder'!$B$5),OR('Assignment Builder'!$B$6="",ISNUMBER(SEARCH('Assignment Builder'!$B$6,$C3891))),OR('Assignment Builder'!$B$7="",'Assignment Builder'!$B$7=IFERROR(INDEX('Category Dictionary'!$C$5:$C$135,MATCH($L3891,'Category Dictionary'!$D$5:$D$135,0)),"")),OR('Assignment Builder'!$B$8="",$D3891='Assignment Builder'!$B$8),OR('Assignment Builder'!$B$9="",$F3891='Assignment Builder'!$B$9),OR('Assignment Builder'!$B$10="",$O3891='Assignment Builder'!$B$10),OR('Assignment Builder'!$B$11="",$H3891&gt;='Assignment Builder'!$B$11),OR('Assignment Builder'!$B$12="",N($Q3891)&lt;='Assignment Builder'!$B$12)))</f>
        <v/>
      </c>
      <c r="T3891" s="23" t="n"/>
    </row>
    <row r="3892">
      <c r="A3892" s="23" t="n"/>
      <c r="B3892" s="23" t="n"/>
      <c r="C3892" s="24" t="n"/>
      <c r="D3892" s="15" t="n"/>
      <c r="E3892" s="23" t="n"/>
      <c r="F3892" s="15" t="n"/>
      <c r="G3892" s="23" t="n"/>
      <c r="H3892" s="25" t="n"/>
      <c r="I3892" s="15" t="n"/>
      <c r="J3892" s="26">
        <f>IF($A3892="","",LEN($C3892)-LEN(SUBSTITUTE($C3892,",",""))+1)</f>
        <v/>
      </c>
      <c r="K3892" s="26">
        <f>IF($A3892="","",SUMPRODUCT(--ISNUMBER(SEARCH('Category Dictionary'!$D$5:$D$135&amp;"",$C3892)),--('Category Dictionary'!$D$5:$D$135&lt;&gt;"")))</f>
        <v/>
      </c>
      <c r="L3892" s="27">
        <f>IF($A3892="","",TRIM(IF(ISERROR(FIND(",",$C3892)),$C3892,LEFT($C3892,FIND(",",$C3892)-1))))</f>
        <v/>
      </c>
      <c r="M3892" s="28">
        <f>IF($H3892="","",DATE(YEAR($H3892),MONTH($H3892),1))</f>
        <v/>
      </c>
      <c r="N3892" s="26">
        <f>IF($H3892="","",TODAY()-$H3892)</f>
        <v/>
      </c>
      <c r="O3892" s="15" t="n"/>
      <c r="P3892" s="15" t="n"/>
      <c r="Q3892" s="15" t="n"/>
      <c r="R3892" s="25" t="n"/>
      <c r="S3892" s="26">
        <f>IF($A3892="","",AND(OR('Assignment Builder'!$B$5="",$B3892='Assignment Builder'!$B$5),OR('Assignment Builder'!$B$6="",ISNUMBER(SEARCH('Assignment Builder'!$B$6,$C3892))),OR('Assignment Builder'!$B$7="",'Assignment Builder'!$B$7=IFERROR(INDEX('Category Dictionary'!$C$5:$C$135,MATCH($L3892,'Category Dictionary'!$D$5:$D$135,0)),"")),OR('Assignment Builder'!$B$8="",$D3892='Assignment Builder'!$B$8),OR('Assignment Builder'!$B$9="",$F3892='Assignment Builder'!$B$9),OR('Assignment Builder'!$B$10="",$O3892='Assignment Builder'!$B$10),OR('Assignment Builder'!$B$11="",$H3892&gt;='Assignment Builder'!$B$11),OR('Assignment Builder'!$B$12="",N($Q3892)&lt;='Assignment Builder'!$B$12)))</f>
        <v/>
      </c>
      <c r="T3892" s="23" t="n"/>
    </row>
    <row r="3893">
      <c r="A3893" s="23" t="n"/>
      <c r="B3893" s="23" t="n"/>
      <c r="C3893" s="24" t="n"/>
      <c r="D3893" s="15" t="n"/>
      <c r="E3893" s="23" t="n"/>
      <c r="F3893" s="15" t="n"/>
      <c r="G3893" s="23" t="n"/>
      <c r="H3893" s="25" t="n"/>
      <c r="I3893" s="15" t="n"/>
      <c r="J3893" s="26">
        <f>IF($A3893="","",LEN($C3893)-LEN(SUBSTITUTE($C3893,",",""))+1)</f>
        <v/>
      </c>
      <c r="K3893" s="26">
        <f>IF($A3893="","",SUMPRODUCT(--ISNUMBER(SEARCH('Category Dictionary'!$D$5:$D$135&amp;"",$C3893)),--('Category Dictionary'!$D$5:$D$135&lt;&gt;"")))</f>
        <v/>
      </c>
      <c r="L3893" s="27">
        <f>IF($A3893="","",TRIM(IF(ISERROR(FIND(",",$C3893)),$C3893,LEFT($C3893,FIND(",",$C3893)-1))))</f>
        <v/>
      </c>
      <c r="M3893" s="28">
        <f>IF($H3893="","",DATE(YEAR($H3893),MONTH($H3893),1))</f>
        <v/>
      </c>
      <c r="N3893" s="26">
        <f>IF($H3893="","",TODAY()-$H3893)</f>
        <v/>
      </c>
      <c r="O3893" s="15" t="n"/>
      <c r="P3893" s="15" t="n"/>
      <c r="Q3893" s="15" t="n"/>
      <c r="R3893" s="25" t="n"/>
      <c r="S3893" s="26">
        <f>IF($A3893="","",AND(OR('Assignment Builder'!$B$5="",$B3893='Assignment Builder'!$B$5),OR('Assignment Builder'!$B$6="",ISNUMBER(SEARCH('Assignment Builder'!$B$6,$C3893))),OR('Assignment Builder'!$B$7="",'Assignment Builder'!$B$7=IFERROR(INDEX('Category Dictionary'!$C$5:$C$135,MATCH($L3893,'Category Dictionary'!$D$5:$D$135,0)),"")),OR('Assignment Builder'!$B$8="",$D3893='Assignment Builder'!$B$8),OR('Assignment Builder'!$B$9="",$F3893='Assignment Builder'!$B$9),OR('Assignment Builder'!$B$10="",$O3893='Assignment Builder'!$B$10),OR('Assignment Builder'!$B$11="",$H3893&gt;='Assignment Builder'!$B$11),OR('Assignment Builder'!$B$12="",N($Q3893)&lt;='Assignment Builder'!$B$12)))</f>
        <v/>
      </c>
      <c r="T3893" s="23" t="n"/>
    </row>
    <row r="3894">
      <c r="A3894" s="23" t="n"/>
      <c r="B3894" s="23" t="n"/>
      <c r="C3894" s="24" t="n"/>
      <c r="D3894" s="15" t="n"/>
      <c r="E3894" s="23" t="n"/>
      <c r="F3894" s="15" t="n"/>
      <c r="G3894" s="23" t="n"/>
      <c r="H3894" s="25" t="n"/>
      <c r="I3894" s="15" t="n"/>
      <c r="J3894" s="26">
        <f>IF($A3894="","",LEN($C3894)-LEN(SUBSTITUTE($C3894,",",""))+1)</f>
        <v/>
      </c>
      <c r="K3894" s="26">
        <f>IF($A3894="","",SUMPRODUCT(--ISNUMBER(SEARCH('Category Dictionary'!$D$5:$D$135&amp;"",$C3894)),--('Category Dictionary'!$D$5:$D$135&lt;&gt;"")))</f>
        <v/>
      </c>
      <c r="L3894" s="27">
        <f>IF($A3894="","",TRIM(IF(ISERROR(FIND(",",$C3894)),$C3894,LEFT($C3894,FIND(",",$C3894)-1))))</f>
        <v/>
      </c>
      <c r="M3894" s="28">
        <f>IF($H3894="","",DATE(YEAR($H3894),MONTH($H3894),1))</f>
        <v/>
      </c>
      <c r="N3894" s="26">
        <f>IF($H3894="","",TODAY()-$H3894)</f>
        <v/>
      </c>
      <c r="O3894" s="15" t="n"/>
      <c r="P3894" s="15" t="n"/>
      <c r="Q3894" s="15" t="n"/>
      <c r="R3894" s="25" t="n"/>
      <c r="S3894" s="26">
        <f>IF($A3894="","",AND(OR('Assignment Builder'!$B$5="",$B3894='Assignment Builder'!$B$5),OR('Assignment Builder'!$B$6="",ISNUMBER(SEARCH('Assignment Builder'!$B$6,$C3894))),OR('Assignment Builder'!$B$7="",'Assignment Builder'!$B$7=IFERROR(INDEX('Category Dictionary'!$C$5:$C$135,MATCH($L3894,'Category Dictionary'!$D$5:$D$135,0)),"")),OR('Assignment Builder'!$B$8="",$D3894='Assignment Builder'!$B$8),OR('Assignment Builder'!$B$9="",$F3894='Assignment Builder'!$B$9),OR('Assignment Builder'!$B$10="",$O3894='Assignment Builder'!$B$10),OR('Assignment Builder'!$B$11="",$H3894&gt;='Assignment Builder'!$B$11),OR('Assignment Builder'!$B$12="",N($Q3894)&lt;='Assignment Builder'!$B$12)))</f>
        <v/>
      </c>
      <c r="T3894" s="23" t="n"/>
    </row>
    <row r="3895">
      <c r="A3895" s="23" t="n"/>
      <c r="B3895" s="23" t="n"/>
      <c r="C3895" s="24" t="n"/>
      <c r="D3895" s="15" t="n"/>
      <c r="E3895" s="23" t="n"/>
      <c r="F3895" s="15" t="n"/>
      <c r="G3895" s="23" t="n"/>
      <c r="H3895" s="25" t="n"/>
      <c r="I3895" s="15" t="n"/>
      <c r="J3895" s="26">
        <f>IF($A3895="","",LEN($C3895)-LEN(SUBSTITUTE($C3895,",",""))+1)</f>
        <v/>
      </c>
      <c r="K3895" s="26">
        <f>IF($A3895="","",SUMPRODUCT(--ISNUMBER(SEARCH('Category Dictionary'!$D$5:$D$135&amp;"",$C3895)),--('Category Dictionary'!$D$5:$D$135&lt;&gt;"")))</f>
        <v/>
      </c>
      <c r="L3895" s="27">
        <f>IF($A3895="","",TRIM(IF(ISERROR(FIND(",",$C3895)),$C3895,LEFT($C3895,FIND(",",$C3895)-1))))</f>
        <v/>
      </c>
      <c r="M3895" s="28">
        <f>IF($H3895="","",DATE(YEAR($H3895),MONTH($H3895),1))</f>
        <v/>
      </c>
      <c r="N3895" s="26">
        <f>IF($H3895="","",TODAY()-$H3895)</f>
        <v/>
      </c>
      <c r="O3895" s="15" t="n"/>
      <c r="P3895" s="15" t="n"/>
      <c r="Q3895" s="15" t="n"/>
      <c r="R3895" s="25" t="n"/>
      <c r="S3895" s="26">
        <f>IF($A3895="","",AND(OR('Assignment Builder'!$B$5="",$B3895='Assignment Builder'!$B$5),OR('Assignment Builder'!$B$6="",ISNUMBER(SEARCH('Assignment Builder'!$B$6,$C3895))),OR('Assignment Builder'!$B$7="",'Assignment Builder'!$B$7=IFERROR(INDEX('Category Dictionary'!$C$5:$C$135,MATCH($L3895,'Category Dictionary'!$D$5:$D$135,0)),"")),OR('Assignment Builder'!$B$8="",$D3895='Assignment Builder'!$B$8),OR('Assignment Builder'!$B$9="",$F3895='Assignment Builder'!$B$9),OR('Assignment Builder'!$B$10="",$O3895='Assignment Builder'!$B$10),OR('Assignment Builder'!$B$11="",$H3895&gt;='Assignment Builder'!$B$11),OR('Assignment Builder'!$B$12="",N($Q3895)&lt;='Assignment Builder'!$B$12)))</f>
        <v/>
      </c>
      <c r="T3895" s="23" t="n"/>
    </row>
    <row r="3896">
      <c r="A3896" s="23" t="n"/>
      <c r="B3896" s="23" t="n"/>
      <c r="C3896" s="24" t="n"/>
      <c r="D3896" s="15" t="n"/>
      <c r="E3896" s="23" t="n"/>
      <c r="F3896" s="15" t="n"/>
      <c r="G3896" s="23" t="n"/>
      <c r="H3896" s="25" t="n"/>
      <c r="I3896" s="15" t="n"/>
      <c r="J3896" s="26">
        <f>IF($A3896="","",LEN($C3896)-LEN(SUBSTITUTE($C3896,",",""))+1)</f>
        <v/>
      </c>
      <c r="K3896" s="26">
        <f>IF($A3896="","",SUMPRODUCT(--ISNUMBER(SEARCH('Category Dictionary'!$D$5:$D$135&amp;"",$C3896)),--('Category Dictionary'!$D$5:$D$135&lt;&gt;"")))</f>
        <v/>
      </c>
      <c r="L3896" s="27">
        <f>IF($A3896="","",TRIM(IF(ISERROR(FIND(",",$C3896)),$C3896,LEFT($C3896,FIND(",",$C3896)-1))))</f>
        <v/>
      </c>
      <c r="M3896" s="28">
        <f>IF($H3896="","",DATE(YEAR($H3896),MONTH($H3896),1))</f>
        <v/>
      </c>
      <c r="N3896" s="26">
        <f>IF($H3896="","",TODAY()-$H3896)</f>
        <v/>
      </c>
      <c r="O3896" s="15" t="n"/>
      <c r="P3896" s="15" t="n"/>
      <c r="Q3896" s="15" t="n"/>
      <c r="R3896" s="25" t="n"/>
      <c r="S3896" s="26">
        <f>IF($A3896="","",AND(OR('Assignment Builder'!$B$5="",$B3896='Assignment Builder'!$B$5),OR('Assignment Builder'!$B$6="",ISNUMBER(SEARCH('Assignment Builder'!$B$6,$C3896))),OR('Assignment Builder'!$B$7="",'Assignment Builder'!$B$7=IFERROR(INDEX('Category Dictionary'!$C$5:$C$135,MATCH($L3896,'Category Dictionary'!$D$5:$D$135,0)),"")),OR('Assignment Builder'!$B$8="",$D3896='Assignment Builder'!$B$8),OR('Assignment Builder'!$B$9="",$F3896='Assignment Builder'!$B$9),OR('Assignment Builder'!$B$10="",$O3896='Assignment Builder'!$B$10),OR('Assignment Builder'!$B$11="",$H3896&gt;='Assignment Builder'!$B$11),OR('Assignment Builder'!$B$12="",N($Q3896)&lt;='Assignment Builder'!$B$12)))</f>
        <v/>
      </c>
      <c r="T3896" s="23" t="n"/>
    </row>
    <row r="3897">
      <c r="A3897" s="23" t="n"/>
      <c r="B3897" s="23" t="n"/>
      <c r="C3897" s="24" t="n"/>
      <c r="D3897" s="15" t="n"/>
      <c r="E3897" s="23" t="n"/>
      <c r="F3897" s="15" t="n"/>
      <c r="G3897" s="23" t="n"/>
      <c r="H3897" s="25" t="n"/>
      <c r="I3897" s="15" t="n"/>
      <c r="J3897" s="26">
        <f>IF($A3897="","",LEN($C3897)-LEN(SUBSTITUTE($C3897,",",""))+1)</f>
        <v/>
      </c>
      <c r="K3897" s="26">
        <f>IF($A3897="","",SUMPRODUCT(--ISNUMBER(SEARCH('Category Dictionary'!$D$5:$D$135&amp;"",$C3897)),--('Category Dictionary'!$D$5:$D$135&lt;&gt;"")))</f>
        <v/>
      </c>
      <c r="L3897" s="27">
        <f>IF($A3897="","",TRIM(IF(ISERROR(FIND(",",$C3897)),$C3897,LEFT($C3897,FIND(",",$C3897)-1))))</f>
        <v/>
      </c>
      <c r="M3897" s="28">
        <f>IF($H3897="","",DATE(YEAR($H3897),MONTH($H3897),1))</f>
        <v/>
      </c>
      <c r="N3897" s="26">
        <f>IF($H3897="","",TODAY()-$H3897)</f>
        <v/>
      </c>
      <c r="O3897" s="15" t="n"/>
      <c r="P3897" s="15" t="n"/>
      <c r="Q3897" s="15" t="n"/>
      <c r="R3897" s="25" t="n"/>
      <c r="S3897" s="26">
        <f>IF($A3897="","",AND(OR('Assignment Builder'!$B$5="",$B3897='Assignment Builder'!$B$5),OR('Assignment Builder'!$B$6="",ISNUMBER(SEARCH('Assignment Builder'!$B$6,$C3897))),OR('Assignment Builder'!$B$7="",'Assignment Builder'!$B$7=IFERROR(INDEX('Category Dictionary'!$C$5:$C$135,MATCH($L3897,'Category Dictionary'!$D$5:$D$135,0)),"")),OR('Assignment Builder'!$B$8="",$D3897='Assignment Builder'!$B$8),OR('Assignment Builder'!$B$9="",$F3897='Assignment Builder'!$B$9),OR('Assignment Builder'!$B$10="",$O3897='Assignment Builder'!$B$10),OR('Assignment Builder'!$B$11="",$H3897&gt;='Assignment Builder'!$B$11),OR('Assignment Builder'!$B$12="",N($Q3897)&lt;='Assignment Builder'!$B$12)))</f>
        <v/>
      </c>
      <c r="T3897" s="23" t="n"/>
    </row>
    <row r="3898">
      <c r="A3898" s="23" t="n"/>
      <c r="B3898" s="23" t="n"/>
      <c r="C3898" s="24" t="n"/>
      <c r="D3898" s="15" t="n"/>
      <c r="E3898" s="23" t="n"/>
      <c r="F3898" s="15" t="n"/>
      <c r="G3898" s="23" t="n"/>
      <c r="H3898" s="25" t="n"/>
      <c r="I3898" s="15" t="n"/>
      <c r="J3898" s="26">
        <f>IF($A3898="","",LEN($C3898)-LEN(SUBSTITUTE($C3898,",",""))+1)</f>
        <v/>
      </c>
      <c r="K3898" s="26">
        <f>IF($A3898="","",SUMPRODUCT(--ISNUMBER(SEARCH('Category Dictionary'!$D$5:$D$135&amp;"",$C3898)),--('Category Dictionary'!$D$5:$D$135&lt;&gt;"")))</f>
        <v/>
      </c>
      <c r="L3898" s="27">
        <f>IF($A3898="","",TRIM(IF(ISERROR(FIND(",",$C3898)),$C3898,LEFT($C3898,FIND(",",$C3898)-1))))</f>
        <v/>
      </c>
      <c r="M3898" s="28">
        <f>IF($H3898="","",DATE(YEAR($H3898),MONTH($H3898),1))</f>
        <v/>
      </c>
      <c r="N3898" s="26">
        <f>IF($H3898="","",TODAY()-$H3898)</f>
        <v/>
      </c>
      <c r="O3898" s="15" t="n"/>
      <c r="P3898" s="15" t="n"/>
      <c r="Q3898" s="15" t="n"/>
      <c r="R3898" s="25" t="n"/>
      <c r="S3898" s="26">
        <f>IF($A3898="","",AND(OR('Assignment Builder'!$B$5="",$B3898='Assignment Builder'!$B$5),OR('Assignment Builder'!$B$6="",ISNUMBER(SEARCH('Assignment Builder'!$B$6,$C3898))),OR('Assignment Builder'!$B$7="",'Assignment Builder'!$B$7=IFERROR(INDEX('Category Dictionary'!$C$5:$C$135,MATCH($L3898,'Category Dictionary'!$D$5:$D$135,0)),"")),OR('Assignment Builder'!$B$8="",$D3898='Assignment Builder'!$B$8),OR('Assignment Builder'!$B$9="",$F3898='Assignment Builder'!$B$9),OR('Assignment Builder'!$B$10="",$O3898='Assignment Builder'!$B$10),OR('Assignment Builder'!$B$11="",$H3898&gt;='Assignment Builder'!$B$11),OR('Assignment Builder'!$B$12="",N($Q3898)&lt;='Assignment Builder'!$B$12)))</f>
        <v/>
      </c>
      <c r="T3898" s="23" t="n"/>
    </row>
    <row r="3899">
      <c r="A3899" s="23" t="n"/>
      <c r="B3899" s="23" t="n"/>
      <c r="C3899" s="24" t="n"/>
      <c r="D3899" s="15" t="n"/>
      <c r="E3899" s="23" t="n"/>
      <c r="F3899" s="15" t="n"/>
      <c r="G3899" s="23" t="n"/>
      <c r="H3899" s="25" t="n"/>
      <c r="I3899" s="15" t="n"/>
      <c r="J3899" s="26">
        <f>IF($A3899="","",LEN($C3899)-LEN(SUBSTITUTE($C3899,",",""))+1)</f>
        <v/>
      </c>
      <c r="K3899" s="26">
        <f>IF($A3899="","",SUMPRODUCT(--ISNUMBER(SEARCH('Category Dictionary'!$D$5:$D$135&amp;"",$C3899)),--('Category Dictionary'!$D$5:$D$135&lt;&gt;"")))</f>
        <v/>
      </c>
      <c r="L3899" s="27">
        <f>IF($A3899="","",TRIM(IF(ISERROR(FIND(",",$C3899)),$C3899,LEFT($C3899,FIND(",",$C3899)-1))))</f>
        <v/>
      </c>
      <c r="M3899" s="28">
        <f>IF($H3899="","",DATE(YEAR($H3899),MONTH($H3899),1))</f>
        <v/>
      </c>
      <c r="N3899" s="26">
        <f>IF($H3899="","",TODAY()-$H3899)</f>
        <v/>
      </c>
      <c r="O3899" s="15" t="n"/>
      <c r="P3899" s="15" t="n"/>
      <c r="Q3899" s="15" t="n"/>
      <c r="R3899" s="25" t="n"/>
      <c r="S3899" s="26">
        <f>IF($A3899="","",AND(OR('Assignment Builder'!$B$5="",$B3899='Assignment Builder'!$B$5),OR('Assignment Builder'!$B$6="",ISNUMBER(SEARCH('Assignment Builder'!$B$6,$C3899))),OR('Assignment Builder'!$B$7="",'Assignment Builder'!$B$7=IFERROR(INDEX('Category Dictionary'!$C$5:$C$135,MATCH($L3899,'Category Dictionary'!$D$5:$D$135,0)),"")),OR('Assignment Builder'!$B$8="",$D3899='Assignment Builder'!$B$8),OR('Assignment Builder'!$B$9="",$F3899='Assignment Builder'!$B$9),OR('Assignment Builder'!$B$10="",$O3899='Assignment Builder'!$B$10),OR('Assignment Builder'!$B$11="",$H3899&gt;='Assignment Builder'!$B$11),OR('Assignment Builder'!$B$12="",N($Q3899)&lt;='Assignment Builder'!$B$12)))</f>
        <v/>
      </c>
      <c r="T3899" s="23" t="n"/>
    </row>
    <row r="3900">
      <c r="A3900" s="23" t="n"/>
      <c r="B3900" s="23" t="n"/>
      <c r="C3900" s="24" t="n"/>
      <c r="D3900" s="15" t="n"/>
      <c r="E3900" s="23" t="n"/>
      <c r="F3900" s="15" t="n"/>
      <c r="G3900" s="23" t="n"/>
      <c r="H3900" s="25" t="n"/>
      <c r="I3900" s="15" t="n"/>
      <c r="J3900" s="26">
        <f>IF($A3900="","",LEN($C3900)-LEN(SUBSTITUTE($C3900,",",""))+1)</f>
        <v/>
      </c>
      <c r="K3900" s="26">
        <f>IF($A3900="","",SUMPRODUCT(--ISNUMBER(SEARCH('Category Dictionary'!$D$5:$D$135&amp;"",$C3900)),--('Category Dictionary'!$D$5:$D$135&lt;&gt;"")))</f>
        <v/>
      </c>
      <c r="L3900" s="27">
        <f>IF($A3900="","",TRIM(IF(ISERROR(FIND(",",$C3900)),$C3900,LEFT($C3900,FIND(",",$C3900)-1))))</f>
        <v/>
      </c>
      <c r="M3900" s="28">
        <f>IF($H3900="","",DATE(YEAR($H3900),MONTH($H3900),1))</f>
        <v/>
      </c>
      <c r="N3900" s="26">
        <f>IF($H3900="","",TODAY()-$H3900)</f>
        <v/>
      </c>
      <c r="O3900" s="15" t="n"/>
      <c r="P3900" s="15" t="n"/>
      <c r="Q3900" s="15" t="n"/>
      <c r="R3900" s="25" t="n"/>
      <c r="S3900" s="26">
        <f>IF($A3900="","",AND(OR('Assignment Builder'!$B$5="",$B3900='Assignment Builder'!$B$5),OR('Assignment Builder'!$B$6="",ISNUMBER(SEARCH('Assignment Builder'!$B$6,$C3900))),OR('Assignment Builder'!$B$7="",'Assignment Builder'!$B$7=IFERROR(INDEX('Category Dictionary'!$C$5:$C$135,MATCH($L3900,'Category Dictionary'!$D$5:$D$135,0)),"")),OR('Assignment Builder'!$B$8="",$D3900='Assignment Builder'!$B$8),OR('Assignment Builder'!$B$9="",$F3900='Assignment Builder'!$B$9),OR('Assignment Builder'!$B$10="",$O3900='Assignment Builder'!$B$10),OR('Assignment Builder'!$B$11="",$H3900&gt;='Assignment Builder'!$B$11),OR('Assignment Builder'!$B$12="",N($Q3900)&lt;='Assignment Builder'!$B$12)))</f>
        <v/>
      </c>
      <c r="T3900" s="23" t="n"/>
    </row>
    <row r="3901">
      <c r="A3901" s="23" t="n"/>
      <c r="B3901" s="23" t="n"/>
      <c r="C3901" s="24" t="n"/>
      <c r="D3901" s="15" t="n"/>
      <c r="E3901" s="23" t="n"/>
      <c r="F3901" s="15" t="n"/>
      <c r="G3901" s="23" t="n"/>
      <c r="H3901" s="25" t="n"/>
      <c r="I3901" s="15" t="n"/>
      <c r="J3901" s="26">
        <f>IF($A3901="","",LEN($C3901)-LEN(SUBSTITUTE($C3901,",",""))+1)</f>
        <v/>
      </c>
      <c r="K3901" s="26">
        <f>IF($A3901="","",SUMPRODUCT(--ISNUMBER(SEARCH('Category Dictionary'!$D$5:$D$135&amp;"",$C3901)),--('Category Dictionary'!$D$5:$D$135&lt;&gt;"")))</f>
        <v/>
      </c>
      <c r="L3901" s="27">
        <f>IF($A3901="","",TRIM(IF(ISERROR(FIND(",",$C3901)),$C3901,LEFT($C3901,FIND(",",$C3901)-1))))</f>
        <v/>
      </c>
      <c r="M3901" s="28">
        <f>IF($H3901="","",DATE(YEAR($H3901),MONTH($H3901),1))</f>
        <v/>
      </c>
      <c r="N3901" s="26">
        <f>IF($H3901="","",TODAY()-$H3901)</f>
        <v/>
      </c>
      <c r="O3901" s="15" t="n"/>
      <c r="P3901" s="15" t="n"/>
      <c r="Q3901" s="15" t="n"/>
      <c r="R3901" s="25" t="n"/>
      <c r="S3901" s="26">
        <f>IF($A3901="","",AND(OR('Assignment Builder'!$B$5="",$B3901='Assignment Builder'!$B$5),OR('Assignment Builder'!$B$6="",ISNUMBER(SEARCH('Assignment Builder'!$B$6,$C3901))),OR('Assignment Builder'!$B$7="",'Assignment Builder'!$B$7=IFERROR(INDEX('Category Dictionary'!$C$5:$C$135,MATCH($L3901,'Category Dictionary'!$D$5:$D$135,0)),"")),OR('Assignment Builder'!$B$8="",$D3901='Assignment Builder'!$B$8),OR('Assignment Builder'!$B$9="",$F3901='Assignment Builder'!$B$9),OR('Assignment Builder'!$B$10="",$O3901='Assignment Builder'!$B$10),OR('Assignment Builder'!$B$11="",$H3901&gt;='Assignment Builder'!$B$11),OR('Assignment Builder'!$B$12="",N($Q3901)&lt;='Assignment Builder'!$B$12)))</f>
        <v/>
      </c>
      <c r="T3901" s="23" t="n"/>
    </row>
    <row r="3902">
      <c r="A3902" s="23" t="n"/>
      <c r="B3902" s="23" t="n"/>
      <c r="C3902" s="24" t="n"/>
      <c r="D3902" s="15" t="n"/>
      <c r="E3902" s="23" t="n"/>
      <c r="F3902" s="15" t="n"/>
      <c r="G3902" s="23" t="n"/>
      <c r="H3902" s="25" t="n"/>
      <c r="I3902" s="15" t="n"/>
      <c r="J3902" s="26">
        <f>IF($A3902="","",LEN($C3902)-LEN(SUBSTITUTE($C3902,",",""))+1)</f>
        <v/>
      </c>
      <c r="K3902" s="26">
        <f>IF($A3902="","",SUMPRODUCT(--ISNUMBER(SEARCH('Category Dictionary'!$D$5:$D$135&amp;"",$C3902)),--('Category Dictionary'!$D$5:$D$135&lt;&gt;"")))</f>
        <v/>
      </c>
      <c r="L3902" s="27">
        <f>IF($A3902="","",TRIM(IF(ISERROR(FIND(",",$C3902)),$C3902,LEFT($C3902,FIND(",",$C3902)-1))))</f>
        <v/>
      </c>
      <c r="M3902" s="28">
        <f>IF($H3902="","",DATE(YEAR($H3902),MONTH($H3902),1))</f>
        <v/>
      </c>
      <c r="N3902" s="26">
        <f>IF($H3902="","",TODAY()-$H3902)</f>
        <v/>
      </c>
      <c r="O3902" s="15" t="n"/>
      <c r="P3902" s="15" t="n"/>
      <c r="Q3902" s="15" t="n"/>
      <c r="R3902" s="25" t="n"/>
      <c r="S3902" s="26">
        <f>IF($A3902="","",AND(OR('Assignment Builder'!$B$5="",$B3902='Assignment Builder'!$B$5),OR('Assignment Builder'!$B$6="",ISNUMBER(SEARCH('Assignment Builder'!$B$6,$C3902))),OR('Assignment Builder'!$B$7="",'Assignment Builder'!$B$7=IFERROR(INDEX('Category Dictionary'!$C$5:$C$135,MATCH($L3902,'Category Dictionary'!$D$5:$D$135,0)),"")),OR('Assignment Builder'!$B$8="",$D3902='Assignment Builder'!$B$8),OR('Assignment Builder'!$B$9="",$F3902='Assignment Builder'!$B$9),OR('Assignment Builder'!$B$10="",$O3902='Assignment Builder'!$B$10),OR('Assignment Builder'!$B$11="",$H3902&gt;='Assignment Builder'!$B$11),OR('Assignment Builder'!$B$12="",N($Q3902)&lt;='Assignment Builder'!$B$12)))</f>
        <v/>
      </c>
      <c r="T3902" s="23" t="n"/>
    </row>
    <row r="3903">
      <c r="A3903" s="23" t="n"/>
      <c r="B3903" s="23" t="n"/>
      <c r="C3903" s="24" t="n"/>
      <c r="D3903" s="15" t="n"/>
      <c r="E3903" s="23" t="n"/>
      <c r="F3903" s="15" t="n"/>
      <c r="G3903" s="23" t="n"/>
      <c r="H3903" s="25" t="n"/>
      <c r="I3903" s="15" t="n"/>
      <c r="J3903" s="26">
        <f>IF($A3903="","",LEN($C3903)-LEN(SUBSTITUTE($C3903,",",""))+1)</f>
        <v/>
      </c>
      <c r="K3903" s="26">
        <f>IF($A3903="","",SUMPRODUCT(--ISNUMBER(SEARCH('Category Dictionary'!$D$5:$D$135&amp;"",$C3903)),--('Category Dictionary'!$D$5:$D$135&lt;&gt;"")))</f>
        <v/>
      </c>
      <c r="L3903" s="27">
        <f>IF($A3903="","",TRIM(IF(ISERROR(FIND(",",$C3903)),$C3903,LEFT($C3903,FIND(",",$C3903)-1))))</f>
        <v/>
      </c>
      <c r="M3903" s="28">
        <f>IF($H3903="","",DATE(YEAR($H3903),MONTH($H3903),1))</f>
        <v/>
      </c>
      <c r="N3903" s="26">
        <f>IF($H3903="","",TODAY()-$H3903)</f>
        <v/>
      </c>
      <c r="O3903" s="15" t="n"/>
      <c r="P3903" s="15" t="n"/>
      <c r="Q3903" s="15" t="n"/>
      <c r="R3903" s="25" t="n"/>
      <c r="S3903" s="26">
        <f>IF($A3903="","",AND(OR('Assignment Builder'!$B$5="",$B3903='Assignment Builder'!$B$5),OR('Assignment Builder'!$B$6="",ISNUMBER(SEARCH('Assignment Builder'!$B$6,$C3903))),OR('Assignment Builder'!$B$7="",'Assignment Builder'!$B$7=IFERROR(INDEX('Category Dictionary'!$C$5:$C$135,MATCH($L3903,'Category Dictionary'!$D$5:$D$135,0)),"")),OR('Assignment Builder'!$B$8="",$D3903='Assignment Builder'!$B$8),OR('Assignment Builder'!$B$9="",$F3903='Assignment Builder'!$B$9),OR('Assignment Builder'!$B$10="",$O3903='Assignment Builder'!$B$10),OR('Assignment Builder'!$B$11="",$H3903&gt;='Assignment Builder'!$B$11),OR('Assignment Builder'!$B$12="",N($Q3903)&lt;='Assignment Builder'!$B$12)))</f>
        <v/>
      </c>
      <c r="T3903" s="23" t="n"/>
    </row>
    <row r="3904">
      <c r="A3904" s="23" t="n"/>
      <c r="B3904" s="23" t="n"/>
      <c r="C3904" s="24" t="n"/>
      <c r="D3904" s="15" t="n"/>
      <c r="E3904" s="23" t="n"/>
      <c r="F3904" s="15" t="n"/>
      <c r="G3904" s="23" t="n"/>
      <c r="H3904" s="25" t="n"/>
      <c r="I3904" s="15" t="n"/>
      <c r="J3904" s="26">
        <f>IF($A3904="","",LEN($C3904)-LEN(SUBSTITUTE($C3904,",",""))+1)</f>
        <v/>
      </c>
      <c r="K3904" s="26">
        <f>IF($A3904="","",SUMPRODUCT(--ISNUMBER(SEARCH('Category Dictionary'!$D$5:$D$135&amp;"",$C3904)),--('Category Dictionary'!$D$5:$D$135&lt;&gt;"")))</f>
        <v/>
      </c>
      <c r="L3904" s="27">
        <f>IF($A3904="","",TRIM(IF(ISERROR(FIND(",",$C3904)),$C3904,LEFT($C3904,FIND(",",$C3904)-1))))</f>
        <v/>
      </c>
      <c r="M3904" s="28">
        <f>IF($H3904="","",DATE(YEAR($H3904),MONTH($H3904),1))</f>
        <v/>
      </c>
      <c r="N3904" s="26">
        <f>IF($H3904="","",TODAY()-$H3904)</f>
        <v/>
      </c>
      <c r="O3904" s="15" t="n"/>
      <c r="P3904" s="15" t="n"/>
      <c r="Q3904" s="15" t="n"/>
      <c r="R3904" s="25" t="n"/>
      <c r="S3904" s="26">
        <f>IF($A3904="","",AND(OR('Assignment Builder'!$B$5="",$B3904='Assignment Builder'!$B$5),OR('Assignment Builder'!$B$6="",ISNUMBER(SEARCH('Assignment Builder'!$B$6,$C3904))),OR('Assignment Builder'!$B$7="",'Assignment Builder'!$B$7=IFERROR(INDEX('Category Dictionary'!$C$5:$C$135,MATCH($L3904,'Category Dictionary'!$D$5:$D$135,0)),"")),OR('Assignment Builder'!$B$8="",$D3904='Assignment Builder'!$B$8),OR('Assignment Builder'!$B$9="",$F3904='Assignment Builder'!$B$9),OR('Assignment Builder'!$B$10="",$O3904='Assignment Builder'!$B$10),OR('Assignment Builder'!$B$11="",$H3904&gt;='Assignment Builder'!$B$11),OR('Assignment Builder'!$B$12="",N($Q3904)&lt;='Assignment Builder'!$B$12)))</f>
        <v/>
      </c>
      <c r="T3904" s="23" t="n"/>
    </row>
    <row r="3905">
      <c r="A3905" s="23" t="n"/>
      <c r="B3905" s="23" t="n"/>
      <c r="C3905" s="24" t="n"/>
      <c r="D3905" s="15" t="n"/>
      <c r="E3905" s="23" t="n"/>
      <c r="F3905" s="15" t="n"/>
      <c r="G3905" s="23" t="n"/>
      <c r="H3905" s="25" t="n"/>
      <c r="I3905" s="15" t="n"/>
      <c r="J3905" s="26">
        <f>IF($A3905="","",LEN($C3905)-LEN(SUBSTITUTE($C3905,",",""))+1)</f>
        <v/>
      </c>
      <c r="K3905" s="26">
        <f>IF($A3905="","",SUMPRODUCT(--ISNUMBER(SEARCH('Category Dictionary'!$D$5:$D$135&amp;"",$C3905)),--('Category Dictionary'!$D$5:$D$135&lt;&gt;"")))</f>
        <v/>
      </c>
      <c r="L3905" s="27">
        <f>IF($A3905="","",TRIM(IF(ISERROR(FIND(",",$C3905)),$C3905,LEFT($C3905,FIND(",",$C3905)-1))))</f>
        <v/>
      </c>
      <c r="M3905" s="28">
        <f>IF($H3905="","",DATE(YEAR($H3905),MONTH($H3905),1))</f>
        <v/>
      </c>
      <c r="N3905" s="26">
        <f>IF($H3905="","",TODAY()-$H3905)</f>
        <v/>
      </c>
      <c r="O3905" s="15" t="n"/>
      <c r="P3905" s="15" t="n"/>
      <c r="Q3905" s="15" t="n"/>
      <c r="R3905" s="25" t="n"/>
      <c r="S3905" s="26">
        <f>IF($A3905="","",AND(OR('Assignment Builder'!$B$5="",$B3905='Assignment Builder'!$B$5),OR('Assignment Builder'!$B$6="",ISNUMBER(SEARCH('Assignment Builder'!$B$6,$C3905))),OR('Assignment Builder'!$B$7="",'Assignment Builder'!$B$7=IFERROR(INDEX('Category Dictionary'!$C$5:$C$135,MATCH($L3905,'Category Dictionary'!$D$5:$D$135,0)),"")),OR('Assignment Builder'!$B$8="",$D3905='Assignment Builder'!$B$8),OR('Assignment Builder'!$B$9="",$F3905='Assignment Builder'!$B$9),OR('Assignment Builder'!$B$10="",$O3905='Assignment Builder'!$B$10),OR('Assignment Builder'!$B$11="",$H3905&gt;='Assignment Builder'!$B$11),OR('Assignment Builder'!$B$12="",N($Q3905)&lt;='Assignment Builder'!$B$12)))</f>
        <v/>
      </c>
      <c r="T3905" s="23" t="n"/>
    </row>
    <row r="3906">
      <c r="A3906" s="23" t="n"/>
      <c r="B3906" s="23" t="n"/>
      <c r="C3906" s="24" t="n"/>
      <c r="D3906" s="15" t="n"/>
      <c r="E3906" s="23" t="n"/>
      <c r="F3906" s="15" t="n"/>
      <c r="G3906" s="23" t="n"/>
      <c r="H3906" s="25" t="n"/>
      <c r="I3906" s="15" t="n"/>
      <c r="J3906" s="26">
        <f>IF($A3906="","",LEN($C3906)-LEN(SUBSTITUTE($C3906,",",""))+1)</f>
        <v/>
      </c>
      <c r="K3906" s="26">
        <f>IF($A3906="","",SUMPRODUCT(--ISNUMBER(SEARCH('Category Dictionary'!$D$5:$D$135&amp;"",$C3906)),--('Category Dictionary'!$D$5:$D$135&lt;&gt;"")))</f>
        <v/>
      </c>
      <c r="L3906" s="27">
        <f>IF($A3906="","",TRIM(IF(ISERROR(FIND(",",$C3906)),$C3906,LEFT($C3906,FIND(",",$C3906)-1))))</f>
        <v/>
      </c>
      <c r="M3906" s="28">
        <f>IF($H3906="","",DATE(YEAR($H3906),MONTH($H3906),1))</f>
        <v/>
      </c>
      <c r="N3906" s="26">
        <f>IF($H3906="","",TODAY()-$H3906)</f>
        <v/>
      </c>
      <c r="O3906" s="15" t="n"/>
      <c r="P3906" s="15" t="n"/>
      <c r="Q3906" s="15" t="n"/>
      <c r="R3906" s="25" t="n"/>
      <c r="S3906" s="26">
        <f>IF($A3906="","",AND(OR('Assignment Builder'!$B$5="",$B3906='Assignment Builder'!$B$5),OR('Assignment Builder'!$B$6="",ISNUMBER(SEARCH('Assignment Builder'!$B$6,$C3906))),OR('Assignment Builder'!$B$7="",'Assignment Builder'!$B$7=IFERROR(INDEX('Category Dictionary'!$C$5:$C$135,MATCH($L3906,'Category Dictionary'!$D$5:$D$135,0)),"")),OR('Assignment Builder'!$B$8="",$D3906='Assignment Builder'!$B$8),OR('Assignment Builder'!$B$9="",$F3906='Assignment Builder'!$B$9),OR('Assignment Builder'!$B$10="",$O3906='Assignment Builder'!$B$10),OR('Assignment Builder'!$B$11="",$H3906&gt;='Assignment Builder'!$B$11),OR('Assignment Builder'!$B$12="",N($Q3906)&lt;='Assignment Builder'!$B$12)))</f>
        <v/>
      </c>
      <c r="T3906" s="23" t="n"/>
    </row>
    <row r="3907">
      <c r="A3907" s="23" t="n"/>
      <c r="B3907" s="23" t="n"/>
      <c r="C3907" s="24" t="n"/>
      <c r="D3907" s="15" t="n"/>
      <c r="E3907" s="23" t="n"/>
      <c r="F3907" s="15" t="n"/>
      <c r="G3907" s="23" t="n"/>
      <c r="H3907" s="25" t="n"/>
      <c r="I3907" s="15" t="n"/>
      <c r="J3907" s="26">
        <f>IF($A3907="","",LEN($C3907)-LEN(SUBSTITUTE($C3907,",",""))+1)</f>
        <v/>
      </c>
      <c r="K3907" s="26">
        <f>IF($A3907="","",SUMPRODUCT(--ISNUMBER(SEARCH('Category Dictionary'!$D$5:$D$135&amp;"",$C3907)),--('Category Dictionary'!$D$5:$D$135&lt;&gt;"")))</f>
        <v/>
      </c>
      <c r="L3907" s="27">
        <f>IF($A3907="","",TRIM(IF(ISERROR(FIND(",",$C3907)),$C3907,LEFT($C3907,FIND(",",$C3907)-1))))</f>
        <v/>
      </c>
      <c r="M3907" s="28">
        <f>IF($H3907="","",DATE(YEAR($H3907),MONTH($H3907),1))</f>
        <v/>
      </c>
      <c r="N3907" s="26">
        <f>IF($H3907="","",TODAY()-$H3907)</f>
        <v/>
      </c>
      <c r="O3907" s="15" t="n"/>
      <c r="P3907" s="15" t="n"/>
      <c r="Q3907" s="15" t="n"/>
      <c r="R3907" s="25" t="n"/>
      <c r="S3907" s="26">
        <f>IF($A3907="","",AND(OR('Assignment Builder'!$B$5="",$B3907='Assignment Builder'!$B$5),OR('Assignment Builder'!$B$6="",ISNUMBER(SEARCH('Assignment Builder'!$B$6,$C3907))),OR('Assignment Builder'!$B$7="",'Assignment Builder'!$B$7=IFERROR(INDEX('Category Dictionary'!$C$5:$C$135,MATCH($L3907,'Category Dictionary'!$D$5:$D$135,0)),"")),OR('Assignment Builder'!$B$8="",$D3907='Assignment Builder'!$B$8),OR('Assignment Builder'!$B$9="",$F3907='Assignment Builder'!$B$9),OR('Assignment Builder'!$B$10="",$O3907='Assignment Builder'!$B$10),OR('Assignment Builder'!$B$11="",$H3907&gt;='Assignment Builder'!$B$11),OR('Assignment Builder'!$B$12="",N($Q3907)&lt;='Assignment Builder'!$B$12)))</f>
        <v/>
      </c>
      <c r="T3907" s="23" t="n"/>
    </row>
    <row r="3908">
      <c r="A3908" s="23" t="n"/>
      <c r="B3908" s="23" t="n"/>
      <c r="C3908" s="24" t="n"/>
      <c r="D3908" s="15" t="n"/>
      <c r="E3908" s="23" t="n"/>
      <c r="F3908" s="15" t="n"/>
      <c r="G3908" s="23" t="n"/>
      <c r="H3908" s="25" t="n"/>
      <c r="I3908" s="15" t="n"/>
      <c r="J3908" s="26">
        <f>IF($A3908="","",LEN($C3908)-LEN(SUBSTITUTE($C3908,",",""))+1)</f>
        <v/>
      </c>
      <c r="K3908" s="26">
        <f>IF($A3908="","",SUMPRODUCT(--ISNUMBER(SEARCH('Category Dictionary'!$D$5:$D$135&amp;"",$C3908)),--('Category Dictionary'!$D$5:$D$135&lt;&gt;"")))</f>
        <v/>
      </c>
      <c r="L3908" s="27">
        <f>IF($A3908="","",TRIM(IF(ISERROR(FIND(",",$C3908)),$C3908,LEFT($C3908,FIND(",",$C3908)-1))))</f>
        <v/>
      </c>
      <c r="M3908" s="28">
        <f>IF($H3908="","",DATE(YEAR($H3908),MONTH($H3908),1))</f>
        <v/>
      </c>
      <c r="N3908" s="26">
        <f>IF($H3908="","",TODAY()-$H3908)</f>
        <v/>
      </c>
      <c r="O3908" s="15" t="n"/>
      <c r="P3908" s="15" t="n"/>
      <c r="Q3908" s="15" t="n"/>
      <c r="R3908" s="25" t="n"/>
      <c r="S3908" s="26">
        <f>IF($A3908="","",AND(OR('Assignment Builder'!$B$5="",$B3908='Assignment Builder'!$B$5),OR('Assignment Builder'!$B$6="",ISNUMBER(SEARCH('Assignment Builder'!$B$6,$C3908))),OR('Assignment Builder'!$B$7="",'Assignment Builder'!$B$7=IFERROR(INDEX('Category Dictionary'!$C$5:$C$135,MATCH($L3908,'Category Dictionary'!$D$5:$D$135,0)),"")),OR('Assignment Builder'!$B$8="",$D3908='Assignment Builder'!$B$8),OR('Assignment Builder'!$B$9="",$F3908='Assignment Builder'!$B$9),OR('Assignment Builder'!$B$10="",$O3908='Assignment Builder'!$B$10),OR('Assignment Builder'!$B$11="",$H3908&gt;='Assignment Builder'!$B$11),OR('Assignment Builder'!$B$12="",N($Q3908)&lt;='Assignment Builder'!$B$12)))</f>
        <v/>
      </c>
      <c r="T3908" s="23" t="n"/>
    </row>
    <row r="3909">
      <c r="A3909" s="23" t="n"/>
      <c r="B3909" s="23" t="n"/>
      <c r="C3909" s="24" t="n"/>
      <c r="D3909" s="15" t="n"/>
      <c r="E3909" s="23" t="n"/>
      <c r="F3909" s="15" t="n"/>
      <c r="G3909" s="23" t="n"/>
      <c r="H3909" s="25" t="n"/>
      <c r="I3909" s="15" t="n"/>
      <c r="J3909" s="26">
        <f>IF($A3909="","",LEN($C3909)-LEN(SUBSTITUTE($C3909,",",""))+1)</f>
        <v/>
      </c>
      <c r="K3909" s="26">
        <f>IF($A3909="","",SUMPRODUCT(--ISNUMBER(SEARCH('Category Dictionary'!$D$5:$D$135&amp;"",$C3909)),--('Category Dictionary'!$D$5:$D$135&lt;&gt;"")))</f>
        <v/>
      </c>
      <c r="L3909" s="27">
        <f>IF($A3909="","",TRIM(IF(ISERROR(FIND(",",$C3909)),$C3909,LEFT($C3909,FIND(",",$C3909)-1))))</f>
        <v/>
      </c>
      <c r="M3909" s="28">
        <f>IF($H3909="","",DATE(YEAR($H3909),MONTH($H3909),1))</f>
        <v/>
      </c>
      <c r="N3909" s="26">
        <f>IF($H3909="","",TODAY()-$H3909)</f>
        <v/>
      </c>
      <c r="O3909" s="15" t="n"/>
      <c r="P3909" s="15" t="n"/>
      <c r="Q3909" s="15" t="n"/>
      <c r="R3909" s="25" t="n"/>
      <c r="S3909" s="26">
        <f>IF($A3909="","",AND(OR('Assignment Builder'!$B$5="",$B3909='Assignment Builder'!$B$5),OR('Assignment Builder'!$B$6="",ISNUMBER(SEARCH('Assignment Builder'!$B$6,$C3909))),OR('Assignment Builder'!$B$7="",'Assignment Builder'!$B$7=IFERROR(INDEX('Category Dictionary'!$C$5:$C$135,MATCH($L3909,'Category Dictionary'!$D$5:$D$135,0)),"")),OR('Assignment Builder'!$B$8="",$D3909='Assignment Builder'!$B$8),OR('Assignment Builder'!$B$9="",$F3909='Assignment Builder'!$B$9),OR('Assignment Builder'!$B$10="",$O3909='Assignment Builder'!$B$10),OR('Assignment Builder'!$B$11="",$H3909&gt;='Assignment Builder'!$B$11),OR('Assignment Builder'!$B$12="",N($Q3909)&lt;='Assignment Builder'!$B$12)))</f>
        <v/>
      </c>
      <c r="T3909" s="23" t="n"/>
    </row>
    <row r="3910">
      <c r="A3910" s="23" t="n"/>
      <c r="B3910" s="23" t="n"/>
      <c r="C3910" s="24" t="n"/>
      <c r="D3910" s="15" t="n"/>
      <c r="E3910" s="23" t="n"/>
      <c r="F3910" s="15" t="n"/>
      <c r="G3910" s="23" t="n"/>
      <c r="H3910" s="25" t="n"/>
      <c r="I3910" s="15" t="n"/>
      <c r="J3910" s="26">
        <f>IF($A3910="","",LEN($C3910)-LEN(SUBSTITUTE($C3910,",",""))+1)</f>
        <v/>
      </c>
      <c r="K3910" s="26">
        <f>IF($A3910="","",SUMPRODUCT(--ISNUMBER(SEARCH('Category Dictionary'!$D$5:$D$135&amp;"",$C3910)),--('Category Dictionary'!$D$5:$D$135&lt;&gt;"")))</f>
        <v/>
      </c>
      <c r="L3910" s="27">
        <f>IF($A3910="","",TRIM(IF(ISERROR(FIND(",",$C3910)),$C3910,LEFT($C3910,FIND(",",$C3910)-1))))</f>
        <v/>
      </c>
      <c r="M3910" s="28">
        <f>IF($H3910="","",DATE(YEAR($H3910),MONTH($H3910),1))</f>
        <v/>
      </c>
      <c r="N3910" s="26">
        <f>IF($H3910="","",TODAY()-$H3910)</f>
        <v/>
      </c>
      <c r="O3910" s="15" t="n"/>
      <c r="P3910" s="15" t="n"/>
      <c r="Q3910" s="15" t="n"/>
      <c r="R3910" s="25" t="n"/>
      <c r="S3910" s="26">
        <f>IF($A3910="","",AND(OR('Assignment Builder'!$B$5="",$B3910='Assignment Builder'!$B$5),OR('Assignment Builder'!$B$6="",ISNUMBER(SEARCH('Assignment Builder'!$B$6,$C3910))),OR('Assignment Builder'!$B$7="",'Assignment Builder'!$B$7=IFERROR(INDEX('Category Dictionary'!$C$5:$C$135,MATCH($L3910,'Category Dictionary'!$D$5:$D$135,0)),"")),OR('Assignment Builder'!$B$8="",$D3910='Assignment Builder'!$B$8),OR('Assignment Builder'!$B$9="",$F3910='Assignment Builder'!$B$9),OR('Assignment Builder'!$B$10="",$O3910='Assignment Builder'!$B$10),OR('Assignment Builder'!$B$11="",$H3910&gt;='Assignment Builder'!$B$11),OR('Assignment Builder'!$B$12="",N($Q3910)&lt;='Assignment Builder'!$B$12)))</f>
        <v/>
      </c>
      <c r="T3910" s="23" t="n"/>
    </row>
    <row r="3911">
      <c r="A3911" s="23" t="n"/>
      <c r="B3911" s="23" t="n"/>
      <c r="C3911" s="24" t="n"/>
      <c r="D3911" s="15" t="n"/>
      <c r="E3911" s="23" t="n"/>
      <c r="F3911" s="15" t="n"/>
      <c r="G3911" s="23" t="n"/>
      <c r="H3911" s="25" t="n"/>
      <c r="I3911" s="15" t="n"/>
      <c r="J3911" s="26">
        <f>IF($A3911="","",LEN($C3911)-LEN(SUBSTITUTE($C3911,",",""))+1)</f>
        <v/>
      </c>
      <c r="K3911" s="26">
        <f>IF($A3911="","",SUMPRODUCT(--ISNUMBER(SEARCH('Category Dictionary'!$D$5:$D$135&amp;"",$C3911)),--('Category Dictionary'!$D$5:$D$135&lt;&gt;"")))</f>
        <v/>
      </c>
      <c r="L3911" s="27">
        <f>IF($A3911="","",TRIM(IF(ISERROR(FIND(",",$C3911)),$C3911,LEFT($C3911,FIND(",",$C3911)-1))))</f>
        <v/>
      </c>
      <c r="M3911" s="28">
        <f>IF($H3911="","",DATE(YEAR($H3911),MONTH($H3911),1))</f>
        <v/>
      </c>
      <c r="N3911" s="26">
        <f>IF($H3911="","",TODAY()-$H3911)</f>
        <v/>
      </c>
      <c r="O3911" s="15" t="n"/>
      <c r="P3911" s="15" t="n"/>
      <c r="Q3911" s="15" t="n"/>
      <c r="R3911" s="25" t="n"/>
      <c r="S3911" s="26">
        <f>IF($A3911="","",AND(OR('Assignment Builder'!$B$5="",$B3911='Assignment Builder'!$B$5),OR('Assignment Builder'!$B$6="",ISNUMBER(SEARCH('Assignment Builder'!$B$6,$C3911))),OR('Assignment Builder'!$B$7="",'Assignment Builder'!$B$7=IFERROR(INDEX('Category Dictionary'!$C$5:$C$135,MATCH($L3911,'Category Dictionary'!$D$5:$D$135,0)),"")),OR('Assignment Builder'!$B$8="",$D3911='Assignment Builder'!$B$8),OR('Assignment Builder'!$B$9="",$F3911='Assignment Builder'!$B$9),OR('Assignment Builder'!$B$10="",$O3911='Assignment Builder'!$B$10),OR('Assignment Builder'!$B$11="",$H3911&gt;='Assignment Builder'!$B$11),OR('Assignment Builder'!$B$12="",N($Q3911)&lt;='Assignment Builder'!$B$12)))</f>
        <v/>
      </c>
      <c r="T3911" s="23" t="n"/>
    </row>
    <row r="3912">
      <c r="A3912" s="23" t="n"/>
      <c r="B3912" s="23" t="n"/>
      <c r="C3912" s="24" t="n"/>
      <c r="D3912" s="15" t="n"/>
      <c r="E3912" s="23" t="n"/>
      <c r="F3912" s="15" t="n"/>
      <c r="G3912" s="23" t="n"/>
      <c r="H3912" s="25" t="n"/>
      <c r="I3912" s="15" t="n"/>
      <c r="J3912" s="26">
        <f>IF($A3912="","",LEN($C3912)-LEN(SUBSTITUTE($C3912,",",""))+1)</f>
        <v/>
      </c>
      <c r="K3912" s="26">
        <f>IF($A3912="","",SUMPRODUCT(--ISNUMBER(SEARCH('Category Dictionary'!$D$5:$D$135&amp;"",$C3912)),--('Category Dictionary'!$D$5:$D$135&lt;&gt;"")))</f>
        <v/>
      </c>
      <c r="L3912" s="27">
        <f>IF($A3912="","",TRIM(IF(ISERROR(FIND(",",$C3912)),$C3912,LEFT($C3912,FIND(",",$C3912)-1))))</f>
        <v/>
      </c>
      <c r="M3912" s="28">
        <f>IF($H3912="","",DATE(YEAR($H3912),MONTH($H3912),1))</f>
        <v/>
      </c>
      <c r="N3912" s="26">
        <f>IF($H3912="","",TODAY()-$H3912)</f>
        <v/>
      </c>
      <c r="O3912" s="15" t="n"/>
      <c r="P3912" s="15" t="n"/>
      <c r="Q3912" s="15" t="n"/>
      <c r="R3912" s="25" t="n"/>
      <c r="S3912" s="26">
        <f>IF($A3912="","",AND(OR('Assignment Builder'!$B$5="",$B3912='Assignment Builder'!$B$5),OR('Assignment Builder'!$B$6="",ISNUMBER(SEARCH('Assignment Builder'!$B$6,$C3912))),OR('Assignment Builder'!$B$7="",'Assignment Builder'!$B$7=IFERROR(INDEX('Category Dictionary'!$C$5:$C$135,MATCH($L3912,'Category Dictionary'!$D$5:$D$135,0)),"")),OR('Assignment Builder'!$B$8="",$D3912='Assignment Builder'!$B$8),OR('Assignment Builder'!$B$9="",$F3912='Assignment Builder'!$B$9),OR('Assignment Builder'!$B$10="",$O3912='Assignment Builder'!$B$10),OR('Assignment Builder'!$B$11="",$H3912&gt;='Assignment Builder'!$B$11),OR('Assignment Builder'!$B$12="",N($Q3912)&lt;='Assignment Builder'!$B$12)))</f>
        <v/>
      </c>
      <c r="T3912" s="23" t="n"/>
    </row>
    <row r="3913">
      <c r="A3913" s="23" t="n"/>
      <c r="B3913" s="23" t="n"/>
      <c r="C3913" s="24" t="n"/>
      <c r="D3913" s="15" t="n"/>
      <c r="E3913" s="23" t="n"/>
      <c r="F3913" s="15" t="n"/>
      <c r="G3913" s="23" t="n"/>
      <c r="H3913" s="25" t="n"/>
      <c r="I3913" s="15" t="n"/>
      <c r="J3913" s="26">
        <f>IF($A3913="","",LEN($C3913)-LEN(SUBSTITUTE($C3913,",",""))+1)</f>
        <v/>
      </c>
      <c r="K3913" s="26">
        <f>IF($A3913="","",SUMPRODUCT(--ISNUMBER(SEARCH('Category Dictionary'!$D$5:$D$135&amp;"",$C3913)),--('Category Dictionary'!$D$5:$D$135&lt;&gt;"")))</f>
        <v/>
      </c>
      <c r="L3913" s="27">
        <f>IF($A3913="","",TRIM(IF(ISERROR(FIND(",",$C3913)),$C3913,LEFT($C3913,FIND(",",$C3913)-1))))</f>
        <v/>
      </c>
      <c r="M3913" s="28">
        <f>IF($H3913="","",DATE(YEAR($H3913),MONTH($H3913),1))</f>
        <v/>
      </c>
      <c r="N3913" s="26">
        <f>IF($H3913="","",TODAY()-$H3913)</f>
        <v/>
      </c>
      <c r="O3913" s="15" t="n"/>
      <c r="P3913" s="15" t="n"/>
      <c r="Q3913" s="15" t="n"/>
      <c r="R3913" s="25" t="n"/>
      <c r="S3913" s="26">
        <f>IF($A3913="","",AND(OR('Assignment Builder'!$B$5="",$B3913='Assignment Builder'!$B$5),OR('Assignment Builder'!$B$6="",ISNUMBER(SEARCH('Assignment Builder'!$B$6,$C3913))),OR('Assignment Builder'!$B$7="",'Assignment Builder'!$B$7=IFERROR(INDEX('Category Dictionary'!$C$5:$C$135,MATCH($L3913,'Category Dictionary'!$D$5:$D$135,0)),"")),OR('Assignment Builder'!$B$8="",$D3913='Assignment Builder'!$B$8),OR('Assignment Builder'!$B$9="",$F3913='Assignment Builder'!$B$9),OR('Assignment Builder'!$B$10="",$O3913='Assignment Builder'!$B$10),OR('Assignment Builder'!$B$11="",$H3913&gt;='Assignment Builder'!$B$11),OR('Assignment Builder'!$B$12="",N($Q3913)&lt;='Assignment Builder'!$B$12)))</f>
        <v/>
      </c>
      <c r="T3913" s="23" t="n"/>
    </row>
    <row r="3914">
      <c r="A3914" s="23" t="n"/>
      <c r="B3914" s="23" t="n"/>
      <c r="C3914" s="24" t="n"/>
      <c r="D3914" s="15" t="n"/>
      <c r="E3914" s="23" t="n"/>
      <c r="F3914" s="15" t="n"/>
      <c r="G3914" s="23" t="n"/>
      <c r="H3914" s="25" t="n"/>
      <c r="I3914" s="15" t="n"/>
      <c r="J3914" s="26">
        <f>IF($A3914="","",LEN($C3914)-LEN(SUBSTITUTE($C3914,",",""))+1)</f>
        <v/>
      </c>
      <c r="K3914" s="26">
        <f>IF($A3914="","",SUMPRODUCT(--ISNUMBER(SEARCH('Category Dictionary'!$D$5:$D$135&amp;"",$C3914)),--('Category Dictionary'!$D$5:$D$135&lt;&gt;"")))</f>
        <v/>
      </c>
      <c r="L3914" s="27">
        <f>IF($A3914="","",TRIM(IF(ISERROR(FIND(",",$C3914)),$C3914,LEFT($C3914,FIND(",",$C3914)-1))))</f>
        <v/>
      </c>
      <c r="M3914" s="28">
        <f>IF($H3914="","",DATE(YEAR($H3914),MONTH($H3914),1))</f>
        <v/>
      </c>
      <c r="N3914" s="26">
        <f>IF($H3914="","",TODAY()-$H3914)</f>
        <v/>
      </c>
      <c r="O3914" s="15" t="n"/>
      <c r="P3914" s="15" t="n"/>
      <c r="Q3914" s="15" t="n"/>
      <c r="R3914" s="25" t="n"/>
      <c r="S3914" s="26">
        <f>IF($A3914="","",AND(OR('Assignment Builder'!$B$5="",$B3914='Assignment Builder'!$B$5),OR('Assignment Builder'!$B$6="",ISNUMBER(SEARCH('Assignment Builder'!$B$6,$C3914))),OR('Assignment Builder'!$B$7="",'Assignment Builder'!$B$7=IFERROR(INDEX('Category Dictionary'!$C$5:$C$135,MATCH($L3914,'Category Dictionary'!$D$5:$D$135,0)),"")),OR('Assignment Builder'!$B$8="",$D3914='Assignment Builder'!$B$8),OR('Assignment Builder'!$B$9="",$F3914='Assignment Builder'!$B$9),OR('Assignment Builder'!$B$10="",$O3914='Assignment Builder'!$B$10),OR('Assignment Builder'!$B$11="",$H3914&gt;='Assignment Builder'!$B$11),OR('Assignment Builder'!$B$12="",N($Q3914)&lt;='Assignment Builder'!$B$12)))</f>
        <v/>
      </c>
      <c r="T3914" s="23" t="n"/>
    </row>
    <row r="3915">
      <c r="A3915" s="23" t="n"/>
      <c r="B3915" s="23" t="n"/>
      <c r="C3915" s="24" t="n"/>
      <c r="D3915" s="15" t="n"/>
      <c r="E3915" s="23" t="n"/>
      <c r="F3915" s="15" t="n"/>
      <c r="G3915" s="23" t="n"/>
      <c r="H3915" s="25" t="n"/>
      <c r="I3915" s="15" t="n"/>
      <c r="J3915" s="26">
        <f>IF($A3915="","",LEN($C3915)-LEN(SUBSTITUTE($C3915,",",""))+1)</f>
        <v/>
      </c>
      <c r="K3915" s="26">
        <f>IF($A3915="","",SUMPRODUCT(--ISNUMBER(SEARCH('Category Dictionary'!$D$5:$D$135&amp;"",$C3915)),--('Category Dictionary'!$D$5:$D$135&lt;&gt;"")))</f>
        <v/>
      </c>
      <c r="L3915" s="27">
        <f>IF($A3915="","",TRIM(IF(ISERROR(FIND(",",$C3915)),$C3915,LEFT($C3915,FIND(",",$C3915)-1))))</f>
        <v/>
      </c>
      <c r="M3915" s="28">
        <f>IF($H3915="","",DATE(YEAR($H3915),MONTH($H3915),1))</f>
        <v/>
      </c>
      <c r="N3915" s="26">
        <f>IF($H3915="","",TODAY()-$H3915)</f>
        <v/>
      </c>
      <c r="O3915" s="15" t="n"/>
      <c r="P3915" s="15" t="n"/>
      <c r="Q3915" s="15" t="n"/>
      <c r="R3915" s="25" t="n"/>
      <c r="S3915" s="26">
        <f>IF($A3915="","",AND(OR('Assignment Builder'!$B$5="",$B3915='Assignment Builder'!$B$5),OR('Assignment Builder'!$B$6="",ISNUMBER(SEARCH('Assignment Builder'!$B$6,$C3915))),OR('Assignment Builder'!$B$7="",'Assignment Builder'!$B$7=IFERROR(INDEX('Category Dictionary'!$C$5:$C$135,MATCH($L3915,'Category Dictionary'!$D$5:$D$135,0)),"")),OR('Assignment Builder'!$B$8="",$D3915='Assignment Builder'!$B$8),OR('Assignment Builder'!$B$9="",$F3915='Assignment Builder'!$B$9),OR('Assignment Builder'!$B$10="",$O3915='Assignment Builder'!$B$10),OR('Assignment Builder'!$B$11="",$H3915&gt;='Assignment Builder'!$B$11),OR('Assignment Builder'!$B$12="",N($Q3915)&lt;='Assignment Builder'!$B$12)))</f>
        <v/>
      </c>
      <c r="T3915" s="23" t="n"/>
    </row>
    <row r="3916">
      <c r="A3916" s="23" t="n"/>
      <c r="B3916" s="23" t="n"/>
      <c r="C3916" s="24" t="n"/>
      <c r="D3916" s="15" t="n"/>
      <c r="E3916" s="23" t="n"/>
      <c r="F3916" s="15" t="n"/>
      <c r="G3916" s="23" t="n"/>
      <c r="H3916" s="25" t="n"/>
      <c r="I3916" s="15" t="n"/>
      <c r="J3916" s="26">
        <f>IF($A3916="","",LEN($C3916)-LEN(SUBSTITUTE($C3916,",",""))+1)</f>
        <v/>
      </c>
      <c r="K3916" s="26">
        <f>IF($A3916="","",SUMPRODUCT(--ISNUMBER(SEARCH('Category Dictionary'!$D$5:$D$135&amp;"",$C3916)),--('Category Dictionary'!$D$5:$D$135&lt;&gt;"")))</f>
        <v/>
      </c>
      <c r="L3916" s="27">
        <f>IF($A3916="","",TRIM(IF(ISERROR(FIND(",",$C3916)),$C3916,LEFT($C3916,FIND(",",$C3916)-1))))</f>
        <v/>
      </c>
      <c r="M3916" s="28">
        <f>IF($H3916="","",DATE(YEAR($H3916),MONTH($H3916),1))</f>
        <v/>
      </c>
      <c r="N3916" s="26">
        <f>IF($H3916="","",TODAY()-$H3916)</f>
        <v/>
      </c>
      <c r="O3916" s="15" t="n"/>
      <c r="P3916" s="15" t="n"/>
      <c r="Q3916" s="15" t="n"/>
      <c r="R3916" s="25" t="n"/>
      <c r="S3916" s="26">
        <f>IF($A3916="","",AND(OR('Assignment Builder'!$B$5="",$B3916='Assignment Builder'!$B$5),OR('Assignment Builder'!$B$6="",ISNUMBER(SEARCH('Assignment Builder'!$B$6,$C3916))),OR('Assignment Builder'!$B$7="",'Assignment Builder'!$B$7=IFERROR(INDEX('Category Dictionary'!$C$5:$C$135,MATCH($L3916,'Category Dictionary'!$D$5:$D$135,0)),"")),OR('Assignment Builder'!$B$8="",$D3916='Assignment Builder'!$B$8),OR('Assignment Builder'!$B$9="",$F3916='Assignment Builder'!$B$9),OR('Assignment Builder'!$B$10="",$O3916='Assignment Builder'!$B$10),OR('Assignment Builder'!$B$11="",$H3916&gt;='Assignment Builder'!$B$11),OR('Assignment Builder'!$B$12="",N($Q3916)&lt;='Assignment Builder'!$B$12)))</f>
        <v/>
      </c>
      <c r="T3916" s="23" t="n"/>
    </row>
    <row r="3917">
      <c r="A3917" s="23" t="n"/>
      <c r="B3917" s="23" t="n"/>
      <c r="C3917" s="24" t="n"/>
      <c r="D3917" s="15" t="n"/>
      <c r="E3917" s="23" t="n"/>
      <c r="F3917" s="15" t="n"/>
      <c r="G3917" s="23" t="n"/>
      <c r="H3917" s="25" t="n"/>
      <c r="I3917" s="15" t="n"/>
      <c r="J3917" s="26">
        <f>IF($A3917="","",LEN($C3917)-LEN(SUBSTITUTE($C3917,",",""))+1)</f>
        <v/>
      </c>
      <c r="K3917" s="26">
        <f>IF($A3917="","",SUMPRODUCT(--ISNUMBER(SEARCH('Category Dictionary'!$D$5:$D$135&amp;"",$C3917)),--('Category Dictionary'!$D$5:$D$135&lt;&gt;"")))</f>
        <v/>
      </c>
      <c r="L3917" s="27">
        <f>IF($A3917="","",TRIM(IF(ISERROR(FIND(",",$C3917)),$C3917,LEFT($C3917,FIND(",",$C3917)-1))))</f>
        <v/>
      </c>
      <c r="M3917" s="28">
        <f>IF($H3917="","",DATE(YEAR($H3917),MONTH($H3917),1))</f>
        <v/>
      </c>
      <c r="N3917" s="26">
        <f>IF($H3917="","",TODAY()-$H3917)</f>
        <v/>
      </c>
      <c r="O3917" s="15" t="n"/>
      <c r="P3917" s="15" t="n"/>
      <c r="Q3917" s="15" t="n"/>
      <c r="R3917" s="25" t="n"/>
      <c r="S3917" s="26">
        <f>IF($A3917="","",AND(OR('Assignment Builder'!$B$5="",$B3917='Assignment Builder'!$B$5),OR('Assignment Builder'!$B$6="",ISNUMBER(SEARCH('Assignment Builder'!$B$6,$C3917))),OR('Assignment Builder'!$B$7="",'Assignment Builder'!$B$7=IFERROR(INDEX('Category Dictionary'!$C$5:$C$135,MATCH($L3917,'Category Dictionary'!$D$5:$D$135,0)),"")),OR('Assignment Builder'!$B$8="",$D3917='Assignment Builder'!$B$8),OR('Assignment Builder'!$B$9="",$F3917='Assignment Builder'!$B$9),OR('Assignment Builder'!$B$10="",$O3917='Assignment Builder'!$B$10),OR('Assignment Builder'!$B$11="",$H3917&gt;='Assignment Builder'!$B$11),OR('Assignment Builder'!$B$12="",N($Q3917)&lt;='Assignment Builder'!$B$12)))</f>
        <v/>
      </c>
      <c r="T3917" s="23" t="n"/>
    </row>
    <row r="3918">
      <c r="A3918" s="23" t="n"/>
      <c r="B3918" s="23" t="n"/>
      <c r="C3918" s="24" t="n"/>
      <c r="D3918" s="15" t="n"/>
      <c r="E3918" s="23" t="n"/>
      <c r="F3918" s="15" t="n"/>
      <c r="G3918" s="23" t="n"/>
      <c r="H3918" s="25" t="n"/>
      <c r="I3918" s="15" t="n"/>
      <c r="J3918" s="26">
        <f>IF($A3918="","",LEN($C3918)-LEN(SUBSTITUTE($C3918,",",""))+1)</f>
        <v/>
      </c>
      <c r="K3918" s="26">
        <f>IF($A3918="","",SUMPRODUCT(--ISNUMBER(SEARCH('Category Dictionary'!$D$5:$D$135&amp;"",$C3918)),--('Category Dictionary'!$D$5:$D$135&lt;&gt;"")))</f>
        <v/>
      </c>
      <c r="L3918" s="27">
        <f>IF($A3918="","",TRIM(IF(ISERROR(FIND(",",$C3918)),$C3918,LEFT($C3918,FIND(",",$C3918)-1))))</f>
        <v/>
      </c>
      <c r="M3918" s="28">
        <f>IF($H3918="","",DATE(YEAR($H3918),MONTH($H3918),1))</f>
        <v/>
      </c>
      <c r="N3918" s="26">
        <f>IF($H3918="","",TODAY()-$H3918)</f>
        <v/>
      </c>
      <c r="O3918" s="15" t="n"/>
      <c r="P3918" s="15" t="n"/>
      <c r="Q3918" s="15" t="n"/>
      <c r="R3918" s="25" t="n"/>
      <c r="S3918" s="26">
        <f>IF($A3918="","",AND(OR('Assignment Builder'!$B$5="",$B3918='Assignment Builder'!$B$5),OR('Assignment Builder'!$B$6="",ISNUMBER(SEARCH('Assignment Builder'!$B$6,$C3918))),OR('Assignment Builder'!$B$7="",'Assignment Builder'!$B$7=IFERROR(INDEX('Category Dictionary'!$C$5:$C$135,MATCH($L3918,'Category Dictionary'!$D$5:$D$135,0)),"")),OR('Assignment Builder'!$B$8="",$D3918='Assignment Builder'!$B$8),OR('Assignment Builder'!$B$9="",$F3918='Assignment Builder'!$B$9),OR('Assignment Builder'!$B$10="",$O3918='Assignment Builder'!$B$10),OR('Assignment Builder'!$B$11="",$H3918&gt;='Assignment Builder'!$B$11),OR('Assignment Builder'!$B$12="",N($Q3918)&lt;='Assignment Builder'!$B$12)))</f>
        <v/>
      </c>
      <c r="T3918" s="23" t="n"/>
    </row>
    <row r="3919">
      <c r="A3919" s="23" t="n"/>
      <c r="B3919" s="23" t="n"/>
      <c r="C3919" s="24" t="n"/>
      <c r="D3919" s="15" t="n"/>
      <c r="E3919" s="23" t="n"/>
      <c r="F3919" s="15" t="n"/>
      <c r="G3919" s="23" t="n"/>
      <c r="H3919" s="25" t="n"/>
      <c r="I3919" s="15" t="n"/>
      <c r="J3919" s="26">
        <f>IF($A3919="","",LEN($C3919)-LEN(SUBSTITUTE($C3919,",",""))+1)</f>
        <v/>
      </c>
      <c r="K3919" s="26">
        <f>IF($A3919="","",SUMPRODUCT(--ISNUMBER(SEARCH('Category Dictionary'!$D$5:$D$135&amp;"",$C3919)),--('Category Dictionary'!$D$5:$D$135&lt;&gt;"")))</f>
        <v/>
      </c>
      <c r="L3919" s="27">
        <f>IF($A3919="","",TRIM(IF(ISERROR(FIND(",",$C3919)),$C3919,LEFT($C3919,FIND(",",$C3919)-1))))</f>
        <v/>
      </c>
      <c r="M3919" s="28">
        <f>IF($H3919="","",DATE(YEAR($H3919),MONTH($H3919),1))</f>
        <v/>
      </c>
      <c r="N3919" s="26">
        <f>IF($H3919="","",TODAY()-$H3919)</f>
        <v/>
      </c>
      <c r="O3919" s="15" t="n"/>
      <c r="P3919" s="15" t="n"/>
      <c r="Q3919" s="15" t="n"/>
      <c r="R3919" s="25" t="n"/>
      <c r="S3919" s="26">
        <f>IF($A3919="","",AND(OR('Assignment Builder'!$B$5="",$B3919='Assignment Builder'!$B$5),OR('Assignment Builder'!$B$6="",ISNUMBER(SEARCH('Assignment Builder'!$B$6,$C3919))),OR('Assignment Builder'!$B$7="",'Assignment Builder'!$B$7=IFERROR(INDEX('Category Dictionary'!$C$5:$C$135,MATCH($L3919,'Category Dictionary'!$D$5:$D$135,0)),"")),OR('Assignment Builder'!$B$8="",$D3919='Assignment Builder'!$B$8),OR('Assignment Builder'!$B$9="",$F3919='Assignment Builder'!$B$9),OR('Assignment Builder'!$B$10="",$O3919='Assignment Builder'!$B$10),OR('Assignment Builder'!$B$11="",$H3919&gt;='Assignment Builder'!$B$11),OR('Assignment Builder'!$B$12="",N($Q3919)&lt;='Assignment Builder'!$B$12)))</f>
        <v/>
      </c>
      <c r="T3919" s="23" t="n"/>
    </row>
    <row r="3920">
      <c r="A3920" s="23" t="n"/>
      <c r="B3920" s="23" t="n"/>
      <c r="C3920" s="24" t="n"/>
      <c r="D3920" s="15" t="n"/>
      <c r="E3920" s="23" t="n"/>
      <c r="F3920" s="15" t="n"/>
      <c r="G3920" s="23" t="n"/>
      <c r="H3920" s="25" t="n"/>
      <c r="I3920" s="15" t="n"/>
      <c r="J3920" s="26">
        <f>IF($A3920="","",LEN($C3920)-LEN(SUBSTITUTE($C3920,",",""))+1)</f>
        <v/>
      </c>
      <c r="K3920" s="26">
        <f>IF($A3920="","",SUMPRODUCT(--ISNUMBER(SEARCH('Category Dictionary'!$D$5:$D$135&amp;"",$C3920)),--('Category Dictionary'!$D$5:$D$135&lt;&gt;"")))</f>
        <v/>
      </c>
      <c r="L3920" s="27">
        <f>IF($A3920="","",TRIM(IF(ISERROR(FIND(",",$C3920)),$C3920,LEFT($C3920,FIND(",",$C3920)-1))))</f>
        <v/>
      </c>
      <c r="M3920" s="28">
        <f>IF($H3920="","",DATE(YEAR($H3920),MONTH($H3920),1))</f>
        <v/>
      </c>
      <c r="N3920" s="26">
        <f>IF($H3920="","",TODAY()-$H3920)</f>
        <v/>
      </c>
      <c r="O3920" s="15" t="n"/>
      <c r="P3920" s="15" t="n"/>
      <c r="Q3920" s="15" t="n"/>
      <c r="R3920" s="25" t="n"/>
      <c r="S3920" s="26">
        <f>IF($A3920="","",AND(OR('Assignment Builder'!$B$5="",$B3920='Assignment Builder'!$B$5),OR('Assignment Builder'!$B$6="",ISNUMBER(SEARCH('Assignment Builder'!$B$6,$C3920))),OR('Assignment Builder'!$B$7="",'Assignment Builder'!$B$7=IFERROR(INDEX('Category Dictionary'!$C$5:$C$135,MATCH($L3920,'Category Dictionary'!$D$5:$D$135,0)),"")),OR('Assignment Builder'!$B$8="",$D3920='Assignment Builder'!$B$8),OR('Assignment Builder'!$B$9="",$F3920='Assignment Builder'!$B$9),OR('Assignment Builder'!$B$10="",$O3920='Assignment Builder'!$B$10),OR('Assignment Builder'!$B$11="",$H3920&gt;='Assignment Builder'!$B$11),OR('Assignment Builder'!$B$12="",N($Q3920)&lt;='Assignment Builder'!$B$12)))</f>
        <v/>
      </c>
      <c r="T3920" s="23" t="n"/>
    </row>
    <row r="3921">
      <c r="A3921" s="23" t="n"/>
      <c r="B3921" s="23" t="n"/>
      <c r="C3921" s="24" t="n"/>
      <c r="D3921" s="15" t="n"/>
      <c r="E3921" s="23" t="n"/>
      <c r="F3921" s="15" t="n"/>
      <c r="G3921" s="23" t="n"/>
      <c r="H3921" s="25" t="n"/>
      <c r="I3921" s="15" t="n"/>
      <c r="J3921" s="26">
        <f>IF($A3921="","",LEN($C3921)-LEN(SUBSTITUTE($C3921,",",""))+1)</f>
        <v/>
      </c>
      <c r="K3921" s="26">
        <f>IF($A3921="","",SUMPRODUCT(--ISNUMBER(SEARCH('Category Dictionary'!$D$5:$D$135&amp;"",$C3921)),--('Category Dictionary'!$D$5:$D$135&lt;&gt;"")))</f>
        <v/>
      </c>
      <c r="L3921" s="27">
        <f>IF($A3921="","",TRIM(IF(ISERROR(FIND(",",$C3921)),$C3921,LEFT($C3921,FIND(",",$C3921)-1))))</f>
        <v/>
      </c>
      <c r="M3921" s="28">
        <f>IF($H3921="","",DATE(YEAR($H3921),MONTH($H3921),1))</f>
        <v/>
      </c>
      <c r="N3921" s="26">
        <f>IF($H3921="","",TODAY()-$H3921)</f>
        <v/>
      </c>
      <c r="O3921" s="15" t="n"/>
      <c r="P3921" s="15" t="n"/>
      <c r="Q3921" s="15" t="n"/>
      <c r="R3921" s="25" t="n"/>
      <c r="S3921" s="26">
        <f>IF($A3921="","",AND(OR('Assignment Builder'!$B$5="",$B3921='Assignment Builder'!$B$5),OR('Assignment Builder'!$B$6="",ISNUMBER(SEARCH('Assignment Builder'!$B$6,$C3921))),OR('Assignment Builder'!$B$7="",'Assignment Builder'!$B$7=IFERROR(INDEX('Category Dictionary'!$C$5:$C$135,MATCH($L3921,'Category Dictionary'!$D$5:$D$135,0)),"")),OR('Assignment Builder'!$B$8="",$D3921='Assignment Builder'!$B$8),OR('Assignment Builder'!$B$9="",$F3921='Assignment Builder'!$B$9),OR('Assignment Builder'!$B$10="",$O3921='Assignment Builder'!$B$10),OR('Assignment Builder'!$B$11="",$H3921&gt;='Assignment Builder'!$B$11),OR('Assignment Builder'!$B$12="",N($Q3921)&lt;='Assignment Builder'!$B$12)))</f>
        <v/>
      </c>
      <c r="T3921" s="23" t="n"/>
    </row>
    <row r="3922">
      <c r="A3922" s="23" t="n"/>
      <c r="B3922" s="23" t="n"/>
      <c r="C3922" s="24" t="n"/>
      <c r="D3922" s="15" t="n"/>
      <c r="E3922" s="23" t="n"/>
      <c r="F3922" s="15" t="n"/>
      <c r="G3922" s="23" t="n"/>
      <c r="H3922" s="25" t="n"/>
      <c r="I3922" s="15" t="n"/>
      <c r="J3922" s="26">
        <f>IF($A3922="","",LEN($C3922)-LEN(SUBSTITUTE($C3922,",",""))+1)</f>
        <v/>
      </c>
      <c r="K3922" s="26">
        <f>IF($A3922="","",SUMPRODUCT(--ISNUMBER(SEARCH('Category Dictionary'!$D$5:$D$135&amp;"",$C3922)),--('Category Dictionary'!$D$5:$D$135&lt;&gt;"")))</f>
        <v/>
      </c>
      <c r="L3922" s="27">
        <f>IF($A3922="","",TRIM(IF(ISERROR(FIND(",",$C3922)),$C3922,LEFT($C3922,FIND(",",$C3922)-1))))</f>
        <v/>
      </c>
      <c r="M3922" s="28">
        <f>IF($H3922="","",DATE(YEAR($H3922),MONTH($H3922),1))</f>
        <v/>
      </c>
      <c r="N3922" s="26">
        <f>IF($H3922="","",TODAY()-$H3922)</f>
        <v/>
      </c>
      <c r="O3922" s="15" t="n"/>
      <c r="P3922" s="15" t="n"/>
      <c r="Q3922" s="15" t="n"/>
      <c r="R3922" s="25" t="n"/>
      <c r="S3922" s="26">
        <f>IF($A3922="","",AND(OR('Assignment Builder'!$B$5="",$B3922='Assignment Builder'!$B$5),OR('Assignment Builder'!$B$6="",ISNUMBER(SEARCH('Assignment Builder'!$B$6,$C3922))),OR('Assignment Builder'!$B$7="",'Assignment Builder'!$B$7=IFERROR(INDEX('Category Dictionary'!$C$5:$C$135,MATCH($L3922,'Category Dictionary'!$D$5:$D$135,0)),"")),OR('Assignment Builder'!$B$8="",$D3922='Assignment Builder'!$B$8),OR('Assignment Builder'!$B$9="",$F3922='Assignment Builder'!$B$9),OR('Assignment Builder'!$B$10="",$O3922='Assignment Builder'!$B$10),OR('Assignment Builder'!$B$11="",$H3922&gt;='Assignment Builder'!$B$11),OR('Assignment Builder'!$B$12="",N($Q3922)&lt;='Assignment Builder'!$B$12)))</f>
        <v/>
      </c>
      <c r="T3922" s="23" t="n"/>
    </row>
    <row r="3923">
      <c r="A3923" s="23" t="n"/>
      <c r="B3923" s="23" t="n"/>
      <c r="C3923" s="24" t="n"/>
      <c r="D3923" s="15" t="n"/>
      <c r="E3923" s="23" t="n"/>
      <c r="F3923" s="15" t="n"/>
      <c r="G3923" s="23" t="n"/>
      <c r="H3923" s="25" t="n"/>
      <c r="I3923" s="15" t="n"/>
      <c r="J3923" s="26">
        <f>IF($A3923="","",LEN($C3923)-LEN(SUBSTITUTE($C3923,",",""))+1)</f>
        <v/>
      </c>
      <c r="K3923" s="26">
        <f>IF($A3923="","",SUMPRODUCT(--ISNUMBER(SEARCH('Category Dictionary'!$D$5:$D$135&amp;"",$C3923)),--('Category Dictionary'!$D$5:$D$135&lt;&gt;"")))</f>
        <v/>
      </c>
      <c r="L3923" s="27">
        <f>IF($A3923="","",TRIM(IF(ISERROR(FIND(",",$C3923)),$C3923,LEFT($C3923,FIND(",",$C3923)-1))))</f>
        <v/>
      </c>
      <c r="M3923" s="28">
        <f>IF($H3923="","",DATE(YEAR($H3923),MONTH($H3923),1))</f>
        <v/>
      </c>
      <c r="N3923" s="26">
        <f>IF($H3923="","",TODAY()-$H3923)</f>
        <v/>
      </c>
      <c r="O3923" s="15" t="n"/>
      <c r="P3923" s="15" t="n"/>
      <c r="Q3923" s="15" t="n"/>
      <c r="R3923" s="25" t="n"/>
      <c r="S3923" s="26">
        <f>IF($A3923="","",AND(OR('Assignment Builder'!$B$5="",$B3923='Assignment Builder'!$B$5),OR('Assignment Builder'!$B$6="",ISNUMBER(SEARCH('Assignment Builder'!$B$6,$C3923))),OR('Assignment Builder'!$B$7="",'Assignment Builder'!$B$7=IFERROR(INDEX('Category Dictionary'!$C$5:$C$135,MATCH($L3923,'Category Dictionary'!$D$5:$D$135,0)),"")),OR('Assignment Builder'!$B$8="",$D3923='Assignment Builder'!$B$8),OR('Assignment Builder'!$B$9="",$F3923='Assignment Builder'!$B$9),OR('Assignment Builder'!$B$10="",$O3923='Assignment Builder'!$B$10),OR('Assignment Builder'!$B$11="",$H3923&gt;='Assignment Builder'!$B$11),OR('Assignment Builder'!$B$12="",N($Q3923)&lt;='Assignment Builder'!$B$12)))</f>
        <v/>
      </c>
      <c r="T3923" s="23" t="n"/>
    </row>
    <row r="3924">
      <c r="A3924" s="23" t="n"/>
      <c r="B3924" s="23" t="n"/>
      <c r="C3924" s="24" t="n"/>
      <c r="D3924" s="15" t="n"/>
      <c r="E3924" s="23" t="n"/>
      <c r="F3924" s="15" t="n"/>
      <c r="G3924" s="23" t="n"/>
      <c r="H3924" s="25" t="n"/>
      <c r="I3924" s="15" t="n"/>
      <c r="J3924" s="26">
        <f>IF($A3924="","",LEN($C3924)-LEN(SUBSTITUTE($C3924,",",""))+1)</f>
        <v/>
      </c>
      <c r="K3924" s="26">
        <f>IF($A3924="","",SUMPRODUCT(--ISNUMBER(SEARCH('Category Dictionary'!$D$5:$D$135&amp;"",$C3924)),--('Category Dictionary'!$D$5:$D$135&lt;&gt;"")))</f>
        <v/>
      </c>
      <c r="L3924" s="27">
        <f>IF($A3924="","",TRIM(IF(ISERROR(FIND(",",$C3924)),$C3924,LEFT($C3924,FIND(",",$C3924)-1))))</f>
        <v/>
      </c>
      <c r="M3924" s="28">
        <f>IF($H3924="","",DATE(YEAR($H3924),MONTH($H3924),1))</f>
        <v/>
      </c>
      <c r="N3924" s="26">
        <f>IF($H3924="","",TODAY()-$H3924)</f>
        <v/>
      </c>
      <c r="O3924" s="15" t="n"/>
      <c r="P3924" s="15" t="n"/>
      <c r="Q3924" s="15" t="n"/>
      <c r="R3924" s="25" t="n"/>
      <c r="S3924" s="26">
        <f>IF($A3924="","",AND(OR('Assignment Builder'!$B$5="",$B3924='Assignment Builder'!$B$5),OR('Assignment Builder'!$B$6="",ISNUMBER(SEARCH('Assignment Builder'!$B$6,$C3924))),OR('Assignment Builder'!$B$7="",'Assignment Builder'!$B$7=IFERROR(INDEX('Category Dictionary'!$C$5:$C$135,MATCH($L3924,'Category Dictionary'!$D$5:$D$135,0)),"")),OR('Assignment Builder'!$B$8="",$D3924='Assignment Builder'!$B$8),OR('Assignment Builder'!$B$9="",$F3924='Assignment Builder'!$B$9),OR('Assignment Builder'!$B$10="",$O3924='Assignment Builder'!$B$10),OR('Assignment Builder'!$B$11="",$H3924&gt;='Assignment Builder'!$B$11),OR('Assignment Builder'!$B$12="",N($Q3924)&lt;='Assignment Builder'!$B$12)))</f>
        <v/>
      </c>
      <c r="T3924" s="23" t="n"/>
    </row>
    <row r="3925">
      <c r="A3925" s="23" t="n"/>
      <c r="B3925" s="23" t="n"/>
      <c r="C3925" s="24" t="n"/>
      <c r="D3925" s="15" t="n"/>
      <c r="E3925" s="23" t="n"/>
      <c r="F3925" s="15" t="n"/>
      <c r="G3925" s="23" t="n"/>
      <c r="H3925" s="25" t="n"/>
      <c r="I3925" s="15" t="n"/>
      <c r="J3925" s="26">
        <f>IF($A3925="","",LEN($C3925)-LEN(SUBSTITUTE($C3925,",",""))+1)</f>
        <v/>
      </c>
      <c r="K3925" s="26">
        <f>IF($A3925="","",SUMPRODUCT(--ISNUMBER(SEARCH('Category Dictionary'!$D$5:$D$135&amp;"",$C3925)),--('Category Dictionary'!$D$5:$D$135&lt;&gt;"")))</f>
        <v/>
      </c>
      <c r="L3925" s="27">
        <f>IF($A3925="","",TRIM(IF(ISERROR(FIND(",",$C3925)),$C3925,LEFT($C3925,FIND(",",$C3925)-1))))</f>
        <v/>
      </c>
      <c r="M3925" s="28">
        <f>IF($H3925="","",DATE(YEAR($H3925),MONTH($H3925),1))</f>
        <v/>
      </c>
      <c r="N3925" s="26">
        <f>IF($H3925="","",TODAY()-$H3925)</f>
        <v/>
      </c>
      <c r="O3925" s="15" t="n"/>
      <c r="P3925" s="15" t="n"/>
      <c r="Q3925" s="15" t="n"/>
      <c r="R3925" s="25" t="n"/>
      <c r="S3925" s="26">
        <f>IF($A3925="","",AND(OR('Assignment Builder'!$B$5="",$B3925='Assignment Builder'!$B$5),OR('Assignment Builder'!$B$6="",ISNUMBER(SEARCH('Assignment Builder'!$B$6,$C3925))),OR('Assignment Builder'!$B$7="",'Assignment Builder'!$B$7=IFERROR(INDEX('Category Dictionary'!$C$5:$C$135,MATCH($L3925,'Category Dictionary'!$D$5:$D$135,0)),"")),OR('Assignment Builder'!$B$8="",$D3925='Assignment Builder'!$B$8),OR('Assignment Builder'!$B$9="",$F3925='Assignment Builder'!$B$9),OR('Assignment Builder'!$B$10="",$O3925='Assignment Builder'!$B$10),OR('Assignment Builder'!$B$11="",$H3925&gt;='Assignment Builder'!$B$11),OR('Assignment Builder'!$B$12="",N($Q3925)&lt;='Assignment Builder'!$B$12)))</f>
        <v/>
      </c>
      <c r="T3925" s="23" t="n"/>
    </row>
    <row r="3926">
      <c r="A3926" s="23" t="n"/>
      <c r="B3926" s="23" t="n"/>
      <c r="C3926" s="24" t="n"/>
      <c r="D3926" s="15" t="n"/>
      <c r="E3926" s="23" t="n"/>
      <c r="F3926" s="15" t="n"/>
      <c r="G3926" s="23" t="n"/>
      <c r="H3926" s="25" t="n"/>
      <c r="I3926" s="15" t="n"/>
      <c r="J3926" s="26">
        <f>IF($A3926="","",LEN($C3926)-LEN(SUBSTITUTE($C3926,",",""))+1)</f>
        <v/>
      </c>
      <c r="K3926" s="26">
        <f>IF($A3926="","",SUMPRODUCT(--ISNUMBER(SEARCH('Category Dictionary'!$D$5:$D$135&amp;"",$C3926)),--('Category Dictionary'!$D$5:$D$135&lt;&gt;"")))</f>
        <v/>
      </c>
      <c r="L3926" s="27">
        <f>IF($A3926="","",TRIM(IF(ISERROR(FIND(",",$C3926)),$C3926,LEFT($C3926,FIND(",",$C3926)-1))))</f>
        <v/>
      </c>
      <c r="M3926" s="28">
        <f>IF($H3926="","",DATE(YEAR($H3926),MONTH($H3926),1))</f>
        <v/>
      </c>
      <c r="N3926" s="26">
        <f>IF($H3926="","",TODAY()-$H3926)</f>
        <v/>
      </c>
      <c r="O3926" s="15" t="n"/>
      <c r="P3926" s="15" t="n"/>
      <c r="Q3926" s="15" t="n"/>
      <c r="R3926" s="25" t="n"/>
      <c r="S3926" s="26">
        <f>IF($A3926="","",AND(OR('Assignment Builder'!$B$5="",$B3926='Assignment Builder'!$B$5),OR('Assignment Builder'!$B$6="",ISNUMBER(SEARCH('Assignment Builder'!$B$6,$C3926))),OR('Assignment Builder'!$B$7="",'Assignment Builder'!$B$7=IFERROR(INDEX('Category Dictionary'!$C$5:$C$135,MATCH($L3926,'Category Dictionary'!$D$5:$D$135,0)),"")),OR('Assignment Builder'!$B$8="",$D3926='Assignment Builder'!$B$8),OR('Assignment Builder'!$B$9="",$F3926='Assignment Builder'!$B$9),OR('Assignment Builder'!$B$10="",$O3926='Assignment Builder'!$B$10),OR('Assignment Builder'!$B$11="",$H3926&gt;='Assignment Builder'!$B$11),OR('Assignment Builder'!$B$12="",N($Q3926)&lt;='Assignment Builder'!$B$12)))</f>
        <v/>
      </c>
      <c r="T3926" s="23" t="n"/>
    </row>
    <row r="3927">
      <c r="A3927" s="23" t="n"/>
      <c r="B3927" s="23" t="n"/>
      <c r="C3927" s="24" t="n"/>
      <c r="D3927" s="15" t="n"/>
      <c r="E3927" s="23" t="n"/>
      <c r="F3927" s="15" t="n"/>
      <c r="G3927" s="23" t="n"/>
      <c r="H3927" s="25" t="n"/>
      <c r="I3927" s="15" t="n"/>
      <c r="J3927" s="26">
        <f>IF($A3927="","",LEN($C3927)-LEN(SUBSTITUTE($C3927,",",""))+1)</f>
        <v/>
      </c>
      <c r="K3927" s="26">
        <f>IF($A3927="","",SUMPRODUCT(--ISNUMBER(SEARCH('Category Dictionary'!$D$5:$D$135&amp;"",$C3927)),--('Category Dictionary'!$D$5:$D$135&lt;&gt;"")))</f>
        <v/>
      </c>
      <c r="L3927" s="27">
        <f>IF($A3927="","",TRIM(IF(ISERROR(FIND(",",$C3927)),$C3927,LEFT($C3927,FIND(",",$C3927)-1))))</f>
        <v/>
      </c>
      <c r="M3927" s="28">
        <f>IF($H3927="","",DATE(YEAR($H3927),MONTH($H3927),1))</f>
        <v/>
      </c>
      <c r="N3927" s="26">
        <f>IF($H3927="","",TODAY()-$H3927)</f>
        <v/>
      </c>
      <c r="O3927" s="15" t="n"/>
      <c r="P3927" s="15" t="n"/>
      <c r="Q3927" s="15" t="n"/>
      <c r="R3927" s="25" t="n"/>
      <c r="S3927" s="26">
        <f>IF($A3927="","",AND(OR('Assignment Builder'!$B$5="",$B3927='Assignment Builder'!$B$5),OR('Assignment Builder'!$B$6="",ISNUMBER(SEARCH('Assignment Builder'!$B$6,$C3927))),OR('Assignment Builder'!$B$7="",'Assignment Builder'!$B$7=IFERROR(INDEX('Category Dictionary'!$C$5:$C$135,MATCH($L3927,'Category Dictionary'!$D$5:$D$135,0)),"")),OR('Assignment Builder'!$B$8="",$D3927='Assignment Builder'!$B$8),OR('Assignment Builder'!$B$9="",$F3927='Assignment Builder'!$B$9),OR('Assignment Builder'!$B$10="",$O3927='Assignment Builder'!$B$10),OR('Assignment Builder'!$B$11="",$H3927&gt;='Assignment Builder'!$B$11),OR('Assignment Builder'!$B$12="",N($Q3927)&lt;='Assignment Builder'!$B$12)))</f>
        <v/>
      </c>
      <c r="T3927" s="23" t="n"/>
    </row>
    <row r="3928">
      <c r="A3928" s="23" t="n"/>
      <c r="B3928" s="23" t="n"/>
      <c r="C3928" s="24" t="n"/>
      <c r="D3928" s="15" t="n"/>
      <c r="E3928" s="23" t="n"/>
      <c r="F3928" s="15" t="n"/>
      <c r="G3928" s="23" t="n"/>
      <c r="H3928" s="25" t="n"/>
      <c r="I3928" s="15" t="n"/>
      <c r="J3928" s="26">
        <f>IF($A3928="","",LEN($C3928)-LEN(SUBSTITUTE($C3928,",",""))+1)</f>
        <v/>
      </c>
      <c r="K3928" s="26">
        <f>IF($A3928="","",SUMPRODUCT(--ISNUMBER(SEARCH('Category Dictionary'!$D$5:$D$135&amp;"",$C3928)),--('Category Dictionary'!$D$5:$D$135&lt;&gt;"")))</f>
        <v/>
      </c>
      <c r="L3928" s="27">
        <f>IF($A3928="","",TRIM(IF(ISERROR(FIND(",",$C3928)),$C3928,LEFT($C3928,FIND(",",$C3928)-1))))</f>
        <v/>
      </c>
      <c r="M3928" s="28">
        <f>IF($H3928="","",DATE(YEAR($H3928),MONTH($H3928),1))</f>
        <v/>
      </c>
      <c r="N3928" s="26">
        <f>IF($H3928="","",TODAY()-$H3928)</f>
        <v/>
      </c>
      <c r="O3928" s="15" t="n"/>
      <c r="P3928" s="15" t="n"/>
      <c r="Q3928" s="15" t="n"/>
      <c r="R3928" s="25" t="n"/>
      <c r="S3928" s="26">
        <f>IF($A3928="","",AND(OR('Assignment Builder'!$B$5="",$B3928='Assignment Builder'!$B$5),OR('Assignment Builder'!$B$6="",ISNUMBER(SEARCH('Assignment Builder'!$B$6,$C3928))),OR('Assignment Builder'!$B$7="",'Assignment Builder'!$B$7=IFERROR(INDEX('Category Dictionary'!$C$5:$C$135,MATCH($L3928,'Category Dictionary'!$D$5:$D$135,0)),"")),OR('Assignment Builder'!$B$8="",$D3928='Assignment Builder'!$B$8),OR('Assignment Builder'!$B$9="",$F3928='Assignment Builder'!$B$9),OR('Assignment Builder'!$B$10="",$O3928='Assignment Builder'!$B$10),OR('Assignment Builder'!$B$11="",$H3928&gt;='Assignment Builder'!$B$11),OR('Assignment Builder'!$B$12="",N($Q3928)&lt;='Assignment Builder'!$B$12)))</f>
        <v/>
      </c>
      <c r="T3928" s="23" t="n"/>
    </row>
    <row r="3929">
      <c r="A3929" s="23" t="n"/>
      <c r="B3929" s="23" t="n"/>
      <c r="C3929" s="24" t="n"/>
      <c r="D3929" s="15" t="n"/>
      <c r="E3929" s="23" t="n"/>
      <c r="F3929" s="15" t="n"/>
      <c r="G3929" s="23" t="n"/>
      <c r="H3929" s="25" t="n"/>
      <c r="I3929" s="15" t="n"/>
      <c r="J3929" s="26">
        <f>IF($A3929="","",LEN($C3929)-LEN(SUBSTITUTE($C3929,",",""))+1)</f>
        <v/>
      </c>
      <c r="K3929" s="26">
        <f>IF($A3929="","",SUMPRODUCT(--ISNUMBER(SEARCH('Category Dictionary'!$D$5:$D$135&amp;"",$C3929)),--('Category Dictionary'!$D$5:$D$135&lt;&gt;"")))</f>
        <v/>
      </c>
      <c r="L3929" s="27">
        <f>IF($A3929="","",TRIM(IF(ISERROR(FIND(",",$C3929)),$C3929,LEFT($C3929,FIND(",",$C3929)-1))))</f>
        <v/>
      </c>
      <c r="M3929" s="28">
        <f>IF($H3929="","",DATE(YEAR($H3929),MONTH($H3929),1))</f>
        <v/>
      </c>
      <c r="N3929" s="26">
        <f>IF($H3929="","",TODAY()-$H3929)</f>
        <v/>
      </c>
      <c r="O3929" s="15" t="n"/>
      <c r="P3929" s="15" t="n"/>
      <c r="Q3929" s="15" t="n"/>
      <c r="R3929" s="25" t="n"/>
      <c r="S3929" s="26">
        <f>IF($A3929="","",AND(OR('Assignment Builder'!$B$5="",$B3929='Assignment Builder'!$B$5),OR('Assignment Builder'!$B$6="",ISNUMBER(SEARCH('Assignment Builder'!$B$6,$C3929))),OR('Assignment Builder'!$B$7="",'Assignment Builder'!$B$7=IFERROR(INDEX('Category Dictionary'!$C$5:$C$135,MATCH($L3929,'Category Dictionary'!$D$5:$D$135,0)),"")),OR('Assignment Builder'!$B$8="",$D3929='Assignment Builder'!$B$8),OR('Assignment Builder'!$B$9="",$F3929='Assignment Builder'!$B$9),OR('Assignment Builder'!$B$10="",$O3929='Assignment Builder'!$B$10),OR('Assignment Builder'!$B$11="",$H3929&gt;='Assignment Builder'!$B$11),OR('Assignment Builder'!$B$12="",N($Q3929)&lt;='Assignment Builder'!$B$12)))</f>
        <v/>
      </c>
      <c r="T3929" s="23" t="n"/>
    </row>
    <row r="3930">
      <c r="A3930" s="23" t="n"/>
      <c r="B3930" s="23" t="n"/>
      <c r="C3930" s="24" t="n"/>
      <c r="D3930" s="15" t="n"/>
      <c r="E3930" s="23" t="n"/>
      <c r="F3930" s="15" t="n"/>
      <c r="G3930" s="23" t="n"/>
      <c r="H3930" s="25" t="n"/>
      <c r="I3930" s="15" t="n"/>
      <c r="J3930" s="26">
        <f>IF($A3930="","",LEN($C3930)-LEN(SUBSTITUTE($C3930,",",""))+1)</f>
        <v/>
      </c>
      <c r="K3930" s="26">
        <f>IF($A3930="","",SUMPRODUCT(--ISNUMBER(SEARCH('Category Dictionary'!$D$5:$D$135&amp;"",$C3930)),--('Category Dictionary'!$D$5:$D$135&lt;&gt;"")))</f>
        <v/>
      </c>
      <c r="L3930" s="27">
        <f>IF($A3930="","",TRIM(IF(ISERROR(FIND(",",$C3930)),$C3930,LEFT($C3930,FIND(",",$C3930)-1))))</f>
        <v/>
      </c>
      <c r="M3930" s="28">
        <f>IF($H3930="","",DATE(YEAR($H3930),MONTH($H3930),1))</f>
        <v/>
      </c>
      <c r="N3930" s="26">
        <f>IF($H3930="","",TODAY()-$H3930)</f>
        <v/>
      </c>
      <c r="O3930" s="15" t="n"/>
      <c r="P3930" s="15" t="n"/>
      <c r="Q3930" s="15" t="n"/>
      <c r="R3930" s="25" t="n"/>
      <c r="S3930" s="26">
        <f>IF($A3930="","",AND(OR('Assignment Builder'!$B$5="",$B3930='Assignment Builder'!$B$5),OR('Assignment Builder'!$B$6="",ISNUMBER(SEARCH('Assignment Builder'!$B$6,$C3930))),OR('Assignment Builder'!$B$7="",'Assignment Builder'!$B$7=IFERROR(INDEX('Category Dictionary'!$C$5:$C$135,MATCH($L3930,'Category Dictionary'!$D$5:$D$135,0)),"")),OR('Assignment Builder'!$B$8="",$D3930='Assignment Builder'!$B$8),OR('Assignment Builder'!$B$9="",$F3930='Assignment Builder'!$B$9),OR('Assignment Builder'!$B$10="",$O3930='Assignment Builder'!$B$10),OR('Assignment Builder'!$B$11="",$H3930&gt;='Assignment Builder'!$B$11),OR('Assignment Builder'!$B$12="",N($Q3930)&lt;='Assignment Builder'!$B$12)))</f>
        <v/>
      </c>
      <c r="T3930" s="23" t="n"/>
    </row>
    <row r="3931">
      <c r="A3931" s="23" t="n"/>
      <c r="B3931" s="23" t="n"/>
      <c r="C3931" s="24" t="n"/>
      <c r="D3931" s="15" t="n"/>
      <c r="E3931" s="23" t="n"/>
      <c r="F3931" s="15" t="n"/>
      <c r="G3931" s="23" t="n"/>
      <c r="H3931" s="25" t="n"/>
      <c r="I3931" s="15" t="n"/>
      <c r="J3931" s="26">
        <f>IF($A3931="","",LEN($C3931)-LEN(SUBSTITUTE($C3931,",",""))+1)</f>
        <v/>
      </c>
      <c r="K3931" s="26">
        <f>IF($A3931="","",SUMPRODUCT(--ISNUMBER(SEARCH('Category Dictionary'!$D$5:$D$135&amp;"",$C3931)),--('Category Dictionary'!$D$5:$D$135&lt;&gt;"")))</f>
        <v/>
      </c>
      <c r="L3931" s="27">
        <f>IF($A3931="","",TRIM(IF(ISERROR(FIND(",",$C3931)),$C3931,LEFT($C3931,FIND(",",$C3931)-1))))</f>
        <v/>
      </c>
      <c r="M3931" s="28">
        <f>IF($H3931="","",DATE(YEAR($H3931),MONTH($H3931),1))</f>
        <v/>
      </c>
      <c r="N3931" s="26">
        <f>IF($H3931="","",TODAY()-$H3931)</f>
        <v/>
      </c>
      <c r="O3931" s="15" t="n"/>
      <c r="P3931" s="15" t="n"/>
      <c r="Q3931" s="15" t="n"/>
      <c r="R3931" s="25" t="n"/>
      <c r="S3931" s="26">
        <f>IF($A3931="","",AND(OR('Assignment Builder'!$B$5="",$B3931='Assignment Builder'!$B$5),OR('Assignment Builder'!$B$6="",ISNUMBER(SEARCH('Assignment Builder'!$B$6,$C3931))),OR('Assignment Builder'!$B$7="",'Assignment Builder'!$B$7=IFERROR(INDEX('Category Dictionary'!$C$5:$C$135,MATCH($L3931,'Category Dictionary'!$D$5:$D$135,0)),"")),OR('Assignment Builder'!$B$8="",$D3931='Assignment Builder'!$B$8),OR('Assignment Builder'!$B$9="",$F3931='Assignment Builder'!$B$9),OR('Assignment Builder'!$B$10="",$O3931='Assignment Builder'!$B$10),OR('Assignment Builder'!$B$11="",$H3931&gt;='Assignment Builder'!$B$11),OR('Assignment Builder'!$B$12="",N($Q3931)&lt;='Assignment Builder'!$B$12)))</f>
        <v/>
      </c>
      <c r="T3931" s="23" t="n"/>
    </row>
    <row r="3932">
      <c r="A3932" s="23" t="n"/>
      <c r="B3932" s="23" t="n"/>
      <c r="C3932" s="24" t="n"/>
      <c r="D3932" s="15" t="n"/>
      <c r="E3932" s="23" t="n"/>
      <c r="F3932" s="15" t="n"/>
      <c r="G3932" s="23" t="n"/>
      <c r="H3932" s="25" t="n"/>
      <c r="I3932" s="15" t="n"/>
      <c r="J3932" s="26">
        <f>IF($A3932="","",LEN($C3932)-LEN(SUBSTITUTE($C3932,",",""))+1)</f>
        <v/>
      </c>
      <c r="K3932" s="26">
        <f>IF($A3932="","",SUMPRODUCT(--ISNUMBER(SEARCH('Category Dictionary'!$D$5:$D$135&amp;"",$C3932)),--('Category Dictionary'!$D$5:$D$135&lt;&gt;"")))</f>
        <v/>
      </c>
      <c r="L3932" s="27">
        <f>IF($A3932="","",TRIM(IF(ISERROR(FIND(",",$C3932)),$C3932,LEFT($C3932,FIND(",",$C3932)-1))))</f>
        <v/>
      </c>
      <c r="M3932" s="28">
        <f>IF($H3932="","",DATE(YEAR($H3932),MONTH($H3932),1))</f>
        <v/>
      </c>
      <c r="N3932" s="26">
        <f>IF($H3932="","",TODAY()-$H3932)</f>
        <v/>
      </c>
      <c r="O3932" s="15" t="n"/>
      <c r="P3932" s="15" t="n"/>
      <c r="Q3932" s="15" t="n"/>
      <c r="R3932" s="25" t="n"/>
      <c r="S3932" s="26">
        <f>IF($A3932="","",AND(OR('Assignment Builder'!$B$5="",$B3932='Assignment Builder'!$B$5),OR('Assignment Builder'!$B$6="",ISNUMBER(SEARCH('Assignment Builder'!$B$6,$C3932))),OR('Assignment Builder'!$B$7="",'Assignment Builder'!$B$7=IFERROR(INDEX('Category Dictionary'!$C$5:$C$135,MATCH($L3932,'Category Dictionary'!$D$5:$D$135,0)),"")),OR('Assignment Builder'!$B$8="",$D3932='Assignment Builder'!$B$8),OR('Assignment Builder'!$B$9="",$F3932='Assignment Builder'!$B$9),OR('Assignment Builder'!$B$10="",$O3932='Assignment Builder'!$B$10),OR('Assignment Builder'!$B$11="",$H3932&gt;='Assignment Builder'!$B$11),OR('Assignment Builder'!$B$12="",N($Q3932)&lt;='Assignment Builder'!$B$12)))</f>
        <v/>
      </c>
      <c r="T3932" s="23" t="n"/>
    </row>
    <row r="3933">
      <c r="A3933" s="23" t="n"/>
      <c r="B3933" s="23" t="n"/>
      <c r="C3933" s="24" t="n"/>
      <c r="D3933" s="15" t="n"/>
      <c r="E3933" s="23" t="n"/>
      <c r="F3933" s="15" t="n"/>
      <c r="G3933" s="23" t="n"/>
      <c r="H3933" s="25" t="n"/>
      <c r="I3933" s="15" t="n"/>
      <c r="J3933" s="26">
        <f>IF($A3933="","",LEN($C3933)-LEN(SUBSTITUTE($C3933,",",""))+1)</f>
        <v/>
      </c>
      <c r="K3933" s="26">
        <f>IF($A3933="","",SUMPRODUCT(--ISNUMBER(SEARCH('Category Dictionary'!$D$5:$D$135&amp;"",$C3933)),--('Category Dictionary'!$D$5:$D$135&lt;&gt;"")))</f>
        <v/>
      </c>
      <c r="L3933" s="27">
        <f>IF($A3933="","",TRIM(IF(ISERROR(FIND(",",$C3933)),$C3933,LEFT($C3933,FIND(",",$C3933)-1))))</f>
        <v/>
      </c>
      <c r="M3933" s="28">
        <f>IF($H3933="","",DATE(YEAR($H3933),MONTH($H3933),1))</f>
        <v/>
      </c>
      <c r="N3933" s="26">
        <f>IF($H3933="","",TODAY()-$H3933)</f>
        <v/>
      </c>
      <c r="O3933" s="15" t="n"/>
      <c r="P3933" s="15" t="n"/>
      <c r="Q3933" s="15" t="n"/>
      <c r="R3933" s="25" t="n"/>
      <c r="S3933" s="26">
        <f>IF($A3933="","",AND(OR('Assignment Builder'!$B$5="",$B3933='Assignment Builder'!$B$5),OR('Assignment Builder'!$B$6="",ISNUMBER(SEARCH('Assignment Builder'!$B$6,$C3933))),OR('Assignment Builder'!$B$7="",'Assignment Builder'!$B$7=IFERROR(INDEX('Category Dictionary'!$C$5:$C$135,MATCH($L3933,'Category Dictionary'!$D$5:$D$135,0)),"")),OR('Assignment Builder'!$B$8="",$D3933='Assignment Builder'!$B$8),OR('Assignment Builder'!$B$9="",$F3933='Assignment Builder'!$B$9),OR('Assignment Builder'!$B$10="",$O3933='Assignment Builder'!$B$10),OR('Assignment Builder'!$B$11="",$H3933&gt;='Assignment Builder'!$B$11),OR('Assignment Builder'!$B$12="",N($Q3933)&lt;='Assignment Builder'!$B$12)))</f>
        <v/>
      </c>
      <c r="T3933" s="23" t="n"/>
    </row>
    <row r="3934">
      <c r="A3934" s="23" t="n"/>
      <c r="B3934" s="23" t="n"/>
      <c r="C3934" s="24" t="n"/>
      <c r="D3934" s="15" t="n"/>
      <c r="E3934" s="23" t="n"/>
      <c r="F3934" s="15" t="n"/>
      <c r="G3934" s="23" t="n"/>
      <c r="H3934" s="25" t="n"/>
      <c r="I3934" s="15" t="n"/>
      <c r="J3934" s="26">
        <f>IF($A3934="","",LEN($C3934)-LEN(SUBSTITUTE($C3934,",",""))+1)</f>
        <v/>
      </c>
      <c r="K3934" s="26">
        <f>IF($A3934="","",SUMPRODUCT(--ISNUMBER(SEARCH('Category Dictionary'!$D$5:$D$135&amp;"",$C3934)),--('Category Dictionary'!$D$5:$D$135&lt;&gt;"")))</f>
        <v/>
      </c>
      <c r="L3934" s="27">
        <f>IF($A3934="","",TRIM(IF(ISERROR(FIND(",",$C3934)),$C3934,LEFT($C3934,FIND(",",$C3934)-1))))</f>
        <v/>
      </c>
      <c r="M3934" s="28">
        <f>IF($H3934="","",DATE(YEAR($H3934),MONTH($H3934),1))</f>
        <v/>
      </c>
      <c r="N3934" s="26">
        <f>IF($H3934="","",TODAY()-$H3934)</f>
        <v/>
      </c>
      <c r="O3934" s="15" t="n"/>
      <c r="P3934" s="15" t="n"/>
      <c r="Q3934" s="15" t="n"/>
      <c r="R3934" s="25" t="n"/>
      <c r="S3934" s="26">
        <f>IF($A3934="","",AND(OR('Assignment Builder'!$B$5="",$B3934='Assignment Builder'!$B$5),OR('Assignment Builder'!$B$6="",ISNUMBER(SEARCH('Assignment Builder'!$B$6,$C3934))),OR('Assignment Builder'!$B$7="",'Assignment Builder'!$B$7=IFERROR(INDEX('Category Dictionary'!$C$5:$C$135,MATCH($L3934,'Category Dictionary'!$D$5:$D$135,0)),"")),OR('Assignment Builder'!$B$8="",$D3934='Assignment Builder'!$B$8),OR('Assignment Builder'!$B$9="",$F3934='Assignment Builder'!$B$9),OR('Assignment Builder'!$B$10="",$O3934='Assignment Builder'!$B$10),OR('Assignment Builder'!$B$11="",$H3934&gt;='Assignment Builder'!$B$11),OR('Assignment Builder'!$B$12="",N($Q3934)&lt;='Assignment Builder'!$B$12)))</f>
        <v/>
      </c>
      <c r="T3934" s="23" t="n"/>
    </row>
    <row r="3935">
      <c r="A3935" s="23" t="n"/>
      <c r="B3935" s="23" t="n"/>
      <c r="C3935" s="24" t="n"/>
      <c r="D3935" s="15" t="n"/>
      <c r="E3935" s="23" t="n"/>
      <c r="F3935" s="15" t="n"/>
      <c r="G3935" s="23" t="n"/>
      <c r="H3935" s="25" t="n"/>
      <c r="I3935" s="15" t="n"/>
      <c r="J3935" s="26">
        <f>IF($A3935="","",LEN($C3935)-LEN(SUBSTITUTE($C3935,",",""))+1)</f>
        <v/>
      </c>
      <c r="K3935" s="26">
        <f>IF($A3935="","",SUMPRODUCT(--ISNUMBER(SEARCH('Category Dictionary'!$D$5:$D$135&amp;"",$C3935)),--('Category Dictionary'!$D$5:$D$135&lt;&gt;"")))</f>
        <v/>
      </c>
      <c r="L3935" s="27">
        <f>IF($A3935="","",TRIM(IF(ISERROR(FIND(",",$C3935)),$C3935,LEFT($C3935,FIND(",",$C3935)-1))))</f>
        <v/>
      </c>
      <c r="M3935" s="28">
        <f>IF($H3935="","",DATE(YEAR($H3935),MONTH($H3935),1))</f>
        <v/>
      </c>
      <c r="N3935" s="26">
        <f>IF($H3935="","",TODAY()-$H3935)</f>
        <v/>
      </c>
      <c r="O3935" s="15" t="n"/>
      <c r="P3935" s="15" t="n"/>
      <c r="Q3935" s="15" t="n"/>
      <c r="R3935" s="25" t="n"/>
      <c r="S3935" s="26">
        <f>IF($A3935="","",AND(OR('Assignment Builder'!$B$5="",$B3935='Assignment Builder'!$B$5),OR('Assignment Builder'!$B$6="",ISNUMBER(SEARCH('Assignment Builder'!$B$6,$C3935))),OR('Assignment Builder'!$B$7="",'Assignment Builder'!$B$7=IFERROR(INDEX('Category Dictionary'!$C$5:$C$135,MATCH($L3935,'Category Dictionary'!$D$5:$D$135,0)),"")),OR('Assignment Builder'!$B$8="",$D3935='Assignment Builder'!$B$8),OR('Assignment Builder'!$B$9="",$F3935='Assignment Builder'!$B$9),OR('Assignment Builder'!$B$10="",$O3935='Assignment Builder'!$B$10),OR('Assignment Builder'!$B$11="",$H3935&gt;='Assignment Builder'!$B$11),OR('Assignment Builder'!$B$12="",N($Q3935)&lt;='Assignment Builder'!$B$12)))</f>
        <v/>
      </c>
      <c r="T3935" s="23" t="n"/>
    </row>
    <row r="3936">
      <c r="A3936" s="23" t="n"/>
      <c r="B3936" s="23" t="n"/>
      <c r="C3936" s="24" t="n"/>
      <c r="D3936" s="15" t="n"/>
      <c r="E3936" s="23" t="n"/>
      <c r="F3936" s="15" t="n"/>
      <c r="G3936" s="23" t="n"/>
      <c r="H3936" s="25" t="n"/>
      <c r="I3936" s="15" t="n"/>
      <c r="J3936" s="26">
        <f>IF($A3936="","",LEN($C3936)-LEN(SUBSTITUTE($C3936,",",""))+1)</f>
        <v/>
      </c>
      <c r="K3936" s="26">
        <f>IF($A3936="","",SUMPRODUCT(--ISNUMBER(SEARCH('Category Dictionary'!$D$5:$D$135&amp;"",$C3936)),--('Category Dictionary'!$D$5:$D$135&lt;&gt;"")))</f>
        <v/>
      </c>
      <c r="L3936" s="27">
        <f>IF($A3936="","",TRIM(IF(ISERROR(FIND(",",$C3936)),$C3936,LEFT($C3936,FIND(",",$C3936)-1))))</f>
        <v/>
      </c>
      <c r="M3936" s="28">
        <f>IF($H3936="","",DATE(YEAR($H3936),MONTH($H3936),1))</f>
        <v/>
      </c>
      <c r="N3936" s="26">
        <f>IF($H3936="","",TODAY()-$H3936)</f>
        <v/>
      </c>
      <c r="O3936" s="15" t="n"/>
      <c r="P3936" s="15" t="n"/>
      <c r="Q3936" s="15" t="n"/>
      <c r="R3936" s="25" t="n"/>
      <c r="S3936" s="26">
        <f>IF($A3936="","",AND(OR('Assignment Builder'!$B$5="",$B3936='Assignment Builder'!$B$5),OR('Assignment Builder'!$B$6="",ISNUMBER(SEARCH('Assignment Builder'!$B$6,$C3936))),OR('Assignment Builder'!$B$7="",'Assignment Builder'!$B$7=IFERROR(INDEX('Category Dictionary'!$C$5:$C$135,MATCH($L3936,'Category Dictionary'!$D$5:$D$135,0)),"")),OR('Assignment Builder'!$B$8="",$D3936='Assignment Builder'!$B$8),OR('Assignment Builder'!$B$9="",$F3936='Assignment Builder'!$B$9),OR('Assignment Builder'!$B$10="",$O3936='Assignment Builder'!$B$10),OR('Assignment Builder'!$B$11="",$H3936&gt;='Assignment Builder'!$B$11),OR('Assignment Builder'!$B$12="",N($Q3936)&lt;='Assignment Builder'!$B$12)))</f>
        <v/>
      </c>
      <c r="T3936" s="23" t="n"/>
    </row>
    <row r="3937">
      <c r="A3937" s="23" t="n"/>
      <c r="B3937" s="23" t="n"/>
      <c r="C3937" s="24" t="n"/>
      <c r="D3937" s="15" t="n"/>
      <c r="E3937" s="23" t="n"/>
      <c r="F3937" s="15" t="n"/>
      <c r="G3937" s="23" t="n"/>
      <c r="H3937" s="25" t="n"/>
      <c r="I3937" s="15" t="n"/>
      <c r="J3937" s="26">
        <f>IF($A3937="","",LEN($C3937)-LEN(SUBSTITUTE($C3937,",",""))+1)</f>
        <v/>
      </c>
      <c r="K3937" s="26">
        <f>IF($A3937="","",SUMPRODUCT(--ISNUMBER(SEARCH('Category Dictionary'!$D$5:$D$135&amp;"",$C3937)),--('Category Dictionary'!$D$5:$D$135&lt;&gt;"")))</f>
        <v/>
      </c>
      <c r="L3937" s="27">
        <f>IF($A3937="","",TRIM(IF(ISERROR(FIND(",",$C3937)),$C3937,LEFT($C3937,FIND(",",$C3937)-1))))</f>
        <v/>
      </c>
      <c r="M3937" s="28">
        <f>IF($H3937="","",DATE(YEAR($H3937),MONTH($H3937),1))</f>
        <v/>
      </c>
      <c r="N3937" s="26">
        <f>IF($H3937="","",TODAY()-$H3937)</f>
        <v/>
      </c>
      <c r="O3937" s="15" t="n"/>
      <c r="P3937" s="15" t="n"/>
      <c r="Q3937" s="15" t="n"/>
      <c r="R3937" s="25" t="n"/>
      <c r="S3937" s="26">
        <f>IF($A3937="","",AND(OR('Assignment Builder'!$B$5="",$B3937='Assignment Builder'!$B$5),OR('Assignment Builder'!$B$6="",ISNUMBER(SEARCH('Assignment Builder'!$B$6,$C3937))),OR('Assignment Builder'!$B$7="",'Assignment Builder'!$B$7=IFERROR(INDEX('Category Dictionary'!$C$5:$C$135,MATCH($L3937,'Category Dictionary'!$D$5:$D$135,0)),"")),OR('Assignment Builder'!$B$8="",$D3937='Assignment Builder'!$B$8),OR('Assignment Builder'!$B$9="",$F3937='Assignment Builder'!$B$9),OR('Assignment Builder'!$B$10="",$O3937='Assignment Builder'!$B$10),OR('Assignment Builder'!$B$11="",$H3937&gt;='Assignment Builder'!$B$11),OR('Assignment Builder'!$B$12="",N($Q3937)&lt;='Assignment Builder'!$B$12)))</f>
        <v/>
      </c>
      <c r="T3937" s="23" t="n"/>
    </row>
    <row r="3938">
      <c r="A3938" s="23" t="n"/>
      <c r="B3938" s="23" t="n"/>
      <c r="C3938" s="24" t="n"/>
      <c r="D3938" s="15" t="n"/>
      <c r="E3938" s="23" t="n"/>
      <c r="F3938" s="15" t="n"/>
      <c r="G3938" s="23" t="n"/>
      <c r="H3938" s="25" t="n"/>
      <c r="I3938" s="15" t="n"/>
      <c r="J3938" s="26">
        <f>IF($A3938="","",LEN($C3938)-LEN(SUBSTITUTE($C3938,",",""))+1)</f>
        <v/>
      </c>
      <c r="K3938" s="26">
        <f>IF($A3938="","",SUMPRODUCT(--ISNUMBER(SEARCH('Category Dictionary'!$D$5:$D$135&amp;"",$C3938)),--('Category Dictionary'!$D$5:$D$135&lt;&gt;"")))</f>
        <v/>
      </c>
      <c r="L3938" s="27">
        <f>IF($A3938="","",TRIM(IF(ISERROR(FIND(",",$C3938)),$C3938,LEFT($C3938,FIND(",",$C3938)-1))))</f>
        <v/>
      </c>
      <c r="M3938" s="28">
        <f>IF($H3938="","",DATE(YEAR($H3938),MONTH($H3938),1))</f>
        <v/>
      </c>
      <c r="N3938" s="26">
        <f>IF($H3938="","",TODAY()-$H3938)</f>
        <v/>
      </c>
      <c r="O3938" s="15" t="n"/>
      <c r="P3938" s="15" t="n"/>
      <c r="Q3938" s="15" t="n"/>
      <c r="R3938" s="25" t="n"/>
      <c r="S3938" s="26">
        <f>IF($A3938="","",AND(OR('Assignment Builder'!$B$5="",$B3938='Assignment Builder'!$B$5),OR('Assignment Builder'!$B$6="",ISNUMBER(SEARCH('Assignment Builder'!$B$6,$C3938))),OR('Assignment Builder'!$B$7="",'Assignment Builder'!$B$7=IFERROR(INDEX('Category Dictionary'!$C$5:$C$135,MATCH($L3938,'Category Dictionary'!$D$5:$D$135,0)),"")),OR('Assignment Builder'!$B$8="",$D3938='Assignment Builder'!$B$8),OR('Assignment Builder'!$B$9="",$F3938='Assignment Builder'!$B$9),OR('Assignment Builder'!$B$10="",$O3938='Assignment Builder'!$B$10),OR('Assignment Builder'!$B$11="",$H3938&gt;='Assignment Builder'!$B$11),OR('Assignment Builder'!$B$12="",N($Q3938)&lt;='Assignment Builder'!$B$12)))</f>
        <v/>
      </c>
      <c r="T3938" s="23" t="n"/>
    </row>
    <row r="3939">
      <c r="A3939" s="23" t="n"/>
      <c r="B3939" s="23" t="n"/>
      <c r="C3939" s="24" t="n"/>
      <c r="D3939" s="15" t="n"/>
      <c r="E3939" s="23" t="n"/>
      <c r="F3939" s="15" t="n"/>
      <c r="G3939" s="23" t="n"/>
      <c r="H3939" s="25" t="n"/>
      <c r="I3939" s="15" t="n"/>
      <c r="J3939" s="26">
        <f>IF($A3939="","",LEN($C3939)-LEN(SUBSTITUTE($C3939,",",""))+1)</f>
        <v/>
      </c>
      <c r="K3939" s="26">
        <f>IF($A3939="","",SUMPRODUCT(--ISNUMBER(SEARCH('Category Dictionary'!$D$5:$D$135&amp;"",$C3939)),--('Category Dictionary'!$D$5:$D$135&lt;&gt;"")))</f>
        <v/>
      </c>
      <c r="L3939" s="27">
        <f>IF($A3939="","",TRIM(IF(ISERROR(FIND(",",$C3939)),$C3939,LEFT($C3939,FIND(",",$C3939)-1))))</f>
        <v/>
      </c>
      <c r="M3939" s="28">
        <f>IF($H3939="","",DATE(YEAR($H3939),MONTH($H3939),1))</f>
        <v/>
      </c>
      <c r="N3939" s="26">
        <f>IF($H3939="","",TODAY()-$H3939)</f>
        <v/>
      </c>
      <c r="O3939" s="15" t="n"/>
      <c r="P3939" s="15" t="n"/>
      <c r="Q3939" s="15" t="n"/>
      <c r="R3939" s="25" t="n"/>
      <c r="S3939" s="26">
        <f>IF($A3939="","",AND(OR('Assignment Builder'!$B$5="",$B3939='Assignment Builder'!$B$5),OR('Assignment Builder'!$B$6="",ISNUMBER(SEARCH('Assignment Builder'!$B$6,$C3939))),OR('Assignment Builder'!$B$7="",'Assignment Builder'!$B$7=IFERROR(INDEX('Category Dictionary'!$C$5:$C$135,MATCH($L3939,'Category Dictionary'!$D$5:$D$135,0)),"")),OR('Assignment Builder'!$B$8="",$D3939='Assignment Builder'!$B$8),OR('Assignment Builder'!$B$9="",$F3939='Assignment Builder'!$B$9),OR('Assignment Builder'!$B$10="",$O3939='Assignment Builder'!$B$10),OR('Assignment Builder'!$B$11="",$H3939&gt;='Assignment Builder'!$B$11),OR('Assignment Builder'!$B$12="",N($Q3939)&lt;='Assignment Builder'!$B$12)))</f>
        <v/>
      </c>
      <c r="T3939" s="23" t="n"/>
    </row>
    <row r="3940">
      <c r="A3940" s="23" t="n"/>
      <c r="B3940" s="23" t="n"/>
      <c r="C3940" s="24" t="n"/>
      <c r="D3940" s="15" t="n"/>
      <c r="E3940" s="23" t="n"/>
      <c r="F3940" s="15" t="n"/>
      <c r="G3940" s="23" t="n"/>
      <c r="H3940" s="25" t="n"/>
      <c r="I3940" s="15" t="n"/>
      <c r="J3940" s="26">
        <f>IF($A3940="","",LEN($C3940)-LEN(SUBSTITUTE($C3940,",",""))+1)</f>
        <v/>
      </c>
      <c r="K3940" s="26">
        <f>IF($A3940="","",SUMPRODUCT(--ISNUMBER(SEARCH('Category Dictionary'!$D$5:$D$135&amp;"",$C3940)),--('Category Dictionary'!$D$5:$D$135&lt;&gt;"")))</f>
        <v/>
      </c>
      <c r="L3940" s="27">
        <f>IF($A3940="","",TRIM(IF(ISERROR(FIND(",",$C3940)),$C3940,LEFT($C3940,FIND(",",$C3940)-1))))</f>
        <v/>
      </c>
      <c r="M3940" s="28">
        <f>IF($H3940="","",DATE(YEAR($H3940),MONTH($H3940),1))</f>
        <v/>
      </c>
      <c r="N3940" s="26">
        <f>IF($H3940="","",TODAY()-$H3940)</f>
        <v/>
      </c>
      <c r="O3940" s="15" t="n"/>
      <c r="P3940" s="15" t="n"/>
      <c r="Q3940" s="15" t="n"/>
      <c r="R3940" s="25" t="n"/>
      <c r="S3940" s="26">
        <f>IF($A3940="","",AND(OR('Assignment Builder'!$B$5="",$B3940='Assignment Builder'!$B$5),OR('Assignment Builder'!$B$6="",ISNUMBER(SEARCH('Assignment Builder'!$B$6,$C3940))),OR('Assignment Builder'!$B$7="",'Assignment Builder'!$B$7=IFERROR(INDEX('Category Dictionary'!$C$5:$C$135,MATCH($L3940,'Category Dictionary'!$D$5:$D$135,0)),"")),OR('Assignment Builder'!$B$8="",$D3940='Assignment Builder'!$B$8),OR('Assignment Builder'!$B$9="",$F3940='Assignment Builder'!$B$9),OR('Assignment Builder'!$B$10="",$O3940='Assignment Builder'!$B$10),OR('Assignment Builder'!$B$11="",$H3940&gt;='Assignment Builder'!$B$11),OR('Assignment Builder'!$B$12="",N($Q3940)&lt;='Assignment Builder'!$B$12)))</f>
        <v/>
      </c>
      <c r="T3940" s="23" t="n"/>
    </row>
    <row r="3941">
      <c r="A3941" s="23" t="n"/>
      <c r="B3941" s="23" t="n"/>
      <c r="C3941" s="24" t="n"/>
      <c r="D3941" s="15" t="n"/>
      <c r="E3941" s="23" t="n"/>
      <c r="F3941" s="15" t="n"/>
      <c r="G3941" s="23" t="n"/>
      <c r="H3941" s="25" t="n"/>
      <c r="I3941" s="15" t="n"/>
      <c r="J3941" s="26">
        <f>IF($A3941="","",LEN($C3941)-LEN(SUBSTITUTE($C3941,",",""))+1)</f>
        <v/>
      </c>
      <c r="K3941" s="26">
        <f>IF($A3941="","",SUMPRODUCT(--ISNUMBER(SEARCH('Category Dictionary'!$D$5:$D$135&amp;"",$C3941)),--('Category Dictionary'!$D$5:$D$135&lt;&gt;"")))</f>
        <v/>
      </c>
      <c r="L3941" s="27">
        <f>IF($A3941="","",TRIM(IF(ISERROR(FIND(",",$C3941)),$C3941,LEFT($C3941,FIND(",",$C3941)-1))))</f>
        <v/>
      </c>
      <c r="M3941" s="28">
        <f>IF($H3941="","",DATE(YEAR($H3941),MONTH($H3941),1))</f>
        <v/>
      </c>
      <c r="N3941" s="26">
        <f>IF($H3941="","",TODAY()-$H3941)</f>
        <v/>
      </c>
      <c r="O3941" s="15" t="n"/>
      <c r="P3941" s="15" t="n"/>
      <c r="Q3941" s="15" t="n"/>
      <c r="R3941" s="25" t="n"/>
      <c r="S3941" s="26">
        <f>IF($A3941="","",AND(OR('Assignment Builder'!$B$5="",$B3941='Assignment Builder'!$B$5),OR('Assignment Builder'!$B$6="",ISNUMBER(SEARCH('Assignment Builder'!$B$6,$C3941))),OR('Assignment Builder'!$B$7="",'Assignment Builder'!$B$7=IFERROR(INDEX('Category Dictionary'!$C$5:$C$135,MATCH($L3941,'Category Dictionary'!$D$5:$D$135,0)),"")),OR('Assignment Builder'!$B$8="",$D3941='Assignment Builder'!$B$8),OR('Assignment Builder'!$B$9="",$F3941='Assignment Builder'!$B$9),OR('Assignment Builder'!$B$10="",$O3941='Assignment Builder'!$B$10),OR('Assignment Builder'!$B$11="",$H3941&gt;='Assignment Builder'!$B$11),OR('Assignment Builder'!$B$12="",N($Q3941)&lt;='Assignment Builder'!$B$12)))</f>
        <v/>
      </c>
      <c r="T3941" s="23" t="n"/>
    </row>
    <row r="3942">
      <c r="A3942" s="23" t="n"/>
      <c r="B3942" s="23" t="n"/>
      <c r="C3942" s="24" t="n"/>
      <c r="D3942" s="15" t="n"/>
      <c r="E3942" s="23" t="n"/>
      <c r="F3942" s="15" t="n"/>
      <c r="G3942" s="23" t="n"/>
      <c r="H3942" s="25" t="n"/>
      <c r="I3942" s="15" t="n"/>
      <c r="J3942" s="26">
        <f>IF($A3942="","",LEN($C3942)-LEN(SUBSTITUTE($C3942,",",""))+1)</f>
        <v/>
      </c>
      <c r="K3942" s="26">
        <f>IF($A3942="","",SUMPRODUCT(--ISNUMBER(SEARCH('Category Dictionary'!$D$5:$D$135&amp;"",$C3942)),--('Category Dictionary'!$D$5:$D$135&lt;&gt;"")))</f>
        <v/>
      </c>
      <c r="L3942" s="27">
        <f>IF($A3942="","",TRIM(IF(ISERROR(FIND(",",$C3942)),$C3942,LEFT($C3942,FIND(",",$C3942)-1))))</f>
        <v/>
      </c>
      <c r="M3942" s="28">
        <f>IF($H3942="","",DATE(YEAR($H3942),MONTH($H3942),1))</f>
        <v/>
      </c>
      <c r="N3942" s="26">
        <f>IF($H3942="","",TODAY()-$H3942)</f>
        <v/>
      </c>
      <c r="O3942" s="15" t="n"/>
      <c r="P3942" s="15" t="n"/>
      <c r="Q3942" s="15" t="n"/>
      <c r="R3942" s="25" t="n"/>
      <c r="S3942" s="26">
        <f>IF($A3942="","",AND(OR('Assignment Builder'!$B$5="",$B3942='Assignment Builder'!$B$5),OR('Assignment Builder'!$B$6="",ISNUMBER(SEARCH('Assignment Builder'!$B$6,$C3942))),OR('Assignment Builder'!$B$7="",'Assignment Builder'!$B$7=IFERROR(INDEX('Category Dictionary'!$C$5:$C$135,MATCH($L3942,'Category Dictionary'!$D$5:$D$135,0)),"")),OR('Assignment Builder'!$B$8="",$D3942='Assignment Builder'!$B$8),OR('Assignment Builder'!$B$9="",$F3942='Assignment Builder'!$B$9),OR('Assignment Builder'!$B$10="",$O3942='Assignment Builder'!$B$10),OR('Assignment Builder'!$B$11="",$H3942&gt;='Assignment Builder'!$B$11),OR('Assignment Builder'!$B$12="",N($Q3942)&lt;='Assignment Builder'!$B$12)))</f>
        <v/>
      </c>
      <c r="T3942" s="23" t="n"/>
    </row>
    <row r="3943">
      <c r="A3943" s="23" t="n"/>
      <c r="B3943" s="23" t="n"/>
      <c r="C3943" s="24" t="n"/>
      <c r="D3943" s="15" t="n"/>
      <c r="E3943" s="23" t="n"/>
      <c r="F3943" s="15" t="n"/>
      <c r="G3943" s="23" t="n"/>
      <c r="H3943" s="25" t="n"/>
      <c r="I3943" s="15" t="n"/>
      <c r="J3943" s="26">
        <f>IF($A3943="","",LEN($C3943)-LEN(SUBSTITUTE($C3943,",",""))+1)</f>
        <v/>
      </c>
      <c r="K3943" s="26">
        <f>IF($A3943="","",SUMPRODUCT(--ISNUMBER(SEARCH('Category Dictionary'!$D$5:$D$135&amp;"",$C3943)),--('Category Dictionary'!$D$5:$D$135&lt;&gt;"")))</f>
        <v/>
      </c>
      <c r="L3943" s="27">
        <f>IF($A3943="","",TRIM(IF(ISERROR(FIND(",",$C3943)),$C3943,LEFT($C3943,FIND(",",$C3943)-1))))</f>
        <v/>
      </c>
      <c r="M3943" s="28">
        <f>IF($H3943="","",DATE(YEAR($H3943),MONTH($H3943),1))</f>
        <v/>
      </c>
      <c r="N3943" s="26">
        <f>IF($H3943="","",TODAY()-$H3943)</f>
        <v/>
      </c>
      <c r="O3943" s="15" t="n"/>
      <c r="P3943" s="15" t="n"/>
      <c r="Q3943" s="15" t="n"/>
      <c r="R3943" s="25" t="n"/>
      <c r="S3943" s="26">
        <f>IF($A3943="","",AND(OR('Assignment Builder'!$B$5="",$B3943='Assignment Builder'!$B$5),OR('Assignment Builder'!$B$6="",ISNUMBER(SEARCH('Assignment Builder'!$B$6,$C3943))),OR('Assignment Builder'!$B$7="",'Assignment Builder'!$B$7=IFERROR(INDEX('Category Dictionary'!$C$5:$C$135,MATCH($L3943,'Category Dictionary'!$D$5:$D$135,0)),"")),OR('Assignment Builder'!$B$8="",$D3943='Assignment Builder'!$B$8),OR('Assignment Builder'!$B$9="",$F3943='Assignment Builder'!$B$9),OR('Assignment Builder'!$B$10="",$O3943='Assignment Builder'!$B$10),OR('Assignment Builder'!$B$11="",$H3943&gt;='Assignment Builder'!$B$11),OR('Assignment Builder'!$B$12="",N($Q3943)&lt;='Assignment Builder'!$B$12)))</f>
        <v/>
      </c>
      <c r="T3943" s="23" t="n"/>
    </row>
    <row r="3944">
      <c r="A3944" s="23" t="n"/>
      <c r="B3944" s="23" t="n"/>
      <c r="C3944" s="24" t="n"/>
      <c r="D3944" s="15" t="n"/>
      <c r="E3944" s="23" t="n"/>
      <c r="F3944" s="15" t="n"/>
      <c r="G3944" s="23" t="n"/>
      <c r="H3944" s="25" t="n"/>
      <c r="I3944" s="15" t="n"/>
      <c r="J3944" s="26">
        <f>IF($A3944="","",LEN($C3944)-LEN(SUBSTITUTE($C3944,",",""))+1)</f>
        <v/>
      </c>
      <c r="K3944" s="26">
        <f>IF($A3944="","",SUMPRODUCT(--ISNUMBER(SEARCH('Category Dictionary'!$D$5:$D$135&amp;"",$C3944)),--('Category Dictionary'!$D$5:$D$135&lt;&gt;"")))</f>
        <v/>
      </c>
      <c r="L3944" s="27">
        <f>IF($A3944="","",TRIM(IF(ISERROR(FIND(",",$C3944)),$C3944,LEFT($C3944,FIND(",",$C3944)-1))))</f>
        <v/>
      </c>
      <c r="M3944" s="28">
        <f>IF($H3944="","",DATE(YEAR($H3944),MONTH($H3944),1))</f>
        <v/>
      </c>
      <c r="N3944" s="26">
        <f>IF($H3944="","",TODAY()-$H3944)</f>
        <v/>
      </c>
      <c r="O3944" s="15" t="n"/>
      <c r="P3944" s="15" t="n"/>
      <c r="Q3944" s="15" t="n"/>
      <c r="R3944" s="25" t="n"/>
      <c r="S3944" s="26">
        <f>IF($A3944="","",AND(OR('Assignment Builder'!$B$5="",$B3944='Assignment Builder'!$B$5),OR('Assignment Builder'!$B$6="",ISNUMBER(SEARCH('Assignment Builder'!$B$6,$C3944))),OR('Assignment Builder'!$B$7="",'Assignment Builder'!$B$7=IFERROR(INDEX('Category Dictionary'!$C$5:$C$135,MATCH($L3944,'Category Dictionary'!$D$5:$D$135,0)),"")),OR('Assignment Builder'!$B$8="",$D3944='Assignment Builder'!$B$8),OR('Assignment Builder'!$B$9="",$F3944='Assignment Builder'!$B$9),OR('Assignment Builder'!$B$10="",$O3944='Assignment Builder'!$B$10),OR('Assignment Builder'!$B$11="",$H3944&gt;='Assignment Builder'!$B$11),OR('Assignment Builder'!$B$12="",N($Q3944)&lt;='Assignment Builder'!$B$12)))</f>
        <v/>
      </c>
      <c r="T3944" s="23" t="n"/>
    </row>
    <row r="3945">
      <c r="A3945" s="23" t="n"/>
      <c r="B3945" s="23" t="n"/>
      <c r="C3945" s="24" t="n"/>
      <c r="D3945" s="15" t="n"/>
      <c r="E3945" s="23" t="n"/>
      <c r="F3945" s="15" t="n"/>
      <c r="G3945" s="23" t="n"/>
      <c r="H3945" s="25" t="n"/>
      <c r="I3945" s="15" t="n"/>
      <c r="J3945" s="26">
        <f>IF($A3945="","",LEN($C3945)-LEN(SUBSTITUTE($C3945,",",""))+1)</f>
        <v/>
      </c>
      <c r="K3945" s="26">
        <f>IF($A3945="","",SUMPRODUCT(--ISNUMBER(SEARCH('Category Dictionary'!$D$5:$D$135&amp;"",$C3945)),--('Category Dictionary'!$D$5:$D$135&lt;&gt;"")))</f>
        <v/>
      </c>
      <c r="L3945" s="27">
        <f>IF($A3945="","",TRIM(IF(ISERROR(FIND(",",$C3945)),$C3945,LEFT($C3945,FIND(",",$C3945)-1))))</f>
        <v/>
      </c>
      <c r="M3945" s="28">
        <f>IF($H3945="","",DATE(YEAR($H3945),MONTH($H3945),1))</f>
        <v/>
      </c>
      <c r="N3945" s="26">
        <f>IF($H3945="","",TODAY()-$H3945)</f>
        <v/>
      </c>
      <c r="O3945" s="15" t="n"/>
      <c r="P3945" s="15" t="n"/>
      <c r="Q3945" s="15" t="n"/>
      <c r="R3945" s="25" t="n"/>
      <c r="S3945" s="26">
        <f>IF($A3945="","",AND(OR('Assignment Builder'!$B$5="",$B3945='Assignment Builder'!$B$5),OR('Assignment Builder'!$B$6="",ISNUMBER(SEARCH('Assignment Builder'!$B$6,$C3945))),OR('Assignment Builder'!$B$7="",'Assignment Builder'!$B$7=IFERROR(INDEX('Category Dictionary'!$C$5:$C$135,MATCH($L3945,'Category Dictionary'!$D$5:$D$135,0)),"")),OR('Assignment Builder'!$B$8="",$D3945='Assignment Builder'!$B$8),OR('Assignment Builder'!$B$9="",$F3945='Assignment Builder'!$B$9),OR('Assignment Builder'!$B$10="",$O3945='Assignment Builder'!$B$10),OR('Assignment Builder'!$B$11="",$H3945&gt;='Assignment Builder'!$B$11),OR('Assignment Builder'!$B$12="",N($Q3945)&lt;='Assignment Builder'!$B$12)))</f>
        <v/>
      </c>
      <c r="T3945" s="23" t="n"/>
    </row>
    <row r="3946">
      <c r="A3946" s="23" t="n"/>
      <c r="B3946" s="23" t="n"/>
      <c r="C3946" s="24" t="n"/>
      <c r="D3946" s="15" t="n"/>
      <c r="E3946" s="23" t="n"/>
      <c r="F3946" s="15" t="n"/>
      <c r="G3946" s="23" t="n"/>
      <c r="H3946" s="25" t="n"/>
      <c r="I3946" s="15" t="n"/>
      <c r="J3946" s="26">
        <f>IF($A3946="","",LEN($C3946)-LEN(SUBSTITUTE($C3946,",",""))+1)</f>
        <v/>
      </c>
      <c r="K3946" s="26">
        <f>IF($A3946="","",SUMPRODUCT(--ISNUMBER(SEARCH('Category Dictionary'!$D$5:$D$135&amp;"",$C3946)),--('Category Dictionary'!$D$5:$D$135&lt;&gt;"")))</f>
        <v/>
      </c>
      <c r="L3946" s="27">
        <f>IF($A3946="","",TRIM(IF(ISERROR(FIND(",",$C3946)),$C3946,LEFT($C3946,FIND(",",$C3946)-1))))</f>
        <v/>
      </c>
      <c r="M3946" s="28">
        <f>IF($H3946="","",DATE(YEAR($H3946),MONTH($H3946),1))</f>
        <v/>
      </c>
      <c r="N3946" s="26">
        <f>IF($H3946="","",TODAY()-$H3946)</f>
        <v/>
      </c>
      <c r="O3946" s="15" t="n"/>
      <c r="P3946" s="15" t="n"/>
      <c r="Q3946" s="15" t="n"/>
      <c r="R3946" s="25" t="n"/>
      <c r="S3946" s="26">
        <f>IF($A3946="","",AND(OR('Assignment Builder'!$B$5="",$B3946='Assignment Builder'!$B$5),OR('Assignment Builder'!$B$6="",ISNUMBER(SEARCH('Assignment Builder'!$B$6,$C3946))),OR('Assignment Builder'!$B$7="",'Assignment Builder'!$B$7=IFERROR(INDEX('Category Dictionary'!$C$5:$C$135,MATCH($L3946,'Category Dictionary'!$D$5:$D$135,0)),"")),OR('Assignment Builder'!$B$8="",$D3946='Assignment Builder'!$B$8),OR('Assignment Builder'!$B$9="",$F3946='Assignment Builder'!$B$9),OR('Assignment Builder'!$B$10="",$O3946='Assignment Builder'!$B$10),OR('Assignment Builder'!$B$11="",$H3946&gt;='Assignment Builder'!$B$11),OR('Assignment Builder'!$B$12="",N($Q3946)&lt;='Assignment Builder'!$B$12)))</f>
        <v/>
      </c>
      <c r="T3946" s="23" t="n"/>
    </row>
    <row r="3947">
      <c r="A3947" s="23" t="n"/>
      <c r="B3947" s="23" t="n"/>
      <c r="C3947" s="24" t="n"/>
      <c r="D3947" s="15" t="n"/>
      <c r="E3947" s="23" t="n"/>
      <c r="F3947" s="15" t="n"/>
      <c r="G3947" s="23" t="n"/>
      <c r="H3947" s="25" t="n"/>
      <c r="I3947" s="15" t="n"/>
      <c r="J3947" s="26">
        <f>IF($A3947="","",LEN($C3947)-LEN(SUBSTITUTE($C3947,",",""))+1)</f>
        <v/>
      </c>
      <c r="K3947" s="26">
        <f>IF($A3947="","",SUMPRODUCT(--ISNUMBER(SEARCH('Category Dictionary'!$D$5:$D$135&amp;"",$C3947)),--('Category Dictionary'!$D$5:$D$135&lt;&gt;"")))</f>
        <v/>
      </c>
      <c r="L3947" s="27">
        <f>IF($A3947="","",TRIM(IF(ISERROR(FIND(",",$C3947)),$C3947,LEFT($C3947,FIND(",",$C3947)-1))))</f>
        <v/>
      </c>
      <c r="M3947" s="28">
        <f>IF($H3947="","",DATE(YEAR($H3947),MONTH($H3947),1))</f>
        <v/>
      </c>
      <c r="N3947" s="26">
        <f>IF($H3947="","",TODAY()-$H3947)</f>
        <v/>
      </c>
      <c r="O3947" s="15" t="n"/>
      <c r="P3947" s="15" t="n"/>
      <c r="Q3947" s="15" t="n"/>
      <c r="R3947" s="25" t="n"/>
      <c r="S3947" s="26">
        <f>IF($A3947="","",AND(OR('Assignment Builder'!$B$5="",$B3947='Assignment Builder'!$B$5),OR('Assignment Builder'!$B$6="",ISNUMBER(SEARCH('Assignment Builder'!$B$6,$C3947))),OR('Assignment Builder'!$B$7="",'Assignment Builder'!$B$7=IFERROR(INDEX('Category Dictionary'!$C$5:$C$135,MATCH($L3947,'Category Dictionary'!$D$5:$D$135,0)),"")),OR('Assignment Builder'!$B$8="",$D3947='Assignment Builder'!$B$8),OR('Assignment Builder'!$B$9="",$F3947='Assignment Builder'!$B$9),OR('Assignment Builder'!$B$10="",$O3947='Assignment Builder'!$B$10),OR('Assignment Builder'!$B$11="",$H3947&gt;='Assignment Builder'!$B$11),OR('Assignment Builder'!$B$12="",N($Q3947)&lt;='Assignment Builder'!$B$12)))</f>
        <v/>
      </c>
      <c r="T3947" s="23" t="n"/>
    </row>
    <row r="3948">
      <c r="A3948" s="23" t="n"/>
      <c r="B3948" s="23" t="n"/>
      <c r="C3948" s="24" t="n"/>
      <c r="D3948" s="15" t="n"/>
      <c r="E3948" s="23" t="n"/>
      <c r="F3948" s="15" t="n"/>
      <c r="G3948" s="23" t="n"/>
      <c r="H3948" s="25" t="n"/>
      <c r="I3948" s="15" t="n"/>
      <c r="J3948" s="26">
        <f>IF($A3948="","",LEN($C3948)-LEN(SUBSTITUTE($C3948,",",""))+1)</f>
        <v/>
      </c>
      <c r="K3948" s="26">
        <f>IF($A3948="","",SUMPRODUCT(--ISNUMBER(SEARCH('Category Dictionary'!$D$5:$D$135&amp;"",$C3948)),--('Category Dictionary'!$D$5:$D$135&lt;&gt;"")))</f>
        <v/>
      </c>
      <c r="L3948" s="27">
        <f>IF($A3948="","",TRIM(IF(ISERROR(FIND(",",$C3948)),$C3948,LEFT($C3948,FIND(",",$C3948)-1))))</f>
        <v/>
      </c>
      <c r="M3948" s="28">
        <f>IF($H3948="","",DATE(YEAR($H3948),MONTH($H3948),1))</f>
        <v/>
      </c>
      <c r="N3948" s="26">
        <f>IF($H3948="","",TODAY()-$H3948)</f>
        <v/>
      </c>
      <c r="O3948" s="15" t="n"/>
      <c r="P3948" s="15" t="n"/>
      <c r="Q3948" s="15" t="n"/>
      <c r="R3948" s="25" t="n"/>
      <c r="S3948" s="26">
        <f>IF($A3948="","",AND(OR('Assignment Builder'!$B$5="",$B3948='Assignment Builder'!$B$5),OR('Assignment Builder'!$B$6="",ISNUMBER(SEARCH('Assignment Builder'!$B$6,$C3948))),OR('Assignment Builder'!$B$7="",'Assignment Builder'!$B$7=IFERROR(INDEX('Category Dictionary'!$C$5:$C$135,MATCH($L3948,'Category Dictionary'!$D$5:$D$135,0)),"")),OR('Assignment Builder'!$B$8="",$D3948='Assignment Builder'!$B$8),OR('Assignment Builder'!$B$9="",$F3948='Assignment Builder'!$B$9),OR('Assignment Builder'!$B$10="",$O3948='Assignment Builder'!$B$10),OR('Assignment Builder'!$B$11="",$H3948&gt;='Assignment Builder'!$B$11),OR('Assignment Builder'!$B$12="",N($Q3948)&lt;='Assignment Builder'!$B$12)))</f>
        <v/>
      </c>
      <c r="T3948" s="23" t="n"/>
    </row>
    <row r="3949">
      <c r="A3949" s="23" t="n"/>
      <c r="B3949" s="23" t="n"/>
      <c r="C3949" s="24" t="n"/>
      <c r="D3949" s="15" t="n"/>
      <c r="E3949" s="23" t="n"/>
      <c r="F3949" s="15" t="n"/>
      <c r="G3949" s="23" t="n"/>
      <c r="H3949" s="25" t="n"/>
      <c r="I3949" s="15" t="n"/>
      <c r="J3949" s="26">
        <f>IF($A3949="","",LEN($C3949)-LEN(SUBSTITUTE($C3949,",",""))+1)</f>
        <v/>
      </c>
      <c r="K3949" s="26">
        <f>IF($A3949="","",SUMPRODUCT(--ISNUMBER(SEARCH('Category Dictionary'!$D$5:$D$135&amp;"",$C3949)),--('Category Dictionary'!$D$5:$D$135&lt;&gt;"")))</f>
        <v/>
      </c>
      <c r="L3949" s="27">
        <f>IF($A3949="","",TRIM(IF(ISERROR(FIND(",",$C3949)),$C3949,LEFT($C3949,FIND(",",$C3949)-1))))</f>
        <v/>
      </c>
      <c r="M3949" s="28">
        <f>IF($H3949="","",DATE(YEAR($H3949),MONTH($H3949),1))</f>
        <v/>
      </c>
      <c r="N3949" s="26">
        <f>IF($H3949="","",TODAY()-$H3949)</f>
        <v/>
      </c>
      <c r="O3949" s="15" t="n"/>
      <c r="P3949" s="15" t="n"/>
      <c r="Q3949" s="15" t="n"/>
      <c r="R3949" s="25" t="n"/>
      <c r="S3949" s="26">
        <f>IF($A3949="","",AND(OR('Assignment Builder'!$B$5="",$B3949='Assignment Builder'!$B$5),OR('Assignment Builder'!$B$6="",ISNUMBER(SEARCH('Assignment Builder'!$B$6,$C3949))),OR('Assignment Builder'!$B$7="",'Assignment Builder'!$B$7=IFERROR(INDEX('Category Dictionary'!$C$5:$C$135,MATCH($L3949,'Category Dictionary'!$D$5:$D$135,0)),"")),OR('Assignment Builder'!$B$8="",$D3949='Assignment Builder'!$B$8),OR('Assignment Builder'!$B$9="",$F3949='Assignment Builder'!$B$9),OR('Assignment Builder'!$B$10="",$O3949='Assignment Builder'!$B$10),OR('Assignment Builder'!$B$11="",$H3949&gt;='Assignment Builder'!$B$11),OR('Assignment Builder'!$B$12="",N($Q3949)&lt;='Assignment Builder'!$B$12)))</f>
        <v/>
      </c>
      <c r="T3949" s="23" t="n"/>
    </row>
    <row r="3950">
      <c r="A3950" s="23" t="n"/>
      <c r="B3950" s="23" t="n"/>
      <c r="C3950" s="24" t="n"/>
      <c r="D3950" s="15" t="n"/>
      <c r="E3950" s="23" t="n"/>
      <c r="F3950" s="15" t="n"/>
      <c r="G3950" s="23" t="n"/>
      <c r="H3950" s="25" t="n"/>
      <c r="I3950" s="15" t="n"/>
      <c r="J3950" s="26">
        <f>IF($A3950="","",LEN($C3950)-LEN(SUBSTITUTE($C3950,",",""))+1)</f>
        <v/>
      </c>
      <c r="K3950" s="26">
        <f>IF($A3950="","",SUMPRODUCT(--ISNUMBER(SEARCH('Category Dictionary'!$D$5:$D$135&amp;"",$C3950)),--('Category Dictionary'!$D$5:$D$135&lt;&gt;"")))</f>
        <v/>
      </c>
      <c r="L3950" s="27">
        <f>IF($A3950="","",TRIM(IF(ISERROR(FIND(",",$C3950)),$C3950,LEFT($C3950,FIND(",",$C3950)-1))))</f>
        <v/>
      </c>
      <c r="M3950" s="28">
        <f>IF($H3950="","",DATE(YEAR($H3950),MONTH($H3950),1))</f>
        <v/>
      </c>
      <c r="N3950" s="26">
        <f>IF($H3950="","",TODAY()-$H3950)</f>
        <v/>
      </c>
      <c r="O3950" s="15" t="n"/>
      <c r="P3950" s="15" t="n"/>
      <c r="Q3950" s="15" t="n"/>
      <c r="R3950" s="25" t="n"/>
      <c r="S3950" s="26">
        <f>IF($A3950="","",AND(OR('Assignment Builder'!$B$5="",$B3950='Assignment Builder'!$B$5),OR('Assignment Builder'!$B$6="",ISNUMBER(SEARCH('Assignment Builder'!$B$6,$C3950))),OR('Assignment Builder'!$B$7="",'Assignment Builder'!$B$7=IFERROR(INDEX('Category Dictionary'!$C$5:$C$135,MATCH($L3950,'Category Dictionary'!$D$5:$D$135,0)),"")),OR('Assignment Builder'!$B$8="",$D3950='Assignment Builder'!$B$8),OR('Assignment Builder'!$B$9="",$F3950='Assignment Builder'!$B$9),OR('Assignment Builder'!$B$10="",$O3950='Assignment Builder'!$B$10),OR('Assignment Builder'!$B$11="",$H3950&gt;='Assignment Builder'!$B$11),OR('Assignment Builder'!$B$12="",N($Q3950)&lt;='Assignment Builder'!$B$12)))</f>
        <v/>
      </c>
      <c r="T3950" s="23" t="n"/>
    </row>
    <row r="3951">
      <c r="A3951" s="23" t="n"/>
      <c r="B3951" s="23" t="n"/>
      <c r="C3951" s="24" t="n"/>
      <c r="D3951" s="15" t="n"/>
      <c r="E3951" s="23" t="n"/>
      <c r="F3951" s="15" t="n"/>
      <c r="G3951" s="23" t="n"/>
      <c r="H3951" s="25" t="n"/>
      <c r="I3951" s="15" t="n"/>
      <c r="J3951" s="26">
        <f>IF($A3951="","",LEN($C3951)-LEN(SUBSTITUTE($C3951,",",""))+1)</f>
        <v/>
      </c>
      <c r="K3951" s="26">
        <f>IF($A3951="","",SUMPRODUCT(--ISNUMBER(SEARCH('Category Dictionary'!$D$5:$D$135&amp;"",$C3951)),--('Category Dictionary'!$D$5:$D$135&lt;&gt;"")))</f>
        <v/>
      </c>
      <c r="L3951" s="27">
        <f>IF($A3951="","",TRIM(IF(ISERROR(FIND(",",$C3951)),$C3951,LEFT($C3951,FIND(",",$C3951)-1))))</f>
        <v/>
      </c>
      <c r="M3951" s="28">
        <f>IF($H3951="","",DATE(YEAR($H3951),MONTH($H3951),1))</f>
        <v/>
      </c>
      <c r="N3951" s="26">
        <f>IF($H3951="","",TODAY()-$H3951)</f>
        <v/>
      </c>
      <c r="O3951" s="15" t="n"/>
      <c r="P3951" s="15" t="n"/>
      <c r="Q3951" s="15" t="n"/>
      <c r="R3951" s="25" t="n"/>
      <c r="S3951" s="26">
        <f>IF($A3951="","",AND(OR('Assignment Builder'!$B$5="",$B3951='Assignment Builder'!$B$5),OR('Assignment Builder'!$B$6="",ISNUMBER(SEARCH('Assignment Builder'!$B$6,$C3951))),OR('Assignment Builder'!$B$7="",'Assignment Builder'!$B$7=IFERROR(INDEX('Category Dictionary'!$C$5:$C$135,MATCH($L3951,'Category Dictionary'!$D$5:$D$135,0)),"")),OR('Assignment Builder'!$B$8="",$D3951='Assignment Builder'!$B$8),OR('Assignment Builder'!$B$9="",$F3951='Assignment Builder'!$B$9),OR('Assignment Builder'!$B$10="",$O3951='Assignment Builder'!$B$10),OR('Assignment Builder'!$B$11="",$H3951&gt;='Assignment Builder'!$B$11),OR('Assignment Builder'!$B$12="",N($Q3951)&lt;='Assignment Builder'!$B$12)))</f>
        <v/>
      </c>
      <c r="T3951" s="23" t="n"/>
    </row>
    <row r="3952">
      <c r="A3952" s="23" t="n"/>
      <c r="B3952" s="23" t="n"/>
      <c r="C3952" s="24" t="n"/>
      <c r="D3952" s="15" t="n"/>
      <c r="E3952" s="23" t="n"/>
      <c r="F3952" s="15" t="n"/>
      <c r="G3952" s="23" t="n"/>
      <c r="H3952" s="25" t="n"/>
      <c r="I3952" s="15" t="n"/>
      <c r="J3952" s="26">
        <f>IF($A3952="","",LEN($C3952)-LEN(SUBSTITUTE($C3952,",",""))+1)</f>
        <v/>
      </c>
      <c r="K3952" s="26">
        <f>IF($A3952="","",SUMPRODUCT(--ISNUMBER(SEARCH('Category Dictionary'!$D$5:$D$135&amp;"",$C3952)),--('Category Dictionary'!$D$5:$D$135&lt;&gt;"")))</f>
        <v/>
      </c>
      <c r="L3952" s="27">
        <f>IF($A3952="","",TRIM(IF(ISERROR(FIND(",",$C3952)),$C3952,LEFT($C3952,FIND(",",$C3952)-1))))</f>
        <v/>
      </c>
      <c r="M3952" s="28">
        <f>IF($H3952="","",DATE(YEAR($H3952),MONTH($H3952),1))</f>
        <v/>
      </c>
      <c r="N3952" s="26">
        <f>IF($H3952="","",TODAY()-$H3952)</f>
        <v/>
      </c>
      <c r="O3952" s="15" t="n"/>
      <c r="P3952" s="15" t="n"/>
      <c r="Q3952" s="15" t="n"/>
      <c r="R3952" s="25" t="n"/>
      <c r="S3952" s="26">
        <f>IF($A3952="","",AND(OR('Assignment Builder'!$B$5="",$B3952='Assignment Builder'!$B$5),OR('Assignment Builder'!$B$6="",ISNUMBER(SEARCH('Assignment Builder'!$B$6,$C3952))),OR('Assignment Builder'!$B$7="",'Assignment Builder'!$B$7=IFERROR(INDEX('Category Dictionary'!$C$5:$C$135,MATCH($L3952,'Category Dictionary'!$D$5:$D$135,0)),"")),OR('Assignment Builder'!$B$8="",$D3952='Assignment Builder'!$B$8),OR('Assignment Builder'!$B$9="",$F3952='Assignment Builder'!$B$9),OR('Assignment Builder'!$B$10="",$O3952='Assignment Builder'!$B$10),OR('Assignment Builder'!$B$11="",$H3952&gt;='Assignment Builder'!$B$11),OR('Assignment Builder'!$B$12="",N($Q3952)&lt;='Assignment Builder'!$B$12)))</f>
        <v/>
      </c>
      <c r="T3952" s="23" t="n"/>
    </row>
    <row r="3953">
      <c r="A3953" s="23" t="n"/>
      <c r="B3953" s="23" t="n"/>
      <c r="C3953" s="24" t="n"/>
      <c r="D3953" s="15" t="n"/>
      <c r="E3953" s="23" t="n"/>
      <c r="F3953" s="15" t="n"/>
      <c r="G3953" s="23" t="n"/>
      <c r="H3953" s="25" t="n"/>
      <c r="I3953" s="15" t="n"/>
      <c r="J3953" s="26">
        <f>IF($A3953="","",LEN($C3953)-LEN(SUBSTITUTE($C3953,",",""))+1)</f>
        <v/>
      </c>
      <c r="K3953" s="26">
        <f>IF($A3953="","",SUMPRODUCT(--ISNUMBER(SEARCH('Category Dictionary'!$D$5:$D$135&amp;"",$C3953)),--('Category Dictionary'!$D$5:$D$135&lt;&gt;"")))</f>
        <v/>
      </c>
      <c r="L3953" s="27">
        <f>IF($A3953="","",TRIM(IF(ISERROR(FIND(",",$C3953)),$C3953,LEFT($C3953,FIND(",",$C3953)-1))))</f>
        <v/>
      </c>
      <c r="M3953" s="28">
        <f>IF($H3953="","",DATE(YEAR($H3953),MONTH($H3953),1))</f>
        <v/>
      </c>
      <c r="N3953" s="26">
        <f>IF($H3953="","",TODAY()-$H3953)</f>
        <v/>
      </c>
      <c r="O3953" s="15" t="n"/>
      <c r="P3953" s="15" t="n"/>
      <c r="Q3953" s="15" t="n"/>
      <c r="R3953" s="25" t="n"/>
      <c r="S3953" s="26">
        <f>IF($A3953="","",AND(OR('Assignment Builder'!$B$5="",$B3953='Assignment Builder'!$B$5),OR('Assignment Builder'!$B$6="",ISNUMBER(SEARCH('Assignment Builder'!$B$6,$C3953))),OR('Assignment Builder'!$B$7="",'Assignment Builder'!$B$7=IFERROR(INDEX('Category Dictionary'!$C$5:$C$135,MATCH($L3953,'Category Dictionary'!$D$5:$D$135,0)),"")),OR('Assignment Builder'!$B$8="",$D3953='Assignment Builder'!$B$8),OR('Assignment Builder'!$B$9="",$F3953='Assignment Builder'!$B$9),OR('Assignment Builder'!$B$10="",$O3953='Assignment Builder'!$B$10),OR('Assignment Builder'!$B$11="",$H3953&gt;='Assignment Builder'!$B$11),OR('Assignment Builder'!$B$12="",N($Q3953)&lt;='Assignment Builder'!$B$12)))</f>
        <v/>
      </c>
      <c r="T3953" s="23" t="n"/>
    </row>
    <row r="3954">
      <c r="A3954" s="23" t="n"/>
      <c r="B3954" s="23" t="n"/>
      <c r="C3954" s="24" t="n"/>
      <c r="D3954" s="15" t="n"/>
      <c r="E3954" s="23" t="n"/>
      <c r="F3954" s="15" t="n"/>
      <c r="G3954" s="23" t="n"/>
      <c r="H3954" s="25" t="n"/>
      <c r="I3954" s="15" t="n"/>
      <c r="J3954" s="26">
        <f>IF($A3954="","",LEN($C3954)-LEN(SUBSTITUTE($C3954,",",""))+1)</f>
        <v/>
      </c>
      <c r="K3954" s="26">
        <f>IF($A3954="","",SUMPRODUCT(--ISNUMBER(SEARCH('Category Dictionary'!$D$5:$D$135&amp;"",$C3954)),--('Category Dictionary'!$D$5:$D$135&lt;&gt;"")))</f>
        <v/>
      </c>
      <c r="L3954" s="27">
        <f>IF($A3954="","",TRIM(IF(ISERROR(FIND(",",$C3954)),$C3954,LEFT($C3954,FIND(",",$C3954)-1))))</f>
        <v/>
      </c>
      <c r="M3954" s="28">
        <f>IF($H3954="","",DATE(YEAR($H3954),MONTH($H3954),1))</f>
        <v/>
      </c>
      <c r="N3954" s="26">
        <f>IF($H3954="","",TODAY()-$H3954)</f>
        <v/>
      </c>
      <c r="O3954" s="15" t="n"/>
      <c r="P3954" s="15" t="n"/>
      <c r="Q3954" s="15" t="n"/>
      <c r="R3954" s="25" t="n"/>
      <c r="S3954" s="26">
        <f>IF($A3954="","",AND(OR('Assignment Builder'!$B$5="",$B3954='Assignment Builder'!$B$5),OR('Assignment Builder'!$B$6="",ISNUMBER(SEARCH('Assignment Builder'!$B$6,$C3954))),OR('Assignment Builder'!$B$7="",'Assignment Builder'!$B$7=IFERROR(INDEX('Category Dictionary'!$C$5:$C$135,MATCH($L3954,'Category Dictionary'!$D$5:$D$135,0)),"")),OR('Assignment Builder'!$B$8="",$D3954='Assignment Builder'!$B$8),OR('Assignment Builder'!$B$9="",$F3954='Assignment Builder'!$B$9),OR('Assignment Builder'!$B$10="",$O3954='Assignment Builder'!$B$10),OR('Assignment Builder'!$B$11="",$H3954&gt;='Assignment Builder'!$B$11),OR('Assignment Builder'!$B$12="",N($Q3954)&lt;='Assignment Builder'!$B$12)))</f>
        <v/>
      </c>
      <c r="T3954" s="23" t="n"/>
    </row>
    <row r="3955">
      <c r="A3955" s="23" t="n"/>
      <c r="B3955" s="23" t="n"/>
      <c r="C3955" s="24" t="n"/>
      <c r="D3955" s="15" t="n"/>
      <c r="E3955" s="23" t="n"/>
      <c r="F3955" s="15" t="n"/>
      <c r="G3955" s="23" t="n"/>
      <c r="H3955" s="25" t="n"/>
      <c r="I3955" s="15" t="n"/>
      <c r="J3955" s="26">
        <f>IF($A3955="","",LEN($C3955)-LEN(SUBSTITUTE($C3955,",",""))+1)</f>
        <v/>
      </c>
      <c r="K3955" s="26">
        <f>IF($A3955="","",SUMPRODUCT(--ISNUMBER(SEARCH('Category Dictionary'!$D$5:$D$135&amp;"",$C3955)),--('Category Dictionary'!$D$5:$D$135&lt;&gt;"")))</f>
        <v/>
      </c>
      <c r="L3955" s="27">
        <f>IF($A3955="","",TRIM(IF(ISERROR(FIND(",",$C3955)),$C3955,LEFT($C3955,FIND(",",$C3955)-1))))</f>
        <v/>
      </c>
      <c r="M3955" s="28">
        <f>IF($H3955="","",DATE(YEAR($H3955),MONTH($H3955),1))</f>
        <v/>
      </c>
      <c r="N3955" s="26">
        <f>IF($H3955="","",TODAY()-$H3955)</f>
        <v/>
      </c>
      <c r="O3955" s="15" t="n"/>
      <c r="P3955" s="15" t="n"/>
      <c r="Q3955" s="15" t="n"/>
      <c r="R3955" s="25" t="n"/>
      <c r="S3955" s="26">
        <f>IF($A3955="","",AND(OR('Assignment Builder'!$B$5="",$B3955='Assignment Builder'!$B$5),OR('Assignment Builder'!$B$6="",ISNUMBER(SEARCH('Assignment Builder'!$B$6,$C3955))),OR('Assignment Builder'!$B$7="",'Assignment Builder'!$B$7=IFERROR(INDEX('Category Dictionary'!$C$5:$C$135,MATCH($L3955,'Category Dictionary'!$D$5:$D$135,0)),"")),OR('Assignment Builder'!$B$8="",$D3955='Assignment Builder'!$B$8),OR('Assignment Builder'!$B$9="",$F3955='Assignment Builder'!$B$9),OR('Assignment Builder'!$B$10="",$O3955='Assignment Builder'!$B$10),OR('Assignment Builder'!$B$11="",$H3955&gt;='Assignment Builder'!$B$11),OR('Assignment Builder'!$B$12="",N($Q3955)&lt;='Assignment Builder'!$B$12)))</f>
        <v/>
      </c>
      <c r="T3955" s="23" t="n"/>
    </row>
    <row r="3956">
      <c r="A3956" s="23" t="n"/>
      <c r="B3956" s="23" t="n"/>
      <c r="C3956" s="24" t="n"/>
      <c r="D3956" s="15" t="n"/>
      <c r="E3956" s="23" t="n"/>
      <c r="F3956" s="15" t="n"/>
      <c r="G3956" s="23" t="n"/>
      <c r="H3956" s="25" t="n"/>
      <c r="I3956" s="15" t="n"/>
      <c r="J3956" s="26">
        <f>IF($A3956="","",LEN($C3956)-LEN(SUBSTITUTE($C3956,",",""))+1)</f>
        <v/>
      </c>
      <c r="K3956" s="26">
        <f>IF($A3956="","",SUMPRODUCT(--ISNUMBER(SEARCH('Category Dictionary'!$D$5:$D$135&amp;"",$C3956)),--('Category Dictionary'!$D$5:$D$135&lt;&gt;"")))</f>
        <v/>
      </c>
      <c r="L3956" s="27">
        <f>IF($A3956="","",TRIM(IF(ISERROR(FIND(",",$C3956)),$C3956,LEFT($C3956,FIND(",",$C3956)-1))))</f>
        <v/>
      </c>
      <c r="M3956" s="28">
        <f>IF($H3956="","",DATE(YEAR($H3956),MONTH($H3956),1))</f>
        <v/>
      </c>
      <c r="N3956" s="26">
        <f>IF($H3956="","",TODAY()-$H3956)</f>
        <v/>
      </c>
      <c r="O3956" s="15" t="n"/>
      <c r="P3956" s="15" t="n"/>
      <c r="Q3956" s="15" t="n"/>
      <c r="R3956" s="25" t="n"/>
      <c r="S3956" s="26">
        <f>IF($A3956="","",AND(OR('Assignment Builder'!$B$5="",$B3956='Assignment Builder'!$B$5),OR('Assignment Builder'!$B$6="",ISNUMBER(SEARCH('Assignment Builder'!$B$6,$C3956))),OR('Assignment Builder'!$B$7="",'Assignment Builder'!$B$7=IFERROR(INDEX('Category Dictionary'!$C$5:$C$135,MATCH($L3956,'Category Dictionary'!$D$5:$D$135,0)),"")),OR('Assignment Builder'!$B$8="",$D3956='Assignment Builder'!$B$8),OR('Assignment Builder'!$B$9="",$F3956='Assignment Builder'!$B$9),OR('Assignment Builder'!$B$10="",$O3956='Assignment Builder'!$B$10),OR('Assignment Builder'!$B$11="",$H3956&gt;='Assignment Builder'!$B$11),OR('Assignment Builder'!$B$12="",N($Q3956)&lt;='Assignment Builder'!$B$12)))</f>
        <v/>
      </c>
      <c r="T3956" s="23" t="n"/>
    </row>
    <row r="3957">
      <c r="A3957" s="23" t="n"/>
      <c r="B3957" s="23" t="n"/>
      <c r="C3957" s="24" t="n"/>
      <c r="D3957" s="15" t="n"/>
      <c r="E3957" s="23" t="n"/>
      <c r="F3957" s="15" t="n"/>
      <c r="G3957" s="23" t="n"/>
      <c r="H3957" s="25" t="n"/>
      <c r="I3957" s="15" t="n"/>
      <c r="J3957" s="26">
        <f>IF($A3957="","",LEN($C3957)-LEN(SUBSTITUTE($C3957,",",""))+1)</f>
        <v/>
      </c>
      <c r="K3957" s="26">
        <f>IF($A3957="","",SUMPRODUCT(--ISNUMBER(SEARCH('Category Dictionary'!$D$5:$D$135&amp;"",$C3957)),--('Category Dictionary'!$D$5:$D$135&lt;&gt;"")))</f>
        <v/>
      </c>
      <c r="L3957" s="27">
        <f>IF($A3957="","",TRIM(IF(ISERROR(FIND(",",$C3957)),$C3957,LEFT($C3957,FIND(",",$C3957)-1))))</f>
        <v/>
      </c>
      <c r="M3957" s="28">
        <f>IF($H3957="","",DATE(YEAR($H3957),MONTH($H3957),1))</f>
        <v/>
      </c>
      <c r="N3957" s="26">
        <f>IF($H3957="","",TODAY()-$H3957)</f>
        <v/>
      </c>
      <c r="O3957" s="15" t="n"/>
      <c r="P3957" s="15" t="n"/>
      <c r="Q3957" s="15" t="n"/>
      <c r="R3957" s="25" t="n"/>
      <c r="S3957" s="26">
        <f>IF($A3957="","",AND(OR('Assignment Builder'!$B$5="",$B3957='Assignment Builder'!$B$5),OR('Assignment Builder'!$B$6="",ISNUMBER(SEARCH('Assignment Builder'!$B$6,$C3957))),OR('Assignment Builder'!$B$7="",'Assignment Builder'!$B$7=IFERROR(INDEX('Category Dictionary'!$C$5:$C$135,MATCH($L3957,'Category Dictionary'!$D$5:$D$135,0)),"")),OR('Assignment Builder'!$B$8="",$D3957='Assignment Builder'!$B$8),OR('Assignment Builder'!$B$9="",$F3957='Assignment Builder'!$B$9),OR('Assignment Builder'!$B$10="",$O3957='Assignment Builder'!$B$10),OR('Assignment Builder'!$B$11="",$H3957&gt;='Assignment Builder'!$B$11),OR('Assignment Builder'!$B$12="",N($Q3957)&lt;='Assignment Builder'!$B$12)))</f>
        <v/>
      </c>
      <c r="T3957" s="23" t="n"/>
    </row>
    <row r="3958">
      <c r="A3958" s="23" t="n"/>
      <c r="B3958" s="23" t="n"/>
      <c r="C3958" s="24" t="n"/>
      <c r="D3958" s="15" t="n"/>
      <c r="E3958" s="23" t="n"/>
      <c r="F3958" s="15" t="n"/>
      <c r="G3958" s="23" t="n"/>
      <c r="H3958" s="25" t="n"/>
      <c r="I3958" s="15" t="n"/>
      <c r="J3958" s="26">
        <f>IF($A3958="","",LEN($C3958)-LEN(SUBSTITUTE($C3958,",",""))+1)</f>
        <v/>
      </c>
      <c r="K3958" s="26">
        <f>IF($A3958="","",SUMPRODUCT(--ISNUMBER(SEARCH('Category Dictionary'!$D$5:$D$135&amp;"",$C3958)),--('Category Dictionary'!$D$5:$D$135&lt;&gt;"")))</f>
        <v/>
      </c>
      <c r="L3958" s="27">
        <f>IF($A3958="","",TRIM(IF(ISERROR(FIND(",",$C3958)),$C3958,LEFT($C3958,FIND(",",$C3958)-1))))</f>
        <v/>
      </c>
      <c r="M3958" s="28">
        <f>IF($H3958="","",DATE(YEAR($H3958),MONTH($H3958),1))</f>
        <v/>
      </c>
      <c r="N3958" s="26">
        <f>IF($H3958="","",TODAY()-$H3958)</f>
        <v/>
      </c>
      <c r="O3958" s="15" t="n"/>
      <c r="P3958" s="15" t="n"/>
      <c r="Q3958" s="15" t="n"/>
      <c r="R3958" s="25" t="n"/>
      <c r="S3958" s="26">
        <f>IF($A3958="","",AND(OR('Assignment Builder'!$B$5="",$B3958='Assignment Builder'!$B$5),OR('Assignment Builder'!$B$6="",ISNUMBER(SEARCH('Assignment Builder'!$B$6,$C3958))),OR('Assignment Builder'!$B$7="",'Assignment Builder'!$B$7=IFERROR(INDEX('Category Dictionary'!$C$5:$C$135,MATCH($L3958,'Category Dictionary'!$D$5:$D$135,0)),"")),OR('Assignment Builder'!$B$8="",$D3958='Assignment Builder'!$B$8),OR('Assignment Builder'!$B$9="",$F3958='Assignment Builder'!$B$9),OR('Assignment Builder'!$B$10="",$O3958='Assignment Builder'!$B$10),OR('Assignment Builder'!$B$11="",$H3958&gt;='Assignment Builder'!$B$11),OR('Assignment Builder'!$B$12="",N($Q3958)&lt;='Assignment Builder'!$B$12)))</f>
        <v/>
      </c>
      <c r="T3958" s="23" t="n"/>
    </row>
    <row r="3959">
      <c r="A3959" s="23" t="n"/>
      <c r="B3959" s="23" t="n"/>
      <c r="C3959" s="24" t="n"/>
      <c r="D3959" s="15" t="n"/>
      <c r="E3959" s="23" t="n"/>
      <c r="F3959" s="15" t="n"/>
      <c r="G3959" s="23" t="n"/>
      <c r="H3959" s="25" t="n"/>
      <c r="I3959" s="15" t="n"/>
      <c r="J3959" s="26">
        <f>IF($A3959="","",LEN($C3959)-LEN(SUBSTITUTE($C3959,",",""))+1)</f>
        <v/>
      </c>
      <c r="K3959" s="26">
        <f>IF($A3959="","",SUMPRODUCT(--ISNUMBER(SEARCH('Category Dictionary'!$D$5:$D$135&amp;"",$C3959)),--('Category Dictionary'!$D$5:$D$135&lt;&gt;"")))</f>
        <v/>
      </c>
      <c r="L3959" s="27">
        <f>IF($A3959="","",TRIM(IF(ISERROR(FIND(",",$C3959)),$C3959,LEFT($C3959,FIND(",",$C3959)-1))))</f>
        <v/>
      </c>
      <c r="M3959" s="28">
        <f>IF($H3959="","",DATE(YEAR($H3959),MONTH($H3959),1))</f>
        <v/>
      </c>
      <c r="N3959" s="26">
        <f>IF($H3959="","",TODAY()-$H3959)</f>
        <v/>
      </c>
      <c r="O3959" s="15" t="n"/>
      <c r="P3959" s="15" t="n"/>
      <c r="Q3959" s="15" t="n"/>
      <c r="R3959" s="25" t="n"/>
      <c r="S3959" s="26">
        <f>IF($A3959="","",AND(OR('Assignment Builder'!$B$5="",$B3959='Assignment Builder'!$B$5),OR('Assignment Builder'!$B$6="",ISNUMBER(SEARCH('Assignment Builder'!$B$6,$C3959))),OR('Assignment Builder'!$B$7="",'Assignment Builder'!$B$7=IFERROR(INDEX('Category Dictionary'!$C$5:$C$135,MATCH($L3959,'Category Dictionary'!$D$5:$D$135,0)),"")),OR('Assignment Builder'!$B$8="",$D3959='Assignment Builder'!$B$8),OR('Assignment Builder'!$B$9="",$F3959='Assignment Builder'!$B$9),OR('Assignment Builder'!$B$10="",$O3959='Assignment Builder'!$B$10),OR('Assignment Builder'!$B$11="",$H3959&gt;='Assignment Builder'!$B$11),OR('Assignment Builder'!$B$12="",N($Q3959)&lt;='Assignment Builder'!$B$12)))</f>
        <v/>
      </c>
      <c r="T3959" s="23" t="n"/>
    </row>
    <row r="3960">
      <c r="A3960" s="23" t="n"/>
      <c r="B3960" s="23" t="n"/>
      <c r="C3960" s="24" t="n"/>
      <c r="D3960" s="15" t="n"/>
      <c r="E3960" s="23" t="n"/>
      <c r="F3960" s="15" t="n"/>
      <c r="G3960" s="23" t="n"/>
      <c r="H3960" s="25" t="n"/>
      <c r="I3960" s="15" t="n"/>
      <c r="J3960" s="26">
        <f>IF($A3960="","",LEN($C3960)-LEN(SUBSTITUTE($C3960,",",""))+1)</f>
        <v/>
      </c>
      <c r="K3960" s="26">
        <f>IF($A3960="","",SUMPRODUCT(--ISNUMBER(SEARCH('Category Dictionary'!$D$5:$D$135&amp;"",$C3960)),--('Category Dictionary'!$D$5:$D$135&lt;&gt;"")))</f>
        <v/>
      </c>
      <c r="L3960" s="27">
        <f>IF($A3960="","",TRIM(IF(ISERROR(FIND(",",$C3960)),$C3960,LEFT($C3960,FIND(",",$C3960)-1))))</f>
        <v/>
      </c>
      <c r="M3960" s="28">
        <f>IF($H3960="","",DATE(YEAR($H3960),MONTH($H3960),1))</f>
        <v/>
      </c>
      <c r="N3960" s="26">
        <f>IF($H3960="","",TODAY()-$H3960)</f>
        <v/>
      </c>
      <c r="O3960" s="15" t="n"/>
      <c r="P3960" s="15" t="n"/>
      <c r="Q3960" s="15" t="n"/>
      <c r="R3960" s="25" t="n"/>
      <c r="S3960" s="26">
        <f>IF($A3960="","",AND(OR('Assignment Builder'!$B$5="",$B3960='Assignment Builder'!$B$5),OR('Assignment Builder'!$B$6="",ISNUMBER(SEARCH('Assignment Builder'!$B$6,$C3960))),OR('Assignment Builder'!$B$7="",'Assignment Builder'!$B$7=IFERROR(INDEX('Category Dictionary'!$C$5:$C$135,MATCH($L3960,'Category Dictionary'!$D$5:$D$135,0)),"")),OR('Assignment Builder'!$B$8="",$D3960='Assignment Builder'!$B$8),OR('Assignment Builder'!$B$9="",$F3960='Assignment Builder'!$B$9),OR('Assignment Builder'!$B$10="",$O3960='Assignment Builder'!$B$10),OR('Assignment Builder'!$B$11="",$H3960&gt;='Assignment Builder'!$B$11),OR('Assignment Builder'!$B$12="",N($Q3960)&lt;='Assignment Builder'!$B$12)))</f>
        <v/>
      </c>
      <c r="T3960" s="23" t="n"/>
    </row>
    <row r="3961">
      <c r="A3961" s="23" t="n"/>
      <c r="B3961" s="23" t="n"/>
      <c r="C3961" s="24" t="n"/>
      <c r="D3961" s="15" t="n"/>
      <c r="E3961" s="23" t="n"/>
      <c r="F3961" s="15" t="n"/>
      <c r="G3961" s="23" t="n"/>
      <c r="H3961" s="25" t="n"/>
      <c r="I3961" s="15" t="n"/>
      <c r="J3961" s="26">
        <f>IF($A3961="","",LEN($C3961)-LEN(SUBSTITUTE($C3961,",",""))+1)</f>
        <v/>
      </c>
      <c r="K3961" s="26">
        <f>IF($A3961="","",SUMPRODUCT(--ISNUMBER(SEARCH('Category Dictionary'!$D$5:$D$135&amp;"",$C3961)),--('Category Dictionary'!$D$5:$D$135&lt;&gt;"")))</f>
        <v/>
      </c>
      <c r="L3961" s="27">
        <f>IF($A3961="","",TRIM(IF(ISERROR(FIND(",",$C3961)),$C3961,LEFT($C3961,FIND(",",$C3961)-1))))</f>
        <v/>
      </c>
      <c r="M3961" s="28">
        <f>IF($H3961="","",DATE(YEAR($H3961),MONTH($H3961),1))</f>
        <v/>
      </c>
      <c r="N3961" s="26">
        <f>IF($H3961="","",TODAY()-$H3961)</f>
        <v/>
      </c>
      <c r="O3961" s="15" t="n"/>
      <c r="P3961" s="15" t="n"/>
      <c r="Q3961" s="15" t="n"/>
      <c r="R3961" s="25" t="n"/>
      <c r="S3961" s="26">
        <f>IF($A3961="","",AND(OR('Assignment Builder'!$B$5="",$B3961='Assignment Builder'!$B$5),OR('Assignment Builder'!$B$6="",ISNUMBER(SEARCH('Assignment Builder'!$B$6,$C3961))),OR('Assignment Builder'!$B$7="",'Assignment Builder'!$B$7=IFERROR(INDEX('Category Dictionary'!$C$5:$C$135,MATCH($L3961,'Category Dictionary'!$D$5:$D$135,0)),"")),OR('Assignment Builder'!$B$8="",$D3961='Assignment Builder'!$B$8),OR('Assignment Builder'!$B$9="",$F3961='Assignment Builder'!$B$9),OR('Assignment Builder'!$B$10="",$O3961='Assignment Builder'!$B$10),OR('Assignment Builder'!$B$11="",$H3961&gt;='Assignment Builder'!$B$11),OR('Assignment Builder'!$B$12="",N($Q3961)&lt;='Assignment Builder'!$B$12)))</f>
        <v/>
      </c>
      <c r="T3961" s="23" t="n"/>
    </row>
    <row r="3962">
      <c r="A3962" s="23" t="n"/>
      <c r="B3962" s="23" t="n"/>
      <c r="C3962" s="24" t="n"/>
      <c r="D3962" s="15" t="n"/>
      <c r="E3962" s="23" t="n"/>
      <c r="F3962" s="15" t="n"/>
      <c r="G3962" s="23" t="n"/>
      <c r="H3962" s="25" t="n"/>
      <c r="I3962" s="15" t="n"/>
      <c r="J3962" s="26">
        <f>IF($A3962="","",LEN($C3962)-LEN(SUBSTITUTE($C3962,",",""))+1)</f>
        <v/>
      </c>
      <c r="K3962" s="26">
        <f>IF($A3962="","",SUMPRODUCT(--ISNUMBER(SEARCH('Category Dictionary'!$D$5:$D$135&amp;"",$C3962)),--('Category Dictionary'!$D$5:$D$135&lt;&gt;"")))</f>
        <v/>
      </c>
      <c r="L3962" s="27">
        <f>IF($A3962="","",TRIM(IF(ISERROR(FIND(",",$C3962)),$C3962,LEFT($C3962,FIND(",",$C3962)-1))))</f>
        <v/>
      </c>
      <c r="M3962" s="28">
        <f>IF($H3962="","",DATE(YEAR($H3962),MONTH($H3962),1))</f>
        <v/>
      </c>
      <c r="N3962" s="26">
        <f>IF($H3962="","",TODAY()-$H3962)</f>
        <v/>
      </c>
      <c r="O3962" s="15" t="n"/>
      <c r="P3962" s="15" t="n"/>
      <c r="Q3962" s="15" t="n"/>
      <c r="R3962" s="25" t="n"/>
      <c r="S3962" s="26">
        <f>IF($A3962="","",AND(OR('Assignment Builder'!$B$5="",$B3962='Assignment Builder'!$B$5),OR('Assignment Builder'!$B$6="",ISNUMBER(SEARCH('Assignment Builder'!$B$6,$C3962))),OR('Assignment Builder'!$B$7="",'Assignment Builder'!$B$7=IFERROR(INDEX('Category Dictionary'!$C$5:$C$135,MATCH($L3962,'Category Dictionary'!$D$5:$D$135,0)),"")),OR('Assignment Builder'!$B$8="",$D3962='Assignment Builder'!$B$8),OR('Assignment Builder'!$B$9="",$F3962='Assignment Builder'!$B$9),OR('Assignment Builder'!$B$10="",$O3962='Assignment Builder'!$B$10),OR('Assignment Builder'!$B$11="",$H3962&gt;='Assignment Builder'!$B$11),OR('Assignment Builder'!$B$12="",N($Q3962)&lt;='Assignment Builder'!$B$12)))</f>
        <v/>
      </c>
      <c r="T3962" s="23" t="n"/>
    </row>
    <row r="3963">
      <c r="A3963" s="23" t="n"/>
      <c r="B3963" s="23" t="n"/>
      <c r="C3963" s="24" t="n"/>
      <c r="D3963" s="15" t="n"/>
      <c r="E3963" s="23" t="n"/>
      <c r="F3963" s="15" t="n"/>
      <c r="G3963" s="23" t="n"/>
      <c r="H3963" s="25" t="n"/>
      <c r="I3963" s="15" t="n"/>
      <c r="J3963" s="26">
        <f>IF($A3963="","",LEN($C3963)-LEN(SUBSTITUTE($C3963,",",""))+1)</f>
        <v/>
      </c>
      <c r="K3963" s="26">
        <f>IF($A3963="","",SUMPRODUCT(--ISNUMBER(SEARCH('Category Dictionary'!$D$5:$D$135&amp;"",$C3963)),--('Category Dictionary'!$D$5:$D$135&lt;&gt;"")))</f>
        <v/>
      </c>
      <c r="L3963" s="27">
        <f>IF($A3963="","",TRIM(IF(ISERROR(FIND(",",$C3963)),$C3963,LEFT($C3963,FIND(",",$C3963)-1))))</f>
        <v/>
      </c>
      <c r="M3963" s="28">
        <f>IF($H3963="","",DATE(YEAR($H3963),MONTH($H3963),1))</f>
        <v/>
      </c>
      <c r="N3963" s="26">
        <f>IF($H3963="","",TODAY()-$H3963)</f>
        <v/>
      </c>
      <c r="O3963" s="15" t="n"/>
      <c r="P3963" s="15" t="n"/>
      <c r="Q3963" s="15" t="n"/>
      <c r="R3963" s="25" t="n"/>
      <c r="S3963" s="26">
        <f>IF($A3963="","",AND(OR('Assignment Builder'!$B$5="",$B3963='Assignment Builder'!$B$5),OR('Assignment Builder'!$B$6="",ISNUMBER(SEARCH('Assignment Builder'!$B$6,$C3963))),OR('Assignment Builder'!$B$7="",'Assignment Builder'!$B$7=IFERROR(INDEX('Category Dictionary'!$C$5:$C$135,MATCH($L3963,'Category Dictionary'!$D$5:$D$135,0)),"")),OR('Assignment Builder'!$B$8="",$D3963='Assignment Builder'!$B$8),OR('Assignment Builder'!$B$9="",$F3963='Assignment Builder'!$B$9),OR('Assignment Builder'!$B$10="",$O3963='Assignment Builder'!$B$10),OR('Assignment Builder'!$B$11="",$H3963&gt;='Assignment Builder'!$B$11),OR('Assignment Builder'!$B$12="",N($Q3963)&lt;='Assignment Builder'!$B$12)))</f>
        <v/>
      </c>
      <c r="T3963" s="23" t="n"/>
    </row>
    <row r="3964">
      <c r="A3964" s="23" t="n"/>
      <c r="B3964" s="23" t="n"/>
      <c r="C3964" s="24" t="n"/>
      <c r="D3964" s="15" t="n"/>
      <c r="E3964" s="23" t="n"/>
      <c r="F3964" s="15" t="n"/>
      <c r="G3964" s="23" t="n"/>
      <c r="H3964" s="25" t="n"/>
      <c r="I3964" s="15" t="n"/>
      <c r="J3964" s="26">
        <f>IF($A3964="","",LEN($C3964)-LEN(SUBSTITUTE($C3964,",",""))+1)</f>
        <v/>
      </c>
      <c r="K3964" s="26">
        <f>IF($A3964="","",SUMPRODUCT(--ISNUMBER(SEARCH('Category Dictionary'!$D$5:$D$135&amp;"",$C3964)),--('Category Dictionary'!$D$5:$D$135&lt;&gt;"")))</f>
        <v/>
      </c>
      <c r="L3964" s="27">
        <f>IF($A3964="","",TRIM(IF(ISERROR(FIND(",",$C3964)),$C3964,LEFT($C3964,FIND(",",$C3964)-1))))</f>
        <v/>
      </c>
      <c r="M3964" s="28">
        <f>IF($H3964="","",DATE(YEAR($H3964),MONTH($H3964),1))</f>
        <v/>
      </c>
      <c r="N3964" s="26">
        <f>IF($H3964="","",TODAY()-$H3964)</f>
        <v/>
      </c>
      <c r="O3964" s="15" t="n"/>
      <c r="P3964" s="15" t="n"/>
      <c r="Q3964" s="15" t="n"/>
      <c r="R3964" s="25" t="n"/>
      <c r="S3964" s="26">
        <f>IF($A3964="","",AND(OR('Assignment Builder'!$B$5="",$B3964='Assignment Builder'!$B$5),OR('Assignment Builder'!$B$6="",ISNUMBER(SEARCH('Assignment Builder'!$B$6,$C3964))),OR('Assignment Builder'!$B$7="",'Assignment Builder'!$B$7=IFERROR(INDEX('Category Dictionary'!$C$5:$C$135,MATCH($L3964,'Category Dictionary'!$D$5:$D$135,0)),"")),OR('Assignment Builder'!$B$8="",$D3964='Assignment Builder'!$B$8),OR('Assignment Builder'!$B$9="",$F3964='Assignment Builder'!$B$9),OR('Assignment Builder'!$B$10="",$O3964='Assignment Builder'!$B$10),OR('Assignment Builder'!$B$11="",$H3964&gt;='Assignment Builder'!$B$11),OR('Assignment Builder'!$B$12="",N($Q3964)&lt;='Assignment Builder'!$B$12)))</f>
        <v/>
      </c>
      <c r="T3964" s="23" t="n"/>
    </row>
    <row r="3965">
      <c r="A3965" s="23" t="n"/>
      <c r="B3965" s="23" t="n"/>
      <c r="C3965" s="24" t="n"/>
      <c r="D3965" s="15" t="n"/>
      <c r="E3965" s="23" t="n"/>
      <c r="F3965" s="15" t="n"/>
      <c r="G3965" s="23" t="n"/>
      <c r="H3965" s="25" t="n"/>
      <c r="I3965" s="15" t="n"/>
      <c r="J3965" s="26">
        <f>IF($A3965="","",LEN($C3965)-LEN(SUBSTITUTE($C3965,",",""))+1)</f>
        <v/>
      </c>
      <c r="K3965" s="26">
        <f>IF($A3965="","",SUMPRODUCT(--ISNUMBER(SEARCH('Category Dictionary'!$D$5:$D$135&amp;"",$C3965)),--('Category Dictionary'!$D$5:$D$135&lt;&gt;"")))</f>
        <v/>
      </c>
      <c r="L3965" s="27">
        <f>IF($A3965="","",TRIM(IF(ISERROR(FIND(",",$C3965)),$C3965,LEFT($C3965,FIND(",",$C3965)-1))))</f>
        <v/>
      </c>
      <c r="M3965" s="28">
        <f>IF($H3965="","",DATE(YEAR($H3965),MONTH($H3965),1))</f>
        <v/>
      </c>
      <c r="N3965" s="26">
        <f>IF($H3965="","",TODAY()-$H3965)</f>
        <v/>
      </c>
      <c r="O3965" s="15" t="n"/>
      <c r="P3965" s="15" t="n"/>
      <c r="Q3965" s="15" t="n"/>
      <c r="R3965" s="25" t="n"/>
      <c r="S3965" s="26">
        <f>IF($A3965="","",AND(OR('Assignment Builder'!$B$5="",$B3965='Assignment Builder'!$B$5),OR('Assignment Builder'!$B$6="",ISNUMBER(SEARCH('Assignment Builder'!$B$6,$C3965))),OR('Assignment Builder'!$B$7="",'Assignment Builder'!$B$7=IFERROR(INDEX('Category Dictionary'!$C$5:$C$135,MATCH($L3965,'Category Dictionary'!$D$5:$D$135,0)),"")),OR('Assignment Builder'!$B$8="",$D3965='Assignment Builder'!$B$8),OR('Assignment Builder'!$B$9="",$F3965='Assignment Builder'!$B$9),OR('Assignment Builder'!$B$10="",$O3965='Assignment Builder'!$B$10),OR('Assignment Builder'!$B$11="",$H3965&gt;='Assignment Builder'!$B$11),OR('Assignment Builder'!$B$12="",N($Q3965)&lt;='Assignment Builder'!$B$12)))</f>
        <v/>
      </c>
      <c r="T3965" s="23" t="n"/>
    </row>
    <row r="3966">
      <c r="A3966" s="23" t="n"/>
      <c r="B3966" s="23" t="n"/>
      <c r="C3966" s="24" t="n"/>
      <c r="D3966" s="15" t="n"/>
      <c r="E3966" s="23" t="n"/>
      <c r="F3966" s="15" t="n"/>
      <c r="G3966" s="23" t="n"/>
      <c r="H3966" s="25" t="n"/>
      <c r="I3966" s="15" t="n"/>
      <c r="J3966" s="26">
        <f>IF($A3966="","",LEN($C3966)-LEN(SUBSTITUTE($C3966,",",""))+1)</f>
        <v/>
      </c>
      <c r="K3966" s="26">
        <f>IF($A3966="","",SUMPRODUCT(--ISNUMBER(SEARCH('Category Dictionary'!$D$5:$D$135&amp;"",$C3966)),--('Category Dictionary'!$D$5:$D$135&lt;&gt;"")))</f>
        <v/>
      </c>
      <c r="L3966" s="27">
        <f>IF($A3966="","",TRIM(IF(ISERROR(FIND(",",$C3966)),$C3966,LEFT($C3966,FIND(",",$C3966)-1))))</f>
        <v/>
      </c>
      <c r="M3966" s="28">
        <f>IF($H3966="","",DATE(YEAR($H3966),MONTH($H3966),1))</f>
        <v/>
      </c>
      <c r="N3966" s="26">
        <f>IF($H3966="","",TODAY()-$H3966)</f>
        <v/>
      </c>
      <c r="O3966" s="15" t="n"/>
      <c r="P3966" s="15" t="n"/>
      <c r="Q3966" s="15" t="n"/>
      <c r="R3966" s="25" t="n"/>
      <c r="S3966" s="26">
        <f>IF($A3966="","",AND(OR('Assignment Builder'!$B$5="",$B3966='Assignment Builder'!$B$5),OR('Assignment Builder'!$B$6="",ISNUMBER(SEARCH('Assignment Builder'!$B$6,$C3966))),OR('Assignment Builder'!$B$7="",'Assignment Builder'!$B$7=IFERROR(INDEX('Category Dictionary'!$C$5:$C$135,MATCH($L3966,'Category Dictionary'!$D$5:$D$135,0)),"")),OR('Assignment Builder'!$B$8="",$D3966='Assignment Builder'!$B$8),OR('Assignment Builder'!$B$9="",$F3966='Assignment Builder'!$B$9),OR('Assignment Builder'!$B$10="",$O3966='Assignment Builder'!$B$10),OR('Assignment Builder'!$B$11="",$H3966&gt;='Assignment Builder'!$B$11),OR('Assignment Builder'!$B$12="",N($Q3966)&lt;='Assignment Builder'!$B$12)))</f>
        <v/>
      </c>
      <c r="T3966" s="23" t="n"/>
    </row>
    <row r="3967">
      <c r="A3967" s="23" t="n"/>
      <c r="B3967" s="23" t="n"/>
      <c r="C3967" s="24" t="n"/>
      <c r="D3967" s="15" t="n"/>
      <c r="E3967" s="23" t="n"/>
      <c r="F3967" s="15" t="n"/>
      <c r="G3967" s="23" t="n"/>
      <c r="H3967" s="25" t="n"/>
      <c r="I3967" s="15" t="n"/>
      <c r="J3967" s="26">
        <f>IF($A3967="","",LEN($C3967)-LEN(SUBSTITUTE($C3967,",",""))+1)</f>
        <v/>
      </c>
      <c r="K3967" s="26">
        <f>IF($A3967="","",SUMPRODUCT(--ISNUMBER(SEARCH('Category Dictionary'!$D$5:$D$135&amp;"",$C3967)),--('Category Dictionary'!$D$5:$D$135&lt;&gt;"")))</f>
        <v/>
      </c>
      <c r="L3967" s="27">
        <f>IF($A3967="","",TRIM(IF(ISERROR(FIND(",",$C3967)),$C3967,LEFT($C3967,FIND(",",$C3967)-1))))</f>
        <v/>
      </c>
      <c r="M3967" s="28">
        <f>IF($H3967="","",DATE(YEAR($H3967),MONTH($H3967),1))</f>
        <v/>
      </c>
      <c r="N3967" s="26">
        <f>IF($H3967="","",TODAY()-$H3967)</f>
        <v/>
      </c>
      <c r="O3967" s="15" t="n"/>
      <c r="P3967" s="15" t="n"/>
      <c r="Q3967" s="15" t="n"/>
      <c r="R3967" s="25" t="n"/>
      <c r="S3967" s="26">
        <f>IF($A3967="","",AND(OR('Assignment Builder'!$B$5="",$B3967='Assignment Builder'!$B$5),OR('Assignment Builder'!$B$6="",ISNUMBER(SEARCH('Assignment Builder'!$B$6,$C3967))),OR('Assignment Builder'!$B$7="",'Assignment Builder'!$B$7=IFERROR(INDEX('Category Dictionary'!$C$5:$C$135,MATCH($L3967,'Category Dictionary'!$D$5:$D$135,0)),"")),OR('Assignment Builder'!$B$8="",$D3967='Assignment Builder'!$B$8),OR('Assignment Builder'!$B$9="",$F3967='Assignment Builder'!$B$9),OR('Assignment Builder'!$B$10="",$O3967='Assignment Builder'!$B$10),OR('Assignment Builder'!$B$11="",$H3967&gt;='Assignment Builder'!$B$11),OR('Assignment Builder'!$B$12="",N($Q3967)&lt;='Assignment Builder'!$B$12)))</f>
        <v/>
      </c>
      <c r="T3967" s="23" t="n"/>
    </row>
    <row r="3968">
      <c r="A3968" s="23" t="n"/>
      <c r="B3968" s="23" t="n"/>
      <c r="C3968" s="24" t="n"/>
      <c r="D3968" s="15" t="n"/>
      <c r="E3968" s="23" t="n"/>
      <c r="F3968" s="15" t="n"/>
      <c r="G3968" s="23" t="n"/>
      <c r="H3968" s="25" t="n"/>
      <c r="I3968" s="15" t="n"/>
      <c r="J3968" s="26">
        <f>IF($A3968="","",LEN($C3968)-LEN(SUBSTITUTE($C3968,",",""))+1)</f>
        <v/>
      </c>
      <c r="K3968" s="26">
        <f>IF($A3968="","",SUMPRODUCT(--ISNUMBER(SEARCH('Category Dictionary'!$D$5:$D$135&amp;"",$C3968)),--('Category Dictionary'!$D$5:$D$135&lt;&gt;"")))</f>
        <v/>
      </c>
      <c r="L3968" s="27">
        <f>IF($A3968="","",TRIM(IF(ISERROR(FIND(",",$C3968)),$C3968,LEFT($C3968,FIND(",",$C3968)-1))))</f>
        <v/>
      </c>
      <c r="M3968" s="28">
        <f>IF($H3968="","",DATE(YEAR($H3968),MONTH($H3968),1))</f>
        <v/>
      </c>
      <c r="N3968" s="26">
        <f>IF($H3968="","",TODAY()-$H3968)</f>
        <v/>
      </c>
      <c r="O3968" s="15" t="n"/>
      <c r="P3968" s="15" t="n"/>
      <c r="Q3968" s="15" t="n"/>
      <c r="R3968" s="25" t="n"/>
      <c r="S3968" s="26">
        <f>IF($A3968="","",AND(OR('Assignment Builder'!$B$5="",$B3968='Assignment Builder'!$B$5),OR('Assignment Builder'!$B$6="",ISNUMBER(SEARCH('Assignment Builder'!$B$6,$C3968))),OR('Assignment Builder'!$B$7="",'Assignment Builder'!$B$7=IFERROR(INDEX('Category Dictionary'!$C$5:$C$135,MATCH($L3968,'Category Dictionary'!$D$5:$D$135,0)),"")),OR('Assignment Builder'!$B$8="",$D3968='Assignment Builder'!$B$8),OR('Assignment Builder'!$B$9="",$F3968='Assignment Builder'!$B$9),OR('Assignment Builder'!$B$10="",$O3968='Assignment Builder'!$B$10),OR('Assignment Builder'!$B$11="",$H3968&gt;='Assignment Builder'!$B$11),OR('Assignment Builder'!$B$12="",N($Q3968)&lt;='Assignment Builder'!$B$12)))</f>
        <v/>
      </c>
      <c r="T3968" s="23" t="n"/>
    </row>
    <row r="3969">
      <c r="A3969" s="23" t="n"/>
      <c r="B3969" s="23" t="n"/>
      <c r="C3969" s="24" t="n"/>
      <c r="D3969" s="15" t="n"/>
      <c r="E3969" s="23" t="n"/>
      <c r="F3969" s="15" t="n"/>
      <c r="G3969" s="23" t="n"/>
      <c r="H3969" s="25" t="n"/>
      <c r="I3969" s="15" t="n"/>
      <c r="J3969" s="26">
        <f>IF($A3969="","",LEN($C3969)-LEN(SUBSTITUTE($C3969,",",""))+1)</f>
        <v/>
      </c>
      <c r="K3969" s="26">
        <f>IF($A3969="","",SUMPRODUCT(--ISNUMBER(SEARCH('Category Dictionary'!$D$5:$D$135&amp;"",$C3969)),--('Category Dictionary'!$D$5:$D$135&lt;&gt;"")))</f>
        <v/>
      </c>
      <c r="L3969" s="27">
        <f>IF($A3969="","",TRIM(IF(ISERROR(FIND(",",$C3969)),$C3969,LEFT($C3969,FIND(",",$C3969)-1))))</f>
        <v/>
      </c>
      <c r="M3969" s="28">
        <f>IF($H3969="","",DATE(YEAR($H3969),MONTH($H3969),1))</f>
        <v/>
      </c>
      <c r="N3969" s="26">
        <f>IF($H3969="","",TODAY()-$H3969)</f>
        <v/>
      </c>
      <c r="O3969" s="15" t="n"/>
      <c r="P3969" s="15" t="n"/>
      <c r="Q3969" s="15" t="n"/>
      <c r="R3969" s="25" t="n"/>
      <c r="S3969" s="26">
        <f>IF($A3969="","",AND(OR('Assignment Builder'!$B$5="",$B3969='Assignment Builder'!$B$5),OR('Assignment Builder'!$B$6="",ISNUMBER(SEARCH('Assignment Builder'!$B$6,$C3969))),OR('Assignment Builder'!$B$7="",'Assignment Builder'!$B$7=IFERROR(INDEX('Category Dictionary'!$C$5:$C$135,MATCH($L3969,'Category Dictionary'!$D$5:$D$135,0)),"")),OR('Assignment Builder'!$B$8="",$D3969='Assignment Builder'!$B$8),OR('Assignment Builder'!$B$9="",$F3969='Assignment Builder'!$B$9),OR('Assignment Builder'!$B$10="",$O3969='Assignment Builder'!$B$10),OR('Assignment Builder'!$B$11="",$H3969&gt;='Assignment Builder'!$B$11),OR('Assignment Builder'!$B$12="",N($Q3969)&lt;='Assignment Builder'!$B$12)))</f>
        <v/>
      </c>
      <c r="T3969" s="23" t="n"/>
    </row>
    <row r="3970">
      <c r="A3970" s="23" t="n"/>
      <c r="B3970" s="23" t="n"/>
      <c r="C3970" s="24" t="n"/>
      <c r="D3970" s="15" t="n"/>
      <c r="E3970" s="23" t="n"/>
      <c r="F3970" s="15" t="n"/>
      <c r="G3970" s="23" t="n"/>
      <c r="H3970" s="25" t="n"/>
      <c r="I3970" s="15" t="n"/>
      <c r="J3970" s="26">
        <f>IF($A3970="","",LEN($C3970)-LEN(SUBSTITUTE($C3970,",",""))+1)</f>
        <v/>
      </c>
      <c r="K3970" s="26">
        <f>IF($A3970="","",SUMPRODUCT(--ISNUMBER(SEARCH('Category Dictionary'!$D$5:$D$135&amp;"",$C3970)),--('Category Dictionary'!$D$5:$D$135&lt;&gt;"")))</f>
        <v/>
      </c>
      <c r="L3970" s="27">
        <f>IF($A3970="","",TRIM(IF(ISERROR(FIND(",",$C3970)),$C3970,LEFT($C3970,FIND(",",$C3970)-1))))</f>
        <v/>
      </c>
      <c r="M3970" s="28">
        <f>IF($H3970="","",DATE(YEAR($H3970),MONTH($H3970),1))</f>
        <v/>
      </c>
      <c r="N3970" s="26">
        <f>IF($H3970="","",TODAY()-$H3970)</f>
        <v/>
      </c>
      <c r="O3970" s="15" t="n"/>
      <c r="P3970" s="15" t="n"/>
      <c r="Q3970" s="15" t="n"/>
      <c r="R3970" s="25" t="n"/>
      <c r="S3970" s="26">
        <f>IF($A3970="","",AND(OR('Assignment Builder'!$B$5="",$B3970='Assignment Builder'!$B$5),OR('Assignment Builder'!$B$6="",ISNUMBER(SEARCH('Assignment Builder'!$B$6,$C3970))),OR('Assignment Builder'!$B$7="",'Assignment Builder'!$B$7=IFERROR(INDEX('Category Dictionary'!$C$5:$C$135,MATCH($L3970,'Category Dictionary'!$D$5:$D$135,0)),"")),OR('Assignment Builder'!$B$8="",$D3970='Assignment Builder'!$B$8),OR('Assignment Builder'!$B$9="",$F3970='Assignment Builder'!$B$9),OR('Assignment Builder'!$B$10="",$O3970='Assignment Builder'!$B$10),OR('Assignment Builder'!$B$11="",$H3970&gt;='Assignment Builder'!$B$11),OR('Assignment Builder'!$B$12="",N($Q3970)&lt;='Assignment Builder'!$B$12)))</f>
        <v/>
      </c>
      <c r="T3970" s="23" t="n"/>
    </row>
    <row r="3971">
      <c r="A3971" s="23" t="n"/>
      <c r="B3971" s="23" t="n"/>
      <c r="C3971" s="24" t="n"/>
      <c r="D3971" s="15" t="n"/>
      <c r="E3971" s="23" t="n"/>
      <c r="F3971" s="15" t="n"/>
      <c r="G3971" s="23" t="n"/>
      <c r="H3971" s="25" t="n"/>
      <c r="I3971" s="15" t="n"/>
      <c r="J3971" s="26">
        <f>IF($A3971="","",LEN($C3971)-LEN(SUBSTITUTE($C3971,",",""))+1)</f>
        <v/>
      </c>
      <c r="K3971" s="26">
        <f>IF($A3971="","",SUMPRODUCT(--ISNUMBER(SEARCH('Category Dictionary'!$D$5:$D$135&amp;"",$C3971)),--('Category Dictionary'!$D$5:$D$135&lt;&gt;"")))</f>
        <v/>
      </c>
      <c r="L3971" s="27">
        <f>IF($A3971="","",TRIM(IF(ISERROR(FIND(",",$C3971)),$C3971,LEFT($C3971,FIND(",",$C3971)-1))))</f>
        <v/>
      </c>
      <c r="M3971" s="28">
        <f>IF($H3971="","",DATE(YEAR($H3971),MONTH($H3971),1))</f>
        <v/>
      </c>
      <c r="N3971" s="26">
        <f>IF($H3971="","",TODAY()-$H3971)</f>
        <v/>
      </c>
      <c r="O3971" s="15" t="n"/>
      <c r="P3971" s="15" t="n"/>
      <c r="Q3971" s="15" t="n"/>
      <c r="R3971" s="25" t="n"/>
      <c r="S3971" s="26">
        <f>IF($A3971="","",AND(OR('Assignment Builder'!$B$5="",$B3971='Assignment Builder'!$B$5),OR('Assignment Builder'!$B$6="",ISNUMBER(SEARCH('Assignment Builder'!$B$6,$C3971))),OR('Assignment Builder'!$B$7="",'Assignment Builder'!$B$7=IFERROR(INDEX('Category Dictionary'!$C$5:$C$135,MATCH($L3971,'Category Dictionary'!$D$5:$D$135,0)),"")),OR('Assignment Builder'!$B$8="",$D3971='Assignment Builder'!$B$8),OR('Assignment Builder'!$B$9="",$F3971='Assignment Builder'!$B$9),OR('Assignment Builder'!$B$10="",$O3971='Assignment Builder'!$B$10),OR('Assignment Builder'!$B$11="",$H3971&gt;='Assignment Builder'!$B$11),OR('Assignment Builder'!$B$12="",N($Q3971)&lt;='Assignment Builder'!$B$12)))</f>
        <v/>
      </c>
      <c r="T3971" s="23" t="n"/>
    </row>
    <row r="3972">
      <c r="A3972" s="23" t="n"/>
      <c r="B3972" s="23" t="n"/>
      <c r="C3972" s="24" t="n"/>
      <c r="D3972" s="15" t="n"/>
      <c r="E3972" s="23" t="n"/>
      <c r="F3972" s="15" t="n"/>
      <c r="G3972" s="23" t="n"/>
      <c r="H3972" s="25" t="n"/>
      <c r="I3972" s="15" t="n"/>
      <c r="J3972" s="26">
        <f>IF($A3972="","",LEN($C3972)-LEN(SUBSTITUTE($C3972,",",""))+1)</f>
        <v/>
      </c>
      <c r="K3972" s="26">
        <f>IF($A3972="","",SUMPRODUCT(--ISNUMBER(SEARCH('Category Dictionary'!$D$5:$D$135&amp;"",$C3972)),--('Category Dictionary'!$D$5:$D$135&lt;&gt;"")))</f>
        <v/>
      </c>
      <c r="L3972" s="27">
        <f>IF($A3972="","",TRIM(IF(ISERROR(FIND(",",$C3972)),$C3972,LEFT($C3972,FIND(",",$C3972)-1))))</f>
        <v/>
      </c>
      <c r="M3972" s="28">
        <f>IF($H3972="","",DATE(YEAR($H3972),MONTH($H3972),1))</f>
        <v/>
      </c>
      <c r="N3972" s="26">
        <f>IF($H3972="","",TODAY()-$H3972)</f>
        <v/>
      </c>
      <c r="O3972" s="15" t="n"/>
      <c r="P3972" s="15" t="n"/>
      <c r="Q3972" s="15" t="n"/>
      <c r="R3972" s="25" t="n"/>
      <c r="S3972" s="26">
        <f>IF($A3972="","",AND(OR('Assignment Builder'!$B$5="",$B3972='Assignment Builder'!$B$5),OR('Assignment Builder'!$B$6="",ISNUMBER(SEARCH('Assignment Builder'!$B$6,$C3972))),OR('Assignment Builder'!$B$7="",'Assignment Builder'!$B$7=IFERROR(INDEX('Category Dictionary'!$C$5:$C$135,MATCH($L3972,'Category Dictionary'!$D$5:$D$135,0)),"")),OR('Assignment Builder'!$B$8="",$D3972='Assignment Builder'!$B$8),OR('Assignment Builder'!$B$9="",$F3972='Assignment Builder'!$B$9),OR('Assignment Builder'!$B$10="",$O3972='Assignment Builder'!$B$10),OR('Assignment Builder'!$B$11="",$H3972&gt;='Assignment Builder'!$B$11),OR('Assignment Builder'!$B$12="",N($Q3972)&lt;='Assignment Builder'!$B$12)))</f>
        <v/>
      </c>
      <c r="T3972" s="23" t="n"/>
    </row>
    <row r="3973">
      <c r="A3973" s="23" t="n"/>
      <c r="B3973" s="23" t="n"/>
      <c r="C3973" s="24" t="n"/>
      <c r="D3973" s="15" t="n"/>
      <c r="E3973" s="23" t="n"/>
      <c r="F3973" s="15" t="n"/>
      <c r="G3973" s="23" t="n"/>
      <c r="H3973" s="25" t="n"/>
      <c r="I3973" s="15" t="n"/>
      <c r="J3973" s="26">
        <f>IF($A3973="","",LEN($C3973)-LEN(SUBSTITUTE($C3973,",",""))+1)</f>
        <v/>
      </c>
      <c r="K3973" s="26">
        <f>IF($A3973="","",SUMPRODUCT(--ISNUMBER(SEARCH('Category Dictionary'!$D$5:$D$135&amp;"",$C3973)),--('Category Dictionary'!$D$5:$D$135&lt;&gt;"")))</f>
        <v/>
      </c>
      <c r="L3973" s="27">
        <f>IF($A3973="","",TRIM(IF(ISERROR(FIND(",",$C3973)),$C3973,LEFT($C3973,FIND(",",$C3973)-1))))</f>
        <v/>
      </c>
      <c r="M3973" s="28">
        <f>IF($H3973="","",DATE(YEAR($H3973),MONTH($H3973),1))</f>
        <v/>
      </c>
      <c r="N3973" s="26">
        <f>IF($H3973="","",TODAY()-$H3973)</f>
        <v/>
      </c>
      <c r="O3973" s="15" t="n"/>
      <c r="P3973" s="15" t="n"/>
      <c r="Q3973" s="15" t="n"/>
      <c r="R3973" s="25" t="n"/>
      <c r="S3973" s="26">
        <f>IF($A3973="","",AND(OR('Assignment Builder'!$B$5="",$B3973='Assignment Builder'!$B$5),OR('Assignment Builder'!$B$6="",ISNUMBER(SEARCH('Assignment Builder'!$B$6,$C3973))),OR('Assignment Builder'!$B$7="",'Assignment Builder'!$B$7=IFERROR(INDEX('Category Dictionary'!$C$5:$C$135,MATCH($L3973,'Category Dictionary'!$D$5:$D$135,0)),"")),OR('Assignment Builder'!$B$8="",$D3973='Assignment Builder'!$B$8),OR('Assignment Builder'!$B$9="",$F3973='Assignment Builder'!$B$9),OR('Assignment Builder'!$B$10="",$O3973='Assignment Builder'!$B$10),OR('Assignment Builder'!$B$11="",$H3973&gt;='Assignment Builder'!$B$11),OR('Assignment Builder'!$B$12="",N($Q3973)&lt;='Assignment Builder'!$B$12)))</f>
        <v/>
      </c>
      <c r="T3973" s="23" t="n"/>
    </row>
    <row r="3974">
      <c r="A3974" s="23" t="n"/>
      <c r="B3974" s="23" t="n"/>
      <c r="C3974" s="24" t="n"/>
      <c r="D3974" s="15" t="n"/>
      <c r="E3974" s="23" t="n"/>
      <c r="F3974" s="15" t="n"/>
      <c r="G3974" s="23" t="n"/>
      <c r="H3974" s="25" t="n"/>
      <c r="I3974" s="15" t="n"/>
      <c r="J3974" s="26">
        <f>IF($A3974="","",LEN($C3974)-LEN(SUBSTITUTE($C3974,",",""))+1)</f>
        <v/>
      </c>
      <c r="K3974" s="26">
        <f>IF($A3974="","",SUMPRODUCT(--ISNUMBER(SEARCH('Category Dictionary'!$D$5:$D$135&amp;"",$C3974)),--('Category Dictionary'!$D$5:$D$135&lt;&gt;"")))</f>
        <v/>
      </c>
      <c r="L3974" s="27">
        <f>IF($A3974="","",TRIM(IF(ISERROR(FIND(",",$C3974)),$C3974,LEFT($C3974,FIND(",",$C3974)-1))))</f>
        <v/>
      </c>
      <c r="M3974" s="28">
        <f>IF($H3974="","",DATE(YEAR($H3974),MONTH($H3974),1))</f>
        <v/>
      </c>
      <c r="N3974" s="26">
        <f>IF($H3974="","",TODAY()-$H3974)</f>
        <v/>
      </c>
      <c r="O3974" s="15" t="n"/>
      <c r="P3974" s="15" t="n"/>
      <c r="Q3974" s="15" t="n"/>
      <c r="R3974" s="25" t="n"/>
      <c r="S3974" s="26">
        <f>IF($A3974="","",AND(OR('Assignment Builder'!$B$5="",$B3974='Assignment Builder'!$B$5),OR('Assignment Builder'!$B$6="",ISNUMBER(SEARCH('Assignment Builder'!$B$6,$C3974))),OR('Assignment Builder'!$B$7="",'Assignment Builder'!$B$7=IFERROR(INDEX('Category Dictionary'!$C$5:$C$135,MATCH($L3974,'Category Dictionary'!$D$5:$D$135,0)),"")),OR('Assignment Builder'!$B$8="",$D3974='Assignment Builder'!$B$8),OR('Assignment Builder'!$B$9="",$F3974='Assignment Builder'!$B$9),OR('Assignment Builder'!$B$10="",$O3974='Assignment Builder'!$B$10),OR('Assignment Builder'!$B$11="",$H3974&gt;='Assignment Builder'!$B$11),OR('Assignment Builder'!$B$12="",N($Q3974)&lt;='Assignment Builder'!$B$12)))</f>
        <v/>
      </c>
      <c r="T3974" s="23" t="n"/>
    </row>
    <row r="3975">
      <c r="A3975" s="23" t="n"/>
      <c r="B3975" s="23" t="n"/>
      <c r="C3975" s="24" t="n"/>
      <c r="D3975" s="15" t="n"/>
      <c r="E3975" s="23" t="n"/>
      <c r="F3975" s="15" t="n"/>
      <c r="G3975" s="23" t="n"/>
      <c r="H3975" s="25" t="n"/>
      <c r="I3975" s="15" t="n"/>
      <c r="J3975" s="26">
        <f>IF($A3975="","",LEN($C3975)-LEN(SUBSTITUTE($C3975,",",""))+1)</f>
        <v/>
      </c>
      <c r="K3975" s="26">
        <f>IF($A3975="","",SUMPRODUCT(--ISNUMBER(SEARCH('Category Dictionary'!$D$5:$D$135&amp;"",$C3975)),--('Category Dictionary'!$D$5:$D$135&lt;&gt;"")))</f>
        <v/>
      </c>
      <c r="L3975" s="27">
        <f>IF($A3975="","",TRIM(IF(ISERROR(FIND(",",$C3975)),$C3975,LEFT($C3975,FIND(",",$C3975)-1))))</f>
        <v/>
      </c>
      <c r="M3975" s="28">
        <f>IF($H3975="","",DATE(YEAR($H3975),MONTH($H3975),1))</f>
        <v/>
      </c>
      <c r="N3975" s="26">
        <f>IF($H3975="","",TODAY()-$H3975)</f>
        <v/>
      </c>
      <c r="O3975" s="15" t="n"/>
      <c r="P3975" s="15" t="n"/>
      <c r="Q3975" s="15" t="n"/>
      <c r="R3975" s="25" t="n"/>
      <c r="S3975" s="26">
        <f>IF($A3975="","",AND(OR('Assignment Builder'!$B$5="",$B3975='Assignment Builder'!$B$5),OR('Assignment Builder'!$B$6="",ISNUMBER(SEARCH('Assignment Builder'!$B$6,$C3975))),OR('Assignment Builder'!$B$7="",'Assignment Builder'!$B$7=IFERROR(INDEX('Category Dictionary'!$C$5:$C$135,MATCH($L3975,'Category Dictionary'!$D$5:$D$135,0)),"")),OR('Assignment Builder'!$B$8="",$D3975='Assignment Builder'!$B$8),OR('Assignment Builder'!$B$9="",$F3975='Assignment Builder'!$B$9),OR('Assignment Builder'!$B$10="",$O3975='Assignment Builder'!$B$10),OR('Assignment Builder'!$B$11="",$H3975&gt;='Assignment Builder'!$B$11),OR('Assignment Builder'!$B$12="",N($Q3975)&lt;='Assignment Builder'!$B$12)))</f>
        <v/>
      </c>
      <c r="T3975" s="23" t="n"/>
    </row>
    <row r="3976">
      <c r="A3976" s="23" t="n"/>
      <c r="B3976" s="23" t="n"/>
      <c r="C3976" s="24" t="n"/>
      <c r="D3976" s="15" t="n"/>
      <c r="E3976" s="23" t="n"/>
      <c r="F3976" s="15" t="n"/>
      <c r="G3976" s="23" t="n"/>
      <c r="H3976" s="25" t="n"/>
      <c r="I3976" s="15" t="n"/>
      <c r="J3976" s="26">
        <f>IF($A3976="","",LEN($C3976)-LEN(SUBSTITUTE($C3976,",",""))+1)</f>
        <v/>
      </c>
      <c r="K3976" s="26">
        <f>IF($A3976="","",SUMPRODUCT(--ISNUMBER(SEARCH('Category Dictionary'!$D$5:$D$135&amp;"",$C3976)),--('Category Dictionary'!$D$5:$D$135&lt;&gt;"")))</f>
        <v/>
      </c>
      <c r="L3976" s="27">
        <f>IF($A3976="","",TRIM(IF(ISERROR(FIND(",",$C3976)),$C3976,LEFT($C3976,FIND(",",$C3976)-1))))</f>
        <v/>
      </c>
      <c r="M3976" s="28">
        <f>IF($H3976="","",DATE(YEAR($H3976),MONTH($H3976),1))</f>
        <v/>
      </c>
      <c r="N3976" s="26">
        <f>IF($H3976="","",TODAY()-$H3976)</f>
        <v/>
      </c>
      <c r="O3976" s="15" t="n"/>
      <c r="P3976" s="15" t="n"/>
      <c r="Q3976" s="15" t="n"/>
      <c r="R3976" s="25" t="n"/>
      <c r="S3976" s="26">
        <f>IF($A3976="","",AND(OR('Assignment Builder'!$B$5="",$B3976='Assignment Builder'!$B$5),OR('Assignment Builder'!$B$6="",ISNUMBER(SEARCH('Assignment Builder'!$B$6,$C3976))),OR('Assignment Builder'!$B$7="",'Assignment Builder'!$B$7=IFERROR(INDEX('Category Dictionary'!$C$5:$C$135,MATCH($L3976,'Category Dictionary'!$D$5:$D$135,0)),"")),OR('Assignment Builder'!$B$8="",$D3976='Assignment Builder'!$B$8),OR('Assignment Builder'!$B$9="",$F3976='Assignment Builder'!$B$9),OR('Assignment Builder'!$B$10="",$O3976='Assignment Builder'!$B$10),OR('Assignment Builder'!$B$11="",$H3976&gt;='Assignment Builder'!$B$11),OR('Assignment Builder'!$B$12="",N($Q3976)&lt;='Assignment Builder'!$B$12)))</f>
        <v/>
      </c>
      <c r="T3976" s="23" t="n"/>
    </row>
    <row r="3977">
      <c r="A3977" s="23" t="n"/>
      <c r="B3977" s="23" t="n"/>
      <c r="C3977" s="24" t="n"/>
      <c r="D3977" s="15" t="n"/>
      <c r="E3977" s="23" t="n"/>
      <c r="F3977" s="15" t="n"/>
      <c r="G3977" s="23" t="n"/>
      <c r="H3977" s="25" t="n"/>
      <c r="I3977" s="15" t="n"/>
      <c r="J3977" s="26">
        <f>IF($A3977="","",LEN($C3977)-LEN(SUBSTITUTE($C3977,",",""))+1)</f>
        <v/>
      </c>
      <c r="K3977" s="26">
        <f>IF($A3977="","",SUMPRODUCT(--ISNUMBER(SEARCH('Category Dictionary'!$D$5:$D$135&amp;"",$C3977)),--('Category Dictionary'!$D$5:$D$135&lt;&gt;"")))</f>
        <v/>
      </c>
      <c r="L3977" s="27">
        <f>IF($A3977="","",TRIM(IF(ISERROR(FIND(",",$C3977)),$C3977,LEFT($C3977,FIND(",",$C3977)-1))))</f>
        <v/>
      </c>
      <c r="M3977" s="28">
        <f>IF($H3977="","",DATE(YEAR($H3977),MONTH($H3977),1))</f>
        <v/>
      </c>
      <c r="N3977" s="26">
        <f>IF($H3977="","",TODAY()-$H3977)</f>
        <v/>
      </c>
      <c r="O3977" s="15" t="n"/>
      <c r="P3977" s="15" t="n"/>
      <c r="Q3977" s="15" t="n"/>
      <c r="R3977" s="25" t="n"/>
      <c r="S3977" s="26">
        <f>IF($A3977="","",AND(OR('Assignment Builder'!$B$5="",$B3977='Assignment Builder'!$B$5),OR('Assignment Builder'!$B$6="",ISNUMBER(SEARCH('Assignment Builder'!$B$6,$C3977))),OR('Assignment Builder'!$B$7="",'Assignment Builder'!$B$7=IFERROR(INDEX('Category Dictionary'!$C$5:$C$135,MATCH($L3977,'Category Dictionary'!$D$5:$D$135,0)),"")),OR('Assignment Builder'!$B$8="",$D3977='Assignment Builder'!$B$8),OR('Assignment Builder'!$B$9="",$F3977='Assignment Builder'!$B$9),OR('Assignment Builder'!$B$10="",$O3977='Assignment Builder'!$B$10),OR('Assignment Builder'!$B$11="",$H3977&gt;='Assignment Builder'!$B$11),OR('Assignment Builder'!$B$12="",N($Q3977)&lt;='Assignment Builder'!$B$12)))</f>
        <v/>
      </c>
      <c r="T3977" s="23" t="n"/>
    </row>
    <row r="3978">
      <c r="A3978" s="23" t="n"/>
      <c r="B3978" s="23" t="n"/>
      <c r="C3978" s="24" t="n"/>
      <c r="D3978" s="15" t="n"/>
      <c r="E3978" s="23" t="n"/>
      <c r="F3978" s="15" t="n"/>
      <c r="G3978" s="23" t="n"/>
      <c r="H3978" s="25" t="n"/>
      <c r="I3978" s="15" t="n"/>
      <c r="J3978" s="26">
        <f>IF($A3978="","",LEN($C3978)-LEN(SUBSTITUTE($C3978,",",""))+1)</f>
        <v/>
      </c>
      <c r="K3978" s="26">
        <f>IF($A3978="","",SUMPRODUCT(--ISNUMBER(SEARCH('Category Dictionary'!$D$5:$D$135&amp;"",$C3978)),--('Category Dictionary'!$D$5:$D$135&lt;&gt;"")))</f>
        <v/>
      </c>
      <c r="L3978" s="27">
        <f>IF($A3978="","",TRIM(IF(ISERROR(FIND(",",$C3978)),$C3978,LEFT($C3978,FIND(",",$C3978)-1))))</f>
        <v/>
      </c>
      <c r="M3978" s="28">
        <f>IF($H3978="","",DATE(YEAR($H3978),MONTH($H3978),1))</f>
        <v/>
      </c>
      <c r="N3978" s="26">
        <f>IF($H3978="","",TODAY()-$H3978)</f>
        <v/>
      </c>
      <c r="O3978" s="15" t="n"/>
      <c r="P3978" s="15" t="n"/>
      <c r="Q3978" s="15" t="n"/>
      <c r="R3978" s="25" t="n"/>
      <c r="S3978" s="26">
        <f>IF($A3978="","",AND(OR('Assignment Builder'!$B$5="",$B3978='Assignment Builder'!$B$5),OR('Assignment Builder'!$B$6="",ISNUMBER(SEARCH('Assignment Builder'!$B$6,$C3978))),OR('Assignment Builder'!$B$7="",'Assignment Builder'!$B$7=IFERROR(INDEX('Category Dictionary'!$C$5:$C$135,MATCH($L3978,'Category Dictionary'!$D$5:$D$135,0)),"")),OR('Assignment Builder'!$B$8="",$D3978='Assignment Builder'!$B$8),OR('Assignment Builder'!$B$9="",$F3978='Assignment Builder'!$B$9),OR('Assignment Builder'!$B$10="",$O3978='Assignment Builder'!$B$10),OR('Assignment Builder'!$B$11="",$H3978&gt;='Assignment Builder'!$B$11),OR('Assignment Builder'!$B$12="",N($Q3978)&lt;='Assignment Builder'!$B$12)))</f>
        <v/>
      </c>
      <c r="T3978" s="23" t="n"/>
    </row>
    <row r="3979">
      <c r="A3979" s="23" t="n"/>
      <c r="B3979" s="23" t="n"/>
      <c r="C3979" s="24" t="n"/>
      <c r="D3979" s="15" t="n"/>
      <c r="E3979" s="23" t="n"/>
      <c r="F3979" s="15" t="n"/>
      <c r="G3979" s="23" t="n"/>
      <c r="H3979" s="25" t="n"/>
      <c r="I3979" s="15" t="n"/>
      <c r="J3979" s="26">
        <f>IF($A3979="","",LEN($C3979)-LEN(SUBSTITUTE($C3979,",",""))+1)</f>
        <v/>
      </c>
      <c r="K3979" s="26">
        <f>IF($A3979="","",SUMPRODUCT(--ISNUMBER(SEARCH('Category Dictionary'!$D$5:$D$135&amp;"",$C3979)),--('Category Dictionary'!$D$5:$D$135&lt;&gt;"")))</f>
        <v/>
      </c>
      <c r="L3979" s="27">
        <f>IF($A3979="","",TRIM(IF(ISERROR(FIND(",",$C3979)),$C3979,LEFT($C3979,FIND(",",$C3979)-1))))</f>
        <v/>
      </c>
      <c r="M3979" s="28">
        <f>IF($H3979="","",DATE(YEAR($H3979),MONTH($H3979),1))</f>
        <v/>
      </c>
      <c r="N3979" s="26">
        <f>IF($H3979="","",TODAY()-$H3979)</f>
        <v/>
      </c>
      <c r="O3979" s="15" t="n"/>
      <c r="P3979" s="15" t="n"/>
      <c r="Q3979" s="15" t="n"/>
      <c r="R3979" s="25" t="n"/>
      <c r="S3979" s="26">
        <f>IF($A3979="","",AND(OR('Assignment Builder'!$B$5="",$B3979='Assignment Builder'!$B$5),OR('Assignment Builder'!$B$6="",ISNUMBER(SEARCH('Assignment Builder'!$B$6,$C3979))),OR('Assignment Builder'!$B$7="",'Assignment Builder'!$B$7=IFERROR(INDEX('Category Dictionary'!$C$5:$C$135,MATCH($L3979,'Category Dictionary'!$D$5:$D$135,0)),"")),OR('Assignment Builder'!$B$8="",$D3979='Assignment Builder'!$B$8),OR('Assignment Builder'!$B$9="",$F3979='Assignment Builder'!$B$9),OR('Assignment Builder'!$B$10="",$O3979='Assignment Builder'!$B$10),OR('Assignment Builder'!$B$11="",$H3979&gt;='Assignment Builder'!$B$11),OR('Assignment Builder'!$B$12="",N($Q3979)&lt;='Assignment Builder'!$B$12)))</f>
        <v/>
      </c>
      <c r="T3979" s="23" t="n"/>
    </row>
    <row r="3980">
      <c r="A3980" s="23" t="n"/>
      <c r="B3980" s="23" t="n"/>
      <c r="C3980" s="24" t="n"/>
      <c r="D3980" s="15" t="n"/>
      <c r="E3980" s="23" t="n"/>
      <c r="F3980" s="15" t="n"/>
      <c r="G3980" s="23" t="n"/>
      <c r="H3980" s="25" t="n"/>
      <c r="I3980" s="15" t="n"/>
      <c r="J3980" s="26">
        <f>IF($A3980="","",LEN($C3980)-LEN(SUBSTITUTE($C3980,",",""))+1)</f>
        <v/>
      </c>
      <c r="K3980" s="26">
        <f>IF($A3980="","",SUMPRODUCT(--ISNUMBER(SEARCH('Category Dictionary'!$D$5:$D$135&amp;"",$C3980)),--('Category Dictionary'!$D$5:$D$135&lt;&gt;"")))</f>
        <v/>
      </c>
      <c r="L3980" s="27">
        <f>IF($A3980="","",TRIM(IF(ISERROR(FIND(",",$C3980)),$C3980,LEFT($C3980,FIND(",",$C3980)-1))))</f>
        <v/>
      </c>
      <c r="M3980" s="28">
        <f>IF($H3980="","",DATE(YEAR($H3980),MONTH($H3980),1))</f>
        <v/>
      </c>
      <c r="N3980" s="26">
        <f>IF($H3980="","",TODAY()-$H3980)</f>
        <v/>
      </c>
      <c r="O3980" s="15" t="n"/>
      <c r="P3980" s="15" t="n"/>
      <c r="Q3980" s="15" t="n"/>
      <c r="R3980" s="25" t="n"/>
      <c r="S3980" s="26">
        <f>IF($A3980="","",AND(OR('Assignment Builder'!$B$5="",$B3980='Assignment Builder'!$B$5),OR('Assignment Builder'!$B$6="",ISNUMBER(SEARCH('Assignment Builder'!$B$6,$C3980))),OR('Assignment Builder'!$B$7="",'Assignment Builder'!$B$7=IFERROR(INDEX('Category Dictionary'!$C$5:$C$135,MATCH($L3980,'Category Dictionary'!$D$5:$D$135,0)),"")),OR('Assignment Builder'!$B$8="",$D3980='Assignment Builder'!$B$8),OR('Assignment Builder'!$B$9="",$F3980='Assignment Builder'!$B$9),OR('Assignment Builder'!$B$10="",$O3980='Assignment Builder'!$B$10),OR('Assignment Builder'!$B$11="",$H3980&gt;='Assignment Builder'!$B$11),OR('Assignment Builder'!$B$12="",N($Q3980)&lt;='Assignment Builder'!$B$12)))</f>
        <v/>
      </c>
      <c r="T3980" s="23" t="n"/>
    </row>
    <row r="3981">
      <c r="A3981" s="23" t="n"/>
      <c r="B3981" s="23" t="n"/>
      <c r="C3981" s="24" t="n"/>
      <c r="D3981" s="15" t="n"/>
      <c r="E3981" s="23" t="n"/>
      <c r="F3981" s="15" t="n"/>
      <c r="G3981" s="23" t="n"/>
      <c r="H3981" s="25" t="n"/>
      <c r="I3981" s="15" t="n"/>
      <c r="J3981" s="26">
        <f>IF($A3981="","",LEN($C3981)-LEN(SUBSTITUTE($C3981,",",""))+1)</f>
        <v/>
      </c>
      <c r="K3981" s="26">
        <f>IF($A3981="","",SUMPRODUCT(--ISNUMBER(SEARCH('Category Dictionary'!$D$5:$D$135&amp;"",$C3981)),--('Category Dictionary'!$D$5:$D$135&lt;&gt;"")))</f>
        <v/>
      </c>
      <c r="L3981" s="27">
        <f>IF($A3981="","",TRIM(IF(ISERROR(FIND(",",$C3981)),$C3981,LEFT($C3981,FIND(",",$C3981)-1))))</f>
        <v/>
      </c>
      <c r="M3981" s="28">
        <f>IF($H3981="","",DATE(YEAR($H3981),MONTH($H3981),1))</f>
        <v/>
      </c>
      <c r="N3981" s="26">
        <f>IF($H3981="","",TODAY()-$H3981)</f>
        <v/>
      </c>
      <c r="O3981" s="15" t="n"/>
      <c r="P3981" s="15" t="n"/>
      <c r="Q3981" s="15" t="n"/>
      <c r="R3981" s="25" t="n"/>
      <c r="S3981" s="26">
        <f>IF($A3981="","",AND(OR('Assignment Builder'!$B$5="",$B3981='Assignment Builder'!$B$5),OR('Assignment Builder'!$B$6="",ISNUMBER(SEARCH('Assignment Builder'!$B$6,$C3981))),OR('Assignment Builder'!$B$7="",'Assignment Builder'!$B$7=IFERROR(INDEX('Category Dictionary'!$C$5:$C$135,MATCH($L3981,'Category Dictionary'!$D$5:$D$135,0)),"")),OR('Assignment Builder'!$B$8="",$D3981='Assignment Builder'!$B$8),OR('Assignment Builder'!$B$9="",$F3981='Assignment Builder'!$B$9),OR('Assignment Builder'!$B$10="",$O3981='Assignment Builder'!$B$10),OR('Assignment Builder'!$B$11="",$H3981&gt;='Assignment Builder'!$B$11),OR('Assignment Builder'!$B$12="",N($Q3981)&lt;='Assignment Builder'!$B$12)))</f>
        <v/>
      </c>
      <c r="T3981" s="23" t="n"/>
    </row>
    <row r="3982">
      <c r="A3982" s="23" t="n"/>
      <c r="B3982" s="23" t="n"/>
      <c r="C3982" s="24" t="n"/>
      <c r="D3982" s="15" t="n"/>
      <c r="E3982" s="23" t="n"/>
      <c r="F3982" s="15" t="n"/>
      <c r="G3982" s="23" t="n"/>
      <c r="H3982" s="25" t="n"/>
      <c r="I3982" s="15" t="n"/>
      <c r="J3982" s="26">
        <f>IF($A3982="","",LEN($C3982)-LEN(SUBSTITUTE($C3982,",",""))+1)</f>
        <v/>
      </c>
      <c r="K3982" s="26">
        <f>IF($A3982="","",SUMPRODUCT(--ISNUMBER(SEARCH('Category Dictionary'!$D$5:$D$135&amp;"",$C3982)),--('Category Dictionary'!$D$5:$D$135&lt;&gt;"")))</f>
        <v/>
      </c>
      <c r="L3982" s="27">
        <f>IF($A3982="","",TRIM(IF(ISERROR(FIND(",",$C3982)),$C3982,LEFT($C3982,FIND(",",$C3982)-1))))</f>
        <v/>
      </c>
      <c r="M3982" s="28">
        <f>IF($H3982="","",DATE(YEAR($H3982),MONTH($H3982),1))</f>
        <v/>
      </c>
      <c r="N3982" s="26">
        <f>IF($H3982="","",TODAY()-$H3982)</f>
        <v/>
      </c>
      <c r="O3982" s="15" t="n"/>
      <c r="P3982" s="15" t="n"/>
      <c r="Q3982" s="15" t="n"/>
      <c r="R3982" s="25" t="n"/>
      <c r="S3982" s="26">
        <f>IF($A3982="","",AND(OR('Assignment Builder'!$B$5="",$B3982='Assignment Builder'!$B$5),OR('Assignment Builder'!$B$6="",ISNUMBER(SEARCH('Assignment Builder'!$B$6,$C3982))),OR('Assignment Builder'!$B$7="",'Assignment Builder'!$B$7=IFERROR(INDEX('Category Dictionary'!$C$5:$C$135,MATCH($L3982,'Category Dictionary'!$D$5:$D$135,0)),"")),OR('Assignment Builder'!$B$8="",$D3982='Assignment Builder'!$B$8),OR('Assignment Builder'!$B$9="",$F3982='Assignment Builder'!$B$9),OR('Assignment Builder'!$B$10="",$O3982='Assignment Builder'!$B$10),OR('Assignment Builder'!$B$11="",$H3982&gt;='Assignment Builder'!$B$11),OR('Assignment Builder'!$B$12="",N($Q3982)&lt;='Assignment Builder'!$B$12)))</f>
        <v/>
      </c>
      <c r="T3982" s="23" t="n"/>
    </row>
    <row r="3983">
      <c r="A3983" s="23" t="n"/>
      <c r="B3983" s="23" t="n"/>
      <c r="C3983" s="24" t="n"/>
      <c r="D3983" s="15" t="n"/>
      <c r="E3983" s="23" t="n"/>
      <c r="F3983" s="15" t="n"/>
      <c r="G3983" s="23" t="n"/>
      <c r="H3983" s="25" t="n"/>
      <c r="I3983" s="15" t="n"/>
      <c r="J3983" s="26">
        <f>IF($A3983="","",LEN($C3983)-LEN(SUBSTITUTE($C3983,",",""))+1)</f>
        <v/>
      </c>
      <c r="K3983" s="26">
        <f>IF($A3983="","",SUMPRODUCT(--ISNUMBER(SEARCH('Category Dictionary'!$D$5:$D$135&amp;"",$C3983)),--('Category Dictionary'!$D$5:$D$135&lt;&gt;"")))</f>
        <v/>
      </c>
      <c r="L3983" s="27">
        <f>IF($A3983="","",TRIM(IF(ISERROR(FIND(",",$C3983)),$C3983,LEFT($C3983,FIND(",",$C3983)-1))))</f>
        <v/>
      </c>
      <c r="M3983" s="28">
        <f>IF($H3983="","",DATE(YEAR($H3983),MONTH($H3983),1))</f>
        <v/>
      </c>
      <c r="N3983" s="26">
        <f>IF($H3983="","",TODAY()-$H3983)</f>
        <v/>
      </c>
      <c r="O3983" s="15" t="n"/>
      <c r="P3983" s="15" t="n"/>
      <c r="Q3983" s="15" t="n"/>
      <c r="R3983" s="25" t="n"/>
      <c r="S3983" s="26">
        <f>IF($A3983="","",AND(OR('Assignment Builder'!$B$5="",$B3983='Assignment Builder'!$B$5),OR('Assignment Builder'!$B$6="",ISNUMBER(SEARCH('Assignment Builder'!$B$6,$C3983))),OR('Assignment Builder'!$B$7="",'Assignment Builder'!$B$7=IFERROR(INDEX('Category Dictionary'!$C$5:$C$135,MATCH($L3983,'Category Dictionary'!$D$5:$D$135,0)),"")),OR('Assignment Builder'!$B$8="",$D3983='Assignment Builder'!$B$8),OR('Assignment Builder'!$B$9="",$F3983='Assignment Builder'!$B$9),OR('Assignment Builder'!$B$10="",$O3983='Assignment Builder'!$B$10),OR('Assignment Builder'!$B$11="",$H3983&gt;='Assignment Builder'!$B$11),OR('Assignment Builder'!$B$12="",N($Q3983)&lt;='Assignment Builder'!$B$12)))</f>
        <v/>
      </c>
      <c r="T3983" s="23" t="n"/>
    </row>
    <row r="3984">
      <c r="A3984" s="23" t="n"/>
      <c r="B3984" s="23" t="n"/>
      <c r="C3984" s="24" t="n"/>
      <c r="D3984" s="15" t="n"/>
      <c r="E3984" s="23" t="n"/>
      <c r="F3984" s="15" t="n"/>
      <c r="G3984" s="23" t="n"/>
      <c r="H3984" s="25" t="n"/>
      <c r="I3984" s="15" t="n"/>
      <c r="J3984" s="26">
        <f>IF($A3984="","",LEN($C3984)-LEN(SUBSTITUTE($C3984,",",""))+1)</f>
        <v/>
      </c>
      <c r="K3984" s="26">
        <f>IF($A3984="","",SUMPRODUCT(--ISNUMBER(SEARCH('Category Dictionary'!$D$5:$D$135&amp;"",$C3984)),--('Category Dictionary'!$D$5:$D$135&lt;&gt;"")))</f>
        <v/>
      </c>
      <c r="L3984" s="27">
        <f>IF($A3984="","",TRIM(IF(ISERROR(FIND(",",$C3984)),$C3984,LEFT($C3984,FIND(",",$C3984)-1))))</f>
        <v/>
      </c>
      <c r="M3984" s="28">
        <f>IF($H3984="","",DATE(YEAR($H3984),MONTH($H3984),1))</f>
        <v/>
      </c>
      <c r="N3984" s="26">
        <f>IF($H3984="","",TODAY()-$H3984)</f>
        <v/>
      </c>
      <c r="O3984" s="15" t="n"/>
      <c r="P3984" s="15" t="n"/>
      <c r="Q3984" s="15" t="n"/>
      <c r="R3984" s="25" t="n"/>
      <c r="S3984" s="26">
        <f>IF($A3984="","",AND(OR('Assignment Builder'!$B$5="",$B3984='Assignment Builder'!$B$5),OR('Assignment Builder'!$B$6="",ISNUMBER(SEARCH('Assignment Builder'!$B$6,$C3984))),OR('Assignment Builder'!$B$7="",'Assignment Builder'!$B$7=IFERROR(INDEX('Category Dictionary'!$C$5:$C$135,MATCH($L3984,'Category Dictionary'!$D$5:$D$135,0)),"")),OR('Assignment Builder'!$B$8="",$D3984='Assignment Builder'!$B$8),OR('Assignment Builder'!$B$9="",$F3984='Assignment Builder'!$B$9),OR('Assignment Builder'!$B$10="",$O3984='Assignment Builder'!$B$10),OR('Assignment Builder'!$B$11="",$H3984&gt;='Assignment Builder'!$B$11),OR('Assignment Builder'!$B$12="",N($Q3984)&lt;='Assignment Builder'!$B$12)))</f>
        <v/>
      </c>
      <c r="T3984" s="23" t="n"/>
    </row>
    <row r="3985">
      <c r="A3985" s="23" t="n"/>
      <c r="B3985" s="23" t="n"/>
      <c r="C3985" s="24" t="n"/>
      <c r="D3985" s="15" t="n"/>
      <c r="E3985" s="23" t="n"/>
      <c r="F3985" s="15" t="n"/>
      <c r="G3985" s="23" t="n"/>
      <c r="H3985" s="25" t="n"/>
      <c r="I3985" s="15" t="n"/>
      <c r="J3985" s="26">
        <f>IF($A3985="","",LEN($C3985)-LEN(SUBSTITUTE($C3985,",",""))+1)</f>
        <v/>
      </c>
      <c r="K3985" s="26">
        <f>IF($A3985="","",SUMPRODUCT(--ISNUMBER(SEARCH('Category Dictionary'!$D$5:$D$135&amp;"",$C3985)),--('Category Dictionary'!$D$5:$D$135&lt;&gt;"")))</f>
        <v/>
      </c>
      <c r="L3985" s="27">
        <f>IF($A3985="","",TRIM(IF(ISERROR(FIND(",",$C3985)),$C3985,LEFT($C3985,FIND(",",$C3985)-1))))</f>
        <v/>
      </c>
      <c r="M3985" s="28">
        <f>IF($H3985="","",DATE(YEAR($H3985),MONTH($H3985),1))</f>
        <v/>
      </c>
      <c r="N3985" s="26">
        <f>IF($H3985="","",TODAY()-$H3985)</f>
        <v/>
      </c>
      <c r="O3985" s="15" t="n"/>
      <c r="P3985" s="15" t="n"/>
      <c r="Q3985" s="15" t="n"/>
      <c r="R3985" s="25" t="n"/>
      <c r="S3985" s="26">
        <f>IF($A3985="","",AND(OR('Assignment Builder'!$B$5="",$B3985='Assignment Builder'!$B$5),OR('Assignment Builder'!$B$6="",ISNUMBER(SEARCH('Assignment Builder'!$B$6,$C3985))),OR('Assignment Builder'!$B$7="",'Assignment Builder'!$B$7=IFERROR(INDEX('Category Dictionary'!$C$5:$C$135,MATCH($L3985,'Category Dictionary'!$D$5:$D$135,0)),"")),OR('Assignment Builder'!$B$8="",$D3985='Assignment Builder'!$B$8),OR('Assignment Builder'!$B$9="",$F3985='Assignment Builder'!$B$9),OR('Assignment Builder'!$B$10="",$O3985='Assignment Builder'!$B$10),OR('Assignment Builder'!$B$11="",$H3985&gt;='Assignment Builder'!$B$11),OR('Assignment Builder'!$B$12="",N($Q3985)&lt;='Assignment Builder'!$B$12)))</f>
        <v/>
      </c>
      <c r="T3985" s="23" t="n"/>
    </row>
    <row r="3986">
      <c r="A3986" s="23" t="n"/>
      <c r="B3986" s="23" t="n"/>
      <c r="C3986" s="24" t="n"/>
      <c r="D3986" s="15" t="n"/>
      <c r="E3986" s="23" t="n"/>
      <c r="F3986" s="15" t="n"/>
      <c r="G3986" s="23" t="n"/>
      <c r="H3986" s="25" t="n"/>
      <c r="I3986" s="15" t="n"/>
      <c r="J3986" s="26">
        <f>IF($A3986="","",LEN($C3986)-LEN(SUBSTITUTE($C3986,",",""))+1)</f>
        <v/>
      </c>
      <c r="K3986" s="26">
        <f>IF($A3986="","",SUMPRODUCT(--ISNUMBER(SEARCH('Category Dictionary'!$D$5:$D$135&amp;"",$C3986)),--('Category Dictionary'!$D$5:$D$135&lt;&gt;"")))</f>
        <v/>
      </c>
      <c r="L3986" s="27">
        <f>IF($A3986="","",TRIM(IF(ISERROR(FIND(",",$C3986)),$C3986,LEFT($C3986,FIND(",",$C3986)-1))))</f>
        <v/>
      </c>
      <c r="M3986" s="28">
        <f>IF($H3986="","",DATE(YEAR($H3986),MONTH($H3986),1))</f>
        <v/>
      </c>
      <c r="N3986" s="26">
        <f>IF($H3986="","",TODAY()-$H3986)</f>
        <v/>
      </c>
      <c r="O3986" s="15" t="n"/>
      <c r="P3986" s="15" t="n"/>
      <c r="Q3986" s="15" t="n"/>
      <c r="R3986" s="25" t="n"/>
      <c r="S3986" s="26">
        <f>IF($A3986="","",AND(OR('Assignment Builder'!$B$5="",$B3986='Assignment Builder'!$B$5),OR('Assignment Builder'!$B$6="",ISNUMBER(SEARCH('Assignment Builder'!$B$6,$C3986))),OR('Assignment Builder'!$B$7="",'Assignment Builder'!$B$7=IFERROR(INDEX('Category Dictionary'!$C$5:$C$135,MATCH($L3986,'Category Dictionary'!$D$5:$D$135,0)),"")),OR('Assignment Builder'!$B$8="",$D3986='Assignment Builder'!$B$8),OR('Assignment Builder'!$B$9="",$F3986='Assignment Builder'!$B$9),OR('Assignment Builder'!$B$10="",$O3986='Assignment Builder'!$B$10),OR('Assignment Builder'!$B$11="",$H3986&gt;='Assignment Builder'!$B$11),OR('Assignment Builder'!$B$12="",N($Q3986)&lt;='Assignment Builder'!$B$12)))</f>
        <v/>
      </c>
      <c r="T3986" s="23" t="n"/>
    </row>
    <row r="3987">
      <c r="A3987" s="23" t="n"/>
      <c r="B3987" s="23" t="n"/>
      <c r="C3987" s="24" t="n"/>
      <c r="D3987" s="15" t="n"/>
      <c r="E3987" s="23" t="n"/>
      <c r="F3987" s="15" t="n"/>
      <c r="G3987" s="23" t="n"/>
      <c r="H3987" s="25" t="n"/>
      <c r="I3987" s="15" t="n"/>
      <c r="J3987" s="26">
        <f>IF($A3987="","",LEN($C3987)-LEN(SUBSTITUTE($C3987,",",""))+1)</f>
        <v/>
      </c>
      <c r="K3987" s="26">
        <f>IF($A3987="","",SUMPRODUCT(--ISNUMBER(SEARCH('Category Dictionary'!$D$5:$D$135&amp;"",$C3987)),--('Category Dictionary'!$D$5:$D$135&lt;&gt;"")))</f>
        <v/>
      </c>
      <c r="L3987" s="27">
        <f>IF($A3987="","",TRIM(IF(ISERROR(FIND(",",$C3987)),$C3987,LEFT($C3987,FIND(",",$C3987)-1))))</f>
        <v/>
      </c>
      <c r="M3987" s="28">
        <f>IF($H3987="","",DATE(YEAR($H3987),MONTH($H3987),1))</f>
        <v/>
      </c>
      <c r="N3987" s="26">
        <f>IF($H3987="","",TODAY()-$H3987)</f>
        <v/>
      </c>
      <c r="O3987" s="15" t="n"/>
      <c r="P3987" s="15" t="n"/>
      <c r="Q3987" s="15" t="n"/>
      <c r="R3987" s="25" t="n"/>
      <c r="S3987" s="26">
        <f>IF($A3987="","",AND(OR('Assignment Builder'!$B$5="",$B3987='Assignment Builder'!$B$5),OR('Assignment Builder'!$B$6="",ISNUMBER(SEARCH('Assignment Builder'!$B$6,$C3987))),OR('Assignment Builder'!$B$7="",'Assignment Builder'!$B$7=IFERROR(INDEX('Category Dictionary'!$C$5:$C$135,MATCH($L3987,'Category Dictionary'!$D$5:$D$135,0)),"")),OR('Assignment Builder'!$B$8="",$D3987='Assignment Builder'!$B$8),OR('Assignment Builder'!$B$9="",$F3987='Assignment Builder'!$B$9),OR('Assignment Builder'!$B$10="",$O3987='Assignment Builder'!$B$10),OR('Assignment Builder'!$B$11="",$H3987&gt;='Assignment Builder'!$B$11),OR('Assignment Builder'!$B$12="",N($Q3987)&lt;='Assignment Builder'!$B$12)))</f>
        <v/>
      </c>
      <c r="T3987" s="23" t="n"/>
    </row>
    <row r="3988">
      <c r="A3988" s="23" t="n"/>
      <c r="B3988" s="23" t="n"/>
      <c r="C3988" s="24" t="n"/>
      <c r="D3988" s="15" t="n"/>
      <c r="E3988" s="23" t="n"/>
      <c r="F3988" s="15" t="n"/>
      <c r="G3988" s="23" t="n"/>
      <c r="H3988" s="25" t="n"/>
      <c r="I3988" s="15" t="n"/>
      <c r="J3988" s="26">
        <f>IF($A3988="","",LEN($C3988)-LEN(SUBSTITUTE($C3988,",",""))+1)</f>
        <v/>
      </c>
      <c r="K3988" s="26">
        <f>IF($A3988="","",SUMPRODUCT(--ISNUMBER(SEARCH('Category Dictionary'!$D$5:$D$135&amp;"",$C3988)),--('Category Dictionary'!$D$5:$D$135&lt;&gt;"")))</f>
        <v/>
      </c>
      <c r="L3988" s="27">
        <f>IF($A3988="","",TRIM(IF(ISERROR(FIND(",",$C3988)),$C3988,LEFT($C3988,FIND(",",$C3988)-1))))</f>
        <v/>
      </c>
      <c r="M3988" s="28">
        <f>IF($H3988="","",DATE(YEAR($H3988),MONTH($H3988),1))</f>
        <v/>
      </c>
      <c r="N3988" s="26">
        <f>IF($H3988="","",TODAY()-$H3988)</f>
        <v/>
      </c>
      <c r="O3988" s="15" t="n"/>
      <c r="P3988" s="15" t="n"/>
      <c r="Q3988" s="15" t="n"/>
      <c r="R3988" s="25" t="n"/>
      <c r="S3988" s="26">
        <f>IF($A3988="","",AND(OR('Assignment Builder'!$B$5="",$B3988='Assignment Builder'!$B$5),OR('Assignment Builder'!$B$6="",ISNUMBER(SEARCH('Assignment Builder'!$B$6,$C3988))),OR('Assignment Builder'!$B$7="",'Assignment Builder'!$B$7=IFERROR(INDEX('Category Dictionary'!$C$5:$C$135,MATCH($L3988,'Category Dictionary'!$D$5:$D$135,0)),"")),OR('Assignment Builder'!$B$8="",$D3988='Assignment Builder'!$B$8),OR('Assignment Builder'!$B$9="",$F3988='Assignment Builder'!$B$9),OR('Assignment Builder'!$B$10="",$O3988='Assignment Builder'!$B$10),OR('Assignment Builder'!$B$11="",$H3988&gt;='Assignment Builder'!$B$11),OR('Assignment Builder'!$B$12="",N($Q3988)&lt;='Assignment Builder'!$B$12)))</f>
        <v/>
      </c>
      <c r="T3988" s="23" t="n"/>
    </row>
    <row r="3989">
      <c r="A3989" s="23" t="n"/>
      <c r="B3989" s="23" t="n"/>
      <c r="C3989" s="24" t="n"/>
      <c r="D3989" s="15" t="n"/>
      <c r="E3989" s="23" t="n"/>
      <c r="F3989" s="15" t="n"/>
      <c r="G3989" s="23" t="n"/>
      <c r="H3989" s="25" t="n"/>
      <c r="I3989" s="15" t="n"/>
      <c r="J3989" s="26">
        <f>IF($A3989="","",LEN($C3989)-LEN(SUBSTITUTE($C3989,",",""))+1)</f>
        <v/>
      </c>
      <c r="K3989" s="26">
        <f>IF($A3989="","",SUMPRODUCT(--ISNUMBER(SEARCH('Category Dictionary'!$D$5:$D$135&amp;"",$C3989)),--('Category Dictionary'!$D$5:$D$135&lt;&gt;"")))</f>
        <v/>
      </c>
      <c r="L3989" s="27">
        <f>IF($A3989="","",TRIM(IF(ISERROR(FIND(",",$C3989)),$C3989,LEFT($C3989,FIND(",",$C3989)-1))))</f>
        <v/>
      </c>
      <c r="M3989" s="28">
        <f>IF($H3989="","",DATE(YEAR($H3989),MONTH($H3989),1))</f>
        <v/>
      </c>
      <c r="N3989" s="26">
        <f>IF($H3989="","",TODAY()-$H3989)</f>
        <v/>
      </c>
      <c r="O3989" s="15" t="n"/>
      <c r="P3989" s="15" t="n"/>
      <c r="Q3989" s="15" t="n"/>
      <c r="R3989" s="25" t="n"/>
      <c r="S3989" s="26">
        <f>IF($A3989="","",AND(OR('Assignment Builder'!$B$5="",$B3989='Assignment Builder'!$B$5),OR('Assignment Builder'!$B$6="",ISNUMBER(SEARCH('Assignment Builder'!$B$6,$C3989))),OR('Assignment Builder'!$B$7="",'Assignment Builder'!$B$7=IFERROR(INDEX('Category Dictionary'!$C$5:$C$135,MATCH($L3989,'Category Dictionary'!$D$5:$D$135,0)),"")),OR('Assignment Builder'!$B$8="",$D3989='Assignment Builder'!$B$8),OR('Assignment Builder'!$B$9="",$F3989='Assignment Builder'!$B$9),OR('Assignment Builder'!$B$10="",$O3989='Assignment Builder'!$B$10),OR('Assignment Builder'!$B$11="",$H3989&gt;='Assignment Builder'!$B$11),OR('Assignment Builder'!$B$12="",N($Q3989)&lt;='Assignment Builder'!$B$12)))</f>
        <v/>
      </c>
      <c r="T3989" s="23" t="n"/>
    </row>
    <row r="3990">
      <c r="A3990" s="23" t="n"/>
      <c r="B3990" s="23" t="n"/>
      <c r="C3990" s="24" t="n"/>
      <c r="D3990" s="15" t="n"/>
      <c r="E3990" s="23" t="n"/>
      <c r="F3990" s="15" t="n"/>
      <c r="G3990" s="23" t="n"/>
      <c r="H3990" s="25" t="n"/>
      <c r="I3990" s="15" t="n"/>
      <c r="J3990" s="26">
        <f>IF($A3990="","",LEN($C3990)-LEN(SUBSTITUTE($C3990,",",""))+1)</f>
        <v/>
      </c>
      <c r="K3990" s="26">
        <f>IF($A3990="","",SUMPRODUCT(--ISNUMBER(SEARCH('Category Dictionary'!$D$5:$D$135&amp;"",$C3990)),--('Category Dictionary'!$D$5:$D$135&lt;&gt;"")))</f>
        <v/>
      </c>
      <c r="L3990" s="27">
        <f>IF($A3990="","",TRIM(IF(ISERROR(FIND(",",$C3990)),$C3990,LEFT($C3990,FIND(",",$C3990)-1))))</f>
        <v/>
      </c>
      <c r="M3990" s="28">
        <f>IF($H3990="","",DATE(YEAR($H3990),MONTH($H3990),1))</f>
        <v/>
      </c>
      <c r="N3990" s="26">
        <f>IF($H3990="","",TODAY()-$H3990)</f>
        <v/>
      </c>
      <c r="O3990" s="15" t="n"/>
      <c r="P3990" s="15" t="n"/>
      <c r="Q3990" s="15" t="n"/>
      <c r="R3990" s="25" t="n"/>
      <c r="S3990" s="26">
        <f>IF($A3990="","",AND(OR('Assignment Builder'!$B$5="",$B3990='Assignment Builder'!$B$5),OR('Assignment Builder'!$B$6="",ISNUMBER(SEARCH('Assignment Builder'!$B$6,$C3990))),OR('Assignment Builder'!$B$7="",'Assignment Builder'!$B$7=IFERROR(INDEX('Category Dictionary'!$C$5:$C$135,MATCH($L3990,'Category Dictionary'!$D$5:$D$135,0)),"")),OR('Assignment Builder'!$B$8="",$D3990='Assignment Builder'!$B$8),OR('Assignment Builder'!$B$9="",$F3990='Assignment Builder'!$B$9),OR('Assignment Builder'!$B$10="",$O3990='Assignment Builder'!$B$10),OR('Assignment Builder'!$B$11="",$H3990&gt;='Assignment Builder'!$B$11),OR('Assignment Builder'!$B$12="",N($Q3990)&lt;='Assignment Builder'!$B$12)))</f>
        <v/>
      </c>
      <c r="T3990" s="23" t="n"/>
    </row>
    <row r="3991">
      <c r="A3991" s="23" t="n"/>
      <c r="B3991" s="23" t="n"/>
      <c r="C3991" s="24" t="n"/>
      <c r="D3991" s="15" t="n"/>
      <c r="E3991" s="23" t="n"/>
      <c r="F3991" s="15" t="n"/>
      <c r="G3991" s="23" t="n"/>
      <c r="H3991" s="25" t="n"/>
      <c r="I3991" s="15" t="n"/>
      <c r="J3991" s="26">
        <f>IF($A3991="","",LEN($C3991)-LEN(SUBSTITUTE($C3991,",",""))+1)</f>
        <v/>
      </c>
      <c r="K3991" s="26">
        <f>IF($A3991="","",SUMPRODUCT(--ISNUMBER(SEARCH('Category Dictionary'!$D$5:$D$135&amp;"",$C3991)),--('Category Dictionary'!$D$5:$D$135&lt;&gt;"")))</f>
        <v/>
      </c>
      <c r="L3991" s="27">
        <f>IF($A3991="","",TRIM(IF(ISERROR(FIND(",",$C3991)),$C3991,LEFT($C3991,FIND(",",$C3991)-1))))</f>
        <v/>
      </c>
      <c r="M3991" s="28">
        <f>IF($H3991="","",DATE(YEAR($H3991),MONTH($H3991),1))</f>
        <v/>
      </c>
      <c r="N3991" s="26">
        <f>IF($H3991="","",TODAY()-$H3991)</f>
        <v/>
      </c>
      <c r="O3991" s="15" t="n"/>
      <c r="P3991" s="15" t="n"/>
      <c r="Q3991" s="15" t="n"/>
      <c r="R3991" s="25" t="n"/>
      <c r="S3991" s="26">
        <f>IF($A3991="","",AND(OR('Assignment Builder'!$B$5="",$B3991='Assignment Builder'!$B$5),OR('Assignment Builder'!$B$6="",ISNUMBER(SEARCH('Assignment Builder'!$B$6,$C3991))),OR('Assignment Builder'!$B$7="",'Assignment Builder'!$B$7=IFERROR(INDEX('Category Dictionary'!$C$5:$C$135,MATCH($L3991,'Category Dictionary'!$D$5:$D$135,0)),"")),OR('Assignment Builder'!$B$8="",$D3991='Assignment Builder'!$B$8),OR('Assignment Builder'!$B$9="",$F3991='Assignment Builder'!$B$9),OR('Assignment Builder'!$B$10="",$O3991='Assignment Builder'!$B$10),OR('Assignment Builder'!$B$11="",$H3991&gt;='Assignment Builder'!$B$11),OR('Assignment Builder'!$B$12="",N($Q3991)&lt;='Assignment Builder'!$B$12)))</f>
        <v/>
      </c>
      <c r="T3991" s="23" t="n"/>
    </row>
    <row r="3992">
      <c r="A3992" s="23" t="n"/>
      <c r="B3992" s="23" t="n"/>
      <c r="C3992" s="24" t="n"/>
      <c r="D3992" s="15" t="n"/>
      <c r="E3992" s="23" t="n"/>
      <c r="F3992" s="15" t="n"/>
      <c r="G3992" s="23" t="n"/>
      <c r="H3992" s="25" t="n"/>
      <c r="I3992" s="15" t="n"/>
      <c r="J3992" s="26">
        <f>IF($A3992="","",LEN($C3992)-LEN(SUBSTITUTE($C3992,",",""))+1)</f>
        <v/>
      </c>
      <c r="K3992" s="26">
        <f>IF($A3992="","",SUMPRODUCT(--ISNUMBER(SEARCH('Category Dictionary'!$D$5:$D$135&amp;"",$C3992)),--('Category Dictionary'!$D$5:$D$135&lt;&gt;"")))</f>
        <v/>
      </c>
      <c r="L3992" s="27">
        <f>IF($A3992="","",TRIM(IF(ISERROR(FIND(",",$C3992)),$C3992,LEFT($C3992,FIND(",",$C3992)-1))))</f>
        <v/>
      </c>
      <c r="M3992" s="28">
        <f>IF($H3992="","",DATE(YEAR($H3992),MONTH($H3992),1))</f>
        <v/>
      </c>
      <c r="N3992" s="26">
        <f>IF($H3992="","",TODAY()-$H3992)</f>
        <v/>
      </c>
      <c r="O3992" s="15" t="n"/>
      <c r="P3992" s="15" t="n"/>
      <c r="Q3992" s="15" t="n"/>
      <c r="R3992" s="25" t="n"/>
      <c r="S3992" s="26">
        <f>IF($A3992="","",AND(OR('Assignment Builder'!$B$5="",$B3992='Assignment Builder'!$B$5),OR('Assignment Builder'!$B$6="",ISNUMBER(SEARCH('Assignment Builder'!$B$6,$C3992))),OR('Assignment Builder'!$B$7="",'Assignment Builder'!$B$7=IFERROR(INDEX('Category Dictionary'!$C$5:$C$135,MATCH($L3992,'Category Dictionary'!$D$5:$D$135,0)),"")),OR('Assignment Builder'!$B$8="",$D3992='Assignment Builder'!$B$8),OR('Assignment Builder'!$B$9="",$F3992='Assignment Builder'!$B$9),OR('Assignment Builder'!$B$10="",$O3992='Assignment Builder'!$B$10),OR('Assignment Builder'!$B$11="",$H3992&gt;='Assignment Builder'!$B$11),OR('Assignment Builder'!$B$12="",N($Q3992)&lt;='Assignment Builder'!$B$12)))</f>
        <v/>
      </c>
      <c r="T3992" s="23" t="n"/>
    </row>
    <row r="3993">
      <c r="A3993" s="23" t="n"/>
      <c r="B3993" s="23" t="n"/>
      <c r="C3993" s="24" t="n"/>
      <c r="D3993" s="15" t="n"/>
      <c r="E3993" s="23" t="n"/>
      <c r="F3993" s="15" t="n"/>
      <c r="G3993" s="23" t="n"/>
      <c r="H3993" s="25" t="n"/>
      <c r="I3993" s="15" t="n"/>
      <c r="J3993" s="26">
        <f>IF($A3993="","",LEN($C3993)-LEN(SUBSTITUTE($C3993,",",""))+1)</f>
        <v/>
      </c>
      <c r="K3993" s="26">
        <f>IF($A3993="","",SUMPRODUCT(--ISNUMBER(SEARCH('Category Dictionary'!$D$5:$D$135&amp;"",$C3993)),--('Category Dictionary'!$D$5:$D$135&lt;&gt;"")))</f>
        <v/>
      </c>
      <c r="L3993" s="27">
        <f>IF($A3993="","",TRIM(IF(ISERROR(FIND(",",$C3993)),$C3993,LEFT($C3993,FIND(",",$C3993)-1))))</f>
        <v/>
      </c>
      <c r="M3993" s="28">
        <f>IF($H3993="","",DATE(YEAR($H3993),MONTH($H3993),1))</f>
        <v/>
      </c>
      <c r="N3993" s="26">
        <f>IF($H3993="","",TODAY()-$H3993)</f>
        <v/>
      </c>
      <c r="O3993" s="15" t="n"/>
      <c r="P3993" s="15" t="n"/>
      <c r="Q3993" s="15" t="n"/>
      <c r="R3993" s="25" t="n"/>
      <c r="S3993" s="26">
        <f>IF($A3993="","",AND(OR('Assignment Builder'!$B$5="",$B3993='Assignment Builder'!$B$5),OR('Assignment Builder'!$B$6="",ISNUMBER(SEARCH('Assignment Builder'!$B$6,$C3993))),OR('Assignment Builder'!$B$7="",'Assignment Builder'!$B$7=IFERROR(INDEX('Category Dictionary'!$C$5:$C$135,MATCH($L3993,'Category Dictionary'!$D$5:$D$135,0)),"")),OR('Assignment Builder'!$B$8="",$D3993='Assignment Builder'!$B$8),OR('Assignment Builder'!$B$9="",$F3993='Assignment Builder'!$B$9),OR('Assignment Builder'!$B$10="",$O3993='Assignment Builder'!$B$10),OR('Assignment Builder'!$B$11="",$H3993&gt;='Assignment Builder'!$B$11),OR('Assignment Builder'!$B$12="",N($Q3993)&lt;='Assignment Builder'!$B$12)))</f>
        <v/>
      </c>
      <c r="T3993" s="23" t="n"/>
    </row>
    <row r="3994">
      <c r="A3994" s="23" t="n"/>
      <c r="B3994" s="23" t="n"/>
      <c r="C3994" s="24" t="n"/>
      <c r="D3994" s="15" t="n"/>
      <c r="E3994" s="23" t="n"/>
      <c r="F3994" s="15" t="n"/>
      <c r="G3994" s="23" t="n"/>
      <c r="H3994" s="25" t="n"/>
      <c r="I3994" s="15" t="n"/>
      <c r="J3994" s="26">
        <f>IF($A3994="","",LEN($C3994)-LEN(SUBSTITUTE($C3994,",",""))+1)</f>
        <v/>
      </c>
      <c r="K3994" s="26">
        <f>IF($A3994="","",SUMPRODUCT(--ISNUMBER(SEARCH('Category Dictionary'!$D$5:$D$135&amp;"",$C3994)),--('Category Dictionary'!$D$5:$D$135&lt;&gt;"")))</f>
        <v/>
      </c>
      <c r="L3994" s="27">
        <f>IF($A3994="","",TRIM(IF(ISERROR(FIND(",",$C3994)),$C3994,LEFT($C3994,FIND(",",$C3994)-1))))</f>
        <v/>
      </c>
      <c r="M3994" s="28">
        <f>IF($H3994="","",DATE(YEAR($H3994),MONTH($H3994),1))</f>
        <v/>
      </c>
      <c r="N3994" s="26">
        <f>IF($H3994="","",TODAY()-$H3994)</f>
        <v/>
      </c>
      <c r="O3994" s="15" t="n"/>
      <c r="P3994" s="15" t="n"/>
      <c r="Q3994" s="15" t="n"/>
      <c r="R3994" s="25" t="n"/>
      <c r="S3994" s="26">
        <f>IF($A3994="","",AND(OR('Assignment Builder'!$B$5="",$B3994='Assignment Builder'!$B$5),OR('Assignment Builder'!$B$6="",ISNUMBER(SEARCH('Assignment Builder'!$B$6,$C3994))),OR('Assignment Builder'!$B$7="",'Assignment Builder'!$B$7=IFERROR(INDEX('Category Dictionary'!$C$5:$C$135,MATCH($L3994,'Category Dictionary'!$D$5:$D$135,0)),"")),OR('Assignment Builder'!$B$8="",$D3994='Assignment Builder'!$B$8),OR('Assignment Builder'!$B$9="",$F3994='Assignment Builder'!$B$9),OR('Assignment Builder'!$B$10="",$O3994='Assignment Builder'!$B$10),OR('Assignment Builder'!$B$11="",$H3994&gt;='Assignment Builder'!$B$11),OR('Assignment Builder'!$B$12="",N($Q3994)&lt;='Assignment Builder'!$B$12)))</f>
        <v/>
      </c>
      <c r="T3994" s="23" t="n"/>
    </row>
    <row r="3995">
      <c r="A3995" s="23" t="n"/>
      <c r="B3995" s="23" t="n"/>
      <c r="C3995" s="24" t="n"/>
      <c r="D3995" s="15" t="n"/>
      <c r="E3995" s="23" t="n"/>
      <c r="F3995" s="15" t="n"/>
      <c r="G3995" s="23" t="n"/>
      <c r="H3995" s="25" t="n"/>
      <c r="I3995" s="15" t="n"/>
      <c r="J3995" s="26">
        <f>IF($A3995="","",LEN($C3995)-LEN(SUBSTITUTE($C3995,",",""))+1)</f>
        <v/>
      </c>
      <c r="K3995" s="26">
        <f>IF($A3995="","",SUMPRODUCT(--ISNUMBER(SEARCH('Category Dictionary'!$D$5:$D$135&amp;"",$C3995)),--('Category Dictionary'!$D$5:$D$135&lt;&gt;"")))</f>
        <v/>
      </c>
      <c r="L3995" s="27">
        <f>IF($A3995="","",TRIM(IF(ISERROR(FIND(",",$C3995)),$C3995,LEFT($C3995,FIND(",",$C3995)-1))))</f>
        <v/>
      </c>
      <c r="M3995" s="28">
        <f>IF($H3995="","",DATE(YEAR($H3995),MONTH($H3995),1))</f>
        <v/>
      </c>
      <c r="N3995" s="26">
        <f>IF($H3995="","",TODAY()-$H3995)</f>
        <v/>
      </c>
      <c r="O3995" s="15" t="n"/>
      <c r="P3995" s="15" t="n"/>
      <c r="Q3995" s="15" t="n"/>
      <c r="R3995" s="25" t="n"/>
      <c r="S3995" s="26">
        <f>IF($A3995="","",AND(OR('Assignment Builder'!$B$5="",$B3995='Assignment Builder'!$B$5),OR('Assignment Builder'!$B$6="",ISNUMBER(SEARCH('Assignment Builder'!$B$6,$C3995))),OR('Assignment Builder'!$B$7="",'Assignment Builder'!$B$7=IFERROR(INDEX('Category Dictionary'!$C$5:$C$135,MATCH($L3995,'Category Dictionary'!$D$5:$D$135,0)),"")),OR('Assignment Builder'!$B$8="",$D3995='Assignment Builder'!$B$8),OR('Assignment Builder'!$B$9="",$F3995='Assignment Builder'!$B$9),OR('Assignment Builder'!$B$10="",$O3995='Assignment Builder'!$B$10),OR('Assignment Builder'!$B$11="",$H3995&gt;='Assignment Builder'!$B$11),OR('Assignment Builder'!$B$12="",N($Q3995)&lt;='Assignment Builder'!$B$12)))</f>
        <v/>
      </c>
      <c r="T3995" s="23" t="n"/>
    </row>
    <row r="3996">
      <c r="A3996" s="23" t="n"/>
      <c r="B3996" s="23" t="n"/>
      <c r="C3996" s="24" t="n"/>
      <c r="D3996" s="15" t="n"/>
      <c r="E3996" s="23" t="n"/>
      <c r="F3996" s="15" t="n"/>
      <c r="G3996" s="23" t="n"/>
      <c r="H3996" s="25" t="n"/>
      <c r="I3996" s="15" t="n"/>
      <c r="J3996" s="26">
        <f>IF($A3996="","",LEN($C3996)-LEN(SUBSTITUTE($C3996,",",""))+1)</f>
        <v/>
      </c>
      <c r="K3996" s="26">
        <f>IF($A3996="","",SUMPRODUCT(--ISNUMBER(SEARCH('Category Dictionary'!$D$5:$D$135&amp;"",$C3996)),--('Category Dictionary'!$D$5:$D$135&lt;&gt;"")))</f>
        <v/>
      </c>
      <c r="L3996" s="27">
        <f>IF($A3996="","",TRIM(IF(ISERROR(FIND(",",$C3996)),$C3996,LEFT($C3996,FIND(",",$C3996)-1))))</f>
        <v/>
      </c>
      <c r="M3996" s="28">
        <f>IF($H3996="","",DATE(YEAR($H3996),MONTH($H3996),1))</f>
        <v/>
      </c>
      <c r="N3996" s="26">
        <f>IF($H3996="","",TODAY()-$H3996)</f>
        <v/>
      </c>
      <c r="O3996" s="15" t="n"/>
      <c r="P3996" s="15" t="n"/>
      <c r="Q3996" s="15" t="n"/>
      <c r="R3996" s="25" t="n"/>
      <c r="S3996" s="26">
        <f>IF($A3996="","",AND(OR('Assignment Builder'!$B$5="",$B3996='Assignment Builder'!$B$5),OR('Assignment Builder'!$B$6="",ISNUMBER(SEARCH('Assignment Builder'!$B$6,$C3996))),OR('Assignment Builder'!$B$7="",'Assignment Builder'!$B$7=IFERROR(INDEX('Category Dictionary'!$C$5:$C$135,MATCH($L3996,'Category Dictionary'!$D$5:$D$135,0)),"")),OR('Assignment Builder'!$B$8="",$D3996='Assignment Builder'!$B$8),OR('Assignment Builder'!$B$9="",$F3996='Assignment Builder'!$B$9),OR('Assignment Builder'!$B$10="",$O3996='Assignment Builder'!$B$10),OR('Assignment Builder'!$B$11="",$H3996&gt;='Assignment Builder'!$B$11),OR('Assignment Builder'!$B$12="",N($Q3996)&lt;='Assignment Builder'!$B$12)))</f>
        <v/>
      </c>
      <c r="T3996" s="23" t="n"/>
    </row>
    <row r="3997">
      <c r="A3997" s="23" t="n"/>
      <c r="B3997" s="23" t="n"/>
      <c r="C3997" s="24" t="n"/>
      <c r="D3997" s="15" t="n"/>
      <c r="E3997" s="23" t="n"/>
      <c r="F3997" s="15" t="n"/>
      <c r="G3997" s="23" t="n"/>
      <c r="H3997" s="25" t="n"/>
      <c r="I3997" s="15" t="n"/>
      <c r="J3997" s="26">
        <f>IF($A3997="","",LEN($C3997)-LEN(SUBSTITUTE($C3997,",",""))+1)</f>
        <v/>
      </c>
      <c r="K3997" s="26">
        <f>IF($A3997="","",SUMPRODUCT(--ISNUMBER(SEARCH('Category Dictionary'!$D$5:$D$135&amp;"",$C3997)),--('Category Dictionary'!$D$5:$D$135&lt;&gt;"")))</f>
        <v/>
      </c>
      <c r="L3997" s="27">
        <f>IF($A3997="","",TRIM(IF(ISERROR(FIND(",",$C3997)),$C3997,LEFT($C3997,FIND(",",$C3997)-1))))</f>
        <v/>
      </c>
      <c r="M3997" s="28">
        <f>IF($H3997="","",DATE(YEAR($H3997),MONTH($H3997),1))</f>
        <v/>
      </c>
      <c r="N3997" s="26">
        <f>IF($H3997="","",TODAY()-$H3997)</f>
        <v/>
      </c>
      <c r="O3997" s="15" t="n"/>
      <c r="P3997" s="15" t="n"/>
      <c r="Q3997" s="15" t="n"/>
      <c r="R3997" s="25" t="n"/>
      <c r="S3997" s="26">
        <f>IF($A3997="","",AND(OR('Assignment Builder'!$B$5="",$B3997='Assignment Builder'!$B$5),OR('Assignment Builder'!$B$6="",ISNUMBER(SEARCH('Assignment Builder'!$B$6,$C3997))),OR('Assignment Builder'!$B$7="",'Assignment Builder'!$B$7=IFERROR(INDEX('Category Dictionary'!$C$5:$C$135,MATCH($L3997,'Category Dictionary'!$D$5:$D$135,0)),"")),OR('Assignment Builder'!$B$8="",$D3997='Assignment Builder'!$B$8),OR('Assignment Builder'!$B$9="",$F3997='Assignment Builder'!$B$9),OR('Assignment Builder'!$B$10="",$O3997='Assignment Builder'!$B$10),OR('Assignment Builder'!$B$11="",$H3997&gt;='Assignment Builder'!$B$11),OR('Assignment Builder'!$B$12="",N($Q3997)&lt;='Assignment Builder'!$B$12)))</f>
        <v/>
      </c>
      <c r="T3997" s="23" t="n"/>
    </row>
    <row r="3998">
      <c r="A3998" s="23" t="n"/>
      <c r="B3998" s="23" t="n"/>
      <c r="C3998" s="24" t="n"/>
      <c r="D3998" s="15" t="n"/>
      <c r="E3998" s="23" t="n"/>
      <c r="F3998" s="15" t="n"/>
      <c r="G3998" s="23" t="n"/>
      <c r="H3998" s="25" t="n"/>
      <c r="I3998" s="15" t="n"/>
      <c r="J3998" s="26">
        <f>IF($A3998="","",LEN($C3998)-LEN(SUBSTITUTE($C3998,",",""))+1)</f>
        <v/>
      </c>
      <c r="K3998" s="26">
        <f>IF($A3998="","",SUMPRODUCT(--ISNUMBER(SEARCH('Category Dictionary'!$D$5:$D$135&amp;"",$C3998)),--('Category Dictionary'!$D$5:$D$135&lt;&gt;"")))</f>
        <v/>
      </c>
      <c r="L3998" s="27">
        <f>IF($A3998="","",TRIM(IF(ISERROR(FIND(",",$C3998)),$C3998,LEFT($C3998,FIND(",",$C3998)-1))))</f>
        <v/>
      </c>
      <c r="M3998" s="28">
        <f>IF($H3998="","",DATE(YEAR($H3998),MONTH($H3998),1))</f>
        <v/>
      </c>
      <c r="N3998" s="26">
        <f>IF($H3998="","",TODAY()-$H3998)</f>
        <v/>
      </c>
      <c r="O3998" s="15" t="n"/>
      <c r="P3998" s="15" t="n"/>
      <c r="Q3998" s="15" t="n"/>
      <c r="R3998" s="25" t="n"/>
      <c r="S3998" s="26">
        <f>IF($A3998="","",AND(OR('Assignment Builder'!$B$5="",$B3998='Assignment Builder'!$B$5),OR('Assignment Builder'!$B$6="",ISNUMBER(SEARCH('Assignment Builder'!$B$6,$C3998))),OR('Assignment Builder'!$B$7="",'Assignment Builder'!$B$7=IFERROR(INDEX('Category Dictionary'!$C$5:$C$135,MATCH($L3998,'Category Dictionary'!$D$5:$D$135,0)),"")),OR('Assignment Builder'!$B$8="",$D3998='Assignment Builder'!$B$8),OR('Assignment Builder'!$B$9="",$F3998='Assignment Builder'!$B$9),OR('Assignment Builder'!$B$10="",$O3998='Assignment Builder'!$B$10),OR('Assignment Builder'!$B$11="",$H3998&gt;='Assignment Builder'!$B$11),OR('Assignment Builder'!$B$12="",N($Q3998)&lt;='Assignment Builder'!$B$12)))</f>
        <v/>
      </c>
      <c r="T3998" s="23" t="n"/>
    </row>
    <row r="3999">
      <c r="A3999" s="23" t="n"/>
      <c r="B3999" s="23" t="n"/>
      <c r="C3999" s="24" t="n"/>
      <c r="D3999" s="15" t="n"/>
      <c r="E3999" s="23" t="n"/>
      <c r="F3999" s="15" t="n"/>
      <c r="G3999" s="23" t="n"/>
      <c r="H3999" s="25" t="n"/>
      <c r="I3999" s="15" t="n"/>
      <c r="J3999" s="26">
        <f>IF($A3999="","",LEN($C3999)-LEN(SUBSTITUTE($C3999,",",""))+1)</f>
        <v/>
      </c>
      <c r="K3999" s="26">
        <f>IF($A3999="","",SUMPRODUCT(--ISNUMBER(SEARCH('Category Dictionary'!$D$5:$D$135&amp;"",$C3999)),--('Category Dictionary'!$D$5:$D$135&lt;&gt;"")))</f>
        <v/>
      </c>
      <c r="L3999" s="27">
        <f>IF($A3999="","",TRIM(IF(ISERROR(FIND(",",$C3999)),$C3999,LEFT($C3999,FIND(",",$C3999)-1))))</f>
        <v/>
      </c>
      <c r="M3999" s="28">
        <f>IF($H3999="","",DATE(YEAR($H3999),MONTH($H3999),1))</f>
        <v/>
      </c>
      <c r="N3999" s="26">
        <f>IF($H3999="","",TODAY()-$H3999)</f>
        <v/>
      </c>
      <c r="O3999" s="15" t="n"/>
      <c r="P3999" s="15" t="n"/>
      <c r="Q3999" s="15" t="n"/>
      <c r="R3999" s="25" t="n"/>
      <c r="S3999" s="26">
        <f>IF($A3999="","",AND(OR('Assignment Builder'!$B$5="",$B3999='Assignment Builder'!$B$5),OR('Assignment Builder'!$B$6="",ISNUMBER(SEARCH('Assignment Builder'!$B$6,$C3999))),OR('Assignment Builder'!$B$7="",'Assignment Builder'!$B$7=IFERROR(INDEX('Category Dictionary'!$C$5:$C$135,MATCH($L3999,'Category Dictionary'!$D$5:$D$135,0)),"")),OR('Assignment Builder'!$B$8="",$D3999='Assignment Builder'!$B$8),OR('Assignment Builder'!$B$9="",$F3999='Assignment Builder'!$B$9),OR('Assignment Builder'!$B$10="",$O3999='Assignment Builder'!$B$10),OR('Assignment Builder'!$B$11="",$H3999&gt;='Assignment Builder'!$B$11),OR('Assignment Builder'!$B$12="",N($Q3999)&lt;='Assignment Builder'!$B$12)))</f>
        <v/>
      </c>
      <c r="T3999" s="23" t="n"/>
    </row>
    <row r="4000">
      <c r="A4000" s="23" t="n"/>
      <c r="B4000" s="23" t="n"/>
      <c r="C4000" s="24" t="n"/>
      <c r="D4000" s="15" t="n"/>
      <c r="E4000" s="23" t="n"/>
      <c r="F4000" s="15" t="n"/>
      <c r="G4000" s="23" t="n"/>
      <c r="H4000" s="25" t="n"/>
      <c r="I4000" s="15" t="n"/>
      <c r="J4000" s="26">
        <f>IF($A4000="","",LEN($C4000)-LEN(SUBSTITUTE($C4000,",",""))+1)</f>
        <v/>
      </c>
      <c r="K4000" s="26">
        <f>IF($A4000="","",SUMPRODUCT(--ISNUMBER(SEARCH('Category Dictionary'!$D$5:$D$135&amp;"",$C4000)),--('Category Dictionary'!$D$5:$D$135&lt;&gt;"")))</f>
        <v/>
      </c>
      <c r="L4000" s="27">
        <f>IF($A4000="","",TRIM(IF(ISERROR(FIND(",",$C4000)),$C4000,LEFT($C4000,FIND(",",$C4000)-1))))</f>
        <v/>
      </c>
      <c r="M4000" s="28">
        <f>IF($H4000="","",DATE(YEAR($H4000),MONTH($H4000),1))</f>
        <v/>
      </c>
      <c r="N4000" s="26">
        <f>IF($H4000="","",TODAY()-$H4000)</f>
        <v/>
      </c>
      <c r="O4000" s="15" t="n"/>
      <c r="P4000" s="15" t="n"/>
      <c r="Q4000" s="15" t="n"/>
      <c r="R4000" s="25" t="n"/>
      <c r="S4000" s="26">
        <f>IF($A4000="","",AND(OR('Assignment Builder'!$B$5="",$B4000='Assignment Builder'!$B$5),OR('Assignment Builder'!$B$6="",ISNUMBER(SEARCH('Assignment Builder'!$B$6,$C4000))),OR('Assignment Builder'!$B$7="",'Assignment Builder'!$B$7=IFERROR(INDEX('Category Dictionary'!$C$5:$C$135,MATCH($L4000,'Category Dictionary'!$D$5:$D$135,0)),"")),OR('Assignment Builder'!$B$8="",$D4000='Assignment Builder'!$B$8),OR('Assignment Builder'!$B$9="",$F4000='Assignment Builder'!$B$9),OR('Assignment Builder'!$B$10="",$O4000='Assignment Builder'!$B$10),OR('Assignment Builder'!$B$11="",$H4000&gt;='Assignment Builder'!$B$11),OR('Assignment Builder'!$B$12="",N($Q4000)&lt;='Assignment Builder'!$B$12)))</f>
        <v/>
      </c>
      <c r="T4000" s="23" t="n"/>
    </row>
    <row r="4001">
      <c r="A4001" s="23" t="n"/>
      <c r="B4001" s="23" t="n"/>
      <c r="C4001" s="24" t="n"/>
      <c r="D4001" s="15" t="n"/>
      <c r="E4001" s="23" t="n"/>
      <c r="F4001" s="15" t="n"/>
      <c r="G4001" s="23" t="n"/>
      <c r="H4001" s="25" t="n"/>
      <c r="I4001" s="15" t="n"/>
      <c r="J4001" s="26">
        <f>IF($A4001="","",LEN($C4001)-LEN(SUBSTITUTE($C4001,",",""))+1)</f>
        <v/>
      </c>
      <c r="K4001" s="26">
        <f>IF($A4001="","",SUMPRODUCT(--ISNUMBER(SEARCH('Category Dictionary'!$D$5:$D$135&amp;"",$C4001)),--('Category Dictionary'!$D$5:$D$135&lt;&gt;"")))</f>
        <v/>
      </c>
      <c r="L4001" s="27">
        <f>IF($A4001="","",TRIM(IF(ISERROR(FIND(",",$C4001)),$C4001,LEFT($C4001,FIND(",",$C4001)-1))))</f>
        <v/>
      </c>
      <c r="M4001" s="28">
        <f>IF($H4001="","",DATE(YEAR($H4001),MONTH($H4001),1))</f>
        <v/>
      </c>
      <c r="N4001" s="26">
        <f>IF($H4001="","",TODAY()-$H4001)</f>
        <v/>
      </c>
      <c r="O4001" s="15" t="n"/>
      <c r="P4001" s="15" t="n"/>
      <c r="Q4001" s="15" t="n"/>
      <c r="R4001" s="25" t="n"/>
      <c r="S4001" s="26">
        <f>IF($A4001="","",AND(OR('Assignment Builder'!$B$5="",$B4001='Assignment Builder'!$B$5),OR('Assignment Builder'!$B$6="",ISNUMBER(SEARCH('Assignment Builder'!$B$6,$C4001))),OR('Assignment Builder'!$B$7="",'Assignment Builder'!$B$7=IFERROR(INDEX('Category Dictionary'!$C$5:$C$135,MATCH($L4001,'Category Dictionary'!$D$5:$D$135,0)),"")),OR('Assignment Builder'!$B$8="",$D4001='Assignment Builder'!$B$8),OR('Assignment Builder'!$B$9="",$F4001='Assignment Builder'!$B$9),OR('Assignment Builder'!$B$10="",$O4001='Assignment Builder'!$B$10),OR('Assignment Builder'!$B$11="",$H4001&gt;='Assignment Builder'!$B$11),OR('Assignment Builder'!$B$12="",N($Q4001)&lt;='Assignment Builder'!$B$12)))</f>
        <v/>
      </c>
      <c r="T4001" s="23" t="n"/>
    </row>
    <row r="4002">
      <c r="A4002" s="23" t="n"/>
      <c r="B4002" s="23" t="n"/>
      <c r="C4002" s="24" t="n"/>
      <c r="D4002" s="15" t="n"/>
      <c r="E4002" s="23" t="n"/>
      <c r="F4002" s="15" t="n"/>
      <c r="G4002" s="23" t="n"/>
      <c r="H4002" s="25" t="n"/>
      <c r="I4002" s="15" t="n"/>
      <c r="J4002" s="26">
        <f>IF($A4002="","",LEN($C4002)-LEN(SUBSTITUTE($C4002,",",""))+1)</f>
        <v/>
      </c>
      <c r="K4002" s="26">
        <f>IF($A4002="","",SUMPRODUCT(--ISNUMBER(SEARCH('Category Dictionary'!$D$5:$D$135&amp;"",$C4002)),--('Category Dictionary'!$D$5:$D$135&lt;&gt;"")))</f>
        <v/>
      </c>
      <c r="L4002" s="27">
        <f>IF($A4002="","",TRIM(IF(ISERROR(FIND(",",$C4002)),$C4002,LEFT($C4002,FIND(",",$C4002)-1))))</f>
        <v/>
      </c>
      <c r="M4002" s="28">
        <f>IF($H4002="","",DATE(YEAR($H4002),MONTH($H4002),1))</f>
        <v/>
      </c>
      <c r="N4002" s="26">
        <f>IF($H4002="","",TODAY()-$H4002)</f>
        <v/>
      </c>
      <c r="O4002" s="15" t="n"/>
      <c r="P4002" s="15" t="n"/>
      <c r="Q4002" s="15" t="n"/>
      <c r="R4002" s="25" t="n"/>
      <c r="S4002" s="26">
        <f>IF($A4002="","",AND(OR('Assignment Builder'!$B$5="",$B4002='Assignment Builder'!$B$5),OR('Assignment Builder'!$B$6="",ISNUMBER(SEARCH('Assignment Builder'!$B$6,$C4002))),OR('Assignment Builder'!$B$7="",'Assignment Builder'!$B$7=IFERROR(INDEX('Category Dictionary'!$C$5:$C$135,MATCH($L4002,'Category Dictionary'!$D$5:$D$135,0)),"")),OR('Assignment Builder'!$B$8="",$D4002='Assignment Builder'!$B$8),OR('Assignment Builder'!$B$9="",$F4002='Assignment Builder'!$B$9),OR('Assignment Builder'!$B$10="",$O4002='Assignment Builder'!$B$10),OR('Assignment Builder'!$B$11="",$H4002&gt;='Assignment Builder'!$B$11),OR('Assignment Builder'!$B$12="",N($Q4002)&lt;='Assignment Builder'!$B$12)))</f>
        <v/>
      </c>
      <c r="T4002" s="23" t="n"/>
    </row>
    <row r="4003">
      <c r="A4003" s="23" t="n"/>
      <c r="B4003" s="23" t="n"/>
      <c r="C4003" s="24" t="n"/>
      <c r="D4003" s="15" t="n"/>
      <c r="E4003" s="23" t="n"/>
      <c r="F4003" s="15" t="n"/>
      <c r="G4003" s="23" t="n"/>
      <c r="H4003" s="25" t="n"/>
      <c r="I4003" s="15" t="n"/>
      <c r="J4003" s="26">
        <f>IF($A4003="","",LEN($C4003)-LEN(SUBSTITUTE($C4003,",",""))+1)</f>
        <v/>
      </c>
      <c r="K4003" s="26">
        <f>IF($A4003="","",SUMPRODUCT(--ISNUMBER(SEARCH('Category Dictionary'!$D$5:$D$135&amp;"",$C4003)),--('Category Dictionary'!$D$5:$D$135&lt;&gt;"")))</f>
        <v/>
      </c>
      <c r="L4003" s="27">
        <f>IF($A4003="","",TRIM(IF(ISERROR(FIND(",",$C4003)),$C4003,LEFT($C4003,FIND(",",$C4003)-1))))</f>
        <v/>
      </c>
      <c r="M4003" s="28">
        <f>IF($H4003="","",DATE(YEAR($H4003),MONTH($H4003),1))</f>
        <v/>
      </c>
      <c r="N4003" s="26">
        <f>IF($H4003="","",TODAY()-$H4003)</f>
        <v/>
      </c>
      <c r="O4003" s="15" t="n"/>
      <c r="P4003" s="15" t="n"/>
      <c r="Q4003" s="15" t="n"/>
      <c r="R4003" s="25" t="n"/>
      <c r="S4003" s="26">
        <f>IF($A4003="","",AND(OR('Assignment Builder'!$B$5="",$B4003='Assignment Builder'!$B$5),OR('Assignment Builder'!$B$6="",ISNUMBER(SEARCH('Assignment Builder'!$B$6,$C4003))),OR('Assignment Builder'!$B$7="",'Assignment Builder'!$B$7=IFERROR(INDEX('Category Dictionary'!$C$5:$C$135,MATCH($L4003,'Category Dictionary'!$D$5:$D$135,0)),"")),OR('Assignment Builder'!$B$8="",$D4003='Assignment Builder'!$B$8),OR('Assignment Builder'!$B$9="",$F4003='Assignment Builder'!$B$9),OR('Assignment Builder'!$B$10="",$O4003='Assignment Builder'!$B$10),OR('Assignment Builder'!$B$11="",$H4003&gt;='Assignment Builder'!$B$11),OR('Assignment Builder'!$B$12="",N($Q4003)&lt;='Assignment Builder'!$B$12)))</f>
        <v/>
      </c>
      <c r="T4003" s="23" t="n"/>
    </row>
    <row r="4004">
      <c r="A4004" s="23" t="n"/>
      <c r="B4004" s="23" t="n"/>
      <c r="C4004" s="24" t="n"/>
      <c r="D4004" s="15" t="n"/>
      <c r="E4004" s="23" t="n"/>
      <c r="F4004" s="15" t="n"/>
      <c r="G4004" s="23" t="n"/>
      <c r="H4004" s="25" t="n"/>
      <c r="I4004" s="15" t="n"/>
      <c r="J4004" s="26">
        <f>IF($A4004="","",LEN($C4004)-LEN(SUBSTITUTE($C4004,",",""))+1)</f>
        <v/>
      </c>
      <c r="K4004" s="26">
        <f>IF($A4004="","",SUMPRODUCT(--ISNUMBER(SEARCH('Category Dictionary'!$D$5:$D$135&amp;"",$C4004)),--('Category Dictionary'!$D$5:$D$135&lt;&gt;"")))</f>
        <v/>
      </c>
      <c r="L4004" s="27">
        <f>IF($A4004="","",TRIM(IF(ISERROR(FIND(",",$C4004)),$C4004,LEFT($C4004,FIND(",",$C4004)-1))))</f>
        <v/>
      </c>
      <c r="M4004" s="28">
        <f>IF($H4004="","",DATE(YEAR($H4004),MONTH($H4004),1))</f>
        <v/>
      </c>
      <c r="N4004" s="26">
        <f>IF($H4004="","",TODAY()-$H4004)</f>
        <v/>
      </c>
      <c r="O4004" s="15" t="n"/>
      <c r="P4004" s="15" t="n"/>
      <c r="Q4004" s="15" t="n"/>
      <c r="R4004" s="25" t="n"/>
      <c r="S4004" s="26">
        <f>IF($A4004="","",AND(OR('Assignment Builder'!$B$5="",$B4004='Assignment Builder'!$B$5),OR('Assignment Builder'!$B$6="",ISNUMBER(SEARCH('Assignment Builder'!$B$6,$C4004))),OR('Assignment Builder'!$B$7="",'Assignment Builder'!$B$7=IFERROR(INDEX('Category Dictionary'!$C$5:$C$135,MATCH($L4004,'Category Dictionary'!$D$5:$D$135,0)),"")),OR('Assignment Builder'!$B$8="",$D4004='Assignment Builder'!$B$8),OR('Assignment Builder'!$B$9="",$F4004='Assignment Builder'!$B$9),OR('Assignment Builder'!$B$10="",$O4004='Assignment Builder'!$B$10),OR('Assignment Builder'!$B$11="",$H4004&gt;='Assignment Builder'!$B$11),OR('Assignment Builder'!$B$12="",N($Q4004)&lt;='Assignment Builder'!$B$12)))</f>
        <v/>
      </c>
      <c r="T4004" s="23" t="n"/>
    </row>
    <row r="4005">
      <c r="A4005" s="23" t="n"/>
      <c r="B4005" s="23" t="n"/>
      <c r="C4005" s="24" t="n"/>
      <c r="D4005" s="15" t="n"/>
      <c r="E4005" s="23" t="n"/>
      <c r="F4005" s="15" t="n"/>
      <c r="G4005" s="23" t="n"/>
      <c r="H4005" s="25" t="n"/>
      <c r="I4005" s="15" t="n"/>
      <c r="J4005" s="26">
        <f>IF($A4005="","",LEN($C4005)-LEN(SUBSTITUTE($C4005,",",""))+1)</f>
        <v/>
      </c>
      <c r="K4005" s="26">
        <f>IF($A4005="","",SUMPRODUCT(--ISNUMBER(SEARCH('Category Dictionary'!$D$5:$D$135&amp;"",$C4005)),--('Category Dictionary'!$D$5:$D$135&lt;&gt;"")))</f>
        <v/>
      </c>
      <c r="L4005" s="27">
        <f>IF($A4005="","",TRIM(IF(ISERROR(FIND(",",$C4005)),$C4005,LEFT($C4005,FIND(",",$C4005)-1))))</f>
        <v/>
      </c>
      <c r="M4005" s="28">
        <f>IF($H4005="","",DATE(YEAR($H4005),MONTH($H4005),1))</f>
        <v/>
      </c>
      <c r="N4005" s="26">
        <f>IF($H4005="","",TODAY()-$H4005)</f>
        <v/>
      </c>
      <c r="O4005" s="15" t="n"/>
      <c r="P4005" s="15" t="n"/>
      <c r="Q4005" s="15" t="n"/>
      <c r="R4005" s="25" t="n"/>
      <c r="S4005" s="26">
        <f>IF($A4005="","",AND(OR('Assignment Builder'!$B$5="",$B4005='Assignment Builder'!$B$5),OR('Assignment Builder'!$B$6="",ISNUMBER(SEARCH('Assignment Builder'!$B$6,$C4005))),OR('Assignment Builder'!$B$7="",'Assignment Builder'!$B$7=IFERROR(INDEX('Category Dictionary'!$C$5:$C$135,MATCH($L4005,'Category Dictionary'!$D$5:$D$135,0)),"")),OR('Assignment Builder'!$B$8="",$D4005='Assignment Builder'!$B$8),OR('Assignment Builder'!$B$9="",$F4005='Assignment Builder'!$B$9),OR('Assignment Builder'!$B$10="",$O4005='Assignment Builder'!$B$10),OR('Assignment Builder'!$B$11="",$H4005&gt;='Assignment Builder'!$B$11),OR('Assignment Builder'!$B$12="",N($Q4005)&lt;='Assignment Builder'!$B$12)))</f>
        <v/>
      </c>
      <c r="T4005" s="23" t="n"/>
    </row>
  </sheetData>
  <autoFilter ref="A5:T4005"/>
  <mergeCells count="2">
    <mergeCell ref="A1:T1"/>
    <mergeCell ref="A2:T2"/>
  </mergeCells>
  <conditionalFormatting sqref="A6:T4005">
    <cfRule type="expression" priority="1" dxfId="4">
      <formula>MOD(ROW(),2)=0</formula>
    </cfRule>
  </conditionalFormatting>
  <conditionalFormatting sqref="S6:S4005">
    <cfRule type="expression" priority="2" dxfId="5">
      <formula>$S6=TRUE</formula>
    </cfRule>
  </conditionalFormatting>
  <conditionalFormatting sqref="F6:F4005">
    <cfRule type="expression" priority="3" dxfId="6">
      <formula>$F6="Retired"</formula>
    </cfRule>
  </conditionalFormatting>
  <conditionalFormatting sqref="O6:O4005">
    <cfRule type="expression" priority="4" dxfId="3">
      <formula>$O6="No"</formula>
    </cfRule>
  </conditionalFormatting>
  <conditionalFormatting sqref="J6:J4005">
    <cfRule type="cellIs" priority="5" operator="greaterThanOrEqual" dxfId="7">
      <formula>2</formula>
    </cfRule>
  </conditionalFormatting>
  <conditionalFormatting sqref="K6:K4005">
    <cfRule type="expression" priority="6" dxfId="8">
      <formula>AND($A6&lt;&gt;"",$K6&lt;$J6)</formula>
    </cfRule>
  </conditionalFormatting>
  <dataValidations count="4">
    <dataValidation sqref="B6:B4005" showDropDown="0" showInputMessage="0" showErrorMessage="0" allowBlank="1" errorTitle="Not on the list" error="Pick a value from the list. Add new values on the Lists sheet, not here." type="list">
      <formula1>=Lists!$A$5:$A$11</formula1>
    </dataValidation>
    <dataValidation sqref="D6:D4005" showDropDown="0" showInputMessage="0" showErrorMessage="0" allowBlank="1" errorTitle="Not on the list" error="Pick a value from the list. Add new values on the Lists sheet, not here." type="list">
      <formula1>=Lists!$B$5:$B$7</formula1>
    </dataValidation>
    <dataValidation sqref="F6:F4005" showDropDown="0" showInputMessage="0" showErrorMessage="0" allowBlank="1" errorTitle="Not on the list" error="Pick a value from the list. Add new values on the Lists sheet, not here." type="list">
      <formula1>=Lists!$C$5:$C$6</formula1>
    </dataValidation>
    <dataValidation sqref="O6:O4005" showDropDown="0" showInputMessage="0" showErrorMessage="0" allowBlank="1" errorTitle="Not on the list" error="Pick a value from the list. Add new values on the Lists sheet, not here." type="list">
      <formula1>=Lists!$E$5:$E$6</formula1>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L142"/>
  <sheetViews>
    <sheetView showGridLines="0" zoomScale="90" workbookViewId="0">
      <pane ySplit="4" topLeftCell="A5" activePane="bottomLeft" state="frozen"/>
      <selection pane="bottomLeft" activeCell="A1" sqref="A1"/>
    </sheetView>
  </sheetViews>
  <sheetFormatPr baseColWidth="8" defaultRowHeight="15"/>
  <cols>
    <col width="16" customWidth="1" min="1" max="1"/>
    <col width="10" customWidth="1" min="2" max="2"/>
    <col width="13" customWidth="1" min="3" max="3"/>
    <col width="24" customWidth="1" min="4" max="4"/>
    <col width="40" customWidth="1" min="5" max="5"/>
    <col width="11" customWidth="1" min="6" max="6"/>
    <col width="9" customWidth="1" min="7" max="7"/>
    <col width="9" customWidth="1" min="8" max="8"/>
    <col width="9" customWidth="1" min="9" max="9"/>
    <col width="10" customWidth="1" min="10" max="10"/>
    <col width="26" customWidth="1" min="11" max="11"/>
    <col width="24" customWidth="1" min="12" max="12"/>
  </cols>
  <sheetData>
    <row r="1" ht="26" customHeight="1">
      <c r="A1" s="1" t="inlineStr">
        <is>
          <t>Category Dictionary — what to type</t>
        </is>
      </c>
    </row>
    <row r="2">
      <c r="A2" s="2" t="inlineStr">
        <is>
          <t>The controlled vocabulary the application does not have. Type the short name exactly as it appears here, on upload and when filtering. Rows below the 111 are yours to add.</t>
        </is>
      </c>
    </row>
    <row r="3" ht="3" customHeight="1">
      <c r="A3" s="3" t="n"/>
      <c r="B3" s="3" t="n"/>
      <c r="C3" s="3" t="n"/>
      <c r="D3" s="3" t="n"/>
      <c r="E3" s="3" t="n"/>
      <c r="F3" s="3" t="n"/>
      <c r="G3" s="3" t="n"/>
      <c r="H3" s="3" t="n"/>
      <c r="I3" s="3" t="n"/>
      <c r="J3" s="3" t="n"/>
      <c r="K3" s="3" t="n"/>
      <c r="L3" s="3" t="n"/>
    </row>
    <row r="4" ht="34" customHeight="1">
      <c r="A4" s="13" t="inlineStr">
        <is>
          <t>Specialty</t>
        </is>
      </c>
      <c r="B4" s="13" t="inlineStr">
        <is>
          <t>Topic ID</t>
        </is>
      </c>
      <c r="C4" s="13" t="inlineStr">
        <is>
          <t>Build
priority</t>
        </is>
      </c>
      <c r="D4" s="13" t="inlineStr">
        <is>
          <t>SHORT NAME  —  type this</t>
        </is>
      </c>
      <c r="E4" s="13" t="inlineStr">
        <is>
          <t>Full topic (taxonomy)</t>
        </is>
      </c>
      <c r="F4" s="13" t="inlineStr">
        <is>
          <t>Coverage
category</t>
        </is>
      </c>
      <c r="G4" s="13" t="inlineStr">
        <is>
          <t>Target
charts</t>
        </is>
      </c>
      <c r="H4" s="13" t="inlineStr">
        <is>
          <t>In pool
now</t>
        </is>
      </c>
      <c r="I4" s="13" t="inlineStr">
        <is>
          <t>% of
target</t>
        </is>
      </c>
      <c r="J4" s="13" t="inlineStr">
        <is>
          <t>Gap</t>
        </is>
      </c>
      <c r="K4" s="13" t="inlineStr">
        <is>
          <t>Name check</t>
        </is>
      </c>
      <c r="L4" s="13" t="inlineStr">
        <is>
          <t>Notes</t>
        </is>
      </c>
    </row>
    <row r="5" ht="24" customHeight="1">
      <c r="A5" s="23" t="inlineStr">
        <is>
          <t>IP-DRG</t>
        </is>
      </c>
      <c r="B5" s="29" t="inlineStr">
        <is>
          <t>IPD-01</t>
        </is>
      </c>
      <c r="C5" s="30" t="inlineStr">
        <is>
          <t>P1</t>
        </is>
      </c>
      <c r="D5" s="31" t="inlineStr">
        <is>
          <t>Vaginal delivery</t>
        </is>
      </c>
      <c r="E5" s="17" t="inlineStr">
        <is>
          <t>Vaginal delivery and complications of labour</t>
        </is>
      </c>
      <c r="F5" s="17" t="inlineStr">
        <is>
          <t>Medical DRGs</t>
        </is>
      </c>
      <c r="G5" s="29" t="n">
        <v>35</v>
      </c>
      <c r="H5" s="15">
        <f>COUNTIFS('Chart Database'!$B$6:$B$4005,$A5,'Chart Database'!$C$6:$C$4005,"*"&amp;$D5&amp;"*",'Chart Database'!$F$6:$F$4005,"Active")</f>
        <v/>
      </c>
      <c r="I5" s="32">
        <f>IF($G5=0,"NA",H5/$G5)</f>
        <v/>
      </c>
      <c r="J5" s="15">
        <f>$G5-H5</f>
        <v/>
      </c>
      <c r="K5" s="33">
        <f>IF($D5="","",IF(SUMPRODUCT(--($A$5:$A$135=$A5),--($D$5:$D$135&lt;&gt;""),--(ROW($D$5:$D$135)&lt;&gt;ROW()),--(ISNUMBER(SEARCH($D5,$D$5:$D$135))+ISNUMBER(SEARCH($D$5:$D$135&amp;"",$D5))&gt;0))&gt;0,"CLASH — overlaps another name in this specialty","OK"))</f>
        <v/>
      </c>
      <c r="L5" s="23" t="inlineStr"/>
    </row>
    <row r="6" ht="24" customHeight="1">
      <c r="A6" s="23" t="inlineStr">
        <is>
          <t>IP-DRG</t>
        </is>
      </c>
      <c r="B6" s="29" t="inlineStr">
        <is>
          <t>IPD-02</t>
        </is>
      </c>
      <c r="C6" s="30" t="inlineStr">
        <is>
          <t>P1</t>
        </is>
      </c>
      <c r="D6" s="31" t="inlineStr">
        <is>
          <t>Newborn</t>
        </is>
      </c>
      <c r="E6" s="17" t="inlineStr">
        <is>
          <t>Normal newborn and newborn with condition</t>
        </is>
      </c>
      <c r="F6" s="17" t="inlineStr">
        <is>
          <t>Medical DRGs</t>
        </is>
      </c>
      <c r="G6" s="29" t="n">
        <v>28</v>
      </c>
      <c r="H6" s="15">
        <f>COUNTIFS('Chart Database'!$B$6:$B$4005,$A6,'Chart Database'!$C$6:$C$4005,"*"&amp;$D6&amp;"*",'Chart Database'!$F$6:$F$4005,"Active")</f>
        <v/>
      </c>
      <c r="I6" s="32">
        <f>IF($G6=0,"NA",H6/$G6)</f>
        <v/>
      </c>
      <c r="J6" s="15">
        <f>$G6-H6</f>
        <v/>
      </c>
      <c r="K6" s="33">
        <f>IF($D6="","",IF(SUMPRODUCT(--($A$5:$A$135=$A6),--($D$5:$D$135&lt;&gt;""),--(ROW($D$5:$D$135)&lt;&gt;ROW()),--(ISNUMBER(SEARCH($D6,$D$5:$D$135))+ISNUMBER(SEARCH($D$5:$D$135&amp;"",$D6))&gt;0))&gt;0,"CLASH — overlaps another name in this specialty","OK"))</f>
        <v/>
      </c>
      <c r="L6" s="23" t="inlineStr"/>
    </row>
    <row r="7" ht="24" customHeight="1">
      <c r="A7" s="23" t="inlineStr">
        <is>
          <t>IP-DRG</t>
        </is>
      </c>
      <c r="B7" s="29" t="inlineStr">
        <is>
          <t>IPD-03</t>
        </is>
      </c>
      <c r="C7" s="30" t="inlineStr">
        <is>
          <t>P1</t>
        </is>
      </c>
      <c r="D7" s="31" t="inlineStr">
        <is>
          <t>Neonatal ICU</t>
        </is>
      </c>
      <c r="E7" s="17" t="inlineStr">
        <is>
          <t>Neonatal and NICU admissions</t>
        </is>
      </c>
      <c r="F7" s="17" t="inlineStr">
        <is>
          <t>Medical DRGs</t>
        </is>
      </c>
      <c r="G7" s="29" t="n">
        <v>14</v>
      </c>
      <c r="H7" s="15">
        <f>COUNTIFS('Chart Database'!$B$6:$B$4005,$A7,'Chart Database'!$C$6:$C$4005,"*"&amp;$D7&amp;"*",'Chart Database'!$F$6:$F$4005,"Active")</f>
        <v/>
      </c>
      <c r="I7" s="32">
        <f>IF($G7=0,"NA",H7/$G7)</f>
        <v/>
      </c>
      <c r="J7" s="15">
        <f>$G7-H7</f>
        <v/>
      </c>
      <c r="K7" s="33">
        <f>IF($D7="","",IF(SUMPRODUCT(--($A$5:$A$135=$A7),--($D$5:$D$135&lt;&gt;""),--(ROW($D$5:$D$135)&lt;&gt;ROW()),--(ISNUMBER(SEARCH($D7,$D$5:$D$135))+ISNUMBER(SEARCH($D$5:$D$135&amp;"",$D7))&gt;0))&gt;0,"CLASH — overlaps another name in this specialty","OK"))</f>
        <v/>
      </c>
      <c r="L7" s="23" t="inlineStr"/>
    </row>
    <row r="8" ht="24" customHeight="1">
      <c r="A8" s="23" t="inlineStr">
        <is>
          <t>IP-DRG</t>
        </is>
      </c>
      <c r="B8" s="29" t="inlineStr">
        <is>
          <t>IPD-04</t>
        </is>
      </c>
      <c r="C8" s="30" t="inlineStr">
        <is>
          <t>P1</t>
        </is>
      </c>
      <c r="D8" s="31" t="inlineStr">
        <is>
          <t>Peripartum medical</t>
        </is>
      </c>
      <c r="E8" s="17" t="inlineStr">
        <is>
          <t>Antepartum and postpartum medical admissions</t>
        </is>
      </c>
      <c r="F8" s="17" t="inlineStr">
        <is>
          <t>Medical DRGs</t>
        </is>
      </c>
      <c r="G8" s="29" t="n">
        <v>14</v>
      </c>
      <c r="H8" s="15">
        <f>COUNTIFS('Chart Database'!$B$6:$B$4005,$A8,'Chart Database'!$C$6:$C$4005,"*"&amp;$D8&amp;"*",'Chart Database'!$F$6:$F$4005,"Active")</f>
        <v/>
      </c>
      <c r="I8" s="32">
        <f>IF($G8=0,"NA",H8/$G8)</f>
        <v/>
      </c>
      <c r="J8" s="15">
        <f>$G8-H8</f>
        <v/>
      </c>
      <c r="K8" s="33">
        <f>IF($D8="","",IF(SUMPRODUCT(--($A$5:$A$135=$A8),--($D$5:$D$135&lt;&gt;""),--(ROW($D$5:$D$135)&lt;&gt;ROW()),--(ISNUMBER(SEARCH($D8,$D$5:$D$135))+ISNUMBER(SEARCH($D$5:$D$135&amp;"",$D8))&gt;0))&gt;0,"CLASH — overlaps another name in this specialty","OK"))</f>
        <v/>
      </c>
      <c r="L8" s="23" t="inlineStr"/>
    </row>
    <row r="9" ht="24" customHeight="1">
      <c r="A9" s="23" t="inlineStr">
        <is>
          <t>IP-DRG</t>
        </is>
      </c>
      <c r="B9" s="29" t="inlineStr">
        <is>
          <t>IPD-05</t>
        </is>
      </c>
      <c r="C9" s="34" t="inlineStr">
        <is>
          <t>P2</t>
        </is>
      </c>
      <c r="D9" s="31" t="inlineStr">
        <is>
          <t>GI medical</t>
        </is>
      </c>
      <c r="E9" s="17" t="inlineStr">
        <is>
          <t>Digestive medical — GI bleed, pancreatitis, obstruction</t>
        </is>
      </c>
      <c r="F9" s="17" t="inlineStr">
        <is>
          <t>Medical DRGs</t>
        </is>
      </c>
      <c r="G9" s="29" t="n">
        <v>42</v>
      </c>
      <c r="H9" s="15">
        <f>COUNTIFS('Chart Database'!$B$6:$B$4005,$A9,'Chart Database'!$C$6:$C$4005,"*"&amp;$D9&amp;"*",'Chart Database'!$F$6:$F$4005,"Active")</f>
        <v/>
      </c>
      <c r="I9" s="32">
        <f>IF($G9=0,"NA",H9/$G9)</f>
        <v/>
      </c>
      <c r="J9" s="15">
        <f>$G9-H9</f>
        <v/>
      </c>
      <c r="K9" s="33">
        <f>IF($D9="","",IF(SUMPRODUCT(--($A$5:$A$135=$A9),--($D$5:$D$135&lt;&gt;""),--(ROW($D$5:$D$135)&lt;&gt;ROW()),--(ISNUMBER(SEARCH($D9,$D$5:$D$135))+ISNUMBER(SEARCH($D$5:$D$135&amp;"",$D9))&gt;0))&gt;0,"CLASH — overlaps another name in this specialty","OK"))</f>
        <v/>
      </c>
      <c r="L9" s="23" t="inlineStr"/>
    </row>
    <row r="10" ht="24" customHeight="1">
      <c r="A10" s="23" t="inlineStr">
        <is>
          <t>IP-DRG</t>
        </is>
      </c>
      <c r="B10" s="29" t="inlineStr">
        <is>
          <t>IPD-06</t>
        </is>
      </c>
      <c r="C10" s="34" t="inlineStr">
        <is>
          <t>P2</t>
        </is>
      </c>
      <c r="D10" s="31" t="inlineStr">
        <is>
          <t>Respiratory medical</t>
        </is>
      </c>
      <c r="E10" s="17" t="inlineStr">
        <is>
          <t>Respiratory — pneumonia, COPD exacerbation, respiratory failure</t>
        </is>
      </c>
      <c r="F10" s="17" t="inlineStr">
        <is>
          <t>Medical DRGs</t>
        </is>
      </c>
      <c r="G10" s="29" t="n">
        <v>49</v>
      </c>
      <c r="H10" s="15">
        <f>COUNTIFS('Chart Database'!$B$6:$B$4005,$A10,'Chart Database'!$C$6:$C$4005,"*"&amp;$D10&amp;"*",'Chart Database'!$F$6:$F$4005,"Active")</f>
        <v/>
      </c>
      <c r="I10" s="32">
        <f>IF($G10=0,"NA",H10/$G10)</f>
        <v/>
      </c>
      <c r="J10" s="15">
        <f>$G10-H10</f>
        <v/>
      </c>
      <c r="K10" s="33">
        <f>IF($D10="","",IF(SUMPRODUCT(--($A$5:$A$135=$A10),--($D$5:$D$135&lt;&gt;""),--(ROW($D$5:$D$135)&lt;&gt;ROW()),--(ISNUMBER(SEARCH($D10,$D$5:$D$135))+ISNUMBER(SEARCH($D$5:$D$135&amp;"",$D10))&gt;0))&gt;0,"CLASH — overlaps another name in this specialty","OK"))</f>
        <v/>
      </c>
      <c r="L10" s="23" t="inlineStr"/>
    </row>
    <row r="11" ht="24" customHeight="1">
      <c r="A11" s="23" t="inlineStr">
        <is>
          <t>IP-DRG</t>
        </is>
      </c>
      <c r="B11" s="29" t="inlineStr">
        <is>
          <t>IPD-07</t>
        </is>
      </c>
      <c r="C11" s="34" t="inlineStr">
        <is>
          <t>P2</t>
        </is>
      </c>
      <c r="D11" s="31" t="inlineStr">
        <is>
          <t>Cardiac medical</t>
        </is>
      </c>
      <c r="E11" s="17" t="inlineStr">
        <is>
          <t>Circulatory medical — heart failure, AMI, arrhythmia</t>
        </is>
      </c>
      <c r="F11" s="17" t="inlineStr">
        <is>
          <t>Medical DRGs</t>
        </is>
      </c>
      <c r="G11" s="29" t="n">
        <v>42</v>
      </c>
      <c r="H11" s="15">
        <f>COUNTIFS('Chart Database'!$B$6:$B$4005,$A11,'Chart Database'!$C$6:$C$4005,"*"&amp;$D11&amp;"*",'Chart Database'!$F$6:$F$4005,"Active")</f>
        <v/>
      </c>
      <c r="I11" s="32">
        <f>IF($G11=0,"NA",H11/$G11)</f>
        <v/>
      </c>
      <c r="J11" s="15">
        <f>$G11-H11</f>
        <v/>
      </c>
      <c r="K11" s="33">
        <f>IF($D11="","",IF(SUMPRODUCT(--($A$5:$A$135=$A11),--($D$5:$D$135&lt;&gt;""),--(ROW($D$5:$D$135)&lt;&gt;ROW()),--(ISNUMBER(SEARCH($D11,$D$5:$D$135))+ISNUMBER(SEARCH($D$5:$D$135&amp;"",$D11))&gt;0))&gt;0,"CLASH — overlaps another name in this specialty","OK"))</f>
        <v/>
      </c>
      <c r="L11" s="23" t="inlineStr"/>
    </row>
    <row r="12" ht="24" customHeight="1">
      <c r="A12" s="23" t="inlineStr">
        <is>
          <t>IP-DRG</t>
        </is>
      </c>
      <c r="B12" s="29" t="inlineStr">
        <is>
          <t>IPD-08</t>
        </is>
      </c>
      <c r="C12" s="34" t="inlineStr">
        <is>
          <t>P2</t>
        </is>
      </c>
      <c r="D12" s="31" t="inlineStr">
        <is>
          <t>Sepsis</t>
        </is>
      </c>
      <c r="E12" s="17" t="inlineStr">
        <is>
          <t>Sepsis, severe sepsis and septic shock</t>
        </is>
      </c>
      <c r="F12" s="17" t="inlineStr">
        <is>
          <t>Medical DRGs</t>
        </is>
      </c>
      <c r="G12" s="29" t="n">
        <v>49</v>
      </c>
      <c r="H12" s="15">
        <f>COUNTIFS('Chart Database'!$B$6:$B$4005,$A12,'Chart Database'!$C$6:$C$4005,"*"&amp;$D12&amp;"*",'Chart Database'!$F$6:$F$4005,"Active")</f>
        <v/>
      </c>
      <c r="I12" s="32">
        <f>IF($G12=0,"NA",H12/$G12)</f>
        <v/>
      </c>
      <c r="J12" s="15">
        <f>$G12-H12</f>
        <v/>
      </c>
      <c r="K12" s="33">
        <f>IF($D12="","",IF(SUMPRODUCT(--($A$5:$A$135=$A12),--($D$5:$D$135&lt;&gt;""),--(ROW($D$5:$D$135)&lt;&gt;ROW()),--(ISNUMBER(SEARCH($D12,$D$5:$D$135))+ISNUMBER(SEARCH($D$5:$D$135&amp;"",$D12))&gt;0))&gt;0,"CLASH — overlaps another name in this specialty","OK"))</f>
        <v/>
      </c>
      <c r="L12" s="23" t="inlineStr"/>
    </row>
    <row r="13" ht="24" customHeight="1">
      <c r="A13" s="23" t="inlineStr">
        <is>
          <t>IP-DRG</t>
        </is>
      </c>
      <c r="B13" s="29" t="inlineStr">
        <is>
          <t>IPD-09</t>
        </is>
      </c>
      <c r="C13" s="34" t="inlineStr">
        <is>
          <t>P2</t>
        </is>
      </c>
      <c r="D13" s="31" t="inlineStr">
        <is>
          <t>Neuro medical</t>
        </is>
      </c>
      <c r="E13" s="17" t="inlineStr">
        <is>
          <t>Nervous system medical — CVA, TIA, intracranial haemorrhage</t>
        </is>
      </c>
      <c r="F13" s="17" t="inlineStr">
        <is>
          <t>Medical DRGs</t>
        </is>
      </c>
      <c r="G13" s="29" t="n">
        <v>28</v>
      </c>
      <c r="H13" s="15">
        <f>COUNTIFS('Chart Database'!$B$6:$B$4005,$A13,'Chart Database'!$C$6:$C$4005,"*"&amp;$D13&amp;"*",'Chart Database'!$F$6:$F$4005,"Active")</f>
        <v/>
      </c>
      <c r="I13" s="32">
        <f>IF($G13=0,"NA",H13/$G13)</f>
        <v/>
      </c>
      <c r="J13" s="15">
        <f>$G13-H13</f>
        <v/>
      </c>
      <c r="K13" s="33">
        <f>IF($D13="","",IF(SUMPRODUCT(--($A$5:$A$135=$A13),--($D$5:$D$135&lt;&gt;""),--(ROW($D$5:$D$135)&lt;&gt;ROW()),--(ISNUMBER(SEARCH($D13,$D$5:$D$135))+ISNUMBER(SEARCH($D$5:$D$135&amp;"",$D13))&gt;0))&gt;0,"CLASH — overlaps another name in this specialty","OK"))</f>
        <v/>
      </c>
      <c r="L13" s="23" t="inlineStr"/>
    </row>
    <row r="14" ht="24" customHeight="1">
      <c r="A14" s="23" t="inlineStr">
        <is>
          <t>IP-DRG</t>
        </is>
      </c>
      <c r="B14" s="29" t="inlineStr">
        <is>
          <t>IPD-10</t>
        </is>
      </c>
      <c r="C14" s="34" t="inlineStr">
        <is>
          <t>P2</t>
        </is>
      </c>
      <c r="D14" s="31" t="inlineStr">
        <is>
          <t>Renal</t>
        </is>
      </c>
      <c r="E14" s="17" t="inlineStr">
        <is>
          <t>Kidney and urinary — AKI, CKD, UTI</t>
        </is>
      </c>
      <c r="F14" s="17" t="inlineStr">
        <is>
          <t>Medical DRGs</t>
        </is>
      </c>
      <c r="G14" s="29" t="n">
        <v>21</v>
      </c>
      <c r="H14" s="15">
        <f>COUNTIFS('Chart Database'!$B$6:$B$4005,$A14,'Chart Database'!$C$6:$C$4005,"*"&amp;$D14&amp;"*",'Chart Database'!$F$6:$F$4005,"Active")</f>
        <v/>
      </c>
      <c r="I14" s="32">
        <f>IF($G14=0,"NA",H14/$G14)</f>
        <v/>
      </c>
      <c r="J14" s="15">
        <f>$G14-H14</f>
        <v/>
      </c>
      <c r="K14" s="33">
        <f>IF($D14="","",IF(SUMPRODUCT(--($A$5:$A$135=$A14),--($D$5:$D$135&lt;&gt;""),--(ROW($D$5:$D$135)&lt;&gt;ROW()),--(ISNUMBER(SEARCH($D14,$D$5:$D$135))+ISNUMBER(SEARCH($D$5:$D$135&amp;"",$D14))&gt;0))&gt;0,"CLASH — overlaps another name in this specialty","OK"))</f>
        <v/>
      </c>
      <c r="L14" s="23" t="inlineStr"/>
    </row>
    <row r="15" ht="24" customHeight="1">
      <c r="A15" s="23" t="inlineStr">
        <is>
          <t>IP-DRG</t>
        </is>
      </c>
      <c r="B15" s="29" t="inlineStr">
        <is>
          <t>IPD-11</t>
        </is>
      </c>
      <c r="C15" s="34" t="inlineStr">
        <is>
          <t>P2</t>
        </is>
      </c>
      <c r="D15" s="31" t="inlineStr">
        <is>
          <t>Endocrine</t>
        </is>
      </c>
      <c r="E15" s="17" t="inlineStr">
        <is>
          <t>Endocrine and metabolic — DKA, malnutrition, electrolyte disorders</t>
        </is>
      </c>
      <c r="F15" s="17" t="inlineStr">
        <is>
          <t>Medical DRGs</t>
        </is>
      </c>
      <c r="G15" s="29" t="n">
        <v>21</v>
      </c>
      <c r="H15" s="15">
        <f>COUNTIFS('Chart Database'!$B$6:$B$4005,$A15,'Chart Database'!$C$6:$C$4005,"*"&amp;$D15&amp;"*",'Chart Database'!$F$6:$F$4005,"Active")</f>
        <v/>
      </c>
      <c r="I15" s="32">
        <f>IF($G15=0,"NA",H15/$G15)</f>
        <v/>
      </c>
      <c r="J15" s="15">
        <f>$G15-H15</f>
        <v/>
      </c>
      <c r="K15" s="33">
        <f>IF($D15="","",IF(SUMPRODUCT(--($A$5:$A$135=$A15),--($D$5:$D$135&lt;&gt;""),--(ROW($D$5:$D$135)&lt;&gt;ROW()),--(ISNUMBER(SEARCH($D15,$D$5:$D$135))+ISNUMBER(SEARCH($D$5:$D$135&amp;"",$D15))&gt;0))&gt;0,"CLASH — overlaps another name in this specialty","OK"))</f>
        <v/>
      </c>
      <c r="L15" s="23" t="inlineStr"/>
    </row>
    <row r="16" ht="24" customHeight="1">
      <c r="A16" s="23" t="inlineStr">
        <is>
          <t>IP-DRG</t>
        </is>
      </c>
      <c r="B16" s="29" t="inlineStr">
        <is>
          <t>IPD-12</t>
        </is>
      </c>
      <c r="C16" s="34" t="inlineStr">
        <is>
          <t>P2</t>
        </is>
      </c>
      <c r="D16" s="31" t="inlineStr">
        <is>
          <t>Heme onc</t>
        </is>
      </c>
      <c r="E16" s="17" t="inlineStr">
        <is>
          <t>Haematology and oncology — medical admissions</t>
        </is>
      </c>
      <c r="F16" s="17" t="inlineStr">
        <is>
          <t>Medical DRGs</t>
        </is>
      </c>
      <c r="G16" s="29" t="n">
        <v>21</v>
      </c>
      <c r="H16" s="15">
        <f>COUNTIFS('Chart Database'!$B$6:$B$4005,$A16,'Chart Database'!$C$6:$C$4005,"*"&amp;$D16&amp;"*",'Chart Database'!$F$6:$F$4005,"Active")</f>
        <v/>
      </c>
      <c r="I16" s="32">
        <f>IF($G16=0,"NA",H16/$G16)</f>
        <v/>
      </c>
      <c r="J16" s="15">
        <f>$G16-H16</f>
        <v/>
      </c>
      <c r="K16" s="33">
        <f>IF($D16="","",IF(SUMPRODUCT(--($A$5:$A$135=$A16),--($D$5:$D$135&lt;&gt;""),--(ROW($D$5:$D$135)&lt;&gt;ROW()),--(ISNUMBER(SEARCH($D16,$D$5:$D$135))+ISNUMBER(SEARCH($D$5:$D$135&amp;"",$D16))&gt;0))&gt;0,"CLASH — overlaps another name in this specialty","OK"))</f>
        <v/>
      </c>
      <c r="L16" s="23" t="inlineStr"/>
    </row>
    <row r="17" ht="24" customHeight="1">
      <c r="A17" s="23" t="inlineStr">
        <is>
          <t>IP-DRG</t>
        </is>
      </c>
      <c r="B17" s="29" t="inlineStr">
        <is>
          <t>IPD-13</t>
        </is>
      </c>
      <c r="C17" s="35" t="inlineStr">
        <is>
          <t>P3</t>
        </is>
      </c>
      <c r="D17" s="31" t="inlineStr">
        <is>
          <t>Behavioral health</t>
        </is>
      </c>
      <c r="E17" s="17" t="inlineStr">
        <is>
          <t>Mental health and substance use</t>
        </is>
      </c>
      <c r="F17" s="17" t="inlineStr">
        <is>
          <t>Medical DRGs</t>
        </is>
      </c>
      <c r="G17" s="29" t="n">
        <v>14</v>
      </c>
      <c r="H17" s="15">
        <f>COUNTIFS('Chart Database'!$B$6:$B$4005,$A17,'Chart Database'!$C$6:$C$4005,"*"&amp;$D17&amp;"*",'Chart Database'!$F$6:$F$4005,"Active")</f>
        <v/>
      </c>
      <c r="I17" s="32">
        <f>IF($G17=0,"NA",H17/$G17)</f>
        <v/>
      </c>
      <c r="J17" s="15">
        <f>$G17-H17</f>
        <v/>
      </c>
      <c r="K17" s="33">
        <f>IF($D17="","",IF(SUMPRODUCT(--($A$5:$A$135=$A17),--($D$5:$D$135&lt;&gt;""),--(ROW($D$5:$D$135)&lt;&gt;ROW()),--(ISNUMBER(SEARCH($D17,$D$5:$D$135))+ISNUMBER(SEARCH($D$5:$D$135&amp;"",$D17))&gt;0))&gt;0,"CLASH — overlaps another name in this specialty","OK"))</f>
        <v/>
      </c>
      <c r="L17" s="23" t="inlineStr"/>
    </row>
    <row r="18" ht="24" customHeight="1">
      <c r="A18" s="23" t="inlineStr">
        <is>
          <t>IP-DRG</t>
        </is>
      </c>
      <c r="B18" s="29" t="inlineStr">
        <is>
          <t>IPD-14</t>
        </is>
      </c>
      <c r="C18" s="35" t="inlineStr">
        <is>
          <t>P3</t>
        </is>
      </c>
      <c r="D18" s="31" t="inlineStr">
        <is>
          <t>Infection other</t>
        </is>
      </c>
      <c r="E18" s="17" t="inlineStr">
        <is>
          <t>Other infectious disease</t>
        </is>
      </c>
      <c r="F18" s="17" t="inlineStr">
        <is>
          <t>Medical DRGs</t>
        </is>
      </c>
      <c r="G18" s="29" t="n">
        <v>7</v>
      </c>
      <c r="H18" s="15">
        <f>COUNTIFS('Chart Database'!$B$6:$B$4005,$A18,'Chart Database'!$C$6:$C$4005,"*"&amp;$D18&amp;"*",'Chart Database'!$F$6:$F$4005,"Active")</f>
        <v/>
      </c>
      <c r="I18" s="32">
        <f>IF($G18=0,"NA",H18/$G18)</f>
        <v/>
      </c>
      <c r="J18" s="15">
        <f>$G18-H18</f>
        <v/>
      </c>
      <c r="K18" s="33">
        <f>IF($D18="","",IF(SUMPRODUCT(--($A$5:$A$135=$A18),--($D$5:$D$135&lt;&gt;""),--(ROW($D$5:$D$135)&lt;&gt;ROW()),--(ISNUMBER(SEARCH($D18,$D$5:$D$135))+ISNUMBER(SEARCH($D$5:$D$135&amp;"",$D18))&gt;0))&gt;0,"CLASH — overlaps another name in this specialty","OK"))</f>
        <v/>
      </c>
      <c r="L18" s="23" t="inlineStr"/>
    </row>
    <row r="19" ht="24" customHeight="1">
      <c r="A19" s="23" t="inlineStr">
        <is>
          <t>IP-DRG</t>
        </is>
      </c>
      <c r="B19" s="29" t="inlineStr">
        <is>
          <t>IPD-15</t>
        </is>
      </c>
      <c r="C19" s="30" t="inlineStr">
        <is>
          <t>P1</t>
        </is>
      </c>
      <c r="D19" s="31" t="inlineStr">
        <is>
          <t>Caesarean</t>
        </is>
      </c>
      <c r="E19" s="17" t="inlineStr">
        <is>
          <t>Caesarean delivery</t>
        </is>
      </c>
      <c r="F19" s="17" t="inlineStr">
        <is>
          <t>Surgical DRGs</t>
        </is>
      </c>
      <c r="G19" s="29" t="n">
        <v>28</v>
      </c>
      <c r="H19" s="15">
        <f>COUNTIFS('Chart Database'!$B$6:$B$4005,$A19,'Chart Database'!$C$6:$C$4005,"*"&amp;$D19&amp;"*",'Chart Database'!$F$6:$F$4005,"Active")</f>
        <v/>
      </c>
      <c r="I19" s="32">
        <f>IF($G19=0,"NA",H19/$G19)</f>
        <v/>
      </c>
      <c r="J19" s="15">
        <f>$G19-H19</f>
        <v/>
      </c>
      <c r="K19" s="33">
        <f>IF($D19="","",IF(SUMPRODUCT(--($A$5:$A$135=$A19),--($D$5:$D$135&lt;&gt;""),--(ROW($D$5:$D$135)&lt;&gt;ROW()),--(ISNUMBER(SEARCH($D19,$D$5:$D$135))+ISNUMBER(SEARCH($D$5:$D$135&amp;"",$D19))&gt;0))&gt;0,"CLASH — overlaps another name in this specialty","OK"))</f>
        <v/>
      </c>
      <c r="L19" s="23" t="inlineStr"/>
    </row>
    <row r="20" ht="24" customHeight="1">
      <c r="A20" s="23" t="inlineStr">
        <is>
          <t>IP-DRG</t>
        </is>
      </c>
      <c r="B20" s="29" t="inlineStr">
        <is>
          <t>IPD-16</t>
        </is>
      </c>
      <c r="C20" s="30" t="inlineStr">
        <is>
          <t>P1</t>
        </is>
      </c>
      <c r="D20" s="31" t="inlineStr">
        <is>
          <t>OB surgical</t>
        </is>
      </c>
      <c r="E20" s="17" t="inlineStr">
        <is>
          <t>Obstetric and postpartum surgical procedures</t>
        </is>
      </c>
      <c r="F20" s="17" t="inlineStr">
        <is>
          <t>Surgical DRGs</t>
        </is>
      </c>
      <c r="G20" s="29" t="n">
        <v>14</v>
      </c>
      <c r="H20" s="15">
        <f>COUNTIFS('Chart Database'!$B$6:$B$4005,$A20,'Chart Database'!$C$6:$C$4005,"*"&amp;$D20&amp;"*",'Chart Database'!$F$6:$F$4005,"Active")</f>
        <v/>
      </c>
      <c r="I20" s="32">
        <f>IF($G20=0,"NA",H20/$G20)</f>
        <v/>
      </c>
      <c r="J20" s="15">
        <f>$G20-H20</f>
        <v/>
      </c>
      <c r="K20" s="33">
        <f>IF($D20="","",IF(SUMPRODUCT(--($A$5:$A$135=$A20),--($D$5:$D$135&lt;&gt;""),--(ROW($D$5:$D$135)&lt;&gt;ROW()),--(ISNUMBER(SEARCH($D20,$D$5:$D$135))+ISNUMBER(SEARCH($D$5:$D$135&amp;"",$D20))&gt;0))&gt;0,"CLASH — overlaps another name in this specialty","OK"))</f>
        <v/>
      </c>
      <c r="L20" s="23" t="inlineStr"/>
    </row>
    <row r="21" ht="24" customHeight="1">
      <c r="A21" s="23" t="inlineStr">
        <is>
          <t>IP-DRG</t>
        </is>
      </c>
      <c r="B21" s="29" t="inlineStr">
        <is>
          <t>IPD-17</t>
        </is>
      </c>
      <c r="C21" s="34" t="inlineStr">
        <is>
          <t>P2</t>
        </is>
      </c>
      <c r="D21" s="31" t="inlineStr">
        <is>
          <t>GI surgical</t>
        </is>
      </c>
      <c r="E21" s="17" t="inlineStr">
        <is>
          <t>Digestive surgical — bowel resection, cholecystectomy, hernia repair</t>
        </is>
      </c>
      <c r="F21" s="17" t="inlineStr">
        <is>
          <t>Surgical DRGs</t>
        </is>
      </c>
      <c r="G21" s="29" t="n">
        <v>55</v>
      </c>
      <c r="H21" s="15">
        <f>COUNTIFS('Chart Database'!$B$6:$B$4005,$A21,'Chart Database'!$C$6:$C$4005,"*"&amp;$D21&amp;"*",'Chart Database'!$F$6:$F$4005,"Active")</f>
        <v/>
      </c>
      <c r="I21" s="32">
        <f>IF($G21=0,"NA",H21/$G21)</f>
        <v/>
      </c>
      <c r="J21" s="15">
        <f>$G21-H21</f>
        <v/>
      </c>
      <c r="K21" s="33">
        <f>IF($D21="","",IF(SUMPRODUCT(--($A$5:$A$135=$A21),--($D$5:$D$135&lt;&gt;""),--(ROW($D$5:$D$135)&lt;&gt;ROW()),--(ISNUMBER(SEARCH($D21,$D$5:$D$135))+ISNUMBER(SEARCH($D$5:$D$135&amp;"",$D21))&gt;0))&gt;0,"CLASH — overlaps another name in this specialty","OK"))</f>
        <v/>
      </c>
      <c r="L21" s="23" t="inlineStr"/>
    </row>
    <row r="22" ht="24" customHeight="1">
      <c r="A22" s="23" t="inlineStr">
        <is>
          <t>IP-DRG</t>
        </is>
      </c>
      <c r="B22" s="29" t="inlineStr">
        <is>
          <t>IPD-18</t>
        </is>
      </c>
      <c r="C22" s="34" t="inlineStr">
        <is>
          <t>P2</t>
        </is>
      </c>
      <c r="D22" s="31" t="inlineStr">
        <is>
          <t>Cardiac surgical</t>
        </is>
      </c>
      <c r="E22" s="17" t="inlineStr">
        <is>
          <t>Cardiovascular surgical — CABG, valve, PCI, EP procedures</t>
        </is>
      </c>
      <c r="F22" s="17" t="inlineStr">
        <is>
          <t>Surgical DRGs</t>
        </is>
      </c>
      <c r="G22" s="29" t="n">
        <v>55</v>
      </c>
      <c r="H22" s="15">
        <f>COUNTIFS('Chart Database'!$B$6:$B$4005,$A22,'Chart Database'!$C$6:$C$4005,"*"&amp;$D22&amp;"*",'Chart Database'!$F$6:$F$4005,"Active")</f>
        <v/>
      </c>
      <c r="I22" s="32">
        <f>IF($G22=0,"NA",H22/$G22)</f>
        <v/>
      </c>
      <c r="J22" s="15">
        <f>$G22-H22</f>
        <v/>
      </c>
      <c r="K22" s="33">
        <f>IF($D22="","",IF(SUMPRODUCT(--($A$5:$A$135=$A22),--($D$5:$D$135&lt;&gt;""),--(ROW($D$5:$D$135)&lt;&gt;ROW()),--(ISNUMBER(SEARCH($D22,$D$5:$D$135))+ISNUMBER(SEARCH($D$5:$D$135&amp;"",$D22))&gt;0))&gt;0,"CLASH — overlaps another name in this specialty","OK"))</f>
        <v/>
      </c>
      <c r="L22" s="23" t="inlineStr"/>
    </row>
    <row r="23" ht="24" customHeight="1">
      <c r="A23" s="23" t="inlineStr">
        <is>
          <t>IP-DRG</t>
        </is>
      </c>
      <c r="B23" s="29" t="inlineStr">
        <is>
          <t>IPD-19</t>
        </is>
      </c>
      <c r="C23" s="34" t="inlineStr">
        <is>
          <t>P2</t>
        </is>
      </c>
      <c r="D23" s="31" t="inlineStr">
        <is>
          <t>Thoracic surgical</t>
        </is>
      </c>
      <c r="E23" s="17" t="inlineStr">
        <is>
          <t>Respiratory surgical — thoracotomy, tracheostomy, lung resection</t>
        </is>
      </c>
      <c r="F23" s="17" t="inlineStr">
        <is>
          <t>Surgical DRGs</t>
        </is>
      </c>
      <c r="G23" s="29" t="n">
        <v>21</v>
      </c>
      <c r="H23" s="15">
        <f>COUNTIFS('Chart Database'!$B$6:$B$4005,$A23,'Chart Database'!$C$6:$C$4005,"*"&amp;$D23&amp;"*",'Chart Database'!$F$6:$F$4005,"Active")</f>
        <v/>
      </c>
      <c r="I23" s="32">
        <f>IF($G23=0,"NA",H23/$G23)</f>
        <v/>
      </c>
      <c r="J23" s="15">
        <f>$G23-H23</f>
        <v/>
      </c>
      <c r="K23" s="33">
        <f>IF($D23="","",IF(SUMPRODUCT(--($A$5:$A$135=$A23),--($D$5:$D$135&lt;&gt;""),--(ROW($D$5:$D$135)&lt;&gt;ROW()),--(ISNUMBER(SEARCH($D23,$D$5:$D$135))+ISNUMBER(SEARCH($D$5:$D$135&amp;"",$D23))&gt;0))&gt;0,"CLASH — overlaps another name in this specialty","OK"))</f>
        <v/>
      </c>
      <c r="L23" s="23" t="inlineStr"/>
    </row>
    <row r="24" ht="24" customHeight="1">
      <c r="A24" s="23" t="inlineStr">
        <is>
          <t>IP-DRG</t>
        </is>
      </c>
      <c r="B24" s="29" t="inlineStr">
        <is>
          <t>IPD-20</t>
        </is>
      </c>
      <c r="C24" s="34" t="inlineStr">
        <is>
          <t>P2</t>
        </is>
      </c>
      <c r="D24" s="31" t="inlineStr">
        <is>
          <t>Ortho surgical</t>
        </is>
      </c>
      <c r="E24" s="17" t="inlineStr">
        <is>
          <t>Musculoskeletal — joint replacement, spinal fusion, fracture fixation</t>
        </is>
      </c>
      <c r="F24" s="17" t="inlineStr">
        <is>
          <t>Surgical DRGs</t>
        </is>
      </c>
      <c r="G24" s="29" t="n">
        <v>62</v>
      </c>
      <c r="H24" s="15">
        <f>COUNTIFS('Chart Database'!$B$6:$B$4005,$A24,'Chart Database'!$C$6:$C$4005,"*"&amp;$D24&amp;"*",'Chart Database'!$F$6:$F$4005,"Active")</f>
        <v/>
      </c>
      <c r="I24" s="32">
        <f>IF($G24=0,"NA",H24/$G24)</f>
        <v/>
      </c>
      <c r="J24" s="15">
        <f>$G24-H24</f>
        <v/>
      </c>
      <c r="K24" s="33">
        <f>IF($D24="","",IF(SUMPRODUCT(--($A$5:$A$135=$A24),--($D$5:$D$135&lt;&gt;""),--(ROW($D$5:$D$135)&lt;&gt;ROW()),--(ISNUMBER(SEARCH($D24,$D$5:$D$135))+ISNUMBER(SEARCH($D$5:$D$135&amp;"",$D24))&gt;0))&gt;0,"CLASH — overlaps another name in this specialty","OK"))</f>
        <v/>
      </c>
      <c r="L24" s="23" t="inlineStr"/>
    </row>
    <row r="25" ht="24" customHeight="1">
      <c r="A25" s="23" t="inlineStr">
        <is>
          <t>IP-DRG</t>
        </is>
      </c>
      <c r="B25" s="29" t="inlineStr">
        <is>
          <t>IPD-21</t>
        </is>
      </c>
      <c r="C25" s="34" t="inlineStr">
        <is>
          <t>P2</t>
        </is>
      </c>
      <c r="D25" s="31" t="inlineStr">
        <is>
          <t>Neuro surgical</t>
        </is>
      </c>
      <c r="E25" s="17" t="inlineStr">
        <is>
          <t>Nervous system surgical — craniotomy, shunt, spine decompression</t>
        </is>
      </c>
      <c r="F25" s="17" t="inlineStr">
        <is>
          <t>Surgical DRGs</t>
        </is>
      </c>
      <c r="G25" s="29" t="n">
        <v>28</v>
      </c>
      <c r="H25" s="15">
        <f>COUNTIFS('Chart Database'!$B$6:$B$4005,$A25,'Chart Database'!$C$6:$C$4005,"*"&amp;$D25&amp;"*",'Chart Database'!$F$6:$F$4005,"Active")</f>
        <v/>
      </c>
      <c r="I25" s="32">
        <f>IF($G25=0,"NA",H25/$G25)</f>
        <v/>
      </c>
      <c r="J25" s="15">
        <f>$G25-H25</f>
        <v/>
      </c>
      <c r="K25" s="33">
        <f>IF($D25="","",IF(SUMPRODUCT(--($A$5:$A$135=$A25),--($D$5:$D$135&lt;&gt;""),--(ROW($D$5:$D$135)&lt;&gt;ROW()),--(ISNUMBER(SEARCH($D25,$D$5:$D$135))+ISNUMBER(SEARCH($D$5:$D$135&amp;"",$D25))&gt;0))&gt;0,"CLASH — overlaps another name in this specialty","OK"))</f>
        <v/>
      </c>
      <c r="L25" s="23" t="inlineStr"/>
    </row>
    <row r="26" ht="24" customHeight="1">
      <c r="A26" s="23" t="inlineStr">
        <is>
          <t>IP-DRG</t>
        </is>
      </c>
      <c r="B26" s="29" t="inlineStr">
        <is>
          <t>IPD-22</t>
        </is>
      </c>
      <c r="C26" s="34" t="inlineStr">
        <is>
          <t>P2</t>
        </is>
      </c>
      <c r="D26" s="31" t="inlineStr">
        <is>
          <t>GU surgical</t>
        </is>
      </c>
      <c r="E26" s="17" t="inlineStr">
        <is>
          <t>Genitourinary surgical</t>
        </is>
      </c>
      <c r="F26" s="17" t="inlineStr">
        <is>
          <t>Surgical DRGs</t>
        </is>
      </c>
      <c r="G26" s="29" t="n">
        <v>21</v>
      </c>
      <c r="H26" s="15">
        <f>COUNTIFS('Chart Database'!$B$6:$B$4005,$A26,'Chart Database'!$C$6:$C$4005,"*"&amp;$D26&amp;"*",'Chart Database'!$F$6:$F$4005,"Active")</f>
        <v/>
      </c>
      <c r="I26" s="32">
        <f>IF($G26=0,"NA",H26/$G26)</f>
        <v/>
      </c>
      <c r="J26" s="15">
        <f>$G26-H26</f>
        <v/>
      </c>
      <c r="K26" s="33">
        <f>IF($D26="","",IF(SUMPRODUCT(--($A$5:$A$135=$A26),--($D$5:$D$135&lt;&gt;""),--(ROW($D$5:$D$135)&lt;&gt;ROW()),--(ISNUMBER(SEARCH($D26,$D$5:$D$135))+ISNUMBER(SEARCH($D$5:$D$135&amp;"",$D26))&gt;0))&gt;0,"CLASH — overlaps another name in this specialty","OK"))</f>
        <v/>
      </c>
      <c r="L26" s="23" t="inlineStr"/>
    </row>
    <row r="27" ht="24" customHeight="1">
      <c r="A27" s="23" t="inlineStr">
        <is>
          <t>IP-DRG</t>
        </is>
      </c>
      <c r="B27" s="29" t="inlineStr">
        <is>
          <t>IPD-23</t>
        </is>
      </c>
      <c r="C27" s="35" t="inlineStr">
        <is>
          <t>P3</t>
        </is>
      </c>
      <c r="D27" s="31" t="inlineStr">
        <is>
          <t>Vascular access</t>
        </is>
      </c>
      <c r="E27" s="17" t="inlineStr">
        <is>
          <t>Vascular access and device procedures — PICC, pacemaker, dialysis catheter</t>
        </is>
      </c>
      <c r="F27" s="17" t="inlineStr">
        <is>
          <t>Surgical DRGs</t>
        </is>
      </c>
      <c r="G27" s="29" t="n">
        <v>14</v>
      </c>
      <c r="H27" s="15">
        <f>COUNTIFS('Chart Database'!$B$6:$B$4005,$A27,'Chart Database'!$C$6:$C$4005,"*"&amp;$D27&amp;"*",'Chart Database'!$F$6:$F$4005,"Active")</f>
        <v/>
      </c>
      <c r="I27" s="32">
        <f>IF($G27=0,"NA",H27/$G27)</f>
        <v/>
      </c>
      <c r="J27" s="15">
        <f>$G27-H27</f>
        <v/>
      </c>
      <c r="K27" s="33">
        <f>IF($D27="","",IF(SUMPRODUCT(--($A$5:$A$135=$A27),--($D$5:$D$135&lt;&gt;""),--(ROW($D$5:$D$135)&lt;&gt;ROW()),--(ISNUMBER(SEARCH($D27,$D$5:$D$135))+ISNUMBER(SEARCH($D$5:$D$135&amp;"",$D27))&gt;0))&gt;0,"CLASH — overlaps another name in this specialty","OK"))</f>
        <v/>
      </c>
      <c r="L27" s="23" t="inlineStr"/>
    </row>
    <row r="28" ht="24" customHeight="1">
      <c r="A28" s="23" t="inlineStr">
        <is>
          <t>IP-DRG</t>
        </is>
      </c>
      <c r="B28" s="29" t="inlineStr">
        <is>
          <t>IPD-24</t>
        </is>
      </c>
      <c r="C28" s="35" t="inlineStr">
        <is>
          <t>P3</t>
        </is>
      </c>
      <c r="D28" s="31" t="inlineStr">
        <is>
          <t>Transplant</t>
        </is>
      </c>
      <c r="E28" s="17" t="inlineStr">
        <is>
          <t>Transplant and other high-weight DRGs</t>
        </is>
      </c>
      <c r="F28" s="17" t="inlineStr">
        <is>
          <t>Surgical DRGs</t>
        </is>
      </c>
      <c r="G28" s="29" t="n">
        <v>7</v>
      </c>
      <c r="H28" s="15">
        <f>COUNTIFS('Chart Database'!$B$6:$B$4005,$A28,'Chart Database'!$C$6:$C$4005,"*"&amp;$D28&amp;"*",'Chart Database'!$F$6:$F$4005,"Active")</f>
        <v/>
      </c>
      <c r="I28" s="32">
        <f>IF($G28=0,"NA",H28/$G28)</f>
        <v/>
      </c>
      <c r="J28" s="15">
        <f>$G28-H28</f>
        <v/>
      </c>
      <c r="K28" s="33">
        <f>IF($D28="","",IF(SUMPRODUCT(--($A$5:$A$135=$A28),--($D$5:$D$135&lt;&gt;""),--(ROW($D$5:$D$135)&lt;&gt;ROW()),--(ISNUMBER(SEARCH($D28,$D$5:$D$135))+ISNUMBER(SEARCH($D$5:$D$135&amp;"",$D28))&gt;0))&gt;0,"CLASH — overlaps another name in this specialty","OK"))</f>
        <v/>
      </c>
      <c r="L28" s="23" t="inlineStr"/>
    </row>
    <row r="29" ht="24" customHeight="1">
      <c r="A29" s="23" t="inlineStr">
        <is>
          <t>IP-DRG</t>
        </is>
      </c>
      <c r="B29" s="29" t="inlineStr">
        <is>
          <t>IPD-25</t>
        </is>
      </c>
      <c r="C29" s="35" t="inlineStr">
        <is>
          <t>P3</t>
        </is>
      </c>
      <c r="D29" s="31" t="inlineStr">
        <is>
          <t>Polytrauma</t>
        </is>
      </c>
      <c r="E29" s="17" t="inlineStr">
        <is>
          <t>Multiple significant trauma and burns</t>
        </is>
      </c>
      <c r="F29" s="17" t="inlineStr">
        <is>
          <t>Surgical DRGs</t>
        </is>
      </c>
      <c r="G29" s="29" t="n">
        <v>7</v>
      </c>
      <c r="H29" s="15">
        <f>COUNTIFS('Chart Database'!$B$6:$B$4005,$A29,'Chart Database'!$C$6:$C$4005,"*"&amp;$D29&amp;"*",'Chart Database'!$F$6:$F$4005,"Active")</f>
        <v/>
      </c>
      <c r="I29" s="32">
        <f>IF($G29=0,"NA",H29/$G29)</f>
        <v/>
      </c>
      <c r="J29" s="15">
        <f>$G29-H29</f>
        <v/>
      </c>
      <c r="K29" s="33">
        <f>IF($D29="","",IF(SUMPRODUCT(--($A$5:$A$135=$A29),--($D$5:$D$135&lt;&gt;""),--(ROW($D$5:$D$135)&lt;&gt;ROW()),--(ISNUMBER(SEARCH($D29,$D$5:$D$135))+ISNUMBER(SEARCH($D$5:$D$135&amp;"",$D29))&gt;0))&gt;0,"CLASH — overlaps another name in this specialty","OK"))</f>
        <v/>
      </c>
      <c r="L29" s="23" t="inlineStr"/>
    </row>
    <row r="30" ht="24" customHeight="1">
      <c r="A30" s="23" t="inlineStr">
        <is>
          <t>ED Facility</t>
        </is>
      </c>
      <c r="B30" s="29" t="inlineStr">
        <is>
          <t>EDF-01</t>
        </is>
      </c>
      <c r="C30" s="34" t="inlineStr">
        <is>
          <t>P2</t>
        </is>
      </c>
      <c r="D30" s="31" t="inlineStr">
        <is>
          <t>Minor presentation</t>
        </is>
      </c>
      <c r="E30" s="17" t="inlineStr">
        <is>
          <t>Minor presentations and rechecks (99281 / 99282)</t>
        </is>
      </c>
      <c r="F30" s="17" t="inlineStr">
        <is>
          <t>Levels 1–2</t>
        </is>
      </c>
      <c r="G30" s="29" t="n">
        <v>70</v>
      </c>
      <c r="H30" s="15">
        <f>COUNTIFS('Chart Database'!$B$6:$B$4005,$A30,'Chart Database'!$C$6:$C$4005,"*"&amp;$D30&amp;"*",'Chart Database'!$F$6:$F$4005,"Active")</f>
        <v/>
      </c>
      <c r="I30" s="32">
        <f>IF($G30=0,"NA",H30/$G30)</f>
        <v/>
      </c>
      <c r="J30" s="15">
        <f>$G30-H30</f>
        <v/>
      </c>
      <c r="K30" s="33">
        <f>IF($D30="","",IF(SUMPRODUCT(--($A$5:$A$135=$A30),--($D$5:$D$135&lt;&gt;""),--(ROW($D$5:$D$135)&lt;&gt;ROW()),--(ISNUMBER(SEARCH($D30,$D$5:$D$135))+ISNUMBER(SEARCH($D$5:$D$135&amp;"",$D30))&gt;0))&gt;0,"CLASH — overlaps another name in this specialty","OK"))</f>
        <v/>
      </c>
      <c r="L30" s="23" t="inlineStr"/>
    </row>
    <row r="31" ht="24" customHeight="1">
      <c r="A31" s="23" t="inlineStr">
        <is>
          <t>ED Facility</t>
        </is>
      </c>
      <c r="B31" s="29" t="inlineStr">
        <is>
          <t>EDF-02</t>
        </is>
      </c>
      <c r="C31" s="35" t="inlineStr">
        <is>
          <t>P3</t>
        </is>
      </c>
      <c r="D31" s="31" t="inlineStr">
        <is>
          <t>Nurse only</t>
        </is>
      </c>
      <c r="E31" s="17" t="inlineStr">
        <is>
          <t>Nurse-only and ancillary-only ED encounters</t>
        </is>
      </c>
      <c r="F31" s="17" t="inlineStr">
        <is>
          <t>Levels 1–2</t>
        </is>
      </c>
      <c r="G31" s="29" t="n">
        <v>35</v>
      </c>
      <c r="H31" s="15">
        <f>COUNTIFS('Chart Database'!$B$6:$B$4005,$A31,'Chart Database'!$C$6:$C$4005,"*"&amp;$D31&amp;"*",'Chart Database'!$F$6:$F$4005,"Active")</f>
        <v/>
      </c>
      <c r="I31" s="32">
        <f>IF($G31=0,"NA",H31/$G31)</f>
        <v/>
      </c>
      <c r="J31" s="15">
        <f>$G31-H31</f>
        <v/>
      </c>
      <c r="K31" s="33">
        <f>IF($D31="","",IF(SUMPRODUCT(--($A$5:$A$135=$A31),--($D$5:$D$135&lt;&gt;""),--(ROW($D$5:$D$135)&lt;&gt;ROW()),--(ISNUMBER(SEARCH($D31,$D$5:$D$135))+ISNUMBER(SEARCH($D$5:$D$135&amp;"",$D31))&gt;0))&gt;0,"CLASH — overlaps another name in this specialty","OK"))</f>
        <v/>
      </c>
      <c r="L31" s="23" t="inlineStr"/>
    </row>
    <row r="32" ht="24" customHeight="1">
      <c r="A32" s="23" t="inlineStr">
        <is>
          <t>ED Facility</t>
        </is>
      </c>
      <c r="B32" s="29" t="inlineStr">
        <is>
          <t>EDF-03</t>
        </is>
      </c>
      <c r="C32" s="34" t="inlineStr">
        <is>
          <t>P2</t>
        </is>
      </c>
      <c r="D32" s="31" t="inlineStr">
        <is>
          <t>Low acuity procedure</t>
        </is>
      </c>
      <c r="E32" s="17" t="inlineStr">
        <is>
          <t>Low-acuity visits with an ED procedure</t>
        </is>
      </c>
      <c r="F32" s="17" t="inlineStr">
        <is>
          <t>Levels 1–2</t>
        </is>
      </c>
      <c r="G32" s="29" t="n">
        <v>35</v>
      </c>
      <c r="H32" s="15">
        <f>COUNTIFS('Chart Database'!$B$6:$B$4005,$A32,'Chart Database'!$C$6:$C$4005,"*"&amp;$D32&amp;"*",'Chart Database'!$F$6:$F$4005,"Active")</f>
        <v/>
      </c>
      <c r="I32" s="32">
        <f>IF($G32=0,"NA",H32/$G32)</f>
        <v/>
      </c>
      <c r="J32" s="15">
        <f>$G32-H32</f>
        <v/>
      </c>
      <c r="K32" s="33">
        <f>IF($D32="","",IF(SUMPRODUCT(--($A$5:$A$135=$A32),--($D$5:$D$135&lt;&gt;""),--(ROW($D$5:$D$135)&lt;&gt;ROW()),--(ISNUMBER(SEARCH($D32,$D$5:$D$135))+ISNUMBER(SEARCH($D$5:$D$135&amp;"",$D32))&gt;0))&gt;0,"CLASH — overlaps another name in this specialty","OK"))</f>
        <v/>
      </c>
      <c r="L32" s="23" t="inlineStr"/>
    </row>
    <row r="33" ht="24" customHeight="1">
      <c r="A33" s="23" t="inlineStr">
        <is>
          <t>ED Facility</t>
        </is>
      </c>
      <c r="B33" s="29" t="inlineStr">
        <is>
          <t>EDF-04</t>
        </is>
      </c>
      <c r="C33" s="34" t="inlineStr">
        <is>
          <t>P2</t>
        </is>
      </c>
      <c r="D33" s="31" t="inlineStr">
        <is>
          <t>Moderate medical</t>
        </is>
      </c>
      <c r="E33" s="17" t="inlineStr">
        <is>
          <t>Moderate medical presentations — URI, UTI, gastroenteritis</t>
        </is>
      </c>
      <c r="F33" s="17" t="inlineStr">
        <is>
          <t>Level 3</t>
        </is>
      </c>
      <c r="G33" s="29" t="n">
        <v>70</v>
      </c>
      <c r="H33" s="15">
        <f>COUNTIFS('Chart Database'!$B$6:$B$4005,$A33,'Chart Database'!$C$6:$C$4005,"*"&amp;$D33&amp;"*",'Chart Database'!$F$6:$F$4005,"Active")</f>
        <v/>
      </c>
      <c r="I33" s="32">
        <f>IF($G33=0,"NA",H33/$G33)</f>
        <v/>
      </c>
      <c r="J33" s="15">
        <f>$G33-H33</f>
        <v/>
      </c>
      <c r="K33" s="33">
        <f>IF($D33="","",IF(SUMPRODUCT(--($A$5:$A$135=$A33),--($D$5:$D$135&lt;&gt;""),--(ROW($D$5:$D$135)&lt;&gt;ROW()),--(ISNUMBER(SEARCH($D33,$D$5:$D$135))+ISNUMBER(SEARCH($D$5:$D$135&amp;"",$D33))&gt;0))&gt;0,"CLASH — overlaps another name in this specialty","OK"))</f>
        <v/>
      </c>
      <c r="L33" s="23" t="inlineStr"/>
    </row>
    <row r="34" ht="24" customHeight="1">
      <c r="A34" s="23" t="inlineStr">
        <is>
          <t>ED Facility</t>
        </is>
      </c>
      <c r="B34" s="29" t="inlineStr">
        <is>
          <t>EDF-05</t>
        </is>
      </c>
      <c r="C34" s="34" t="inlineStr">
        <is>
          <t>P2</t>
        </is>
      </c>
      <c r="D34" s="31" t="inlineStr">
        <is>
          <t>Wound repair</t>
        </is>
      </c>
      <c r="E34" s="17" t="inlineStr">
        <is>
          <t>Minor trauma and wound repair</t>
        </is>
      </c>
      <c r="F34" s="17" t="inlineStr">
        <is>
          <t>Level 3</t>
        </is>
      </c>
      <c r="G34" s="29" t="n">
        <v>56</v>
      </c>
      <c r="H34" s="15">
        <f>COUNTIFS('Chart Database'!$B$6:$B$4005,$A34,'Chart Database'!$C$6:$C$4005,"*"&amp;$D34&amp;"*",'Chart Database'!$F$6:$F$4005,"Active")</f>
        <v/>
      </c>
      <c r="I34" s="32">
        <f>IF($G34=0,"NA",H34/$G34)</f>
        <v/>
      </c>
      <c r="J34" s="15">
        <f>$G34-H34</f>
        <v/>
      </c>
      <c r="K34" s="33">
        <f>IF($D34="","",IF(SUMPRODUCT(--($A$5:$A$135=$A34),--($D$5:$D$135&lt;&gt;""),--(ROW($D$5:$D$135)&lt;&gt;ROW()),--(ISNUMBER(SEARCH($D34,$D$5:$D$135))+ISNUMBER(SEARCH($D$5:$D$135&amp;"",$D34))&gt;0))&gt;0,"CLASH — overlaps another name in this specialty","OK"))</f>
        <v/>
      </c>
      <c r="L34" s="23" t="inlineStr"/>
    </row>
    <row r="35" ht="24" customHeight="1">
      <c r="A35" s="23" t="inlineStr">
        <is>
          <t>ED Facility</t>
        </is>
      </c>
      <c r="B35" s="29" t="inlineStr">
        <is>
          <t>EDF-06</t>
        </is>
      </c>
      <c r="C35" s="34" t="inlineStr">
        <is>
          <t>P2</t>
        </is>
      </c>
      <c r="D35" s="31" t="inlineStr">
        <is>
          <t>Ortho injury</t>
        </is>
      </c>
      <c r="E35" s="17" t="inlineStr">
        <is>
          <t>Orthopaedic injury — sprain, simple fracture, splinting</t>
        </is>
      </c>
      <c r="F35" s="17" t="inlineStr">
        <is>
          <t>Level 3</t>
        </is>
      </c>
      <c r="G35" s="29" t="n">
        <v>49</v>
      </c>
      <c r="H35" s="15">
        <f>COUNTIFS('Chart Database'!$B$6:$B$4005,$A35,'Chart Database'!$C$6:$C$4005,"*"&amp;$D35&amp;"*",'Chart Database'!$F$6:$F$4005,"Active")</f>
        <v/>
      </c>
      <c r="I35" s="32">
        <f>IF($G35=0,"NA",H35/$G35)</f>
        <v/>
      </c>
      <c r="J35" s="15">
        <f>$G35-H35</f>
        <v/>
      </c>
      <c r="K35" s="33">
        <f>IF($D35="","",IF(SUMPRODUCT(--($A$5:$A$135=$A35),--($D$5:$D$135&lt;&gt;""),--(ROW($D$5:$D$135)&lt;&gt;ROW()),--(ISNUMBER(SEARCH($D35,$D$5:$D$135))+ISNUMBER(SEARCH($D$5:$D$135&amp;"",$D35))&gt;0))&gt;0,"CLASH — overlaps another name in this specialty","OK"))</f>
        <v/>
      </c>
      <c r="L35" s="23" t="inlineStr"/>
    </row>
    <row r="36" ht="24" customHeight="1">
      <c r="A36" s="23" t="inlineStr">
        <is>
          <t>ED Facility</t>
        </is>
      </c>
      <c r="B36" s="29" t="inlineStr">
        <is>
          <t>EDF-07</t>
        </is>
      </c>
      <c r="C36" s="34" t="inlineStr">
        <is>
          <t>P2</t>
        </is>
      </c>
      <c r="D36" s="31" t="inlineStr">
        <is>
          <t>Infusion</t>
        </is>
      </c>
      <c r="E36" s="17" t="inlineStr">
        <is>
          <t>Infusion and injection administration visits</t>
        </is>
      </c>
      <c r="F36" s="17" t="inlineStr">
        <is>
          <t>Level 3</t>
        </is>
      </c>
      <c r="G36" s="29" t="n">
        <v>35</v>
      </c>
      <c r="H36" s="15">
        <f>COUNTIFS('Chart Database'!$B$6:$B$4005,$A36,'Chart Database'!$C$6:$C$4005,"*"&amp;$D36&amp;"*",'Chart Database'!$F$6:$F$4005,"Active")</f>
        <v/>
      </c>
      <c r="I36" s="32">
        <f>IF($G36=0,"NA",H36/$G36)</f>
        <v/>
      </c>
      <c r="J36" s="15">
        <f>$G36-H36</f>
        <v/>
      </c>
      <c r="K36" s="33">
        <f>IF($D36="","",IF(SUMPRODUCT(--($A$5:$A$135=$A36),--($D$5:$D$135&lt;&gt;""),--(ROW($D$5:$D$135)&lt;&gt;ROW()),--(ISNUMBER(SEARCH($D36,$D$5:$D$135))+ISNUMBER(SEARCH($D$5:$D$135&amp;"",$D36))&gt;0))&gt;0,"CLASH — overlaps another name in this specialty","OK"))</f>
        <v/>
      </c>
      <c r="L36" s="23" t="inlineStr"/>
    </row>
    <row r="37" ht="24" customHeight="1">
      <c r="A37" s="23" t="inlineStr">
        <is>
          <t>ED Facility</t>
        </is>
      </c>
      <c r="B37" s="29" t="inlineStr">
        <is>
          <t>EDF-08</t>
        </is>
      </c>
      <c r="C37" s="34" t="inlineStr">
        <is>
          <t>P2</t>
        </is>
      </c>
      <c r="D37" s="31" t="inlineStr">
        <is>
          <t>Pain workup</t>
        </is>
      </c>
      <c r="E37" s="17" t="inlineStr">
        <is>
          <t>Abdominal and chest pain workups</t>
        </is>
      </c>
      <c r="F37" s="17" t="inlineStr">
        <is>
          <t>Level 4</t>
        </is>
      </c>
      <c r="G37" s="29" t="n">
        <v>63</v>
      </c>
      <c r="H37" s="15">
        <f>COUNTIFS('Chart Database'!$B$6:$B$4005,$A37,'Chart Database'!$C$6:$C$4005,"*"&amp;$D37&amp;"*",'Chart Database'!$F$6:$F$4005,"Active")</f>
        <v/>
      </c>
      <c r="I37" s="32">
        <f>IF($G37=0,"NA",H37/$G37)</f>
        <v/>
      </c>
      <c r="J37" s="15">
        <f>$G37-H37</f>
        <v/>
      </c>
      <c r="K37" s="33">
        <f>IF($D37="","",IF(SUMPRODUCT(--($A$5:$A$135=$A37),--($D$5:$D$135&lt;&gt;""),--(ROW($D$5:$D$135)&lt;&gt;ROW()),--(ISNUMBER(SEARCH($D37,$D$5:$D$135))+ISNUMBER(SEARCH($D$5:$D$135&amp;"",$D37))&gt;0))&gt;0,"CLASH — overlaps another name in this specialty","OK"))</f>
        <v/>
      </c>
      <c r="L37" s="23" t="inlineStr"/>
    </row>
    <row r="38" ht="24" customHeight="1">
      <c r="A38" s="23" t="inlineStr">
        <is>
          <t>ED Facility</t>
        </is>
      </c>
      <c r="B38" s="29" t="inlineStr">
        <is>
          <t>EDF-09</t>
        </is>
      </c>
      <c r="C38" s="34" t="inlineStr">
        <is>
          <t>P2</t>
        </is>
      </c>
      <c r="D38" s="31" t="inlineStr">
        <is>
          <t>Respiratory distress</t>
        </is>
      </c>
      <c r="E38" s="17" t="inlineStr">
        <is>
          <t>Respiratory distress — asthma, COPD, pneumonia</t>
        </is>
      </c>
      <c r="F38" s="17" t="inlineStr">
        <is>
          <t>Level 4</t>
        </is>
      </c>
      <c r="G38" s="29" t="n">
        <v>49</v>
      </c>
      <c r="H38" s="15">
        <f>COUNTIFS('Chart Database'!$B$6:$B$4005,$A38,'Chart Database'!$C$6:$C$4005,"*"&amp;$D38&amp;"*",'Chart Database'!$F$6:$F$4005,"Active")</f>
        <v/>
      </c>
      <c r="I38" s="32">
        <f>IF($G38=0,"NA",H38/$G38)</f>
        <v/>
      </c>
      <c r="J38" s="15">
        <f>$G38-H38</f>
        <v/>
      </c>
      <c r="K38" s="33">
        <f>IF($D38="","",IF(SUMPRODUCT(--($A$5:$A$135=$A38),--($D$5:$D$135&lt;&gt;""),--(ROW($D$5:$D$135)&lt;&gt;ROW()),--(ISNUMBER(SEARCH($D38,$D$5:$D$135))+ISNUMBER(SEARCH($D$5:$D$135&amp;"",$D38))&gt;0))&gt;0,"CLASH — overlaps another name in this specialty","OK"))</f>
        <v/>
      </c>
      <c r="L38" s="23" t="inlineStr"/>
    </row>
    <row r="39" ht="24" customHeight="1">
      <c r="A39" s="23" t="inlineStr">
        <is>
          <t>ED Facility</t>
        </is>
      </c>
      <c r="B39" s="29" t="inlineStr">
        <is>
          <t>EDF-10</t>
        </is>
      </c>
      <c r="C39" s="34" t="inlineStr">
        <is>
          <t>P2</t>
        </is>
      </c>
      <c r="D39" s="31" t="inlineStr">
        <is>
          <t>Complex medical</t>
        </is>
      </c>
      <c r="E39" s="17" t="inlineStr">
        <is>
          <t>Complex medical with multiple workups</t>
        </is>
      </c>
      <c r="F39" s="17" t="inlineStr">
        <is>
          <t>Level 4</t>
        </is>
      </c>
      <c r="G39" s="29" t="n">
        <v>49</v>
      </c>
      <c r="H39" s="15">
        <f>COUNTIFS('Chart Database'!$B$6:$B$4005,$A39,'Chart Database'!$C$6:$C$4005,"*"&amp;$D39&amp;"*",'Chart Database'!$F$6:$F$4005,"Active")</f>
        <v/>
      </c>
      <c r="I39" s="32">
        <f>IF($G39=0,"NA",H39/$G39)</f>
        <v/>
      </c>
      <c r="J39" s="15">
        <f>$G39-H39</f>
        <v/>
      </c>
      <c r="K39" s="33">
        <f>IF($D39="","",IF(SUMPRODUCT(--($A$5:$A$135=$A39),--($D$5:$D$135&lt;&gt;""),--(ROW($D$5:$D$135)&lt;&gt;ROW()),--(ISNUMBER(SEARCH($D39,$D$5:$D$135))+ISNUMBER(SEARCH($D$5:$D$135&amp;"",$D39))&gt;0))&gt;0,"CLASH — overlaps another name in this specialty","OK"))</f>
        <v/>
      </c>
      <c r="L39" s="23" t="inlineStr"/>
    </row>
    <row r="40" ht="24" customHeight="1">
      <c r="A40" s="23" t="inlineStr">
        <is>
          <t>ED Facility</t>
        </is>
      </c>
      <c r="B40" s="29" t="inlineStr">
        <is>
          <t>EDF-11</t>
        </is>
      </c>
      <c r="C40" s="35" t="inlineStr">
        <is>
          <t>P3</t>
        </is>
      </c>
      <c r="D40" s="31" t="inlineStr">
        <is>
          <t>Behavioral health</t>
        </is>
      </c>
      <c r="E40" s="17" t="inlineStr">
        <is>
          <t>Behavioural health presentations</t>
        </is>
      </c>
      <c r="F40" s="17" t="inlineStr">
        <is>
          <t>Level 4</t>
        </is>
      </c>
      <c r="G40" s="29" t="n">
        <v>28</v>
      </c>
      <c r="H40" s="15">
        <f>COUNTIFS('Chart Database'!$B$6:$B$4005,$A40,'Chart Database'!$C$6:$C$4005,"*"&amp;$D40&amp;"*",'Chart Database'!$F$6:$F$4005,"Active")</f>
        <v/>
      </c>
      <c r="I40" s="32">
        <f>IF($G40=0,"NA",H40/$G40)</f>
        <v/>
      </c>
      <c r="J40" s="15">
        <f>$G40-H40</f>
        <v/>
      </c>
      <c r="K40" s="33">
        <f>IF($D40="","",IF(SUMPRODUCT(--($A$5:$A$135=$A40),--($D$5:$D$135&lt;&gt;""),--(ROW($D$5:$D$135)&lt;&gt;ROW()),--(ISNUMBER(SEARCH($D40,$D$5:$D$135))+ISNUMBER(SEARCH($D$5:$D$135&amp;"",$D40))&gt;0))&gt;0,"CLASH — overlaps another name in this specialty","OK"))</f>
        <v/>
      </c>
      <c r="L40" s="23" t="inlineStr"/>
    </row>
    <row r="41" ht="24" customHeight="1">
      <c r="A41" s="23" t="inlineStr">
        <is>
          <t>ED Facility</t>
        </is>
      </c>
      <c r="B41" s="29" t="inlineStr">
        <is>
          <t>EDF-12</t>
        </is>
      </c>
      <c r="C41" s="34" t="inlineStr">
        <is>
          <t>P2</t>
        </is>
      </c>
      <c r="D41" s="31" t="inlineStr">
        <is>
          <t>Observation</t>
        </is>
      </c>
      <c r="E41" s="17" t="inlineStr">
        <is>
          <t>Observation services initiated from the ED</t>
        </is>
      </c>
      <c r="F41" s="17" t="inlineStr">
        <is>
          <t>Level 4</t>
        </is>
      </c>
      <c r="G41" s="29" t="n">
        <v>21</v>
      </c>
      <c r="H41" s="15">
        <f>COUNTIFS('Chart Database'!$B$6:$B$4005,$A41,'Chart Database'!$C$6:$C$4005,"*"&amp;$D41&amp;"*",'Chart Database'!$F$6:$F$4005,"Active")</f>
        <v/>
      </c>
      <c r="I41" s="32">
        <f>IF($G41=0,"NA",H41/$G41)</f>
        <v/>
      </c>
      <c r="J41" s="15">
        <f>$G41-H41</f>
        <v/>
      </c>
      <c r="K41" s="33">
        <f>IF($D41="","",IF(SUMPRODUCT(--($A$5:$A$135=$A41),--($D$5:$D$135&lt;&gt;""),--(ROW($D$5:$D$135)&lt;&gt;ROW()),--(ISNUMBER(SEARCH($D41,$D$5:$D$135))+ISNUMBER(SEARCH($D$5:$D$135&amp;"",$D41))&gt;0))&gt;0,"CLASH — overlaps another name in this specialty","OK"))</f>
        <v/>
      </c>
      <c r="L41" s="23" t="inlineStr"/>
    </row>
    <row r="42" ht="24" customHeight="1">
      <c r="A42" s="23" t="inlineStr">
        <is>
          <t>ED Facility</t>
        </is>
      </c>
      <c r="B42" s="29" t="inlineStr">
        <is>
          <t>EDF-13</t>
        </is>
      </c>
      <c r="C42" s="34" t="inlineStr">
        <is>
          <t>P2</t>
        </is>
      </c>
      <c r="D42" s="31" t="inlineStr">
        <is>
          <t>High acuity L5</t>
        </is>
      </c>
      <c r="E42" s="17" t="inlineStr">
        <is>
          <t>High-acuity medical (99285)</t>
        </is>
      </c>
      <c r="F42" s="17" t="inlineStr">
        <is>
          <t>Level 5 / critical care</t>
        </is>
      </c>
      <c r="G42" s="29" t="n">
        <v>42</v>
      </c>
      <c r="H42" s="15">
        <f>COUNTIFS('Chart Database'!$B$6:$B$4005,$A42,'Chart Database'!$C$6:$C$4005,"*"&amp;$D42&amp;"*",'Chart Database'!$F$6:$F$4005,"Active")</f>
        <v/>
      </c>
      <c r="I42" s="32">
        <f>IF($G42=0,"NA",H42/$G42)</f>
        <v/>
      </c>
      <c r="J42" s="15">
        <f>$G42-H42</f>
        <v/>
      </c>
      <c r="K42" s="33">
        <f>IF($D42="","",IF(SUMPRODUCT(--($A$5:$A$135=$A42),--($D$5:$D$135&lt;&gt;""),--(ROW($D$5:$D$135)&lt;&gt;ROW()),--(ISNUMBER(SEARCH($D42,$D$5:$D$135))+ISNUMBER(SEARCH($D$5:$D$135&amp;"",$D42))&gt;0))&gt;0,"CLASH — overlaps another name in this specialty","OK"))</f>
        <v/>
      </c>
      <c r="L42" s="23" t="inlineStr"/>
    </row>
    <row r="43" ht="24" customHeight="1">
      <c r="A43" s="23" t="inlineStr">
        <is>
          <t>ED Facility</t>
        </is>
      </c>
      <c r="B43" s="29" t="inlineStr">
        <is>
          <t>EDF-14</t>
        </is>
      </c>
      <c r="C43" s="34" t="inlineStr">
        <is>
          <t>P2</t>
        </is>
      </c>
      <c r="D43" s="31" t="inlineStr">
        <is>
          <t>Critical care</t>
        </is>
      </c>
      <c r="E43" s="17" t="inlineStr">
        <is>
          <t>Critical care (99291 / 99292)</t>
        </is>
      </c>
      <c r="F43" s="17" t="inlineStr">
        <is>
          <t>Level 5 / critical care</t>
        </is>
      </c>
      <c r="G43" s="29" t="n">
        <v>56</v>
      </c>
      <c r="H43" s="15">
        <f>COUNTIFS('Chart Database'!$B$6:$B$4005,$A43,'Chart Database'!$C$6:$C$4005,"*"&amp;$D43&amp;"*",'Chart Database'!$F$6:$F$4005,"Active")</f>
        <v/>
      </c>
      <c r="I43" s="32">
        <f>IF($G43=0,"NA",H43/$G43)</f>
        <v/>
      </c>
      <c r="J43" s="15">
        <f>$G43-H43</f>
        <v/>
      </c>
      <c r="K43" s="33">
        <f>IF($D43="","",IF(SUMPRODUCT(--($A$5:$A$135=$A43),--($D$5:$D$135&lt;&gt;""),--(ROW($D$5:$D$135)&lt;&gt;ROW()),--(ISNUMBER(SEARCH($D43,$D$5:$D$135))+ISNUMBER(SEARCH($D$5:$D$135&amp;"",$D43))&gt;0))&gt;0,"CLASH — overlaps another name in this specialty","OK"))</f>
        <v/>
      </c>
      <c r="L43" s="23" t="inlineStr"/>
    </row>
    <row r="44" ht="24" customHeight="1">
      <c r="A44" s="23" t="inlineStr">
        <is>
          <t>ED Facility</t>
        </is>
      </c>
      <c r="B44" s="29" t="inlineStr">
        <is>
          <t>EDF-15</t>
        </is>
      </c>
      <c r="C44" s="34" t="inlineStr">
        <is>
          <t>P2</t>
        </is>
      </c>
      <c r="D44" s="31" t="inlineStr">
        <is>
          <t>CC boundary</t>
        </is>
      </c>
      <c r="E44" s="17" t="inlineStr">
        <is>
          <t>The level 5 versus critical care boundary</t>
        </is>
      </c>
      <c r="F44" s="17" t="inlineStr">
        <is>
          <t>Level 5 / critical care</t>
        </is>
      </c>
      <c r="G44" s="29" t="n">
        <v>14</v>
      </c>
      <c r="H44" s="15">
        <f>COUNTIFS('Chart Database'!$B$6:$B$4005,$A44,'Chart Database'!$C$6:$C$4005,"*"&amp;$D44&amp;"*",'Chart Database'!$F$6:$F$4005,"Active")</f>
        <v/>
      </c>
      <c r="I44" s="32">
        <f>IF($G44=0,"NA",H44/$G44)</f>
        <v/>
      </c>
      <c r="J44" s="15">
        <f>$G44-H44</f>
        <v/>
      </c>
      <c r="K44" s="33">
        <f>IF($D44="","",IF(SUMPRODUCT(--($A$5:$A$135=$A44),--($D$5:$D$135&lt;&gt;""),--(ROW($D$5:$D$135)&lt;&gt;ROW()),--(ISNUMBER(SEARCH($D44,$D$5:$D$135))+ISNUMBER(SEARCH($D$5:$D$135&amp;"",$D44))&gt;0))&gt;0,"CLASH — overlaps another name in this specialty","OK"))</f>
        <v/>
      </c>
      <c r="L44" s="23" t="inlineStr"/>
    </row>
    <row r="45" ht="24" customHeight="1">
      <c r="A45" s="23" t="inlineStr">
        <is>
          <t>ED Facility</t>
        </is>
      </c>
      <c r="B45" s="29" t="inlineStr">
        <is>
          <t>EDF-16</t>
        </is>
      </c>
      <c r="C45" s="34" t="inlineStr">
        <is>
          <t>P2</t>
        </is>
      </c>
      <c r="D45" s="31" t="inlineStr">
        <is>
          <t>Trauma activation</t>
        </is>
      </c>
      <c r="E45" s="17" t="inlineStr">
        <is>
          <t>Trauma activation</t>
        </is>
      </c>
      <c r="F45" s="17" t="inlineStr">
        <is>
          <t>Level 5 / critical care</t>
        </is>
      </c>
      <c r="G45" s="29" t="n">
        <v>14</v>
      </c>
      <c r="H45" s="15">
        <f>COUNTIFS('Chart Database'!$B$6:$B$4005,$A45,'Chart Database'!$C$6:$C$4005,"*"&amp;$D45&amp;"*",'Chart Database'!$F$6:$F$4005,"Active")</f>
        <v/>
      </c>
      <c r="I45" s="32">
        <f>IF($G45=0,"NA",H45/$G45)</f>
        <v/>
      </c>
      <c r="J45" s="15">
        <f>$G45-H45</f>
        <v/>
      </c>
      <c r="K45" s="33">
        <f>IF($D45="","",IF(SUMPRODUCT(--($A$5:$A$135=$A45),--($D$5:$D$135&lt;&gt;""),--(ROW($D$5:$D$135)&lt;&gt;ROW()),--(ISNUMBER(SEARCH($D45,$D$5:$D$135))+ISNUMBER(SEARCH($D$5:$D$135&amp;"",$D45))&gt;0))&gt;0,"CLASH — overlaps another name in this specialty","OK"))</f>
        <v/>
      </c>
      <c r="L45" s="23" t="inlineStr"/>
    </row>
    <row r="46" ht="24" customHeight="1">
      <c r="A46" s="23" t="inlineStr">
        <is>
          <t>ED Facility</t>
        </is>
      </c>
      <c r="B46" s="29" t="inlineStr">
        <is>
          <t>EDF-17</t>
        </is>
      </c>
      <c r="C46" s="35" t="inlineStr">
        <is>
          <t>P3</t>
        </is>
      </c>
      <c r="D46" s="31" t="inlineStr">
        <is>
          <t>Resuscitation</t>
        </is>
      </c>
      <c r="E46" s="17" t="inlineStr">
        <is>
          <t>Cardiac arrest and resuscitation</t>
        </is>
      </c>
      <c r="F46" s="17" t="inlineStr">
        <is>
          <t>Level 5 / critical care</t>
        </is>
      </c>
      <c r="G46" s="29" t="n">
        <v>14</v>
      </c>
      <c r="H46" s="15">
        <f>COUNTIFS('Chart Database'!$B$6:$B$4005,$A46,'Chart Database'!$C$6:$C$4005,"*"&amp;$D46&amp;"*",'Chart Database'!$F$6:$F$4005,"Active")</f>
        <v/>
      </c>
      <c r="I46" s="32">
        <f>IF($G46=0,"NA",H46/$G46)</f>
        <v/>
      </c>
      <c r="J46" s="15">
        <f>$G46-H46</f>
        <v/>
      </c>
      <c r="K46" s="33">
        <f>IF($D46="","",IF(SUMPRODUCT(--($A$5:$A$135=$A46),--($D$5:$D$135&lt;&gt;""),--(ROW($D$5:$D$135)&lt;&gt;ROW()),--(ISNUMBER(SEARCH($D46,$D$5:$D$135))+ISNUMBER(SEARCH($D$5:$D$135&amp;"",$D46))&gt;0))&gt;0,"CLASH — overlaps another name in this specialty","OK"))</f>
        <v/>
      </c>
      <c r="L46" s="23" t="inlineStr"/>
    </row>
    <row r="47" ht="24" customHeight="1">
      <c r="A47" s="23" t="inlineStr">
        <is>
          <t>ED Profee</t>
        </is>
      </c>
      <c r="B47" s="29" t="inlineStr">
        <is>
          <t>EDP-01</t>
        </is>
      </c>
      <c r="C47" s="34" t="inlineStr">
        <is>
          <t>P2</t>
        </is>
      </c>
      <c r="D47" s="31" t="inlineStr">
        <is>
          <t>Profee L1-2</t>
        </is>
      </c>
      <c r="E47" s="17" t="inlineStr">
        <is>
          <t>99281 / 99282 — straightforward presentations</t>
        </is>
      </c>
      <c r="F47" s="17" t="inlineStr">
        <is>
          <t>Low acuity</t>
        </is>
      </c>
      <c r="G47" s="29" t="n">
        <v>28</v>
      </c>
      <c r="H47" s="15">
        <f>COUNTIFS('Chart Database'!$B$6:$B$4005,$A47,'Chart Database'!$C$6:$C$4005,"*"&amp;$D47&amp;"*",'Chart Database'!$F$6:$F$4005,"Active")</f>
        <v/>
      </c>
      <c r="I47" s="32">
        <f>IF($G47=0,"NA",H47/$G47)</f>
        <v/>
      </c>
      <c r="J47" s="15">
        <f>$G47-H47</f>
        <v/>
      </c>
      <c r="K47" s="33">
        <f>IF($D47="","",IF(SUMPRODUCT(--($A$5:$A$135=$A47),--($D$5:$D$135&lt;&gt;""),--(ROW($D$5:$D$135)&lt;&gt;ROW()),--(ISNUMBER(SEARCH($D47,$D$5:$D$135))+ISNUMBER(SEARCH($D$5:$D$135&amp;"",$D47))&gt;0))&gt;0,"CLASH — overlaps another name in this specialty","OK"))</f>
        <v/>
      </c>
      <c r="L47" s="23" t="inlineStr"/>
    </row>
    <row r="48" ht="24" customHeight="1">
      <c r="A48" s="23" t="inlineStr">
        <is>
          <t>ED Profee</t>
        </is>
      </c>
      <c r="B48" s="29" t="inlineStr">
        <is>
          <t>EDP-02</t>
        </is>
      </c>
      <c r="C48" s="34" t="inlineStr">
        <is>
          <t>P2</t>
        </is>
      </c>
      <c r="D48" s="31" t="inlineStr">
        <is>
          <t>Profee L3 MDM</t>
        </is>
      </c>
      <c r="E48" s="17" t="inlineStr">
        <is>
          <t>99283 — moderate MDM</t>
        </is>
      </c>
      <c r="F48" s="17" t="inlineStr">
        <is>
          <t>Moderate</t>
        </is>
      </c>
      <c r="G48" s="29" t="n">
        <v>40</v>
      </c>
      <c r="H48" s="15">
        <f>COUNTIFS('Chart Database'!$B$6:$B$4005,$A48,'Chart Database'!$C$6:$C$4005,"*"&amp;$D48&amp;"*",'Chart Database'!$F$6:$F$4005,"Active")</f>
        <v/>
      </c>
      <c r="I48" s="32">
        <f>IF($G48=0,"NA",H48/$G48)</f>
        <v/>
      </c>
      <c r="J48" s="15">
        <f>$G48-H48</f>
        <v/>
      </c>
      <c r="K48" s="33">
        <f>IF($D48="","",IF(SUMPRODUCT(--($A$5:$A$135=$A48),--($D$5:$D$135&lt;&gt;""),--(ROW($D$5:$D$135)&lt;&gt;ROW()),--(ISNUMBER(SEARCH($D48,$D$5:$D$135))+ISNUMBER(SEARCH($D$5:$D$135&amp;"",$D48))&gt;0))&gt;0,"CLASH — overlaps another name in this specialty","OK"))</f>
        <v/>
      </c>
      <c r="L48" s="23" t="inlineStr"/>
    </row>
    <row r="49" ht="24" customHeight="1">
      <c r="A49" s="23" t="inlineStr">
        <is>
          <t>ED Profee</t>
        </is>
      </c>
      <c r="B49" s="29" t="inlineStr">
        <is>
          <t>EDP-03</t>
        </is>
      </c>
      <c r="C49" s="34" t="inlineStr">
        <is>
          <t>P2</t>
        </is>
      </c>
      <c r="D49" s="31" t="inlineStr">
        <is>
          <t>Profee L3 proc</t>
        </is>
      </c>
      <c r="E49" s="17" t="inlineStr">
        <is>
          <t>99283 with a separately reportable procedure</t>
        </is>
      </c>
      <c r="F49" s="17" t="inlineStr">
        <is>
          <t>Moderate</t>
        </is>
      </c>
      <c r="G49" s="29" t="n">
        <v>24</v>
      </c>
      <c r="H49" s="15">
        <f>COUNTIFS('Chart Database'!$B$6:$B$4005,$A49,'Chart Database'!$C$6:$C$4005,"*"&amp;$D49&amp;"*",'Chart Database'!$F$6:$F$4005,"Active")</f>
        <v/>
      </c>
      <c r="I49" s="32">
        <f>IF($G49=0,"NA",H49/$G49)</f>
        <v/>
      </c>
      <c r="J49" s="15">
        <f>$G49-H49</f>
        <v/>
      </c>
      <c r="K49" s="33">
        <f>IF($D49="","",IF(SUMPRODUCT(--($A$5:$A$135=$A49),--($D$5:$D$135&lt;&gt;""),--(ROW($D$5:$D$135)&lt;&gt;ROW()),--(ISNUMBER(SEARCH($D49,$D$5:$D$135))+ISNUMBER(SEARCH($D$5:$D$135&amp;"",$D49))&gt;0))&gt;0,"CLASH — overlaps another name in this specialty","OK"))</f>
        <v/>
      </c>
      <c r="L49" s="23" t="inlineStr"/>
    </row>
    <row r="50" ht="24" customHeight="1">
      <c r="A50" s="23" t="inlineStr">
        <is>
          <t>ED Profee</t>
        </is>
      </c>
      <c r="B50" s="29" t="inlineStr">
        <is>
          <t>EDP-04</t>
        </is>
      </c>
      <c r="C50" s="34" t="inlineStr">
        <is>
          <t>P2</t>
        </is>
      </c>
      <c r="D50" s="31" t="inlineStr">
        <is>
          <t>Profee L4 MDM</t>
        </is>
      </c>
      <c r="E50" s="17" t="inlineStr">
        <is>
          <t>99284 — moderate-to-high MDM</t>
        </is>
      </c>
      <c r="F50" s="17" t="inlineStr">
        <is>
          <t>Level 4</t>
        </is>
      </c>
      <c r="G50" s="29" t="n">
        <v>48</v>
      </c>
      <c r="H50" s="15">
        <f>COUNTIFS('Chart Database'!$B$6:$B$4005,$A50,'Chart Database'!$C$6:$C$4005,"*"&amp;$D50&amp;"*",'Chart Database'!$F$6:$F$4005,"Active")</f>
        <v/>
      </c>
      <c r="I50" s="32">
        <f>IF($G50=0,"NA",H50/$G50)</f>
        <v/>
      </c>
      <c r="J50" s="15">
        <f>$G50-H50</f>
        <v/>
      </c>
      <c r="K50" s="33">
        <f>IF($D50="","",IF(SUMPRODUCT(--($A$5:$A$135=$A50),--($D$5:$D$135&lt;&gt;""),--(ROW($D$5:$D$135)&lt;&gt;ROW()),--(ISNUMBER(SEARCH($D50,$D$5:$D$135))+ISNUMBER(SEARCH($D$5:$D$135&amp;"",$D50))&gt;0))&gt;0,"CLASH — overlaps another name in this specialty","OK"))</f>
        <v/>
      </c>
      <c r="L50" s="23" t="inlineStr"/>
    </row>
    <row r="51" ht="24" customHeight="1">
      <c r="A51" s="23" t="inlineStr">
        <is>
          <t>ED Profee</t>
        </is>
      </c>
      <c r="B51" s="29" t="inlineStr">
        <is>
          <t>EDP-05</t>
        </is>
      </c>
      <c r="C51" s="34" t="inlineStr">
        <is>
          <t>P2</t>
        </is>
      </c>
      <c r="D51" s="31" t="inlineStr">
        <is>
          <t>Profee L4 proc</t>
        </is>
      </c>
      <c r="E51" s="17" t="inlineStr">
        <is>
          <t>99284 with fracture care or wound repair</t>
        </is>
      </c>
      <c r="F51" s="17" t="inlineStr">
        <is>
          <t>Level 4</t>
        </is>
      </c>
      <c r="G51" s="29" t="n">
        <v>24</v>
      </c>
      <c r="H51" s="15">
        <f>COUNTIFS('Chart Database'!$B$6:$B$4005,$A51,'Chart Database'!$C$6:$C$4005,"*"&amp;$D51&amp;"*",'Chart Database'!$F$6:$F$4005,"Active")</f>
        <v/>
      </c>
      <c r="I51" s="32">
        <f>IF($G51=0,"NA",H51/$G51)</f>
        <v/>
      </c>
      <c r="J51" s="15">
        <f>$G51-H51</f>
        <v/>
      </c>
      <c r="K51" s="33">
        <f>IF($D51="","",IF(SUMPRODUCT(--($A$5:$A$135=$A51),--($D$5:$D$135&lt;&gt;""),--(ROW($D$5:$D$135)&lt;&gt;ROW()),--(ISNUMBER(SEARCH($D51,$D$5:$D$135))+ISNUMBER(SEARCH($D$5:$D$135&amp;"",$D51))&gt;0))&gt;0,"CLASH — overlaps another name in this specialty","OK"))</f>
        <v/>
      </c>
      <c r="L51" s="23" t="inlineStr"/>
    </row>
    <row r="52" ht="24" customHeight="1">
      <c r="A52" s="23" t="inlineStr">
        <is>
          <t>ED Profee</t>
        </is>
      </c>
      <c r="B52" s="29" t="inlineStr">
        <is>
          <t>EDP-06</t>
        </is>
      </c>
      <c r="C52" s="34" t="inlineStr">
        <is>
          <t>P2</t>
        </is>
      </c>
      <c r="D52" s="31" t="inlineStr">
        <is>
          <t>Profee L5 MDM</t>
        </is>
      </c>
      <c r="E52" s="17" t="inlineStr">
        <is>
          <t>99285 — high MDM</t>
        </is>
      </c>
      <c r="F52" s="17" t="inlineStr">
        <is>
          <t>Level 5</t>
        </is>
      </c>
      <c r="G52" s="29" t="n">
        <v>52</v>
      </c>
      <c r="H52" s="15">
        <f>COUNTIFS('Chart Database'!$B$6:$B$4005,$A52,'Chart Database'!$C$6:$C$4005,"*"&amp;$D52&amp;"*",'Chart Database'!$F$6:$F$4005,"Active")</f>
        <v/>
      </c>
      <c r="I52" s="32">
        <f>IF($G52=0,"NA",H52/$G52)</f>
        <v/>
      </c>
      <c r="J52" s="15">
        <f>$G52-H52</f>
        <v/>
      </c>
      <c r="K52" s="33">
        <f>IF($D52="","",IF(SUMPRODUCT(--($A$5:$A$135=$A52),--($D$5:$D$135&lt;&gt;""),--(ROW($D$5:$D$135)&lt;&gt;ROW()),--(ISNUMBER(SEARCH($D52,$D$5:$D$135))+ISNUMBER(SEARCH($D$5:$D$135&amp;"",$D52))&gt;0))&gt;0,"CLASH — overlaps another name in this specialty","OK"))</f>
        <v/>
      </c>
      <c r="L52" s="23" t="inlineStr"/>
    </row>
    <row r="53" ht="24" customHeight="1">
      <c r="A53" s="23" t="inlineStr">
        <is>
          <t>ED Profee</t>
        </is>
      </c>
      <c r="B53" s="29" t="inlineStr">
        <is>
          <t>EDP-07</t>
        </is>
      </c>
      <c r="C53" s="34" t="inlineStr">
        <is>
          <t>P2</t>
        </is>
      </c>
      <c r="D53" s="31" t="inlineStr">
        <is>
          <t>Profee 99285v99291</t>
        </is>
      </c>
      <c r="E53" s="17" t="inlineStr">
        <is>
          <t>99285 versus 99291 — the critical care boundary</t>
        </is>
      </c>
      <c r="F53" s="17" t="inlineStr">
        <is>
          <t>Level 5</t>
        </is>
      </c>
      <c r="G53" s="29" t="n">
        <v>32</v>
      </c>
      <c r="H53" s="15">
        <f>COUNTIFS('Chart Database'!$B$6:$B$4005,$A53,'Chart Database'!$C$6:$C$4005,"*"&amp;$D53&amp;"*",'Chart Database'!$F$6:$F$4005,"Active")</f>
        <v/>
      </c>
      <c r="I53" s="32">
        <f>IF($G53=0,"NA",H53/$G53)</f>
        <v/>
      </c>
      <c r="J53" s="15">
        <f>$G53-H53</f>
        <v/>
      </c>
      <c r="K53" s="33">
        <f>IF($D53="","",IF(SUMPRODUCT(--($A$5:$A$135=$A53),--($D$5:$D$135&lt;&gt;""),--(ROW($D$5:$D$135)&lt;&gt;ROW()),--(ISNUMBER(SEARCH($D53,$D$5:$D$135))+ISNUMBER(SEARCH($D$5:$D$135&amp;"",$D53))&gt;0))&gt;0,"CLASH — overlaps another name in this specialty","OK"))</f>
        <v/>
      </c>
      <c r="L53" s="23" t="inlineStr"/>
    </row>
    <row r="54" ht="24" customHeight="1">
      <c r="A54" s="23" t="inlineStr">
        <is>
          <t>ED Profee</t>
        </is>
      </c>
      <c r="B54" s="29" t="inlineStr">
        <is>
          <t>EDP-08</t>
        </is>
      </c>
      <c r="C54" s="34" t="inlineStr">
        <is>
          <t>P2</t>
        </is>
      </c>
      <c r="D54" s="31" t="inlineStr">
        <is>
          <t>Profee critical care</t>
        </is>
      </c>
      <c r="E54" s="17" t="inlineStr">
        <is>
          <t>99291 / 99292 — critical care</t>
        </is>
      </c>
      <c r="F54" s="17" t="inlineStr">
        <is>
          <t>Critical care</t>
        </is>
      </c>
      <c r="G54" s="29" t="n">
        <v>56</v>
      </c>
      <c r="H54" s="15">
        <f>COUNTIFS('Chart Database'!$B$6:$B$4005,$A54,'Chart Database'!$C$6:$C$4005,"*"&amp;$D54&amp;"*",'Chart Database'!$F$6:$F$4005,"Active")</f>
        <v/>
      </c>
      <c r="I54" s="32">
        <f>IF($G54=0,"NA",H54/$G54)</f>
        <v/>
      </c>
      <c r="J54" s="15">
        <f>$G54-H54</f>
        <v/>
      </c>
      <c r="K54" s="33">
        <f>IF($D54="","",IF(SUMPRODUCT(--($A$5:$A$135=$A54),--($D$5:$D$135&lt;&gt;""),--(ROW($D$5:$D$135)&lt;&gt;ROW()),--(ISNUMBER(SEARCH($D54,$D$5:$D$135))+ISNUMBER(SEARCH($D$5:$D$135&amp;"",$D54))&gt;0))&gt;0,"CLASH — overlaps another name in this specialty","OK"))</f>
        <v/>
      </c>
      <c r="L54" s="23" t="inlineStr"/>
    </row>
    <row r="55" ht="24" customHeight="1">
      <c r="A55" s="23" t="inlineStr">
        <is>
          <t>ED Profee</t>
        </is>
      </c>
      <c r="B55" s="29" t="inlineStr">
        <is>
          <t>EDP-09</t>
        </is>
      </c>
      <c r="C55" s="34" t="inlineStr">
        <is>
          <t>P2</t>
        </is>
      </c>
      <c r="D55" s="31" t="inlineStr">
        <is>
          <t>Profee CC procedure</t>
        </is>
      </c>
      <c r="E55" s="17" t="inlineStr">
        <is>
          <t>Critical care with separately reportable procedures</t>
        </is>
      </c>
      <c r="F55" s="17" t="inlineStr">
        <is>
          <t>Critical care</t>
        </is>
      </c>
      <c r="G55" s="29" t="n">
        <v>24</v>
      </c>
      <c r="H55" s="15">
        <f>COUNTIFS('Chart Database'!$B$6:$B$4005,$A55,'Chart Database'!$C$6:$C$4005,"*"&amp;$D55&amp;"*",'Chart Database'!$F$6:$F$4005,"Active")</f>
        <v/>
      </c>
      <c r="I55" s="32">
        <f>IF($G55=0,"NA",H55/$G55)</f>
        <v/>
      </c>
      <c r="J55" s="15">
        <f>$G55-H55</f>
        <v/>
      </c>
      <c r="K55" s="33">
        <f>IF($D55="","",IF(SUMPRODUCT(--($A$5:$A$135=$A55),--($D$5:$D$135&lt;&gt;""),--(ROW($D$5:$D$135)&lt;&gt;ROW()),--(ISNUMBER(SEARCH($D55,$D$5:$D$135))+ISNUMBER(SEARCH($D$5:$D$135&amp;"",$D55))&gt;0))&gt;0,"CLASH — overlaps another name in this specialty","OK"))</f>
        <v/>
      </c>
      <c r="L55" s="23" t="inlineStr"/>
    </row>
    <row r="56" ht="24" customHeight="1">
      <c r="A56" s="23" t="inlineStr">
        <is>
          <t>ED Profee</t>
        </is>
      </c>
      <c r="B56" s="29" t="inlineStr">
        <is>
          <t>EDP-10</t>
        </is>
      </c>
      <c r="C56" s="34" t="inlineStr">
        <is>
          <t>P2</t>
        </is>
      </c>
      <c r="D56" s="31" t="inlineStr">
        <is>
          <t>Profee ED procedure</t>
        </is>
      </c>
      <c r="E56" s="17" t="inlineStr">
        <is>
          <t>ED procedures billed with an E/M</t>
        </is>
      </c>
      <c r="F56" s="17" t="inlineStr">
        <is>
          <t>Cross-cutting</t>
        </is>
      </c>
      <c r="G56" s="29" t="n">
        <v>40</v>
      </c>
      <c r="H56" s="15">
        <f>COUNTIFS('Chart Database'!$B$6:$B$4005,$A56,'Chart Database'!$C$6:$C$4005,"*"&amp;$D56&amp;"*",'Chart Database'!$F$6:$F$4005,"Active")</f>
        <v/>
      </c>
      <c r="I56" s="32">
        <f>IF($G56=0,"NA",H56/$G56)</f>
        <v/>
      </c>
      <c r="J56" s="15">
        <f>$G56-H56</f>
        <v/>
      </c>
      <c r="K56" s="33">
        <f>IF($D56="","",IF(SUMPRODUCT(--($A$5:$A$135=$A56),--($D$5:$D$135&lt;&gt;""),--(ROW($D$5:$D$135)&lt;&gt;ROW()),--(ISNUMBER(SEARCH($D56,$D$5:$D$135))+ISNUMBER(SEARCH($D$5:$D$135&amp;"",$D56))&gt;0))&gt;0,"CLASH — overlaps another name in this specialty","OK"))</f>
        <v/>
      </c>
      <c r="L56" s="23" t="inlineStr"/>
    </row>
    <row r="57" ht="24" customHeight="1">
      <c r="A57" s="23" t="inlineStr">
        <is>
          <t>ED Profee</t>
        </is>
      </c>
      <c r="B57" s="29" t="inlineStr">
        <is>
          <t>EDP-11</t>
        </is>
      </c>
      <c r="C57" s="34" t="inlineStr">
        <is>
          <t>P2</t>
        </is>
      </c>
      <c r="D57" s="31" t="inlineStr">
        <is>
          <t>Profee observation</t>
        </is>
      </c>
      <c r="E57" s="17" t="inlineStr">
        <is>
          <t>Observation and admission by the ED physician</t>
        </is>
      </c>
      <c r="F57" s="17" t="inlineStr">
        <is>
          <t>Cross-cutting</t>
        </is>
      </c>
      <c r="G57" s="29" t="n">
        <v>16</v>
      </c>
      <c r="H57" s="15">
        <f>COUNTIFS('Chart Database'!$B$6:$B$4005,$A57,'Chart Database'!$C$6:$C$4005,"*"&amp;$D57&amp;"*",'Chart Database'!$F$6:$F$4005,"Active")</f>
        <v/>
      </c>
      <c r="I57" s="32">
        <f>IF($G57=0,"NA",H57/$G57)</f>
        <v/>
      </c>
      <c r="J57" s="15">
        <f>$G57-H57</f>
        <v/>
      </c>
      <c r="K57" s="33">
        <f>IF($D57="","",IF(SUMPRODUCT(--($A$5:$A$135=$A57),--($D$5:$D$135&lt;&gt;""),--(ROW($D$5:$D$135)&lt;&gt;ROW()),--(ISNUMBER(SEARCH($D57,$D$5:$D$135))+ISNUMBER(SEARCH($D$5:$D$135&amp;"",$D57))&gt;0))&gt;0,"CLASH — overlaps another name in this specialty","OK"))</f>
        <v/>
      </c>
      <c r="L57" s="23" t="inlineStr"/>
    </row>
    <row r="58" ht="24" customHeight="1">
      <c r="A58" s="23" t="inlineStr">
        <is>
          <t>ED Profee</t>
        </is>
      </c>
      <c r="B58" s="29" t="inlineStr">
        <is>
          <t>EDP-12</t>
        </is>
      </c>
      <c r="C58" s="35" t="inlineStr">
        <is>
          <t>P3</t>
        </is>
      </c>
      <c r="D58" s="31" t="inlineStr">
        <is>
          <t>Profee split shared</t>
        </is>
      </c>
      <c r="E58" s="17" t="inlineStr">
        <is>
          <t>Split / shared and teaching-physician documentation</t>
        </is>
      </c>
      <c r="F58" s="17" t="inlineStr">
        <is>
          <t>Cross-cutting</t>
        </is>
      </c>
      <c r="G58" s="29" t="n">
        <v>16</v>
      </c>
      <c r="H58" s="15">
        <f>COUNTIFS('Chart Database'!$B$6:$B$4005,$A58,'Chart Database'!$C$6:$C$4005,"*"&amp;$D58&amp;"*",'Chart Database'!$F$6:$F$4005,"Active")</f>
        <v/>
      </c>
      <c r="I58" s="32">
        <f>IF($G58=0,"NA",H58/$G58)</f>
        <v/>
      </c>
      <c r="J58" s="15">
        <f>$G58-H58</f>
        <v/>
      </c>
      <c r="K58" s="33">
        <f>IF($D58="","",IF(SUMPRODUCT(--($A$5:$A$135=$A58),--($D$5:$D$135&lt;&gt;""),--(ROW($D$5:$D$135)&lt;&gt;ROW()),--(ISNUMBER(SEARCH($D58,$D$5:$D$135))+ISNUMBER(SEARCH($D$5:$D$135&amp;"",$D58))&gt;0))&gt;0,"CLASH — overlaps another name in this specialty","OK"))</f>
        <v/>
      </c>
      <c r="L58" s="23" t="inlineStr"/>
    </row>
    <row r="59" ht="24" customHeight="1">
      <c r="A59" s="23" t="inlineStr">
        <is>
          <t>E/M</t>
        </is>
      </c>
      <c r="B59" s="29" t="inlineStr">
        <is>
          <t>EM-01</t>
        </is>
      </c>
      <c r="C59" s="30" t="inlineStr">
        <is>
          <t>P1</t>
        </is>
      </c>
      <c r="D59" s="31" t="inlineStr">
        <is>
          <t>Est office L3</t>
        </is>
      </c>
      <c r="E59" s="17" t="inlineStr">
        <is>
          <t>Level 3 established patient office visit (99213)</t>
        </is>
      </c>
      <c r="F59" s="17" t="inlineStr">
        <is>
          <t>Office / outpatient visits</t>
        </is>
      </c>
      <c r="G59" s="29" t="n">
        <v>41</v>
      </c>
      <c r="H59" s="15">
        <f>COUNTIFS('Chart Database'!$B$6:$B$4005,$A59,'Chart Database'!$C$6:$C$4005,"*"&amp;$D59&amp;"*",'Chart Database'!$F$6:$F$4005,"Active")</f>
        <v/>
      </c>
      <c r="I59" s="32">
        <f>IF($G59=0,"NA",H59/$G59)</f>
        <v/>
      </c>
      <c r="J59" s="15">
        <f>$G59-H59</f>
        <v/>
      </c>
      <c r="K59" s="33">
        <f>IF($D59="","",IF(SUMPRODUCT(--($A$5:$A$135=$A59),--($D$5:$D$135&lt;&gt;""),--(ROW($D$5:$D$135)&lt;&gt;ROW()),--(ISNUMBER(SEARCH($D59,$D$5:$D$135))+ISNUMBER(SEARCH($D$5:$D$135&amp;"",$D59))&gt;0))&gt;0,"CLASH — overlaps another name in this specialty","OK"))</f>
        <v/>
      </c>
      <c r="L59" s="23" t="inlineStr"/>
    </row>
    <row r="60" ht="24" customHeight="1">
      <c r="A60" s="23" t="inlineStr">
        <is>
          <t>E/M</t>
        </is>
      </c>
      <c r="B60" s="29" t="inlineStr">
        <is>
          <t>EM-02</t>
        </is>
      </c>
      <c r="C60" s="30" t="inlineStr">
        <is>
          <t>P1</t>
        </is>
      </c>
      <c r="D60" s="31" t="inlineStr">
        <is>
          <t>Est office L4</t>
        </is>
      </c>
      <c r="E60" s="17" t="inlineStr">
        <is>
          <t>Level 4 established patient office visit (99214)</t>
        </is>
      </c>
      <c r="F60" s="17" t="inlineStr">
        <is>
          <t>Office / outpatient visits</t>
        </is>
      </c>
      <c r="G60" s="29" t="n">
        <v>45</v>
      </c>
      <c r="H60" s="15">
        <f>COUNTIFS('Chart Database'!$B$6:$B$4005,$A60,'Chart Database'!$C$6:$C$4005,"*"&amp;$D60&amp;"*",'Chart Database'!$F$6:$F$4005,"Active")</f>
        <v/>
      </c>
      <c r="I60" s="32">
        <f>IF($G60=0,"NA",H60/$G60)</f>
        <v/>
      </c>
      <c r="J60" s="15">
        <f>$G60-H60</f>
        <v/>
      </c>
      <c r="K60" s="33">
        <f>IF($D60="","",IF(SUMPRODUCT(--($A$5:$A$135=$A60),--($D$5:$D$135&lt;&gt;""),--(ROW($D$5:$D$135)&lt;&gt;ROW()),--(ISNUMBER(SEARCH($D60,$D$5:$D$135))+ISNUMBER(SEARCH($D$5:$D$135&amp;"",$D60))&gt;0))&gt;0,"CLASH — overlaps another name in this specialty","OK"))</f>
        <v/>
      </c>
      <c r="L60" s="23" t="inlineStr"/>
    </row>
    <row r="61" ht="24" customHeight="1">
      <c r="A61" s="23" t="inlineStr">
        <is>
          <t>E/M</t>
        </is>
      </c>
      <c r="B61" s="29" t="inlineStr">
        <is>
          <t>EM-03</t>
        </is>
      </c>
      <c r="C61" s="30" t="inlineStr">
        <is>
          <t>P1</t>
        </is>
      </c>
      <c r="D61" s="31" t="inlineStr">
        <is>
          <t>New office L3</t>
        </is>
      </c>
      <c r="E61" s="17" t="inlineStr">
        <is>
          <t>Level 3 new patient office visit (99203)</t>
        </is>
      </c>
      <c r="F61" s="17" t="inlineStr">
        <is>
          <t>Office / outpatient visits</t>
        </is>
      </c>
      <c r="G61" s="29" t="n">
        <v>21</v>
      </c>
      <c r="H61" s="15">
        <f>COUNTIFS('Chart Database'!$B$6:$B$4005,$A61,'Chart Database'!$C$6:$C$4005,"*"&amp;$D61&amp;"*",'Chart Database'!$F$6:$F$4005,"Active")</f>
        <v/>
      </c>
      <c r="I61" s="32">
        <f>IF($G61=0,"NA",H61/$G61)</f>
        <v/>
      </c>
      <c r="J61" s="15">
        <f>$G61-H61</f>
        <v/>
      </c>
      <c r="K61" s="33">
        <f>IF($D61="","",IF(SUMPRODUCT(--($A$5:$A$135=$A61),--($D$5:$D$135&lt;&gt;""),--(ROW($D$5:$D$135)&lt;&gt;ROW()),--(ISNUMBER(SEARCH($D61,$D$5:$D$135))+ISNUMBER(SEARCH($D$5:$D$135&amp;"",$D61))&gt;0))&gt;0,"CLASH — overlaps another name in this specialty","OK"))</f>
        <v/>
      </c>
      <c r="L61" s="23" t="inlineStr"/>
    </row>
    <row r="62" ht="24" customHeight="1">
      <c r="A62" s="23" t="inlineStr">
        <is>
          <t>E/M</t>
        </is>
      </c>
      <c r="B62" s="29" t="inlineStr">
        <is>
          <t>EM-04</t>
        </is>
      </c>
      <c r="C62" s="30" t="inlineStr">
        <is>
          <t>P1</t>
        </is>
      </c>
      <c r="D62" s="31" t="inlineStr">
        <is>
          <t>New office L4</t>
        </is>
      </c>
      <c r="E62" s="17" t="inlineStr">
        <is>
          <t>Level 4 new patient office visit (99204)</t>
        </is>
      </c>
      <c r="F62" s="17" t="inlineStr">
        <is>
          <t>Office / outpatient visits</t>
        </is>
      </c>
      <c r="G62" s="29" t="n">
        <v>25</v>
      </c>
      <c r="H62" s="15">
        <f>COUNTIFS('Chart Database'!$B$6:$B$4005,$A62,'Chart Database'!$C$6:$C$4005,"*"&amp;$D62&amp;"*",'Chart Database'!$F$6:$F$4005,"Active")</f>
        <v/>
      </c>
      <c r="I62" s="32">
        <f>IF($G62=0,"NA",H62/$G62)</f>
        <v/>
      </c>
      <c r="J62" s="15">
        <f>$G62-H62</f>
        <v/>
      </c>
      <c r="K62" s="33">
        <f>IF($D62="","",IF(SUMPRODUCT(--($A$5:$A$135=$A62),--($D$5:$D$135&lt;&gt;""),--(ROW($D$5:$D$135)&lt;&gt;ROW()),--(ISNUMBER(SEARCH($D62,$D$5:$D$135))+ISNUMBER(SEARCH($D$5:$D$135&amp;"",$D62))&gt;0))&gt;0,"CLASH — overlaps another name in this specialty","OK"))</f>
        <v/>
      </c>
      <c r="L62" s="23" t="inlineStr"/>
    </row>
    <row r="63" ht="24" customHeight="1">
      <c r="A63" s="23" t="inlineStr">
        <is>
          <t>E/M</t>
        </is>
      </c>
      <c r="B63" s="29" t="inlineStr">
        <is>
          <t>EM-05</t>
        </is>
      </c>
      <c r="C63" s="34" t="inlineStr">
        <is>
          <t>P2</t>
        </is>
      </c>
      <c r="D63" s="31" t="inlineStr">
        <is>
          <t>Office L5</t>
        </is>
      </c>
      <c r="E63" s="17" t="inlineStr">
        <is>
          <t>Level 5 office visit, new and established (99205 / 99215)</t>
        </is>
      </c>
      <c r="F63" s="17" t="inlineStr">
        <is>
          <t>Office / outpatient visits</t>
        </is>
      </c>
      <c r="G63" s="29" t="n">
        <v>29</v>
      </c>
      <c r="H63" s="15">
        <f>COUNTIFS('Chart Database'!$B$6:$B$4005,$A63,'Chart Database'!$C$6:$C$4005,"*"&amp;$D63&amp;"*",'Chart Database'!$F$6:$F$4005,"Active")</f>
        <v/>
      </c>
      <c r="I63" s="32">
        <f>IF($G63=0,"NA",H63/$G63)</f>
        <v/>
      </c>
      <c r="J63" s="15">
        <f>$G63-H63</f>
        <v/>
      </c>
      <c r="K63" s="33">
        <f>IF($D63="","",IF(SUMPRODUCT(--($A$5:$A$135=$A63),--($D$5:$D$135&lt;&gt;""),--(ROW($D$5:$D$135)&lt;&gt;ROW()),--(ISNUMBER(SEARCH($D63,$D$5:$D$135))+ISNUMBER(SEARCH($D$5:$D$135&amp;"",$D63))&gt;0))&gt;0,"CLASH — overlaps another name in this specialty","OK"))</f>
        <v/>
      </c>
      <c r="L63" s="23" t="inlineStr"/>
    </row>
    <row r="64" ht="24" customHeight="1">
      <c r="A64" s="23" t="inlineStr">
        <is>
          <t>E/M</t>
        </is>
      </c>
      <c r="B64" s="29" t="inlineStr">
        <is>
          <t>EM-06</t>
        </is>
      </c>
      <c r="C64" s="35" t="inlineStr">
        <is>
          <t>P3</t>
        </is>
      </c>
      <c r="D64" s="31" t="inlineStr">
        <is>
          <t>Office L1-2</t>
        </is>
      </c>
      <c r="E64" s="17" t="inlineStr">
        <is>
          <t>Level 1-2 office visits (99202 / 99211 / 99212)</t>
        </is>
      </c>
      <c r="F64" s="17" t="inlineStr">
        <is>
          <t>Office / outpatient visits</t>
        </is>
      </c>
      <c r="G64" s="29" t="n">
        <v>12</v>
      </c>
      <c r="H64" s="15">
        <f>COUNTIFS('Chart Database'!$B$6:$B$4005,$A64,'Chart Database'!$C$6:$C$4005,"*"&amp;$D64&amp;"*",'Chart Database'!$F$6:$F$4005,"Active")</f>
        <v/>
      </c>
      <c r="I64" s="32">
        <f>IF($G64=0,"NA",H64/$G64)</f>
        <v/>
      </c>
      <c r="J64" s="15">
        <f>$G64-H64</f>
        <v/>
      </c>
      <c r="K64" s="33">
        <f>IF($D64="","",IF(SUMPRODUCT(--($A$5:$A$135=$A64),--($D$5:$D$135&lt;&gt;""),--(ROW($D$5:$D$135)&lt;&gt;ROW()),--(ISNUMBER(SEARCH($D64,$D$5:$D$135))+ISNUMBER(SEARCH($D$5:$D$135&amp;"",$D64))&gt;0))&gt;0,"CLASH — overlaps another name in this specialty","OK"))</f>
        <v/>
      </c>
      <c r="L64" s="23" t="inlineStr"/>
    </row>
    <row r="65" ht="24" customHeight="1">
      <c r="A65" s="23" t="inlineStr">
        <is>
          <t>E/M</t>
        </is>
      </c>
      <c r="B65" s="29" t="inlineStr">
        <is>
          <t>EM-07</t>
        </is>
      </c>
      <c r="C65" s="34" t="inlineStr">
        <is>
          <t>P2</t>
        </is>
      </c>
      <c r="D65" s="31" t="inlineStr">
        <is>
          <t>Time based</t>
        </is>
      </c>
      <c r="E65" s="17" t="inlineStr">
        <is>
          <t>Visits levelled by time, and prolonged service add-ons (99417 / G2212)</t>
        </is>
      </c>
      <c r="F65" s="17" t="inlineStr">
        <is>
          <t>Time-based and prolonged services</t>
        </is>
      </c>
      <c r="G65" s="29" t="n">
        <v>17</v>
      </c>
      <c r="H65" s="15">
        <f>COUNTIFS('Chart Database'!$B$6:$B$4005,$A65,'Chart Database'!$C$6:$C$4005,"*"&amp;$D65&amp;"*",'Chart Database'!$F$6:$F$4005,"Active")</f>
        <v/>
      </c>
      <c r="I65" s="32">
        <f>IF($G65=0,"NA",H65/$G65)</f>
        <v/>
      </c>
      <c r="J65" s="15">
        <f>$G65-H65</f>
        <v/>
      </c>
      <c r="K65" s="33">
        <f>IF($D65="","",IF(SUMPRODUCT(--($A$5:$A$135=$A65),--($D$5:$D$135&lt;&gt;""),--(ROW($D$5:$D$135)&lt;&gt;ROW()),--(ISNUMBER(SEARCH($D65,$D$5:$D$135))+ISNUMBER(SEARCH($D$5:$D$135&amp;"",$D65))&gt;0))&gt;0,"CLASH — overlaps another name in this specialty","OK"))</f>
        <v/>
      </c>
      <c r="L65" s="23" t="inlineStr"/>
    </row>
    <row r="66" ht="24" customHeight="1">
      <c r="A66" s="23" t="inlineStr">
        <is>
          <t>E/M</t>
        </is>
      </c>
      <c r="B66" s="29" t="inlineStr">
        <is>
          <t>EM-08</t>
        </is>
      </c>
      <c r="C66" s="34" t="inlineStr">
        <is>
          <t>P2</t>
        </is>
      </c>
      <c r="D66" s="31" t="inlineStr">
        <is>
          <t>AWV</t>
        </is>
      </c>
      <c r="E66" s="17" t="inlineStr">
        <is>
          <t>Annual wellness visit — initial versus subsequent (G0438 / G0439)</t>
        </is>
      </c>
      <c r="F66" s="17" t="inlineStr">
        <is>
          <t>Preventive and wellness</t>
        </is>
      </c>
      <c r="G66" s="29" t="n">
        <v>21</v>
      </c>
      <c r="H66" s="15">
        <f>COUNTIFS('Chart Database'!$B$6:$B$4005,$A66,'Chart Database'!$C$6:$C$4005,"*"&amp;$D66&amp;"*",'Chart Database'!$F$6:$F$4005,"Active")</f>
        <v/>
      </c>
      <c r="I66" s="32">
        <f>IF($G66=0,"NA",H66/$G66)</f>
        <v/>
      </c>
      <c r="J66" s="15">
        <f>$G66-H66</f>
        <v/>
      </c>
      <c r="K66" s="33">
        <f>IF($D66="","",IF(SUMPRODUCT(--($A$5:$A$135=$A66),--($D$5:$D$135&lt;&gt;""),--(ROW($D$5:$D$135)&lt;&gt;ROW()),--(ISNUMBER(SEARCH($D66,$D$5:$D$135))+ISNUMBER(SEARCH($D$5:$D$135&amp;"",$D66))&gt;0))&gt;0,"CLASH — overlaps another name in this specialty","OK"))</f>
        <v/>
      </c>
      <c r="L66" s="23" t="inlineStr"/>
    </row>
    <row r="67" ht="24" customHeight="1">
      <c r="A67" s="23" t="inlineStr">
        <is>
          <t>E/M</t>
        </is>
      </c>
      <c r="B67" s="29" t="inlineStr">
        <is>
          <t>EM-09</t>
        </is>
      </c>
      <c r="C67" s="34" t="inlineStr">
        <is>
          <t>P2</t>
        </is>
      </c>
      <c r="D67" s="31" t="inlineStr">
        <is>
          <t>Preventive visit</t>
        </is>
      </c>
      <c r="E67" s="17" t="inlineStr">
        <is>
          <t>Preventive medicine visits, age-banded (99381-99397)</t>
        </is>
      </c>
      <c r="F67" s="17" t="inlineStr">
        <is>
          <t>Preventive and wellness</t>
        </is>
      </c>
      <c r="G67" s="29" t="n">
        <v>17</v>
      </c>
      <c r="H67" s="15">
        <f>COUNTIFS('Chart Database'!$B$6:$B$4005,$A67,'Chart Database'!$C$6:$C$4005,"*"&amp;$D67&amp;"*",'Chart Database'!$F$6:$F$4005,"Active")</f>
        <v/>
      </c>
      <c r="I67" s="32">
        <f>IF($G67=0,"NA",H67/$G67)</f>
        <v/>
      </c>
      <c r="J67" s="15">
        <f>$G67-H67</f>
        <v/>
      </c>
      <c r="K67" s="33">
        <f>IF($D67="","",IF(SUMPRODUCT(--($A$5:$A$135=$A67),--($D$5:$D$135&lt;&gt;""),--(ROW($D$5:$D$135)&lt;&gt;ROW()),--(ISNUMBER(SEARCH($D67,$D$5:$D$135))+ISNUMBER(SEARCH($D$5:$D$135&amp;"",$D67))&gt;0))&gt;0,"CLASH — overlaps another name in this specialty","OK"))</f>
        <v/>
      </c>
      <c r="L67" s="23" t="inlineStr"/>
    </row>
    <row r="68" ht="24" customHeight="1">
      <c r="A68" s="23" t="inlineStr">
        <is>
          <t>E/M</t>
        </is>
      </c>
      <c r="B68" s="29" t="inlineStr">
        <is>
          <t>EM-10</t>
        </is>
      </c>
      <c r="C68" s="34" t="inlineStr">
        <is>
          <t>P2</t>
        </is>
      </c>
      <c r="D68" s="31" t="inlineStr">
        <is>
          <t>Preventive plus problem</t>
        </is>
      </c>
      <c r="E68" s="17" t="inlineStr">
        <is>
          <t>Preventive or AWV with a same-day problem visit</t>
        </is>
      </c>
      <c r="F68" s="17" t="inlineStr">
        <is>
          <t>Preventive and wellness</t>
        </is>
      </c>
      <c r="G68" s="29" t="n">
        <v>12</v>
      </c>
      <c r="H68" s="15">
        <f>COUNTIFS('Chart Database'!$B$6:$B$4005,$A68,'Chart Database'!$C$6:$C$4005,"*"&amp;$D68&amp;"*",'Chart Database'!$F$6:$F$4005,"Active")</f>
        <v/>
      </c>
      <c r="I68" s="32">
        <f>IF($G68=0,"NA",H68/$G68)</f>
        <v/>
      </c>
      <c r="J68" s="15">
        <f>$G68-H68</f>
        <v/>
      </c>
      <c r="K68" s="33">
        <f>IF($D68="","",IF(SUMPRODUCT(--($A$5:$A$135=$A68),--($D$5:$D$135&lt;&gt;""),--(ROW($D$5:$D$135)&lt;&gt;ROW()),--(ISNUMBER(SEARCH($D68,$D$5:$D$135))+ISNUMBER(SEARCH($D$5:$D$135&amp;"",$D68))&gt;0))&gt;0,"CLASH — overlaps another name in this specialty","OK"))</f>
        <v/>
      </c>
      <c r="L68" s="23" t="inlineStr"/>
    </row>
    <row r="69" ht="24" customHeight="1">
      <c r="A69" s="23" t="inlineStr">
        <is>
          <t>E/M</t>
        </is>
      </c>
      <c r="B69" s="29" t="inlineStr">
        <is>
          <t>EM-11</t>
        </is>
      </c>
      <c r="C69" s="34" t="inlineStr">
        <is>
          <t>P2</t>
        </is>
      </c>
      <c r="D69" s="31" t="inlineStr">
        <is>
          <t>Screening counselling</t>
        </is>
      </c>
      <c r="E69" s="17" t="inlineStr">
        <is>
          <t>Screening and counselling services</t>
        </is>
      </c>
      <c r="F69" s="17" t="inlineStr">
        <is>
          <t>Preventive and wellness</t>
        </is>
      </c>
      <c r="G69" s="29" t="n">
        <v>8</v>
      </c>
      <c r="H69" s="15">
        <f>COUNTIFS('Chart Database'!$B$6:$B$4005,$A69,'Chart Database'!$C$6:$C$4005,"*"&amp;$D69&amp;"*",'Chart Database'!$F$6:$F$4005,"Active")</f>
        <v/>
      </c>
      <c r="I69" s="32">
        <f>IF($G69=0,"NA",H69/$G69)</f>
        <v/>
      </c>
      <c r="J69" s="15">
        <f>$G69-H69</f>
        <v/>
      </c>
      <c r="K69" s="33">
        <f>IF($D69="","",IF(SUMPRODUCT(--($A$5:$A$135=$A69),--($D$5:$D$135&lt;&gt;""),--(ROW($D$5:$D$135)&lt;&gt;ROW()),--(ISNUMBER(SEARCH($D69,$D$5:$D$135))+ISNUMBER(SEARCH($D$5:$D$135&amp;"",$D69))&gt;0))&gt;0,"CLASH — overlaps another name in this specialty","OK"))</f>
        <v/>
      </c>
      <c r="L69" s="23" t="inlineStr"/>
    </row>
    <row r="70" ht="24" customHeight="1">
      <c r="A70" s="23" t="inlineStr">
        <is>
          <t>E/M</t>
        </is>
      </c>
      <c r="B70" s="29" t="inlineStr">
        <is>
          <t>EM-12</t>
        </is>
      </c>
      <c r="C70" s="35" t="inlineStr">
        <is>
          <t>P3</t>
        </is>
      </c>
      <c r="D70" s="31" t="inlineStr">
        <is>
          <t>Office procedure</t>
        </is>
      </c>
      <c r="E70" s="17" t="inlineStr">
        <is>
          <t>Minor office procedures billed with an E/M</t>
        </is>
      </c>
      <c r="F70" s="17" t="inlineStr">
        <is>
          <t>Office procedures with an E/M</t>
        </is>
      </c>
      <c r="G70" s="29" t="n">
        <v>21</v>
      </c>
      <c r="H70" s="15">
        <f>COUNTIFS('Chart Database'!$B$6:$B$4005,$A70,'Chart Database'!$C$6:$C$4005,"*"&amp;$D70&amp;"*",'Chart Database'!$F$6:$F$4005,"Active")</f>
        <v/>
      </c>
      <c r="I70" s="32">
        <f>IF($G70=0,"NA",H70/$G70)</f>
        <v/>
      </c>
      <c r="J70" s="15">
        <f>$G70-H70</f>
        <v/>
      </c>
      <c r="K70" s="33">
        <f>IF($D70="","",IF(SUMPRODUCT(--($A$5:$A$135=$A70),--($D$5:$D$135&lt;&gt;""),--(ROW($D$5:$D$135)&lt;&gt;ROW()),--(ISNUMBER(SEARCH($D70,$D$5:$D$135))+ISNUMBER(SEARCH($D$5:$D$135&amp;"",$D70))&gt;0))&gt;0,"CLASH — overlaps another name in this specialty","OK"))</f>
        <v/>
      </c>
      <c r="L70" s="23" t="inlineStr"/>
    </row>
    <row r="71" ht="24" customHeight="1">
      <c r="A71" s="23" t="inlineStr">
        <is>
          <t>E/M</t>
        </is>
      </c>
      <c r="B71" s="29" t="inlineStr">
        <is>
          <t>EM-13</t>
        </is>
      </c>
      <c r="C71" s="35" t="inlineStr">
        <is>
          <t>P3</t>
        </is>
      </c>
      <c r="D71" s="31" t="inlineStr">
        <is>
          <t>TCM</t>
        </is>
      </c>
      <c r="E71" s="17" t="inlineStr">
        <is>
          <t>Transitional care management (99495 / 99496)</t>
        </is>
      </c>
      <c r="F71" s="17" t="inlineStr">
        <is>
          <t>Care management and transitional care</t>
        </is>
      </c>
      <c r="G71" s="29" t="n">
        <v>12</v>
      </c>
      <c r="H71" s="15">
        <f>COUNTIFS('Chart Database'!$B$6:$B$4005,$A71,'Chart Database'!$C$6:$C$4005,"*"&amp;$D71&amp;"*",'Chart Database'!$F$6:$F$4005,"Active")</f>
        <v/>
      </c>
      <c r="I71" s="32">
        <f>IF($G71=0,"NA",H71/$G71)</f>
        <v/>
      </c>
      <c r="J71" s="15">
        <f>$G71-H71</f>
        <v/>
      </c>
      <c r="K71" s="33">
        <f>IF($D71="","",IF(SUMPRODUCT(--($A$5:$A$135=$A71),--($D$5:$D$135&lt;&gt;""),--(ROW($D$5:$D$135)&lt;&gt;ROW()),--(ISNUMBER(SEARCH($D71,$D$5:$D$135))+ISNUMBER(SEARCH($D$5:$D$135&amp;"",$D71))&gt;0))&gt;0,"CLASH — overlaps another name in this specialty","OK"))</f>
        <v/>
      </c>
      <c r="L71" s="23" t="inlineStr"/>
    </row>
    <row r="72" ht="24" customHeight="1">
      <c r="A72" s="23" t="inlineStr">
        <is>
          <t>E/M</t>
        </is>
      </c>
      <c r="B72" s="29" t="inlineStr">
        <is>
          <t>EM-14</t>
        </is>
      </c>
      <c r="C72" s="35" t="inlineStr">
        <is>
          <t>P4</t>
        </is>
      </c>
      <c r="D72" s="31" t="inlineStr">
        <is>
          <t>CCM</t>
        </is>
      </c>
      <c r="E72" s="17" t="inlineStr">
        <is>
          <t>Chronic care management (99490 / 99439 / 99487)</t>
        </is>
      </c>
      <c r="F72" s="17" t="inlineStr">
        <is>
          <t>Care management and transitional care</t>
        </is>
      </c>
      <c r="G72" s="29" t="n">
        <v>8</v>
      </c>
      <c r="H72" s="15">
        <f>COUNTIFS('Chart Database'!$B$6:$B$4005,$A72,'Chart Database'!$C$6:$C$4005,"*"&amp;$D72&amp;"*",'Chart Database'!$F$6:$F$4005,"Active")</f>
        <v/>
      </c>
      <c r="I72" s="32">
        <f>IF($G72=0,"NA",H72/$G72)</f>
        <v/>
      </c>
      <c r="J72" s="15">
        <f>$G72-H72</f>
        <v/>
      </c>
      <c r="K72" s="33">
        <f>IF($D72="","",IF(SUMPRODUCT(--($A$5:$A$135=$A72),--($D$5:$D$135&lt;&gt;""),--(ROW($D$5:$D$135)&lt;&gt;ROW()),--(ISNUMBER(SEARCH($D72,$D$5:$D$135))+ISNUMBER(SEARCH($D$5:$D$135&amp;"",$D72))&gt;0))&gt;0,"CLASH — overlaps another name in this specialty","OK"))</f>
        <v/>
      </c>
      <c r="L72" s="23" t="inlineStr"/>
    </row>
    <row r="73" ht="24" customHeight="1">
      <c r="A73" s="23" t="inlineStr">
        <is>
          <t>E/M</t>
        </is>
      </c>
      <c r="B73" s="29" t="inlineStr">
        <is>
          <t>EM-15</t>
        </is>
      </c>
      <c r="C73" s="35" t="inlineStr">
        <is>
          <t>P3</t>
        </is>
      </c>
      <c r="D73" s="31" t="inlineStr">
        <is>
          <t>Telehealth</t>
        </is>
      </c>
      <c r="E73" s="17" t="inlineStr">
        <is>
          <t>Telehealth and virtual services</t>
        </is>
      </c>
      <c r="F73" s="17" t="inlineStr">
        <is>
          <t>Telehealth</t>
        </is>
      </c>
      <c r="G73" s="29" t="n">
        <v>12</v>
      </c>
      <c r="H73" s="15">
        <f>COUNTIFS('Chart Database'!$B$6:$B$4005,$A73,'Chart Database'!$C$6:$C$4005,"*"&amp;$D73&amp;"*",'Chart Database'!$F$6:$F$4005,"Active")</f>
        <v/>
      </c>
      <c r="I73" s="32">
        <f>IF($G73=0,"NA",H73/$G73)</f>
        <v/>
      </c>
      <c r="J73" s="15">
        <f>$G73-H73</f>
        <v/>
      </c>
      <c r="K73" s="33">
        <f>IF($D73="","",IF(SUMPRODUCT(--($A$5:$A$135=$A73),--($D$5:$D$135&lt;&gt;""),--(ROW($D$5:$D$135)&lt;&gt;ROW()),--(ISNUMBER(SEARCH($D73,$D$5:$D$135))+ISNUMBER(SEARCH($D$5:$D$135&amp;"",$D73))&gt;0))&gt;0,"CLASH — overlaps another name in this specialty","OK"))</f>
        <v/>
      </c>
      <c r="L73" s="23" t="inlineStr"/>
    </row>
    <row r="74" ht="24" customHeight="1">
      <c r="A74" s="23" t="inlineStr">
        <is>
          <t>E/M</t>
        </is>
      </c>
      <c r="B74" s="29" t="inlineStr">
        <is>
          <t>EM-16</t>
        </is>
      </c>
      <c r="C74" s="30" t="inlineStr">
        <is>
          <t>P1</t>
        </is>
      </c>
      <c r="D74" s="31" t="inlineStr">
        <is>
          <t>Hospital initial</t>
        </is>
      </c>
      <c r="E74" s="17" t="inlineStr">
        <is>
          <t>Initial hospital inpatient or observation care (99221-99223)</t>
        </is>
      </c>
      <c r="F74" s="17" t="inlineStr">
        <is>
          <t>Inpatient and observation</t>
        </is>
      </c>
      <c r="G74" s="29" t="n">
        <v>25</v>
      </c>
      <c r="H74" s="15">
        <f>COUNTIFS('Chart Database'!$B$6:$B$4005,$A74,'Chart Database'!$C$6:$C$4005,"*"&amp;$D74&amp;"*",'Chart Database'!$F$6:$F$4005,"Active")</f>
        <v/>
      </c>
      <c r="I74" s="32">
        <f>IF($G74=0,"NA",H74/$G74)</f>
        <v/>
      </c>
      <c r="J74" s="15">
        <f>$G74-H74</f>
        <v/>
      </c>
      <c r="K74" s="33">
        <f>IF($D74="","",IF(SUMPRODUCT(--($A$5:$A$135=$A74),--($D$5:$D$135&lt;&gt;""),--(ROW($D$5:$D$135)&lt;&gt;ROW()),--(ISNUMBER(SEARCH($D74,$D$5:$D$135))+ISNUMBER(SEARCH($D$5:$D$135&amp;"",$D74))&gt;0))&gt;0,"CLASH — overlaps another name in this specialty","OK"))</f>
        <v/>
      </c>
      <c r="L74" s="23" t="inlineStr"/>
    </row>
    <row r="75" ht="24" customHeight="1">
      <c r="A75" s="23" t="inlineStr">
        <is>
          <t>E/M</t>
        </is>
      </c>
      <c r="B75" s="29" t="inlineStr">
        <is>
          <t>EM-17</t>
        </is>
      </c>
      <c r="C75" s="30" t="inlineStr">
        <is>
          <t>P1</t>
        </is>
      </c>
      <c r="D75" s="31" t="inlineStr">
        <is>
          <t>Hospital subsequent</t>
        </is>
      </c>
      <c r="E75" s="17" t="inlineStr">
        <is>
          <t>Subsequent hospital inpatient or observation care (99231-99233)</t>
        </is>
      </c>
      <c r="F75" s="17" t="inlineStr">
        <is>
          <t>Inpatient and observation</t>
        </is>
      </c>
      <c r="G75" s="29" t="n">
        <v>25</v>
      </c>
      <c r="H75" s="15">
        <f>COUNTIFS('Chart Database'!$B$6:$B$4005,$A75,'Chart Database'!$C$6:$C$4005,"*"&amp;$D75&amp;"*",'Chart Database'!$F$6:$F$4005,"Active")</f>
        <v/>
      </c>
      <c r="I75" s="32">
        <f>IF($G75=0,"NA",H75/$G75)</f>
        <v/>
      </c>
      <c r="J75" s="15">
        <f>$G75-H75</f>
        <v/>
      </c>
      <c r="K75" s="33">
        <f>IF($D75="","",IF(SUMPRODUCT(--($A$5:$A$135=$A75),--($D$5:$D$135&lt;&gt;""),--(ROW($D$5:$D$135)&lt;&gt;ROW()),--(ISNUMBER(SEARCH($D75,$D$5:$D$135))+ISNUMBER(SEARCH($D$5:$D$135&amp;"",$D75))&gt;0))&gt;0,"CLASH — overlaps another name in this specialty","OK"))</f>
        <v/>
      </c>
      <c r="L75" s="23" t="inlineStr"/>
    </row>
    <row r="76" ht="24" customHeight="1">
      <c r="A76" s="23" t="inlineStr">
        <is>
          <t>E/M</t>
        </is>
      </c>
      <c r="B76" s="29" t="inlineStr">
        <is>
          <t>EM-18</t>
        </is>
      </c>
      <c r="C76" s="30" t="inlineStr">
        <is>
          <t>P1</t>
        </is>
      </c>
      <c r="D76" s="31" t="inlineStr">
        <is>
          <t>Discharge day</t>
        </is>
      </c>
      <c r="E76" s="17" t="inlineStr">
        <is>
          <t>Discharge day management (99238 / 99239)</t>
        </is>
      </c>
      <c r="F76" s="17" t="inlineStr">
        <is>
          <t>Inpatient and observation</t>
        </is>
      </c>
      <c r="G76" s="29" t="n">
        <v>17</v>
      </c>
      <c r="H76" s="15">
        <f>COUNTIFS('Chart Database'!$B$6:$B$4005,$A76,'Chart Database'!$C$6:$C$4005,"*"&amp;$D76&amp;"*",'Chart Database'!$F$6:$F$4005,"Active")</f>
        <v/>
      </c>
      <c r="I76" s="32">
        <f>IF($G76=0,"NA",H76/$G76)</f>
        <v/>
      </c>
      <c r="J76" s="15">
        <f>$G76-H76</f>
        <v/>
      </c>
      <c r="K76" s="33">
        <f>IF($D76="","",IF(SUMPRODUCT(--($A$5:$A$135=$A76),--($D$5:$D$135&lt;&gt;""),--(ROW($D$5:$D$135)&lt;&gt;ROW()),--(ISNUMBER(SEARCH($D76,$D$5:$D$135))+ISNUMBER(SEARCH($D$5:$D$135&amp;"",$D76))&gt;0))&gt;0,"CLASH — overlaps another name in this specialty","OK"))</f>
        <v/>
      </c>
      <c r="L76" s="23" t="inlineStr"/>
    </row>
    <row r="77" ht="24" customHeight="1">
      <c r="A77" s="23" t="inlineStr">
        <is>
          <t>E/M</t>
        </is>
      </c>
      <c r="B77" s="29" t="inlineStr">
        <is>
          <t>EM-19</t>
        </is>
      </c>
      <c r="C77" s="34" t="inlineStr">
        <is>
          <t>P2</t>
        </is>
      </c>
      <c r="D77" s="31" t="inlineStr">
        <is>
          <t>Admit discharge same day</t>
        </is>
      </c>
      <c r="E77" s="17" t="inlineStr">
        <is>
          <t>Same-day admission and discharge (99234-99236)</t>
        </is>
      </c>
      <c r="F77" s="17" t="inlineStr">
        <is>
          <t>Inpatient and observation</t>
        </is>
      </c>
      <c r="G77" s="29" t="n">
        <v>8</v>
      </c>
      <c r="H77" s="15">
        <f>COUNTIFS('Chart Database'!$B$6:$B$4005,$A77,'Chart Database'!$C$6:$C$4005,"*"&amp;$D77&amp;"*",'Chart Database'!$F$6:$F$4005,"Active")</f>
        <v/>
      </c>
      <c r="I77" s="32">
        <f>IF($G77=0,"NA",H77/$G77)</f>
        <v/>
      </c>
      <c r="J77" s="15">
        <f>$G77-H77</f>
        <v/>
      </c>
      <c r="K77" s="33">
        <f>IF($D77="","",IF(SUMPRODUCT(--($A$5:$A$135=$A77),--($D$5:$D$135&lt;&gt;""),--(ROW($D$5:$D$135)&lt;&gt;ROW()),--(ISNUMBER(SEARCH($D77,$D$5:$D$135))+ISNUMBER(SEARCH($D$5:$D$135&amp;"",$D77))&gt;0))&gt;0,"CLASH — overlaps another name in this specialty","OK"))</f>
        <v/>
      </c>
      <c r="L77" s="23" t="inlineStr"/>
    </row>
    <row r="78" ht="24" customHeight="1">
      <c r="A78" s="23" t="inlineStr">
        <is>
          <t>E/M</t>
        </is>
      </c>
      <c r="B78" s="29" t="inlineStr">
        <is>
          <t>EM-20</t>
        </is>
      </c>
      <c r="C78" s="34" t="inlineStr">
        <is>
          <t>P2</t>
        </is>
      </c>
      <c r="D78" s="31" t="inlineStr">
        <is>
          <t>Inpatient critical care</t>
        </is>
      </c>
      <c r="E78" s="17" t="inlineStr">
        <is>
          <t>Inpatient critical care (99291 / 99292)</t>
        </is>
      </c>
      <c r="F78" s="17" t="inlineStr">
        <is>
          <t>Critical care and neonatal intensive care</t>
        </is>
      </c>
      <c r="G78" s="29" t="n">
        <v>12</v>
      </c>
      <c r="H78" s="15">
        <f>COUNTIFS('Chart Database'!$B$6:$B$4005,$A78,'Chart Database'!$C$6:$C$4005,"*"&amp;$D78&amp;"*",'Chart Database'!$F$6:$F$4005,"Active")</f>
        <v/>
      </c>
      <c r="I78" s="32">
        <f>IF($G78=0,"NA",H78/$G78)</f>
        <v/>
      </c>
      <c r="J78" s="15">
        <f>$G78-H78</f>
        <v/>
      </c>
      <c r="K78" s="33">
        <f>IF($D78="","",IF(SUMPRODUCT(--($A$5:$A$135=$A78),--($D$5:$D$135&lt;&gt;""),--(ROW($D$5:$D$135)&lt;&gt;ROW()),--(ISNUMBER(SEARCH($D78,$D$5:$D$135))+ISNUMBER(SEARCH($D$5:$D$135&amp;"",$D78))&gt;0))&gt;0,"CLASH — overlaps another name in this specialty","OK"))</f>
        <v/>
      </c>
      <c r="L78" s="23" t="inlineStr"/>
    </row>
    <row r="79" ht="24" customHeight="1">
      <c r="A79" s="23" t="inlineStr">
        <is>
          <t>E/M</t>
        </is>
      </c>
      <c r="B79" s="29" t="inlineStr">
        <is>
          <t>EM-21</t>
        </is>
      </c>
      <c r="C79" s="35" t="inlineStr">
        <is>
          <t>P3</t>
        </is>
      </c>
      <c r="D79" s="31" t="inlineStr">
        <is>
          <t>NICU PICU</t>
        </is>
      </c>
      <c r="E79" s="17" t="inlineStr">
        <is>
          <t>Neonatal and paediatric critical care (99468-99476)</t>
        </is>
      </c>
      <c r="F79" s="17" t="inlineStr">
        <is>
          <t>Critical care and neonatal intensive care</t>
        </is>
      </c>
      <c r="G79" s="29" t="n">
        <v>8</v>
      </c>
      <c r="H79" s="15">
        <f>COUNTIFS('Chart Database'!$B$6:$B$4005,$A79,'Chart Database'!$C$6:$C$4005,"*"&amp;$D79&amp;"*",'Chart Database'!$F$6:$F$4005,"Active")</f>
        <v/>
      </c>
      <c r="I79" s="32">
        <f>IF($G79=0,"NA",H79/$G79)</f>
        <v/>
      </c>
      <c r="J79" s="15">
        <f>$G79-H79</f>
        <v/>
      </c>
      <c r="K79" s="33">
        <f>IF($D79="","",IF(SUMPRODUCT(--($A$5:$A$135=$A79),--($D$5:$D$135&lt;&gt;""),--(ROW($D$5:$D$135)&lt;&gt;ROW()),--(ISNUMBER(SEARCH($D79,$D$5:$D$135))+ISNUMBER(SEARCH($D$5:$D$135&amp;"",$D79))&gt;0))&gt;0,"CLASH — overlaps another name in this specialty","OK"))</f>
        <v/>
      </c>
      <c r="L79" s="23" t="inlineStr"/>
    </row>
    <row r="80" ht="24" customHeight="1">
      <c r="A80" s="23" t="inlineStr">
        <is>
          <t>E/M</t>
        </is>
      </c>
      <c r="B80" s="29" t="inlineStr">
        <is>
          <t>EM-22</t>
        </is>
      </c>
      <c r="C80" s="34" t="inlineStr">
        <is>
          <t>P2</t>
        </is>
      </c>
      <c r="D80" s="31" t="inlineStr">
        <is>
          <t>Consult outpatient</t>
        </is>
      </c>
      <c r="E80" s="17" t="inlineStr">
        <is>
          <t>Office and outpatient consultations (99242-99245)</t>
        </is>
      </c>
      <c r="F80" s="17" t="inlineStr">
        <is>
          <t>Consultations</t>
        </is>
      </c>
      <c r="G80" s="29" t="n">
        <v>8</v>
      </c>
      <c r="H80" s="15">
        <f>COUNTIFS('Chart Database'!$B$6:$B$4005,$A80,'Chart Database'!$C$6:$C$4005,"*"&amp;$D80&amp;"*",'Chart Database'!$F$6:$F$4005,"Active")</f>
        <v/>
      </c>
      <c r="I80" s="32">
        <f>IF($G80=0,"NA",H80/$G80)</f>
        <v/>
      </c>
      <c r="J80" s="15">
        <f>$G80-H80</f>
        <v/>
      </c>
      <c r="K80" s="33">
        <f>IF($D80="","",IF(SUMPRODUCT(--($A$5:$A$135=$A80),--($D$5:$D$135&lt;&gt;""),--(ROW($D$5:$D$135)&lt;&gt;ROW()),--(ISNUMBER(SEARCH($D80,$D$5:$D$135))+ISNUMBER(SEARCH($D$5:$D$135&amp;"",$D80))&gt;0))&gt;0,"CLASH — overlaps another name in this specialty","OK"))</f>
        <v/>
      </c>
      <c r="L80" s="23" t="inlineStr"/>
    </row>
    <row r="81" ht="24" customHeight="1">
      <c r="A81" s="23" t="inlineStr">
        <is>
          <t>E/M</t>
        </is>
      </c>
      <c r="B81" s="29" t="inlineStr">
        <is>
          <t>EM-23</t>
        </is>
      </c>
      <c r="C81" s="34" t="inlineStr">
        <is>
          <t>P2</t>
        </is>
      </c>
      <c r="D81" s="31" t="inlineStr">
        <is>
          <t>Consult inpatient</t>
        </is>
      </c>
      <c r="E81" s="17" t="inlineStr">
        <is>
          <t>Inpatient consultations (99252-99255)</t>
        </is>
      </c>
      <c r="F81" s="17" t="inlineStr">
        <is>
          <t>Consultations</t>
        </is>
      </c>
      <c r="G81" s="29" t="n">
        <v>8</v>
      </c>
      <c r="H81" s="15">
        <f>COUNTIFS('Chart Database'!$B$6:$B$4005,$A81,'Chart Database'!$C$6:$C$4005,"*"&amp;$D81&amp;"*",'Chart Database'!$F$6:$F$4005,"Active")</f>
        <v/>
      </c>
      <c r="I81" s="32">
        <f>IF($G81=0,"NA",H81/$G81)</f>
        <v/>
      </c>
      <c r="J81" s="15">
        <f>$G81-H81</f>
        <v/>
      </c>
      <c r="K81" s="33">
        <f>IF($D81="","",IF(SUMPRODUCT(--($A$5:$A$135=$A81),--($D$5:$D$135&lt;&gt;""),--(ROW($D$5:$D$135)&lt;&gt;ROW()),--(ISNUMBER(SEARCH($D81,$D$5:$D$135))+ISNUMBER(SEARCH($D$5:$D$135&amp;"",$D81))&gt;0))&gt;0,"CLASH — overlaps another name in this specialty","OK"))</f>
        <v/>
      </c>
      <c r="L81" s="23" t="inlineStr"/>
    </row>
    <row r="82" ht="24" customHeight="1">
      <c r="A82" s="23" t="inlineStr">
        <is>
          <t>SDS</t>
        </is>
      </c>
      <c r="B82" s="29" t="inlineStr">
        <is>
          <t>SDS-01</t>
        </is>
      </c>
      <c r="C82" s="34" t="inlineStr">
        <is>
          <t>P2</t>
        </is>
      </c>
      <c r="D82" s="31" t="inlineStr">
        <is>
          <t>Arthroscopy</t>
        </is>
      </c>
      <c r="E82" s="17" t="inlineStr">
        <is>
          <t>Knee and shoulder arthroscopy</t>
        </is>
      </c>
      <c r="F82" s="17" t="inlineStr">
        <is>
          <t>Orthopaedics</t>
        </is>
      </c>
      <c r="G82" s="29" t="n">
        <v>13</v>
      </c>
      <c r="H82" s="15">
        <f>COUNTIFS('Chart Database'!$B$6:$B$4005,$A82,'Chart Database'!$C$6:$C$4005,"*"&amp;$D82&amp;"*",'Chart Database'!$F$6:$F$4005,"Active")</f>
        <v/>
      </c>
      <c r="I82" s="32">
        <f>IF($G82=0,"NA",H82/$G82)</f>
        <v/>
      </c>
      <c r="J82" s="15">
        <f>$G82-H82</f>
        <v/>
      </c>
      <c r="K82" s="33">
        <f>IF($D82="","",IF(SUMPRODUCT(--($A$5:$A$135=$A82),--($D$5:$D$135&lt;&gt;""),--(ROW($D$5:$D$135)&lt;&gt;ROW()),--(ISNUMBER(SEARCH($D82,$D$5:$D$135))+ISNUMBER(SEARCH($D$5:$D$135&amp;"",$D82))&gt;0))&gt;0,"CLASH — overlaps another name in this specialty","OK"))</f>
        <v/>
      </c>
      <c r="L82" s="23" t="inlineStr"/>
    </row>
    <row r="83" ht="24" customHeight="1">
      <c r="A83" s="23" t="inlineStr">
        <is>
          <t>SDS</t>
        </is>
      </c>
      <c r="B83" s="29" t="inlineStr">
        <is>
          <t>SDS-02</t>
        </is>
      </c>
      <c r="C83" s="34" t="inlineStr">
        <is>
          <t>P2</t>
        </is>
      </c>
      <c r="D83" s="31" t="inlineStr">
        <is>
          <t>Hand foot</t>
        </is>
      </c>
      <c r="E83" s="17" t="inlineStr">
        <is>
          <t>Hand and foot procedures</t>
        </is>
      </c>
      <c r="F83" s="17" t="inlineStr">
        <is>
          <t>Orthopaedics</t>
        </is>
      </c>
      <c r="G83" s="29" t="n">
        <v>11</v>
      </c>
      <c r="H83" s="15">
        <f>COUNTIFS('Chart Database'!$B$6:$B$4005,$A83,'Chart Database'!$C$6:$C$4005,"*"&amp;$D83&amp;"*",'Chart Database'!$F$6:$F$4005,"Active")</f>
        <v/>
      </c>
      <c r="I83" s="32">
        <f>IF($G83=0,"NA",H83/$G83)</f>
        <v/>
      </c>
      <c r="J83" s="15">
        <f>$G83-H83</f>
        <v/>
      </c>
      <c r="K83" s="33">
        <f>IF($D83="","",IF(SUMPRODUCT(--($A$5:$A$135=$A83),--($D$5:$D$135&lt;&gt;""),--(ROW($D$5:$D$135)&lt;&gt;ROW()),--(ISNUMBER(SEARCH($D83,$D$5:$D$135))+ISNUMBER(SEARCH($D$5:$D$135&amp;"",$D83))&gt;0))&gt;0,"CLASH — overlaps another name in this specialty","OK"))</f>
        <v/>
      </c>
      <c r="L83" s="23" t="inlineStr"/>
    </row>
    <row r="84" ht="24" customHeight="1">
      <c r="A84" s="23" t="inlineStr">
        <is>
          <t>SDS</t>
        </is>
      </c>
      <c r="B84" s="29" t="inlineStr">
        <is>
          <t>SDS-03</t>
        </is>
      </c>
      <c r="C84" s="34" t="inlineStr">
        <is>
          <t>P2</t>
        </is>
      </c>
      <c r="D84" s="31" t="inlineStr">
        <is>
          <t>Fracture care</t>
        </is>
      </c>
      <c r="E84" s="17" t="inlineStr">
        <is>
          <t>Fracture care and hardware removal</t>
        </is>
      </c>
      <c r="F84" s="17" t="inlineStr">
        <is>
          <t>Orthopaedics</t>
        </is>
      </c>
      <c r="G84" s="29" t="n">
        <v>9</v>
      </c>
      <c r="H84" s="15">
        <f>COUNTIFS('Chart Database'!$B$6:$B$4005,$A84,'Chart Database'!$C$6:$C$4005,"*"&amp;$D84&amp;"*",'Chart Database'!$F$6:$F$4005,"Active")</f>
        <v/>
      </c>
      <c r="I84" s="32">
        <f>IF($G84=0,"NA",H84/$G84)</f>
        <v/>
      </c>
      <c r="J84" s="15">
        <f>$G84-H84</f>
        <v/>
      </c>
      <c r="K84" s="33">
        <f>IF($D84="","",IF(SUMPRODUCT(--($A$5:$A$135=$A84),--($D$5:$D$135&lt;&gt;""),--(ROW($D$5:$D$135)&lt;&gt;ROW()),--(ISNUMBER(SEARCH($D84,$D$5:$D$135))+ISNUMBER(SEARCH($D$5:$D$135&amp;"",$D84))&gt;0))&gt;0,"CLASH — overlaps another name in this specialty","OK"))</f>
        <v/>
      </c>
      <c r="L84" s="23" t="inlineStr"/>
    </row>
    <row r="85" ht="24" customHeight="1">
      <c r="A85" s="23" t="inlineStr">
        <is>
          <t>SDS</t>
        </is>
      </c>
      <c r="B85" s="29" t="inlineStr">
        <is>
          <t>SDS-04</t>
        </is>
      </c>
      <c r="C85" s="34" t="inlineStr">
        <is>
          <t>P2</t>
        </is>
      </c>
      <c r="D85" s="31" t="inlineStr">
        <is>
          <t>Colonoscopy screening</t>
        </is>
      </c>
      <c r="E85" s="17" t="inlineStr">
        <is>
          <t>Screening versus diagnostic colonoscopy</t>
        </is>
      </c>
      <c r="F85" s="17" t="inlineStr">
        <is>
          <t>GI / endoscopy</t>
        </is>
      </c>
      <c r="G85" s="29" t="n">
        <v>13</v>
      </c>
      <c r="H85" s="15">
        <f>COUNTIFS('Chart Database'!$B$6:$B$4005,$A85,'Chart Database'!$C$6:$C$4005,"*"&amp;$D85&amp;"*",'Chart Database'!$F$6:$F$4005,"Active")</f>
        <v/>
      </c>
      <c r="I85" s="32">
        <f>IF($G85=0,"NA",H85/$G85)</f>
        <v/>
      </c>
      <c r="J85" s="15">
        <f>$G85-H85</f>
        <v/>
      </c>
      <c r="K85" s="33">
        <f>IF($D85="","",IF(SUMPRODUCT(--($A$5:$A$135=$A85),--($D$5:$D$135&lt;&gt;""),--(ROW($D$5:$D$135)&lt;&gt;ROW()),--(ISNUMBER(SEARCH($D85,$D$5:$D$135))+ISNUMBER(SEARCH($D$5:$D$135&amp;"",$D85))&gt;0))&gt;0,"CLASH — overlaps another name in this specialty","OK"))</f>
        <v/>
      </c>
      <c r="L85" s="23" t="inlineStr"/>
    </row>
    <row r="86" ht="24" customHeight="1">
      <c r="A86" s="23" t="inlineStr">
        <is>
          <t>SDS</t>
        </is>
      </c>
      <c r="B86" s="29" t="inlineStr">
        <is>
          <t>SDS-05</t>
        </is>
      </c>
      <c r="C86" s="34" t="inlineStr">
        <is>
          <t>P2</t>
        </is>
      </c>
      <c r="D86" s="31" t="inlineStr">
        <is>
          <t>Polypectomy</t>
        </is>
      </c>
      <c r="E86" s="17" t="inlineStr">
        <is>
          <t>Colonoscopy with polypectomy — technique-driven coding</t>
        </is>
      </c>
      <c r="F86" s="17" t="inlineStr">
        <is>
          <t>GI / endoscopy</t>
        </is>
      </c>
      <c r="G86" s="29" t="n">
        <v>11</v>
      </c>
      <c r="H86" s="15">
        <f>COUNTIFS('Chart Database'!$B$6:$B$4005,$A86,'Chart Database'!$C$6:$C$4005,"*"&amp;$D86&amp;"*",'Chart Database'!$F$6:$F$4005,"Active")</f>
        <v/>
      </c>
      <c r="I86" s="32">
        <f>IF($G86=0,"NA",H86/$G86)</f>
        <v/>
      </c>
      <c r="J86" s="15">
        <f>$G86-H86</f>
        <v/>
      </c>
      <c r="K86" s="33">
        <f>IF($D86="","",IF(SUMPRODUCT(--($A$5:$A$135=$A86),--($D$5:$D$135&lt;&gt;""),--(ROW($D$5:$D$135)&lt;&gt;ROW()),--(ISNUMBER(SEARCH($D86,$D$5:$D$135))+ISNUMBER(SEARCH($D$5:$D$135&amp;"",$D86))&gt;0))&gt;0,"CLASH — overlaps another name in this specialty","OK"))</f>
        <v/>
      </c>
      <c r="L86" s="23" t="inlineStr"/>
    </row>
    <row r="87" ht="24" customHeight="1">
      <c r="A87" s="23" t="inlineStr">
        <is>
          <t>SDS</t>
        </is>
      </c>
      <c r="B87" s="29" t="inlineStr">
        <is>
          <t>SDS-06</t>
        </is>
      </c>
      <c r="C87" s="34" t="inlineStr">
        <is>
          <t>P2</t>
        </is>
      </c>
      <c r="D87" s="31" t="inlineStr">
        <is>
          <t>EGD</t>
        </is>
      </c>
      <c r="E87" s="17" t="inlineStr">
        <is>
          <t>EGD and combined upper and lower endoscopy</t>
        </is>
      </c>
      <c r="F87" s="17" t="inlineStr">
        <is>
          <t>GI / endoscopy</t>
        </is>
      </c>
      <c r="G87" s="29" t="n">
        <v>9</v>
      </c>
      <c r="H87" s="15">
        <f>COUNTIFS('Chart Database'!$B$6:$B$4005,$A87,'Chart Database'!$C$6:$C$4005,"*"&amp;$D87&amp;"*",'Chart Database'!$F$6:$F$4005,"Active")</f>
        <v/>
      </c>
      <c r="I87" s="32">
        <f>IF($G87=0,"NA",H87/$G87)</f>
        <v/>
      </c>
      <c r="J87" s="15">
        <f>$G87-H87</f>
        <v/>
      </c>
      <c r="K87" s="33">
        <f>IF($D87="","",IF(SUMPRODUCT(--($A$5:$A$135=$A87),--($D$5:$D$135&lt;&gt;""),--(ROW($D$5:$D$135)&lt;&gt;ROW()),--(ISNUMBER(SEARCH($D87,$D$5:$D$135))+ISNUMBER(SEARCH($D$5:$D$135&amp;"",$D87))&gt;0))&gt;0,"CLASH — overlaps another name in this specialty","OK"))</f>
        <v/>
      </c>
      <c r="L87" s="23" t="inlineStr"/>
    </row>
    <row r="88" ht="24" customHeight="1">
      <c r="A88" s="23" t="inlineStr">
        <is>
          <t>SDS</t>
        </is>
      </c>
      <c r="B88" s="29" t="inlineStr">
        <is>
          <t>SDS-07</t>
        </is>
      </c>
      <c r="C88" s="34" t="inlineStr">
        <is>
          <t>P2</t>
        </is>
      </c>
      <c r="D88" s="31" t="inlineStr">
        <is>
          <t>Cataract</t>
        </is>
      </c>
      <c r="E88" s="17" t="inlineStr">
        <is>
          <t>Cataract extraction with IOL</t>
        </is>
      </c>
      <c r="F88" s="17" t="inlineStr">
        <is>
          <t>Ophthalmology</t>
        </is>
      </c>
      <c r="G88" s="29" t="n">
        <v>11</v>
      </c>
      <c r="H88" s="15">
        <f>COUNTIFS('Chart Database'!$B$6:$B$4005,$A88,'Chart Database'!$C$6:$C$4005,"*"&amp;$D88&amp;"*",'Chart Database'!$F$6:$F$4005,"Active")</f>
        <v/>
      </c>
      <c r="I88" s="32">
        <f>IF($G88=0,"NA",H88/$G88)</f>
        <v/>
      </c>
      <c r="J88" s="15">
        <f>$G88-H88</f>
        <v/>
      </c>
      <c r="K88" s="33">
        <f>IF($D88="","",IF(SUMPRODUCT(--($A$5:$A$135=$A88),--($D$5:$D$135&lt;&gt;""),--(ROW($D$5:$D$135)&lt;&gt;ROW()),--(ISNUMBER(SEARCH($D88,$D$5:$D$135))+ISNUMBER(SEARCH($D$5:$D$135&amp;"",$D88))&gt;0))&gt;0,"CLASH — overlaps another name in this specialty","OK"))</f>
        <v/>
      </c>
      <c r="L88" s="23" t="inlineStr"/>
    </row>
    <row r="89" ht="24" customHeight="1">
      <c r="A89" s="23" t="inlineStr">
        <is>
          <t>SDS</t>
        </is>
      </c>
      <c r="B89" s="29" t="inlineStr">
        <is>
          <t>SDS-08</t>
        </is>
      </c>
      <c r="C89" s="34" t="inlineStr">
        <is>
          <t>P2</t>
        </is>
      </c>
      <c r="D89" s="31" t="inlineStr">
        <is>
          <t>Intravitreal</t>
        </is>
      </c>
      <c r="E89" s="17" t="inlineStr">
        <is>
          <t>Intravitreal injections and retinal laser</t>
        </is>
      </c>
      <c r="F89" s="17" t="inlineStr">
        <is>
          <t>Ophthalmology</t>
        </is>
      </c>
      <c r="G89" s="29" t="n">
        <v>5</v>
      </c>
      <c r="H89" s="15">
        <f>COUNTIFS('Chart Database'!$B$6:$B$4005,$A89,'Chart Database'!$C$6:$C$4005,"*"&amp;$D89&amp;"*",'Chart Database'!$F$6:$F$4005,"Active")</f>
        <v/>
      </c>
      <c r="I89" s="32">
        <f>IF($G89=0,"NA",H89/$G89)</f>
        <v/>
      </c>
      <c r="J89" s="15">
        <f>$G89-H89</f>
        <v/>
      </c>
      <c r="K89" s="33">
        <f>IF($D89="","",IF(SUMPRODUCT(--($A$5:$A$135=$A89),--($D$5:$D$135&lt;&gt;""),--(ROW($D$5:$D$135)&lt;&gt;ROW()),--(ISNUMBER(SEARCH($D89,$D$5:$D$135))+ISNUMBER(SEARCH($D$5:$D$135&amp;"",$D89))&gt;0))&gt;0,"CLASH — overlaps another name in this specialty","OK"))</f>
        <v/>
      </c>
      <c r="L89" s="23" t="inlineStr"/>
    </row>
    <row r="90" ht="24" customHeight="1">
      <c r="A90" s="23" t="inlineStr">
        <is>
          <t>SDS</t>
        </is>
      </c>
      <c r="B90" s="29" t="inlineStr">
        <is>
          <t>SDS-09</t>
        </is>
      </c>
      <c r="C90" s="35" t="inlineStr">
        <is>
          <t>P3</t>
        </is>
      </c>
      <c r="D90" s="31" t="inlineStr">
        <is>
          <t>Oculoplastic</t>
        </is>
      </c>
      <c r="E90" s="17" t="inlineStr">
        <is>
          <t>Oculoplastic and other eye procedures</t>
        </is>
      </c>
      <c r="F90" s="17" t="inlineStr">
        <is>
          <t>Ophthalmology</t>
        </is>
      </c>
      <c r="G90" s="29" t="n">
        <v>4</v>
      </c>
      <c r="H90" s="15">
        <f>COUNTIFS('Chart Database'!$B$6:$B$4005,$A90,'Chart Database'!$C$6:$C$4005,"*"&amp;$D90&amp;"*",'Chart Database'!$F$6:$F$4005,"Active")</f>
        <v/>
      </c>
      <c r="I90" s="32">
        <f>IF($G90=0,"NA",H90/$G90)</f>
        <v/>
      </c>
      <c r="J90" s="15">
        <f>$G90-H90</f>
        <v/>
      </c>
      <c r="K90" s="33">
        <f>IF($D90="","",IF(SUMPRODUCT(--($A$5:$A$135=$A90),--($D$5:$D$135&lt;&gt;""),--(ROW($D$5:$D$135)&lt;&gt;ROW()),--(ISNUMBER(SEARCH($D90,$D$5:$D$135))+ISNUMBER(SEARCH($D$5:$D$135&amp;"",$D90))&gt;0))&gt;0,"CLASH — overlaps another name in this specialty","OK"))</f>
        <v/>
      </c>
      <c r="L90" s="23" t="inlineStr"/>
    </row>
    <row r="91" ht="24" customHeight="1">
      <c r="A91" s="23" t="inlineStr">
        <is>
          <t>SDS</t>
        </is>
      </c>
      <c r="B91" s="29" t="inlineStr">
        <is>
          <t>SDS-10</t>
        </is>
      </c>
      <c r="C91" s="34" t="inlineStr">
        <is>
          <t>P2</t>
        </is>
      </c>
      <c r="D91" s="31" t="inlineStr">
        <is>
          <t>Epidural facet</t>
        </is>
      </c>
      <c r="E91" s="17" t="inlineStr">
        <is>
          <t>Epidural and facet joint injections</t>
        </is>
      </c>
      <c r="F91" s="17" t="inlineStr">
        <is>
          <t>Pain management</t>
        </is>
      </c>
      <c r="G91" s="29" t="n">
        <v>11</v>
      </c>
      <c r="H91" s="15">
        <f>COUNTIFS('Chart Database'!$B$6:$B$4005,$A91,'Chart Database'!$C$6:$C$4005,"*"&amp;$D91&amp;"*",'Chart Database'!$F$6:$F$4005,"Active")</f>
        <v/>
      </c>
      <c r="I91" s="32">
        <f>IF($G91=0,"NA",H91/$G91)</f>
        <v/>
      </c>
      <c r="J91" s="15">
        <f>$G91-H91</f>
        <v/>
      </c>
      <c r="K91" s="33">
        <f>IF($D91="","",IF(SUMPRODUCT(--($A$5:$A$135=$A91),--($D$5:$D$135&lt;&gt;""),--(ROW($D$5:$D$135)&lt;&gt;ROW()),--(ISNUMBER(SEARCH($D91,$D$5:$D$135))+ISNUMBER(SEARCH($D$5:$D$135&amp;"",$D91))&gt;0))&gt;0,"CLASH — overlaps another name in this specialty","OK"))</f>
        <v/>
      </c>
      <c r="L91" s="23" t="inlineStr"/>
    </row>
    <row r="92" ht="24" customHeight="1">
      <c r="A92" s="23" t="inlineStr">
        <is>
          <t>SDS</t>
        </is>
      </c>
      <c r="B92" s="29" t="inlineStr">
        <is>
          <t>SDS-11</t>
        </is>
      </c>
      <c r="C92" s="34" t="inlineStr">
        <is>
          <t>P2</t>
        </is>
      </c>
      <c r="D92" s="31" t="inlineStr">
        <is>
          <t>Nerve block RFA</t>
        </is>
      </c>
      <c r="E92" s="17" t="inlineStr">
        <is>
          <t>Radiofrequency ablation and nerve blocks</t>
        </is>
      </c>
      <c r="F92" s="17" t="inlineStr">
        <is>
          <t>Pain management</t>
        </is>
      </c>
      <c r="G92" s="29" t="n">
        <v>9</v>
      </c>
      <c r="H92" s="15">
        <f>COUNTIFS('Chart Database'!$B$6:$B$4005,$A92,'Chart Database'!$C$6:$C$4005,"*"&amp;$D92&amp;"*",'Chart Database'!$F$6:$F$4005,"Active")</f>
        <v/>
      </c>
      <c r="I92" s="32">
        <f>IF($G92=0,"NA",H92/$G92)</f>
        <v/>
      </c>
      <c r="J92" s="15">
        <f>$G92-H92</f>
        <v/>
      </c>
      <c r="K92" s="33">
        <f>IF($D92="","",IF(SUMPRODUCT(--($A$5:$A$135=$A92),--($D$5:$D$135&lt;&gt;""),--(ROW($D$5:$D$135)&lt;&gt;ROW()),--(ISNUMBER(SEARCH($D92,$D$5:$D$135))+ISNUMBER(SEARCH($D$5:$D$135&amp;"",$D92))&gt;0))&gt;0,"CLASH — overlaps another name in this specialty","OK"))</f>
        <v/>
      </c>
      <c r="L92" s="23" t="inlineStr"/>
    </row>
    <row r="93" ht="24" customHeight="1">
      <c r="A93" s="23" t="inlineStr">
        <is>
          <t>SDS</t>
        </is>
      </c>
      <c r="B93" s="29" t="inlineStr">
        <is>
          <t>SDS-12</t>
        </is>
      </c>
      <c r="C93" s="34" t="inlineStr">
        <is>
          <t>P2</t>
        </is>
      </c>
      <c r="D93" s="31" t="inlineStr">
        <is>
          <t>General surgery</t>
        </is>
      </c>
      <c r="E93" s="17" t="inlineStr">
        <is>
          <t>General surgery — hernia repair, cholecystectomy, excisions</t>
        </is>
      </c>
      <c r="F93" s="17" t="inlineStr">
        <is>
          <t>Other surgical</t>
        </is>
      </c>
      <c r="G93" s="29" t="n">
        <v>9</v>
      </c>
      <c r="H93" s="15">
        <f>COUNTIFS('Chart Database'!$B$6:$B$4005,$A93,'Chart Database'!$C$6:$C$4005,"*"&amp;$D93&amp;"*",'Chart Database'!$F$6:$F$4005,"Active")</f>
        <v/>
      </c>
      <c r="I93" s="32">
        <f>IF($G93=0,"NA",H93/$G93)</f>
        <v/>
      </c>
      <c r="J93" s="15">
        <f>$G93-H93</f>
        <v/>
      </c>
      <c r="K93" s="33">
        <f>IF($D93="","",IF(SUMPRODUCT(--($A$5:$A$135=$A93),--($D$5:$D$135&lt;&gt;""),--(ROW($D$5:$D$135)&lt;&gt;ROW()),--(ISNUMBER(SEARCH($D93,$D$5:$D$135))+ISNUMBER(SEARCH($D$5:$D$135&amp;"",$D93))&gt;0))&gt;0,"CLASH — overlaps another name in this specialty","OK"))</f>
        <v/>
      </c>
      <c r="L93" s="23" t="inlineStr"/>
    </row>
    <row r="94" ht="24" customHeight="1">
      <c r="A94" s="23" t="inlineStr">
        <is>
          <t>SDS</t>
        </is>
      </c>
      <c r="B94" s="29" t="inlineStr">
        <is>
          <t>SDS-13</t>
        </is>
      </c>
      <c r="C94" s="34" t="inlineStr">
        <is>
          <t>P2</t>
        </is>
      </c>
      <c r="D94" s="31" t="inlineStr">
        <is>
          <t>Gynaecology</t>
        </is>
      </c>
      <c r="E94" s="17" t="inlineStr">
        <is>
          <t>Gynaecology — hysteroscopy, D&amp;C, laparoscopy</t>
        </is>
      </c>
      <c r="F94" s="17" t="inlineStr">
        <is>
          <t>Other surgical</t>
        </is>
      </c>
      <c r="G94" s="29" t="n">
        <v>7</v>
      </c>
      <c r="H94" s="15">
        <f>COUNTIFS('Chart Database'!$B$6:$B$4005,$A94,'Chart Database'!$C$6:$C$4005,"*"&amp;$D94&amp;"*",'Chart Database'!$F$6:$F$4005,"Active")</f>
        <v/>
      </c>
      <c r="I94" s="32">
        <f>IF($G94=0,"NA",H94/$G94)</f>
        <v/>
      </c>
      <c r="J94" s="15">
        <f>$G94-H94</f>
        <v/>
      </c>
      <c r="K94" s="33">
        <f>IF($D94="","",IF(SUMPRODUCT(--($A$5:$A$135=$A94),--($D$5:$D$135&lt;&gt;""),--(ROW($D$5:$D$135)&lt;&gt;ROW()),--(ISNUMBER(SEARCH($D94,$D$5:$D$135))+ISNUMBER(SEARCH($D$5:$D$135&amp;"",$D94))&gt;0))&gt;0,"CLASH — overlaps another name in this specialty","OK"))</f>
        <v/>
      </c>
      <c r="L94" s="23" t="inlineStr"/>
    </row>
    <row r="95" ht="24" customHeight="1">
      <c r="A95" s="23" t="inlineStr">
        <is>
          <t>SDS</t>
        </is>
      </c>
      <c r="B95" s="29" t="inlineStr">
        <is>
          <t>SDS-14</t>
        </is>
      </c>
      <c r="C95" s="35" t="inlineStr">
        <is>
          <t>P3</t>
        </is>
      </c>
      <c r="D95" s="31" t="inlineStr">
        <is>
          <t>ENT</t>
        </is>
      </c>
      <c r="E95" s="17" t="inlineStr">
        <is>
          <t>ENT — tonsillectomy, sinus surgery, myringotomy</t>
        </is>
      </c>
      <c r="F95" s="17" t="inlineStr">
        <is>
          <t>Other surgical</t>
        </is>
      </c>
      <c r="G95" s="29" t="n">
        <v>5</v>
      </c>
      <c r="H95" s="15">
        <f>COUNTIFS('Chart Database'!$B$6:$B$4005,$A95,'Chart Database'!$C$6:$C$4005,"*"&amp;$D95&amp;"*",'Chart Database'!$F$6:$F$4005,"Active")</f>
        <v/>
      </c>
      <c r="I95" s="32">
        <f>IF($G95=0,"NA",H95/$G95)</f>
        <v/>
      </c>
      <c r="J95" s="15">
        <f>$G95-H95</f>
        <v/>
      </c>
      <c r="K95" s="33">
        <f>IF($D95="","",IF(SUMPRODUCT(--($A$5:$A$135=$A95),--($D$5:$D$135&lt;&gt;""),--(ROW($D$5:$D$135)&lt;&gt;ROW()),--(ISNUMBER(SEARCH($D95,$D$5:$D$135))+ISNUMBER(SEARCH($D$5:$D$135&amp;"",$D95))&gt;0))&gt;0,"CLASH — overlaps another name in this specialty","OK"))</f>
        <v/>
      </c>
      <c r="L95" s="23" t="inlineStr"/>
    </row>
    <row r="96" ht="24" customHeight="1">
      <c r="A96" s="23" t="inlineStr">
        <is>
          <t>SDS</t>
        </is>
      </c>
      <c r="B96" s="29" t="inlineStr">
        <is>
          <t>SDS-15</t>
        </is>
      </c>
      <c r="C96" s="34" t="inlineStr">
        <is>
          <t>P2</t>
        </is>
      </c>
      <c r="D96" s="31" t="inlineStr">
        <is>
          <t>Urology</t>
        </is>
      </c>
      <c r="E96" s="17" t="inlineStr">
        <is>
          <t>Urology — cystoscopy, TURP, stone procedures</t>
        </is>
      </c>
      <c r="F96" s="17" t="inlineStr">
        <is>
          <t>Other surgical</t>
        </is>
      </c>
      <c r="G96" s="29" t="n">
        <v>5</v>
      </c>
      <c r="H96" s="15">
        <f>COUNTIFS('Chart Database'!$B$6:$B$4005,$A96,'Chart Database'!$C$6:$C$4005,"*"&amp;$D96&amp;"*",'Chart Database'!$F$6:$F$4005,"Active")</f>
        <v/>
      </c>
      <c r="I96" s="32">
        <f>IF($G96=0,"NA",H96/$G96)</f>
        <v/>
      </c>
      <c r="J96" s="15">
        <f>$G96-H96</f>
        <v/>
      </c>
      <c r="K96" s="33">
        <f>IF($D96="","",IF(SUMPRODUCT(--($A$5:$A$135=$A96),--($D$5:$D$135&lt;&gt;""),--(ROW($D$5:$D$135)&lt;&gt;ROW()),--(ISNUMBER(SEARCH($D96,$D$5:$D$135))+ISNUMBER(SEARCH($D$5:$D$135&amp;"",$D96))&gt;0))&gt;0,"CLASH — overlaps another name in this specialty","OK"))</f>
        <v/>
      </c>
      <c r="L96" s="23" t="inlineStr"/>
    </row>
    <row r="97" ht="24" customHeight="1">
      <c r="A97" s="23" t="inlineStr">
        <is>
          <t>Surgery</t>
        </is>
      </c>
      <c r="B97" s="29" t="inlineStr">
        <is>
          <t>SUR-01</t>
        </is>
      </c>
      <c r="C97" s="34" t="inlineStr">
        <is>
          <t>P2</t>
        </is>
      </c>
      <c r="D97" s="31" t="inlineStr">
        <is>
          <t>Gen surgery</t>
        </is>
      </c>
      <c r="E97" s="17" t="inlineStr">
        <is>
          <t>General surgery — hernia, cholecystectomy, appendectomy, bowel</t>
        </is>
      </c>
      <c r="F97" s="17" t="inlineStr">
        <is>
          <t>High-volume service lines</t>
        </is>
      </c>
      <c r="G97" s="29" t="n">
        <v>54</v>
      </c>
      <c r="H97" s="15">
        <f>COUNTIFS('Chart Database'!$B$6:$B$4005,$A97,'Chart Database'!$C$6:$C$4005,"*"&amp;$D97&amp;"*",'Chart Database'!$F$6:$F$4005,"Active")</f>
        <v/>
      </c>
      <c r="I97" s="32">
        <f>IF($G97=0,"NA",H97/$G97)</f>
        <v/>
      </c>
      <c r="J97" s="15">
        <f>$G97-H97</f>
        <v/>
      </c>
      <c r="K97" s="33">
        <f>IF($D97="","",IF(SUMPRODUCT(--($A$5:$A$135=$A97),--($D$5:$D$135&lt;&gt;""),--(ROW($D$5:$D$135)&lt;&gt;ROW()),--(ISNUMBER(SEARCH($D97,$D$5:$D$135))+ISNUMBER(SEARCH($D$5:$D$135&amp;"",$D97))&gt;0))&gt;0,"CLASH — overlaps another name in this specialty","OK"))</f>
        <v/>
      </c>
      <c r="L97" s="23" t="inlineStr"/>
    </row>
    <row r="98" ht="24" customHeight="1">
      <c r="A98" s="23" t="inlineStr">
        <is>
          <t>Surgery</t>
        </is>
      </c>
      <c r="B98" s="29" t="inlineStr">
        <is>
          <t>SUR-02</t>
        </is>
      </c>
      <c r="C98" s="34" t="inlineStr">
        <is>
          <t>P2</t>
        </is>
      </c>
      <c r="D98" s="31" t="inlineStr">
        <is>
          <t>Orthopaedics</t>
        </is>
      </c>
      <c r="E98" s="17" t="inlineStr">
        <is>
          <t>Orthopaedics — arthroplasty, arthroscopy, fracture fixation</t>
        </is>
      </c>
      <c r="F98" s="17" t="inlineStr">
        <is>
          <t>High-volume service lines</t>
        </is>
      </c>
      <c r="G98" s="29" t="n">
        <v>54</v>
      </c>
      <c r="H98" s="15">
        <f>COUNTIFS('Chart Database'!$B$6:$B$4005,$A98,'Chart Database'!$C$6:$C$4005,"*"&amp;$D98&amp;"*",'Chart Database'!$F$6:$F$4005,"Active")</f>
        <v/>
      </c>
      <c r="I98" s="32">
        <f>IF($G98=0,"NA",H98/$G98)</f>
        <v/>
      </c>
      <c r="J98" s="15">
        <f>$G98-H98</f>
        <v/>
      </c>
      <c r="K98" s="33">
        <f>IF($D98="","",IF(SUMPRODUCT(--($A$5:$A$135=$A98),--($D$5:$D$135&lt;&gt;""),--(ROW($D$5:$D$135)&lt;&gt;ROW()),--(ISNUMBER(SEARCH($D98,$D$5:$D$135))+ISNUMBER(SEARCH($D$5:$D$135&amp;"",$D98))&gt;0))&gt;0,"CLASH — overlaps another name in this specialty","OK"))</f>
        <v/>
      </c>
      <c r="L98" s="23" t="inlineStr"/>
    </row>
    <row r="99" ht="24" customHeight="1">
      <c r="A99" s="23" t="inlineStr">
        <is>
          <t>Surgery</t>
        </is>
      </c>
      <c r="B99" s="29" t="inlineStr">
        <is>
          <t>SUR-03</t>
        </is>
      </c>
      <c r="C99" s="34" t="inlineStr">
        <is>
          <t>P2</t>
        </is>
      </c>
      <c r="D99" s="31" t="inlineStr">
        <is>
          <t>Cardiothoracic</t>
        </is>
      </c>
      <c r="E99" s="17" t="inlineStr">
        <is>
          <t>Cardiothoracic and vascular</t>
        </is>
      </c>
      <c r="F99" s="17" t="inlineStr">
        <is>
          <t>High-volume service lines</t>
        </is>
      </c>
      <c r="G99" s="29" t="n">
        <v>30</v>
      </c>
      <c r="H99" s="15">
        <f>COUNTIFS('Chart Database'!$B$6:$B$4005,$A99,'Chart Database'!$C$6:$C$4005,"*"&amp;$D99&amp;"*",'Chart Database'!$F$6:$F$4005,"Active")</f>
        <v/>
      </c>
      <c r="I99" s="32">
        <f>IF($G99=0,"NA",H99/$G99)</f>
        <v/>
      </c>
      <c r="J99" s="15">
        <f>$G99-H99</f>
        <v/>
      </c>
      <c r="K99" s="33">
        <f>IF($D99="","",IF(SUMPRODUCT(--($A$5:$A$135=$A99),--($D$5:$D$135&lt;&gt;""),--(ROW($D$5:$D$135)&lt;&gt;ROW()),--(ISNUMBER(SEARCH($D99,$D$5:$D$135))+ISNUMBER(SEARCH($D$5:$D$135&amp;"",$D99))&gt;0))&gt;0,"CLASH — overlaps another name in this specialty","OK"))</f>
        <v/>
      </c>
      <c r="L99" s="23" t="inlineStr"/>
    </row>
    <row r="100" ht="24" customHeight="1">
      <c r="A100" s="23" t="inlineStr">
        <is>
          <t>Surgery</t>
        </is>
      </c>
      <c r="B100" s="29" t="inlineStr">
        <is>
          <t>SUR-04</t>
        </is>
      </c>
      <c r="C100" s="34" t="inlineStr">
        <is>
          <t>P2</t>
        </is>
      </c>
      <c r="D100" s="31" t="inlineStr">
        <is>
          <t>Neurosurgery</t>
        </is>
      </c>
      <c r="E100" s="17" t="inlineStr">
        <is>
          <t>Neurosurgery — cranial and spine</t>
        </is>
      </c>
      <c r="F100" s="17" t="inlineStr">
        <is>
          <t>High-volume service lines</t>
        </is>
      </c>
      <c r="G100" s="29" t="n">
        <v>30</v>
      </c>
      <c r="H100" s="15">
        <f>COUNTIFS('Chart Database'!$B$6:$B$4005,$A100,'Chart Database'!$C$6:$C$4005,"*"&amp;$D100&amp;"*",'Chart Database'!$F$6:$F$4005,"Active")</f>
        <v/>
      </c>
      <c r="I100" s="32">
        <f>IF($G100=0,"NA",H100/$G100)</f>
        <v/>
      </c>
      <c r="J100" s="15">
        <f>$G100-H100</f>
        <v/>
      </c>
      <c r="K100" s="33">
        <f>IF($D100="","",IF(SUMPRODUCT(--($A$5:$A$135=$A100),--($D$5:$D$135&lt;&gt;""),--(ROW($D$5:$D$135)&lt;&gt;ROW()),--(ISNUMBER(SEARCH($D100,$D$5:$D$135))+ISNUMBER(SEARCH($D$5:$D$135&amp;"",$D100))&gt;0))&gt;0,"CLASH — overlaps another name in this specialty","OK"))</f>
        <v/>
      </c>
      <c r="L100" s="23" t="inlineStr"/>
    </row>
    <row r="101" ht="24" customHeight="1">
      <c r="A101" s="23" t="inlineStr">
        <is>
          <t>Surgery</t>
        </is>
      </c>
      <c r="B101" s="29" t="inlineStr">
        <is>
          <t>SUR-05</t>
        </is>
      </c>
      <c r="C101" s="34" t="inlineStr">
        <is>
          <t>P2</t>
        </is>
      </c>
      <c r="D101" s="31" t="inlineStr">
        <is>
          <t>Gynae surgery</t>
        </is>
      </c>
      <c r="E101" s="17" t="inlineStr">
        <is>
          <t>Gynaecology and obstetric surgery</t>
        </is>
      </c>
      <c r="F101" s="17" t="inlineStr">
        <is>
          <t>High-volume service lines</t>
        </is>
      </c>
      <c r="G101" s="29" t="n">
        <v>24</v>
      </c>
      <c r="H101" s="15">
        <f>COUNTIFS('Chart Database'!$B$6:$B$4005,$A101,'Chart Database'!$C$6:$C$4005,"*"&amp;$D101&amp;"*",'Chart Database'!$F$6:$F$4005,"Active")</f>
        <v/>
      </c>
      <c r="I101" s="32">
        <f>IF($G101=0,"NA",H101/$G101)</f>
        <v/>
      </c>
      <c r="J101" s="15">
        <f>$G101-H101</f>
        <v/>
      </c>
      <c r="K101" s="33">
        <f>IF($D101="","",IF(SUMPRODUCT(--($A$5:$A$135=$A101),--($D$5:$D$135&lt;&gt;""),--(ROW($D$5:$D$135)&lt;&gt;ROW()),--(ISNUMBER(SEARCH($D101,$D$5:$D$135))+ISNUMBER(SEARCH($D$5:$D$135&amp;"",$D101))&gt;0))&gt;0,"CLASH — overlaps another name in this specialty","OK"))</f>
        <v/>
      </c>
      <c r="L101" s="23" t="inlineStr"/>
    </row>
    <row r="102" ht="24" customHeight="1">
      <c r="A102" s="23" t="inlineStr">
        <is>
          <t>Surgery</t>
        </is>
      </c>
      <c r="B102" s="29" t="inlineStr">
        <is>
          <t>SUR-06</t>
        </is>
      </c>
      <c r="C102" s="34" t="inlineStr">
        <is>
          <t>P2</t>
        </is>
      </c>
      <c r="D102" s="31" t="inlineStr">
        <is>
          <t>Urology surgical</t>
        </is>
      </c>
      <c r="E102" s="17" t="inlineStr">
        <is>
          <t>Urology</t>
        </is>
      </c>
      <c r="F102" s="17" t="inlineStr">
        <is>
          <t>Specialty and cross-cutting</t>
        </is>
      </c>
      <c r="G102" s="29" t="n">
        <v>24</v>
      </c>
      <c r="H102" s="15">
        <f>COUNTIFS('Chart Database'!$B$6:$B$4005,$A102,'Chart Database'!$C$6:$C$4005,"*"&amp;$D102&amp;"*",'Chart Database'!$F$6:$F$4005,"Active")</f>
        <v/>
      </c>
      <c r="I102" s="32">
        <f>IF($G102=0,"NA",H102/$G102)</f>
        <v/>
      </c>
      <c r="J102" s="15">
        <f>$G102-H102</f>
        <v/>
      </c>
      <c r="K102" s="33">
        <f>IF($D102="","",IF(SUMPRODUCT(--($A$5:$A$135=$A102),--($D$5:$D$135&lt;&gt;""),--(ROW($D$5:$D$135)&lt;&gt;ROW()),--(ISNUMBER(SEARCH($D102,$D$5:$D$135))+ISNUMBER(SEARCH($D$5:$D$135&amp;"",$D102))&gt;0))&gt;0,"CLASH — overlaps another name in this specialty","OK"))</f>
        <v/>
      </c>
      <c r="L102" s="23" t="inlineStr"/>
    </row>
    <row r="103" ht="24" customHeight="1">
      <c r="A103" s="23" t="inlineStr">
        <is>
          <t>Surgery</t>
        </is>
      </c>
      <c r="B103" s="29" t="inlineStr">
        <is>
          <t>SUR-07</t>
        </is>
      </c>
      <c r="C103" s="34" t="inlineStr">
        <is>
          <t>P2</t>
        </is>
      </c>
      <c r="D103" s="31" t="inlineStr">
        <is>
          <t>ENT head neck</t>
        </is>
      </c>
      <c r="E103" s="17" t="inlineStr">
        <is>
          <t>ENT and head and neck</t>
        </is>
      </c>
      <c r="F103" s="17" t="inlineStr">
        <is>
          <t>Specialty and cross-cutting</t>
        </is>
      </c>
      <c r="G103" s="29" t="n">
        <v>21</v>
      </c>
      <c r="H103" s="15">
        <f>COUNTIFS('Chart Database'!$B$6:$B$4005,$A103,'Chart Database'!$C$6:$C$4005,"*"&amp;$D103&amp;"*",'Chart Database'!$F$6:$F$4005,"Active")</f>
        <v/>
      </c>
      <c r="I103" s="32">
        <f>IF($G103=0,"NA",H103/$G103)</f>
        <v/>
      </c>
      <c r="J103" s="15">
        <f>$G103-H103</f>
        <v/>
      </c>
      <c r="K103" s="33">
        <f>IF($D103="","",IF(SUMPRODUCT(--($A$5:$A$135=$A103),--($D$5:$D$135&lt;&gt;""),--(ROW($D$5:$D$135)&lt;&gt;ROW()),--(ISNUMBER(SEARCH($D103,$D$5:$D$135))+ISNUMBER(SEARCH($D$5:$D$135&amp;"",$D103))&gt;0))&gt;0,"CLASH — overlaps another name in this specialty","OK"))</f>
        <v/>
      </c>
      <c r="L103" s="23" t="inlineStr"/>
    </row>
    <row r="104" ht="24" customHeight="1">
      <c r="A104" s="23" t="inlineStr">
        <is>
          <t>Surgery</t>
        </is>
      </c>
      <c r="B104" s="29" t="inlineStr">
        <is>
          <t>SUR-08</t>
        </is>
      </c>
      <c r="C104" s="34" t="inlineStr">
        <is>
          <t>P2</t>
        </is>
      </c>
      <c r="D104" s="31" t="inlineStr">
        <is>
          <t>Plastics</t>
        </is>
      </c>
      <c r="E104" s="17" t="inlineStr">
        <is>
          <t>Plastics and reconstructive</t>
        </is>
      </c>
      <c r="F104" s="17" t="inlineStr">
        <is>
          <t>Specialty and cross-cutting</t>
        </is>
      </c>
      <c r="G104" s="29" t="n">
        <v>18</v>
      </c>
      <c r="H104" s="15">
        <f>COUNTIFS('Chart Database'!$B$6:$B$4005,$A104,'Chart Database'!$C$6:$C$4005,"*"&amp;$D104&amp;"*",'Chart Database'!$F$6:$F$4005,"Active")</f>
        <v/>
      </c>
      <c r="I104" s="32">
        <f>IF($G104=0,"NA",H104/$G104)</f>
        <v/>
      </c>
      <c r="J104" s="15">
        <f>$G104-H104</f>
        <v/>
      </c>
      <c r="K104" s="33">
        <f>IF($D104="","",IF(SUMPRODUCT(--($A$5:$A$135=$A104),--($D$5:$D$135&lt;&gt;""),--(ROW($D$5:$D$135)&lt;&gt;ROW()),--(ISNUMBER(SEARCH($D104,$D$5:$D$135))+ISNUMBER(SEARCH($D$5:$D$135&amp;"",$D104))&gt;0))&gt;0,"CLASH — overlaps another name in this specialty","OK"))</f>
        <v/>
      </c>
      <c r="L104" s="23" t="inlineStr"/>
    </row>
    <row r="105" ht="24" customHeight="1">
      <c r="A105" s="23" t="inlineStr">
        <is>
          <t>Surgery</t>
        </is>
      </c>
      <c r="B105" s="29" t="inlineStr">
        <is>
          <t>SUR-09</t>
        </is>
      </c>
      <c r="C105" s="35" t="inlineStr">
        <is>
          <t>P3</t>
        </is>
      </c>
      <c r="D105" s="31" t="inlineStr">
        <is>
          <t>Ophthalmic</t>
        </is>
      </c>
      <c r="E105" s="17" t="inlineStr">
        <is>
          <t>Ophthalmic surgery</t>
        </is>
      </c>
      <c r="F105" s="17" t="inlineStr">
        <is>
          <t>Specialty and cross-cutting</t>
        </is>
      </c>
      <c r="G105" s="29" t="n">
        <v>15</v>
      </c>
      <c r="H105" s="15">
        <f>COUNTIFS('Chart Database'!$B$6:$B$4005,$A105,'Chart Database'!$C$6:$C$4005,"*"&amp;$D105&amp;"*",'Chart Database'!$F$6:$F$4005,"Active")</f>
        <v/>
      </c>
      <c r="I105" s="32">
        <f>IF($G105=0,"NA",H105/$G105)</f>
        <v/>
      </c>
      <c r="J105" s="15">
        <f>$G105-H105</f>
        <v/>
      </c>
      <c r="K105" s="33">
        <f>IF($D105="","",IF(SUMPRODUCT(--($A$5:$A$135=$A105),--($D$5:$D$135&lt;&gt;""),--(ROW($D$5:$D$135)&lt;&gt;ROW()),--(ISNUMBER(SEARCH($D105,$D$5:$D$135))+ISNUMBER(SEARCH($D$5:$D$135&amp;"",$D105))&gt;0))&gt;0,"CLASH — overlaps another name in this specialty","OK"))</f>
        <v/>
      </c>
      <c r="L105" s="23" t="inlineStr"/>
    </row>
    <row r="106" ht="24" customHeight="1">
      <c r="A106" s="23" t="inlineStr">
        <is>
          <t>Surgery</t>
        </is>
      </c>
      <c r="B106" s="29" t="inlineStr">
        <is>
          <t>SUR-10</t>
        </is>
      </c>
      <c r="C106" s="35" t="inlineStr">
        <is>
          <t>P3</t>
        </is>
      </c>
      <c r="D106" s="31" t="inlineStr">
        <is>
          <t>Transplant multi</t>
        </is>
      </c>
      <c r="E106" s="17" t="inlineStr">
        <is>
          <t>Transplant and complex multi-specialty cases</t>
        </is>
      </c>
      <c r="F106" s="17" t="inlineStr">
        <is>
          <t>Specialty and cross-cutting</t>
        </is>
      </c>
      <c r="G106" s="29" t="n">
        <v>12</v>
      </c>
      <c r="H106" s="15">
        <f>COUNTIFS('Chart Database'!$B$6:$B$4005,$A106,'Chart Database'!$C$6:$C$4005,"*"&amp;$D106&amp;"*",'Chart Database'!$F$6:$F$4005,"Active")</f>
        <v/>
      </c>
      <c r="I106" s="32">
        <f>IF($G106=0,"NA",H106/$G106)</f>
        <v/>
      </c>
      <c r="J106" s="15">
        <f>$G106-H106</f>
        <v/>
      </c>
      <c r="K106" s="33">
        <f>IF($D106="","",IF(SUMPRODUCT(--($A$5:$A$135=$A106),--($D$5:$D$135&lt;&gt;""),--(ROW($D$5:$D$135)&lt;&gt;ROW()),--(ISNUMBER(SEARCH($D106,$D$5:$D$135))+ISNUMBER(SEARCH($D$5:$D$135&amp;"",$D106))&gt;0))&gt;0,"CLASH — overlaps another name in this specialty","OK"))</f>
        <v/>
      </c>
      <c r="L106" s="23" t="inlineStr"/>
    </row>
    <row r="107" ht="24" customHeight="1">
      <c r="A107" s="23" t="inlineStr">
        <is>
          <t>Surgery</t>
        </is>
      </c>
      <c r="B107" s="29" t="inlineStr">
        <is>
          <t>SUR-11</t>
        </is>
      </c>
      <c r="C107" s="34" t="inlineStr">
        <is>
          <t>P2</t>
        </is>
      </c>
      <c r="D107" s="31" t="inlineStr">
        <is>
          <t>Global period</t>
        </is>
      </c>
      <c r="E107" s="17" t="inlineStr">
        <is>
          <t>Global period and staged procedure scenarios</t>
        </is>
      </c>
      <c r="F107" s="17" t="inlineStr">
        <is>
          <t>Specialty and cross-cutting</t>
        </is>
      </c>
      <c r="G107" s="29" t="n">
        <v>18</v>
      </c>
      <c r="H107" s="15">
        <f>COUNTIFS('Chart Database'!$B$6:$B$4005,$A107,'Chart Database'!$C$6:$C$4005,"*"&amp;$D107&amp;"*",'Chart Database'!$F$6:$F$4005,"Active")</f>
        <v/>
      </c>
      <c r="I107" s="32">
        <f>IF($G107=0,"NA",H107/$G107)</f>
        <v/>
      </c>
      <c r="J107" s="15">
        <f>$G107-H107</f>
        <v/>
      </c>
      <c r="K107" s="33">
        <f>IF($D107="","",IF(SUMPRODUCT(--($A$5:$A$135=$A107),--($D$5:$D$135&lt;&gt;""),--(ROW($D$5:$D$135)&lt;&gt;ROW()),--(ISNUMBER(SEARCH($D107,$D$5:$D$135))+ISNUMBER(SEARCH($D$5:$D$135&amp;"",$D107))&gt;0))&gt;0,"CLASH — overlaps another name in this specialty","OK"))</f>
        <v/>
      </c>
      <c r="L107" s="23" t="inlineStr"/>
    </row>
    <row r="108" ht="24" customHeight="1">
      <c r="A108" s="23" t="inlineStr">
        <is>
          <t>ED Single Path</t>
        </is>
      </c>
      <c r="B108" s="29" t="inlineStr">
        <is>
          <t>ESP-01</t>
        </is>
      </c>
      <c r="C108" s="34" t="inlineStr">
        <is>
          <t>P2</t>
        </is>
      </c>
      <c r="D108" s="31" t="inlineStr">
        <is>
          <t>SP low acuity</t>
        </is>
      </c>
      <c r="E108" s="17" t="inlineStr">
        <is>
          <t>Low acuity — levels 1–2 both components</t>
        </is>
      </c>
      <c r="F108" s="17" t="inlineStr">
        <is>
          <t>Low acuity</t>
        </is>
      </c>
      <c r="G108" s="29" t="n">
        <v>21</v>
      </c>
      <c r="H108" s="15">
        <f>COUNTIFS('Chart Database'!$B$6:$B$4005,$A108,'Chart Database'!$C$6:$C$4005,"*"&amp;$D108&amp;"*",'Chart Database'!$F$6:$F$4005,"Active")</f>
        <v/>
      </c>
      <c r="I108" s="32">
        <f>IF($G108=0,"NA",H108/$G108)</f>
        <v/>
      </c>
      <c r="J108" s="15">
        <f>$G108-H108</f>
        <v/>
      </c>
      <c r="K108" s="33">
        <f>IF($D108="","",IF(SUMPRODUCT(--($A$5:$A$135=$A108),--($D$5:$D$135&lt;&gt;""),--(ROW($D$5:$D$135)&lt;&gt;ROW()),--(ISNUMBER(SEARCH($D108,$D$5:$D$135))+ISNUMBER(SEARCH($D$5:$D$135&amp;"",$D108))&gt;0))&gt;0,"CLASH — overlaps another name in this specialty","OK"))</f>
        <v/>
      </c>
      <c r="L108" s="23" t="inlineStr"/>
    </row>
    <row r="109" ht="24" customHeight="1">
      <c r="A109" s="23" t="inlineStr">
        <is>
          <t>ED Single Path</t>
        </is>
      </c>
      <c r="B109" s="29" t="inlineStr">
        <is>
          <t>ESP-02</t>
        </is>
      </c>
      <c r="C109" s="34" t="inlineStr">
        <is>
          <t>P2</t>
        </is>
      </c>
      <c r="D109" s="31" t="inlineStr">
        <is>
          <t>SP L3</t>
        </is>
      </c>
      <c r="E109" s="17" t="inlineStr">
        <is>
          <t>Moderate — level 3 both components</t>
        </is>
      </c>
      <c r="F109" s="17" t="inlineStr">
        <is>
          <t>Moderate</t>
        </is>
      </c>
      <c r="G109" s="29" t="n">
        <v>48</v>
      </c>
      <c r="H109" s="15">
        <f>COUNTIFS('Chart Database'!$B$6:$B$4005,$A109,'Chart Database'!$C$6:$C$4005,"*"&amp;$D109&amp;"*",'Chart Database'!$F$6:$F$4005,"Active")</f>
        <v/>
      </c>
      <c r="I109" s="32">
        <f>IF($G109=0,"NA",H109/$G109)</f>
        <v/>
      </c>
      <c r="J109" s="15">
        <f>$G109-H109</f>
        <v/>
      </c>
      <c r="K109" s="33">
        <f>IF($D109="","",IF(SUMPRODUCT(--($A$5:$A$135=$A109),--($D$5:$D$135&lt;&gt;""),--(ROW($D$5:$D$135)&lt;&gt;ROW()),--(ISNUMBER(SEARCH($D109,$D$5:$D$135))+ISNUMBER(SEARCH($D$5:$D$135&amp;"",$D109))&gt;0))&gt;0,"CLASH — overlaps another name in this specialty","OK"))</f>
        <v/>
      </c>
      <c r="L109" s="23" t="inlineStr"/>
    </row>
    <row r="110" ht="24" customHeight="1">
      <c r="A110" s="23" t="inlineStr">
        <is>
          <t>ED Single Path</t>
        </is>
      </c>
      <c r="B110" s="29" t="inlineStr">
        <is>
          <t>ESP-03</t>
        </is>
      </c>
      <c r="C110" s="34" t="inlineStr">
        <is>
          <t>P2</t>
        </is>
      </c>
      <c r="D110" s="31" t="inlineStr">
        <is>
          <t>SP L4</t>
        </is>
      </c>
      <c r="E110" s="17" t="inlineStr">
        <is>
          <t>Level 4 both components</t>
        </is>
      </c>
      <c r="F110" s="17" t="inlineStr">
        <is>
          <t>Level 4</t>
        </is>
      </c>
      <c r="G110" s="29" t="n">
        <v>54</v>
      </c>
      <c r="H110" s="15">
        <f>COUNTIFS('Chart Database'!$B$6:$B$4005,$A110,'Chart Database'!$C$6:$C$4005,"*"&amp;$D110&amp;"*",'Chart Database'!$F$6:$F$4005,"Active")</f>
        <v/>
      </c>
      <c r="I110" s="32">
        <f>IF($G110=0,"NA",H110/$G110)</f>
        <v/>
      </c>
      <c r="J110" s="15">
        <f>$G110-H110</f>
        <v/>
      </c>
      <c r="K110" s="33">
        <f>IF($D110="","",IF(SUMPRODUCT(--($A$5:$A$135=$A110),--($D$5:$D$135&lt;&gt;""),--(ROW($D$5:$D$135)&lt;&gt;ROW()),--(ISNUMBER(SEARCH($D110,$D$5:$D$135))+ISNUMBER(SEARCH($D$5:$D$135&amp;"",$D110))&gt;0))&gt;0,"CLASH — overlaps another name in this specialty","OK"))</f>
        <v/>
      </c>
      <c r="L110" s="23" t="inlineStr"/>
    </row>
    <row r="111" ht="24" customHeight="1">
      <c r="A111" s="23" t="inlineStr">
        <is>
          <t>ED Single Path</t>
        </is>
      </c>
      <c r="B111" s="29" t="inlineStr">
        <is>
          <t>ESP-04</t>
        </is>
      </c>
      <c r="C111" s="34" t="inlineStr">
        <is>
          <t>P2</t>
        </is>
      </c>
      <c r="D111" s="31" t="inlineStr">
        <is>
          <t>SP L5</t>
        </is>
      </c>
      <c r="E111" s="17" t="inlineStr">
        <is>
          <t>Level 5 both components</t>
        </is>
      </c>
      <c r="F111" s="17" t="inlineStr">
        <is>
          <t>Level 5</t>
        </is>
      </c>
      <c r="G111" s="29" t="n">
        <v>63</v>
      </c>
      <c r="H111" s="15">
        <f>COUNTIFS('Chart Database'!$B$6:$B$4005,$A111,'Chart Database'!$C$6:$C$4005,"*"&amp;$D111&amp;"*",'Chart Database'!$F$6:$F$4005,"Active")</f>
        <v/>
      </c>
      <c r="I111" s="32">
        <f>IF($G111=0,"NA",H111/$G111)</f>
        <v/>
      </c>
      <c r="J111" s="15">
        <f>$G111-H111</f>
        <v/>
      </c>
      <c r="K111" s="33">
        <f>IF($D111="","",IF(SUMPRODUCT(--($A$5:$A$135=$A111),--($D$5:$D$135&lt;&gt;""),--(ROW($D$5:$D$135)&lt;&gt;ROW()),--(ISNUMBER(SEARCH($D111,$D$5:$D$135))+ISNUMBER(SEARCH($D$5:$D$135&amp;"",$D111))&gt;0))&gt;0,"CLASH — overlaps another name in this specialty","OK"))</f>
        <v/>
      </c>
      <c r="L111" s="23" t="inlineStr"/>
    </row>
    <row r="112" ht="24" customHeight="1">
      <c r="A112" s="23" t="inlineStr">
        <is>
          <t>ED Single Path</t>
        </is>
      </c>
      <c r="B112" s="29" t="inlineStr">
        <is>
          <t>ESP-05</t>
        </is>
      </c>
      <c r="C112" s="34" t="inlineStr">
        <is>
          <t>P2</t>
        </is>
      </c>
      <c r="D112" s="31" t="inlineStr">
        <is>
          <t>SP critical care</t>
        </is>
      </c>
      <c r="E112" s="17" t="inlineStr">
        <is>
          <t>Critical care — both components</t>
        </is>
      </c>
      <c r="F112" s="17" t="inlineStr">
        <is>
          <t>Critical care</t>
        </is>
      </c>
      <c r="G112" s="29" t="n">
        <v>54</v>
      </c>
      <c r="H112" s="15">
        <f>COUNTIFS('Chart Database'!$B$6:$B$4005,$A112,'Chart Database'!$C$6:$C$4005,"*"&amp;$D112&amp;"*",'Chart Database'!$F$6:$F$4005,"Active")</f>
        <v/>
      </c>
      <c r="I112" s="32">
        <f>IF($G112=0,"NA",H112/$G112)</f>
        <v/>
      </c>
      <c r="J112" s="15">
        <f>$G112-H112</f>
        <v/>
      </c>
      <c r="K112" s="33">
        <f>IF($D112="","",IF(SUMPRODUCT(--($A$5:$A$135=$A112),--($D$5:$D$135&lt;&gt;""),--(ROW($D$5:$D$135)&lt;&gt;ROW()),--(ISNUMBER(SEARCH($D112,$D$5:$D$135))+ISNUMBER(SEARCH($D$5:$D$135&amp;"",$D112))&gt;0))&gt;0,"CLASH — overlaps another name in this specialty","OK"))</f>
        <v/>
      </c>
      <c r="L112" s="23" t="inlineStr"/>
    </row>
    <row r="113" ht="24" customHeight="1">
      <c r="A113" s="23" t="inlineStr">
        <is>
          <t>ED Single Path</t>
        </is>
      </c>
      <c r="B113" s="29" t="inlineStr">
        <is>
          <t>ESP-06</t>
        </is>
      </c>
      <c r="C113" s="34" t="inlineStr">
        <is>
          <t>P2</t>
        </is>
      </c>
      <c r="D113" s="31" t="inlineStr">
        <is>
          <t>SP procedure</t>
        </is>
      </c>
      <c r="E113" s="17" t="inlineStr">
        <is>
          <t>ED procedures across both components</t>
        </is>
      </c>
      <c r="F113" s="17" t="inlineStr">
        <is>
          <t>Cross-cutting</t>
        </is>
      </c>
      <c r="G113" s="29" t="n">
        <v>30</v>
      </c>
      <c r="H113" s="15">
        <f>COUNTIFS('Chart Database'!$B$6:$B$4005,$A113,'Chart Database'!$C$6:$C$4005,"*"&amp;$D113&amp;"*",'Chart Database'!$F$6:$F$4005,"Active")</f>
        <v/>
      </c>
      <c r="I113" s="32">
        <f>IF($G113=0,"NA",H113/$G113)</f>
        <v/>
      </c>
      <c r="J113" s="15">
        <f>$G113-H113</f>
        <v/>
      </c>
      <c r="K113" s="33">
        <f>IF($D113="","",IF(SUMPRODUCT(--($A$5:$A$135=$A113),--($D$5:$D$135&lt;&gt;""),--(ROW($D$5:$D$135)&lt;&gt;ROW()),--(ISNUMBER(SEARCH($D113,$D$5:$D$135))+ISNUMBER(SEARCH($D$5:$D$135&amp;"",$D113))&gt;0))&gt;0,"CLASH — overlaps another name in this specialty","OK"))</f>
        <v/>
      </c>
      <c r="L113" s="23" t="inlineStr"/>
    </row>
    <row r="114" ht="24" customHeight="1">
      <c r="A114" s="23" t="inlineStr">
        <is>
          <t>ED Single Path</t>
        </is>
      </c>
      <c r="B114" s="29" t="inlineStr">
        <is>
          <t>ESP-07</t>
        </is>
      </c>
      <c r="C114" s="34" t="inlineStr">
        <is>
          <t>P2</t>
        </is>
      </c>
      <c r="D114" s="31" t="inlineStr">
        <is>
          <t>SP observation</t>
        </is>
      </c>
      <c r="E114" s="17" t="inlineStr">
        <is>
          <t>Observation and admission decisions</t>
        </is>
      </c>
      <c r="F114" s="17" t="inlineStr">
        <is>
          <t>Cross-cutting</t>
        </is>
      </c>
      <c r="G114" s="29" t="n">
        <v>18</v>
      </c>
      <c r="H114" s="15">
        <f>COUNTIFS('Chart Database'!$B$6:$B$4005,$A114,'Chart Database'!$C$6:$C$4005,"*"&amp;$D114&amp;"*",'Chart Database'!$F$6:$F$4005,"Active")</f>
        <v/>
      </c>
      <c r="I114" s="32">
        <f>IF($G114=0,"NA",H114/$G114)</f>
        <v/>
      </c>
      <c r="J114" s="15">
        <f>$G114-H114</f>
        <v/>
      </c>
      <c r="K114" s="33">
        <f>IF($D114="","",IF(SUMPRODUCT(--($A$5:$A$135=$A114),--($D$5:$D$135&lt;&gt;""),--(ROW($D$5:$D$135)&lt;&gt;ROW()),--(ISNUMBER(SEARCH($D114,$D$5:$D$135))+ISNUMBER(SEARCH($D$5:$D$135&amp;"",$D114))&gt;0))&gt;0,"CLASH — overlaps another name in this specialty","OK"))</f>
        <v/>
      </c>
      <c r="L114" s="23" t="inlineStr"/>
    </row>
    <row r="115" ht="24" customHeight="1">
      <c r="A115" s="23" t="inlineStr">
        <is>
          <t>ED Single Path</t>
        </is>
      </c>
      <c r="B115" s="29" t="inlineStr">
        <is>
          <t>ESP-08</t>
        </is>
      </c>
      <c r="C115" s="35" t="inlineStr">
        <is>
          <t>P3</t>
        </is>
      </c>
      <c r="D115" s="31" t="inlineStr">
        <is>
          <t>SP divergence</t>
        </is>
      </c>
      <c r="E115" s="17" t="inlineStr">
        <is>
          <t>Facility and professional level divergence</t>
        </is>
      </c>
      <c r="F115" s="17" t="inlineStr">
        <is>
          <t>Cross-cutting</t>
        </is>
      </c>
      <c r="G115" s="29" t="n">
        <v>12</v>
      </c>
      <c r="H115" s="15">
        <f>COUNTIFS('Chart Database'!$B$6:$B$4005,$A115,'Chart Database'!$C$6:$C$4005,"*"&amp;$D115&amp;"*",'Chart Database'!$F$6:$F$4005,"Active")</f>
        <v/>
      </c>
      <c r="I115" s="32">
        <f>IF($G115=0,"NA",H115/$G115)</f>
        <v/>
      </c>
      <c r="J115" s="15">
        <f>$G115-H115</f>
        <v/>
      </c>
      <c r="K115" s="33">
        <f>IF($D115="","",IF(SUMPRODUCT(--($A$5:$A$135=$A115),--($D$5:$D$135&lt;&gt;""),--(ROW($D$5:$D$135)&lt;&gt;ROW()),--(ISNUMBER(SEARCH($D115,$D$5:$D$135))+ISNUMBER(SEARCH($D$5:$D$135&amp;"",$D115))&gt;0))&gt;0,"CLASH — overlaps another name in this specialty","OK"))</f>
        <v/>
      </c>
      <c r="L115" s="23" t="inlineStr"/>
    </row>
    <row r="116" ht="22" customHeight="1">
      <c r="A116" s="36" t="n"/>
      <c r="B116" s="33" t="inlineStr">
        <is>
          <t>—</t>
        </is>
      </c>
      <c r="C116" s="37" t="inlineStr">
        <is>
          <t>P2</t>
        </is>
      </c>
      <c r="D116" s="38" t="n"/>
      <c r="E116" s="17" t="inlineStr">
        <is>
          <t>Added by the team — not in the composition taxonomy</t>
        </is>
      </c>
      <c r="F116" s="23" t="n"/>
      <c r="G116" s="39" t="n"/>
      <c r="H116" s="15">
        <f>IF($D116="","",COUNTIFS('Chart Database'!$B$6:$B$4005,$A116,'Chart Database'!$C$6:$C$4005,"*"&amp;$D116&amp;"*",'Chart Database'!$F$6:$F$4005,"Active"))</f>
        <v/>
      </c>
      <c r="I116" s="32">
        <f>IF(OR($D116="",$G116=""),"NA",IF($G116=0,"NA",H116/$G116))</f>
        <v/>
      </c>
      <c r="J116" s="15">
        <f>IF(OR($D116="",$G116=""),"",$G116-H116)</f>
        <v/>
      </c>
      <c r="K116" s="15">
        <f>IF($D116="","",IF(SUMPRODUCT(--($A$5:$A$135=$A116),--($D$5:$D$135&lt;&gt;""),--(ROW($D$5:$D$135)&lt;&gt;ROW()),--(ISNUMBER(SEARCH($D116,$D$5:$D$135))+ISNUMBER(SEARCH($D$5:$D$135&amp;"",$D116))&gt;0))&gt;0,"CLASH — overlaps another name in this specialty","OK"))</f>
        <v/>
      </c>
      <c r="L116" s="23" t="n"/>
    </row>
    <row r="117" ht="22" customHeight="1">
      <c r="A117" s="36" t="n"/>
      <c r="B117" s="33" t="inlineStr">
        <is>
          <t>—</t>
        </is>
      </c>
      <c r="C117" s="37" t="inlineStr">
        <is>
          <t>P2</t>
        </is>
      </c>
      <c r="D117" s="38" t="n"/>
      <c r="E117" s="17" t="inlineStr">
        <is>
          <t>Added by the team — not in the composition taxonomy</t>
        </is>
      </c>
      <c r="F117" s="23" t="n"/>
      <c r="G117" s="39" t="n"/>
      <c r="H117" s="15">
        <f>IF($D117="","",COUNTIFS('Chart Database'!$B$6:$B$4005,$A117,'Chart Database'!$C$6:$C$4005,"*"&amp;$D117&amp;"*",'Chart Database'!$F$6:$F$4005,"Active"))</f>
        <v/>
      </c>
      <c r="I117" s="32">
        <f>IF(OR($D117="",$G117=""),"NA",IF($G117=0,"NA",H117/$G117))</f>
        <v/>
      </c>
      <c r="J117" s="15">
        <f>IF(OR($D117="",$G117=""),"",$G117-H117)</f>
        <v/>
      </c>
      <c r="K117" s="15">
        <f>IF($D117="","",IF(SUMPRODUCT(--($A$5:$A$135=$A117),--($D$5:$D$135&lt;&gt;""),--(ROW($D$5:$D$135)&lt;&gt;ROW()),--(ISNUMBER(SEARCH($D117,$D$5:$D$135))+ISNUMBER(SEARCH($D$5:$D$135&amp;"",$D117))&gt;0))&gt;0,"CLASH — overlaps another name in this specialty","OK"))</f>
        <v/>
      </c>
      <c r="L117" s="23" t="n"/>
    </row>
    <row r="118" ht="22" customHeight="1">
      <c r="A118" s="36" t="n"/>
      <c r="B118" s="33" t="inlineStr">
        <is>
          <t>—</t>
        </is>
      </c>
      <c r="C118" s="37" t="inlineStr">
        <is>
          <t>P2</t>
        </is>
      </c>
      <c r="D118" s="38" t="n"/>
      <c r="E118" s="17" t="inlineStr">
        <is>
          <t>Added by the team — not in the composition taxonomy</t>
        </is>
      </c>
      <c r="F118" s="23" t="n"/>
      <c r="G118" s="39" t="n"/>
      <c r="H118" s="15">
        <f>IF($D118="","",COUNTIFS('Chart Database'!$B$6:$B$4005,$A118,'Chart Database'!$C$6:$C$4005,"*"&amp;$D118&amp;"*",'Chart Database'!$F$6:$F$4005,"Active"))</f>
        <v/>
      </c>
      <c r="I118" s="32">
        <f>IF(OR($D118="",$G118=""),"NA",IF($G118=0,"NA",H118/$G118))</f>
        <v/>
      </c>
      <c r="J118" s="15">
        <f>IF(OR($D118="",$G118=""),"",$G118-H118)</f>
        <v/>
      </c>
      <c r="K118" s="15">
        <f>IF($D118="","",IF(SUMPRODUCT(--($A$5:$A$135=$A118),--($D$5:$D$135&lt;&gt;""),--(ROW($D$5:$D$135)&lt;&gt;ROW()),--(ISNUMBER(SEARCH($D118,$D$5:$D$135))+ISNUMBER(SEARCH($D$5:$D$135&amp;"",$D118))&gt;0))&gt;0,"CLASH — overlaps another name in this specialty","OK"))</f>
        <v/>
      </c>
      <c r="L118" s="23" t="n"/>
    </row>
    <row r="119" ht="22" customHeight="1">
      <c r="A119" s="36" t="n"/>
      <c r="B119" s="33" t="inlineStr">
        <is>
          <t>—</t>
        </is>
      </c>
      <c r="C119" s="37" t="inlineStr">
        <is>
          <t>P2</t>
        </is>
      </c>
      <c r="D119" s="38" t="n"/>
      <c r="E119" s="17" t="inlineStr">
        <is>
          <t>Added by the team — not in the composition taxonomy</t>
        </is>
      </c>
      <c r="F119" s="23" t="n"/>
      <c r="G119" s="39" t="n"/>
      <c r="H119" s="15">
        <f>IF($D119="","",COUNTIFS('Chart Database'!$B$6:$B$4005,$A119,'Chart Database'!$C$6:$C$4005,"*"&amp;$D119&amp;"*",'Chart Database'!$F$6:$F$4005,"Active"))</f>
        <v/>
      </c>
      <c r="I119" s="32">
        <f>IF(OR($D119="",$G119=""),"NA",IF($G119=0,"NA",H119/$G119))</f>
        <v/>
      </c>
      <c r="J119" s="15">
        <f>IF(OR($D119="",$G119=""),"",$G119-H119)</f>
        <v/>
      </c>
      <c r="K119" s="15">
        <f>IF($D119="","",IF(SUMPRODUCT(--($A$5:$A$135=$A119),--($D$5:$D$135&lt;&gt;""),--(ROW($D$5:$D$135)&lt;&gt;ROW()),--(ISNUMBER(SEARCH($D119,$D$5:$D$135))+ISNUMBER(SEARCH($D$5:$D$135&amp;"",$D119))&gt;0))&gt;0,"CLASH — overlaps another name in this specialty","OK"))</f>
        <v/>
      </c>
      <c r="L119" s="23" t="n"/>
    </row>
    <row r="120" ht="22" customHeight="1">
      <c r="A120" s="36" t="n"/>
      <c r="B120" s="33" t="inlineStr">
        <is>
          <t>—</t>
        </is>
      </c>
      <c r="C120" s="37" t="inlineStr">
        <is>
          <t>P2</t>
        </is>
      </c>
      <c r="D120" s="38" t="n"/>
      <c r="E120" s="17" t="inlineStr">
        <is>
          <t>Added by the team — not in the composition taxonomy</t>
        </is>
      </c>
      <c r="F120" s="23" t="n"/>
      <c r="G120" s="39" t="n"/>
      <c r="H120" s="15">
        <f>IF($D120="","",COUNTIFS('Chart Database'!$B$6:$B$4005,$A120,'Chart Database'!$C$6:$C$4005,"*"&amp;$D120&amp;"*",'Chart Database'!$F$6:$F$4005,"Active"))</f>
        <v/>
      </c>
      <c r="I120" s="32">
        <f>IF(OR($D120="",$G120=""),"NA",IF($G120=0,"NA",H120/$G120))</f>
        <v/>
      </c>
      <c r="J120" s="15">
        <f>IF(OR($D120="",$G120=""),"",$G120-H120)</f>
        <v/>
      </c>
      <c r="K120" s="15">
        <f>IF($D120="","",IF(SUMPRODUCT(--($A$5:$A$135=$A120),--($D$5:$D$135&lt;&gt;""),--(ROW($D$5:$D$135)&lt;&gt;ROW()),--(ISNUMBER(SEARCH($D120,$D$5:$D$135))+ISNUMBER(SEARCH($D$5:$D$135&amp;"",$D120))&gt;0))&gt;0,"CLASH — overlaps another name in this specialty","OK"))</f>
        <v/>
      </c>
      <c r="L120" s="23" t="n"/>
    </row>
    <row r="121" ht="22" customHeight="1">
      <c r="A121" s="36" t="n"/>
      <c r="B121" s="33" t="inlineStr">
        <is>
          <t>—</t>
        </is>
      </c>
      <c r="C121" s="37" t="inlineStr">
        <is>
          <t>P2</t>
        </is>
      </c>
      <c r="D121" s="38" t="n"/>
      <c r="E121" s="17" t="inlineStr">
        <is>
          <t>Added by the team — not in the composition taxonomy</t>
        </is>
      </c>
      <c r="F121" s="23" t="n"/>
      <c r="G121" s="39" t="n"/>
      <c r="H121" s="15">
        <f>IF($D121="","",COUNTIFS('Chart Database'!$B$6:$B$4005,$A121,'Chart Database'!$C$6:$C$4005,"*"&amp;$D121&amp;"*",'Chart Database'!$F$6:$F$4005,"Active"))</f>
        <v/>
      </c>
      <c r="I121" s="32">
        <f>IF(OR($D121="",$G121=""),"NA",IF($G121=0,"NA",H121/$G121))</f>
        <v/>
      </c>
      <c r="J121" s="15">
        <f>IF(OR($D121="",$G121=""),"",$G121-H121)</f>
        <v/>
      </c>
      <c r="K121" s="15">
        <f>IF($D121="","",IF(SUMPRODUCT(--($A$5:$A$135=$A121),--($D$5:$D$135&lt;&gt;""),--(ROW($D$5:$D$135)&lt;&gt;ROW()),--(ISNUMBER(SEARCH($D121,$D$5:$D$135))+ISNUMBER(SEARCH($D$5:$D$135&amp;"",$D121))&gt;0))&gt;0,"CLASH — overlaps another name in this specialty","OK"))</f>
        <v/>
      </c>
      <c r="L121" s="23" t="n"/>
    </row>
    <row r="122" ht="22" customHeight="1">
      <c r="A122" s="36" t="n"/>
      <c r="B122" s="33" t="inlineStr">
        <is>
          <t>—</t>
        </is>
      </c>
      <c r="C122" s="37" t="inlineStr">
        <is>
          <t>P2</t>
        </is>
      </c>
      <c r="D122" s="38" t="n"/>
      <c r="E122" s="17" t="inlineStr">
        <is>
          <t>Added by the team — not in the composition taxonomy</t>
        </is>
      </c>
      <c r="F122" s="23" t="n"/>
      <c r="G122" s="39" t="n"/>
      <c r="H122" s="15">
        <f>IF($D122="","",COUNTIFS('Chart Database'!$B$6:$B$4005,$A122,'Chart Database'!$C$6:$C$4005,"*"&amp;$D122&amp;"*",'Chart Database'!$F$6:$F$4005,"Active"))</f>
        <v/>
      </c>
      <c r="I122" s="32">
        <f>IF(OR($D122="",$G122=""),"NA",IF($G122=0,"NA",H122/$G122))</f>
        <v/>
      </c>
      <c r="J122" s="15">
        <f>IF(OR($D122="",$G122=""),"",$G122-H122)</f>
        <v/>
      </c>
      <c r="K122" s="15">
        <f>IF($D122="","",IF(SUMPRODUCT(--($A$5:$A$135=$A122),--($D$5:$D$135&lt;&gt;""),--(ROW($D$5:$D$135)&lt;&gt;ROW()),--(ISNUMBER(SEARCH($D122,$D$5:$D$135))+ISNUMBER(SEARCH($D$5:$D$135&amp;"",$D122))&gt;0))&gt;0,"CLASH — overlaps another name in this specialty","OK"))</f>
        <v/>
      </c>
      <c r="L122" s="23" t="n"/>
    </row>
    <row r="123" ht="22" customHeight="1">
      <c r="A123" s="36" t="n"/>
      <c r="B123" s="33" t="inlineStr">
        <is>
          <t>—</t>
        </is>
      </c>
      <c r="C123" s="37" t="inlineStr">
        <is>
          <t>P2</t>
        </is>
      </c>
      <c r="D123" s="38" t="n"/>
      <c r="E123" s="17" t="inlineStr">
        <is>
          <t>Added by the team — not in the composition taxonomy</t>
        </is>
      </c>
      <c r="F123" s="23" t="n"/>
      <c r="G123" s="39" t="n"/>
      <c r="H123" s="15">
        <f>IF($D123="","",COUNTIFS('Chart Database'!$B$6:$B$4005,$A123,'Chart Database'!$C$6:$C$4005,"*"&amp;$D123&amp;"*",'Chart Database'!$F$6:$F$4005,"Active"))</f>
        <v/>
      </c>
      <c r="I123" s="32">
        <f>IF(OR($D123="",$G123=""),"NA",IF($G123=0,"NA",H123/$G123))</f>
        <v/>
      </c>
      <c r="J123" s="15">
        <f>IF(OR($D123="",$G123=""),"",$G123-H123)</f>
        <v/>
      </c>
      <c r="K123" s="15">
        <f>IF($D123="","",IF(SUMPRODUCT(--($A$5:$A$135=$A123),--($D$5:$D$135&lt;&gt;""),--(ROW($D$5:$D$135)&lt;&gt;ROW()),--(ISNUMBER(SEARCH($D123,$D$5:$D$135))+ISNUMBER(SEARCH($D$5:$D$135&amp;"",$D123))&gt;0))&gt;0,"CLASH — overlaps another name in this specialty","OK"))</f>
        <v/>
      </c>
      <c r="L123" s="23" t="n"/>
    </row>
    <row r="124" ht="22" customHeight="1">
      <c r="A124" s="36" t="n"/>
      <c r="B124" s="33" t="inlineStr">
        <is>
          <t>—</t>
        </is>
      </c>
      <c r="C124" s="37" t="inlineStr">
        <is>
          <t>P2</t>
        </is>
      </c>
      <c r="D124" s="38" t="n"/>
      <c r="E124" s="17" t="inlineStr">
        <is>
          <t>Added by the team — not in the composition taxonomy</t>
        </is>
      </c>
      <c r="F124" s="23" t="n"/>
      <c r="G124" s="39" t="n"/>
      <c r="H124" s="15">
        <f>IF($D124="","",COUNTIFS('Chart Database'!$B$6:$B$4005,$A124,'Chart Database'!$C$6:$C$4005,"*"&amp;$D124&amp;"*",'Chart Database'!$F$6:$F$4005,"Active"))</f>
        <v/>
      </c>
      <c r="I124" s="32">
        <f>IF(OR($D124="",$G124=""),"NA",IF($G124=0,"NA",H124/$G124))</f>
        <v/>
      </c>
      <c r="J124" s="15">
        <f>IF(OR($D124="",$G124=""),"",$G124-H124)</f>
        <v/>
      </c>
      <c r="K124" s="15">
        <f>IF($D124="","",IF(SUMPRODUCT(--($A$5:$A$135=$A124),--($D$5:$D$135&lt;&gt;""),--(ROW($D$5:$D$135)&lt;&gt;ROW()),--(ISNUMBER(SEARCH($D124,$D$5:$D$135))+ISNUMBER(SEARCH($D$5:$D$135&amp;"",$D124))&gt;0))&gt;0,"CLASH — overlaps another name in this specialty","OK"))</f>
        <v/>
      </c>
      <c r="L124" s="23" t="n"/>
    </row>
    <row r="125" ht="22" customHeight="1">
      <c r="A125" s="36" t="n"/>
      <c r="B125" s="33" t="inlineStr">
        <is>
          <t>—</t>
        </is>
      </c>
      <c r="C125" s="37" t="inlineStr">
        <is>
          <t>P2</t>
        </is>
      </c>
      <c r="D125" s="38" t="n"/>
      <c r="E125" s="17" t="inlineStr">
        <is>
          <t>Added by the team — not in the composition taxonomy</t>
        </is>
      </c>
      <c r="F125" s="23" t="n"/>
      <c r="G125" s="39" t="n"/>
      <c r="H125" s="15">
        <f>IF($D125="","",COUNTIFS('Chart Database'!$B$6:$B$4005,$A125,'Chart Database'!$C$6:$C$4005,"*"&amp;$D125&amp;"*",'Chart Database'!$F$6:$F$4005,"Active"))</f>
        <v/>
      </c>
      <c r="I125" s="32">
        <f>IF(OR($D125="",$G125=""),"NA",IF($G125=0,"NA",H125/$G125))</f>
        <v/>
      </c>
      <c r="J125" s="15">
        <f>IF(OR($D125="",$G125=""),"",$G125-H125)</f>
        <v/>
      </c>
      <c r="K125" s="15">
        <f>IF($D125="","",IF(SUMPRODUCT(--($A$5:$A$135=$A125),--($D$5:$D$135&lt;&gt;""),--(ROW($D$5:$D$135)&lt;&gt;ROW()),--(ISNUMBER(SEARCH($D125,$D$5:$D$135))+ISNUMBER(SEARCH($D$5:$D$135&amp;"",$D125))&gt;0))&gt;0,"CLASH — overlaps another name in this specialty","OK"))</f>
        <v/>
      </c>
      <c r="L125" s="23" t="n"/>
    </row>
    <row r="126" ht="22" customHeight="1">
      <c r="A126" s="36" t="n"/>
      <c r="B126" s="33" t="inlineStr">
        <is>
          <t>—</t>
        </is>
      </c>
      <c r="C126" s="37" t="inlineStr">
        <is>
          <t>P2</t>
        </is>
      </c>
      <c r="D126" s="38" t="n"/>
      <c r="E126" s="17" t="inlineStr">
        <is>
          <t>Added by the team — not in the composition taxonomy</t>
        </is>
      </c>
      <c r="F126" s="23" t="n"/>
      <c r="G126" s="39" t="n"/>
      <c r="H126" s="15">
        <f>IF($D126="","",COUNTIFS('Chart Database'!$B$6:$B$4005,$A126,'Chart Database'!$C$6:$C$4005,"*"&amp;$D126&amp;"*",'Chart Database'!$F$6:$F$4005,"Active"))</f>
        <v/>
      </c>
      <c r="I126" s="32">
        <f>IF(OR($D126="",$G126=""),"NA",IF($G126=0,"NA",H126/$G126))</f>
        <v/>
      </c>
      <c r="J126" s="15">
        <f>IF(OR($D126="",$G126=""),"",$G126-H126)</f>
        <v/>
      </c>
      <c r="K126" s="15">
        <f>IF($D126="","",IF(SUMPRODUCT(--($A$5:$A$135=$A126),--($D$5:$D$135&lt;&gt;""),--(ROW($D$5:$D$135)&lt;&gt;ROW()),--(ISNUMBER(SEARCH($D126,$D$5:$D$135))+ISNUMBER(SEARCH($D$5:$D$135&amp;"",$D126))&gt;0))&gt;0,"CLASH — overlaps another name in this specialty","OK"))</f>
        <v/>
      </c>
      <c r="L126" s="23" t="n"/>
    </row>
    <row r="127" ht="22" customHeight="1">
      <c r="A127" s="36" t="n"/>
      <c r="B127" s="33" t="inlineStr">
        <is>
          <t>—</t>
        </is>
      </c>
      <c r="C127" s="37" t="inlineStr">
        <is>
          <t>P2</t>
        </is>
      </c>
      <c r="D127" s="38" t="n"/>
      <c r="E127" s="17" t="inlineStr">
        <is>
          <t>Added by the team — not in the composition taxonomy</t>
        </is>
      </c>
      <c r="F127" s="23" t="n"/>
      <c r="G127" s="39" t="n"/>
      <c r="H127" s="15">
        <f>IF($D127="","",COUNTIFS('Chart Database'!$B$6:$B$4005,$A127,'Chart Database'!$C$6:$C$4005,"*"&amp;$D127&amp;"*",'Chart Database'!$F$6:$F$4005,"Active"))</f>
        <v/>
      </c>
      <c r="I127" s="32">
        <f>IF(OR($D127="",$G127=""),"NA",IF($G127=0,"NA",H127/$G127))</f>
        <v/>
      </c>
      <c r="J127" s="15">
        <f>IF(OR($D127="",$G127=""),"",$G127-H127)</f>
        <v/>
      </c>
      <c r="K127" s="15">
        <f>IF($D127="","",IF(SUMPRODUCT(--($A$5:$A$135=$A127),--($D$5:$D$135&lt;&gt;""),--(ROW($D$5:$D$135)&lt;&gt;ROW()),--(ISNUMBER(SEARCH($D127,$D$5:$D$135))+ISNUMBER(SEARCH($D$5:$D$135&amp;"",$D127))&gt;0))&gt;0,"CLASH — overlaps another name in this specialty","OK"))</f>
        <v/>
      </c>
      <c r="L127" s="23" t="n"/>
    </row>
    <row r="128" ht="22" customHeight="1">
      <c r="A128" s="36" t="n"/>
      <c r="B128" s="33" t="inlineStr">
        <is>
          <t>—</t>
        </is>
      </c>
      <c r="C128" s="37" t="inlineStr">
        <is>
          <t>P2</t>
        </is>
      </c>
      <c r="D128" s="38" t="n"/>
      <c r="E128" s="17" t="inlineStr">
        <is>
          <t>Added by the team — not in the composition taxonomy</t>
        </is>
      </c>
      <c r="F128" s="23" t="n"/>
      <c r="G128" s="39" t="n"/>
      <c r="H128" s="15">
        <f>IF($D128="","",COUNTIFS('Chart Database'!$B$6:$B$4005,$A128,'Chart Database'!$C$6:$C$4005,"*"&amp;$D128&amp;"*",'Chart Database'!$F$6:$F$4005,"Active"))</f>
        <v/>
      </c>
      <c r="I128" s="32">
        <f>IF(OR($D128="",$G128=""),"NA",IF($G128=0,"NA",H128/$G128))</f>
        <v/>
      </c>
      <c r="J128" s="15">
        <f>IF(OR($D128="",$G128=""),"",$G128-H128)</f>
        <v/>
      </c>
      <c r="K128" s="15">
        <f>IF($D128="","",IF(SUMPRODUCT(--($A$5:$A$135=$A128),--($D$5:$D$135&lt;&gt;""),--(ROW($D$5:$D$135)&lt;&gt;ROW()),--(ISNUMBER(SEARCH($D128,$D$5:$D$135))+ISNUMBER(SEARCH($D$5:$D$135&amp;"",$D128))&gt;0))&gt;0,"CLASH — overlaps another name in this specialty","OK"))</f>
        <v/>
      </c>
      <c r="L128" s="23" t="n"/>
    </row>
    <row r="129" ht="22" customHeight="1">
      <c r="A129" s="36" t="n"/>
      <c r="B129" s="33" t="inlineStr">
        <is>
          <t>—</t>
        </is>
      </c>
      <c r="C129" s="37" t="inlineStr">
        <is>
          <t>P2</t>
        </is>
      </c>
      <c r="D129" s="38" t="n"/>
      <c r="E129" s="17" t="inlineStr">
        <is>
          <t>Added by the team — not in the composition taxonomy</t>
        </is>
      </c>
      <c r="F129" s="23" t="n"/>
      <c r="G129" s="39" t="n"/>
      <c r="H129" s="15">
        <f>IF($D129="","",COUNTIFS('Chart Database'!$B$6:$B$4005,$A129,'Chart Database'!$C$6:$C$4005,"*"&amp;$D129&amp;"*",'Chart Database'!$F$6:$F$4005,"Active"))</f>
        <v/>
      </c>
      <c r="I129" s="32">
        <f>IF(OR($D129="",$G129=""),"NA",IF($G129=0,"NA",H129/$G129))</f>
        <v/>
      </c>
      <c r="J129" s="15">
        <f>IF(OR($D129="",$G129=""),"",$G129-H129)</f>
        <v/>
      </c>
      <c r="K129" s="15">
        <f>IF($D129="","",IF(SUMPRODUCT(--($A$5:$A$135=$A129),--($D$5:$D$135&lt;&gt;""),--(ROW($D$5:$D$135)&lt;&gt;ROW()),--(ISNUMBER(SEARCH($D129,$D$5:$D$135))+ISNUMBER(SEARCH($D$5:$D$135&amp;"",$D129))&gt;0))&gt;0,"CLASH — overlaps another name in this specialty","OK"))</f>
        <v/>
      </c>
      <c r="L129" s="23" t="n"/>
    </row>
    <row r="130" ht="22" customHeight="1">
      <c r="A130" s="36" t="n"/>
      <c r="B130" s="33" t="inlineStr">
        <is>
          <t>—</t>
        </is>
      </c>
      <c r="C130" s="37" t="inlineStr">
        <is>
          <t>P2</t>
        </is>
      </c>
      <c r="D130" s="38" t="n"/>
      <c r="E130" s="17" t="inlineStr">
        <is>
          <t>Added by the team — not in the composition taxonomy</t>
        </is>
      </c>
      <c r="F130" s="23" t="n"/>
      <c r="G130" s="39" t="n"/>
      <c r="H130" s="15">
        <f>IF($D130="","",COUNTIFS('Chart Database'!$B$6:$B$4005,$A130,'Chart Database'!$C$6:$C$4005,"*"&amp;$D130&amp;"*",'Chart Database'!$F$6:$F$4005,"Active"))</f>
        <v/>
      </c>
      <c r="I130" s="32">
        <f>IF(OR($D130="",$G130=""),"NA",IF($G130=0,"NA",H130/$G130))</f>
        <v/>
      </c>
      <c r="J130" s="15">
        <f>IF(OR($D130="",$G130=""),"",$G130-H130)</f>
        <v/>
      </c>
      <c r="K130" s="15">
        <f>IF($D130="","",IF(SUMPRODUCT(--($A$5:$A$135=$A130),--($D$5:$D$135&lt;&gt;""),--(ROW($D$5:$D$135)&lt;&gt;ROW()),--(ISNUMBER(SEARCH($D130,$D$5:$D$135))+ISNUMBER(SEARCH($D$5:$D$135&amp;"",$D130))&gt;0))&gt;0,"CLASH — overlaps another name in this specialty","OK"))</f>
        <v/>
      </c>
      <c r="L130" s="23" t="n"/>
    </row>
    <row r="131" ht="22" customHeight="1">
      <c r="A131" s="36" t="n"/>
      <c r="B131" s="33" t="inlineStr">
        <is>
          <t>—</t>
        </is>
      </c>
      <c r="C131" s="37" t="inlineStr">
        <is>
          <t>P2</t>
        </is>
      </c>
      <c r="D131" s="38" t="n"/>
      <c r="E131" s="17" t="inlineStr">
        <is>
          <t>Added by the team — not in the composition taxonomy</t>
        </is>
      </c>
      <c r="F131" s="23" t="n"/>
      <c r="G131" s="39" t="n"/>
      <c r="H131" s="15">
        <f>IF($D131="","",COUNTIFS('Chart Database'!$B$6:$B$4005,$A131,'Chart Database'!$C$6:$C$4005,"*"&amp;$D131&amp;"*",'Chart Database'!$F$6:$F$4005,"Active"))</f>
        <v/>
      </c>
      <c r="I131" s="32">
        <f>IF(OR($D131="",$G131=""),"NA",IF($G131=0,"NA",H131/$G131))</f>
        <v/>
      </c>
      <c r="J131" s="15">
        <f>IF(OR($D131="",$G131=""),"",$G131-H131)</f>
        <v/>
      </c>
      <c r="K131" s="15">
        <f>IF($D131="","",IF(SUMPRODUCT(--($A$5:$A$135=$A131),--($D$5:$D$135&lt;&gt;""),--(ROW($D$5:$D$135)&lt;&gt;ROW()),--(ISNUMBER(SEARCH($D131,$D$5:$D$135))+ISNUMBER(SEARCH($D$5:$D$135&amp;"",$D131))&gt;0))&gt;0,"CLASH — overlaps another name in this specialty","OK"))</f>
        <v/>
      </c>
      <c r="L131" s="23" t="n"/>
    </row>
    <row r="132" ht="22" customHeight="1">
      <c r="A132" s="36" t="n"/>
      <c r="B132" s="33" t="inlineStr">
        <is>
          <t>—</t>
        </is>
      </c>
      <c r="C132" s="37" t="inlineStr">
        <is>
          <t>P2</t>
        </is>
      </c>
      <c r="D132" s="38" t="n"/>
      <c r="E132" s="17" t="inlineStr">
        <is>
          <t>Added by the team — not in the composition taxonomy</t>
        </is>
      </c>
      <c r="F132" s="23" t="n"/>
      <c r="G132" s="39" t="n"/>
      <c r="H132" s="15">
        <f>IF($D132="","",COUNTIFS('Chart Database'!$B$6:$B$4005,$A132,'Chart Database'!$C$6:$C$4005,"*"&amp;$D132&amp;"*",'Chart Database'!$F$6:$F$4005,"Active"))</f>
        <v/>
      </c>
      <c r="I132" s="32">
        <f>IF(OR($D132="",$G132=""),"NA",IF($G132=0,"NA",H132/$G132))</f>
        <v/>
      </c>
      <c r="J132" s="15">
        <f>IF(OR($D132="",$G132=""),"",$G132-H132)</f>
        <v/>
      </c>
      <c r="K132" s="15">
        <f>IF($D132="","",IF(SUMPRODUCT(--($A$5:$A$135=$A132),--($D$5:$D$135&lt;&gt;""),--(ROW($D$5:$D$135)&lt;&gt;ROW()),--(ISNUMBER(SEARCH($D132,$D$5:$D$135))+ISNUMBER(SEARCH($D$5:$D$135&amp;"",$D132))&gt;0))&gt;0,"CLASH — overlaps another name in this specialty","OK"))</f>
        <v/>
      </c>
      <c r="L132" s="23" t="n"/>
    </row>
    <row r="133" ht="22" customHeight="1">
      <c r="A133" s="36" t="n"/>
      <c r="B133" s="33" t="inlineStr">
        <is>
          <t>—</t>
        </is>
      </c>
      <c r="C133" s="37" t="inlineStr">
        <is>
          <t>P2</t>
        </is>
      </c>
      <c r="D133" s="38" t="n"/>
      <c r="E133" s="17" t="inlineStr">
        <is>
          <t>Added by the team — not in the composition taxonomy</t>
        </is>
      </c>
      <c r="F133" s="23" t="n"/>
      <c r="G133" s="39" t="n"/>
      <c r="H133" s="15">
        <f>IF($D133="","",COUNTIFS('Chart Database'!$B$6:$B$4005,$A133,'Chart Database'!$C$6:$C$4005,"*"&amp;$D133&amp;"*",'Chart Database'!$F$6:$F$4005,"Active"))</f>
        <v/>
      </c>
      <c r="I133" s="32">
        <f>IF(OR($D133="",$G133=""),"NA",IF($G133=0,"NA",H133/$G133))</f>
        <v/>
      </c>
      <c r="J133" s="15">
        <f>IF(OR($D133="",$G133=""),"",$G133-H133)</f>
        <v/>
      </c>
      <c r="K133" s="15">
        <f>IF($D133="","",IF(SUMPRODUCT(--($A$5:$A$135=$A133),--($D$5:$D$135&lt;&gt;""),--(ROW($D$5:$D$135)&lt;&gt;ROW()),--(ISNUMBER(SEARCH($D133,$D$5:$D$135))+ISNUMBER(SEARCH($D$5:$D$135&amp;"",$D133))&gt;0))&gt;0,"CLASH — overlaps another name in this specialty","OK"))</f>
        <v/>
      </c>
      <c r="L133" s="23" t="n"/>
    </row>
    <row r="134" ht="22" customHeight="1">
      <c r="A134" s="36" t="n"/>
      <c r="B134" s="33" t="inlineStr">
        <is>
          <t>—</t>
        </is>
      </c>
      <c r="C134" s="37" t="inlineStr">
        <is>
          <t>P2</t>
        </is>
      </c>
      <c r="D134" s="38" t="n"/>
      <c r="E134" s="17" t="inlineStr">
        <is>
          <t>Added by the team — not in the composition taxonomy</t>
        </is>
      </c>
      <c r="F134" s="23" t="n"/>
      <c r="G134" s="39" t="n"/>
      <c r="H134" s="15">
        <f>IF($D134="","",COUNTIFS('Chart Database'!$B$6:$B$4005,$A134,'Chart Database'!$C$6:$C$4005,"*"&amp;$D134&amp;"*",'Chart Database'!$F$6:$F$4005,"Active"))</f>
        <v/>
      </c>
      <c r="I134" s="32">
        <f>IF(OR($D134="",$G134=""),"NA",IF($G134=0,"NA",H134/$G134))</f>
        <v/>
      </c>
      <c r="J134" s="15">
        <f>IF(OR($D134="",$G134=""),"",$G134-H134)</f>
        <v/>
      </c>
      <c r="K134" s="15">
        <f>IF($D134="","",IF(SUMPRODUCT(--($A$5:$A$135=$A134),--($D$5:$D$135&lt;&gt;""),--(ROW($D$5:$D$135)&lt;&gt;ROW()),--(ISNUMBER(SEARCH($D134,$D$5:$D$135))+ISNUMBER(SEARCH($D$5:$D$135&amp;"",$D134))&gt;0))&gt;0,"CLASH — overlaps another name in this specialty","OK"))</f>
        <v/>
      </c>
      <c r="L134" s="23" t="n"/>
    </row>
    <row r="135" ht="22" customHeight="1">
      <c r="A135" s="36" t="n"/>
      <c r="B135" s="33" t="inlineStr">
        <is>
          <t>—</t>
        </is>
      </c>
      <c r="C135" s="37" t="inlineStr">
        <is>
          <t>P2</t>
        </is>
      </c>
      <c r="D135" s="38" t="n"/>
      <c r="E135" s="17" t="inlineStr">
        <is>
          <t>Added by the team — not in the composition taxonomy</t>
        </is>
      </c>
      <c r="F135" s="23" t="n"/>
      <c r="G135" s="39" t="n"/>
      <c r="H135" s="15">
        <f>IF($D135="","",COUNTIFS('Chart Database'!$B$6:$B$4005,$A135,'Chart Database'!$C$6:$C$4005,"*"&amp;$D135&amp;"*",'Chart Database'!$F$6:$F$4005,"Active"))</f>
        <v/>
      </c>
      <c r="I135" s="32">
        <f>IF(OR($D135="",$G135=""),"NA",IF($G135=0,"NA",H135/$G135))</f>
        <v/>
      </c>
      <c r="J135" s="15">
        <f>IF(OR($D135="",$G135=""),"",$G135-H135)</f>
        <v/>
      </c>
      <c r="K135" s="15">
        <f>IF($D135="","",IF(SUMPRODUCT(--($A$5:$A$135=$A135),--($D$5:$D$135&lt;&gt;""),--(ROW($D$5:$D$135)&lt;&gt;ROW()),--(ISNUMBER(SEARCH($D135,$D$5:$D$135))+ISNUMBER(SEARCH($D$5:$D$135&amp;"",$D135))&gt;0))&gt;0,"CLASH — overlaps another name in this specialty","OK"))</f>
        <v/>
      </c>
      <c r="L135" s="23" t="n"/>
    </row>
    <row r="136">
      <c r="A136" s="40" t="inlineStr">
        <is>
          <t>TOTAL</t>
        </is>
      </c>
      <c r="B136" s="41" t="n"/>
      <c r="C136" s="41" t="n"/>
      <c r="D136" s="41" t="n"/>
      <c r="E136" s="41" t="n"/>
      <c r="F136" s="41" t="n"/>
      <c r="G136" s="42">
        <f>SUM(G5:G135)</f>
        <v/>
      </c>
      <c r="H136" s="42">
        <f>SUM(H5:H135)</f>
        <v/>
      </c>
      <c r="I136" s="43">
        <f>IF(G136=0,"NA",H136/G136)</f>
        <v/>
      </c>
      <c r="J136" s="42">
        <f>G136-H136</f>
        <v/>
      </c>
      <c r="K136" s="42">
        <f>COUNTIF(K5:K135,"CLASH*")&amp;" name clash(es)"</f>
        <v/>
      </c>
      <c r="L136" s="41" t="n"/>
    </row>
    <row r="138" ht="26" customHeight="1">
      <c r="A138" s="18" t="inlineStr">
        <is>
          <t>In pool now counts ACTIVE charts whose category contains this short name, which is how the application matches. A chart filed as "Sepsis, Renal" counts under both Sepsis and Renal — correctly, because it teaches both.</t>
        </is>
      </c>
    </row>
    <row r="139" ht="26" customHeight="1">
      <c r="A139" s="44" t="inlineStr">
        <is>
          <t>A consequence worth knowing: the In pool column can sum to more than the number of charts, because a multi-topic chart is counted under each topic it carries. Use Specialty Overview for a headcount of charts and this sheet for coverage of topics.</t>
        </is>
      </c>
    </row>
    <row r="140" ht="39" customHeight="1">
      <c r="A140" s="45" t="inlineStr">
        <is>
          <t>THE LAST 20 ROWS ARE YOURS. To track a topic the taxonomy does not have, type its specialty and a short name in the shaded cells; a target is optional and the coverage columns read NA without one. The name is counted from that moment, and the Leader Dashboard stops reporting charts carrying it as unrecognised.</t>
        </is>
      </c>
    </row>
    <row r="141" ht="39" customHeight="1">
      <c r="A141" s="19" t="inlineStr">
        <is>
          <t>Name check is the one guard that cannot be skipped. Because the application matches by substring, a name that contains or sits inside another name in the same specialty makes both counts wrong — "Respiratory" would pick up every "Respiratory surgical" chart. Pick a name that reads CLASH again until it reads OK.</t>
        </is>
      </c>
    </row>
    <row r="142" ht="39" customHeight="1">
      <c r="A142" s="18" t="inlineStr">
        <is>
          <t>A topic added here has no place in the composition taxonomy, so it carries no weight and no agreed target. If it turns out to be permanent, it belongs in that workbook properly — which means taking its share of charts from a sibling topic, since the weights must still sum to the HC parent percentage.</t>
        </is>
      </c>
    </row>
  </sheetData>
  <autoFilter ref="A4:L135"/>
  <mergeCells count="7">
    <mergeCell ref="A139:L139"/>
    <mergeCell ref="A2:L2"/>
    <mergeCell ref="A142:L142"/>
    <mergeCell ref="A138:L138"/>
    <mergeCell ref="A1:L1"/>
    <mergeCell ref="A141:L141"/>
    <mergeCell ref="A140:L140"/>
  </mergeCells>
  <conditionalFormatting sqref="A5:K135">
    <cfRule type="expression" priority="1" dxfId="4">
      <formula>MOD(ROW(),2)=0</formula>
    </cfRule>
  </conditionalFormatting>
  <conditionalFormatting sqref="I5:I135">
    <cfRule type="dataBar" priority="2">
      <dataBar showValue="1">
        <cfvo type="num" val="0"/>
        <cfvo type="num" val="1"/>
        <color rgb="002E75B6"/>
      </dataBar>
    </cfRule>
  </conditionalFormatting>
  <conditionalFormatting sqref="H5:H135">
    <cfRule type="cellIs" priority="3" operator="equal" dxfId="3">
      <formula>0</formula>
    </cfRule>
  </conditionalFormatting>
  <conditionalFormatting sqref="K5:K135">
    <cfRule type="expression" priority="4" dxfId="8">
      <formula>LEFT($K5,5)="CLASH"</formula>
    </cfRule>
  </conditionalFormatting>
  <conditionalFormatting sqref="A116:A135">
    <cfRule type="expression" priority="5" dxfId="9">
      <formula>$D116&lt;&gt;""</formula>
    </cfRule>
  </conditionalFormatting>
  <pageMargins left="0.75" right="0.75" top="1" bottom="1" header="0.5" footer="0.5"/>
</worksheet>
</file>

<file path=xl/worksheets/sheet5.xml><?xml version="1.0" encoding="utf-8"?>
<worksheet xmlns="http://schemas.openxmlformats.org/spreadsheetml/2006/main">
  <sheetPr>
    <tabColor rgb="009C6500"/>
    <outlinePr summaryBelow="1" summaryRight="1"/>
    <pageSetUpPr/>
  </sheetPr>
  <dimension ref="A1:D28"/>
  <sheetViews>
    <sheetView showGridLines="0" zoomScale="90" workbookViewId="0">
      <selection activeCell="A1" sqref="A1"/>
    </sheetView>
  </sheetViews>
  <sheetFormatPr baseColWidth="8" defaultRowHeight="15"/>
  <cols>
    <col width="26" customWidth="1" min="1" max="1"/>
    <col width="20" customWidth="1" min="2" max="2"/>
    <col width="4" customWidth="1" min="3" max="3"/>
    <col width="62" customWidth="1" min="4" max="4"/>
  </cols>
  <sheetData>
    <row r="1" ht="26" customHeight="1">
      <c r="A1" s="1" t="inlineStr">
        <is>
          <t>Assignment Builder</t>
        </is>
      </c>
    </row>
    <row r="2">
      <c r="A2" s="2" t="inlineStr">
        <is>
          <t>Set the filters, read the count, then filter the Chart Database by its last column. Nothing to write.</t>
        </is>
      </c>
    </row>
    <row r="3" ht="3" customHeight="1">
      <c r="A3" s="3" t="n"/>
      <c r="B3" s="3" t="n"/>
      <c r="C3" s="3" t="n"/>
      <c r="D3" s="3" t="n"/>
    </row>
    <row r="4" ht="20" customHeight="1">
      <c r="A4" s="7" t="inlineStr">
        <is>
          <t xml:space="preserve">  FILTERS  —  leave a cell blank to ignore it</t>
        </is>
      </c>
    </row>
    <row r="5" ht="16" customHeight="1">
      <c r="A5" s="46" t="inlineStr">
        <is>
          <t>Specialty</t>
        </is>
      </c>
      <c r="B5" s="39" t="n"/>
      <c r="D5" s="47" t="inlineStr">
        <is>
          <t>Blank means every specialty.</t>
        </is>
      </c>
    </row>
    <row r="6" ht="24" customHeight="1">
      <c r="A6" s="46" t="inlineStr">
        <is>
          <t>Category contains</t>
        </is>
      </c>
      <c r="B6" s="39" t="n"/>
      <c r="D6" s="47" t="inlineStr">
        <is>
          <t>A short name from the Category Dictionary, e.g. Sepsis. Matches charts carrying it among several, exactly as the app does.</t>
        </is>
      </c>
    </row>
    <row r="7" ht="16" customHeight="1">
      <c r="A7" s="46" t="inlineStr">
        <is>
          <t>Build priority</t>
        </is>
      </c>
      <c r="B7" s="39" t="n"/>
      <c r="D7" s="47" t="inlineStr">
        <is>
          <t>P1 to P4. For a cohort that should meet the foundation topics first.</t>
        </is>
      </c>
    </row>
    <row r="8" ht="16" customHeight="1">
      <c r="A8" s="46" t="inlineStr">
        <is>
          <t>Difficulty</t>
        </is>
      </c>
      <c r="B8" s="39" t="n"/>
      <c r="D8" s="47" t="inlineStr">
        <is>
          <t>Beginner, Intermediate or Advanced.</t>
        </is>
      </c>
    </row>
    <row r="9" ht="16" customHeight="1">
      <c r="A9" s="46" t="inlineStr">
        <is>
          <t>Status</t>
        </is>
      </c>
      <c r="B9" s="39" t="inlineStr">
        <is>
          <t>Active</t>
        </is>
      </c>
      <c r="D9" s="47" t="inlineStr">
        <is>
          <t>Active unless you are deliberately reviewing retired charts.</t>
        </is>
      </c>
    </row>
    <row r="10" ht="24" customHeight="1">
      <c r="A10" s="46" t="inlineStr">
        <is>
          <t>Answer key required</t>
        </is>
      </c>
      <c r="B10" s="39" t="inlineStr">
        <is>
          <t>Yes</t>
        </is>
      </c>
      <c r="D10" s="47" t="inlineStr">
        <is>
          <t>Yes keeps only charts that can be graded. Blank is how an ungradeable chart reaches a batch.</t>
        </is>
      </c>
    </row>
    <row r="11" ht="16" customHeight="1">
      <c r="A11" s="46" t="inlineStr">
        <is>
          <t>Uploaded on or after</t>
        </is>
      </c>
      <c r="B11" s="48" t="n"/>
      <c r="D11" s="47" t="inlineStr">
        <is>
          <t>A date. Use to assign only recently refreshed material.</t>
        </is>
      </c>
    </row>
    <row r="12" ht="16" customHeight="1">
      <c r="A12" s="46" t="inlineStr">
        <is>
          <t>Max times already assigned</t>
        </is>
      </c>
      <c r="B12" s="39" t="n"/>
      <c r="D12" s="47" t="inlineStr">
        <is>
          <t>A number. 0 finds charts nobody has had yet. Blank ignores usage.</t>
        </is>
      </c>
    </row>
    <row r="14" ht="20" customHeight="1">
      <c r="A14" s="7" t="inlineStr">
        <is>
          <t xml:space="preserve">  RESULT</t>
        </is>
      </c>
    </row>
    <row r="15" ht="20" customHeight="1">
      <c r="A15" s="8" t="inlineStr">
        <is>
          <t>Charts matching</t>
        </is>
      </c>
      <c r="B15" s="9">
        <f>COUNTIF('Chart Database'!$S$6:$S$4005,TRUE)</f>
        <v/>
      </c>
      <c r="C15" s="49" t="n"/>
      <c r="D15" s="10" t="inlineStr">
        <is>
          <t>How many charts in the pool satisfy every filter set above.</t>
        </is>
      </c>
    </row>
    <row r="16" ht="20" customHeight="1">
      <c r="A16" s="8" t="inlineStr">
        <is>
          <t>of which never assigned</t>
        </is>
      </c>
      <c r="B16" s="9">
        <f>COUNTIFS('Chart Database'!$S$6:$S$4005,TRUE,'Chart Database'!$Q$6:$Q$4005,0)</f>
        <v/>
      </c>
      <c r="C16" s="49" t="n"/>
      <c r="D16" s="10" t="inlineStr">
        <is>
          <t>Unseen charts — what an assessment or a post-QIP reassessment needs.</t>
        </is>
      </c>
    </row>
    <row r="17" ht="24" customHeight="1">
      <c r="A17" s="8" t="inlineStr">
        <is>
          <t>Distinct topics covered</t>
        </is>
      </c>
      <c r="B17" s="9">
        <f>SUMPRODUCT(--(COUNTIFS('Chart Database'!$S$6:$S$4005,TRUE,'Chart Database'!$C$6:$C$4005,"*"&amp;'Category Dictionary'!$D$5:$D$135&amp;"*")&gt;0))</f>
        <v/>
      </c>
      <c r="C17" s="49" t="n"/>
      <c r="D17" s="10" t="inlineStr">
        <is>
          <t>How many of the 111 topics the matching set touches. A batch drawn from one topic trains one thing.</t>
        </is>
      </c>
    </row>
    <row r="19" ht="20" customHeight="1">
      <c r="A19" s="7" t="inlineStr">
        <is>
          <t xml:space="preserve">  HOW TO GET THE LIST</t>
        </is>
      </c>
    </row>
    <row r="20" ht="17" customHeight="1">
      <c r="A20" s="5" t="inlineStr">
        <is>
          <t>1.   Set the filters above. Only the cells you fill narrow the result.</t>
        </is>
      </c>
    </row>
    <row r="21" ht="17" customHeight="1">
      <c r="A21" s="5" t="inlineStr">
        <is>
          <t>2.   Open Chart Database. Use the filter arrow on the last column, Matches filter, and tick TRUE.</t>
        </is>
      </c>
    </row>
    <row r="22" ht="17" customHeight="1">
      <c r="A22" s="5" t="inlineStr">
        <is>
          <t>3.   The visible rows are the assignment set. Copy the chart_number column into the batch.</t>
        </is>
      </c>
    </row>
    <row r="23" ht="17" customHeight="1">
      <c r="A23" s="5" t="inlineStr">
        <is>
          <t>4.   In the app, type the short name into the category filter — the same text you used in step 1.</t>
        </is>
      </c>
    </row>
    <row r="24" ht="17" customHeight="1">
      <c r="A24" s="5" t="inlineStr">
        <is>
          <t>5.   Afterwards add 1 to Times assigned on those rows and set Last assigned. That is what keeps 'never assigned' honest.</t>
        </is>
      </c>
    </row>
    <row r="26" ht="26" customHeight="1">
      <c r="A26" s="18" t="inlineStr">
        <is>
          <t>The count is live, so widen a filter until the number is workable rather than guessing. A count of zero means the pool cannot serve that request, which is itself the answer and the gap to take to sourcing.</t>
        </is>
      </c>
    </row>
    <row r="27" ht="26" customHeight="1">
      <c r="A27" s="18" t="inlineStr">
        <is>
          <t>Category contains uses the same substring match the application uses, so a chart filed as "Sepsis, AKI" is found by a filter of either. That is why the short names are guaranteed never to contain one another — otherwise one topic's set would quietly include another's.</t>
        </is>
      </c>
    </row>
    <row r="28" ht="26" customHeight="1">
      <c r="A28" s="18" t="inlineStr">
        <is>
          <t>Why a filter column and not a list that writes itself: a self-populating list needs the dynamic array functions only recent Excel has, and this file goes round a team on whatever version they run. The filter arrow works everywhere.</t>
        </is>
      </c>
    </row>
  </sheetData>
  <mergeCells count="13">
    <mergeCell ref="A1:D1"/>
    <mergeCell ref="A23:D23"/>
    <mergeCell ref="A27:D27"/>
    <mergeCell ref="A22:D22"/>
    <mergeCell ref="A4:D4"/>
    <mergeCell ref="A20:D20"/>
    <mergeCell ref="A21:D21"/>
    <mergeCell ref="A26:D26"/>
    <mergeCell ref="A24:D24"/>
    <mergeCell ref="A19:D19"/>
    <mergeCell ref="A2:D2"/>
    <mergeCell ref="A28:D28"/>
    <mergeCell ref="A14:D14"/>
  </mergeCells>
  <conditionalFormatting sqref="B15">
    <cfRule type="cellIs" priority="1" operator="equal" dxfId="0">
      <formula>0</formula>
    </cfRule>
    <cfRule type="cellIs" priority="2" operator="greaterThan" dxfId="1">
      <formula>0</formula>
    </cfRule>
  </conditionalFormatting>
  <dataValidations count="5">
    <dataValidation sqref="B5" showDropDown="0" showInputMessage="0" showErrorMessage="0" allowBlank="1" errorTitle="Not on the list" error="Pick a value from the list, or leave blank to ignore this filter." type="list">
      <formula1>=Lists!$A$5:$A$11</formula1>
    </dataValidation>
    <dataValidation sqref="B7" showDropDown="0" showInputMessage="0" showErrorMessage="0" allowBlank="1" errorTitle="Not on the list" error="Pick a value from the list, or leave blank to ignore this filter." type="list">
      <formula1>=Lists!$D$5:$D$8</formula1>
    </dataValidation>
    <dataValidation sqref="B8" showDropDown="0" showInputMessage="0" showErrorMessage="0" allowBlank="1" errorTitle="Not on the list" error="Pick a value from the list, or leave blank to ignore this filter." type="list">
      <formula1>=Lists!$B$5:$B$7</formula1>
    </dataValidation>
    <dataValidation sqref="B9" showDropDown="0" showInputMessage="0" showErrorMessage="0" allowBlank="1" errorTitle="Not on the list" error="Pick a value from the list, or leave blank to ignore this filter." type="list">
      <formula1>=Lists!$C$5:$C$6</formula1>
    </dataValidation>
    <dataValidation sqref="B10" showDropDown="0" showInputMessage="0" showErrorMessage="0" allowBlank="1" errorTitle="Not on the list" error="Pick a value from the list, or leave blank to ignore this filter." type="list">
      <formula1>=Lists!$E$5:$E$6</formula1>
    </dataValidation>
  </dataValidations>
  <pageMargins left="0.75" right="0.75" top="1" bottom="1" header="0.5" footer="0.5"/>
</worksheet>
</file>

<file path=xl/worksheets/sheet6.xml><?xml version="1.0" encoding="utf-8"?>
<worksheet xmlns="http://schemas.openxmlformats.org/spreadsheetml/2006/main">
  <sheetPr>
    <tabColor rgb="002F5597"/>
    <outlinePr summaryBelow="1" summaryRight="1"/>
    <pageSetUpPr/>
  </sheetPr>
  <dimension ref="A1:N15"/>
  <sheetViews>
    <sheetView showGridLines="0" zoomScale="90" workbookViewId="0">
      <selection activeCell="A1" sqref="A1"/>
    </sheetView>
  </sheetViews>
  <sheetFormatPr baseColWidth="8" defaultRowHeight="15"/>
  <cols>
    <col width="18" customWidth="1" min="1" max="1"/>
    <col width="8" customWidth="1" min="2" max="2"/>
    <col width="10" customWidth="1" min="3" max="3"/>
    <col width="10" customWidth="1" min="4" max="4"/>
    <col width="10" customWidth="1" min="5" max="5"/>
    <col width="10" customWidth="1" min="6" max="6"/>
    <col width="10" customWidth="1" min="7" max="7"/>
    <col width="11" customWidth="1" min="8" max="8"/>
    <col width="11" customWidth="1" min="9" max="9"/>
    <col width="11" customWidth="1" min="10" max="10"/>
    <col width="11" customWidth="1" min="11" max="11"/>
    <col width="11" customWidth="1" min="12" max="12"/>
    <col width="11" customWidth="1" min="13" max="13"/>
    <col width="24" customWidth="1" min="14" max="14"/>
  </cols>
  <sheetData>
    <row r="1" ht="26" customHeight="1">
      <c r="A1" s="1" t="inlineStr">
        <is>
          <t>Specialty Overview</t>
        </is>
      </c>
    </row>
    <row r="2">
      <c r="A2" s="2" t="inlineStr">
        <is>
          <t>A headcount of charts, not of topics. Every figure a formula over the Chart Database.</t>
        </is>
      </c>
    </row>
    <row r="3" ht="3" customHeight="1">
      <c r="A3" s="3" t="n"/>
      <c r="B3" s="3" t="n"/>
      <c r="C3" s="3" t="n"/>
      <c r="D3" s="3" t="n"/>
      <c r="E3" s="3" t="n"/>
      <c r="F3" s="3" t="n"/>
      <c r="G3" s="3" t="n"/>
      <c r="H3" s="3" t="n"/>
      <c r="I3" s="3" t="n"/>
      <c r="J3" s="3" t="n"/>
      <c r="K3" s="3" t="n"/>
      <c r="L3" s="3" t="n"/>
      <c r="M3" s="3" t="n"/>
      <c r="N3" s="3" t="n"/>
    </row>
    <row r="4" ht="34" customHeight="1">
      <c r="A4" s="13" t="inlineStr">
        <is>
          <t>Specialty</t>
        </is>
      </c>
      <c r="B4" s="13" t="inlineStr">
        <is>
          <t>Prefix</t>
        </is>
      </c>
      <c r="C4" s="13" t="inlineStr">
        <is>
          <t>Target
pool</t>
        </is>
      </c>
      <c r="D4" s="13" t="inlineStr">
        <is>
          <t>Active</t>
        </is>
      </c>
      <c r="E4" s="13" t="inlineStr">
        <is>
          <t>Retired</t>
        </is>
      </c>
      <c r="F4" s="13" t="inlineStr">
        <is>
          <t>Total
rows</t>
        </is>
      </c>
      <c r="G4" s="13" t="inlineStr">
        <is>
          <t>% of
target</t>
        </is>
      </c>
      <c r="H4" s="13" t="inlineStr">
        <is>
          <t>Beginner</t>
        </is>
      </c>
      <c r="I4" s="13" t="inlineStr">
        <is>
          <t>Intermediate</t>
        </is>
      </c>
      <c r="J4" s="13" t="inlineStr">
        <is>
          <t>Advanced</t>
        </is>
      </c>
      <c r="K4" s="13" t="inlineStr">
        <is>
          <t>No answer
key</t>
        </is>
      </c>
      <c r="L4" s="13" t="inlineStr">
        <is>
          <t>Added last
30 days</t>
        </is>
      </c>
      <c r="M4" s="13" t="inlineStr">
        <is>
          <t>Never
assigned</t>
        </is>
      </c>
      <c r="N4" s="13" t="inlineStr">
        <is>
          <t>Reading</t>
        </is>
      </c>
    </row>
    <row r="5" ht="24" customHeight="1">
      <c r="A5" s="14" t="inlineStr">
        <is>
          <t>IP-DRG</t>
        </is>
      </c>
      <c r="B5" s="50" t="inlineStr">
        <is>
          <t>IP</t>
        </is>
      </c>
      <c r="C5" s="15" t="n">
        <v>693</v>
      </c>
      <c r="D5" s="15">
        <f>COUNTIFS('Chart Database'!$B$6:$B$4005,$A5,'Chart Database'!$F$6:$F$4005,"Active")</f>
        <v/>
      </c>
      <c r="E5" s="15">
        <f>COUNTIFS('Chart Database'!$B$6:$B$4005,$A5,'Chart Database'!$F$6:$F$4005,"Retired")</f>
        <v/>
      </c>
      <c r="F5" s="15">
        <f>COUNTIF('Chart Database'!$B$6:$B$4005,$A5)</f>
        <v/>
      </c>
      <c r="G5" s="16">
        <f>IF($C5=0,"NA",D5/$C5)</f>
        <v/>
      </c>
      <c r="H5" s="15">
        <f>COUNTIFS('Chart Database'!$B$6:$B$4005,$A5,'Chart Database'!$D$6:$D$4005,"Beginner",'Chart Database'!$F$6:$F$4005,"Active")</f>
        <v/>
      </c>
      <c r="I5" s="15">
        <f>COUNTIFS('Chart Database'!$B$6:$B$4005,$A5,'Chart Database'!$D$6:$D$4005,"Intermediate",'Chart Database'!$F$6:$F$4005,"Active")</f>
        <v/>
      </c>
      <c r="J5" s="15">
        <f>COUNTIFS('Chart Database'!$B$6:$B$4005,$A5,'Chart Database'!$D$6:$D$4005,"Advanced",'Chart Database'!$F$6:$F$4005,"Active")</f>
        <v/>
      </c>
      <c r="K5" s="15">
        <f>COUNTIFS('Chart Database'!$B$6:$B$4005,$A5,'Chart Database'!$O$6:$O$4005,"No",'Chart Database'!$F$6:$F$4005,"Active")</f>
        <v/>
      </c>
      <c r="L5" s="15">
        <f>COUNTIFS('Chart Database'!$B$6:$B$4005,$A5,'Chart Database'!$H$6:$H$4005,"&gt;="&amp;TODAY()-30,'Chart Database'!$H$6:$H$4005,"&lt;="&amp;TODAY())</f>
        <v/>
      </c>
      <c r="M5" s="15">
        <f>COUNTIFS('Chart Database'!$B$6:$B$4005,$A5,'Chart Database'!$Q$6:$Q$4005,0,'Chart Database'!$F$6:$F$4005,"Active")</f>
        <v/>
      </c>
      <c r="N5" s="17">
        <f>IF(D5=0,"Nothing in the pool yet",IF(D5&gt;=C5,"At target",IF(K5&gt;0,K5&amp;" chart(s) cannot be graded",IF(D5/C5&lt;0.5,"Under half built","Building"))))</f>
        <v/>
      </c>
    </row>
    <row r="6" ht="24" customHeight="1">
      <c r="A6" s="14" t="inlineStr">
        <is>
          <t>ED Facility</t>
        </is>
      </c>
      <c r="B6" s="50" t="inlineStr">
        <is>
          <t>ED</t>
        </is>
      </c>
      <c r="C6" s="15" t="n">
        <v>704</v>
      </c>
      <c r="D6" s="15">
        <f>COUNTIFS('Chart Database'!$B$6:$B$4005,$A6,'Chart Database'!$F$6:$F$4005,"Active")</f>
        <v/>
      </c>
      <c r="E6" s="15">
        <f>COUNTIFS('Chart Database'!$B$6:$B$4005,$A6,'Chart Database'!$F$6:$F$4005,"Retired")</f>
        <v/>
      </c>
      <c r="F6" s="15">
        <f>COUNTIF('Chart Database'!$B$6:$B$4005,$A6)</f>
        <v/>
      </c>
      <c r="G6" s="16">
        <f>IF($C6=0,"NA",D6/$C6)</f>
        <v/>
      </c>
      <c r="H6" s="15">
        <f>COUNTIFS('Chart Database'!$B$6:$B$4005,$A6,'Chart Database'!$D$6:$D$4005,"Beginner",'Chart Database'!$F$6:$F$4005,"Active")</f>
        <v/>
      </c>
      <c r="I6" s="15">
        <f>COUNTIFS('Chart Database'!$B$6:$B$4005,$A6,'Chart Database'!$D$6:$D$4005,"Intermediate",'Chart Database'!$F$6:$F$4005,"Active")</f>
        <v/>
      </c>
      <c r="J6" s="15">
        <f>COUNTIFS('Chart Database'!$B$6:$B$4005,$A6,'Chart Database'!$D$6:$D$4005,"Advanced",'Chart Database'!$F$6:$F$4005,"Active")</f>
        <v/>
      </c>
      <c r="K6" s="15">
        <f>COUNTIFS('Chart Database'!$B$6:$B$4005,$A6,'Chart Database'!$O$6:$O$4005,"No",'Chart Database'!$F$6:$F$4005,"Active")</f>
        <v/>
      </c>
      <c r="L6" s="15">
        <f>COUNTIFS('Chart Database'!$B$6:$B$4005,$A6,'Chart Database'!$H$6:$H$4005,"&gt;="&amp;TODAY()-30,'Chart Database'!$H$6:$H$4005,"&lt;="&amp;TODAY())</f>
        <v/>
      </c>
      <c r="M6" s="15">
        <f>COUNTIFS('Chart Database'!$B$6:$B$4005,$A6,'Chart Database'!$Q$6:$Q$4005,0,'Chart Database'!$F$6:$F$4005,"Active")</f>
        <v/>
      </c>
      <c r="N6" s="17">
        <f>IF(D6=0,"Nothing in the pool yet",IF(D6&gt;=C6,"At target",IF(K6&gt;0,K6&amp;" chart(s) cannot be graded",IF(D6/C6&lt;0.5,"Under half built","Building"))))</f>
        <v/>
      </c>
    </row>
    <row r="7" ht="24" customHeight="1">
      <c r="A7" s="14" t="inlineStr">
        <is>
          <t>ED Profee</t>
        </is>
      </c>
      <c r="B7" s="50" t="inlineStr">
        <is>
          <t>EDP</t>
        </is>
      </c>
      <c r="C7" s="15" t="n">
        <v>400</v>
      </c>
      <c r="D7" s="15">
        <f>COUNTIFS('Chart Database'!$B$6:$B$4005,$A7,'Chart Database'!$F$6:$F$4005,"Active")</f>
        <v/>
      </c>
      <c r="E7" s="15">
        <f>COUNTIFS('Chart Database'!$B$6:$B$4005,$A7,'Chart Database'!$F$6:$F$4005,"Retired")</f>
        <v/>
      </c>
      <c r="F7" s="15">
        <f>COUNTIF('Chart Database'!$B$6:$B$4005,$A7)</f>
        <v/>
      </c>
      <c r="G7" s="16">
        <f>IF($C7=0,"NA",D7/$C7)</f>
        <v/>
      </c>
      <c r="H7" s="15">
        <f>COUNTIFS('Chart Database'!$B$6:$B$4005,$A7,'Chart Database'!$D$6:$D$4005,"Beginner",'Chart Database'!$F$6:$F$4005,"Active")</f>
        <v/>
      </c>
      <c r="I7" s="15">
        <f>COUNTIFS('Chart Database'!$B$6:$B$4005,$A7,'Chart Database'!$D$6:$D$4005,"Intermediate",'Chart Database'!$F$6:$F$4005,"Active")</f>
        <v/>
      </c>
      <c r="J7" s="15">
        <f>COUNTIFS('Chart Database'!$B$6:$B$4005,$A7,'Chart Database'!$D$6:$D$4005,"Advanced",'Chart Database'!$F$6:$F$4005,"Active")</f>
        <v/>
      </c>
      <c r="K7" s="15">
        <f>COUNTIFS('Chart Database'!$B$6:$B$4005,$A7,'Chart Database'!$O$6:$O$4005,"No",'Chart Database'!$F$6:$F$4005,"Active")</f>
        <v/>
      </c>
      <c r="L7" s="15">
        <f>COUNTIFS('Chart Database'!$B$6:$B$4005,$A7,'Chart Database'!$H$6:$H$4005,"&gt;="&amp;TODAY()-30,'Chart Database'!$H$6:$H$4005,"&lt;="&amp;TODAY())</f>
        <v/>
      </c>
      <c r="M7" s="15">
        <f>COUNTIFS('Chart Database'!$B$6:$B$4005,$A7,'Chart Database'!$Q$6:$Q$4005,0,'Chart Database'!$F$6:$F$4005,"Active")</f>
        <v/>
      </c>
      <c r="N7" s="17">
        <f>IF(D7=0,"Nothing in the pool yet",IF(D7&gt;=C7,"At target",IF(K7&gt;0,K7&amp;" chart(s) cannot be graded",IF(D7/C7&lt;0.5,"Under half built","Building"))))</f>
        <v/>
      </c>
    </row>
    <row r="8" ht="24" customHeight="1">
      <c r="A8" s="14" t="inlineStr">
        <is>
          <t>E/M</t>
        </is>
      </c>
      <c r="B8" s="50" t="inlineStr">
        <is>
          <t>EM</t>
        </is>
      </c>
      <c r="C8" s="15" t="n">
        <v>413</v>
      </c>
      <c r="D8" s="15">
        <f>COUNTIFS('Chart Database'!$B$6:$B$4005,$A8,'Chart Database'!$F$6:$F$4005,"Active")</f>
        <v/>
      </c>
      <c r="E8" s="15">
        <f>COUNTIFS('Chart Database'!$B$6:$B$4005,$A8,'Chart Database'!$F$6:$F$4005,"Retired")</f>
        <v/>
      </c>
      <c r="F8" s="15">
        <f>COUNTIF('Chart Database'!$B$6:$B$4005,$A8)</f>
        <v/>
      </c>
      <c r="G8" s="16">
        <f>IF($C8=0,"NA",D8/$C8)</f>
        <v/>
      </c>
      <c r="H8" s="15">
        <f>COUNTIFS('Chart Database'!$B$6:$B$4005,$A8,'Chart Database'!$D$6:$D$4005,"Beginner",'Chart Database'!$F$6:$F$4005,"Active")</f>
        <v/>
      </c>
      <c r="I8" s="15">
        <f>COUNTIFS('Chart Database'!$B$6:$B$4005,$A8,'Chart Database'!$D$6:$D$4005,"Intermediate",'Chart Database'!$F$6:$F$4005,"Active")</f>
        <v/>
      </c>
      <c r="J8" s="15">
        <f>COUNTIFS('Chart Database'!$B$6:$B$4005,$A8,'Chart Database'!$D$6:$D$4005,"Advanced",'Chart Database'!$F$6:$F$4005,"Active")</f>
        <v/>
      </c>
      <c r="K8" s="15">
        <f>COUNTIFS('Chart Database'!$B$6:$B$4005,$A8,'Chart Database'!$O$6:$O$4005,"No",'Chart Database'!$F$6:$F$4005,"Active")</f>
        <v/>
      </c>
      <c r="L8" s="15">
        <f>COUNTIFS('Chart Database'!$B$6:$B$4005,$A8,'Chart Database'!$H$6:$H$4005,"&gt;="&amp;TODAY()-30,'Chart Database'!$H$6:$H$4005,"&lt;="&amp;TODAY())</f>
        <v/>
      </c>
      <c r="M8" s="15">
        <f>COUNTIFS('Chart Database'!$B$6:$B$4005,$A8,'Chart Database'!$Q$6:$Q$4005,0,'Chart Database'!$F$6:$F$4005,"Active")</f>
        <v/>
      </c>
      <c r="N8" s="17">
        <f>IF(D8=0,"Nothing in the pool yet",IF(D8&gt;=C8,"At target",IF(K8&gt;0,K8&amp;" chart(s) cannot be graded",IF(D8/C8&lt;0.5,"Under half built","Building"))))</f>
        <v/>
      </c>
    </row>
    <row r="9" ht="24" customHeight="1">
      <c r="A9" s="14" t="inlineStr">
        <is>
          <t>SDS</t>
        </is>
      </c>
      <c r="B9" s="50" t="inlineStr">
        <is>
          <t>SDS</t>
        </is>
      </c>
      <c r="C9" s="15" t="n">
        <v>132</v>
      </c>
      <c r="D9" s="15">
        <f>COUNTIFS('Chart Database'!$B$6:$B$4005,$A9,'Chart Database'!$F$6:$F$4005,"Active")</f>
        <v/>
      </c>
      <c r="E9" s="15">
        <f>COUNTIFS('Chart Database'!$B$6:$B$4005,$A9,'Chart Database'!$F$6:$F$4005,"Retired")</f>
        <v/>
      </c>
      <c r="F9" s="15">
        <f>COUNTIF('Chart Database'!$B$6:$B$4005,$A9)</f>
        <v/>
      </c>
      <c r="G9" s="16">
        <f>IF($C9=0,"NA",D9/$C9)</f>
        <v/>
      </c>
      <c r="H9" s="15">
        <f>COUNTIFS('Chart Database'!$B$6:$B$4005,$A9,'Chart Database'!$D$6:$D$4005,"Beginner",'Chart Database'!$F$6:$F$4005,"Active")</f>
        <v/>
      </c>
      <c r="I9" s="15">
        <f>COUNTIFS('Chart Database'!$B$6:$B$4005,$A9,'Chart Database'!$D$6:$D$4005,"Intermediate",'Chart Database'!$F$6:$F$4005,"Active")</f>
        <v/>
      </c>
      <c r="J9" s="15">
        <f>COUNTIFS('Chart Database'!$B$6:$B$4005,$A9,'Chart Database'!$D$6:$D$4005,"Advanced",'Chart Database'!$F$6:$F$4005,"Active")</f>
        <v/>
      </c>
      <c r="K9" s="15">
        <f>COUNTIFS('Chart Database'!$B$6:$B$4005,$A9,'Chart Database'!$O$6:$O$4005,"No",'Chart Database'!$F$6:$F$4005,"Active")</f>
        <v/>
      </c>
      <c r="L9" s="15">
        <f>COUNTIFS('Chart Database'!$B$6:$B$4005,$A9,'Chart Database'!$H$6:$H$4005,"&gt;="&amp;TODAY()-30,'Chart Database'!$H$6:$H$4005,"&lt;="&amp;TODAY())</f>
        <v/>
      </c>
      <c r="M9" s="15">
        <f>COUNTIFS('Chart Database'!$B$6:$B$4005,$A9,'Chart Database'!$Q$6:$Q$4005,0,'Chart Database'!$F$6:$F$4005,"Active")</f>
        <v/>
      </c>
      <c r="N9" s="17">
        <f>IF(D9=0,"Nothing in the pool yet",IF(D9&gt;=C9,"At target",IF(K9&gt;0,K9&amp;" chart(s) cannot be graded",IF(D9/C9&lt;0.5,"Under half built","Building"))))</f>
        <v/>
      </c>
    </row>
    <row r="10" ht="24" customHeight="1">
      <c r="A10" s="14" t="inlineStr">
        <is>
          <t>Surgery</t>
        </is>
      </c>
      <c r="B10" s="50" t="inlineStr">
        <is>
          <t>SURG</t>
        </is>
      </c>
      <c r="C10" s="15" t="n">
        <v>300</v>
      </c>
      <c r="D10" s="15">
        <f>COUNTIFS('Chart Database'!$B$6:$B$4005,$A10,'Chart Database'!$F$6:$F$4005,"Active")</f>
        <v/>
      </c>
      <c r="E10" s="15">
        <f>COUNTIFS('Chart Database'!$B$6:$B$4005,$A10,'Chart Database'!$F$6:$F$4005,"Retired")</f>
        <v/>
      </c>
      <c r="F10" s="15">
        <f>COUNTIF('Chart Database'!$B$6:$B$4005,$A10)</f>
        <v/>
      </c>
      <c r="G10" s="16">
        <f>IF($C10=0,"NA",D10/$C10)</f>
        <v/>
      </c>
      <c r="H10" s="15">
        <f>COUNTIFS('Chart Database'!$B$6:$B$4005,$A10,'Chart Database'!$D$6:$D$4005,"Beginner",'Chart Database'!$F$6:$F$4005,"Active")</f>
        <v/>
      </c>
      <c r="I10" s="15">
        <f>COUNTIFS('Chart Database'!$B$6:$B$4005,$A10,'Chart Database'!$D$6:$D$4005,"Intermediate",'Chart Database'!$F$6:$F$4005,"Active")</f>
        <v/>
      </c>
      <c r="J10" s="15">
        <f>COUNTIFS('Chart Database'!$B$6:$B$4005,$A10,'Chart Database'!$D$6:$D$4005,"Advanced",'Chart Database'!$F$6:$F$4005,"Active")</f>
        <v/>
      </c>
      <c r="K10" s="15">
        <f>COUNTIFS('Chart Database'!$B$6:$B$4005,$A10,'Chart Database'!$O$6:$O$4005,"No",'Chart Database'!$F$6:$F$4005,"Active")</f>
        <v/>
      </c>
      <c r="L10" s="15">
        <f>COUNTIFS('Chart Database'!$B$6:$B$4005,$A10,'Chart Database'!$H$6:$H$4005,"&gt;="&amp;TODAY()-30,'Chart Database'!$H$6:$H$4005,"&lt;="&amp;TODAY())</f>
        <v/>
      </c>
      <c r="M10" s="15">
        <f>COUNTIFS('Chart Database'!$B$6:$B$4005,$A10,'Chart Database'!$Q$6:$Q$4005,0,'Chart Database'!$F$6:$F$4005,"Active")</f>
        <v/>
      </c>
      <c r="N10" s="17">
        <f>IF(D10=0,"Nothing in the pool yet",IF(D10&gt;=C10,"At target",IF(K10&gt;0,K10&amp;" chart(s) cannot be graded",IF(D10/C10&lt;0.5,"Under half built","Building"))))</f>
        <v/>
      </c>
    </row>
    <row r="11" ht="24" customHeight="1">
      <c r="A11" s="14" t="inlineStr">
        <is>
          <t>ED Single Path</t>
        </is>
      </c>
      <c r="B11" s="50" t="inlineStr">
        <is>
          <t>EDSP</t>
        </is>
      </c>
      <c r="C11" s="15" t="n">
        <v>300</v>
      </c>
      <c r="D11" s="15">
        <f>COUNTIFS('Chart Database'!$B$6:$B$4005,$A11,'Chart Database'!$F$6:$F$4005,"Active")</f>
        <v/>
      </c>
      <c r="E11" s="15">
        <f>COUNTIFS('Chart Database'!$B$6:$B$4005,$A11,'Chart Database'!$F$6:$F$4005,"Retired")</f>
        <v/>
      </c>
      <c r="F11" s="15">
        <f>COUNTIF('Chart Database'!$B$6:$B$4005,$A11)</f>
        <v/>
      </c>
      <c r="G11" s="16">
        <f>IF($C11=0,"NA",D11/$C11)</f>
        <v/>
      </c>
      <c r="H11" s="15">
        <f>COUNTIFS('Chart Database'!$B$6:$B$4005,$A11,'Chart Database'!$D$6:$D$4005,"Beginner",'Chart Database'!$F$6:$F$4005,"Active")</f>
        <v/>
      </c>
      <c r="I11" s="15">
        <f>COUNTIFS('Chart Database'!$B$6:$B$4005,$A11,'Chart Database'!$D$6:$D$4005,"Intermediate",'Chart Database'!$F$6:$F$4005,"Active")</f>
        <v/>
      </c>
      <c r="J11" s="15">
        <f>COUNTIFS('Chart Database'!$B$6:$B$4005,$A11,'Chart Database'!$D$6:$D$4005,"Advanced",'Chart Database'!$F$6:$F$4005,"Active")</f>
        <v/>
      </c>
      <c r="K11" s="15">
        <f>COUNTIFS('Chart Database'!$B$6:$B$4005,$A11,'Chart Database'!$O$6:$O$4005,"No",'Chart Database'!$F$6:$F$4005,"Active")</f>
        <v/>
      </c>
      <c r="L11" s="15">
        <f>COUNTIFS('Chart Database'!$B$6:$B$4005,$A11,'Chart Database'!$H$6:$H$4005,"&gt;="&amp;TODAY()-30,'Chart Database'!$H$6:$H$4005,"&lt;="&amp;TODAY())</f>
        <v/>
      </c>
      <c r="M11" s="15">
        <f>COUNTIFS('Chart Database'!$B$6:$B$4005,$A11,'Chart Database'!$Q$6:$Q$4005,0,'Chart Database'!$F$6:$F$4005,"Active")</f>
        <v/>
      </c>
      <c r="N11" s="17">
        <f>IF(D11=0,"Nothing in the pool yet",IF(D11&gt;=C11,"At target",IF(K11&gt;0,K11&amp;" chart(s) cannot be graded",IF(D11/C11&lt;0.5,"Under half built","Building"))))</f>
        <v/>
      </c>
    </row>
    <row r="12">
      <c r="A12" s="40" t="inlineStr">
        <is>
          <t>TOTAL</t>
        </is>
      </c>
      <c r="B12" s="42" t="n"/>
      <c r="C12" s="42">
        <f>SUM(C5:C11)</f>
        <v/>
      </c>
      <c r="D12" s="42">
        <f>SUM(D5:D11)</f>
        <v/>
      </c>
      <c r="E12" s="42">
        <f>SUM(E5:E11)</f>
        <v/>
      </c>
      <c r="F12" s="42">
        <f>SUM(F5:F11)</f>
        <v/>
      </c>
      <c r="G12" s="51">
        <f>IF(C12=0,"NA",D12/C12)</f>
        <v/>
      </c>
      <c r="H12" s="42">
        <f>SUM(H5:H11)</f>
        <v/>
      </c>
      <c r="I12" s="42">
        <f>SUM(I5:I11)</f>
        <v/>
      </c>
      <c r="J12" s="42">
        <f>SUM(J5:J11)</f>
        <v/>
      </c>
      <c r="K12" s="42">
        <f>SUM(K5:K11)</f>
        <v/>
      </c>
      <c r="L12" s="42">
        <f>SUM(L5:L11)</f>
        <v/>
      </c>
      <c r="M12" s="42">
        <f>SUM(M5:M11)</f>
        <v/>
      </c>
      <c r="N12" s="42" t="n"/>
    </row>
    <row r="14" ht="26" customHeight="1">
      <c r="A14" s="18" t="inlineStr">
        <is>
          <t>This sheet counts CHARTS. The Category Dictionary counts TOPIC COVERAGE, and its total is larger because a chart carrying "Sepsis, AKI" is counted under both topics. Neither is wrong; they answer different questions.</t>
        </is>
      </c>
    </row>
    <row r="15" ht="26" customHeight="1">
      <c r="A15" s="18" t="inlineStr">
        <is>
          <t>Difficulty uses the application's own values — Beginner, Intermediate, Advanced. The composition taxonomy speaks of Basic, Moderate and Complex tiers; the Field Conventions sheet maps the two.</t>
        </is>
      </c>
    </row>
  </sheetData>
  <mergeCells count="4">
    <mergeCell ref="A15:N15"/>
    <mergeCell ref="A14:N14"/>
    <mergeCell ref="A2:N2"/>
    <mergeCell ref="A1:N1"/>
  </mergeCells>
  <conditionalFormatting sqref="G5:G11">
    <cfRule type="dataBar" priority="1">
      <dataBar showValue="1">
        <cfvo type="num" val="0"/>
        <cfvo type="num" val="1"/>
        <color rgb="002E75B6"/>
      </dataBar>
    </cfRule>
  </conditionalFormatting>
  <conditionalFormatting sqref="K5:K11">
    <cfRule type="cellIs" priority="2" operator="greaterThan" dxfId="3">
      <formula>0</formula>
    </cfRule>
  </conditionalFormatting>
  <conditionalFormatting sqref="L5:L11">
    <cfRule type="cellIs" priority="3" operator="greaterThan" dxfId="10">
      <formula>0</formula>
    </cfRule>
  </conditionalFormatting>
  <pageMargins left="0.75" right="0.75" top="1" bottom="1" header="0.5" footer="0.5"/>
</worksheet>
</file>

<file path=xl/worksheets/sheet7.xml><?xml version="1.0" encoding="utf-8"?>
<worksheet xmlns="http://schemas.openxmlformats.org/spreadsheetml/2006/main">
  <sheetPr>
    <tabColor rgb="001F5C99"/>
    <outlinePr summaryBelow="1" summaryRight="1"/>
    <pageSetUpPr/>
  </sheetPr>
  <dimension ref="A1:K35"/>
  <sheetViews>
    <sheetView showGridLines="0" zoomScale="90" workbookViewId="0">
      <selection activeCell="A1" sqref="A1"/>
    </sheetView>
  </sheetViews>
  <sheetFormatPr baseColWidth="8" defaultRowHeight="15"/>
  <cols>
    <col width="1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2" customWidth="1" min="10" max="10"/>
    <col width="46" customWidth="1" min="11" max="11"/>
  </cols>
  <sheetData>
    <row r="1" ht="26" customHeight="1">
      <c r="A1" s="1" t="inlineStr">
        <is>
          <t>Monthly Trend — uploads by month</t>
        </is>
      </c>
    </row>
    <row r="2">
      <c r="A2" s="2" t="inlineStr">
        <is>
          <t>Counted from created_at. Change the start month and the whole table moves with it.</t>
        </is>
      </c>
    </row>
    <row r="3" ht="3" customHeight="1">
      <c r="A3" s="3" t="n"/>
      <c r="B3" s="3" t="n"/>
      <c r="C3" s="3" t="n"/>
      <c r="D3" s="3" t="n"/>
      <c r="E3" s="3" t="n"/>
      <c r="F3" s="3" t="n"/>
      <c r="G3" s="3" t="n"/>
      <c r="H3" s="3" t="n"/>
      <c r="I3" s="3" t="n"/>
      <c r="J3" s="3" t="n"/>
      <c r="K3" s="3" t="n"/>
    </row>
    <row r="4" ht="20" customHeight="1">
      <c r="A4" s="7" t="inlineStr">
        <is>
          <t xml:space="preserve">  FIRST MONTH SHOWN</t>
        </is>
      </c>
    </row>
    <row r="5">
      <c r="A5" s="46" t="inlineStr">
        <is>
          <t>Start month</t>
        </is>
      </c>
      <c r="B5" s="52" t="n">
        <v>45931</v>
      </c>
      <c r="D5" s="47" t="inlineStr">
        <is>
          <t>24 months are shown from here. Any month with no uploads reads 0 rather than being skipped, so a gap in sourcing is visible.</t>
        </is>
      </c>
    </row>
    <row r="7" ht="34" customHeight="1">
      <c r="A7" s="13" t="inlineStr">
        <is>
          <t>Month</t>
        </is>
      </c>
      <c r="B7" s="13" t="inlineStr">
        <is>
          <t>IP-DRG</t>
        </is>
      </c>
      <c r="C7" s="13" t="inlineStr">
        <is>
          <t>ED Facility</t>
        </is>
      </c>
      <c r="D7" s="13" t="inlineStr">
        <is>
          <t>ED Profee</t>
        </is>
      </c>
      <c r="E7" s="13" t="inlineStr">
        <is>
          <t>E/M</t>
        </is>
      </c>
      <c r="F7" s="13" t="inlineStr">
        <is>
          <t>SDS</t>
        </is>
      </c>
      <c r="G7" s="13" t="inlineStr">
        <is>
          <t>Surgery</t>
        </is>
      </c>
      <c r="H7" s="13" t="inlineStr">
        <is>
          <t>ED Single Path</t>
        </is>
      </c>
      <c r="I7" s="13" t="inlineStr">
        <is>
          <t>Total</t>
        </is>
      </c>
      <c r="J7" s="13" t="inlineStr">
        <is>
          <t>Cumulative</t>
        </is>
      </c>
      <c r="K7" s="13" t="inlineStr">
        <is>
          <t>Reading</t>
        </is>
      </c>
    </row>
    <row r="8">
      <c r="A8" s="53">
        <f>$B$5</f>
        <v/>
      </c>
      <c r="B8" s="15">
        <f>COUNTIFS('Chart Database'!$B$6:$B$4005,"IP-DRG",'Chart Database'!$H$6:$H$4005,"&gt;="&amp;$A8,'Chart Database'!$H$6:$H$4005,"&lt;"&amp;EDATE($A8,1))</f>
        <v/>
      </c>
      <c r="C8" s="15">
        <f>COUNTIFS('Chart Database'!$B$6:$B$4005,"ED Facility",'Chart Database'!$H$6:$H$4005,"&gt;="&amp;$A8,'Chart Database'!$H$6:$H$4005,"&lt;"&amp;EDATE($A8,1))</f>
        <v/>
      </c>
      <c r="D8" s="15">
        <f>COUNTIFS('Chart Database'!$B$6:$B$4005,"ED Profee",'Chart Database'!$H$6:$H$4005,"&gt;="&amp;$A8,'Chart Database'!$H$6:$H$4005,"&lt;"&amp;EDATE($A8,1))</f>
        <v/>
      </c>
      <c r="E8" s="15">
        <f>COUNTIFS('Chart Database'!$B$6:$B$4005,"E/M",'Chart Database'!$H$6:$H$4005,"&gt;="&amp;$A8,'Chart Database'!$H$6:$H$4005,"&lt;"&amp;EDATE($A8,1))</f>
        <v/>
      </c>
      <c r="F8" s="15">
        <f>COUNTIFS('Chart Database'!$B$6:$B$4005,"SDS",'Chart Database'!$H$6:$H$4005,"&gt;="&amp;$A8,'Chart Database'!$H$6:$H$4005,"&lt;"&amp;EDATE($A8,1))</f>
        <v/>
      </c>
      <c r="G8" s="15">
        <f>COUNTIFS('Chart Database'!$B$6:$B$4005,"Surgery",'Chart Database'!$H$6:$H$4005,"&gt;="&amp;$A8,'Chart Database'!$H$6:$H$4005,"&lt;"&amp;EDATE($A8,1))</f>
        <v/>
      </c>
      <c r="H8" s="15">
        <f>COUNTIFS('Chart Database'!$B$6:$B$4005,"ED Single Path",'Chart Database'!$H$6:$H$4005,"&gt;="&amp;$A8,'Chart Database'!$H$6:$H$4005,"&lt;"&amp;EDATE($A8,1))</f>
        <v/>
      </c>
      <c r="I8" s="54">
        <f>SUM(B8:H8)</f>
        <v/>
      </c>
      <c r="J8" s="15">
        <f>SUM($I$8:I8)</f>
        <v/>
      </c>
      <c r="K8" s="55">
        <f>IF(I8=0,"no uploads this month","")</f>
        <v/>
      </c>
    </row>
    <row r="9">
      <c r="A9" s="53">
        <f>EDATE($B$5,1)</f>
        <v/>
      </c>
      <c r="B9" s="15">
        <f>COUNTIFS('Chart Database'!$B$6:$B$4005,"IP-DRG",'Chart Database'!$H$6:$H$4005,"&gt;="&amp;$A9,'Chart Database'!$H$6:$H$4005,"&lt;"&amp;EDATE($A9,1))</f>
        <v/>
      </c>
      <c r="C9" s="15">
        <f>COUNTIFS('Chart Database'!$B$6:$B$4005,"ED Facility",'Chart Database'!$H$6:$H$4005,"&gt;="&amp;$A9,'Chart Database'!$H$6:$H$4005,"&lt;"&amp;EDATE($A9,1))</f>
        <v/>
      </c>
      <c r="D9" s="15">
        <f>COUNTIFS('Chart Database'!$B$6:$B$4005,"ED Profee",'Chart Database'!$H$6:$H$4005,"&gt;="&amp;$A9,'Chart Database'!$H$6:$H$4005,"&lt;"&amp;EDATE($A9,1))</f>
        <v/>
      </c>
      <c r="E9" s="15">
        <f>COUNTIFS('Chart Database'!$B$6:$B$4005,"E/M",'Chart Database'!$H$6:$H$4005,"&gt;="&amp;$A9,'Chart Database'!$H$6:$H$4005,"&lt;"&amp;EDATE($A9,1))</f>
        <v/>
      </c>
      <c r="F9" s="15">
        <f>COUNTIFS('Chart Database'!$B$6:$B$4005,"SDS",'Chart Database'!$H$6:$H$4005,"&gt;="&amp;$A9,'Chart Database'!$H$6:$H$4005,"&lt;"&amp;EDATE($A9,1))</f>
        <v/>
      </c>
      <c r="G9" s="15">
        <f>COUNTIFS('Chart Database'!$B$6:$B$4005,"Surgery",'Chart Database'!$H$6:$H$4005,"&gt;="&amp;$A9,'Chart Database'!$H$6:$H$4005,"&lt;"&amp;EDATE($A9,1))</f>
        <v/>
      </c>
      <c r="H9" s="15">
        <f>COUNTIFS('Chart Database'!$B$6:$B$4005,"ED Single Path",'Chart Database'!$H$6:$H$4005,"&gt;="&amp;$A9,'Chart Database'!$H$6:$H$4005,"&lt;"&amp;EDATE($A9,1))</f>
        <v/>
      </c>
      <c r="I9" s="54">
        <f>SUM(B9:H9)</f>
        <v/>
      </c>
      <c r="J9" s="15">
        <f>SUM($I$8:I9)</f>
        <v/>
      </c>
      <c r="K9" s="55">
        <f>IF(I9=0,"no uploads this month","")</f>
        <v/>
      </c>
    </row>
    <row r="10">
      <c r="A10" s="53">
        <f>EDATE($B$5,2)</f>
        <v/>
      </c>
      <c r="B10" s="15">
        <f>COUNTIFS('Chart Database'!$B$6:$B$4005,"IP-DRG",'Chart Database'!$H$6:$H$4005,"&gt;="&amp;$A10,'Chart Database'!$H$6:$H$4005,"&lt;"&amp;EDATE($A10,1))</f>
        <v/>
      </c>
      <c r="C10" s="15">
        <f>COUNTIFS('Chart Database'!$B$6:$B$4005,"ED Facility",'Chart Database'!$H$6:$H$4005,"&gt;="&amp;$A10,'Chart Database'!$H$6:$H$4005,"&lt;"&amp;EDATE($A10,1))</f>
        <v/>
      </c>
      <c r="D10" s="15">
        <f>COUNTIFS('Chart Database'!$B$6:$B$4005,"ED Profee",'Chart Database'!$H$6:$H$4005,"&gt;="&amp;$A10,'Chart Database'!$H$6:$H$4005,"&lt;"&amp;EDATE($A10,1))</f>
        <v/>
      </c>
      <c r="E10" s="15">
        <f>COUNTIFS('Chart Database'!$B$6:$B$4005,"E/M",'Chart Database'!$H$6:$H$4005,"&gt;="&amp;$A10,'Chart Database'!$H$6:$H$4005,"&lt;"&amp;EDATE($A10,1))</f>
        <v/>
      </c>
      <c r="F10" s="15">
        <f>COUNTIFS('Chart Database'!$B$6:$B$4005,"SDS",'Chart Database'!$H$6:$H$4005,"&gt;="&amp;$A10,'Chart Database'!$H$6:$H$4005,"&lt;"&amp;EDATE($A10,1))</f>
        <v/>
      </c>
      <c r="G10" s="15">
        <f>COUNTIFS('Chart Database'!$B$6:$B$4005,"Surgery",'Chart Database'!$H$6:$H$4005,"&gt;="&amp;$A10,'Chart Database'!$H$6:$H$4005,"&lt;"&amp;EDATE($A10,1))</f>
        <v/>
      </c>
      <c r="H10" s="15">
        <f>COUNTIFS('Chart Database'!$B$6:$B$4005,"ED Single Path",'Chart Database'!$H$6:$H$4005,"&gt;="&amp;$A10,'Chart Database'!$H$6:$H$4005,"&lt;"&amp;EDATE($A10,1))</f>
        <v/>
      </c>
      <c r="I10" s="54">
        <f>SUM(B10:H10)</f>
        <v/>
      </c>
      <c r="J10" s="15">
        <f>SUM($I$8:I10)</f>
        <v/>
      </c>
      <c r="K10" s="55">
        <f>IF(I10=0,"no uploads this month","")</f>
        <v/>
      </c>
    </row>
    <row r="11">
      <c r="A11" s="53">
        <f>EDATE($B$5,3)</f>
        <v/>
      </c>
      <c r="B11" s="15">
        <f>COUNTIFS('Chart Database'!$B$6:$B$4005,"IP-DRG",'Chart Database'!$H$6:$H$4005,"&gt;="&amp;$A11,'Chart Database'!$H$6:$H$4005,"&lt;"&amp;EDATE($A11,1))</f>
        <v/>
      </c>
      <c r="C11" s="15">
        <f>COUNTIFS('Chart Database'!$B$6:$B$4005,"ED Facility",'Chart Database'!$H$6:$H$4005,"&gt;="&amp;$A11,'Chart Database'!$H$6:$H$4005,"&lt;"&amp;EDATE($A11,1))</f>
        <v/>
      </c>
      <c r="D11" s="15">
        <f>COUNTIFS('Chart Database'!$B$6:$B$4005,"ED Profee",'Chart Database'!$H$6:$H$4005,"&gt;="&amp;$A11,'Chart Database'!$H$6:$H$4005,"&lt;"&amp;EDATE($A11,1))</f>
        <v/>
      </c>
      <c r="E11" s="15">
        <f>COUNTIFS('Chart Database'!$B$6:$B$4005,"E/M",'Chart Database'!$H$6:$H$4005,"&gt;="&amp;$A11,'Chart Database'!$H$6:$H$4005,"&lt;"&amp;EDATE($A11,1))</f>
        <v/>
      </c>
      <c r="F11" s="15">
        <f>COUNTIFS('Chart Database'!$B$6:$B$4005,"SDS",'Chart Database'!$H$6:$H$4005,"&gt;="&amp;$A11,'Chart Database'!$H$6:$H$4005,"&lt;"&amp;EDATE($A11,1))</f>
        <v/>
      </c>
      <c r="G11" s="15">
        <f>COUNTIFS('Chart Database'!$B$6:$B$4005,"Surgery",'Chart Database'!$H$6:$H$4005,"&gt;="&amp;$A11,'Chart Database'!$H$6:$H$4005,"&lt;"&amp;EDATE($A11,1))</f>
        <v/>
      </c>
      <c r="H11" s="15">
        <f>COUNTIFS('Chart Database'!$B$6:$B$4005,"ED Single Path",'Chart Database'!$H$6:$H$4005,"&gt;="&amp;$A11,'Chart Database'!$H$6:$H$4005,"&lt;"&amp;EDATE($A11,1))</f>
        <v/>
      </c>
      <c r="I11" s="54">
        <f>SUM(B11:H11)</f>
        <v/>
      </c>
      <c r="J11" s="15">
        <f>SUM($I$8:I11)</f>
        <v/>
      </c>
      <c r="K11" s="55">
        <f>IF(I11=0,"no uploads this month","")</f>
        <v/>
      </c>
    </row>
    <row r="12">
      <c r="A12" s="53">
        <f>EDATE($B$5,4)</f>
        <v/>
      </c>
      <c r="B12" s="15">
        <f>COUNTIFS('Chart Database'!$B$6:$B$4005,"IP-DRG",'Chart Database'!$H$6:$H$4005,"&gt;="&amp;$A12,'Chart Database'!$H$6:$H$4005,"&lt;"&amp;EDATE($A12,1))</f>
        <v/>
      </c>
      <c r="C12" s="15">
        <f>COUNTIFS('Chart Database'!$B$6:$B$4005,"ED Facility",'Chart Database'!$H$6:$H$4005,"&gt;="&amp;$A12,'Chart Database'!$H$6:$H$4005,"&lt;"&amp;EDATE($A12,1))</f>
        <v/>
      </c>
      <c r="D12" s="15">
        <f>COUNTIFS('Chart Database'!$B$6:$B$4005,"ED Profee",'Chart Database'!$H$6:$H$4005,"&gt;="&amp;$A12,'Chart Database'!$H$6:$H$4005,"&lt;"&amp;EDATE($A12,1))</f>
        <v/>
      </c>
      <c r="E12" s="15">
        <f>COUNTIFS('Chart Database'!$B$6:$B$4005,"E/M",'Chart Database'!$H$6:$H$4005,"&gt;="&amp;$A12,'Chart Database'!$H$6:$H$4005,"&lt;"&amp;EDATE($A12,1))</f>
        <v/>
      </c>
      <c r="F12" s="15">
        <f>COUNTIFS('Chart Database'!$B$6:$B$4005,"SDS",'Chart Database'!$H$6:$H$4005,"&gt;="&amp;$A12,'Chart Database'!$H$6:$H$4005,"&lt;"&amp;EDATE($A12,1))</f>
        <v/>
      </c>
      <c r="G12" s="15">
        <f>COUNTIFS('Chart Database'!$B$6:$B$4005,"Surgery",'Chart Database'!$H$6:$H$4005,"&gt;="&amp;$A12,'Chart Database'!$H$6:$H$4005,"&lt;"&amp;EDATE($A12,1))</f>
        <v/>
      </c>
      <c r="H12" s="15">
        <f>COUNTIFS('Chart Database'!$B$6:$B$4005,"ED Single Path",'Chart Database'!$H$6:$H$4005,"&gt;="&amp;$A12,'Chart Database'!$H$6:$H$4005,"&lt;"&amp;EDATE($A12,1))</f>
        <v/>
      </c>
      <c r="I12" s="54">
        <f>SUM(B12:H12)</f>
        <v/>
      </c>
      <c r="J12" s="15">
        <f>SUM($I$8:I12)</f>
        <v/>
      </c>
      <c r="K12" s="55">
        <f>IF(I12=0,"no uploads this month","")</f>
        <v/>
      </c>
    </row>
    <row r="13">
      <c r="A13" s="53">
        <f>EDATE($B$5,5)</f>
        <v/>
      </c>
      <c r="B13" s="15">
        <f>COUNTIFS('Chart Database'!$B$6:$B$4005,"IP-DRG",'Chart Database'!$H$6:$H$4005,"&gt;="&amp;$A13,'Chart Database'!$H$6:$H$4005,"&lt;"&amp;EDATE($A13,1))</f>
        <v/>
      </c>
      <c r="C13" s="15">
        <f>COUNTIFS('Chart Database'!$B$6:$B$4005,"ED Facility",'Chart Database'!$H$6:$H$4005,"&gt;="&amp;$A13,'Chart Database'!$H$6:$H$4005,"&lt;"&amp;EDATE($A13,1))</f>
        <v/>
      </c>
      <c r="D13" s="15">
        <f>COUNTIFS('Chart Database'!$B$6:$B$4005,"ED Profee",'Chart Database'!$H$6:$H$4005,"&gt;="&amp;$A13,'Chart Database'!$H$6:$H$4005,"&lt;"&amp;EDATE($A13,1))</f>
        <v/>
      </c>
      <c r="E13" s="15">
        <f>COUNTIFS('Chart Database'!$B$6:$B$4005,"E/M",'Chart Database'!$H$6:$H$4005,"&gt;="&amp;$A13,'Chart Database'!$H$6:$H$4005,"&lt;"&amp;EDATE($A13,1))</f>
        <v/>
      </c>
      <c r="F13" s="15">
        <f>COUNTIFS('Chart Database'!$B$6:$B$4005,"SDS",'Chart Database'!$H$6:$H$4005,"&gt;="&amp;$A13,'Chart Database'!$H$6:$H$4005,"&lt;"&amp;EDATE($A13,1))</f>
        <v/>
      </c>
      <c r="G13" s="15">
        <f>COUNTIFS('Chart Database'!$B$6:$B$4005,"Surgery",'Chart Database'!$H$6:$H$4005,"&gt;="&amp;$A13,'Chart Database'!$H$6:$H$4005,"&lt;"&amp;EDATE($A13,1))</f>
        <v/>
      </c>
      <c r="H13" s="15">
        <f>COUNTIFS('Chart Database'!$B$6:$B$4005,"ED Single Path",'Chart Database'!$H$6:$H$4005,"&gt;="&amp;$A13,'Chart Database'!$H$6:$H$4005,"&lt;"&amp;EDATE($A13,1))</f>
        <v/>
      </c>
      <c r="I13" s="54">
        <f>SUM(B13:H13)</f>
        <v/>
      </c>
      <c r="J13" s="15">
        <f>SUM($I$8:I13)</f>
        <v/>
      </c>
      <c r="K13" s="55">
        <f>IF(I13=0,"no uploads this month","")</f>
        <v/>
      </c>
    </row>
    <row r="14">
      <c r="A14" s="53">
        <f>EDATE($B$5,6)</f>
        <v/>
      </c>
      <c r="B14" s="15">
        <f>COUNTIFS('Chart Database'!$B$6:$B$4005,"IP-DRG",'Chart Database'!$H$6:$H$4005,"&gt;="&amp;$A14,'Chart Database'!$H$6:$H$4005,"&lt;"&amp;EDATE($A14,1))</f>
        <v/>
      </c>
      <c r="C14" s="15">
        <f>COUNTIFS('Chart Database'!$B$6:$B$4005,"ED Facility",'Chart Database'!$H$6:$H$4005,"&gt;="&amp;$A14,'Chart Database'!$H$6:$H$4005,"&lt;"&amp;EDATE($A14,1))</f>
        <v/>
      </c>
      <c r="D14" s="15">
        <f>COUNTIFS('Chart Database'!$B$6:$B$4005,"ED Profee",'Chart Database'!$H$6:$H$4005,"&gt;="&amp;$A14,'Chart Database'!$H$6:$H$4005,"&lt;"&amp;EDATE($A14,1))</f>
        <v/>
      </c>
      <c r="E14" s="15">
        <f>COUNTIFS('Chart Database'!$B$6:$B$4005,"E/M",'Chart Database'!$H$6:$H$4005,"&gt;="&amp;$A14,'Chart Database'!$H$6:$H$4005,"&lt;"&amp;EDATE($A14,1))</f>
        <v/>
      </c>
      <c r="F14" s="15">
        <f>COUNTIFS('Chart Database'!$B$6:$B$4005,"SDS",'Chart Database'!$H$6:$H$4005,"&gt;="&amp;$A14,'Chart Database'!$H$6:$H$4005,"&lt;"&amp;EDATE($A14,1))</f>
        <v/>
      </c>
      <c r="G14" s="15">
        <f>COUNTIFS('Chart Database'!$B$6:$B$4005,"Surgery",'Chart Database'!$H$6:$H$4005,"&gt;="&amp;$A14,'Chart Database'!$H$6:$H$4005,"&lt;"&amp;EDATE($A14,1))</f>
        <v/>
      </c>
      <c r="H14" s="15">
        <f>COUNTIFS('Chart Database'!$B$6:$B$4005,"ED Single Path",'Chart Database'!$H$6:$H$4005,"&gt;="&amp;$A14,'Chart Database'!$H$6:$H$4005,"&lt;"&amp;EDATE($A14,1))</f>
        <v/>
      </c>
      <c r="I14" s="54">
        <f>SUM(B14:H14)</f>
        <v/>
      </c>
      <c r="J14" s="15">
        <f>SUM($I$8:I14)</f>
        <v/>
      </c>
      <c r="K14" s="55">
        <f>IF(I14=0,"no uploads this month","")</f>
        <v/>
      </c>
    </row>
    <row r="15">
      <c r="A15" s="53">
        <f>EDATE($B$5,7)</f>
        <v/>
      </c>
      <c r="B15" s="15">
        <f>COUNTIFS('Chart Database'!$B$6:$B$4005,"IP-DRG",'Chart Database'!$H$6:$H$4005,"&gt;="&amp;$A15,'Chart Database'!$H$6:$H$4005,"&lt;"&amp;EDATE($A15,1))</f>
        <v/>
      </c>
      <c r="C15" s="15">
        <f>COUNTIFS('Chart Database'!$B$6:$B$4005,"ED Facility",'Chart Database'!$H$6:$H$4005,"&gt;="&amp;$A15,'Chart Database'!$H$6:$H$4005,"&lt;"&amp;EDATE($A15,1))</f>
        <v/>
      </c>
      <c r="D15" s="15">
        <f>COUNTIFS('Chart Database'!$B$6:$B$4005,"ED Profee",'Chart Database'!$H$6:$H$4005,"&gt;="&amp;$A15,'Chart Database'!$H$6:$H$4005,"&lt;"&amp;EDATE($A15,1))</f>
        <v/>
      </c>
      <c r="E15" s="15">
        <f>COUNTIFS('Chart Database'!$B$6:$B$4005,"E/M",'Chart Database'!$H$6:$H$4005,"&gt;="&amp;$A15,'Chart Database'!$H$6:$H$4005,"&lt;"&amp;EDATE($A15,1))</f>
        <v/>
      </c>
      <c r="F15" s="15">
        <f>COUNTIFS('Chart Database'!$B$6:$B$4005,"SDS",'Chart Database'!$H$6:$H$4005,"&gt;="&amp;$A15,'Chart Database'!$H$6:$H$4005,"&lt;"&amp;EDATE($A15,1))</f>
        <v/>
      </c>
      <c r="G15" s="15">
        <f>COUNTIFS('Chart Database'!$B$6:$B$4005,"Surgery",'Chart Database'!$H$6:$H$4005,"&gt;="&amp;$A15,'Chart Database'!$H$6:$H$4005,"&lt;"&amp;EDATE($A15,1))</f>
        <v/>
      </c>
      <c r="H15" s="15">
        <f>COUNTIFS('Chart Database'!$B$6:$B$4005,"ED Single Path",'Chart Database'!$H$6:$H$4005,"&gt;="&amp;$A15,'Chart Database'!$H$6:$H$4005,"&lt;"&amp;EDATE($A15,1))</f>
        <v/>
      </c>
      <c r="I15" s="54">
        <f>SUM(B15:H15)</f>
        <v/>
      </c>
      <c r="J15" s="15">
        <f>SUM($I$8:I15)</f>
        <v/>
      </c>
      <c r="K15" s="55">
        <f>IF(I15=0,"no uploads this month","")</f>
        <v/>
      </c>
    </row>
    <row r="16">
      <c r="A16" s="53">
        <f>EDATE($B$5,8)</f>
        <v/>
      </c>
      <c r="B16" s="15">
        <f>COUNTIFS('Chart Database'!$B$6:$B$4005,"IP-DRG",'Chart Database'!$H$6:$H$4005,"&gt;="&amp;$A16,'Chart Database'!$H$6:$H$4005,"&lt;"&amp;EDATE($A16,1))</f>
        <v/>
      </c>
      <c r="C16" s="15">
        <f>COUNTIFS('Chart Database'!$B$6:$B$4005,"ED Facility",'Chart Database'!$H$6:$H$4005,"&gt;="&amp;$A16,'Chart Database'!$H$6:$H$4005,"&lt;"&amp;EDATE($A16,1))</f>
        <v/>
      </c>
      <c r="D16" s="15">
        <f>COUNTIFS('Chart Database'!$B$6:$B$4005,"ED Profee",'Chart Database'!$H$6:$H$4005,"&gt;="&amp;$A16,'Chart Database'!$H$6:$H$4005,"&lt;"&amp;EDATE($A16,1))</f>
        <v/>
      </c>
      <c r="E16" s="15">
        <f>COUNTIFS('Chart Database'!$B$6:$B$4005,"E/M",'Chart Database'!$H$6:$H$4005,"&gt;="&amp;$A16,'Chart Database'!$H$6:$H$4005,"&lt;"&amp;EDATE($A16,1))</f>
        <v/>
      </c>
      <c r="F16" s="15">
        <f>COUNTIFS('Chart Database'!$B$6:$B$4005,"SDS",'Chart Database'!$H$6:$H$4005,"&gt;="&amp;$A16,'Chart Database'!$H$6:$H$4005,"&lt;"&amp;EDATE($A16,1))</f>
        <v/>
      </c>
      <c r="G16" s="15">
        <f>COUNTIFS('Chart Database'!$B$6:$B$4005,"Surgery",'Chart Database'!$H$6:$H$4005,"&gt;="&amp;$A16,'Chart Database'!$H$6:$H$4005,"&lt;"&amp;EDATE($A16,1))</f>
        <v/>
      </c>
      <c r="H16" s="15">
        <f>COUNTIFS('Chart Database'!$B$6:$B$4005,"ED Single Path",'Chart Database'!$H$6:$H$4005,"&gt;="&amp;$A16,'Chart Database'!$H$6:$H$4005,"&lt;"&amp;EDATE($A16,1))</f>
        <v/>
      </c>
      <c r="I16" s="54">
        <f>SUM(B16:H16)</f>
        <v/>
      </c>
      <c r="J16" s="15">
        <f>SUM($I$8:I16)</f>
        <v/>
      </c>
      <c r="K16" s="55">
        <f>IF(I16=0,"no uploads this month","")</f>
        <v/>
      </c>
    </row>
    <row r="17">
      <c r="A17" s="53">
        <f>EDATE($B$5,9)</f>
        <v/>
      </c>
      <c r="B17" s="15">
        <f>COUNTIFS('Chart Database'!$B$6:$B$4005,"IP-DRG",'Chart Database'!$H$6:$H$4005,"&gt;="&amp;$A17,'Chart Database'!$H$6:$H$4005,"&lt;"&amp;EDATE($A17,1))</f>
        <v/>
      </c>
      <c r="C17" s="15">
        <f>COUNTIFS('Chart Database'!$B$6:$B$4005,"ED Facility",'Chart Database'!$H$6:$H$4005,"&gt;="&amp;$A17,'Chart Database'!$H$6:$H$4005,"&lt;"&amp;EDATE($A17,1))</f>
        <v/>
      </c>
      <c r="D17" s="15">
        <f>COUNTIFS('Chart Database'!$B$6:$B$4005,"ED Profee",'Chart Database'!$H$6:$H$4005,"&gt;="&amp;$A17,'Chart Database'!$H$6:$H$4005,"&lt;"&amp;EDATE($A17,1))</f>
        <v/>
      </c>
      <c r="E17" s="15">
        <f>COUNTIFS('Chart Database'!$B$6:$B$4005,"E/M",'Chart Database'!$H$6:$H$4005,"&gt;="&amp;$A17,'Chart Database'!$H$6:$H$4005,"&lt;"&amp;EDATE($A17,1))</f>
        <v/>
      </c>
      <c r="F17" s="15">
        <f>COUNTIFS('Chart Database'!$B$6:$B$4005,"SDS",'Chart Database'!$H$6:$H$4005,"&gt;="&amp;$A17,'Chart Database'!$H$6:$H$4005,"&lt;"&amp;EDATE($A17,1))</f>
        <v/>
      </c>
      <c r="G17" s="15">
        <f>COUNTIFS('Chart Database'!$B$6:$B$4005,"Surgery",'Chart Database'!$H$6:$H$4005,"&gt;="&amp;$A17,'Chart Database'!$H$6:$H$4005,"&lt;"&amp;EDATE($A17,1))</f>
        <v/>
      </c>
      <c r="H17" s="15">
        <f>COUNTIFS('Chart Database'!$B$6:$B$4005,"ED Single Path",'Chart Database'!$H$6:$H$4005,"&gt;="&amp;$A17,'Chart Database'!$H$6:$H$4005,"&lt;"&amp;EDATE($A17,1))</f>
        <v/>
      </c>
      <c r="I17" s="54">
        <f>SUM(B17:H17)</f>
        <v/>
      </c>
      <c r="J17" s="15">
        <f>SUM($I$8:I17)</f>
        <v/>
      </c>
      <c r="K17" s="55">
        <f>IF(I17=0,"no uploads this month","")</f>
        <v/>
      </c>
    </row>
    <row r="18">
      <c r="A18" s="53">
        <f>EDATE($B$5,10)</f>
        <v/>
      </c>
      <c r="B18" s="15">
        <f>COUNTIFS('Chart Database'!$B$6:$B$4005,"IP-DRG",'Chart Database'!$H$6:$H$4005,"&gt;="&amp;$A18,'Chart Database'!$H$6:$H$4005,"&lt;"&amp;EDATE($A18,1))</f>
        <v/>
      </c>
      <c r="C18" s="15">
        <f>COUNTIFS('Chart Database'!$B$6:$B$4005,"ED Facility",'Chart Database'!$H$6:$H$4005,"&gt;="&amp;$A18,'Chart Database'!$H$6:$H$4005,"&lt;"&amp;EDATE($A18,1))</f>
        <v/>
      </c>
      <c r="D18" s="15">
        <f>COUNTIFS('Chart Database'!$B$6:$B$4005,"ED Profee",'Chart Database'!$H$6:$H$4005,"&gt;="&amp;$A18,'Chart Database'!$H$6:$H$4005,"&lt;"&amp;EDATE($A18,1))</f>
        <v/>
      </c>
      <c r="E18" s="15">
        <f>COUNTIFS('Chart Database'!$B$6:$B$4005,"E/M",'Chart Database'!$H$6:$H$4005,"&gt;="&amp;$A18,'Chart Database'!$H$6:$H$4005,"&lt;"&amp;EDATE($A18,1))</f>
        <v/>
      </c>
      <c r="F18" s="15">
        <f>COUNTIFS('Chart Database'!$B$6:$B$4005,"SDS",'Chart Database'!$H$6:$H$4005,"&gt;="&amp;$A18,'Chart Database'!$H$6:$H$4005,"&lt;"&amp;EDATE($A18,1))</f>
        <v/>
      </c>
      <c r="G18" s="15">
        <f>COUNTIFS('Chart Database'!$B$6:$B$4005,"Surgery",'Chart Database'!$H$6:$H$4005,"&gt;="&amp;$A18,'Chart Database'!$H$6:$H$4005,"&lt;"&amp;EDATE($A18,1))</f>
        <v/>
      </c>
      <c r="H18" s="15">
        <f>COUNTIFS('Chart Database'!$B$6:$B$4005,"ED Single Path",'Chart Database'!$H$6:$H$4005,"&gt;="&amp;$A18,'Chart Database'!$H$6:$H$4005,"&lt;"&amp;EDATE($A18,1))</f>
        <v/>
      </c>
      <c r="I18" s="54">
        <f>SUM(B18:H18)</f>
        <v/>
      </c>
      <c r="J18" s="15">
        <f>SUM($I$8:I18)</f>
        <v/>
      </c>
      <c r="K18" s="55">
        <f>IF(I18=0,"no uploads this month","")</f>
        <v/>
      </c>
    </row>
    <row r="19">
      <c r="A19" s="53">
        <f>EDATE($B$5,11)</f>
        <v/>
      </c>
      <c r="B19" s="15">
        <f>COUNTIFS('Chart Database'!$B$6:$B$4005,"IP-DRG",'Chart Database'!$H$6:$H$4005,"&gt;="&amp;$A19,'Chart Database'!$H$6:$H$4005,"&lt;"&amp;EDATE($A19,1))</f>
        <v/>
      </c>
      <c r="C19" s="15">
        <f>COUNTIFS('Chart Database'!$B$6:$B$4005,"ED Facility",'Chart Database'!$H$6:$H$4005,"&gt;="&amp;$A19,'Chart Database'!$H$6:$H$4005,"&lt;"&amp;EDATE($A19,1))</f>
        <v/>
      </c>
      <c r="D19" s="15">
        <f>COUNTIFS('Chart Database'!$B$6:$B$4005,"ED Profee",'Chart Database'!$H$6:$H$4005,"&gt;="&amp;$A19,'Chart Database'!$H$6:$H$4005,"&lt;"&amp;EDATE($A19,1))</f>
        <v/>
      </c>
      <c r="E19" s="15">
        <f>COUNTIFS('Chart Database'!$B$6:$B$4005,"E/M",'Chart Database'!$H$6:$H$4005,"&gt;="&amp;$A19,'Chart Database'!$H$6:$H$4005,"&lt;"&amp;EDATE($A19,1))</f>
        <v/>
      </c>
      <c r="F19" s="15">
        <f>COUNTIFS('Chart Database'!$B$6:$B$4005,"SDS",'Chart Database'!$H$6:$H$4005,"&gt;="&amp;$A19,'Chart Database'!$H$6:$H$4005,"&lt;"&amp;EDATE($A19,1))</f>
        <v/>
      </c>
      <c r="G19" s="15">
        <f>COUNTIFS('Chart Database'!$B$6:$B$4005,"Surgery",'Chart Database'!$H$6:$H$4005,"&gt;="&amp;$A19,'Chart Database'!$H$6:$H$4005,"&lt;"&amp;EDATE($A19,1))</f>
        <v/>
      </c>
      <c r="H19" s="15">
        <f>COUNTIFS('Chart Database'!$B$6:$B$4005,"ED Single Path",'Chart Database'!$H$6:$H$4005,"&gt;="&amp;$A19,'Chart Database'!$H$6:$H$4005,"&lt;"&amp;EDATE($A19,1))</f>
        <v/>
      </c>
      <c r="I19" s="54">
        <f>SUM(B19:H19)</f>
        <v/>
      </c>
      <c r="J19" s="15">
        <f>SUM($I$8:I19)</f>
        <v/>
      </c>
      <c r="K19" s="55">
        <f>IF(I19=0,"no uploads this month","")</f>
        <v/>
      </c>
    </row>
    <row r="20">
      <c r="A20" s="53">
        <f>EDATE($B$5,12)</f>
        <v/>
      </c>
      <c r="B20" s="15">
        <f>COUNTIFS('Chart Database'!$B$6:$B$4005,"IP-DRG",'Chart Database'!$H$6:$H$4005,"&gt;="&amp;$A20,'Chart Database'!$H$6:$H$4005,"&lt;"&amp;EDATE($A20,1))</f>
        <v/>
      </c>
      <c r="C20" s="15">
        <f>COUNTIFS('Chart Database'!$B$6:$B$4005,"ED Facility",'Chart Database'!$H$6:$H$4005,"&gt;="&amp;$A20,'Chart Database'!$H$6:$H$4005,"&lt;"&amp;EDATE($A20,1))</f>
        <v/>
      </c>
      <c r="D20" s="15">
        <f>COUNTIFS('Chart Database'!$B$6:$B$4005,"ED Profee",'Chart Database'!$H$6:$H$4005,"&gt;="&amp;$A20,'Chart Database'!$H$6:$H$4005,"&lt;"&amp;EDATE($A20,1))</f>
        <v/>
      </c>
      <c r="E20" s="15">
        <f>COUNTIFS('Chart Database'!$B$6:$B$4005,"E/M",'Chart Database'!$H$6:$H$4005,"&gt;="&amp;$A20,'Chart Database'!$H$6:$H$4005,"&lt;"&amp;EDATE($A20,1))</f>
        <v/>
      </c>
      <c r="F20" s="15">
        <f>COUNTIFS('Chart Database'!$B$6:$B$4005,"SDS",'Chart Database'!$H$6:$H$4005,"&gt;="&amp;$A20,'Chart Database'!$H$6:$H$4005,"&lt;"&amp;EDATE($A20,1))</f>
        <v/>
      </c>
      <c r="G20" s="15">
        <f>COUNTIFS('Chart Database'!$B$6:$B$4005,"Surgery",'Chart Database'!$H$6:$H$4005,"&gt;="&amp;$A20,'Chart Database'!$H$6:$H$4005,"&lt;"&amp;EDATE($A20,1))</f>
        <v/>
      </c>
      <c r="H20" s="15">
        <f>COUNTIFS('Chart Database'!$B$6:$B$4005,"ED Single Path",'Chart Database'!$H$6:$H$4005,"&gt;="&amp;$A20,'Chart Database'!$H$6:$H$4005,"&lt;"&amp;EDATE($A20,1))</f>
        <v/>
      </c>
      <c r="I20" s="54">
        <f>SUM(B20:H20)</f>
        <v/>
      </c>
      <c r="J20" s="15">
        <f>SUM($I$8:I20)</f>
        <v/>
      </c>
      <c r="K20" s="55">
        <f>IF(I20=0,"no uploads this month","")</f>
        <v/>
      </c>
    </row>
    <row r="21">
      <c r="A21" s="53">
        <f>EDATE($B$5,13)</f>
        <v/>
      </c>
      <c r="B21" s="15">
        <f>COUNTIFS('Chart Database'!$B$6:$B$4005,"IP-DRG",'Chart Database'!$H$6:$H$4005,"&gt;="&amp;$A21,'Chart Database'!$H$6:$H$4005,"&lt;"&amp;EDATE($A21,1))</f>
        <v/>
      </c>
      <c r="C21" s="15">
        <f>COUNTIFS('Chart Database'!$B$6:$B$4005,"ED Facility",'Chart Database'!$H$6:$H$4005,"&gt;="&amp;$A21,'Chart Database'!$H$6:$H$4005,"&lt;"&amp;EDATE($A21,1))</f>
        <v/>
      </c>
      <c r="D21" s="15">
        <f>COUNTIFS('Chart Database'!$B$6:$B$4005,"ED Profee",'Chart Database'!$H$6:$H$4005,"&gt;="&amp;$A21,'Chart Database'!$H$6:$H$4005,"&lt;"&amp;EDATE($A21,1))</f>
        <v/>
      </c>
      <c r="E21" s="15">
        <f>COUNTIFS('Chart Database'!$B$6:$B$4005,"E/M",'Chart Database'!$H$6:$H$4005,"&gt;="&amp;$A21,'Chart Database'!$H$6:$H$4005,"&lt;"&amp;EDATE($A21,1))</f>
        <v/>
      </c>
      <c r="F21" s="15">
        <f>COUNTIFS('Chart Database'!$B$6:$B$4005,"SDS",'Chart Database'!$H$6:$H$4005,"&gt;="&amp;$A21,'Chart Database'!$H$6:$H$4005,"&lt;"&amp;EDATE($A21,1))</f>
        <v/>
      </c>
      <c r="G21" s="15">
        <f>COUNTIFS('Chart Database'!$B$6:$B$4005,"Surgery",'Chart Database'!$H$6:$H$4005,"&gt;="&amp;$A21,'Chart Database'!$H$6:$H$4005,"&lt;"&amp;EDATE($A21,1))</f>
        <v/>
      </c>
      <c r="H21" s="15">
        <f>COUNTIFS('Chart Database'!$B$6:$B$4005,"ED Single Path",'Chart Database'!$H$6:$H$4005,"&gt;="&amp;$A21,'Chart Database'!$H$6:$H$4005,"&lt;"&amp;EDATE($A21,1))</f>
        <v/>
      </c>
      <c r="I21" s="54">
        <f>SUM(B21:H21)</f>
        <v/>
      </c>
      <c r="J21" s="15">
        <f>SUM($I$8:I21)</f>
        <v/>
      </c>
      <c r="K21" s="55">
        <f>IF(I21=0,"no uploads this month","")</f>
        <v/>
      </c>
    </row>
    <row r="22">
      <c r="A22" s="53">
        <f>EDATE($B$5,14)</f>
        <v/>
      </c>
      <c r="B22" s="15">
        <f>COUNTIFS('Chart Database'!$B$6:$B$4005,"IP-DRG",'Chart Database'!$H$6:$H$4005,"&gt;="&amp;$A22,'Chart Database'!$H$6:$H$4005,"&lt;"&amp;EDATE($A22,1))</f>
        <v/>
      </c>
      <c r="C22" s="15">
        <f>COUNTIFS('Chart Database'!$B$6:$B$4005,"ED Facility",'Chart Database'!$H$6:$H$4005,"&gt;="&amp;$A22,'Chart Database'!$H$6:$H$4005,"&lt;"&amp;EDATE($A22,1))</f>
        <v/>
      </c>
      <c r="D22" s="15">
        <f>COUNTIFS('Chart Database'!$B$6:$B$4005,"ED Profee",'Chart Database'!$H$6:$H$4005,"&gt;="&amp;$A22,'Chart Database'!$H$6:$H$4005,"&lt;"&amp;EDATE($A22,1))</f>
        <v/>
      </c>
      <c r="E22" s="15">
        <f>COUNTIFS('Chart Database'!$B$6:$B$4005,"E/M",'Chart Database'!$H$6:$H$4005,"&gt;="&amp;$A22,'Chart Database'!$H$6:$H$4005,"&lt;"&amp;EDATE($A22,1))</f>
        <v/>
      </c>
      <c r="F22" s="15">
        <f>COUNTIFS('Chart Database'!$B$6:$B$4005,"SDS",'Chart Database'!$H$6:$H$4005,"&gt;="&amp;$A22,'Chart Database'!$H$6:$H$4005,"&lt;"&amp;EDATE($A22,1))</f>
        <v/>
      </c>
      <c r="G22" s="15">
        <f>COUNTIFS('Chart Database'!$B$6:$B$4005,"Surgery",'Chart Database'!$H$6:$H$4005,"&gt;="&amp;$A22,'Chart Database'!$H$6:$H$4005,"&lt;"&amp;EDATE($A22,1))</f>
        <v/>
      </c>
      <c r="H22" s="15">
        <f>COUNTIFS('Chart Database'!$B$6:$B$4005,"ED Single Path",'Chart Database'!$H$6:$H$4005,"&gt;="&amp;$A22,'Chart Database'!$H$6:$H$4005,"&lt;"&amp;EDATE($A22,1))</f>
        <v/>
      </c>
      <c r="I22" s="54">
        <f>SUM(B22:H22)</f>
        <v/>
      </c>
      <c r="J22" s="15">
        <f>SUM($I$8:I22)</f>
        <v/>
      </c>
      <c r="K22" s="55">
        <f>IF(I22=0,"no uploads this month","")</f>
        <v/>
      </c>
    </row>
    <row r="23">
      <c r="A23" s="53">
        <f>EDATE($B$5,15)</f>
        <v/>
      </c>
      <c r="B23" s="15">
        <f>COUNTIFS('Chart Database'!$B$6:$B$4005,"IP-DRG",'Chart Database'!$H$6:$H$4005,"&gt;="&amp;$A23,'Chart Database'!$H$6:$H$4005,"&lt;"&amp;EDATE($A23,1))</f>
        <v/>
      </c>
      <c r="C23" s="15">
        <f>COUNTIFS('Chart Database'!$B$6:$B$4005,"ED Facility",'Chart Database'!$H$6:$H$4005,"&gt;="&amp;$A23,'Chart Database'!$H$6:$H$4005,"&lt;"&amp;EDATE($A23,1))</f>
        <v/>
      </c>
      <c r="D23" s="15">
        <f>COUNTIFS('Chart Database'!$B$6:$B$4005,"ED Profee",'Chart Database'!$H$6:$H$4005,"&gt;="&amp;$A23,'Chart Database'!$H$6:$H$4005,"&lt;"&amp;EDATE($A23,1))</f>
        <v/>
      </c>
      <c r="E23" s="15">
        <f>COUNTIFS('Chart Database'!$B$6:$B$4005,"E/M",'Chart Database'!$H$6:$H$4005,"&gt;="&amp;$A23,'Chart Database'!$H$6:$H$4005,"&lt;"&amp;EDATE($A23,1))</f>
        <v/>
      </c>
      <c r="F23" s="15">
        <f>COUNTIFS('Chart Database'!$B$6:$B$4005,"SDS",'Chart Database'!$H$6:$H$4005,"&gt;="&amp;$A23,'Chart Database'!$H$6:$H$4005,"&lt;"&amp;EDATE($A23,1))</f>
        <v/>
      </c>
      <c r="G23" s="15">
        <f>COUNTIFS('Chart Database'!$B$6:$B$4005,"Surgery",'Chart Database'!$H$6:$H$4005,"&gt;="&amp;$A23,'Chart Database'!$H$6:$H$4005,"&lt;"&amp;EDATE($A23,1))</f>
        <v/>
      </c>
      <c r="H23" s="15">
        <f>COUNTIFS('Chart Database'!$B$6:$B$4005,"ED Single Path",'Chart Database'!$H$6:$H$4005,"&gt;="&amp;$A23,'Chart Database'!$H$6:$H$4005,"&lt;"&amp;EDATE($A23,1))</f>
        <v/>
      </c>
      <c r="I23" s="54">
        <f>SUM(B23:H23)</f>
        <v/>
      </c>
      <c r="J23" s="15">
        <f>SUM($I$8:I23)</f>
        <v/>
      </c>
      <c r="K23" s="55">
        <f>IF(I23=0,"no uploads this month","")</f>
        <v/>
      </c>
    </row>
    <row r="24">
      <c r="A24" s="53">
        <f>EDATE($B$5,16)</f>
        <v/>
      </c>
      <c r="B24" s="15">
        <f>COUNTIFS('Chart Database'!$B$6:$B$4005,"IP-DRG",'Chart Database'!$H$6:$H$4005,"&gt;="&amp;$A24,'Chart Database'!$H$6:$H$4005,"&lt;"&amp;EDATE($A24,1))</f>
        <v/>
      </c>
      <c r="C24" s="15">
        <f>COUNTIFS('Chart Database'!$B$6:$B$4005,"ED Facility",'Chart Database'!$H$6:$H$4005,"&gt;="&amp;$A24,'Chart Database'!$H$6:$H$4005,"&lt;"&amp;EDATE($A24,1))</f>
        <v/>
      </c>
      <c r="D24" s="15">
        <f>COUNTIFS('Chart Database'!$B$6:$B$4005,"ED Profee",'Chart Database'!$H$6:$H$4005,"&gt;="&amp;$A24,'Chart Database'!$H$6:$H$4005,"&lt;"&amp;EDATE($A24,1))</f>
        <v/>
      </c>
      <c r="E24" s="15">
        <f>COUNTIFS('Chart Database'!$B$6:$B$4005,"E/M",'Chart Database'!$H$6:$H$4005,"&gt;="&amp;$A24,'Chart Database'!$H$6:$H$4005,"&lt;"&amp;EDATE($A24,1))</f>
        <v/>
      </c>
      <c r="F24" s="15">
        <f>COUNTIFS('Chart Database'!$B$6:$B$4005,"SDS",'Chart Database'!$H$6:$H$4005,"&gt;="&amp;$A24,'Chart Database'!$H$6:$H$4005,"&lt;"&amp;EDATE($A24,1))</f>
        <v/>
      </c>
      <c r="G24" s="15">
        <f>COUNTIFS('Chart Database'!$B$6:$B$4005,"Surgery",'Chart Database'!$H$6:$H$4005,"&gt;="&amp;$A24,'Chart Database'!$H$6:$H$4005,"&lt;"&amp;EDATE($A24,1))</f>
        <v/>
      </c>
      <c r="H24" s="15">
        <f>COUNTIFS('Chart Database'!$B$6:$B$4005,"ED Single Path",'Chart Database'!$H$6:$H$4005,"&gt;="&amp;$A24,'Chart Database'!$H$6:$H$4005,"&lt;"&amp;EDATE($A24,1))</f>
        <v/>
      </c>
      <c r="I24" s="54">
        <f>SUM(B24:H24)</f>
        <v/>
      </c>
      <c r="J24" s="15">
        <f>SUM($I$8:I24)</f>
        <v/>
      </c>
      <c r="K24" s="55">
        <f>IF(I24=0,"no uploads this month","")</f>
        <v/>
      </c>
    </row>
    <row r="25">
      <c r="A25" s="53">
        <f>EDATE($B$5,17)</f>
        <v/>
      </c>
      <c r="B25" s="15">
        <f>COUNTIFS('Chart Database'!$B$6:$B$4005,"IP-DRG",'Chart Database'!$H$6:$H$4005,"&gt;="&amp;$A25,'Chart Database'!$H$6:$H$4005,"&lt;"&amp;EDATE($A25,1))</f>
        <v/>
      </c>
      <c r="C25" s="15">
        <f>COUNTIFS('Chart Database'!$B$6:$B$4005,"ED Facility",'Chart Database'!$H$6:$H$4005,"&gt;="&amp;$A25,'Chart Database'!$H$6:$H$4005,"&lt;"&amp;EDATE($A25,1))</f>
        <v/>
      </c>
      <c r="D25" s="15">
        <f>COUNTIFS('Chart Database'!$B$6:$B$4005,"ED Profee",'Chart Database'!$H$6:$H$4005,"&gt;="&amp;$A25,'Chart Database'!$H$6:$H$4005,"&lt;"&amp;EDATE($A25,1))</f>
        <v/>
      </c>
      <c r="E25" s="15">
        <f>COUNTIFS('Chart Database'!$B$6:$B$4005,"E/M",'Chart Database'!$H$6:$H$4005,"&gt;="&amp;$A25,'Chart Database'!$H$6:$H$4005,"&lt;"&amp;EDATE($A25,1))</f>
        <v/>
      </c>
      <c r="F25" s="15">
        <f>COUNTIFS('Chart Database'!$B$6:$B$4005,"SDS",'Chart Database'!$H$6:$H$4005,"&gt;="&amp;$A25,'Chart Database'!$H$6:$H$4005,"&lt;"&amp;EDATE($A25,1))</f>
        <v/>
      </c>
      <c r="G25" s="15">
        <f>COUNTIFS('Chart Database'!$B$6:$B$4005,"Surgery",'Chart Database'!$H$6:$H$4005,"&gt;="&amp;$A25,'Chart Database'!$H$6:$H$4005,"&lt;"&amp;EDATE($A25,1))</f>
        <v/>
      </c>
      <c r="H25" s="15">
        <f>COUNTIFS('Chart Database'!$B$6:$B$4005,"ED Single Path",'Chart Database'!$H$6:$H$4005,"&gt;="&amp;$A25,'Chart Database'!$H$6:$H$4005,"&lt;"&amp;EDATE($A25,1))</f>
        <v/>
      </c>
      <c r="I25" s="54">
        <f>SUM(B25:H25)</f>
        <v/>
      </c>
      <c r="J25" s="15">
        <f>SUM($I$8:I25)</f>
        <v/>
      </c>
      <c r="K25" s="55">
        <f>IF(I25=0,"no uploads this month","")</f>
        <v/>
      </c>
    </row>
    <row r="26">
      <c r="A26" s="53">
        <f>EDATE($B$5,18)</f>
        <v/>
      </c>
      <c r="B26" s="15">
        <f>COUNTIFS('Chart Database'!$B$6:$B$4005,"IP-DRG",'Chart Database'!$H$6:$H$4005,"&gt;="&amp;$A26,'Chart Database'!$H$6:$H$4005,"&lt;"&amp;EDATE($A26,1))</f>
        <v/>
      </c>
      <c r="C26" s="15">
        <f>COUNTIFS('Chart Database'!$B$6:$B$4005,"ED Facility",'Chart Database'!$H$6:$H$4005,"&gt;="&amp;$A26,'Chart Database'!$H$6:$H$4005,"&lt;"&amp;EDATE($A26,1))</f>
        <v/>
      </c>
      <c r="D26" s="15">
        <f>COUNTIFS('Chart Database'!$B$6:$B$4005,"ED Profee",'Chart Database'!$H$6:$H$4005,"&gt;="&amp;$A26,'Chart Database'!$H$6:$H$4005,"&lt;"&amp;EDATE($A26,1))</f>
        <v/>
      </c>
      <c r="E26" s="15">
        <f>COUNTIFS('Chart Database'!$B$6:$B$4005,"E/M",'Chart Database'!$H$6:$H$4005,"&gt;="&amp;$A26,'Chart Database'!$H$6:$H$4005,"&lt;"&amp;EDATE($A26,1))</f>
        <v/>
      </c>
      <c r="F26" s="15">
        <f>COUNTIFS('Chart Database'!$B$6:$B$4005,"SDS",'Chart Database'!$H$6:$H$4005,"&gt;="&amp;$A26,'Chart Database'!$H$6:$H$4005,"&lt;"&amp;EDATE($A26,1))</f>
        <v/>
      </c>
      <c r="G26" s="15">
        <f>COUNTIFS('Chart Database'!$B$6:$B$4005,"Surgery",'Chart Database'!$H$6:$H$4005,"&gt;="&amp;$A26,'Chart Database'!$H$6:$H$4005,"&lt;"&amp;EDATE($A26,1))</f>
        <v/>
      </c>
      <c r="H26" s="15">
        <f>COUNTIFS('Chart Database'!$B$6:$B$4005,"ED Single Path",'Chart Database'!$H$6:$H$4005,"&gt;="&amp;$A26,'Chart Database'!$H$6:$H$4005,"&lt;"&amp;EDATE($A26,1))</f>
        <v/>
      </c>
      <c r="I26" s="54">
        <f>SUM(B26:H26)</f>
        <v/>
      </c>
      <c r="J26" s="15">
        <f>SUM($I$8:I26)</f>
        <v/>
      </c>
      <c r="K26" s="55">
        <f>IF(I26=0,"no uploads this month","")</f>
        <v/>
      </c>
    </row>
    <row r="27">
      <c r="A27" s="53">
        <f>EDATE($B$5,19)</f>
        <v/>
      </c>
      <c r="B27" s="15">
        <f>COUNTIFS('Chart Database'!$B$6:$B$4005,"IP-DRG",'Chart Database'!$H$6:$H$4005,"&gt;="&amp;$A27,'Chart Database'!$H$6:$H$4005,"&lt;"&amp;EDATE($A27,1))</f>
        <v/>
      </c>
      <c r="C27" s="15">
        <f>COUNTIFS('Chart Database'!$B$6:$B$4005,"ED Facility",'Chart Database'!$H$6:$H$4005,"&gt;="&amp;$A27,'Chart Database'!$H$6:$H$4005,"&lt;"&amp;EDATE($A27,1))</f>
        <v/>
      </c>
      <c r="D27" s="15">
        <f>COUNTIFS('Chart Database'!$B$6:$B$4005,"ED Profee",'Chart Database'!$H$6:$H$4005,"&gt;="&amp;$A27,'Chart Database'!$H$6:$H$4005,"&lt;"&amp;EDATE($A27,1))</f>
        <v/>
      </c>
      <c r="E27" s="15">
        <f>COUNTIFS('Chart Database'!$B$6:$B$4005,"E/M",'Chart Database'!$H$6:$H$4005,"&gt;="&amp;$A27,'Chart Database'!$H$6:$H$4005,"&lt;"&amp;EDATE($A27,1))</f>
        <v/>
      </c>
      <c r="F27" s="15">
        <f>COUNTIFS('Chart Database'!$B$6:$B$4005,"SDS",'Chart Database'!$H$6:$H$4005,"&gt;="&amp;$A27,'Chart Database'!$H$6:$H$4005,"&lt;"&amp;EDATE($A27,1))</f>
        <v/>
      </c>
      <c r="G27" s="15">
        <f>COUNTIFS('Chart Database'!$B$6:$B$4005,"Surgery",'Chart Database'!$H$6:$H$4005,"&gt;="&amp;$A27,'Chart Database'!$H$6:$H$4005,"&lt;"&amp;EDATE($A27,1))</f>
        <v/>
      </c>
      <c r="H27" s="15">
        <f>COUNTIFS('Chart Database'!$B$6:$B$4005,"ED Single Path",'Chart Database'!$H$6:$H$4005,"&gt;="&amp;$A27,'Chart Database'!$H$6:$H$4005,"&lt;"&amp;EDATE($A27,1))</f>
        <v/>
      </c>
      <c r="I27" s="54">
        <f>SUM(B27:H27)</f>
        <v/>
      </c>
      <c r="J27" s="15">
        <f>SUM($I$8:I27)</f>
        <v/>
      </c>
      <c r="K27" s="55">
        <f>IF(I27=0,"no uploads this month","")</f>
        <v/>
      </c>
    </row>
    <row r="28">
      <c r="A28" s="53">
        <f>EDATE($B$5,20)</f>
        <v/>
      </c>
      <c r="B28" s="15">
        <f>COUNTIFS('Chart Database'!$B$6:$B$4005,"IP-DRG",'Chart Database'!$H$6:$H$4005,"&gt;="&amp;$A28,'Chart Database'!$H$6:$H$4005,"&lt;"&amp;EDATE($A28,1))</f>
        <v/>
      </c>
      <c r="C28" s="15">
        <f>COUNTIFS('Chart Database'!$B$6:$B$4005,"ED Facility",'Chart Database'!$H$6:$H$4005,"&gt;="&amp;$A28,'Chart Database'!$H$6:$H$4005,"&lt;"&amp;EDATE($A28,1))</f>
        <v/>
      </c>
      <c r="D28" s="15">
        <f>COUNTIFS('Chart Database'!$B$6:$B$4005,"ED Profee",'Chart Database'!$H$6:$H$4005,"&gt;="&amp;$A28,'Chart Database'!$H$6:$H$4005,"&lt;"&amp;EDATE($A28,1))</f>
        <v/>
      </c>
      <c r="E28" s="15">
        <f>COUNTIFS('Chart Database'!$B$6:$B$4005,"E/M",'Chart Database'!$H$6:$H$4005,"&gt;="&amp;$A28,'Chart Database'!$H$6:$H$4005,"&lt;"&amp;EDATE($A28,1))</f>
        <v/>
      </c>
      <c r="F28" s="15">
        <f>COUNTIFS('Chart Database'!$B$6:$B$4005,"SDS",'Chart Database'!$H$6:$H$4005,"&gt;="&amp;$A28,'Chart Database'!$H$6:$H$4005,"&lt;"&amp;EDATE($A28,1))</f>
        <v/>
      </c>
      <c r="G28" s="15">
        <f>COUNTIFS('Chart Database'!$B$6:$B$4005,"Surgery",'Chart Database'!$H$6:$H$4005,"&gt;="&amp;$A28,'Chart Database'!$H$6:$H$4005,"&lt;"&amp;EDATE($A28,1))</f>
        <v/>
      </c>
      <c r="H28" s="15">
        <f>COUNTIFS('Chart Database'!$B$6:$B$4005,"ED Single Path",'Chart Database'!$H$6:$H$4005,"&gt;="&amp;$A28,'Chart Database'!$H$6:$H$4005,"&lt;"&amp;EDATE($A28,1))</f>
        <v/>
      </c>
      <c r="I28" s="54">
        <f>SUM(B28:H28)</f>
        <v/>
      </c>
      <c r="J28" s="15">
        <f>SUM($I$8:I28)</f>
        <v/>
      </c>
      <c r="K28" s="55">
        <f>IF(I28=0,"no uploads this month","")</f>
        <v/>
      </c>
    </row>
    <row r="29">
      <c r="A29" s="53">
        <f>EDATE($B$5,21)</f>
        <v/>
      </c>
      <c r="B29" s="15">
        <f>COUNTIFS('Chart Database'!$B$6:$B$4005,"IP-DRG",'Chart Database'!$H$6:$H$4005,"&gt;="&amp;$A29,'Chart Database'!$H$6:$H$4005,"&lt;"&amp;EDATE($A29,1))</f>
        <v/>
      </c>
      <c r="C29" s="15">
        <f>COUNTIFS('Chart Database'!$B$6:$B$4005,"ED Facility",'Chart Database'!$H$6:$H$4005,"&gt;="&amp;$A29,'Chart Database'!$H$6:$H$4005,"&lt;"&amp;EDATE($A29,1))</f>
        <v/>
      </c>
      <c r="D29" s="15">
        <f>COUNTIFS('Chart Database'!$B$6:$B$4005,"ED Profee",'Chart Database'!$H$6:$H$4005,"&gt;="&amp;$A29,'Chart Database'!$H$6:$H$4005,"&lt;"&amp;EDATE($A29,1))</f>
        <v/>
      </c>
      <c r="E29" s="15">
        <f>COUNTIFS('Chart Database'!$B$6:$B$4005,"E/M",'Chart Database'!$H$6:$H$4005,"&gt;="&amp;$A29,'Chart Database'!$H$6:$H$4005,"&lt;"&amp;EDATE($A29,1))</f>
        <v/>
      </c>
      <c r="F29" s="15">
        <f>COUNTIFS('Chart Database'!$B$6:$B$4005,"SDS",'Chart Database'!$H$6:$H$4005,"&gt;="&amp;$A29,'Chart Database'!$H$6:$H$4005,"&lt;"&amp;EDATE($A29,1))</f>
        <v/>
      </c>
      <c r="G29" s="15">
        <f>COUNTIFS('Chart Database'!$B$6:$B$4005,"Surgery",'Chart Database'!$H$6:$H$4005,"&gt;="&amp;$A29,'Chart Database'!$H$6:$H$4005,"&lt;"&amp;EDATE($A29,1))</f>
        <v/>
      </c>
      <c r="H29" s="15">
        <f>COUNTIFS('Chart Database'!$B$6:$B$4005,"ED Single Path",'Chart Database'!$H$6:$H$4005,"&gt;="&amp;$A29,'Chart Database'!$H$6:$H$4005,"&lt;"&amp;EDATE($A29,1))</f>
        <v/>
      </c>
      <c r="I29" s="54">
        <f>SUM(B29:H29)</f>
        <v/>
      </c>
      <c r="J29" s="15">
        <f>SUM($I$8:I29)</f>
        <v/>
      </c>
      <c r="K29" s="55">
        <f>IF(I29=0,"no uploads this month","")</f>
        <v/>
      </c>
    </row>
    <row r="30">
      <c r="A30" s="53">
        <f>EDATE($B$5,22)</f>
        <v/>
      </c>
      <c r="B30" s="15">
        <f>COUNTIFS('Chart Database'!$B$6:$B$4005,"IP-DRG",'Chart Database'!$H$6:$H$4005,"&gt;="&amp;$A30,'Chart Database'!$H$6:$H$4005,"&lt;"&amp;EDATE($A30,1))</f>
        <v/>
      </c>
      <c r="C30" s="15">
        <f>COUNTIFS('Chart Database'!$B$6:$B$4005,"ED Facility",'Chart Database'!$H$6:$H$4005,"&gt;="&amp;$A30,'Chart Database'!$H$6:$H$4005,"&lt;"&amp;EDATE($A30,1))</f>
        <v/>
      </c>
      <c r="D30" s="15">
        <f>COUNTIFS('Chart Database'!$B$6:$B$4005,"ED Profee",'Chart Database'!$H$6:$H$4005,"&gt;="&amp;$A30,'Chart Database'!$H$6:$H$4005,"&lt;"&amp;EDATE($A30,1))</f>
        <v/>
      </c>
      <c r="E30" s="15">
        <f>COUNTIFS('Chart Database'!$B$6:$B$4005,"E/M",'Chart Database'!$H$6:$H$4005,"&gt;="&amp;$A30,'Chart Database'!$H$6:$H$4005,"&lt;"&amp;EDATE($A30,1))</f>
        <v/>
      </c>
      <c r="F30" s="15">
        <f>COUNTIFS('Chart Database'!$B$6:$B$4005,"SDS",'Chart Database'!$H$6:$H$4005,"&gt;="&amp;$A30,'Chart Database'!$H$6:$H$4005,"&lt;"&amp;EDATE($A30,1))</f>
        <v/>
      </c>
      <c r="G30" s="15">
        <f>COUNTIFS('Chart Database'!$B$6:$B$4005,"Surgery",'Chart Database'!$H$6:$H$4005,"&gt;="&amp;$A30,'Chart Database'!$H$6:$H$4005,"&lt;"&amp;EDATE($A30,1))</f>
        <v/>
      </c>
      <c r="H30" s="15">
        <f>COUNTIFS('Chart Database'!$B$6:$B$4005,"ED Single Path",'Chart Database'!$H$6:$H$4005,"&gt;="&amp;$A30,'Chart Database'!$H$6:$H$4005,"&lt;"&amp;EDATE($A30,1))</f>
        <v/>
      </c>
      <c r="I30" s="54">
        <f>SUM(B30:H30)</f>
        <v/>
      </c>
      <c r="J30" s="15">
        <f>SUM($I$8:I30)</f>
        <v/>
      </c>
      <c r="K30" s="55">
        <f>IF(I30=0,"no uploads this month","")</f>
        <v/>
      </c>
    </row>
    <row r="31">
      <c r="A31" s="53">
        <f>EDATE($B$5,23)</f>
        <v/>
      </c>
      <c r="B31" s="15">
        <f>COUNTIFS('Chart Database'!$B$6:$B$4005,"IP-DRG",'Chart Database'!$H$6:$H$4005,"&gt;="&amp;$A31,'Chart Database'!$H$6:$H$4005,"&lt;"&amp;EDATE($A31,1))</f>
        <v/>
      </c>
      <c r="C31" s="15">
        <f>COUNTIFS('Chart Database'!$B$6:$B$4005,"ED Facility",'Chart Database'!$H$6:$H$4005,"&gt;="&amp;$A31,'Chart Database'!$H$6:$H$4005,"&lt;"&amp;EDATE($A31,1))</f>
        <v/>
      </c>
      <c r="D31" s="15">
        <f>COUNTIFS('Chart Database'!$B$6:$B$4005,"ED Profee",'Chart Database'!$H$6:$H$4005,"&gt;="&amp;$A31,'Chart Database'!$H$6:$H$4005,"&lt;"&amp;EDATE($A31,1))</f>
        <v/>
      </c>
      <c r="E31" s="15">
        <f>COUNTIFS('Chart Database'!$B$6:$B$4005,"E/M",'Chart Database'!$H$6:$H$4005,"&gt;="&amp;$A31,'Chart Database'!$H$6:$H$4005,"&lt;"&amp;EDATE($A31,1))</f>
        <v/>
      </c>
      <c r="F31" s="15">
        <f>COUNTIFS('Chart Database'!$B$6:$B$4005,"SDS",'Chart Database'!$H$6:$H$4005,"&gt;="&amp;$A31,'Chart Database'!$H$6:$H$4005,"&lt;"&amp;EDATE($A31,1))</f>
        <v/>
      </c>
      <c r="G31" s="15">
        <f>COUNTIFS('Chart Database'!$B$6:$B$4005,"Surgery",'Chart Database'!$H$6:$H$4005,"&gt;="&amp;$A31,'Chart Database'!$H$6:$H$4005,"&lt;"&amp;EDATE($A31,1))</f>
        <v/>
      </c>
      <c r="H31" s="15">
        <f>COUNTIFS('Chart Database'!$B$6:$B$4005,"ED Single Path",'Chart Database'!$H$6:$H$4005,"&gt;="&amp;$A31,'Chart Database'!$H$6:$H$4005,"&lt;"&amp;EDATE($A31,1))</f>
        <v/>
      </c>
      <c r="I31" s="54">
        <f>SUM(B31:H31)</f>
        <v/>
      </c>
      <c r="J31" s="15">
        <f>SUM($I$8:I31)</f>
        <v/>
      </c>
      <c r="K31" s="55">
        <f>IF(I31=0,"no uploads this month","")</f>
        <v/>
      </c>
    </row>
    <row r="32">
      <c r="A32" s="40" t="inlineStr">
        <is>
          <t>TOTAL</t>
        </is>
      </c>
      <c r="B32" s="42">
        <f>SUM(B8:B31)</f>
        <v/>
      </c>
      <c r="C32" s="42">
        <f>SUM(C8:C31)</f>
        <v/>
      </c>
      <c r="D32" s="42">
        <f>SUM(D8:D31)</f>
        <v/>
      </c>
      <c r="E32" s="42">
        <f>SUM(E8:E31)</f>
        <v/>
      </c>
      <c r="F32" s="42">
        <f>SUM(F8:F31)</f>
        <v/>
      </c>
      <c r="G32" s="42">
        <f>SUM(G8:G31)</f>
        <v/>
      </c>
      <c r="H32" s="42">
        <f>SUM(H8:H31)</f>
        <v/>
      </c>
      <c r="I32" s="42">
        <f>SUM(I8:I31)</f>
        <v/>
      </c>
      <c r="J32" s="56" t="n"/>
      <c r="K32" s="56" t="n"/>
    </row>
    <row r="34" ht="26" customHeight="1">
      <c r="A34" s="18" t="inlineStr">
        <is>
          <t>The data bar in the Total column is the build rate. A run of short bars is the refresh falling behind; a spike is usually one trainer clearing a backlog, which is worth knowing before it is read as capacity.</t>
        </is>
      </c>
    </row>
    <row r="35" ht="14" customHeight="1">
      <c r="A35" s="18" t="inlineStr">
        <is>
          <t>Months are counted on created_at, which is when the chart was UPLOADED, not when it was sourced or when it went live to a batch.</t>
        </is>
      </c>
    </row>
  </sheetData>
  <mergeCells count="6">
    <mergeCell ref="A34:K34"/>
    <mergeCell ref="A35:K35"/>
    <mergeCell ref="A4:K4"/>
    <mergeCell ref="A2:K2"/>
    <mergeCell ref="D5:K5"/>
    <mergeCell ref="A1:K1"/>
  </mergeCells>
  <conditionalFormatting sqref="I8:I31">
    <cfRule type="dataBar" priority="1">
      <dataBar showValue="1">
        <cfvo type="num" val="0"/>
        <cfvo type="max"/>
        <color rgb="002E75B6"/>
      </dataBar>
    </cfRule>
    <cfRule type="cellIs" priority="2" operator="equal" dxfId="3">
      <formula>0</formula>
    </cfRule>
  </conditionalFormatting>
  <conditionalFormatting sqref="A8:K31">
    <cfRule type="expression" priority="3" dxfId="4">
      <formula>MOD(ROW(),2)=0</formula>
    </cfRule>
  </conditionalFormatting>
  <pageMargins left="0.75" right="0.75" top="1" bottom="1" header="0.5" footer="0.5"/>
</worksheet>
</file>

<file path=xl/worksheets/sheet8.xml><?xml version="1.0" encoding="utf-8"?>
<worksheet xmlns="http://schemas.openxmlformats.org/spreadsheetml/2006/main">
  <sheetPr>
    <tabColor rgb="001F5C99"/>
    <outlinePr summaryBelow="1" summaryRight="1"/>
    <pageSetUpPr/>
  </sheetPr>
  <dimension ref="A1:G26"/>
  <sheetViews>
    <sheetView showGridLines="0" zoomScale="90"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4" customWidth="1" min="6" max="6"/>
    <col width="44" customWidth="1" min="7" max="7"/>
  </cols>
  <sheetData>
    <row r="1" ht="26" customHeight="1">
      <c r="A1" s="1" t="inlineStr">
        <is>
          <t>Recent Activity</t>
        </is>
      </c>
    </row>
    <row r="2">
      <c r="A2" s="2" t="inlineStr">
        <is>
          <t>What has changed lately, by window. Everything counts ACTIVE charts unless the row says otherwise.</t>
        </is>
      </c>
    </row>
    <row r="3" ht="3" customHeight="1">
      <c r="A3" s="3" t="n"/>
      <c r="B3" s="3" t="n"/>
      <c r="C3" s="3" t="n"/>
      <c r="D3" s="3" t="n"/>
      <c r="E3" s="3" t="n"/>
      <c r="F3" s="3" t="n"/>
      <c r="G3" s="3" t="n"/>
    </row>
    <row r="4" ht="34" customHeight="1">
      <c r="A4" s="13" t="inlineStr"/>
      <c r="B4" s="13" t="inlineStr">
        <is>
          <t>Last 7
days</t>
        </is>
      </c>
      <c r="C4" s="13" t="inlineStr">
        <is>
          <t>Last 30
days</t>
        </is>
      </c>
      <c r="D4" s="13" t="inlineStr">
        <is>
          <t>Last 90
days</t>
        </is>
      </c>
      <c r="E4" s="13" t="inlineStr">
        <is>
          <t>This
month</t>
        </is>
      </c>
      <c r="F4" s="13" t="inlineStr"/>
      <c r="G4" s="13" t="inlineStr">
        <is>
          <t>Reading</t>
        </is>
      </c>
    </row>
    <row r="5" ht="18" customHeight="1">
      <c r="A5" s="46" t="inlineStr">
        <is>
          <t>Charts uploaded</t>
        </is>
      </c>
      <c r="B5" s="29">
        <f>COUNTIFS('Chart Database'!$H$6:$H$4005,"&gt;="&amp;TODAY()-7,'Chart Database'!$H$6:$H$4005,"&lt;="&amp;TODAY())</f>
        <v/>
      </c>
      <c r="C5" s="29">
        <f>COUNTIFS('Chart Database'!$H$6:$H$4005,"&gt;="&amp;TODAY()-30,'Chart Database'!$H$6:$H$4005,"&lt;="&amp;TODAY())</f>
        <v/>
      </c>
      <c r="D5" s="29">
        <f>COUNTIFS('Chart Database'!$H$6:$H$4005,"&gt;="&amp;TODAY()-90,'Chart Database'!$H$6:$H$4005,"&lt;="&amp;TODAY())</f>
        <v/>
      </c>
      <c r="E5" s="29">
        <f>COUNTIFS('Chart Database'!$H$6:$H$4005,"&gt;="&amp;DATE(YEAR(TODAY()),MONTH(TODAY()),1),'Chart Database'!$H$6:$H$4005,"&lt;="&amp;TODAY())</f>
        <v/>
      </c>
      <c r="G5" s="47" t="inlineStr">
        <is>
          <t>Rows whose created_at falls in the window.</t>
        </is>
      </c>
    </row>
    <row r="6" ht="24" customHeight="1">
      <c r="A6" s="46" t="inlineStr">
        <is>
          <t>of which multi-topic</t>
        </is>
      </c>
      <c r="B6" s="29">
        <f>COUNTIFS('Chart Database'!$H$6:$H$4005,"&gt;="&amp;TODAY()-7,'Chart Database'!$H$6:$H$4005,"&lt;="&amp;TODAY(),'Chart Database'!$J$6:$J$4005,"&gt;=2")</f>
        <v/>
      </c>
      <c r="C6" s="29">
        <f>COUNTIFS('Chart Database'!$H$6:$H$4005,"&gt;="&amp;TODAY()-30,'Chart Database'!$H$6:$H$4005,"&lt;="&amp;TODAY(),'Chart Database'!$J$6:$J$4005,"&gt;=2")</f>
        <v/>
      </c>
      <c r="D6" s="29">
        <f>COUNTIFS('Chart Database'!$H$6:$H$4005,"&gt;="&amp;TODAY()-90,'Chart Database'!$H$6:$H$4005,"&lt;="&amp;TODAY(),'Chart Database'!$J$6:$J$4005,"&gt;=2")</f>
        <v/>
      </c>
      <c r="E6" s="29">
        <f>COUNTIFS('Chart Database'!$H$6:$H$4005,"&gt;="&amp;DATE(YEAR(TODAY()),MONTH(TODAY()),1),'Chart Database'!$H$6:$H$4005,"&lt;="&amp;TODAY(),'Chart Database'!$J$6:$J$4005,"&gt;=2")</f>
        <v/>
      </c>
      <c r="G6" s="47" t="inlineStr">
        <is>
          <t>Carrying more than one category. Those cover more ground per chart.</t>
        </is>
      </c>
    </row>
    <row r="7" ht="24" customHeight="1">
      <c r="A7" s="46" t="inlineStr">
        <is>
          <t>of which no answer key yet</t>
        </is>
      </c>
      <c r="B7" s="29">
        <f>COUNTIFS('Chart Database'!$H$6:$H$4005,"&gt;="&amp;TODAY()-7,'Chart Database'!$H$6:$H$4005,"&lt;="&amp;TODAY(),'Chart Database'!$O$6:$O$4005,"No")</f>
        <v/>
      </c>
      <c r="C7" s="29">
        <f>COUNTIFS('Chart Database'!$H$6:$H$4005,"&gt;="&amp;TODAY()-30,'Chart Database'!$H$6:$H$4005,"&lt;="&amp;TODAY(),'Chart Database'!$O$6:$O$4005,"No")</f>
        <v/>
      </c>
      <c r="D7" s="29">
        <f>COUNTIFS('Chart Database'!$H$6:$H$4005,"&gt;="&amp;TODAY()-90,'Chart Database'!$H$6:$H$4005,"&lt;="&amp;TODAY(),'Chart Database'!$O$6:$O$4005,"No")</f>
        <v/>
      </c>
      <c r="E7" s="29">
        <f>COUNTIFS('Chart Database'!$H$6:$H$4005,"&gt;="&amp;DATE(YEAR(TODAY()),MONTH(TODAY()),1),'Chart Database'!$H$6:$H$4005,"&lt;="&amp;TODAY(),'Chart Database'!$O$6:$O$4005,"No")</f>
        <v/>
      </c>
      <c r="G7" s="47" t="inlineStr">
        <is>
          <t>Uploaded but not gradeable. This is the number that should be falling.</t>
        </is>
      </c>
    </row>
    <row r="8" ht="24" customHeight="1">
      <c r="A8" s="46" t="inlineStr">
        <is>
          <t>Charts retired</t>
        </is>
      </c>
      <c r="B8" s="29">
        <f>COUNTIFS('Chart Database'!$F$6:$F$4005,"Retired",'Chart Database'!$R$6:$R$4005,"&gt;="&amp;TODAY()-7)</f>
        <v/>
      </c>
      <c r="C8" s="29">
        <f>COUNTIFS('Chart Database'!$F$6:$F$4005,"Retired",'Chart Database'!$R$6:$R$4005,"&gt;="&amp;TODAY()-30)</f>
        <v/>
      </c>
      <c r="D8" s="29">
        <f>COUNTIFS('Chart Database'!$F$6:$F$4005,"Retired",'Chart Database'!$R$6:$R$4005,"&gt;="&amp;TODAY()-90)</f>
        <v/>
      </c>
      <c r="E8" s="29">
        <f>""</f>
        <v/>
      </c>
      <c r="G8" s="47" t="inlineStr">
        <is>
          <t>Status set to Retired. Compare against the refresh policy of 10% per cycle.</t>
        </is>
      </c>
    </row>
    <row r="10" ht="20" customHeight="1">
      <c r="A10" s="7" t="inlineStr">
        <is>
          <t xml:space="preserve">  UPLOADS BY TRAINER  —  LAST 90 DAYS</t>
        </is>
      </c>
    </row>
    <row r="11" ht="30" customHeight="1">
      <c r="A11" s="13" t="inlineStr">
        <is>
          <t>uploaded_by</t>
        </is>
      </c>
      <c r="B11" s="13" t="inlineStr">
        <is>
          <t>Charts</t>
        </is>
      </c>
      <c r="C11" s="13" t="inlineStr">
        <is>
          <t>Multi-topic</t>
        </is>
      </c>
      <c r="D11" s="13" t="inlineStr">
        <is>
          <t>No key</t>
        </is>
      </c>
      <c r="E11" s="13" t="inlineStr">
        <is>
          <t>Avg topics</t>
        </is>
      </c>
      <c r="F11" s="13" t="inlineStr"/>
      <c r="G11" s="13" t="inlineStr">
        <is>
          <t>Reading</t>
        </is>
      </c>
    </row>
    <row r="12">
      <c r="A12" s="27">
        <f>IFERROR(INDEX('Chart Database'!$G$6:$G$4005,MATCH(0,INDEX(COUNTIF($A$12:$A11,'Chart Database'!$G$6:$G$4005),0),0)),"")</f>
        <v/>
      </c>
      <c r="B12" s="15">
        <f>IF($A12="","",COUNTIFS('Chart Database'!$G$6:$G$4005,$A12,'Chart Database'!$H$6:$H$4005,"&gt;="&amp;TODAY()-90))</f>
        <v/>
      </c>
      <c r="C12" s="15">
        <f>IF($A12="","",COUNTIFS('Chart Database'!$G$6:$G$4005,$A12,'Chart Database'!$H$6:$H$4005,"&gt;="&amp;TODAY()-90,'Chart Database'!$J$6:$J$4005,"&gt;=2"))</f>
        <v/>
      </c>
      <c r="D12" s="15">
        <f>IF($A12="","",COUNTIFS('Chart Database'!$G$6:$G$4005,$A12,'Chart Database'!$H$6:$H$4005,"&gt;="&amp;TODAY()-90,'Chart Database'!$O$6:$O$4005,"No"))</f>
        <v/>
      </c>
      <c r="E12" s="15">
        <f>IF(OR($A12="",B12=0),"",ROUND(SUMIFS('Chart Database'!$J$6:$J$4005,'Chart Database'!$G$6:$G$4005,$A12,'Chart Database'!$H$6:$H$4005,"&gt;="&amp;TODAY()-90)/B12,2))</f>
        <v/>
      </c>
      <c r="G12" s="47" t="inlineStr">
        <is>
          <t>The trainer column fills itself from whoever appears in the database — the first 12 distinct names. It is a workload picture, not a scorecard: a trainer on IP-DRG at three hours a chart cannot match one on SDS at an hour and a half.</t>
        </is>
      </c>
    </row>
    <row r="13">
      <c r="A13" s="27">
        <f>IFERROR(INDEX('Chart Database'!$G$6:$G$4005,MATCH(0,INDEX(COUNTIF($A$12:$A12,'Chart Database'!$G$6:$G$4005),0),0)),"")</f>
        <v/>
      </c>
      <c r="B13" s="15">
        <f>IF($A13="","",COUNTIFS('Chart Database'!$G$6:$G$4005,$A13,'Chart Database'!$H$6:$H$4005,"&gt;="&amp;TODAY()-90))</f>
        <v/>
      </c>
      <c r="C13" s="15">
        <f>IF($A13="","",COUNTIFS('Chart Database'!$G$6:$G$4005,$A13,'Chart Database'!$H$6:$H$4005,"&gt;="&amp;TODAY()-90,'Chart Database'!$J$6:$J$4005,"&gt;=2"))</f>
        <v/>
      </c>
      <c r="D13" s="15">
        <f>IF($A13="","",COUNTIFS('Chart Database'!$G$6:$G$4005,$A13,'Chart Database'!$H$6:$H$4005,"&gt;="&amp;TODAY()-90,'Chart Database'!$O$6:$O$4005,"No"))</f>
        <v/>
      </c>
      <c r="E13" s="15">
        <f>IF(OR($A13="",B13=0),"",ROUND(SUMIFS('Chart Database'!$J$6:$J$4005,'Chart Database'!$G$6:$G$4005,$A13,'Chart Database'!$H$6:$H$4005,"&gt;="&amp;TODAY()-90)/B13,2))</f>
        <v/>
      </c>
    </row>
    <row r="14">
      <c r="A14" s="27">
        <f>IFERROR(INDEX('Chart Database'!$G$6:$G$4005,MATCH(0,INDEX(COUNTIF($A$12:$A13,'Chart Database'!$G$6:$G$4005),0),0)),"")</f>
        <v/>
      </c>
      <c r="B14" s="15">
        <f>IF($A14="","",COUNTIFS('Chart Database'!$G$6:$G$4005,$A14,'Chart Database'!$H$6:$H$4005,"&gt;="&amp;TODAY()-90))</f>
        <v/>
      </c>
      <c r="C14" s="15">
        <f>IF($A14="","",COUNTIFS('Chart Database'!$G$6:$G$4005,$A14,'Chart Database'!$H$6:$H$4005,"&gt;="&amp;TODAY()-90,'Chart Database'!$J$6:$J$4005,"&gt;=2"))</f>
        <v/>
      </c>
      <c r="D14" s="15">
        <f>IF($A14="","",COUNTIFS('Chart Database'!$G$6:$G$4005,$A14,'Chart Database'!$H$6:$H$4005,"&gt;="&amp;TODAY()-90,'Chart Database'!$O$6:$O$4005,"No"))</f>
        <v/>
      </c>
      <c r="E14" s="15">
        <f>IF(OR($A14="",B14=0),"",ROUND(SUMIFS('Chart Database'!$J$6:$J$4005,'Chart Database'!$G$6:$G$4005,$A14,'Chart Database'!$H$6:$H$4005,"&gt;="&amp;TODAY()-90)/B14,2))</f>
        <v/>
      </c>
    </row>
    <row r="15">
      <c r="A15" s="27">
        <f>IFERROR(INDEX('Chart Database'!$G$6:$G$4005,MATCH(0,INDEX(COUNTIF($A$12:$A14,'Chart Database'!$G$6:$G$4005),0),0)),"")</f>
        <v/>
      </c>
      <c r="B15" s="15">
        <f>IF($A15="","",COUNTIFS('Chart Database'!$G$6:$G$4005,$A15,'Chart Database'!$H$6:$H$4005,"&gt;="&amp;TODAY()-90))</f>
        <v/>
      </c>
      <c r="C15" s="15">
        <f>IF($A15="","",COUNTIFS('Chart Database'!$G$6:$G$4005,$A15,'Chart Database'!$H$6:$H$4005,"&gt;="&amp;TODAY()-90,'Chart Database'!$J$6:$J$4005,"&gt;=2"))</f>
        <v/>
      </c>
      <c r="D15" s="15">
        <f>IF($A15="","",COUNTIFS('Chart Database'!$G$6:$G$4005,$A15,'Chart Database'!$H$6:$H$4005,"&gt;="&amp;TODAY()-90,'Chart Database'!$O$6:$O$4005,"No"))</f>
        <v/>
      </c>
      <c r="E15" s="15">
        <f>IF(OR($A15="",B15=0),"",ROUND(SUMIFS('Chart Database'!$J$6:$J$4005,'Chart Database'!$G$6:$G$4005,$A15,'Chart Database'!$H$6:$H$4005,"&gt;="&amp;TODAY()-90)/B15,2))</f>
        <v/>
      </c>
    </row>
    <row r="16">
      <c r="A16" s="27">
        <f>IFERROR(INDEX('Chart Database'!$G$6:$G$4005,MATCH(0,INDEX(COUNTIF($A$12:$A15,'Chart Database'!$G$6:$G$4005),0),0)),"")</f>
        <v/>
      </c>
      <c r="B16" s="15">
        <f>IF($A16="","",COUNTIFS('Chart Database'!$G$6:$G$4005,$A16,'Chart Database'!$H$6:$H$4005,"&gt;="&amp;TODAY()-90))</f>
        <v/>
      </c>
      <c r="C16" s="15">
        <f>IF($A16="","",COUNTIFS('Chart Database'!$G$6:$G$4005,$A16,'Chart Database'!$H$6:$H$4005,"&gt;="&amp;TODAY()-90,'Chart Database'!$J$6:$J$4005,"&gt;=2"))</f>
        <v/>
      </c>
      <c r="D16" s="15">
        <f>IF($A16="","",COUNTIFS('Chart Database'!$G$6:$G$4005,$A16,'Chart Database'!$H$6:$H$4005,"&gt;="&amp;TODAY()-90,'Chart Database'!$O$6:$O$4005,"No"))</f>
        <v/>
      </c>
      <c r="E16" s="15">
        <f>IF(OR($A16="",B16=0),"",ROUND(SUMIFS('Chart Database'!$J$6:$J$4005,'Chart Database'!$G$6:$G$4005,$A16,'Chart Database'!$H$6:$H$4005,"&gt;="&amp;TODAY()-90)/B16,2))</f>
        <v/>
      </c>
    </row>
    <row r="17">
      <c r="A17" s="27">
        <f>IFERROR(INDEX('Chart Database'!$G$6:$G$4005,MATCH(0,INDEX(COUNTIF($A$12:$A16,'Chart Database'!$G$6:$G$4005),0),0)),"")</f>
        <v/>
      </c>
      <c r="B17" s="15">
        <f>IF($A17="","",COUNTIFS('Chart Database'!$G$6:$G$4005,$A17,'Chart Database'!$H$6:$H$4005,"&gt;="&amp;TODAY()-90))</f>
        <v/>
      </c>
      <c r="C17" s="15">
        <f>IF($A17="","",COUNTIFS('Chart Database'!$G$6:$G$4005,$A17,'Chart Database'!$H$6:$H$4005,"&gt;="&amp;TODAY()-90,'Chart Database'!$J$6:$J$4005,"&gt;=2"))</f>
        <v/>
      </c>
      <c r="D17" s="15">
        <f>IF($A17="","",COUNTIFS('Chart Database'!$G$6:$G$4005,$A17,'Chart Database'!$H$6:$H$4005,"&gt;="&amp;TODAY()-90,'Chart Database'!$O$6:$O$4005,"No"))</f>
        <v/>
      </c>
      <c r="E17" s="15">
        <f>IF(OR($A17="",B17=0),"",ROUND(SUMIFS('Chart Database'!$J$6:$J$4005,'Chart Database'!$G$6:$G$4005,$A17,'Chart Database'!$H$6:$H$4005,"&gt;="&amp;TODAY()-90)/B17,2))</f>
        <v/>
      </c>
    </row>
    <row r="18">
      <c r="A18" s="27">
        <f>IFERROR(INDEX('Chart Database'!$G$6:$G$4005,MATCH(0,INDEX(COUNTIF($A$12:$A17,'Chart Database'!$G$6:$G$4005),0),0)),"")</f>
        <v/>
      </c>
      <c r="B18" s="15">
        <f>IF($A18="","",COUNTIFS('Chart Database'!$G$6:$G$4005,$A18,'Chart Database'!$H$6:$H$4005,"&gt;="&amp;TODAY()-90))</f>
        <v/>
      </c>
      <c r="C18" s="15">
        <f>IF($A18="","",COUNTIFS('Chart Database'!$G$6:$G$4005,$A18,'Chart Database'!$H$6:$H$4005,"&gt;="&amp;TODAY()-90,'Chart Database'!$J$6:$J$4005,"&gt;=2"))</f>
        <v/>
      </c>
      <c r="D18" s="15">
        <f>IF($A18="","",COUNTIFS('Chart Database'!$G$6:$G$4005,$A18,'Chart Database'!$H$6:$H$4005,"&gt;="&amp;TODAY()-90,'Chart Database'!$O$6:$O$4005,"No"))</f>
        <v/>
      </c>
      <c r="E18" s="15">
        <f>IF(OR($A18="",B18=0),"",ROUND(SUMIFS('Chart Database'!$J$6:$J$4005,'Chart Database'!$G$6:$G$4005,$A18,'Chart Database'!$H$6:$H$4005,"&gt;="&amp;TODAY()-90)/B18,2))</f>
        <v/>
      </c>
    </row>
    <row r="19">
      <c r="A19" s="27">
        <f>IFERROR(INDEX('Chart Database'!$G$6:$G$4005,MATCH(0,INDEX(COUNTIF($A$12:$A18,'Chart Database'!$G$6:$G$4005),0),0)),"")</f>
        <v/>
      </c>
      <c r="B19" s="15">
        <f>IF($A19="","",COUNTIFS('Chart Database'!$G$6:$G$4005,$A19,'Chart Database'!$H$6:$H$4005,"&gt;="&amp;TODAY()-90))</f>
        <v/>
      </c>
      <c r="C19" s="15">
        <f>IF($A19="","",COUNTIFS('Chart Database'!$G$6:$G$4005,$A19,'Chart Database'!$H$6:$H$4005,"&gt;="&amp;TODAY()-90,'Chart Database'!$J$6:$J$4005,"&gt;=2"))</f>
        <v/>
      </c>
      <c r="D19" s="15">
        <f>IF($A19="","",COUNTIFS('Chart Database'!$G$6:$G$4005,$A19,'Chart Database'!$H$6:$H$4005,"&gt;="&amp;TODAY()-90,'Chart Database'!$O$6:$O$4005,"No"))</f>
        <v/>
      </c>
      <c r="E19" s="15">
        <f>IF(OR($A19="",B19=0),"",ROUND(SUMIFS('Chart Database'!$J$6:$J$4005,'Chart Database'!$G$6:$G$4005,$A19,'Chart Database'!$H$6:$H$4005,"&gt;="&amp;TODAY()-90)/B19,2))</f>
        <v/>
      </c>
    </row>
    <row r="20">
      <c r="A20" s="27">
        <f>IFERROR(INDEX('Chart Database'!$G$6:$G$4005,MATCH(0,INDEX(COUNTIF($A$12:$A19,'Chart Database'!$G$6:$G$4005),0),0)),"")</f>
        <v/>
      </c>
      <c r="B20" s="15">
        <f>IF($A20="","",COUNTIFS('Chart Database'!$G$6:$G$4005,$A20,'Chart Database'!$H$6:$H$4005,"&gt;="&amp;TODAY()-90))</f>
        <v/>
      </c>
      <c r="C20" s="15">
        <f>IF($A20="","",COUNTIFS('Chart Database'!$G$6:$G$4005,$A20,'Chart Database'!$H$6:$H$4005,"&gt;="&amp;TODAY()-90,'Chart Database'!$J$6:$J$4005,"&gt;=2"))</f>
        <v/>
      </c>
      <c r="D20" s="15">
        <f>IF($A20="","",COUNTIFS('Chart Database'!$G$6:$G$4005,$A20,'Chart Database'!$H$6:$H$4005,"&gt;="&amp;TODAY()-90,'Chart Database'!$O$6:$O$4005,"No"))</f>
        <v/>
      </c>
      <c r="E20" s="15">
        <f>IF(OR($A20="",B20=0),"",ROUND(SUMIFS('Chart Database'!$J$6:$J$4005,'Chart Database'!$G$6:$G$4005,$A20,'Chart Database'!$H$6:$H$4005,"&gt;="&amp;TODAY()-90)/B20,2))</f>
        <v/>
      </c>
    </row>
    <row r="21">
      <c r="A21" s="27">
        <f>IFERROR(INDEX('Chart Database'!$G$6:$G$4005,MATCH(0,INDEX(COUNTIF($A$12:$A20,'Chart Database'!$G$6:$G$4005),0),0)),"")</f>
        <v/>
      </c>
      <c r="B21" s="15">
        <f>IF($A21="","",COUNTIFS('Chart Database'!$G$6:$G$4005,$A21,'Chart Database'!$H$6:$H$4005,"&gt;="&amp;TODAY()-90))</f>
        <v/>
      </c>
      <c r="C21" s="15">
        <f>IF($A21="","",COUNTIFS('Chart Database'!$G$6:$G$4005,$A21,'Chart Database'!$H$6:$H$4005,"&gt;="&amp;TODAY()-90,'Chart Database'!$J$6:$J$4005,"&gt;=2"))</f>
        <v/>
      </c>
      <c r="D21" s="15">
        <f>IF($A21="","",COUNTIFS('Chart Database'!$G$6:$G$4005,$A21,'Chart Database'!$H$6:$H$4005,"&gt;="&amp;TODAY()-90,'Chart Database'!$O$6:$O$4005,"No"))</f>
        <v/>
      </c>
      <c r="E21" s="15">
        <f>IF(OR($A21="",B21=0),"",ROUND(SUMIFS('Chart Database'!$J$6:$J$4005,'Chart Database'!$G$6:$G$4005,$A21,'Chart Database'!$H$6:$H$4005,"&gt;="&amp;TODAY()-90)/B21,2))</f>
        <v/>
      </c>
    </row>
    <row r="22">
      <c r="A22" s="27">
        <f>IFERROR(INDEX('Chart Database'!$G$6:$G$4005,MATCH(0,INDEX(COUNTIF($A$12:$A21,'Chart Database'!$G$6:$G$4005),0),0)),"")</f>
        <v/>
      </c>
      <c r="B22" s="15">
        <f>IF($A22="","",COUNTIFS('Chart Database'!$G$6:$G$4005,$A22,'Chart Database'!$H$6:$H$4005,"&gt;="&amp;TODAY()-90))</f>
        <v/>
      </c>
      <c r="C22" s="15">
        <f>IF($A22="","",COUNTIFS('Chart Database'!$G$6:$G$4005,$A22,'Chart Database'!$H$6:$H$4005,"&gt;="&amp;TODAY()-90,'Chart Database'!$J$6:$J$4005,"&gt;=2"))</f>
        <v/>
      </c>
      <c r="D22" s="15">
        <f>IF($A22="","",COUNTIFS('Chart Database'!$G$6:$G$4005,$A22,'Chart Database'!$H$6:$H$4005,"&gt;="&amp;TODAY()-90,'Chart Database'!$O$6:$O$4005,"No"))</f>
        <v/>
      </c>
      <c r="E22" s="15">
        <f>IF(OR($A22="",B22=0),"",ROUND(SUMIFS('Chart Database'!$J$6:$J$4005,'Chart Database'!$G$6:$G$4005,$A22,'Chart Database'!$H$6:$H$4005,"&gt;="&amp;TODAY()-90)/B22,2))</f>
        <v/>
      </c>
    </row>
    <row r="23">
      <c r="A23" s="27">
        <f>IFERROR(INDEX('Chart Database'!$G$6:$G$4005,MATCH(0,INDEX(COUNTIF($A$12:$A22,'Chart Database'!$G$6:$G$4005),0),0)),"")</f>
        <v/>
      </c>
      <c r="B23" s="15">
        <f>IF($A23="","",COUNTIFS('Chart Database'!$G$6:$G$4005,$A23,'Chart Database'!$H$6:$H$4005,"&gt;="&amp;TODAY()-90))</f>
        <v/>
      </c>
      <c r="C23" s="15">
        <f>IF($A23="","",COUNTIFS('Chart Database'!$G$6:$G$4005,$A23,'Chart Database'!$H$6:$H$4005,"&gt;="&amp;TODAY()-90,'Chart Database'!$J$6:$J$4005,"&gt;=2"))</f>
        <v/>
      </c>
      <c r="D23" s="15">
        <f>IF($A23="","",COUNTIFS('Chart Database'!$G$6:$G$4005,$A23,'Chart Database'!$H$6:$H$4005,"&gt;="&amp;TODAY()-90,'Chart Database'!$O$6:$O$4005,"No"))</f>
        <v/>
      </c>
      <c r="E23" s="15">
        <f>IF(OR($A23="",B23=0),"",ROUND(SUMIFS('Chart Database'!$J$6:$J$4005,'Chart Database'!$G$6:$G$4005,$A23,'Chart Database'!$H$6:$H$4005,"&gt;="&amp;TODAY()-90)/B23,2))</f>
        <v/>
      </c>
    </row>
    <row r="25" ht="26" customHeight="1">
      <c r="A25" s="44" t="inlineStr">
        <is>
          <t>Charts retired counts on Last assigned rather than a retirement date, because the application does not store one. Treat that row as indicative and record the real date in Notes if it matters.</t>
        </is>
      </c>
    </row>
    <row r="26" ht="26" customHeight="1">
      <c r="A26" s="18" t="inlineStr">
        <is>
          <t>To see the charts behind any of these numbers, go to the Chart Database and filter created_at by the same window. Every figure here is a COUNTIFS over that sheet and nothing else.</t>
        </is>
      </c>
    </row>
  </sheetData>
  <mergeCells count="6">
    <mergeCell ref="A1:G1"/>
    <mergeCell ref="A26:G26"/>
    <mergeCell ref="A2:G2"/>
    <mergeCell ref="A25:G25"/>
    <mergeCell ref="G12:G23"/>
    <mergeCell ref="A10:G10"/>
  </mergeCells>
  <conditionalFormatting sqref="B7:E7">
    <cfRule type="cellIs" priority="1" operator="greaterThan" dxfId="11">
      <formula>0</formula>
    </cfRule>
  </conditionalFormatting>
  <conditionalFormatting sqref="A12:E23">
    <cfRule type="expression" priority="2" dxfId="4">
      <formula>MOD(ROW(),2)=0</formula>
    </cfRule>
  </conditionalFormatting>
  <pageMargins left="0.75" right="0.75" top="1" bottom="1" header="0.5" footer="0.5"/>
</worksheet>
</file>

<file path=xl/worksheets/sheet9.xml><?xml version="1.0" encoding="utf-8"?>
<worksheet xmlns="http://schemas.openxmlformats.org/spreadsheetml/2006/main">
  <sheetPr>
    <tabColor rgb="00A4262C"/>
    <outlinePr summaryBelow="1" summaryRight="1"/>
    <pageSetUpPr/>
  </sheetPr>
  <dimension ref="A1:C45"/>
  <sheetViews>
    <sheetView showGridLines="0" zoomScale="90" workbookViewId="0">
      <selection activeCell="A1" sqref="A1"/>
    </sheetView>
  </sheetViews>
  <sheetFormatPr baseColWidth="8" defaultRowHeight="15"/>
  <cols>
    <col width="3" customWidth="1" min="1" max="1"/>
    <col width="24" customWidth="1" min="2" max="2"/>
    <col width="92" customWidth="1" min="3" max="3"/>
  </cols>
  <sheetData>
    <row r="1" ht="26" customHeight="1">
      <c r="A1" s="1" t="inlineStr">
        <is>
          <t>Field conventions — category and alias</t>
        </is>
      </c>
    </row>
    <row r="2">
      <c r="A2" s="2" t="inlineStr">
        <is>
          <t>What goes in the two fields a trainer fills on upload, and why. Agreed 21 October 2026.</t>
        </is>
      </c>
    </row>
    <row r="3" ht="3" customHeight="1">
      <c r="A3" s="3" t="n"/>
      <c r="B3" s="3" t="n"/>
      <c r="C3" s="3" t="n"/>
    </row>
    <row r="5">
      <c r="B5" s="4" t="inlineStr">
        <is>
          <t>How the application actually behaves</t>
        </is>
      </c>
    </row>
    <row r="6" ht="39" customHeight="1">
      <c r="B6" s="5" t="inlineStr">
        <is>
          <t>Both fields already exist. `category` is String(200) and required; `alias` is String(100) and optional. Neither is a dropdown anywhere in the application: both are free-text boxes, and the category filter when allocating a batch is a free-text box too.</t>
        </is>
      </c>
    </row>
    <row r="7" ht="26" customHeight="1">
      <c r="B7" s="6" t="inlineStr">
        <is>
          <t>What upload stores</t>
        </is>
      </c>
      <c r="C7" s="5" t="inlineStr">
        <is>
          <t>The category string verbatim, with only outer whitespace trimmed. Type `Sepsis, AKI` and the database holds exactly that one string. It is never split.</t>
        </is>
      </c>
    </row>
    <row r="8" ht="39" customHeight="1">
      <c r="B8" s="6" t="inlineStr">
        <is>
          <t>What the allocator does</t>
        </is>
      </c>
      <c r="C8" s="5" t="inlineStr">
        <is>
          <t>Splits the TRAINER'S filter on commas, then substring-matches each piece against the whole stored string, OR'd together. So your filter is split and the chart's category is not; they meet by substring.</t>
        </is>
      </c>
    </row>
    <row r="9" ht="52" customHeight="1">
      <c r="B9" s="6" t="inlineStr">
        <is>
          <t>What follows</t>
        </is>
      </c>
      <c r="C9" s="5" t="inlineStr">
        <is>
          <t>Several topics on one chart WORK for assignment — a chart filed as `Sepsis, AKI` is found by a filter of either. What breaks is counting: the application groups by the whole string, so `Sepsis, AKI` is a third value beside `Sepsis` and `AKI`. This workbook does the parsing the application does not.</t>
        </is>
      </c>
    </row>
    <row r="11">
      <c r="B11" s="4" t="inlineStr">
        <is>
          <t>category</t>
        </is>
      </c>
    </row>
    <row r="12" ht="13" customHeight="1">
      <c r="B12" s="6" t="inlineStr">
        <is>
          <t>Is</t>
        </is>
      </c>
      <c r="C12" s="5" t="inlineStr">
        <is>
          <t>One or more short topic names, comma separated. Nothing else.</t>
        </is>
      </c>
    </row>
    <row r="13" ht="13" customHeight="1">
      <c r="B13" s="6" t="inlineStr">
        <is>
          <t>Example</t>
        </is>
      </c>
      <c r="C13" s="5" t="inlineStr">
        <is>
          <t>`Sepsis` for a single topic. `Sepsis, AKI` where the chart genuinely teaches both.</t>
        </is>
      </c>
    </row>
    <row r="14" ht="26" customHeight="1">
      <c r="B14" s="6" t="inlineStr">
        <is>
          <t>Taken from</t>
        </is>
      </c>
      <c r="C14" s="5" t="inlineStr">
        <is>
          <t>The SHORT NAME column of the Category Dictionary sheet, spelled exactly. That sheet is the vocabulary; the application has none.</t>
        </is>
      </c>
    </row>
    <row r="15" ht="26" customHeight="1">
      <c r="B15" s="6" t="inlineStr">
        <is>
          <t>Order matters a little</t>
        </is>
      </c>
      <c r="C15" s="5" t="inlineStr">
        <is>
          <t>List the topic the ANSWER KEY turns on first. This workbook reads the first name as the primary topic, which is what the per-chart views show.</t>
        </is>
      </c>
    </row>
    <row r="16" ht="26" customHeight="1">
      <c r="B16" s="6" t="inlineStr">
        <is>
          <t>Length</t>
        </is>
      </c>
      <c r="C16" s="5" t="inlineStr">
        <is>
          <t>Each name is at most 25 characters and the column holds 200, so four or five topics fit. Past that, the chart is probably two charts.</t>
        </is>
      </c>
    </row>
    <row r="17" ht="39" customHeight="1">
      <c r="B17" s="6" t="inlineStr">
        <is>
          <t>Never</t>
        </is>
      </c>
      <c r="C17" s="5" t="inlineStr">
        <is>
          <t>A description, a sentence, a code number alone, or a name not in the dictionary. Every new spelling becomes a separate value in the application's own analytics and quietly fragments the counts.</t>
        </is>
      </c>
    </row>
    <row r="19">
      <c r="B19" s="4" t="inlineStr">
        <is>
          <t>alias</t>
        </is>
      </c>
    </row>
    <row r="20" ht="26" customHeight="1">
      <c r="B20" s="6" t="inlineStr">
        <is>
          <t>Is</t>
        </is>
      </c>
      <c r="C20" s="5" t="inlineStr">
        <is>
          <t>The clinical scenario in a trainer's own words. A recognition handle, so somebody scanning sixty rows knows the chart without opening it.</t>
        </is>
      </c>
    </row>
    <row r="21" ht="26" customHeight="1">
      <c r="B21" s="6" t="inlineStr">
        <is>
          <t>Example</t>
        </is>
      </c>
      <c r="C21" s="5" t="inlineStr">
        <is>
          <t>`68F septic shock, AKI on CKD3, pressors` · `34wk twin delivery, one NICU admit` · `Lap chole converted to open`</t>
        </is>
      </c>
    </row>
    <row r="22" ht="26" customHeight="1">
      <c r="B22" s="6" t="inlineStr">
        <is>
          <t>Length</t>
        </is>
      </c>
      <c r="C22" s="5" t="inlineStr">
        <is>
          <t>100 characters, and this is a hard database limit. SQLite does not enforce it and PostgreSQL rejects outright, so an over-long alias passes every local test and fails on the live service.</t>
        </is>
      </c>
    </row>
    <row r="23" ht="26" customHeight="1">
      <c r="B23" s="6" t="inlineStr">
        <is>
          <t>Never drives assignment</t>
        </is>
      </c>
      <c r="C23" s="5" t="inlineStr">
        <is>
          <t>Alias is for finding and recognising. Category is for selecting. The allocator does not read alias at all.</t>
        </is>
      </c>
    </row>
    <row r="24" ht="39" customHeight="1">
      <c r="B24" s="6" t="inlineStr">
        <is>
          <t>Never contains PHI</t>
        </is>
      </c>
      <c r="C24" s="5" t="inlineStr">
        <is>
          <t>It is free text typed AFTER de-identification, which makes it the likeliest place for a name, a date or a facility to come back into a scrubbed chart. Ages as a band, sex as a letter, no names, no dates, no facility.</t>
        </is>
      </c>
    </row>
    <row r="25" ht="39" customHeight="1">
      <c r="B25" s="6" t="inlineStr">
        <is>
          <t>Never hints at the finding</t>
        </is>
      </c>
      <c r="C25" s="5" t="inlineStr">
        <is>
          <t>Both fields are reachable by a coder — category is rendered on the chart, and alias is covered by the search box. `Missed MCC` or `wrong PDx sequence` tells an auditor the answer before they read the chart, which voids the restraint measurement the auditor module exists to produce.</t>
        </is>
      </c>
    </row>
    <row r="27">
      <c r="B27" s="4" t="inlineStr">
        <is>
          <t>The rule worth remembering</t>
        </is>
      </c>
    </row>
    <row r="28" ht="13" customHeight="1">
      <c r="B28" s="5" t="inlineStr">
        <is>
          <t>The topic names the SKILL, never the FINDING.</t>
        </is>
      </c>
    </row>
    <row r="30">
      <c r="B30" s="4" t="inlineStr">
        <is>
          <t>Difficulty: two vocabularies, mapped</t>
        </is>
      </c>
    </row>
    <row r="31" ht="39" customHeight="1">
      <c r="B31" s="5" t="inlineStr">
        <is>
          <t>The application's enum is Beginner, Intermediate, Advanced, and that is what this workbook uses. The composition taxonomy and the HC framework speak of Basic, Moderate and Complex tiers. They are the same three bands under different names:</t>
        </is>
      </c>
    </row>
    <row r="32" ht="13" customHeight="1">
      <c r="B32" s="57" t="inlineStr">
        <is>
          <t>Beginner  =  Basic</t>
        </is>
      </c>
      <c r="C32" s="5" t="inlineStr">
        <is>
          <t>Single encounter focus, few codes, clear documentation, straightforward guideline application.</t>
        </is>
      </c>
    </row>
    <row r="33" ht="13" customHeight="1">
      <c r="B33" s="57" t="inlineStr">
        <is>
          <t>Intermediate  =  Moderate</t>
        </is>
      </c>
      <c r="C33" s="5" t="inlineStr">
        <is>
          <t>Multiple diagnoses or procedures, some sequencing decisions, modifiers or CC/MCC capture.</t>
        </is>
      </c>
    </row>
    <row r="34" ht="26" customHeight="1">
      <c r="B34" s="57" t="inlineStr">
        <is>
          <t>Advanced  =  Complex</t>
        </is>
      </c>
      <c r="C34" s="5" t="inlineStr">
        <is>
          <t>Conflicting or incomplete documentation, query opportunities, tricky guidelines, multiple edits in play.</t>
        </is>
      </c>
    </row>
    <row r="35" ht="39" customHeight="1">
      <c r="B35" s="5" t="inlineStr">
        <is>
          <t>Enter the application's word on upload and in this workbook. Read the taxonomy's word when planning composition. Nobody should have to convert in their head, which is why the mapping is written down here rather than remembered.</t>
        </is>
      </c>
    </row>
    <row r="37">
      <c r="B37" s="4" t="inlineStr">
        <is>
          <t>A topic the taxonomy does not have</t>
        </is>
      </c>
    </row>
    <row r="38" ht="26" customHeight="1">
      <c r="B38" s="5" t="inlineStr">
        <is>
          <t>The 111 topics are not a closed list, and nothing in the application enforces them. Two ways to add one, and they are not interchangeable:</t>
        </is>
      </c>
    </row>
    <row r="39" ht="52" customHeight="1">
      <c r="B39" s="6" t="inlineStr">
        <is>
          <t>For something that will last</t>
        </is>
      </c>
      <c r="C39" s="5" t="inlineStr">
        <is>
          <t>It belongs in the composition taxonomy, with an ID, a weight and a target. That means taking its share of charts from a sibling topic, because the weights must still sum to the HC parent percentage. Ask for it and it is a ten-minute change to the taxonomy module, after which it appears in all three workbooks at once.</t>
        </is>
      </c>
    </row>
    <row r="40" ht="52" customHeight="1">
      <c r="B40" s="6" t="inlineStr">
        <is>
          <t>For something provisional</t>
        </is>
      </c>
      <c r="C40" s="5" t="inlineStr">
        <is>
          <t>Use the spare rows at the bottom of the Category Dictionary. Type the specialty and a short name; a target is optional. The name is counted from that moment and charts carrying it stop being reported as off-list. It carries no agreed target, so it appears in coverage as NA rather than as a gap.</t>
        </is>
      </c>
    </row>
    <row r="41" ht="52" customHeight="1">
      <c r="B41" s="6" t="inlineStr">
        <is>
          <t>Either way, check the name</t>
        </is>
      </c>
      <c r="C41" s="5" t="inlineStr">
        <is>
          <t>The Name check column must read OK. Because the application matches by substring, a name that contains or sits inside another in the same specialty makes both counts wrong — `Respiratory` would pick up every `Respiratory surgical` chart. This is why the governed names read `Respiratory medical` and `Thoracic surgical`.</t>
        </is>
      </c>
    </row>
    <row r="42" ht="39" customHeight="1">
      <c r="B42" s="6" t="inlineStr">
        <is>
          <t>What happens if you skip both</t>
        </is>
      </c>
      <c r="C42" s="5" t="inlineStr">
        <is>
          <t>The chart still counts as a chart on Specialty Overview, but toward no topic's coverage. The Leader Dashboard reports it under 'Charts with an off-list category' so it cannot sit unnoticed, which is the only reason that tile exists.</t>
        </is>
      </c>
    </row>
    <row r="44">
      <c r="B44" s="4" t="inlineStr">
        <is>
          <t>What this does not solve</t>
        </is>
      </c>
    </row>
    <row r="45" ht="52" customHeight="1">
      <c r="B45" s="5" t="inlineStr">
        <is>
          <t>The application still accepts anything typed into either field. This workbook is the vocabulary, not an enforcement mechanism, so a category typed from memory rather than copied from the dictionary will still be accepted and will still fragment the counts. Enforcement needs the field to become a controlled list in the application, which is a code change and out of scope here.</t>
        </is>
      </c>
    </row>
  </sheetData>
  <mergeCells count="15">
    <mergeCell ref="B6:C6"/>
    <mergeCell ref="B30:C30"/>
    <mergeCell ref="B38:C38"/>
    <mergeCell ref="B44:C44"/>
    <mergeCell ref="A1:C1"/>
    <mergeCell ref="B11:C11"/>
    <mergeCell ref="B5:C5"/>
    <mergeCell ref="B19:C19"/>
    <mergeCell ref="B37:C37"/>
    <mergeCell ref="B28:C28"/>
    <mergeCell ref="B45:C45"/>
    <mergeCell ref="B31:C31"/>
    <mergeCell ref="B27:C27"/>
    <mergeCell ref="B35:C35"/>
    <mergeCell ref="A2:C2"/>
  </mergeCells>
  <pageMargins left="0.75" right="0.75" top="1" bottom="1" header="0.5" footer="0.5"/>
</worksheet>
</file>

<file path=xl/worksheets/sheet10.xml><?xml version="1.0" encoding="utf-8"?>
<worksheet xmlns="http://schemas.openxmlformats.org/spreadsheetml/2006/main">
  <sheetPr>
    <tabColor rgb="00BFBFBF"/>
    <outlinePr summaryBelow="1" summaryRight="1"/>
    <pageSetUpPr/>
  </sheetPr>
  <dimension ref="A1:F11"/>
  <sheetViews>
    <sheetView showGridLines="0" zoomScale="90" workbookViewId="0">
      <selection activeCell="A1" sqref="A1"/>
    </sheetView>
  </sheetViews>
  <sheetFormatPr baseColWidth="8" defaultRowHeight="15"/>
  <cols>
    <col width="18" customWidth="1" min="1" max="1"/>
    <col width="14" customWidth="1" min="2" max="2"/>
    <col width="13" customWidth="1" min="3" max="3"/>
    <col width="10" customWidth="1" min="4" max="4"/>
    <col width="10" customWidth="1" min="5" max="5"/>
    <col width="26" customWidth="1" min="6" max="6"/>
  </cols>
  <sheetData>
    <row r="1" ht="26" customHeight="1">
      <c r="A1" s="1" t="inlineStr">
        <is>
          <t>Dropdown lists</t>
        </is>
      </c>
    </row>
    <row r="2">
      <c r="A2" s="2" t="inlineStr">
        <is>
          <t>The source for every dropdown. Add a value here, never straight into a cell.</t>
        </is>
      </c>
    </row>
    <row r="3" ht="3" customHeight="1">
      <c r="A3" s="3" t="n"/>
      <c r="B3" s="3" t="n"/>
      <c r="C3" s="3" t="n"/>
      <c r="D3" s="3" t="n"/>
      <c r="E3" s="3" t="n"/>
      <c r="F3" s="3" t="n"/>
    </row>
    <row r="4">
      <c r="A4" s="58" t="inlineStr">
        <is>
          <t>Specialty</t>
        </is>
      </c>
      <c r="B4" s="58" t="inlineStr">
        <is>
          <t>Difficulty</t>
        </is>
      </c>
      <c r="C4" s="58" t="inlineStr">
        <is>
          <t>Status</t>
        </is>
      </c>
      <c r="D4" s="58" t="inlineStr">
        <is>
          <t>Priority</t>
        </is>
      </c>
      <c r="E4" s="58" t="inlineStr">
        <is>
          <t>YesNo</t>
        </is>
      </c>
      <c r="F4" s="58" t="inlineStr">
        <is>
          <t>Short name (reference — 111)</t>
        </is>
      </c>
    </row>
    <row r="5">
      <c r="A5" s="59" t="inlineStr">
        <is>
          <t>IP-DRG</t>
        </is>
      </c>
      <c r="B5" s="59" t="inlineStr">
        <is>
          <t>Beginner</t>
        </is>
      </c>
      <c r="C5" s="59" t="inlineStr">
        <is>
          <t>Active</t>
        </is>
      </c>
      <c r="D5" s="59" t="inlineStr">
        <is>
          <t>P1</t>
        </is>
      </c>
      <c r="E5" s="59" t="inlineStr">
        <is>
          <t>Yes</t>
        </is>
      </c>
      <c r="F5" s="47" t="inlineStr">
        <is>
          <t>See the Category Dictionary sheet; it carries the topic and target beside each name.</t>
        </is>
      </c>
    </row>
    <row r="6">
      <c r="A6" s="59" t="inlineStr">
        <is>
          <t>ED Facility</t>
        </is>
      </c>
      <c r="B6" s="59" t="inlineStr">
        <is>
          <t>Intermediate</t>
        </is>
      </c>
      <c r="C6" s="59" t="inlineStr">
        <is>
          <t>Retired</t>
        </is>
      </c>
      <c r="D6" s="59" t="inlineStr">
        <is>
          <t>P2</t>
        </is>
      </c>
      <c r="E6" s="59" t="inlineStr">
        <is>
          <t>No</t>
        </is>
      </c>
    </row>
    <row r="7">
      <c r="A7" s="59" t="inlineStr">
        <is>
          <t>ED Profee</t>
        </is>
      </c>
      <c r="B7" s="59" t="inlineStr">
        <is>
          <t>Advanced</t>
        </is>
      </c>
      <c r="D7" s="59" t="inlineStr">
        <is>
          <t>P3</t>
        </is>
      </c>
    </row>
    <row r="8">
      <c r="A8" s="59" t="inlineStr">
        <is>
          <t>E/M</t>
        </is>
      </c>
      <c r="D8" s="59" t="inlineStr">
        <is>
          <t>P4</t>
        </is>
      </c>
    </row>
    <row r="9">
      <c r="A9" s="59" t="inlineStr">
        <is>
          <t>SDS</t>
        </is>
      </c>
    </row>
    <row r="10">
      <c r="A10" s="59" t="inlineStr">
        <is>
          <t>Surgery</t>
        </is>
      </c>
    </row>
    <row r="11">
      <c r="A11" s="59" t="inlineStr">
        <is>
          <t>ED Single Path</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2026-10-21T17:03:53Z</dcterms:created>
  <dcterms:modified xmlns:dcterms="http://purl.org/dc/terms/" xmlns:xsi="http://www.w3.org/2001/XMLSchema-instance" xsi:type="dcterms:W3CDTF">2026-10-21T17:03:57Z</dcterms:modified>
</cp:coreProperties>
</file>